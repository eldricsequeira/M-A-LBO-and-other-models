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2E6DBC9B-58B1-468E-9B2F-DA12A78C308A}" xr6:coauthVersionLast="47" xr6:coauthVersionMax="47" xr10:uidLastSave="{00000000-0000-0000-0000-000000000000}"/>
  <bookViews>
    <workbookView xWindow="-108" yWindow="-108" windowWidth="23256" windowHeight="13176" tabRatio="1000" firstSheet="2" activeTab="14" xr2:uid="{BCF9BFF9-BCF9-4F21-9E9B-4DD4BB09ACFB}"/>
  </bookViews>
  <sheets>
    <sheet name="Dashboard" sheetId="1" r:id="rId1"/>
    <sheet name="Financials-&gt;" sheetId="4" r:id="rId2"/>
    <sheet name="Statements" sheetId="8" r:id="rId3"/>
    <sheet name="Scenario" sheetId="9" r:id="rId4"/>
    <sheet name="Assumptions" sheetId="2" r:id="rId5"/>
    <sheet name="Schedule" sheetId="3" r:id="rId6"/>
    <sheet name="Valuation-&gt;" sheetId="5" r:id="rId7"/>
    <sheet name="Beta" sheetId="6" r:id="rId8"/>
    <sheet name="WACC" sheetId="10" r:id="rId9"/>
    <sheet name="FCFF" sheetId="11" r:id="rId10"/>
    <sheet name="Public_Comps" sheetId="16" r:id="rId11"/>
    <sheet name="Val_Sum" sheetId="17" r:id="rId12"/>
    <sheet name="Ratio_Analysis" sheetId="13" r:id="rId13"/>
    <sheet name="M&amp;A" sheetId="19" r:id="rId14"/>
    <sheet name="Merger_Model" sheetId="20" r:id="rId15"/>
    <sheet name="Merger_BS" sheetId="21" r:id="rId16"/>
    <sheet name="Report" sheetId="12" r:id="rId17"/>
    <sheet name="Equity Report" sheetId="14" r:id="rId18"/>
  </sheets>
  <definedNames>
    <definedName name="BS">Statements!$B$58</definedName>
    <definedName name="CF">Statements!$B$107</definedName>
    <definedName name="days">Dashboard!$G$19</definedName>
    <definedName name="Debt">Schedule!$B$89</definedName>
    <definedName name="EF">Scenario!$B$27</definedName>
    <definedName name="Equity">Schedule!$B$102</definedName>
    <definedName name="IS">Statements!$B$20</definedName>
    <definedName name="OpEx">Scenario!$B$39</definedName>
    <definedName name="PPE">Schedule!$B$13</definedName>
    <definedName name="RE">Schedule!$B$102</definedName>
    <definedName name="RF">Scenario!$B$13</definedName>
    <definedName name="Seller_share_price">Merger_BS!$E$13</definedName>
    <definedName name="units">Dashboard!$G$12</definedName>
    <definedName name="WC">Schedule!$B$52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6" l="1"/>
  <c r="K31" i="16"/>
  <c r="N33" i="16" s="1"/>
  <c r="H31" i="16"/>
  <c r="G31" i="16"/>
  <c r="F31" i="16"/>
  <c r="F54" i="13"/>
  <c r="G54" i="13"/>
  <c r="E54" i="13"/>
  <c r="J45" i="8"/>
  <c r="G15" i="13"/>
  <c r="G42" i="13" s="1"/>
  <c r="G16" i="13"/>
  <c r="F78" i="20"/>
  <c r="E78" i="20"/>
  <c r="C119" i="20"/>
  <c r="C118" i="20"/>
  <c r="C117" i="20"/>
  <c r="C116" i="20"/>
  <c r="C120" i="20"/>
  <c r="C121" i="20"/>
  <c r="F104" i="20"/>
  <c r="G104" i="20" s="1"/>
  <c r="H104" i="20" s="1"/>
  <c r="I104" i="20" s="1"/>
  <c r="J104" i="20" s="1"/>
  <c r="E104" i="20"/>
  <c r="C109" i="20"/>
  <c r="C108" i="20" s="1"/>
  <c r="C107" i="20" s="1"/>
  <c r="C106" i="20" s="1"/>
  <c r="C105" i="20" s="1"/>
  <c r="K53" i="21"/>
  <c r="F32" i="20"/>
  <c r="M44" i="21"/>
  <c r="K26" i="20"/>
  <c r="K40" i="21" s="1"/>
  <c r="F27" i="20"/>
  <c r="F26" i="20"/>
  <c r="F25" i="20"/>
  <c r="K69" i="21"/>
  <c r="K65" i="21"/>
  <c r="K66" i="21"/>
  <c r="K67" i="21"/>
  <c r="K63" i="21"/>
  <c r="M69" i="21"/>
  <c r="M67" i="21"/>
  <c r="M66" i="21"/>
  <c r="M65" i="21"/>
  <c r="M63" i="21"/>
  <c r="M61" i="21"/>
  <c r="M59" i="21"/>
  <c r="M56" i="21"/>
  <c r="M55" i="21"/>
  <c r="M52" i="21"/>
  <c r="M51" i="21"/>
  <c r="M50" i="21"/>
  <c r="M53" i="21" s="1"/>
  <c r="M41" i="21"/>
  <c r="M45" i="21"/>
  <c r="M35" i="21"/>
  <c r="M36" i="21"/>
  <c r="M37" i="21"/>
  <c r="I72" i="21"/>
  <c r="G72" i="21"/>
  <c r="K34" i="21"/>
  <c r="K38" i="21" s="1"/>
  <c r="E74" i="20"/>
  <c r="F72" i="20"/>
  <c r="E72" i="20"/>
  <c r="F67" i="20"/>
  <c r="E67" i="20"/>
  <c r="E88" i="20"/>
  <c r="L18" i="20"/>
  <c r="L17" i="20"/>
  <c r="E89" i="20" s="1"/>
  <c r="K50" i="20"/>
  <c r="K51" i="20" s="1"/>
  <c r="K53" i="20"/>
  <c r="K57" i="20"/>
  <c r="K56" i="20"/>
  <c r="K55" i="20"/>
  <c r="J51" i="20"/>
  <c r="J59" i="20" s="1"/>
  <c r="J60" i="20"/>
  <c r="K60" i="20" s="1"/>
  <c r="F56" i="20"/>
  <c r="F55" i="20"/>
  <c r="F42" i="20"/>
  <c r="F18" i="21"/>
  <c r="K44" i="20"/>
  <c r="K40" i="20"/>
  <c r="K39" i="20"/>
  <c r="E14" i="21"/>
  <c r="P20" i="21" s="1"/>
  <c r="E60" i="20"/>
  <c r="E57" i="20"/>
  <c r="E84" i="20" s="1"/>
  <c r="E56" i="20"/>
  <c r="E82" i="20" s="1"/>
  <c r="E55" i="20"/>
  <c r="E80" i="20" s="1"/>
  <c r="P15" i="21"/>
  <c r="F19" i="21" s="1"/>
  <c r="F20" i="21" s="1"/>
  <c r="F26" i="21" s="1"/>
  <c r="K43" i="20" s="1"/>
  <c r="K17" i="21"/>
  <c r="B4" i="21"/>
  <c r="B2" i="21"/>
  <c r="G55" i="13" l="1"/>
  <c r="F55" i="13"/>
  <c r="E81" i="20"/>
  <c r="F81" i="20"/>
  <c r="M40" i="21"/>
  <c r="F28" i="20"/>
  <c r="K30" i="20"/>
  <c r="K32" i="20" s="1"/>
  <c r="K35" i="20"/>
  <c r="F33" i="20" s="1"/>
  <c r="K57" i="21" s="1"/>
  <c r="K14" i="20"/>
  <c r="F30" i="20"/>
  <c r="M34" i="21"/>
  <c r="M38" i="21" s="1"/>
  <c r="F74" i="20"/>
  <c r="F89" i="20"/>
  <c r="F13" i="20"/>
  <c r="F88" i="20"/>
  <c r="J61" i="20"/>
  <c r="J62" i="20" s="1"/>
  <c r="J64" i="20" s="1"/>
  <c r="J66" i="20" s="1"/>
  <c r="F82" i="20"/>
  <c r="F80" i="20"/>
  <c r="E87" i="20"/>
  <c r="K59" i="20"/>
  <c r="K61" i="20" s="1"/>
  <c r="K62" i="20"/>
  <c r="K64" i="20" s="1"/>
  <c r="K42" i="20"/>
  <c r="K41" i="20"/>
  <c r="K19" i="21"/>
  <c r="K20" i="21" s="1"/>
  <c r="K26" i="21" s="1"/>
  <c r="K18" i="21"/>
  <c r="B4" i="20"/>
  <c r="B2" i="20"/>
  <c r="G9" i="1"/>
  <c r="E5" i="13"/>
  <c r="C59" i="11"/>
  <c r="C58" i="11" s="1"/>
  <c r="C57" i="11" s="1"/>
  <c r="C56" i="11" s="1"/>
  <c r="C55" i="11" s="1"/>
  <c r="E41" i="11"/>
  <c r="E43" i="11"/>
  <c r="E42" i="11"/>
  <c r="H25" i="11"/>
  <c r="I25" i="11"/>
  <c r="J25" i="11"/>
  <c r="K25" i="11"/>
  <c r="H28" i="11"/>
  <c r="I28" i="11"/>
  <c r="J28" i="11"/>
  <c r="K28" i="11"/>
  <c r="G28" i="11"/>
  <c r="G25" i="11"/>
  <c r="H22" i="11"/>
  <c r="I22" i="11"/>
  <c r="J22" i="11"/>
  <c r="K22" i="11"/>
  <c r="G22" i="11"/>
  <c r="G31" i="11"/>
  <c r="H19" i="11"/>
  <c r="I19" i="11"/>
  <c r="J19" i="11"/>
  <c r="K19" i="11"/>
  <c r="G19" i="11"/>
  <c r="I12" i="10"/>
  <c r="E21" i="10"/>
  <c r="E23" i="10" s="1"/>
  <c r="L23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L13" i="6" l="1"/>
  <c r="L15" i="6" s="1"/>
  <c r="L21" i="6" s="1"/>
  <c r="E14" i="10" s="1"/>
  <c r="E15" i="10" s="1"/>
  <c r="L18" i="6"/>
  <c r="L24" i="6"/>
  <c r="F83" i="20"/>
  <c r="E83" i="20"/>
  <c r="F31" i="20"/>
  <c r="K43" i="21"/>
  <c r="M43" i="21" s="1"/>
  <c r="F34" i="20"/>
  <c r="M57" i="21"/>
  <c r="F14" i="20"/>
  <c r="K58" i="21"/>
  <c r="K60" i="21" s="1"/>
  <c r="F15" i="20"/>
  <c r="L15" i="20" s="1"/>
  <c r="K64" i="21" s="1"/>
  <c r="K15" i="20"/>
  <c r="K66" i="20"/>
  <c r="B2" i="17"/>
  <c r="M37" i="16"/>
  <c r="O16" i="16"/>
  <c r="O17" i="16"/>
  <c r="O18" i="16"/>
  <c r="O19" i="16"/>
  <c r="O15" i="16"/>
  <c r="I11" i="10"/>
  <c r="F16" i="16"/>
  <c r="I16" i="16" s="1"/>
  <c r="M16" i="16" s="1"/>
  <c r="F17" i="16"/>
  <c r="I17" i="16" s="1"/>
  <c r="F18" i="16"/>
  <c r="I18" i="16" s="1"/>
  <c r="F19" i="16"/>
  <c r="I19" i="16" s="1"/>
  <c r="F15" i="16"/>
  <c r="I15" i="16" s="1"/>
  <c r="N35" i="16"/>
  <c r="K42" i="21" l="1"/>
  <c r="K46" i="21" s="1"/>
  <c r="M58" i="21"/>
  <c r="M60" i="21" s="1"/>
  <c r="M64" i="21"/>
  <c r="M68" i="21" s="1"/>
  <c r="M70" i="21" s="1"/>
  <c r="K68" i="21"/>
  <c r="K70" i="21" s="1"/>
  <c r="E96" i="20"/>
  <c r="F96" i="20"/>
  <c r="M15" i="16"/>
  <c r="N15" i="16"/>
  <c r="O37" i="16"/>
  <c r="N37" i="16"/>
  <c r="O21" i="16"/>
  <c r="O23" i="16"/>
  <c r="O22" i="16"/>
  <c r="O35" i="16"/>
  <c r="O24" i="16"/>
  <c r="N16" i="16"/>
  <c r="M35" i="16"/>
  <c r="M18" i="16"/>
  <c r="N18" i="16"/>
  <c r="M19" i="16"/>
  <c r="N19" i="16"/>
  <c r="M17" i="16"/>
  <c r="N17" i="16"/>
  <c r="O25" i="16" a="1"/>
  <c r="O25" i="16" s="1"/>
  <c r="B2" i="16"/>
  <c r="G11" i="1"/>
  <c r="J137" i="8"/>
  <c r="M42" i="21" l="1"/>
  <c r="M46" i="21" s="1"/>
  <c r="M72" i="21"/>
  <c r="M24" i="16"/>
  <c r="N24" i="16"/>
  <c r="N25" i="16" a="1"/>
  <c r="N25" i="16" s="1"/>
  <c r="M25" i="16" a="1"/>
  <c r="M25" i="16" s="1"/>
  <c r="N23" i="16"/>
  <c r="N22" i="16"/>
  <c r="M23" i="16"/>
  <c r="M22" i="16"/>
  <c r="N21" i="16"/>
  <c r="M21" i="16"/>
  <c r="J93" i="8"/>
  <c r="K93" i="8" s="1"/>
  <c r="L93" i="8" s="1"/>
  <c r="M93" i="8" s="1"/>
  <c r="N93" i="8" s="1"/>
  <c r="K112" i="8"/>
  <c r="L112" i="8"/>
  <c r="M112" i="8"/>
  <c r="N112" i="8"/>
  <c r="J112" i="8"/>
  <c r="J26" i="3"/>
  <c r="K26" i="3"/>
  <c r="L26" i="3"/>
  <c r="M26" i="3"/>
  <c r="N26" i="3"/>
  <c r="K46" i="3"/>
  <c r="L46" i="3"/>
  <c r="M46" i="3"/>
  <c r="N46" i="3"/>
  <c r="J46" i="3"/>
  <c r="K49" i="3"/>
  <c r="L49" i="3"/>
  <c r="M49" i="3"/>
  <c r="N49" i="3"/>
  <c r="J49" i="3"/>
  <c r="K50" i="3"/>
  <c r="L50" i="3"/>
  <c r="M50" i="3"/>
  <c r="N50" i="3"/>
  <c r="J50" i="3"/>
  <c r="H50" i="3"/>
  <c r="I50" i="3"/>
  <c r="G50" i="3"/>
  <c r="J44" i="3"/>
  <c r="H49" i="3"/>
  <c r="I49" i="3"/>
  <c r="G49" i="3"/>
  <c r="J36" i="3"/>
  <c r="K36" i="3" s="1"/>
  <c r="L36" i="3" s="1"/>
  <c r="M36" i="3" s="1"/>
  <c r="N36" i="3" s="1"/>
  <c r="K124" i="8" l="1"/>
  <c r="L124" i="8"/>
  <c r="M124" i="8"/>
  <c r="N124" i="8"/>
  <c r="J124" i="8"/>
  <c r="K130" i="8" l="1"/>
  <c r="L130" i="8"/>
  <c r="M130" i="8"/>
  <c r="N130" i="8"/>
  <c r="K131" i="8"/>
  <c r="L131" i="8"/>
  <c r="M131" i="8"/>
  <c r="N131" i="8"/>
  <c r="J131" i="8"/>
  <c r="J130" i="8"/>
  <c r="J108" i="3" l="1"/>
  <c r="J104" i="3"/>
  <c r="J93" i="3"/>
  <c r="J96" i="3" s="1"/>
  <c r="J89" i="8" s="1"/>
  <c r="J99" i="8"/>
  <c r="K99" i="8" s="1"/>
  <c r="L99" i="8" s="1"/>
  <c r="M99" i="8" s="1"/>
  <c r="N99" i="8" s="1"/>
  <c r="J98" i="8"/>
  <c r="K98" i="8" s="1"/>
  <c r="L98" i="8" s="1"/>
  <c r="M98" i="8" s="1"/>
  <c r="N98" i="8" s="1"/>
  <c r="J95" i="8"/>
  <c r="K95" i="8" s="1"/>
  <c r="L95" i="8" s="1"/>
  <c r="M95" i="8" s="1"/>
  <c r="N95" i="8" s="1"/>
  <c r="H82" i="3"/>
  <c r="I82" i="3"/>
  <c r="G82" i="3"/>
  <c r="J87" i="8"/>
  <c r="K87" i="8" s="1"/>
  <c r="L87" i="8" s="1"/>
  <c r="M87" i="8" s="1"/>
  <c r="N87" i="8" s="1"/>
  <c r="H85" i="3"/>
  <c r="I85" i="3"/>
  <c r="H79" i="3"/>
  <c r="I79" i="3"/>
  <c r="H76" i="3"/>
  <c r="I76" i="3"/>
  <c r="G85" i="3"/>
  <c r="G79" i="3"/>
  <c r="G76" i="3"/>
  <c r="J82" i="8"/>
  <c r="K82" i="8" s="1"/>
  <c r="L82" i="8" s="1"/>
  <c r="M82" i="8" s="1"/>
  <c r="N82" i="8" s="1"/>
  <c r="J74" i="8"/>
  <c r="K74" i="8" s="1"/>
  <c r="L74" i="8" s="1"/>
  <c r="M74" i="8" s="1"/>
  <c r="N74" i="8" s="1"/>
  <c r="J72" i="8"/>
  <c r="K72" i="8" s="1"/>
  <c r="L72" i="8" s="1"/>
  <c r="M72" i="8" s="1"/>
  <c r="N72" i="8" s="1"/>
  <c r="J71" i="8"/>
  <c r="K71" i="8" s="1"/>
  <c r="L71" i="8" s="1"/>
  <c r="M71" i="8" s="1"/>
  <c r="N71" i="8" s="1"/>
  <c r="J67" i="8"/>
  <c r="K67" i="8" s="1"/>
  <c r="L67" i="8" s="1"/>
  <c r="M67" i="8" s="1"/>
  <c r="N67" i="8" s="1"/>
  <c r="J63" i="8"/>
  <c r="L32" i="9"/>
  <c r="M32" i="9" s="1"/>
  <c r="H56" i="3"/>
  <c r="I56" i="3"/>
  <c r="H57" i="3"/>
  <c r="I57" i="3"/>
  <c r="H58" i="3"/>
  <c r="I58" i="3"/>
  <c r="H62" i="3"/>
  <c r="H65" i="3" s="1"/>
  <c r="I62" i="3"/>
  <c r="G62" i="3"/>
  <c r="G57" i="3"/>
  <c r="G58" i="3"/>
  <c r="G56" i="3"/>
  <c r="J91" i="8"/>
  <c r="K91" i="8" s="1"/>
  <c r="L91" i="8" s="1"/>
  <c r="M91" i="8" s="1"/>
  <c r="N91" i="8" s="1"/>
  <c r="J84" i="8"/>
  <c r="K84" i="8" s="1"/>
  <c r="L84" i="8" s="1"/>
  <c r="M84" i="8" s="1"/>
  <c r="N84" i="8" s="1"/>
  <c r="J76" i="8"/>
  <c r="K76" i="8" s="1"/>
  <c r="L76" i="8" s="1"/>
  <c r="M76" i="8" s="1"/>
  <c r="N76" i="8" s="1"/>
  <c r="H40" i="3"/>
  <c r="I40" i="3"/>
  <c r="G40" i="3"/>
  <c r="J33" i="3"/>
  <c r="J35" i="3" s="1"/>
  <c r="J40" i="3" s="1"/>
  <c r="I33" i="3"/>
  <c r="H33" i="3"/>
  <c r="H29" i="3"/>
  <c r="I29" i="3"/>
  <c r="G29" i="3"/>
  <c r="J17" i="3"/>
  <c r="G24" i="3"/>
  <c r="I17" i="3"/>
  <c r="I24" i="3" s="1"/>
  <c r="J24" i="3" s="1"/>
  <c r="K24" i="3" s="1"/>
  <c r="L24" i="3" s="1"/>
  <c r="M24" i="3" s="1"/>
  <c r="N24" i="3" s="1"/>
  <c r="H17" i="3"/>
  <c r="H24" i="3" s="1"/>
  <c r="H16" i="2"/>
  <c r="I16" i="2"/>
  <c r="I17" i="2" s="1"/>
  <c r="H7" i="3"/>
  <c r="I7" i="3" s="1"/>
  <c r="J7" i="3" s="1"/>
  <c r="K7" i="3" s="1"/>
  <c r="L7" i="3" s="1"/>
  <c r="M7" i="3" s="1"/>
  <c r="N7" i="3" s="1"/>
  <c r="H7" i="2"/>
  <c r="I7" i="2" s="1"/>
  <c r="J7" i="2" s="1"/>
  <c r="K7" i="2" s="1"/>
  <c r="L7" i="2" s="1"/>
  <c r="M7" i="2" s="1"/>
  <c r="N7" i="2" s="1"/>
  <c r="H7" i="9"/>
  <c r="I7" i="9" s="1"/>
  <c r="J7" i="9" s="1"/>
  <c r="K7" i="9" s="1"/>
  <c r="L7" i="9" s="1"/>
  <c r="M7" i="9" s="1"/>
  <c r="N7" i="9" s="1"/>
  <c r="J54" i="8"/>
  <c r="K54" i="8" s="1"/>
  <c r="L54" i="8" s="1"/>
  <c r="M54" i="8" s="1"/>
  <c r="N54" i="8" s="1"/>
  <c r="H19" i="2"/>
  <c r="I19" i="2"/>
  <c r="G19" i="2"/>
  <c r="H13" i="2"/>
  <c r="I13" i="2"/>
  <c r="I14" i="2" s="1"/>
  <c r="G13" i="2"/>
  <c r="H41" i="9"/>
  <c r="I41" i="9"/>
  <c r="J41" i="9" s="1"/>
  <c r="H43" i="9"/>
  <c r="I43" i="9"/>
  <c r="H45" i="9"/>
  <c r="I45" i="9"/>
  <c r="J45" i="9" s="1"/>
  <c r="H47" i="9"/>
  <c r="I47" i="9"/>
  <c r="H49" i="9"/>
  <c r="I49" i="9"/>
  <c r="G43" i="9"/>
  <c r="G45" i="9"/>
  <c r="G47" i="9"/>
  <c r="G49" i="9"/>
  <c r="G41" i="9"/>
  <c r="J31" i="8"/>
  <c r="J30" i="8"/>
  <c r="J29" i="8"/>
  <c r="J35" i="9"/>
  <c r="H29" i="9"/>
  <c r="I29" i="9"/>
  <c r="J30" i="9" s="1"/>
  <c r="H31" i="9"/>
  <c r="I31" i="9"/>
  <c r="H33" i="9"/>
  <c r="I33" i="9"/>
  <c r="J34" i="9" s="1"/>
  <c r="G33" i="9"/>
  <c r="G31" i="9"/>
  <c r="G29" i="9"/>
  <c r="J26" i="8"/>
  <c r="J24" i="8"/>
  <c r="J23" i="8"/>
  <c r="H21" i="9"/>
  <c r="I21" i="9"/>
  <c r="J22" i="9" s="1"/>
  <c r="G21" i="9"/>
  <c r="H15" i="9"/>
  <c r="I15" i="9"/>
  <c r="J16" i="9" s="1"/>
  <c r="J19" i="9" s="1"/>
  <c r="H17" i="9"/>
  <c r="I17" i="9"/>
  <c r="J18" i="9" s="1"/>
  <c r="G17" i="9"/>
  <c r="G15" i="9"/>
  <c r="G100" i="8"/>
  <c r="G85" i="8"/>
  <c r="G92" i="8" s="1"/>
  <c r="G68" i="8"/>
  <c r="G77" i="8" s="1"/>
  <c r="I68" i="8"/>
  <c r="I77" i="8" s="1"/>
  <c r="H100" i="8"/>
  <c r="I100" i="8"/>
  <c r="H85" i="8"/>
  <c r="H92" i="8" s="1"/>
  <c r="I85" i="8"/>
  <c r="I92" i="8" s="1"/>
  <c r="H68" i="8"/>
  <c r="H77" i="8" s="1"/>
  <c r="G43" i="8"/>
  <c r="G16" i="2" s="1"/>
  <c r="G42" i="8"/>
  <c r="G40" i="8"/>
  <c r="G32" i="8"/>
  <c r="G25" i="8"/>
  <c r="G27" i="8" s="1"/>
  <c r="H40" i="8"/>
  <c r="H32" i="8"/>
  <c r="H25" i="8"/>
  <c r="H27" i="8" s="1"/>
  <c r="I44" i="8"/>
  <c r="I40" i="8"/>
  <c r="E53" i="20" s="1"/>
  <c r="E77" i="20" s="1"/>
  <c r="I32" i="8"/>
  <c r="I25" i="8"/>
  <c r="I27" i="8" s="1"/>
  <c r="H31" i="11"/>
  <c r="I31" i="11" s="1"/>
  <c r="J31" i="11" s="1"/>
  <c r="K31" i="11" s="1"/>
  <c r="F35" i="13" l="1"/>
  <c r="F41" i="13"/>
  <c r="F56" i="13"/>
  <c r="F40" i="13"/>
  <c r="E40" i="13"/>
  <c r="E56" i="13"/>
  <c r="G40" i="13"/>
  <c r="G56" i="13"/>
  <c r="I102" i="8"/>
  <c r="I104" i="8" s="1"/>
  <c r="G35" i="13"/>
  <c r="G30" i="13"/>
  <c r="G41" i="13"/>
  <c r="E41" i="13"/>
  <c r="E35" i="13"/>
  <c r="G35" i="9"/>
  <c r="E47" i="13"/>
  <c r="G45" i="13"/>
  <c r="G50" i="13"/>
  <c r="E49" i="20"/>
  <c r="G49" i="13"/>
  <c r="G34" i="13" s="1"/>
  <c r="G46" i="13"/>
  <c r="J31" i="16"/>
  <c r="M33" i="16" s="1"/>
  <c r="G23" i="13"/>
  <c r="G24" i="13"/>
  <c r="I46" i="8"/>
  <c r="I48" i="8" s="1"/>
  <c r="G17" i="13"/>
  <c r="G18" i="13" s="1"/>
  <c r="H35" i="9"/>
  <c r="F47" i="13"/>
  <c r="I35" i="9"/>
  <c r="J36" i="9" s="1"/>
  <c r="G47" i="13"/>
  <c r="E50" i="20"/>
  <c r="E73" i="20" s="1"/>
  <c r="F49" i="13"/>
  <c r="F34" i="13" s="1"/>
  <c r="F50" i="13"/>
  <c r="F46" i="13"/>
  <c r="F45" i="13"/>
  <c r="E50" i="13"/>
  <c r="E46" i="13"/>
  <c r="E49" i="13"/>
  <c r="E34" i="13" s="1"/>
  <c r="E45" i="13"/>
  <c r="K49" i="9"/>
  <c r="K63" i="8"/>
  <c r="G83" i="3"/>
  <c r="I74" i="3"/>
  <c r="J74" i="3" s="1"/>
  <c r="K74" i="3" s="1"/>
  <c r="L74" i="3" s="1"/>
  <c r="M74" i="3" s="1"/>
  <c r="N74" i="3" s="1"/>
  <c r="K41" i="9"/>
  <c r="L41" i="9" s="1"/>
  <c r="M41" i="9" s="1"/>
  <c r="N41" i="9" s="1"/>
  <c r="J35" i="8"/>
  <c r="I83" i="3"/>
  <c r="J83" i="3" s="1"/>
  <c r="K83" i="3" s="1"/>
  <c r="O27" i="8"/>
  <c r="H83" i="3"/>
  <c r="O35" i="9"/>
  <c r="I23" i="2"/>
  <c r="K45" i="9"/>
  <c r="L45" i="9" s="1"/>
  <c r="M45" i="9" s="1"/>
  <c r="N45" i="9" s="1"/>
  <c r="J37" i="8"/>
  <c r="I32" i="9"/>
  <c r="K93" i="3"/>
  <c r="K96" i="3" s="1"/>
  <c r="K89" i="8" s="1"/>
  <c r="J99" i="3"/>
  <c r="J114" i="8" s="1"/>
  <c r="G80" i="3"/>
  <c r="H77" i="3"/>
  <c r="I80" i="3"/>
  <c r="J80" i="3" s="1"/>
  <c r="K80" i="3" s="1"/>
  <c r="L80" i="3" s="1"/>
  <c r="H80" i="3"/>
  <c r="H86" i="3"/>
  <c r="I77" i="3"/>
  <c r="J77" i="3" s="1"/>
  <c r="H72" i="3"/>
  <c r="O40" i="8"/>
  <c r="G86" i="3"/>
  <c r="G77" i="3"/>
  <c r="H71" i="3"/>
  <c r="G73" i="3"/>
  <c r="O32" i="8"/>
  <c r="I86" i="3"/>
  <c r="J86" i="3" s="1"/>
  <c r="G72" i="3"/>
  <c r="G74" i="3"/>
  <c r="O25" i="8"/>
  <c r="I73" i="3"/>
  <c r="J73" i="3" s="1"/>
  <c r="H73" i="3"/>
  <c r="I72" i="3"/>
  <c r="J72" i="3" s="1"/>
  <c r="I65" i="3"/>
  <c r="H74" i="3"/>
  <c r="G64" i="3"/>
  <c r="G65" i="3"/>
  <c r="G50" i="9"/>
  <c r="H44" i="9"/>
  <c r="I64" i="3"/>
  <c r="G71" i="3"/>
  <c r="I71" i="3"/>
  <c r="J71" i="3" s="1"/>
  <c r="K71" i="3" s="1"/>
  <c r="H64" i="3"/>
  <c r="H66" i="3" s="1"/>
  <c r="K33" i="3"/>
  <c r="K35" i="3" s="1"/>
  <c r="J29" i="3"/>
  <c r="K29" i="3" s="1"/>
  <c r="J23" i="3"/>
  <c r="J18" i="3" s="1"/>
  <c r="I48" i="9"/>
  <c r="I36" i="9"/>
  <c r="G102" i="8"/>
  <c r="G104" i="8" s="1"/>
  <c r="J32" i="8"/>
  <c r="I46" i="9"/>
  <c r="G33" i="8"/>
  <c r="E22" i="13" s="1"/>
  <c r="H42" i="9"/>
  <c r="I20" i="2"/>
  <c r="H102" i="8"/>
  <c r="H104" i="8" s="1"/>
  <c r="H48" i="9"/>
  <c r="I42" i="9"/>
  <c r="H46" i="9"/>
  <c r="I44" i="9"/>
  <c r="H36" i="9"/>
  <c r="H30" i="9"/>
  <c r="I34" i="9"/>
  <c r="H32" i="9"/>
  <c r="I50" i="9"/>
  <c r="H50" i="9"/>
  <c r="G19" i="9"/>
  <c r="H34" i="9"/>
  <c r="I30" i="9"/>
  <c r="J32" i="9"/>
  <c r="I18" i="9"/>
  <c r="H16" i="9"/>
  <c r="H19" i="9" s="1"/>
  <c r="H18" i="9"/>
  <c r="I16" i="9"/>
  <c r="J25" i="8"/>
  <c r="J27" i="8" s="1"/>
  <c r="H22" i="9"/>
  <c r="I22" i="9"/>
  <c r="I33" i="8"/>
  <c r="G22" i="13" s="1"/>
  <c r="H33" i="8"/>
  <c r="F5" i="13"/>
  <c r="G5" i="13" s="1"/>
  <c r="H5" i="13" s="1"/>
  <c r="I5" i="13" s="1"/>
  <c r="J5" i="13" s="1"/>
  <c r="K5" i="13" s="1"/>
  <c r="L5" i="13" s="1"/>
  <c r="B4" i="13"/>
  <c r="B2" i="13"/>
  <c r="D5" i="3"/>
  <c r="D5" i="2"/>
  <c r="I13" i="10"/>
  <c r="H41" i="8" l="1"/>
  <c r="F22" i="13"/>
  <c r="I50" i="8"/>
  <c r="L31" i="16"/>
  <c r="O36" i="16" s="1"/>
  <c r="G28" i="13"/>
  <c r="G19" i="13"/>
  <c r="G25" i="13" s="1"/>
  <c r="G33" i="13" s="1"/>
  <c r="G36" i="13" s="1"/>
  <c r="G29" i="13"/>
  <c r="F49" i="20"/>
  <c r="H45" i="13"/>
  <c r="H50" i="13"/>
  <c r="H46" i="13"/>
  <c r="F50" i="20"/>
  <c r="F73" i="20" s="1"/>
  <c r="E51" i="20"/>
  <c r="E59" i="20" s="1"/>
  <c r="E61" i="20" s="1"/>
  <c r="E62" i="20" s="1"/>
  <c r="E64" i="20" s="1"/>
  <c r="E66" i="20" s="1"/>
  <c r="E71" i="20"/>
  <c r="E75" i="20" s="1"/>
  <c r="E86" i="20" s="1"/>
  <c r="E90" i="20" s="1"/>
  <c r="L49" i="9"/>
  <c r="I19" i="10"/>
  <c r="I18" i="10"/>
  <c r="L33" i="3"/>
  <c r="L35" i="3" s="1"/>
  <c r="K40" i="3"/>
  <c r="J19" i="3"/>
  <c r="K17" i="3" s="1"/>
  <c r="J123" i="8"/>
  <c r="L63" i="8"/>
  <c r="J42" i="8"/>
  <c r="J132" i="8"/>
  <c r="J133" i="8" s="1"/>
  <c r="J62" i="3"/>
  <c r="J65" i="3" s="1"/>
  <c r="K22" i="9"/>
  <c r="K21" i="9" s="1"/>
  <c r="J43" i="9"/>
  <c r="J36" i="8" s="1"/>
  <c r="J82" i="3"/>
  <c r="J88" i="8" s="1"/>
  <c r="J57" i="3"/>
  <c r="J65" i="8" s="1"/>
  <c r="H51" i="9"/>
  <c r="L93" i="3"/>
  <c r="L96" i="3" s="1"/>
  <c r="L89" i="8" s="1"/>
  <c r="K99" i="3"/>
  <c r="K114" i="8" s="1"/>
  <c r="L83" i="3"/>
  <c r="J76" i="3"/>
  <c r="J83" i="8" s="1"/>
  <c r="K72" i="3"/>
  <c r="L72" i="3" s="1"/>
  <c r="K77" i="3"/>
  <c r="L77" i="3" s="1"/>
  <c r="J58" i="3"/>
  <c r="J66" i="8" s="1"/>
  <c r="O33" i="8"/>
  <c r="G23" i="9"/>
  <c r="G41" i="8"/>
  <c r="J33" i="8"/>
  <c r="H22" i="13" s="1"/>
  <c r="K73" i="3"/>
  <c r="L73" i="3" s="1"/>
  <c r="K86" i="3"/>
  <c r="J85" i="3"/>
  <c r="J90" i="8" s="1"/>
  <c r="J79" i="3"/>
  <c r="J75" i="8" s="1"/>
  <c r="J47" i="3" s="1"/>
  <c r="H17" i="2"/>
  <c r="M80" i="3"/>
  <c r="O50" i="9"/>
  <c r="I66" i="3"/>
  <c r="G66" i="3"/>
  <c r="J56" i="3"/>
  <c r="J64" i="8" s="1"/>
  <c r="L71" i="3"/>
  <c r="L29" i="3"/>
  <c r="M29" i="3" s="1"/>
  <c r="J28" i="3"/>
  <c r="K35" i="8"/>
  <c r="K37" i="8"/>
  <c r="I51" i="9"/>
  <c r="K33" i="9"/>
  <c r="K31" i="8" s="1"/>
  <c r="K31" i="9"/>
  <c r="K30" i="9"/>
  <c r="K29" i="9" s="1"/>
  <c r="K15" i="9"/>
  <c r="K17" i="9"/>
  <c r="K24" i="8" s="1"/>
  <c r="I19" i="9"/>
  <c r="J20" i="9" s="1"/>
  <c r="J23" i="9" s="1"/>
  <c r="H20" i="9"/>
  <c r="H23" i="9" s="1"/>
  <c r="F71" i="20" l="1"/>
  <c r="F75" i="20" s="1"/>
  <c r="F51" i="20"/>
  <c r="G17" i="2"/>
  <c r="E15" i="13"/>
  <c r="E16" i="13"/>
  <c r="E30" i="13"/>
  <c r="H44" i="8"/>
  <c r="F16" i="13"/>
  <c r="F15" i="13"/>
  <c r="F30" i="13"/>
  <c r="M49" i="9"/>
  <c r="J119" i="8"/>
  <c r="J117" i="8"/>
  <c r="J45" i="3"/>
  <c r="J125" i="8" s="1"/>
  <c r="K44" i="3"/>
  <c r="M33" i="3"/>
  <c r="M35" i="3" s="1"/>
  <c r="L40" i="3"/>
  <c r="J37" i="3"/>
  <c r="J73" i="8" s="1"/>
  <c r="M63" i="8"/>
  <c r="K42" i="8"/>
  <c r="K132" i="8"/>
  <c r="K133" i="8" s="1"/>
  <c r="K43" i="9"/>
  <c r="J81" i="8"/>
  <c r="J47" i="9"/>
  <c r="M93" i="3"/>
  <c r="M96" i="3" s="1"/>
  <c r="M89" i="8" s="1"/>
  <c r="L99" i="3"/>
  <c r="L114" i="8" s="1"/>
  <c r="M83" i="3"/>
  <c r="N80" i="3"/>
  <c r="L86" i="3"/>
  <c r="G44" i="8"/>
  <c r="E17" i="13" s="1"/>
  <c r="O41" i="8"/>
  <c r="H24" i="9"/>
  <c r="M77" i="3"/>
  <c r="O19" i="9"/>
  <c r="J64" i="3"/>
  <c r="J66" i="3" s="1"/>
  <c r="J67" i="3" s="1"/>
  <c r="G27" i="11" s="1"/>
  <c r="J20" i="3"/>
  <c r="J21" i="3" s="1"/>
  <c r="J70" i="8" s="1"/>
  <c r="M72" i="3"/>
  <c r="M73" i="3"/>
  <c r="K37" i="3"/>
  <c r="K73" i="8" s="1"/>
  <c r="M71" i="3"/>
  <c r="K23" i="3"/>
  <c r="K18" i="3" s="1"/>
  <c r="N29" i="3"/>
  <c r="L21" i="9"/>
  <c r="L26" i="8" s="1"/>
  <c r="I20" i="9"/>
  <c r="I23" i="9" s="1"/>
  <c r="I24" i="9" s="1"/>
  <c r="L30" i="9"/>
  <c r="M30" i="9" s="1"/>
  <c r="N30" i="9" s="1"/>
  <c r="K29" i="8"/>
  <c r="K35" i="9"/>
  <c r="K36" i="9" s="1"/>
  <c r="L31" i="9"/>
  <c r="K30" i="8"/>
  <c r="L17" i="9"/>
  <c r="K23" i="8"/>
  <c r="K25" i="8" s="1"/>
  <c r="K19" i="9"/>
  <c r="K20" i="9" s="1"/>
  <c r="K26" i="8"/>
  <c r="B4" i="11"/>
  <c r="B2" i="11"/>
  <c r="B4" i="10"/>
  <c r="B2" i="10"/>
  <c r="B4" i="6"/>
  <c r="B2" i="6"/>
  <c r="J118" i="8" l="1"/>
  <c r="H47" i="13"/>
  <c r="F42" i="13"/>
  <c r="F23" i="13"/>
  <c r="E24" i="13"/>
  <c r="E18" i="13"/>
  <c r="E42" i="13"/>
  <c r="E23" i="13"/>
  <c r="F24" i="13"/>
  <c r="H46" i="8"/>
  <c r="H48" i="8" s="1"/>
  <c r="F17" i="13"/>
  <c r="F18" i="13" s="1"/>
  <c r="H14" i="2"/>
  <c r="N49" i="9"/>
  <c r="L43" i="9"/>
  <c r="N33" i="3"/>
  <c r="N35" i="3" s="1"/>
  <c r="N40" i="3" s="1"/>
  <c r="M40" i="3"/>
  <c r="K19" i="3"/>
  <c r="L17" i="3" s="1"/>
  <c r="K123" i="8"/>
  <c r="N63" i="8"/>
  <c r="L42" i="8"/>
  <c r="L132" i="8"/>
  <c r="L133" i="8" s="1"/>
  <c r="J85" i="8"/>
  <c r="J92" i="8" s="1"/>
  <c r="K85" i="3"/>
  <c r="K90" i="8" s="1"/>
  <c r="K82" i="3"/>
  <c r="K88" i="8" s="1"/>
  <c r="J38" i="8"/>
  <c r="J40" i="8" s="1"/>
  <c r="K47" i="9"/>
  <c r="K50" i="9" s="1"/>
  <c r="J50" i="9"/>
  <c r="J51" i="9" s="1"/>
  <c r="N93" i="3"/>
  <c r="N96" i="3" s="1"/>
  <c r="M99" i="3"/>
  <c r="M114" i="8" s="1"/>
  <c r="K36" i="8"/>
  <c r="N83" i="3"/>
  <c r="G46" i="8"/>
  <c r="O44" i="8"/>
  <c r="G14" i="2"/>
  <c r="L29" i="9"/>
  <c r="L29" i="8" s="1"/>
  <c r="M86" i="3"/>
  <c r="O23" i="9"/>
  <c r="N77" i="3"/>
  <c r="K79" i="3"/>
  <c r="K75" i="8" s="1"/>
  <c r="K47" i="3" s="1"/>
  <c r="K76" i="3"/>
  <c r="K83" i="8" s="1"/>
  <c r="K56" i="3"/>
  <c r="K64" i="8" s="1"/>
  <c r="K57" i="3"/>
  <c r="K65" i="8" s="1"/>
  <c r="K58" i="3"/>
  <c r="K66" i="8" s="1"/>
  <c r="J24" i="9"/>
  <c r="N73" i="3"/>
  <c r="N72" i="3"/>
  <c r="N71" i="3"/>
  <c r="K28" i="3"/>
  <c r="L37" i="8"/>
  <c r="L33" i="9"/>
  <c r="K23" i="9"/>
  <c r="K24" i="9" s="1"/>
  <c r="K27" i="8"/>
  <c r="M31" i="9"/>
  <c r="L30" i="8"/>
  <c r="K32" i="8"/>
  <c r="L15" i="9"/>
  <c r="L24" i="8"/>
  <c r="M21" i="9"/>
  <c r="I20" i="10"/>
  <c r="E15" i="11" s="1"/>
  <c r="F19" i="13" l="1"/>
  <c r="F25" i="13" s="1"/>
  <c r="F33" i="13" s="1"/>
  <c r="F36" i="13" s="1"/>
  <c r="F29" i="13"/>
  <c r="F28" i="13"/>
  <c r="H50" i="8"/>
  <c r="H23" i="2"/>
  <c r="H20" i="2"/>
  <c r="K62" i="3"/>
  <c r="I45" i="13"/>
  <c r="I46" i="13"/>
  <c r="I50" i="13"/>
  <c r="J41" i="8"/>
  <c r="F53" i="20"/>
  <c r="F77" i="20" s="1"/>
  <c r="K119" i="8"/>
  <c r="K117" i="8"/>
  <c r="K45" i="3"/>
  <c r="K125" i="8" s="1"/>
  <c r="L44" i="3"/>
  <c r="N37" i="3"/>
  <c r="N73" i="8" s="1"/>
  <c r="M43" i="9"/>
  <c r="N43" i="9" s="1"/>
  <c r="N36" i="8" s="1"/>
  <c r="M42" i="8"/>
  <c r="M132" i="8"/>
  <c r="M133" i="8" s="1"/>
  <c r="K51" i="9"/>
  <c r="L35" i="9"/>
  <c r="L36" i="9" s="1"/>
  <c r="L36" i="8"/>
  <c r="L47" i="9"/>
  <c r="L50" i="9" s="1"/>
  <c r="L51" i="9" s="1"/>
  <c r="K38" i="8"/>
  <c r="K40" i="8" s="1"/>
  <c r="N99" i="3"/>
  <c r="N114" i="8" s="1"/>
  <c r="N89" i="8"/>
  <c r="L35" i="8"/>
  <c r="L37" i="3"/>
  <c r="L73" i="8" s="1"/>
  <c r="G48" i="8"/>
  <c r="O46" i="8"/>
  <c r="M29" i="9"/>
  <c r="N29" i="9" s="1"/>
  <c r="N86" i="3"/>
  <c r="K65" i="3"/>
  <c r="K81" i="8"/>
  <c r="K118" i="8" s="1"/>
  <c r="K20" i="3"/>
  <c r="K21" i="3" s="1"/>
  <c r="K70" i="8" s="1"/>
  <c r="K64" i="3"/>
  <c r="M37" i="3"/>
  <c r="M73" i="8" s="1"/>
  <c r="L23" i="3"/>
  <c r="M35" i="8"/>
  <c r="M33" i="9"/>
  <c r="L31" i="8"/>
  <c r="L32" i="8" s="1"/>
  <c r="L23" i="8"/>
  <c r="L25" i="8" s="1"/>
  <c r="L82" i="3" s="1"/>
  <c r="L88" i="8" s="1"/>
  <c r="M15" i="9"/>
  <c r="N31" i="9"/>
  <c r="N30" i="8" s="1"/>
  <c r="M30" i="8"/>
  <c r="K33" i="8"/>
  <c r="I22" i="13" s="1"/>
  <c r="L19" i="9"/>
  <c r="L20" i="9" s="1"/>
  <c r="M17" i="9"/>
  <c r="N21" i="9"/>
  <c r="N26" i="8" s="1"/>
  <c r="M26" i="8"/>
  <c r="D5" i="9"/>
  <c r="B4" i="9"/>
  <c r="B2" i="9"/>
  <c r="E29" i="13" l="1"/>
  <c r="E28" i="13"/>
  <c r="G50" i="8"/>
  <c r="E19" i="13"/>
  <c r="E25" i="13" s="1"/>
  <c r="E33" i="13" s="1"/>
  <c r="E36" i="13" s="1"/>
  <c r="I47" i="13"/>
  <c r="L62" i="3"/>
  <c r="J16" i="2"/>
  <c r="H16" i="13"/>
  <c r="G21" i="11"/>
  <c r="G23" i="11" s="1"/>
  <c r="G24" i="11" s="1"/>
  <c r="J115" i="8"/>
  <c r="J43" i="8"/>
  <c r="G23" i="2"/>
  <c r="J23" i="2" s="1"/>
  <c r="M36" i="8"/>
  <c r="N42" i="8"/>
  <c r="N132" i="8"/>
  <c r="N133" i="8" s="1"/>
  <c r="K23" i="2"/>
  <c r="L23" i="2" s="1"/>
  <c r="M29" i="8"/>
  <c r="K85" i="8"/>
  <c r="K92" i="8" s="1"/>
  <c r="K41" i="8"/>
  <c r="M47" i="9"/>
  <c r="M50" i="9" s="1"/>
  <c r="M51" i="9" s="1"/>
  <c r="L38" i="8"/>
  <c r="L40" i="8" s="1"/>
  <c r="K66" i="3"/>
  <c r="K67" i="3" s="1"/>
  <c r="H27" i="11" s="1"/>
  <c r="O50" i="8"/>
  <c r="O48" i="8"/>
  <c r="G20" i="2"/>
  <c r="J20" i="2" s="1"/>
  <c r="L79" i="3"/>
  <c r="L75" i="8" s="1"/>
  <c r="L47" i="3" s="1"/>
  <c r="L76" i="3"/>
  <c r="L83" i="8" s="1"/>
  <c r="L85" i="3"/>
  <c r="L90" i="8" s="1"/>
  <c r="L119" i="8" s="1"/>
  <c r="M35" i="9"/>
  <c r="M36" i="9" s="1"/>
  <c r="L65" i="3"/>
  <c r="L81" i="8"/>
  <c r="L118" i="8" s="1"/>
  <c r="L27" i="8"/>
  <c r="L57" i="3"/>
  <c r="L65" i="8" s="1"/>
  <c r="L58" i="3"/>
  <c r="L66" i="8" s="1"/>
  <c r="L56" i="3"/>
  <c r="L23" i="9"/>
  <c r="L24" i="9" s="1"/>
  <c r="L18" i="3"/>
  <c r="L28" i="3"/>
  <c r="N37" i="8"/>
  <c r="M37" i="8"/>
  <c r="M31" i="8"/>
  <c r="N33" i="9"/>
  <c r="N31" i="8" s="1"/>
  <c r="N35" i="8"/>
  <c r="M24" i="8"/>
  <c r="N17" i="9"/>
  <c r="N24" i="8" s="1"/>
  <c r="N29" i="8"/>
  <c r="M23" i="8"/>
  <c r="N15" i="9"/>
  <c r="M19" i="9"/>
  <c r="B4" i="3"/>
  <c r="B2" i="3"/>
  <c r="B4" i="2"/>
  <c r="B2" i="2"/>
  <c r="D5" i="8"/>
  <c r="B4" i="8"/>
  <c r="B2" i="8"/>
  <c r="H7" i="8"/>
  <c r="I7" i="8" s="1"/>
  <c r="J47" i="13" l="1"/>
  <c r="L33" i="8"/>
  <c r="J22" i="13" s="1"/>
  <c r="J50" i="13"/>
  <c r="J46" i="13"/>
  <c r="I16" i="13"/>
  <c r="I24" i="13" s="1"/>
  <c r="H24" i="13"/>
  <c r="J44" i="8"/>
  <c r="H17" i="13" s="1"/>
  <c r="H18" i="13" s="1"/>
  <c r="F60" i="20"/>
  <c r="F87" i="20" s="1"/>
  <c r="J46" i="8"/>
  <c r="J48" i="8" s="1"/>
  <c r="J19" i="2" s="1"/>
  <c r="J49" i="8" s="1"/>
  <c r="J101" i="8" s="1"/>
  <c r="J126" i="8"/>
  <c r="J127" i="8" s="1"/>
  <c r="K16" i="2"/>
  <c r="K115" i="8" s="1"/>
  <c r="H21" i="11"/>
  <c r="H23" i="11" s="1"/>
  <c r="H24" i="11" s="1"/>
  <c r="M44" i="3"/>
  <c r="L45" i="3"/>
  <c r="L125" i="8" s="1"/>
  <c r="L19" i="3"/>
  <c r="M17" i="3" s="1"/>
  <c r="M23" i="3" s="1"/>
  <c r="L123" i="8"/>
  <c r="M32" i="8"/>
  <c r="L41" i="8"/>
  <c r="M23" i="2"/>
  <c r="N23" i="2" s="1"/>
  <c r="N47" i="9"/>
  <c r="N38" i="8" s="1"/>
  <c r="N40" i="8" s="1"/>
  <c r="P40" i="8" s="1"/>
  <c r="M38" i="8"/>
  <c r="M40" i="8" s="1"/>
  <c r="L85" i="8"/>
  <c r="L92" i="8" s="1"/>
  <c r="L64" i="3"/>
  <c r="L66" i="3" s="1"/>
  <c r="L67" i="3" s="1"/>
  <c r="I27" i="11" s="1"/>
  <c r="L64" i="8"/>
  <c r="J45" i="13" s="1"/>
  <c r="L20" i="3"/>
  <c r="L21" i="3" s="1"/>
  <c r="L70" i="8" s="1"/>
  <c r="M25" i="8"/>
  <c r="M82" i="3" s="1"/>
  <c r="M88" i="8" s="1"/>
  <c r="N35" i="9"/>
  <c r="N32" i="8"/>
  <c r="M23" i="9"/>
  <c r="M24" i="9" s="1"/>
  <c r="M20" i="9"/>
  <c r="N23" i="8"/>
  <c r="N25" i="8" s="1"/>
  <c r="N82" i="3" s="1"/>
  <c r="N88" i="8" s="1"/>
  <c r="N19" i="9"/>
  <c r="P19" i="9" s="1"/>
  <c r="J7" i="8"/>
  <c r="K7" i="8" s="1"/>
  <c r="L7" i="8" s="1"/>
  <c r="M7" i="8" s="1"/>
  <c r="N7" i="8" s="1"/>
  <c r="G17" i="1" s="1"/>
  <c r="G16" i="1"/>
  <c r="M62" i="3" l="1"/>
  <c r="M65" i="3" s="1"/>
  <c r="J16" i="13"/>
  <c r="J24" i="13" s="1"/>
  <c r="H19" i="13"/>
  <c r="H25" i="13" s="1"/>
  <c r="H33" i="13" s="1"/>
  <c r="J50" i="8"/>
  <c r="J52" i="8" s="1"/>
  <c r="H54" i="13" s="1"/>
  <c r="H55" i="13" s="1"/>
  <c r="J22" i="2"/>
  <c r="O38" i="16"/>
  <c r="O39" i="16" s="1"/>
  <c r="J110" i="8"/>
  <c r="K20" i="2"/>
  <c r="L20" i="2" s="1"/>
  <c r="L16" i="2"/>
  <c r="L115" i="8" s="1"/>
  <c r="I21" i="11"/>
  <c r="I23" i="11" s="1"/>
  <c r="I24" i="11" s="1"/>
  <c r="K43" i="8"/>
  <c r="K126" i="8" s="1"/>
  <c r="K127" i="8" s="1"/>
  <c r="L117" i="8"/>
  <c r="M119" i="8"/>
  <c r="M57" i="3"/>
  <c r="M65" i="8" s="1"/>
  <c r="N50" i="9"/>
  <c r="P50" i="9" s="1"/>
  <c r="N62" i="3"/>
  <c r="N81" i="8" s="1"/>
  <c r="L47" i="13" s="1"/>
  <c r="P32" i="8"/>
  <c r="N36" i="9"/>
  <c r="P35" i="9"/>
  <c r="M27" i="8"/>
  <c r="M79" i="3"/>
  <c r="M75" i="8" s="1"/>
  <c r="M47" i="3" s="1"/>
  <c r="M76" i="3"/>
  <c r="M83" i="8" s="1"/>
  <c r="M85" i="3"/>
  <c r="M90" i="8" s="1"/>
  <c r="P25" i="8"/>
  <c r="N79" i="3"/>
  <c r="N75" i="8" s="1"/>
  <c r="N47" i="3" s="1"/>
  <c r="N76" i="3"/>
  <c r="N83" i="8" s="1"/>
  <c r="N85" i="3"/>
  <c r="N90" i="8" s="1"/>
  <c r="M56" i="3"/>
  <c r="M64" i="8" s="1"/>
  <c r="M58" i="3"/>
  <c r="N27" i="8"/>
  <c r="N56" i="3"/>
  <c r="N64" i="8" s="1"/>
  <c r="N57" i="3"/>
  <c r="N65" i="8" s="1"/>
  <c r="N58" i="3"/>
  <c r="N66" i="8" s="1"/>
  <c r="M18" i="3"/>
  <c r="M28" i="3"/>
  <c r="N20" i="9"/>
  <c r="N23" i="9"/>
  <c r="G18" i="1"/>
  <c r="N119" i="8" l="1"/>
  <c r="M81" i="8"/>
  <c r="K47" i="13" s="1"/>
  <c r="L46" i="13"/>
  <c r="L50" i="13"/>
  <c r="L45" i="13"/>
  <c r="M33" i="8"/>
  <c r="K46" i="13"/>
  <c r="K45" i="13"/>
  <c r="K50" i="13"/>
  <c r="J105" i="3"/>
  <c r="J106" i="3" s="1"/>
  <c r="F57" i="20"/>
  <c r="F59" i="20" s="1"/>
  <c r="F61" i="20" s="1"/>
  <c r="F62" i="20" s="1"/>
  <c r="F64" i="20" s="1"/>
  <c r="F66" i="20" s="1"/>
  <c r="H15" i="13"/>
  <c r="M20" i="2"/>
  <c r="N20" i="2" s="1"/>
  <c r="J113" i="8"/>
  <c r="J109" i="3"/>
  <c r="J110" i="3" s="1"/>
  <c r="K108" i="3" s="1"/>
  <c r="K44" i="8"/>
  <c r="K13" i="2" s="1"/>
  <c r="K45" i="8" s="1"/>
  <c r="I17" i="13" s="1"/>
  <c r="J120" i="8"/>
  <c r="J135" i="8" s="1"/>
  <c r="J138" i="8" s="1"/>
  <c r="K137" i="8" s="1"/>
  <c r="L43" i="8"/>
  <c r="N118" i="8"/>
  <c r="M118" i="8"/>
  <c r="M45" i="3"/>
  <c r="M125" i="8" s="1"/>
  <c r="N44" i="3"/>
  <c r="N45" i="3" s="1"/>
  <c r="N125" i="8" s="1"/>
  <c r="M19" i="3"/>
  <c r="N17" i="3" s="1"/>
  <c r="N23" i="3" s="1"/>
  <c r="M123" i="8"/>
  <c r="N51" i="9"/>
  <c r="M85" i="8"/>
  <c r="M92" i="8" s="1"/>
  <c r="N65" i="3"/>
  <c r="N85" i="8"/>
  <c r="N92" i="8" s="1"/>
  <c r="M64" i="3"/>
  <c r="M66" i="3" s="1"/>
  <c r="M67" i="3" s="1"/>
  <c r="J27" i="11" s="1"/>
  <c r="M66" i="8"/>
  <c r="N117" i="8" s="1"/>
  <c r="M20" i="3"/>
  <c r="N24" i="9"/>
  <c r="P23" i="9"/>
  <c r="N33" i="8"/>
  <c r="L22" i="13" s="1"/>
  <c r="P27" i="8"/>
  <c r="N64" i="3"/>
  <c r="M41" i="8" l="1"/>
  <c r="K22" i="13"/>
  <c r="F84" i="20"/>
  <c r="F86" i="20" s="1"/>
  <c r="F90" i="20" s="1"/>
  <c r="F91" i="20" s="1"/>
  <c r="F93" i="20" s="1"/>
  <c r="F95" i="20" s="1"/>
  <c r="F98" i="20" s="1"/>
  <c r="F99" i="20" s="1"/>
  <c r="G26" i="11"/>
  <c r="G29" i="11" s="1"/>
  <c r="G32" i="11" s="1"/>
  <c r="H42" i="13"/>
  <c r="H23" i="13"/>
  <c r="K46" i="8"/>
  <c r="K48" i="8" s="1"/>
  <c r="I18" i="13"/>
  <c r="J96" i="8"/>
  <c r="L126" i="8"/>
  <c r="L127" i="8" s="1"/>
  <c r="L44" i="8"/>
  <c r="L13" i="2" s="1"/>
  <c r="L45" i="8" s="1"/>
  <c r="J17" i="13" s="1"/>
  <c r="J62" i="8"/>
  <c r="M117" i="8"/>
  <c r="M21" i="3"/>
  <c r="M70" i="8" s="1"/>
  <c r="N66" i="3"/>
  <c r="N67" i="3" s="1"/>
  <c r="K27" i="11" s="1"/>
  <c r="N41" i="8"/>
  <c r="P33" i="8"/>
  <c r="N18" i="3"/>
  <c r="N28" i="3"/>
  <c r="J21" i="11" l="1"/>
  <c r="J23" i="11" s="1"/>
  <c r="J24" i="11" s="1"/>
  <c r="M16" i="2"/>
  <c r="K16" i="13"/>
  <c r="K24" i="13" s="1"/>
  <c r="K19" i="2"/>
  <c r="K49" i="8" s="1"/>
  <c r="K101" i="8" s="1"/>
  <c r="L16" i="13"/>
  <c r="L24" i="13" s="1"/>
  <c r="L46" i="8"/>
  <c r="L48" i="8" s="1"/>
  <c r="L110" i="8" s="1"/>
  <c r="J18" i="13"/>
  <c r="K22" i="2"/>
  <c r="L19" i="2"/>
  <c r="L49" i="8" s="1"/>
  <c r="L50" i="8" s="1"/>
  <c r="K110" i="8"/>
  <c r="I19" i="13"/>
  <c r="I25" i="13" s="1"/>
  <c r="I33" i="13" s="1"/>
  <c r="K109" i="3"/>
  <c r="K110" i="3" s="1"/>
  <c r="L108" i="3" s="1"/>
  <c r="N16" i="2"/>
  <c r="N115" i="8" s="1"/>
  <c r="K21" i="11"/>
  <c r="J68" i="8"/>
  <c r="J77" i="8" s="1"/>
  <c r="N19" i="3"/>
  <c r="N123" i="8"/>
  <c r="N20" i="3"/>
  <c r="N21" i="3" s="1"/>
  <c r="N70" i="8" s="1"/>
  <c r="P41" i="8"/>
  <c r="M115" i="8" l="1"/>
  <c r="M43" i="8"/>
  <c r="K50" i="8"/>
  <c r="K105" i="3" s="1"/>
  <c r="L22" i="2"/>
  <c r="J15" i="13" s="1"/>
  <c r="J23" i="13" s="1"/>
  <c r="H49" i="13"/>
  <c r="H34" i="13" s="1"/>
  <c r="H41" i="13"/>
  <c r="H30" i="13"/>
  <c r="H29" i="13"/>
  <c r="J19" i="13"/>
  <c r="J25" i="13" s="1"/>
  <c r="J33" i="13" s="1"/>
  <c r="M19" i="2"/>
  <c r="M49" i="8" s="1"/>
  <c r="L101" i="8"/>
  <c r="J42" i="13"/>
  <c r="K113" i="8"/>
  <c r="I15" i="13"/>
  <c r="K96" i="8"/>
  <c r="N43" i="8"/>
  <c r="N126" i="8" s="1"/>
  <c r="N127" i="8" s="1"/>
  <c r="K23" i="11"/>
  <c r="K24" i="11" s="1"/>
  <c r="L105" i="3"/>
  <c r="L52" i="8"/>
  <c r="J54" i="13" s="1"/>
  <c r="L109" i="3"/>
  <c r="L110" i="3" s="1"/>
  <c r="M108" i="3" s="1"/>
  <c r="L113" i="8"/>
  <c r="N34" i="16"/>
  <c r="N36" i="16" s="1"/>
  <c r="N38" i="16" s="1"/>
  <c r="N39" i="16" s="1"/>
  <c r="I31" i="16"/>
  <c r="F43" i="20" s="1"/>
  <c r="M34" i="16"/>
  <c r="O34" i="16"/>
  <c r="O33" i="16" s="1"/>
  <c r="N44" i="8"/>
  <c r="N13" i="2" s="1"/>
  <c r="N45" i="8" s="1"/>
  <c r="L17" i="13" s="1"/>
  <c r="M126" i="8" l="1"/>
  <c r="M127" i="8" s="1"/>
  <c r="M44" i="8"/>
  <c r="K52" i="8"/>
  <c r="I54" i="13" s="1"/>
  <c r="I55" i="13" s="1"/>
  <c r="M101" i="8"/>
  <c r="I42" i="13"/>
  <c r="I23" i="13"/>
  <c r="N46" i="8"/>
  <c r="P46" i="8" s="1"/>
  <c r="L18" i="13"/>
  <c r="H26" i="11"/>
  <c r="H29" i="11" s="1"/>
  <c r="H32" i="11" s="1"/>
  <c r="K120" i="8"/>
  <c r="K135" i="8" s="1"/>
  <c r="K138" i="8" s="1"/>
  <c r="L137" i="8" s="1"/>
  <c r="P44" i="8"/>
  <c r="M36" i="16"/>
  <c r="M38" i="16" s="1"/>
  <c r="M39" i="16" s="1"/>
  <c r="L120" i="8"/>
  <c r="L135" i="8" s="1"/>
  <c r="I26" i="11"/>
  <c r="I29" i="11" s="1"/>
  <c r="I32" i="11" s="1"/>
  <c r="L96" i="8"/>
  <c r="N48" i="8" l="1"/>
  <c r="M13" i="2"/>
  <c r="M45" i="8" s="1"/>
  <c r="K17" i="13" s="1"/>
  <c r="K18" i="13" s="1"/>
  <c r="M46" i="8"/>
  <c r="M48" i="8" s="1"/>
  <c r="J55" i="13"/>
  <c r="L138" i="8"/>
  <c r="M137" i="8" s="1"/>
  <c r="N110" i="8"/>
  <c r="L19" i="13"/>
  <c r="L25" i="13" s="1"/>
  <c r="L33" i="13" s="1"/>
  <c r="K62" i="8"/>
  <c r="K68" i="8" s="1"/>
  <c r="K77" i="8" s="1"/>
  <c r="N22" i="2"/>
  <c r="L15" i="13" s="1"/>
  <c r="P48" i="8"/>
  <c r="L62" i="8" l="1"/>
  <c r="L68" i="8" s="1"/>
  <c r="L77" i="8" s="1"/>
  <c r="J29" i="13" s="1"/>
  <c r="N19" i="2"/>
  <c r="N49" i="8" s="1"/>
  <c r="M22" i="2"/>
  <c r="M50" i="8"/>
  <c r="M110" i="8"/>
  <c r="K19" i="13"/>
  <c r="K25" i="13" s="1"/>
  <c r="K33" i="13" s="1"/>
  <c r="I49" i="13"/>
  <c r="I34" i="13" s="1"/>
  <c r="I41" i="13"/>
  <c r="I30" i="13"/>
  <c r="I29" i="13"/>
  <c r="J49" i="13"/>
  <c r="J34" i="13" s="1"/>
  <c r="J41" i="13"/>
  <c r="J30" i="13"/>
  <c r="L23" i="13"/>
  <c r="L42" i="13"/>
  <c r="N113" i="8"/>
  <c r="K26" i="11" s="1"/>
  <c r="K29" i="11" s="1"/>
  <c r="E37" i="11" s="1"/>
  <c r="N109" i="3"/>
  <c r="K104" i="3"/>
  <c r="K106" i="3" s="1"/>
  <c r="L104" i="3" s="1"/>
  <c r="L106" i="3" s="1"/>
  <c r="L97" i="8" s="1"/>
  <c r="L100" i="8" s="1"/>
  <c r="J97" i="8"/>
  <c r="J100" i="8" s="1"/>
  <c r="M52" i="8" l="1"/>
  <c r="K54" i="13" s="1"/>
  <c r="K55" i="13" s="1"/>
  <c r="M105" i="3"/>
  <c r="M109" i="3"/>
  <c r="M110" i="3" s="1"/>
  <c r="M113" i="8"/>
  <c r="J26" i="11" s="1"/>
  <c r="J29" i="11" s="1"/>
  <c r="J32" i="11" s="1"/>
  <c r="K15" i="13"/>
  <c r="N101" i="8"/>
  <c r="N50" i="8"/>
  <c r="L102" i="8"/>
  <c r="L104" i="8" s="1"/>
  <c r="J40" i="13"/>
  <c r="J56" i="13"/>
  <c r="J28" i="13"/>
  <c r="J102" i="8"/>
  <c r="J104" i="8" s="1"/>
  <c r="H40" i="13"/>
  <c r="H56" i="13"/>
  <c r="H28" i="13"/>
  <c r="H35" i="13"/>
  <c r="H36" i="13" s="1"/>
  <c r="J35" i="13"/>
  <c r="J36" i="13" s="1"/>
  <c r="N120" i="8"/>
  <c r="N135" i="8" s="1"/>
  <c r="E39" i="11"/>
  <c r="K32" i="11"/>
  <c r="K97" i="8"/>
  <c r="K100" i="8" s="1"/>
  <c r="M104" i="3"/>
  <c r="M106" i="3" s="1"/>
  <c r="M97" i="8" s="1"/>
  <c r="K42" i="13" l="1"/>
  <c r="K23" i="13"/>
  <c r="N108" i="3"/>
  <c r="N110" i="3" s="1"/>
  <c r="N96" i="8" s="1"/>
  <c r="M96" i="8"/>
  <c r="E38" i="11"/>
  <c r="E40" i="11" s="1"/>
  <c r="E44" i="11" s="1"/>
  <c r="E46" i="11" s="1"/>
  <c r="M120" i="8"/>
  <c r="M135" i="8" s="1"/>
  <c r="M138" i="8" s="1"/>
  <c r="N105" i="3"/>
  <c r="N52" i="8"/>
  <c r="L54" i="13" s="1"/>
  <c r="L55" i="13" s="1"/>
  <c r="P50" i="8"/>
  <c r="M100" i="8"/>
  <c r="M102" i="8" s="1"/>
  <c r="K102" i="8"/>
  <c r="K104" i="8" s="1"/>
  <c r="I56" i="13"/>
  <c r="I40" i="13"/>
  <c r="I28" i="13"/>
  <c r="I35" i="13"/>
  <c r="I36" i="13" s="1"/>
  <c r="N104" i="3"/>
  <c r="K28" i="13" l="1"/>
  <c r="K56" i="13"/>
  <c r="N137" i="8"/>
  <c r="N138" i="8" s="1"/>
  <c r="N62" i="8" s="1"/>
  <c r="N68" i="8" s="1"/>
  <c r="N77" i="8" s="1"/>
  <c r="M62" i="8"/>
  <c r="M68" i="8" s="1"/>
  <c r="M77" i="8" s="1"/>
  <c r="K35" i="13"/>
  <c r="K40" i="13"/>
  <c r="N106" i="3"/>
  <c r="N97" i="8" s="1"/>
  <c r="N100" i="8" s="1"/>
  <c r="L35" i="13" s="1"/>
  <c r="N102" i="8"/>
  <c r="N104" i="8" s="1"/>
  <c r="L40" i="13"/>
  <c r="L56" i="13"/>
  <c r="L28" i="13"/>
  <c r="E50" i="11"/>
  <c r="C54" i="11"/>
  <c r="E49" i="11"/>
  <c r="K41" i="13" l="1"/>
  <c r="K30" i="13"/>
  <c r="K29" i="13"/>
  <c r="K49" i="13"/>
  <c r="K34" i="13" s="1"/>
  <c r="K36" i="13" s="1"/>
  <c r="L30" i="13"/>
  <c r="L29" i="13"/>
  <c r="L41" i="13"/>
  <c r="L49" i="13"/>
  <c r="L34" i="13" s="1"/>
  <c r="L36" i="13" s="1"/>
  <c r="M104" i="8"/>
  <c r="E91" i="20"/>
  <c r="E93" i="20" s="1"/>
  <c r="E95" i="20" l="1"/>
  <c r="E98" i="20" l="1"/>
  <c r="C104" i="20" l="1"/>
  <c r="C115" i="20"/>
  <c r="E99" i="20"/>
</calcChain>
</file>

<file path=xl/sharedStrings.xml><?xml version="1.0" encoding="utf-8"?>
<sst xmlns="http://schemas.openxmlformats.org/spreadsheetml/2006/main" count="820" uniqueCount="539">
  <si>
    <t>Company Name</t>
  </si>
  <si>
    <t>Date</t>
  </si>
  <si>
    <t>Actual / Forecast</t>
  </si>
  <si>
    <t>Forecast</t>
  </si>
  <si>
    <t>\</t>
  </si>
  <si>
    <t>Units:</t>
  </si>
  <si>
    <t>Ticker</t>
  </si>
  <si>
    <t>Selected Scenario</t>
  </si>
  <si>
    <t>Model Start Date</t>
  </si>
  <si>
    <t>Model End Date</t>
  </si>
  <si>
    <t>No. of Years Projected</t>
  </si>
  <si>
    <t>Years</t>
  </si>
  <si>
    <t>Days</t>
  </si>
  <si>
    <t>Days in an Year</t>
  </si>
  <si>
    <t xml:space="preserve">Hardcode </t>
  </si>
  <si>
    <t>Calculation</t>
  </si>
  <si>
    <t>Reference</t>
  </si>
  <si>
    <t>Assumptions</t>
  </si>
  <si>
    <t>Notes</t>
  </si>
  <si>
    <t>Caution</t>
  </si>
  <si>
    <t>Cell Reference</t>
  </si>
  <si>
    <t>Model Assumption</t>
  </si>
  <si>
    <t>Templete:</t>
  </si>
  <si>
    <t>Period type:</t>
  </si>
  <si>
    <t>Source:</t>
  </si>
  <si>
    <t xml:space="preserve">Decimals: </t>
  </si>
  <si>
    <t>Standard</t>
  </si>
  <si>
    <t>Annual</t>
  </si>
  <si>
    <t>Currency:</t>
  </si>
  <si>
    <t>Reported</t>
  </si>
  <si>
    <t>Company Website</t>
  </si>
  <si>
    <t>CAGR</t>
  </si>
  <si>
    <t>Dashboard</t>
  </si>
  <si>
    <t>#</t>
  </si>
  <si>
    <t>Cash flow statement</t>
  </si>
  <si>
    <t>Income statement</t>
  </si>
  <si>
    <t>Financial statements</t>
  </si>
  <si>
    <t>Scenario</t>
  </si>
  <si>
    <t xml:space="preserve">Revenue Forecast </t>
  </si>
  <si>
    <t>Active Scenario</t>
  </si>
  <si>
    <t>Expenses forecast</t>
  </si>
  <si>
    <t>s</t>
  </si>
  <si>
    <t>Schedule</t>
  </si>
  <si>
    <t>Property, plant, and equipment and Intangible schedule</t>
  </si>
  <si>
    <t>Working capital schedule</t>
  </si>
  <si>
    <t>Financials</t>
  </si>
  <si>
    <t>Statements</t>
  </si>
  <si>
    <t>&lt;-Back to dashboard</t>
  </si>
  <si>
    <t>Valuation</t>
  </si>
  <si>
    <t>FCFF</t>
  </si>
  <si>
    <t>WACC</t>
  </si>
  <si>
    <t>Beta</t>
  </si>
  <si>
    <t>&lt;- Go back to the top</t>
  </si>
  <si>
    <t>Go to -&gt;</t>
  </si>
  <si>
    <t>Balance statement</t>
  </si>
  <si>
    <t>Revenue forecast</t>
  </si>
  <si>
    <t>Expense forecast</t>
  </si>
  <si>
    <t>PPE and intangibles</t>
  </si>
  <si>
    <t>Working capital</t>
  </si>
  <si>
    <t>Report</t>
  </si>
  <si>
    <t>Price</t>
  </si>
  <si>
    <t>Returns</t>
  </si>
  <si>
    <t>Beta Drifting</t>
  </si>
  <si>
    <t>Levered beta</t>
  </si>
  <si>
    <t xml:space="preserve">Raw beta weight </t>
  </si>
  <si>
    <t>Market beta</t>
  </si>
  <si>
    <t>Raw beta weight</t>
  </si>
  <si>
    <t>Calculated beta</t>
  </si>
  <si>
    <t>Adjusted beta</t>
  </si>
  <si>
    <t>Cost of Equity</t>
  </si>
  <si>
    <t>Risk free rate</t>
  </si>
  <si>
    <t>Total years</t>
  </si>
  <si>
    <t>Cost of equity</t>
  </si>
  <si>
    <t>Cost of Debt</t>
  </si>
  <si>
    <t>Risk premium</t>
  </si>
  <si>
    <t>Pre-tax cost of debt</t>
  </si>
  <si>
    <t>Tax Rate</t>
  </si>
  <si>
    <t>Post-tax cost of debt</t>
  </si>
  <si>
    <t>Capital Structure</t>
  </si>
  <si>
    <t>Market Cap</t>
  </si>
  <si>
    <t>Debt</t>
  </si>
  <si>
    <t>Total Capital</t>
  </si>
  <si>
    <t xml:space="preserve">Cost of Equity </t>
  </si>
  <si>
    <t>EBIT</t>
  </si>
  <si>
    <t>Less: Income taxes</t>
  </si>
  <si>
    <t>NOPAT</t>
  </si>
  <si>
    <t>Add: Depreciation and Amortisation</t>
  </si>
  <si>
    <t>Add/Less: Change in Working capital</t>
  </si>
  <si>
    <t>Less: Capital Expenditure</t>
  </si>
  <si>
    <t>Free Cash Flow to Firm</t>
  </si>
  <si>
    <t>Discount Factor</t>
  </si>
  <si>
    <t>Valuation parameters</t>
  </si>
  <si>
    <t>Valuation as on specified date</t>
  </si>
  <si>
    <t>Date of year ending</t>
  </si>
  <si>
    <t>P.V of FCFF</t>
  </si>
  <si>
    <t>Price Target</t>
  </si>
  <si>
    <t>Less: Debt</t>
  </si>
  <si>
    <t>Add: Cash</t>
  </si>
  <si>
    <t>Add: Investments</t>
  </si>
  <si>
    <t>Share Price</t>
  </si>
  <si>
    <t>Current Share Price</t>
  </si>
  <si>
    <t>Table of Contents</t>
  </si>
  <si>
    <t>Particulars</t>
  </si>
  <si>
    <t xml:space="preserve">Beta </t>
  </si>
  <si>
    <t>Ratio Analysis</t>
  </si>
  <si>
    <t>Stock Report</t>
  </si>
  <si>
    <t>EBITDA</t>
  </si>
  <si>
    <t>PAT</t>
  </si>
  <si>
    <t>Fixed Asset Turnover</t>
  </si>
  <si>
    <t>Profit Margin</t>
  </si>
  <si>
    <t>Asset Turnover</t>
  </si>
  <si>
    <t>Dupont ROE</t>
  </si>
  <si>
    <t>Equity Report</t>
  </si>
  <si>
    <t>CMP</t>
  </si>
  <si>
    <t>Eldric Gregory Sequeira</t>
  </si>
  <si>
    <t xml:space="preserve">Recommendation </t>
  </si>
  <si>
    <t>Recommendation</t>
  </si>
  <si>
    <t>Upside / (Downside)</t>
  </si>
  <si>
    <t>DCF fair value</t>
  </si>
  <si>
    <t>Free float</t>
  </si>
  <si>
    <t>Shares outstanding</t>
  </si>
  <si>
    <t>52 week range</t>
  </si>
  <si>
    <t>Sensex/Nifty</t>
  </si>
  <si>
    <t>INR/US</t>
  </si>
  <si>
    <t>Key Data - INFO</t>
  </si>
  <si>
    <t>seqcapin@gmaco | 91+ 11111111111</t>
  </si>
  <si>
    <t>Terminal Growth rate</t>
  </si>
  <si>
    <t xml:space="preserve">NSE:  | BSE: </t>
  </si>
  <si>
    <t>COUNTRY | SECTOR | EQUITY RESEARCH</t>
  </si>
  <si>
    <t>Model Date: | Last Historical Year: FY 25 | Forecast Horizon: FY 26-FY 30</t>
  </si>
  <si>
    <t>Balance sheet</t>
  </si>
  <si>
    <t>Debt Schedule</t>
  </si>
  <si>
    <t>Equity schedule</t>
  </si>
  <si>
    <t>USD</t>
  </si>
  <si>
    <r>
      <t xml:space="preserve">Market returns </t>
    </r>
    <r>
      <rPr>
        <b/>
        <i/>
        <sz val="10"/>
        <color theme="1"/>
        <rFont val="Aptos"/>
        <family val="2"/>
      </rPr>
      <t>(%)</t>
    </r>
  </si>
  <si>
    <r>
      <t xml:space="preserve">Tax rate </t>
    </r>
    <r>
      <rPr>
        <i/>
        <sz val="10"/>
        <color theme="1"/>
        <rFont val="Aptos"/>
        <family val="2"/>
      </rPr>
      <t>(%)</t>
    </r>
  </si>
  <si>
    <t>Marginal Tax Rate (%)</t>
  </si>
  <si>
    <t>WACC (%)</t>
  </si>
  <si>
    <t>Terminal Growth Rate (%)</t>
  </si>
  <si>
    <r>
      <rPr>
        <b/>
        <sz val="11"/>
        <color theme="0"/>
        <rFont val="Aptos"/>
        <family val="2"/>
      </rPr>
      <t>SEQUEIRA CAPITAL</t>
    </r>
    <r>
      <rPr>
        <b/>
        <sz val="10"/>
        <color theme="0"/>
        <rFont val="Aptos"/>
        <family val="2"/>
      </rPr>
      <t xml:space="preserve">
</t>
    </r>
    <r>
      <rPr>
        <b/>
        <sz val="9"/>
        <color theme="0"/>
        <rFont val="Aptos"/>
        <family val="2"/>
      </rPr>
      <t>INVESTMENTS</t>
    </r>
  </si>
  <si>
    <t>SNPS</t>
  </si>
  <si>
    <t>Upfront products</t>
  </si>
  <si>
    <t>Time-Based products</t>
  </si>
  <si>
    <t>Total products revenue</t>
  </si>
  <si>
    <t>Maintenance and service</t>
  </si>
  <si>
    <t>Total revenue</t>
  </si>
  <si>
    <t>Products</t>
  </si>
  <si>
    <t>Amortization of acquired intangible assets</t>
  </si>
  <si>
    <t>Total cost of revenue</t>
  </si>
  <si>
    <t>Gross margin</t>
  </si>
  <si>
    <t>Research and development</t>
  </si>
  <si>
    <t>Sales and marketing</t>
  </si>
  <si>
    <t>General and administrative</t>
  </si>
  <si>
    <t>Restructuring charges</t>
  </si>
  <si>
    <t>Total operating expenses</t>
  </si>
  <si>
    <t>Operating income</t>
  </si>
  <si>
    <t>Interest expense</t>
  </si>
  <si>
    <t>Other income (expense), net</t>
  </si>
  <si>
    <t>Provision for income taxes</t>
  </si>
  <si>
    <t>Net income from continuing operations</t>
  </si>
  <si>
    <t>Income (loss) from discountinued operations</t>
  </si>
  <si>
    <t xml:space="preserve">Net income </t>
  </si>
  <si>
    <t>Non-controlling interest</t>
  </si>
  <si>
    <t>Net income to Synopsys</t>
  </si>
  <si>
    <t>Earnings per share (diluted)</t>
  </si>
  <si>
    <t>Shares outstanding (diluted)</t>
  </si>
  <si>
    <t>Revenue:</t>
  </si>
  <si>
    <t>Cost of Revenue:</t>
  </si>
  <si>
    <t>Operating expenses:</t>
  </si>
  <si>
    <t>Income before income taxes</t>
  </si>
  <si>
    <t>Historicals</t>
  </si>
  <si>
    <t>Historicals / Forecast</t>
  </si>
  <si>
    <t>FY 23- FY 25</t>
  </si>
  <si>
    <t>FY 26 - FY 30</t>
  </si>
  <si>
    <t>Units</t>
  </si>
  <si>
    <t>Assets</t>
  </si>
  <si>
    <t>Current assets:</t>
  </si>
  <si>
    <t>Cash and cash equivalents</t>
  </si>
  <si>
    <t>Short term investments</t>
  </si>
  <si>
    <t>Accounts receivables</t>
  </si>
  <si>
    <t>Inventories</t>
  </si>
  <si>
    <t>Prepaid and other current assets</t>
  </si>
  <si>
    <t>Total Current assets</t>
  </si>
  <si>
    <t>Property, plant and equipment</t>
  </si>
  <si>
    <t>Operating lease right of use assets</t>
  </si>
  <si>
    <t>Goodwill</t>
  </si>
  <si>
    <t>Intangible assets</t>
  </si>
  <si>
    <t>Deferred income taxes</t>
  </si>
  <si>
    <t>Other long term assets</t>
  </si>
  <si>
    <t>Total assets</t>
  </si>
  <si>
    <t>Stockholders' equity and liabilities</t>
  </si>
  <si>
    <t>Current liabilities:</t>
  </si>
  <si>
    <t>Accounts payable and accrued liabilities</t>
  </si>
  <si>
    <t>Operating lease liabilities</t>
  </si>
  <si>
    <t>Deferred revenue</t>
  </si>
  <si>
    <t>Total current liabilities</t>
  </si>
  <si>
    <t>Long term operating lease liabilties</t>
  </si>
  <si>
    <t>Long term deferred revenue</t>
  </si>
  <si>
    <t>Long term debt</t>
  </si>
  <si>
    <t>Other long term liabilities</t>
  </si>
  <si>
    <t>Total liabilties</t>
  </si>
  <si>
    <t>Redeemable Non controlling interest</t>
  </si>
  <si>
    <t>Common stock</t>
  </si>
  <si>
    <t>Capital in excess of par value</t>
  </si>
  <si>
    <t xml:space="preserve">Retained earnings </t>
  </si>
  <si>
    <t>Treasury stock</t>
  </si>
  <si>
    <t>Accumulated other comprehensive income (loss)</t>
  </si>
  <si>
    <t>Total stockholders' equity</t>
  </si>
  <si>
    <t>Non controlling interest</t>
  </si>
  <si>
    <t>Total Stockholders' equity and liabilities</t>
  </si>
  <si>
    <t>Current assets of discontinued operations</t>
  </si>
  <si>
    <t>Long term assets of discontinued operations</t>
  </si>
  <si>
    <t>Current liabilities of discontinued operations</t>
  </si>
  <si>
    <t>Long term liabilities of discontinued operations</t>
  </si>
  <si>
    <t>Stockholders' equity:</t>
  </si>
  <si>
    <t>yoy Time-Based products growth (%)</t>
  </si>
  <si>
    <t>yoy Upfront products growth (%)</t>
  </si>
  <si>
    <t>yoy Total products revenue growth (%)</t>
  </si>
  <si>
    <t>yoy Maintenance and service growth (%)</t>
  </si>
  <si>
    <t>yoy Total revenue growth (%)</t>
  </si>
  <si>
    <t>yoy Products growth (%)</t>
  </si>
  <si>
    <t>yoy Amortization of acquired intangible assets growth (%)</t>
  </si>
  <si>
    <t>yoy Total cost of reveneue growth (%)</t>
  </si>
  <si>
    <t>Operating Expenses</t>
  </si>
  <si>
    <t>yoy R&amp;D growth (%)</t>
  </si>
  <si>
    <t>yoy S&amp;M growth (%)</t>
  </si>
  <si>
    <t>yoy G&amp;M growth (%)</t>
  </si>
  <si>
    <t>Income taxes as a % of PBT</t>
  </si>
  <si>
    <t>Non-controlling interest as a % of PAT</t>
  </si>
  <si>
    <t>None</t>
  </si>
  <si>
    <t>Other income (expense), net as a % of EBIT</t>
  </si>
  <si>
    <t xml:space="preserve">Property, plant and equipment </t>
  </si>
  <si>
    <t>Additons to PPE</t>
  </si>
  <si>
    <t>Closing balance of Gross PP&amp;E</t>
  </si>
  <si>
    <t>Opening balance of Gross PP&amp;E</t>
  </si>
  <si>
    <t xml:space="preserve">Accumulated depreciation </t>
  </si>
  <si>
    <t>Closing balance of Net PP&amp;E</t>
  </si>
  <si>
    <t>Depreciation of PP&amp;E</t>
  </si>
  <si>
    <t>Depreciation as a % of CapEx</t>
  </si>
  <si>
    <t>CapEx of PP&amp;E</t>
  </si>
  <si>
    <t>CapEx as a % of Opening balance of PP&amp;E</t>
  </si>
  <si>
    <t xml:space="preserve">Deprecaition and Amortization </t>
  </si>
  <si>
    <t>Additions to intangibles</t>
  </si>
  <si>
    <t>Closing balance of Gross intangible asset</t>
  </si>
  <si>
    <t>Opening balance of Gross intangible assets</t>
  </si>
  <si>
    <t>Accumulated amortization</t>
  </si>
  <si>
    <t>Closing balance of Net intangible asset</t>
  </si>
  <si>
    <t>Amortisaiton of Intangible assets</t>
  </si>
  <si>
    <t>Amortisaiton as a % of Closing balance of intangibles</t>
  </si>
  <si>
    <t>Current assets</t>
  </si>
  <si>
    <t>Current liabilitites</t>
  </si>
  <si>
    <t>Turnover Ratio</t>
  </si>
  <si>
    <t>Current liabilities</t>
  </si>
  <si>
    <t>Change in Working capital</t>
  </si>
  <si>
    <t>Total Working capital</t>
  </si>
  <si>
    <t>Other long term assets as a % of Revenue</t>
  </si>
  <si>
    <t xml:space="preserve">Deferred revenue </t>
  </si>
  <si>
    <t>Deferred revenue as a % of Revenue</t>
  </si>
  <si>
    <t>Other long term liabilitites</t>
  </si>
  <si>
    <t>Other long term liabilitites as a % of Revenue</t>
  </si>
  <si>
    <t>Check</t>
  </si>
  <si>
    <t>Long term deferred revenue as a % of Revenue</t>
  </si>
  <si>
    <t xml:space="preserve">Long-term Debt </t>
  </si>
  <si>
    <t>Issuance of new debt</t>
  </si>
  <si>
    <t>Opening balance of debt</t>
  </si>
  <si>
    <t>Repayment of debt</t>
  </si>
  <si>
    <t>Closing balance of debt</t>
  </si>
  <si>
    <t>Interest Rate</t>
  </si>
  <si>
    <t>Stock-based compensation</t>
  </si>
  <si>
    <t>Stock-based compensation as a % of PAT</t>
  </si>
  <si>
    <t>Net income for the year</t>
  </si>
  <si>
    <t>Share-based compensation issued</t>
  </si>
  <si>
    <t>Closing balance of Retained earnings</t>
  </si>
  <si>
    <t>Opening balance of Retained earnings</t>
  </si>
  <si>
    <t>Opening balance of Capital excess in par value</t>
  </si>
  <si>
    <t>Closing balance of Capital excess in par value</t>
  </si>
  <si>
    <t>Operating activities</t>
  </si>
  <si>
    <t>Add/Less: Non-cash items</t>
  </si>
  <si>
    <t>Share-based compensation</t>
  </si>
  <si>
    <t>Change in working capital</t>
  </si>
  <si>
    <t>Cash flow from operating activities</t>
  </si>
  <si>
    <t>Investing activities</t>
  </si>
  <si>
    <t>Proceeds from purchases of PP&amp;E</t>
  </si>
  <si>
    <t>Additions of intangible assets</t>
  </si>
  <si>
    <t>Cash flow from investing activities</t>
  </si>
  <si>
    <t>Financing activities</t>
  </si>
  <si>
    <t>Cash flow from financing activties</t>
  </si>
  <si>
    <t>Net cash flow for the year</t>
  </si>
  <si>
    <t>Cash and cash equivalents for the end of the year</t>
  </si>
  <si>
    <t>Other income (expense)</t>
  </si>
  <si>
    <t>Change in current assets</t>
  </si>
  <si>
    <t>Change in current liabilties</t>
  </si>
  <si>
    <t>Change in non-current liabilties</t>
  </si>
  <si>
    <t>Opening balance of NCA</t>
  </si>
  <si>
    <t>Additions (Disposal) of NCA</t>
  </si>
  <si>
    <t>Closing balance of NCA</t>
  </si>
  <si>
    <t>Other non-current assets</t>
  </si>
  <si>
    <t>Depreciation related to NCA</t>
  </si>
  <si>
    <t>Depreciation related to NCA as a % of CapEx</t>
  </si>
  <si>
    <t>Less: Depreciation related to NCA</t>
  </si>
  <si>
    <t>Depreciation and amortization, net</t>
  </si>
  <si>
    <t>Cash and cash equivalents for the beginning of the year</t>
  </si>
  <si>
    <t>Valuation Date</t>
  </si>
  <si>
    <t>Comparable Companies</t>
  </si>
  <si>
    <t>N/A</t>
  </si>
  <si>
    <t>Comparable Companies - US-Based Other Software Companies with Over $1 Billion Revenue</t>
  </si>
  <si>
    <t>Equity Value</t>
  </si>
  <si>
    <t xml:space="preserve">Cash </t>
  </si>
  <si>
    <t>Enterprise Value</t>
  </si>
  <si>
    <t xml:space="preserve">Revenue </t>
  </si>
  <si>
    <t>Shares Outstanding</t>
  </si>
  <si>
    <t>Net Income</t>
  </si>
  <si>
    <t>EV/Revenue</t>
  </si>
  <si>
    <t>EV/EBITDA</t>
  </si>
  <si>
    <t>P/E</t>
  </si>
  <si>
    <t>Market Data</t>
  </si>
  <si>
    <t>CDNS</t>
  </si>
  <si>
    <t>Operating Statistics</t>
  </si>
  <si>
    <t>Cash</t>
  </si>
  <si>
    <t>ARM</t>
  </si>
  <si>
    <t>KEYS</t>
  </si>
  <si>
    <t>Keysight Technologies, Inc.</t>
  </si>
  <si>
    <t>ARM Holdings</t>
  </si>
  <si>
    <t>Cadence Design Systems, INC.</t>
  </si>
  <si>
    <t>Autodesk, Inc.</t>
  </si>
  <si>
    <t>ADSK</t>
  </si>
  <si>
    <t>ANSYS, Inc.</t>
  </si>
  <si>
    <t>ANSS</t>
  </si>
  <si>
    <t>Maximum</t>
  </si>
  <si>
    <t>75% Percentile</t>
  </si>
  <si>
    <t>Median</t>
  </si>
  <si>
    <t>25% Percentile</t>
  </si>
  <si>
    <t>Minimum</t>
  </si>
  <si>
    <t>Valuation for Synopsys, INC.</t>
  </si>
  <si>
    <t>Synopsys, INC.</t>
  </si>
  <si>
    <t>Implied Enterprise Value</t>
  </si>
  <si>
    <t>Net Debt</t>
  </si>
  <si>
    <t>Implied Market Value</t>
  </si>
  <si>
    <t>Implied Value per Share</t>
  </si>
  <si>
    <t>($ in Millions, Except Per Share Amounts in Dollars and Share Counts in Thousands)</t>
  </si>
  <si>
    <t>Valutaion Summary</t>
  </si>
  <si>
    <t>Synopsys</t>
  </si>
  <si>
    <t>NYSE</t>
  </si>
  <si>
    <t>Equity risk premium</t>
  </si>
  <si>
    <t>Country risk premium</t>
  </si>
  <si>
    <t>Add: Share-based compensation</t>
  </si>
  <si>
    <t>(As on valuation date)</t>
  </si>
  <si>
    <t>Premium/Discount</t>
  </si>
  <si>
    <t>Implied Equity Value:</t>
  </si>
  <si>
    <t>Enterprise value:</t>
  </si>
  <si>
    <t>Terminal value of FCFF:</t>
  </si>
  <si>
    <t>NPV of Explicit cash flows:</t>
  </si>
  <si>
    <t>NPV of Terminal value:</t>
  </si>
  <si>
    <t>No. of outstanding shares:</t>
  </si>
  <si>
    <t>Implied Share Price:</t>
  </si>
  <si>
    <t>Current Share Price:</t>
  </si>
  <si>
    <t>(Using credit rating)</t>
  </si>
  <si>
    <t xml:space="preserve">Low </t>
  </si>
  <si>
    <t>High</t>
  </si>
  <si>
    <t>25th Point</t>
  </si>
  <si>
    <t>75th Point</t>
  </si>
  <si>
    <t xml:space="preserve">DCF </t>
  </si>
  <si>
    <t>52W H/L</t>
  </si>
  <si>
    <t>Terminal Growth Rate</t>
  </si>
  <si>
    <t>Synopsys, INC. - Net present value sensitivity - Terminal growth rate</t>
  </si>
  <si>
    <t>Merger Model</t>
  </si>
  <si>
    <t>Merger Model - Synopsys, INC. and ANSYS</t>
  </si>
  <si>
    <t>Transaction Summary</t>
  </si>
  <si>
    <t>Per Share Purchase Price:</t>
  </si>
  <si>
    <t>% Cash:</t>
  </si>
  <si>
    <t>% Debt:</t>
  </si>
  <si>
    <t>% Stock:</t>
  </si>
  <si>
    <t>Foregone Cash Interest Rate:</t>
  </si>
  <si>
    <t>Revenue synergy %</t>
  </si>
  <si>
    <t>Cost synergies % OpEx</t>
  </si>
  <si>
    <t>Equity Purchase Price:</t>
  </si>
  <si>
    <t>Cash Used:</t>
  </si>
  <si>
    <t>Debt Issued:</t>
  </si>
  <si>
    <t>New Shares Issued:</t>
  </si>
  <si>
    <t>Revenue synergy COGS %</t>
  </si>
  <si>
    <t>Diluted Share &amp; Enterprise Value Calculations - Seller</t>
  </si>
  <si>
    <t xml:space="preserve">Company Name: </t>
  </si>
  <si>
    <t>Share Price:</t>
  </si>
  <si>
    <t>Offer Price Per Share:</t>
  </si>
  <si>
    <t>Basic Shares Outstanding:</t>
  </si>
  <si>
    <t>Basic Equity Value:</t>
  </si>
  <si>
    <t>Diluted Shares Outstanding:</t>
  </si>
  <si>
    <t>Diluted Equity Value:</t>
  </si>
  <si>
    <t>Less: Cash &amp; Investments</t>
  </si>
  <si>
    <t>Add: Debt</t>
  </si>
  <si>
    <t>Add: Minority Interest</t>
  </si>
  <si>
    <t>Add: Preferred Stock</t>
  </si>
  <si>
    <t>Add: Other Liabilities</t>
  </si>
  <si>
    <t>Enterprise Value:</t>
  </si>
  <si>
    <t>ANSYS, INC.</t>
  </si>
  <si>
    <t>Merger Model - Synopsys, INC. and ANSYS, INC.</t>
  </si>
  <si>
    <t>Tax Rate:</t>
  </si>
  <si>
    <t>Purchase Price</t>
  </si>
  <si>
    <t>Basic Shares Outstanding;</t>
  </si>
  <si>
    <t>Add: Minority Interests</t>
  </si>
  <si>
    <t>Add: Other liabilities</t>
  </si>
  <si>
    <t>Options Calculations - Current Price</t>
  </si>
  <si>
    <t xml:space="preserve">Name </t>
  </si>
  <si>
    <t>Number</t>
  </si>
  <si>
    <t>Exercise Price</t>
  </si>
  <si>
    <t>Dilution</t>
  </si>
  <si>
    <t>A</t>
  </si>
  <si>
    <t>Options Calculations - Purchase Price</t>
  </si>
  <si>
    <t>Balance Sheets - Buyer, Seller &amp; Combined</t>
  </si>
  <si>
    <t>Current Assets:</t>
  </si>
  <si>
    <t>Cash &amp; Short-term investments</t>
  </si>
  <si>
    <t>Other current assets</t>
  </si>
  <si>
    <t>Total Assets</t>
  </si>
  <si>
    <t>Stockholders' Equity &amp; Liabilities</t>
  </si>
  <si>
    <t>Total Current liabilities</t>
  </si>
  <si>
    <t>Buyer</t>
  </si>
  <si>
    <t>Seller</t>
  </si>
  <si>
    <t>Adjustments</t>
  </si>
  <si>
    <t>Total Long term liabiltiies</t>
  </si>
  <si>
    <t>Stockholders' Equity</t>
  </si>
  <si>
    <t>Total Shareholders Equity</t>
  </si>
  <si>
    <t>Non-Controlling Interest</t>
  </si>
  <si>
    <t>Total Stockholders' Equity &amp; Liabiltiies</t>
  </si>
  <si>
    <t>(As on 31 December, 2024)</t>
  </si>
  <si>
    <t>Goodwill Creation &amp; Balance Sheet Adjustments</t>
  </si>
  <si>
    <t>Equity purchase price</t>
  </si>
  <si>
    <t>Less: Seller bookvalue</t>
  </si>
  <si>
    <t>Add: Write-off of existing goodwill</t>
  </si>
  <si>
    <t>Less: Write-off of PP&amp;E</t>
  </si>
  <si>
    <t>Less: Write-off of Intangibles</t>
  </si>
  <si>
    <t>Less: Write-off of Deferred TL</t>
  </si>
  <si>
    <t>Add: New deferred tax liability</t>
  </si>
  <si>
    <t>PP&amp;E write-up %</t>
  </si>
  <si>
    <t>PP&amp;E write-up amount</t>
  </si>
  <si>
    <t>Depreciation period (Years)</t>
  </si>
  <si>
    <t>Purchase price to allocate</t>
  </si>
  <si>
    <t>% Allocated to intangibles</t>
  </si>
  <si>
    <t>Intangibles write-up amount</t>
  </si>
  <si>
    <t>Amortisation period (Years)</t>
  </si>
  <si>
    <t>New deferred tax liabilities</t>
  </si>
  <si>
    <t>Buyer - Financial Profile</t>
  </si>
  <si>
    <t xml:space="preserve">Buyer Name: </t>
  </si>
  <si>
    <t>Seller - Financial Profile</t>
  </si>
  <si>
    <t xml:space="preserve">Seller Name: </t>
  </si>
  <si>
    <t>Buyer - Income Statement</t>
  </si>
  <si>
    <t>Seller - Income Statement</t>
  </si>
  <si>
    <t>Revenue</t>
  </si>
  <si>
    <t>COGS</t>
  </si>
  <si>
    <t>Gross Profit</t>
  </si>
  <si>
    <t>Operating expenses</t>
  </si>
  <si>
    <t>Amortization of intangibles</t>
  </si>
  <si>
    <t>Opearting Income</t>
  </si>
  <si>
    <t>Interest income (Expenses)</t>
  </si>
  <si>
    <t>Pre-tax income</t>
  </si>
  <si>
    <t>Income tax provision</t>
  </si>
  <si>
    <t>Net income</t>
  </si>
  <si>
    <t>Earnings per share (EPS)</t>
  </si>
  <si>
    <t>Diluted shares outstanding</t>
  </si>
  <si>
    <t>FY 2024 A</t>
  </si>
  <si>
    <t>Combined Income Statement</t>
  </si>
  <si>
    <t>% Premium/Discount</t>
  </si>
  <si>
    <t>(Except for Dashboard, and Cash flow statement)</t>
  </si>
  <si>
    <t>Debt Financing  - Tranche Detail</t>
  </si>
  <si>
    <t xml:space="preserve">Size </t>
  </si>
  <si>
    <t xml:space="preserve">Maturity </t>
  </si>
  <si>
    <t>Rate (SOFR)</t>
  </si>
  <si>
    <t>Type</t>
  </si>
  <si>
    <t xml:space="preserve">Tranche 1 </t>
  </si>
  <si>
    <t>Tranche 2</t>
  </si>
  <si>
    <t>Term loan</t>
  </si>
  <si>
    <t>Synopsys Notes</t>
  </si>
  <si>
    <t>SOFR+0.875%</t>
  </si>
  <si>
    <t>SOFR+1.000%</t>
  </si>
  <si>
    <t>Senior unsecured</t>
  </si>
  <si>
    <t>-</t>
  </si>
  <si>
    <t>Pro-Forma Combined</t>
  </si>
  <si>
    <t>Tranche 1:</t>
  </si>
  <si>
    <t>Tranche 2:</t>
  </si>
  <si>
    <t>FY 2025 E</t>
  </si>
  <si>
    <t>Foregone Interest on Cash:</t>
  </si>
  <si>
    <t>Interest Paid on New Debt issued:</t>
  </si>
  <si>
    <t>SOFR rate:</t>
  </si>
  <si>
    <t>(As on 31/12/2024)</t>
  </si>
  <si>
    <t>Term loan interest rate/Size</t>
  </si>
  <si>
    <t>Accretion/Dilution</t>
  </si>
  <si>
    <t>Accretion/Dilution (%)</t>
  </si>
  <si>
    <t>Revenue synergies</t>
  </si>
  <si>
    <t>COGS synergies</t>
  </si>
  <si>
    <t>OpEx synergies</t>
  </si>
  <si>
    <t>Merger Balance Sheet</t>
  </si>
  <si>
    <t>Total allocable purchase premium:</t>
  </si>
  <si>
    <t>Total Goodwill created:</t>
  </si>
  <si>
    <t>Goodwill calculation:</t>
  </si>
  <si>
    <t>Fixed asset write up:</t>
  </si>
  <si>
    <t>Inangible asset write up:</t>
  </si>
  <si>
    <t>Amort. Intangibles write up</t>
  </si>
  <si>
    <t>Dep. PP&amp;E write up</t>
  </si>
  <si>
    <t>Sensitivity Analysis - Year 1 EPS Accretion/Dilution and Purchase Price vs Operating  Expenses synergies:</t>
  </si>
  <si>
    <t>Per Share Purchase Price</t>
  </si>
  <si>
    <t>Expenses Synergies % Seller OpEx</t>
  </si>
  <si>
    <t>Revenue Synergies % Seller Revenue</t>
  </si>
  <si>
    <t>Sensitivity Analysis - Year 1 EPS Accretion/Dilution and Purchase Price vs Revenue synergies:</t>
  </si>
  <si>
    <t>Effective Tax Rate</t>
  </si>
  <si>
    <t>Absolute Earnings ($)</t>
  </si>
  <si>
    <t>Operating profit margin</t>
  </si>
  <si>
    <t>EBITDA margin</t>
  </si>
  <si>
    <t>EBIT margin</t>
  </si>
  <si>
    <t>Net profit margin</t>
  </si>
  <si>
    <t>Return Ratios</t>
  </si>
  <si>
    <t xml:space="preserve">1. Profitability Ratio </t>
  </si>
  <si>
    <t>2. Leverage Ratios</t>
  </si>
  <si>
    <t>Debt / Equity</t>
  </si>
  <si>
    <t>Debt / Assets</t>
  </si>
  <si>
    <t>Debt / EBITDA</t>
  </si>
  <si>
    <t>3. Efficency Ratios</t>
  </si>
  <si>
    <t>Receivables Turnover</t>
  </si>
  <si>
    <t>Inventory Turnover</t>
  </si>
  <si>
    <t>Trade Payable Turnover</t>
  </si>
  <si>
    <t xml:space="preserve">Total Asset Turnover </t>
  </si>
  <si>
    <t>4. Valuation Ratios</t>
  </si>
  <si>
    <t>Financial Leverage</t>
  </si>
  <si>
    <t>Return on Equity (ROE)</t>
  </si>
  <si>
    <t>Return on Assets (ROA)</t>
  </si>
  <si>
    <t>Return on Capital Employed (ROCE)</t>
  </si>
  <si>
    <t>Margin  Analysis (%)</t>
  </si>
  <si>
    <t>Dupoint Analysis (%)</t>
  </si>
  <si>
    <r>
      <t>Solvency</t>
    </r>
    <r>
      <rPr>
        <sz val="10"/>
        <color theme="1"/>
        <rFont val="Aptos"/>
        <family val="2"/>
      </rPr>
      <t xml:space="preserve"> (Ratios)</t>
    </r>
  </si>
  <si>
    <t>Per-Share metrics</t>
  </si>
  <si>
    <t>EPS ($)</t>
  </si>
  <si>
    <t>EPS growth (YoY)</t>
  </si>
  <si>
    <t xml:space="preserve">Book Value Per share ($) </t>
  </si>
  <si>
    <t>Price/Earnings (P/E)</t>
  </si>
  <si>
    <t>Price/Books (P/B)</t>
  </si>
  <si>
    <t>Price/Sales (P/S)</t>
  </si>
  <si>
    <t>Company Comps</t>
  </si>
  <si>
    <t>25th Point / Close</t>
  </si>
  <si>
    <t>75th Point / Open</t>
  </si>
  <si>
    <r>
      <t xml:space="preserve">Valuation Summary </t>
    </r>
    <r>
      <rPr>
        <b/>
        <i/>
        <sz val="9"/>
        <color theme="1"/>
        <rFont val="Aptos"/>
        <family val="2"/>
      </rPr>
      <t>(As on 31/12/2024)</t>
    </r>
  </si>
  <si>
    <t>Terminal Growth Rate 1%-5% - WACC 6% - 10%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</si>
</sst>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₹&quot;\ #,##0;&quot;₹&quot;\ \-#,##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mmm/yy\ \A"/>
    <numFmt numFmtId="165" formatCode="mmm/yy\ \E"/>
    <numFmt numFmtId="166" formatCode="#,##0.0"/>
    <numFmt numFmtId="167" formatCode="#,##0;\(#,##0\);\ \-"/>
    <numFmt numFmtId="168" formatCode="0.0%"/>
    <numFmt numFmtId="169" formatCode="0.0"/>
    <numFmt numFmtId="170" formatCode="dd\ mmmm\ yyyy"/>
    <numFmt numFmtId="171" formatCode="##0,##0;\(##0,##0\);\ \-"/>
    <numFmt numFmtId="172" formatCode="#,##0;\(#,##0\);&quot;-&quot;"/>
    <numFmt numFmtId="173" formatCode="&quot;FY&quot;\ yyyy"/>
    <numFmt numFmtId="174" formatCode="&quot;FY&quot;\ yyyy\ \E"/>
    <numFmt numFmtId="175" formatCode="_ * #,##0_ ;_ * \-#,##0_ ;_ * &quot;-&quot;??_ ;_ @_ "/>
    <numFmt numFmtId="176" formatCode="_-[$$-409]* #,##0.00_ ;_-[$$-409]* \-#,##0.00\ ;_-[$$-409]* &quot;-&quot;??_ ;_-@_ "/>
    <numFmt numFmtId="177" formatCode="0.00\x"/>
    <numFmt numFmtId="178" formatCode="#,##0.00,"/>
    <numFmt numFmtId="179" formatCode="_-[$$-409]* #,##0_ ;_-[$$-409]* \-#,##0\ ;_-[$$-409]* &quot;-&quot;??_ ;_-@_ "/>
    <numFmt numFmtId="180" formatCode="_(&quot;$&quot;* #,##0.00_);_(&quot;$&quot;* \(#,##0.00\);_(&quot;$&quot;* &quot;-&quot;??_);_(@_)"/>
    <numFmt numFmtId="181" formatCode="_-[$$-409]* #,##0.0_ ;_-[$$-409]* \-#,##0.0\ ;_-[$$-409]* &quot;-&quot;?_ ;_-@_ "/>
    <numFmt numFmtId="182" formatCode="#,##0.00\x"/>
    <numFmt numFmtId="183" formatCode="#,##0.0000\x"/>
  </numFmts>
  <fonts count="6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Calibri"/>
      <family val="2"/>
    </font>
    <font>
      <sz val="10"/>
      <color rgb="FF0000FF"/>
      <name val="Arial"/>
      <family val="2"/>
    </font>
    <font>
      <u/>
      <sz val="11"/>
      <color theme="10"/>
      <name val="Calibri"/>
      <family val="2"/>
    </font>
    <font>
      <b/>
      <sz val="11"/>
      <color theme="3"/>
      <name val="Calibri"/>
      <family val="2"/>
    </font>
    <font>
      <sz val="18"/>
      <color rgb="FF001440"/>
      <name val="Arial Black"/>
      <family val="2"/>
    </font>
    <font>
      <sz val="10"/>
      <color theme="1"/>
      <name val="Aptos"/>
      <family val="2"/>
    </font>
    <font>
      <sz val="8"/>
      <color theme="1"/>
      <name val="Aptos"/>
      <family val="2"/>
    </font>
    <font>
      <b/>
      <sz val="12"/>
      <color theme="0"/>
      <name val="Aptos"/>
      <family val="2"/>
    </font>
    <font>
      <b/>
      <sz val="10"/>
      <color theme="0"/>
      <name val="Aptos"/>
      <family val="2"/>
    </font>
    <font>
      <i/>
      <sz val="9"/>
      <color theme="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u/>
      <sz val="10"/>
      <color theme="1"/>
      <name val="Aptos"/>
      <family val="2"/>
    </font>
    <font>
      <sz val="11"/>
      <color rgb="FFFF0000"/>
      <name val="Aptos"/>
      <family val="2"/>
    </font>
    <font>
      <b/>
      <sz val="10"/>
      <color theme="1"/>
      <name val="Aptos"/>
      <family val="2"/>
    </font>
    <font>
      <sz val="11"/>
      <color rgb="FF0000FF"/>
      <name val="Aptos"/>
      <family val="2"/>
    </font>
    <font>
      <sz val="11"/>
      <color rgb="FF00B000"/>
      <name val="Aptos"/>
      <family val="2"/>
    </font>
    <font>
      <sz val="11"/>
      <color theme="0"/>
      <name val="Aptos"/>
      <family val="2"/>
    </font>
    <font>
      <b/>
      <sz val="9"/>
      <color theme="0"/>
      <name val="Aptos"/>
      <family val="2"/>
    </font>
    <font>
      <sz val="10"/>
      <color theme="0"/>
      <name val="Aptos"/>
      <family val="2"/>
    </font>
    <font>
      <b/>
      <sz val="11"/>
      <color theme="0"/>
      <name val="Aptos"/>
      <family val="2"/>
    </font>
    <font>
      <u/>
      <sz val="11"/>
      <color theme="10"/>
      <name val="Aptos"/>
      <family val="2"/>
    </font>
    <font>
      <i/>
      <sz val="10"/>
      <color theme="1"/>
      <name val="Aptos"/>
      <family val="2"/>
    </font>
    <font>
      <sz val="9"/>
      <color theme="0"/>
      <name val="Aptos"/>
      <family val="2"/>
    </font>
    <font>
      <sz val="10"/>
      <color rgb="FF232526"/>
      <name val="Aptos"/>
      <family val="2"/>
    </font>
    <font>
      <sz val="11"/>
      <color rgb="FF232526"/>
      <name val="Aptos"/>
      <family val="2"/>
    </font>
    <font>
      <b/>
      <i/>
      <sz val="10"/>
      <color theme="1"/>
      <name val="Aptos"/>
      <family val="2"/>
    </font>
    <font>
      <b/>
      <sz val="11"/>
      <color rgb="FFD91400"/>
      <name val="Aptos"/>
      <family val="2"/>
    </font>
    <font>
      <b/>
      <sz val="11"/>
      <color rgb="FF007C32"/>
      <name val="Aptos"/>
      <family val="2"/>
    </font>
    <font>
      <i/>
      <sz val="10"/>
      <color theme="0"/>
      <name val="Aptos"/>
      <family val="2"/>
    </font>
    <font>
      <u/>
      <sz val="10"/>
      <color theme="10"/>
      <name val="Aptos"/>
      <family val="2"/>
    </font>
    <font>
      <sz val="18"/>
      <color rgb="FF00006C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8"/>
      <color theme="1"/>
      <name val="Aptos"/>
      <family val="2"/>
    </font>
    <font>
      <i/>
      <sz val="7"/>
      <color theme="1"/>
      <name val="Aptos"/>
      <family val="2"/>
    </font>
    <font>
      <b/>
      <sz val="10"/>
      <color rgb="FF232526"/>
      <name val="Aptos"/>
      <family val="2"/>
    </font>
    <font>
      <b/>
      <sz val="11"/>
      <color rgb="FF232526"/>
      <name val="Aptos"/>
      <family val="2"/>
    </font>
    <font>
      <sz val="10"/>
      <color rgb="FF111827"/>
      <name val="Aptos"/>
      <family val="2"/>
    </font>
    <font>
      <i/>
      <sz val="11"/>
      <color theme="1"/>
      <name val="Aptos"/>
      <family val="2"/>
    </font>
    <font>
      <b/>
      <sz val="10"/>
      <color rgb="FF111827"/>
      <name val="Aptos"/>
      <family val="2"/>
    </font>
    <font>
      <sz val="10"/>
      <color rgb="FF0000FF"/>
      <name val="Aptos"/>
      <family val="2"/>
    </font>
    <font>
      <sz val="10"/>
      <color rgb="FF00B000"/>
      <name val="Aptos"/>
      <family val="2"/>
    </font>
    <font>
      <i/>
      <sz val="10"/>
      <color rgb="FF00B000"/>
      <name val="Aptos"/>
      <family val="2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b/>
      <sz val="10"/>
      <color indexed="9"/>
      <name val="Aptos"/>
      <family val="2"/>
    </font>
    <font>
      <sz val="10"/>
      <name val="Aptos"/>
      <family val="2"/>
    </font>
    <font>
      <b/>
      <sz val="10"/>
      <name val="Aptos"/>
      <family val="2"/>
    </font>
    <font>
      <sz val="10"/>
      <color theme="0" tint="-4.9989318521683403E-2"/>
      <name val="Aptos"/>
      <family val="2"/>
    </font>
    <font>
      <b/>
      <sz val="10"/>
      <color rgb="FF0000FF"/>
      <name val="Aptos"/>
      <family val="2"/>
    </font>
    <font>
      <i/>
      <sz val="10"/>
      <color rgb="FF0000FF"/>
      <name val="Aptos"/>
      <family val="2"/>
    </font>
    <font>
      <b/>
      <sz val="11"/>
      <color theme="1"/>
      <name val="Calibri"/>
      <family val="2"/>
    </font>
    <font>
      <sz val="10"/>
      <color theme="0" tint="-0.14999847407452621"/>
      <name val="Aptos"/>
      <family val="2"/>
    </font>
    <font>
      <b/>
      <i/>
      <sz val="9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rgb="FF00004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4FFAF"/>
        <bgColor rgb="FFF4FFA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darkTrellis">
        <fgColor rgb="FF00006C"/>
        <bgColor rgb="FF00144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ck">
        <color theme="1" tint="4.9989318521683403E-2"/>
      </bottom>
      <diagonal/>
    </border>
    <border>
      <left/>
      <right/>
      <top style="thick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ck">
        <color theme="1" tint="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1"/>
      </left>
      <right/>
      <top style="dotted">
        <color theme="1"/>
      </top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 style="thin">
        <color indexed="64"/>
      </right>
      <top style="dotted">
        <color theme="1"/>
      </top>
      <bottom style="dotted">
        <color theme="1"/>
      </bottom>
      <diagonal/>
    </border>
    <border>
      <left style="thin">
        <color theme="1"/>
      </left>
      <right/>
      <top style="thin">
        <color theme="1"/>
      </top>
      <bottom style="dotted">
        <color theme="1"/>
      </bottom>
      <diagonal/>
    </border>
    <border>
      <left/>
      <right/>
      <top style="thin">
        <color theme="1"/>
      </top>
      <bottom style="dotted">
        <color theme="1"/>
      </bottom>
      <diagonal/>
    </border>
    <border>
      <left/>
      <right style="thin">
        <color theme="1"/>
      </right>
      <top style="thin">
        <color theme="1"/>
      </top>
      <bottom style="dotted">
        <color theme="1"/>
      </bottom>
      <diagonal/>
    </border>
    <border>
      <left/>
      <right style="thin">
        <color theme="1"/>
      </right>
      <top style="dotted">
        <color theme="1"/>
      </top>
      <bottom style="dotted">
        <color theme="1"/>
      </bottom>
      <diagonal/>
    </border>
    <border>
      <left style="thin">
        <color theme="1"/>
      </left>
      <right/>
      <top style="dotted">
        <color theme="1"/>
      </top>
      <bottom style="thin">
        <color theme="1"/>
      </bottom>
      <diagonal/>
    </border>
    <border>
      <left/>
      <right/>
      <top style="dotted">
        <color theme="1"/>
      </top>
      <bottom style="thin">
        <color theme="1"/>
      </bottom>
      <diagonal/>
    </border>
    <border>
      <left/>
      <right style="thin">
        <color theme="1"/>
      </right>
      <top style="dotted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1" fillId="2" borderId="3" applyNumberFormat="0" applyFont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7" fillId="6" borderId="0"/>
    <xf numFmtId="0" fontId="8" fillId="0" borderId="0" applyNumberFormat="0" applyFill="0" applyBorder="0" applyAlignment="0" applyProtection="0"/>
    <xf numFmtId="0" fontId="9" fillId="0" borderId="19" applyNumberFormat="0" applyFill="0" applyAlignment="0" applyProtection="0"/>
    <xf numFmtId="0" fontId="10" fillId="0" borderId="0"/>
    <xf numFmtId="0" fontId="4" fillId="0" borderId="0"/>
    <xf numFmtId="0" fontId="50" fillId="0" borderId="0"/>
    <xf numFmtId="44" fontId="1" fillId="0" borderId="0" applyFont="0" applyFill="0" applyBorder="0" applyAlignment="0" applyProtection="0"/>
  </cellStyleXfs>
  <cellXfs count="532">
    <xf numFmtId="0" fontId="0" fillId="0" borderId="0" xfId="0"/>
    <xf numFmtId="0" fontId="4" fillId="0" borderId="0" xfId="0" applyFont="1"/>
    <xf numFmtId="0" fontId="5" fillId="4" borderId="0" xfId="0" applyFont="1" applyFill="1"/>
    <xf numFmtId="0" fontId="2" fillId="4" borderId="0" xfId="0" applyFont="1" applyFill="1"/>
    <xf numFmtId="0" fontId="3" fillId="4" borderId="0" xfId="0" applyFont="1" applyFill="1"/>
    <xf numFmtId="170" fontId="11" fillId="10" borderId="0" xfId="0" applyNumberFormat="1" applyFont="1" applyFill="1"/>
    <xf numFmtId="0" fontId="11" fillId="10" borderId="0" xfId="0" applyFont="1" applyFill="1"/>
    <xf numFmtId="170" fontId="11" fillId="10" borderId="0" xfId="0" applyNumberFormat="1" applyFont="1" applyFill="1" applyAlignment="1">
      <alignment horizontal="left"/>
    </xf>
    <xf numFmtId="170" fontId="12" fillId="10" borderId="0" xfId="0" applyNumberFormat="1" applyFont="1" applyFill="1" applyAlignment="1">
      <alignment horizontal="left"/>
    </xf>
    <xf numFmtId="0" fontId="13" fillId="4" borderId="0" xfId="0" applyFont="1" applyFill="1"/>
    <xf numFmtId="0" fontId="14" fillId="3" borderId="0" xfId="0" applyFont="1" applyFill="1"/>
    <xf numFmtId="0" fontId="16" fillId="5" borderId="0" xfId="0" applyFont="1" applyFill="1"/>
    <xf numFmtId="0" fontId="17" fillId="5" borderId="0" xfId="0" applyFont="1" applyFill="1"/>
    <xf numFmtId="0" fontId="11" fillId="0" borderId="0" xfId="0" applyFont="1"/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0" fillId="0" borderId="4" xfId="0" applyFont="1" applyBorder="1"/>
    <xf numFmtId="0" fontId="18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3" fillId="3" borderId="0" xfId="0" applyFont="1" applyFill="1"/>
    <xf numFmtId="0" fontId="23" fillId="3" borderId="0" xfId="0" applyFont="1" applyFill="1"/>
    <xf numFmtId="0" fontId="15" fillId="3" borderId="0" xfId="0" applyFont="1" applyFill="1"/>
    <xf numFmtId="0" fontId="24" fillId="3" borderId="0" xfId="0" applyFont="1" applyFill="1"/>
    <xf numFmtId="0" fontId="23" fillId="3" borderId="1" xfId="0" applyFont="1" applyFill="1" applyBorder="1"/>
    <xf numFmtId="0" fontId="25" fillId="3" borderId="0" xfId="0" applyFont="1" applyFill="1"/>
    <xf numFmtId="0" fontId="25" fillId="3" borderId="6" xfId="0" applyFont="1" applyFill="1" applyBorder="1"/>
    <xf numFmtId="164" fontId="14" fillId="3" borderId="13" xfId="0" applyNumberFormat="1" applyFont="1" applyFill="1" applyBorder="1"/>
    <xf numFmtId="165" fontId="14" fillId="3" borderId="13" xfId="0" applyNumberFormat="1" applyFont="1" applyFill="1" applyBorder="1"/>
    <xf numFmtId="165" fontId="14" fillId="3" borderId="7" xfId="0" applyNumberFormat="1" applyFont="1" applyFill="1" applyBorder="1"/>
    <xf numFmtId="15" fontId="14" fillId="3" borderId="13" xfId="0" applyNumberFormat="1" applyFont="1" applyFill="1" applyBorder="1" applyAlignment="1">
      <alignment horizontal="right"/>
    </xf>
    <xf numFmtId="0" fontId="14" fillId="3" borderId="7" xfId="0" applyFont="1" applyFill="1" applyBorder="1" applyAlignment="1">
      <alignment horizontal="right"/>
    </xf>
    <xf numFmtId="0" fontId="11" fillId="0" borderId="14" xfId="0" applyFont="1" applyBorder="1"/>
    <xf numFmtId="0" fontId="11" fillId="0" borderId="6" xfId="0" applyFont="1" applyBorder="1"/>
    <xf numFmtId="0" fontId="27" fillId="0" borderId="0" xfId="5" applyFont="1"/>
    <xf numFmtId="0" fontId="27" fillId="0" borderId="0" xfId="5" applyFont="1" applyAlignment="1">
      <alignment horizontal="left" indent="1"/>
    </xf>
    <xf numFmtId="0" fontId="23" fillId="5" borderId="0" xfId="0" applyFont="1" applyFill="1"/>
    <xf numFmtId="0" fontId="20" fillId="0" borderId="0" xfId="0" applyFont="1"/>
    <xf numFmtId="0" fontId="20" fillId="5" borderId="0" xfId="0" applyFont="1" applyFill="1"/>
    <xf numFmtId="0" fontId="11" fillId="0" borderId="0" xfId="8" applyFont="1"/>
    <xf numFmtId="0" fontId="27" fillId="5" borderId="0" xfId="5" applyFont="1" applyFill="1"/>
    <xf numFmtId="0" fontId="25" fillId="5" borderId="0" xfId="0" applyFont="1" applyFill="1"/>
    <xf numFmtId="0" fontId="11" fillId="0" borderId="0" xfId="0" applyFont="1" applyAlignment="1">
      <alignment horizontal="left" indent="1"/>
    </xf>
    <xf numFmtId="167" fontId="11" fillId="0" borderId="0" xfId="0" applyNumberFormat="1" applyFont="1"/>
    <xf numFmtId="0" fontId="29" fillId="3" borderId="0" xfId="0" applyFont="1" applyFill="1"/>
    <xf numFmtId="0" fontId="18" fillId="0" borderId="0" xfId="0" applyFont="1" applyAlignment="1">
      <alignment horizontal="left"/>
    </xf>
    <xf numFmtId="4" fontId="11" fillId="9" borderId="0" xfId="0" applyNumberFormat="1" applyFont="1" applyFill="1"/>
    <xf numFmtId="0" fontId="11" fillId="9" borderId="0" xfId="0" applyFont="1" applyFill="1"/>
    <xf numFmtId="14" fontId="30" fillId="7" borderId="0" xfId="0" applyNumberFormat="1" applyFont="1" applyFill="1" applyAlignment="1">
      <alignment horizontal="left" vertical="center"/>
    </xf>
    <xf numFmtId="4" fontId="11" fillId="7" borderId="0" xfId="0" applyNumberFormat="1" applyFont="1" applyFill="1" applyAlignment="1">
      <alignment horizontal="left" vertical="center" wrapText="1" readingOrder="1"/>
    </xf>
    <xf numFmtId="4" fontId="31" fillId="7" borderId="0" xfId="0" applyNumberFormat="1" applyFont="1" applyFill="1" applyAlignment="1">
      <alignment horizontal="left" vertical="center" wrapText="1"/>
    </xf>
    <xf numFmtId="4" fontId="31" fillId="7" borderId="0" xfId="0" applyNumberFormat="1" applyFont="1" applyFill="1" applyAlignment="1">
      <alignment horizontal="right" vertical="center" wrapText="1"/>
    </xf>
    <xf numFmtId="4" fontId="11" fillId="0" borderId="0" xfId="0" applyNumberFormat="1" applyFont="1"/>
    <xf numFmtId="168" fontId="30" fillId="7" borderId="0" xfId="2" applyNumberFormat="1" applyFont="1" applyFill="1" applyAlignment="1">
      <alignment horizontal="right" vertical="center" wrapText="1"/>
    </xf>
    <xf numFmtId="10" fontId="11" fillId="9" borderId="0" xfId="0" applyNumberFormat="1" applyFont="1" applyFill="1"/>
    <xf numFmtId="4" fontId="20" fillId="5" borderId="0" xfId="0" applyNumberFormat="1" applyFont="1" applyFill="1"/>
    <xf numFmtId="2" fontId="20" fillId="5" borderId="0" xfId="0" applyNumberFormat="1" applyFont="1" applyFill="1"/>
    <xf numFmtId="10" fontId="11" fillId="0" borderId="0" xfId="0" applyNumberFormat="1" applyFont="1"/>
    <xf numFmtId="169" fontId="20" fillId="5" borderId="0" xfId="0" applyNumberFormat="1" applyFont="1" applyFill="1"/>
    <xf numFmtId="10" fontId="20" fillId="5" borderId="0" xfId="0" applyNumberFormat="1" applyFont="1" applyFill="1"/>
    <xf numFmtId="0" fontId="11" fillId="7" borderId="0" xfId="0" applyFont="1" applyFill="1" applyAlignment="1">
      <alignment horizontal="left" vertical="center" wrapText="1" readingOrder="1"/>
    </xf>
    <xf numFmtId="0" fontId="31" fillId="7" borderId="0" xfId="0" applyFont="1" applyFill="1" applyAlignment="1">
      <alignment horizontal="right" vertical="center" wrapText="1"/>
    </xf>
    <xf numFmtId="10" fontId="33" fillId="7" borderId="0" xfId="0" applyNumberFormat="1" applyFont="1" applyFill="1" applyAlignment="1">
      <alignment horizontal="right" vertical="center" readingOrder="1"/>
    </xf>
    <xf numFmtId="10" fontId="34" fillId="7" borderId="0" xfId="0" applyNumberFormat="1" applyFont="1" applyFill="1" applyAlignment="1">
      <alignment horizontal="right" vertical="center" readingOrder="1"/>
    </xf>
    <xf numFmtId="0" fontId="26" fillId="3" borderId="0" xfId="0" applyFont="1" applyFill="1"/>
    <xf numFmtId="0" fontId="28" fillId="0" borderId="0" xfId="0" applyFont="1"/>
    <xf numFmtId="0" fontId="11" fillId="2" borderId="20" xfId="1" applyFont="1" applyBorder="1"/>
    <xf numFmtId="0" fontId="11" fillId="2" borderId="21" xfId="1" applyFont="1" applyBorder="1"/>
    <xf numFmtId="0" fontId="11" fillId="2" borderId="22" xfId="1" applyFont="1" applyBorder="1"/>
    <xf numFmtId="10" fontId="11" fillId="2" borderId="3" xfId="1" applyNumberFormat="1" applyFont="1"/>
    <xf numFmtId="0" fontId="14" fillId="4" borderId="0" xfId="0" applyFont="1" applyFill="1"/>
    <xf numFmtId="0" fontId="11" fillId="0" borderId="0" xfId="0" applyFont="1" applyAlignment="1">
      <alignment horizontal="left" indent="2"/>
    </xf>
    <xf numFmtId="0" fontId="35" fillId="3" borderId="0" xfId="0" applyFont="1" applyFill="1"/>
    <xf numFmtId="0" fontId="36" fillId="0" borderId="0" xfId="5" applyFont="1"/>
    <xf numFmtId="0" fontId="11" fillId="0" borderId="32" xfId="0" applyFont="1" applyBorder="1"/>
    <xf numFmtId="0" fontId="25" fillId="10" borderId="0" xfId="0" applyFont="1" applyFill="1"/>
    <xf numFmtId="0" fontId="37" fillId="10" borderId="0" xfId="7" applyFont="1" applyFill="1"/>
    <xf numFmtId="0" fontId="25" fillId="0" borderId="32" xfId="0" applyFont="1" applyBorder="1"/>
    <xf numFmtId="0" fontId="11" fillId="0" borderId="27" xfId="0" applyFont="1" applyBorder="1"/>
    <xf numFmtId="0" fontId="11" fillId="0" borderId="31" xfId="0" applyFont="1" applyBorder="1"/>
    <xf numFmtId="0" fontId="11" fillId="0" borderId="29" xfId="0" applyFont="1" applyBorder="1"/>
    <xf numFmtId="0" fontId="38" fillId="0" borderId="0" xfId="0" applyFont="1"/>
    <xf numFmtId="0" fontId="12" fillId="0" borderId="0" xfId="5" applyFont="1" applyFill="1" applyBorder="1"/>
    <xf numFmtId="0" fontId="28" fillId="0" borderId="0" xfId="0" applyFont="1" applyAlignment="1">
      <alignment vertical="center"/>
    </xf>
    <xf numFmtId="0" fontId="11" fillId="0" borderId="30" xfId="0" applyFont="1" applyBorder="1"/>
    <xf numFmtId="0" fontId="11" fillId="0" borderId="28" xfId="0" applyFont="1" applyBorder="1"/>
    <xf numFmtId="0" fontId="38" fillId="8" borderId="30" xfId="0" applyFont="1" applyFill="1" applyBorder="1"/>
    <xf numFmtId="0" fontId="39" fillId="8" borderId="0" xfId="0" applyFont="1" applyFill="1"/>
    <xf numFmtId="0" fontId="12" fillId="0" borderId="0" xfId="0" applyFont="1"/>
    <xf numFmtId="0" fontId="40" fillId="0" borderId="0" xfId="0" applyFont="1"/>
    <xf numFmtId="5" fontId="12" fillId="0" borderId="0" xfId="0" applyNumberFormat="1" applyFont="1" applyAlignment="1">
      <alignment horizontal="right"/>
    </xf>
    <xf numFmtId="10" fontId="12" fillId="0" borderId="0" xfId="0" applyNumberFormat="1" applyFont="1"/>
    <xf numFmtId="168" fontId="11" fillId="0" borderId="0" xfId="2" applyNumberFormat="1" applyFont="1" applyFill="1"/>
    <xf numFmtId="10" fontId="12" fillId="0" borderId="0" xfId="2" applyNumberFormat="1" applyFont="1" applyFill="1"/>
    <xf numFmtId="0" fontId="39" fillId="8" borderId="30" xfId="0" applyFont="1" applyFill="1" applyBorder="1"/>
    <xf numFmtId="0" fontId="12" fillId="0" borderId="0" xfId="0" applyFont="1" applyAlignment="1">
      <alignment horizontal="left"/>
    </xf>
    <xf numFmtId="166" fontId="12" fillId="0" borderId="0" xfId="0" applyNumberFormat="1" applyFont="1" applyAlignment="1">
      <alignment horizontal="right"/>
    </xf>
    <xf numFmtId="0" fontId="41" fillId="0" borderId="0" xfId="0" applyFont="1" applyAlignment="1">
      <alignment horizontal="left"/>
    </xf>
    <xf numFmtId="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27" fillId="0" borderId="0" xfId="5" applyFont="1" applyAlignment="1"/>
    <xf numFmtId="0" fontId="27" fillId="0" borderId="0" xfId="5" applyFont="1" applyAlignment="1">
      <alignment horizontal="left"/>
    </xf>
    <xf numFmtId="0" fontId="11" fillId="0" borderId="0" xfId="8" applyFont="1" applyAlignment="1">
      <alignment horizontal="left" indent="1"/>
    </xf>
    <xf numFmtId="0" fontId="20" fillId="0" borderId="0" xfId="8" applyFont="1" applyAlignment="1">
      <alignment horizontal="left" indent="2"/>
    </xf>
    <xf numFmtId="0" fontId="20" fillId="0" borderId="0" xfId="8" applyFont="1"/>
    <xf numFmtId="171" fontId="11" fillId="0" borderId="0" xfId="8" applyNumberFormat="1" applyFont="1"/>
    <xf numFmtId="3" fontId="11" fillId="0" borderId="0" xfId="8" applyNumberFormat="1" applyFont="1"/>
    <xf numFmtId="172" fontId="11" fillId="0" borderId="0" xfId="8" applyNumberFormat="1" applyFont="1"/>
    <xf numFmtId="172" fontId="20" fillId="0" borderId="0" xfId="8" applyNumberFormat="1" applyFont="1"/>
    <xf numFmtId="173" fontId="14" fillId="3" borderId="13" xfId="0" applyNumberFormat="1" applyFont="1" applyFill="1" applyBorder="1"/>
    <xf numFmtId="174" fontId="14" fillId="3" borderId="13" xfId="0" applyNumberFormat="1" applyFont="1" applyFill="1" applyBorder="1"/>
    <xf numFmtId="43" fontId="11" fillId="0" borderId="0" xfId="8" applyNumberFormat="1" applyFont="1"/>
    <xf numFmtId="173" fontId="16" fillId="5" borderId="0" xfId="0" applyNumberFormat="1" applyFont="1" applyFill="1"/>
    <xf numFmtId="174" fontId="16" fillId="5" borderId="0" xfId="0" applyNumberFormat="1" applyFont="1" applyFill="1"/>
    <xf numFmtId="168" fontId="28" fillId="0" borderId="0" xfId="2" applyNumberFormat="1" applyFont="1"/>
    <xf numFmtId="168" fontId="11" fillId="0" borderId="0" xfId="8" applyNumberFormat="1" applyFont="1"/>
    <xf numFmtId="0" fontId="8" fillId="5" borderId="0" xfId="5" applyFill="1"/>
    <xf numFmtId="0" fontId="8" fillId="0" borderId="0" xfId="5" applyFill="1"/>
    <xf numFmtId="0" fontId="35" fillId="4" borderId="0" xfId="0" applyFont="1" applyFill="1"/>
    <xf numFmtId="168" fontId="32" fillId="0" borderId="0" xfId="2" applyNumberFormat="1" applyFont="1"/>
    <xf numFmtId="0" fontId="18" fillId="0" borderId="0" xfId="8" applyFont="1"/>
    <xf numFmtId="3" fontId="20" fillId="0" borderId="33" xfId="8" applyNumberFormat="1" applyFont="1" applyBorder="1"/>
    <xf numFmtId="172" fontId="11" fillId="0" borderId="0" xfId="0" applyNumberFormat="1" applyFont="1"/>
    <xf numFmtId="172" fontId="20" fillId="0" borderId="33" xfId="0" applyNumberFormat="1" applyFont="1" applyBorder="1"/>
    <xf numFmtId="172" fontId="20" fillId="0" borderId="0" xfId="0" applyNumberFormat="1" applyFont="1"/>
    <xf numFmtId="1" fontId="11" fillId="0" borderId="0" xfId="8" applyNumberFormat="1" applyFont="1"/>
    <xf numFmtId="0" fontId="36" fillId="0" borderId="0" xfId="5" applyFont="1" applyAlignment="1">
      <alignment horizontal="left" indent="1"/>
    </xf>
    <xf numFmtId="0" fontId="36" fillId="5" borderId="0" xfId="5" applyFont="1" applyFill="1"/>
    <xf numFmtId="0" fontId="8" fillId="0" borderId="0" xfId="5"/>
    <xf numFmtId="0" fontId="20" fillId="0" borderId="0" xfId="8" applyFont="1" applyAlignment="1">
      <alignment horizontal="left" indent="1"/>
    </xf>
    <xf numFmtId="0" fontId="11" fillId="0" borderId="0" xfId="8" applyFont="1" applyAlignment="1">
      <alignment horizontal="left" indent="2"/>
    </xf>
    <xf numFmtId="0" fontId="11" fillId="12" borderId="0" xfId="8" applyFont="1" applyFill="1"/>
    <xf numFmtId="10" fontId="28" fillId="2" borderId="3" xfId="1" applyNumberFormat="1" applyFont="1"/>
    <xf numFmtId="0" fontId="11" fillId="0" borderId="0" xfId="8" applyFont="1" applyAlignment="1">
      <alignment horizontal="left"/>
    </xf>
    <xf numFmtId="172" fontId="20" fillId="0" borderId="4" xfId="0" applyNumberFormat="1" applyFont="1" applyBorder="1"/>
    <xf numFmtId="172" fontId="20" fillId="0" borderId="34" xfId="0" applyNumberFormat="1" applyFont="1" applyBorder="1"/>
    <xf numFmtId="0" fontId="11" fillId="0" borderId="32" xfId="8" applyFont="1" applyBorder="1"/>
    <xf numFmtId="0" fontId="11" fillId="0" borderId="35" xfId="8" applyFont="1" applyBorder="1"/>
    <xf numFmtId="0" fontId="20" fillId="0" borderId="32" xfId="8" applyFont="1" applyBorder="1"/>
    <xf numFmtId="172" fontId="11" fillId="0" borderId="35" xfId="8" applyNumberFormat="1" applyFont="1" applyBorder="1"/>
    <xf numFmtId="172" fontId="20" fillId="0" borderId="35" xfId="8" applyNumberFormat="1" applyFont="1" applyBorder="1"/>
    <xf numFmtId="3" fontId="11" fillId="0" borderId="35" xfId="8" applyNumberFormat="1" applyFont="1" applyBorder="1"/>
    <xf numFmtId="0" fontId="6" fillId="0" borderId="32" xfId="3" applyBorder="1" applyAlignment="1">
      <alignment horizontal="center"/>
    </xf>
    <xf numFmtId="0" fontId="6" fillId="0" borderId="0" xfId="3" applyBorder="1" applyAlignment="1">
      <alignment horizontal="center"/>
    </xf>
    <xf numFmtId="172" fontId="6" fillId="0" borderId="0" xfId="3" applyNumberFormat="1" applyBorder="1" applyAlignment="1">
      <alignment horizontal="right"/>
    </xf>
    <xf numFmtId="172" fontId="6" fillId="0" borderId="35" xfId="3" applyNumberFormat="1" applyBorder="1" applyAlignment="1">
      <alignment horizontal="right"/>
    </xf>
    <xf numFmtId="0" fontId="20" fillId="0" borderId="36" xfId="8" applyFont="1" applyBorder="1"/>
    <xf numFmtId="0" fontId="11" fillId="0" borderId="37" xfId="8" applyFont="1" applyBorder="1"/>
    <xf numFmtId="172" fontId="20" fillId="0" borderId="37" xfId="8" applyNumberFormat="1" applyFont="1" applyBorder="1"/>
    <xf numFmtId="0" fontId="11" fillId="0" borderId="38" xfId="8" applyFont="1" applyBorder="1"/>
    <xf numFmtId="0" fontId="16" fillId="5" borderId="15" xfId="0" applyFont="1" applyFill="1" applyBorder="1"/>
    <xf numFmtId="0" fontId="23" fillId="5" borderId="4" xfId="0" applyFont="1" applyFill="1" applyBorder="1"/>
    <xf numFmtId="173" fontId="16" fillId="5" borderId="4" xfId="0" applyNumberFormat="1" applyFont="1" applyFill="1" applyBorder="1"/>
    <xf numFmtId="174" fontId="16" fillId="5" borderId="4" xfId="0" applyNumberFormat="1" applyFont="1" applyFill="1" applyBorder="1"/>
    <xf numFmtId="174" fontId="16" fillId="5" borderId="39" xfId="0" applyNumberFormat="1" applyFont="1" applyFill="1" applyBorder="1"/>
    <xf numFmtId="0" fontId="11" fillId="0" borderId="36" xfId="8" applyFont="1" applyBorder="1"/>
    <xf numFmtId="171" fontId="11" fillId="0" borderId="35" xfId="8" applyNumberFormat="1" applyFont="1" applyBorder="1"/>
    <xf numFmtId="0" fontId="11" fillId="0" borderId="32" xfId="8" applyFont="1" applyBorder="1" applyAlignment="1">
      <alignment horizontal="left" indent="1"/>
    </xf>
    <xf numFmtId="0" fontId="20" fillId="0" borderId="32" xfId="8" applyFont="1" applyBorder="1" applyAlignment="1">
      <alignment horizontal="left" indent="2"/>
    </xf>
    <xf numFmtId="43" fontId="11" fillId="0" borderId="35" xfId="8" applyNumberFormat="1" applyFont="1" applyBorder="1"/>
    <xf numFmtId="171" fontId="11" fillId="0" borderId="37" xfId="8" applyNumberFormat="1" applyFont="1" applyBorder="1"/>
    <xf numFmtId="171" fontId="11" fillId="0" borderId="38" xfId="8" applyNumberFormat="1" applyFont="1" applyBorder="1"/>
    <xf numFmtId="0" fontId="11" fillId="0" borderId="35" xfId="0" applyFont="1" applyBorder="1"/>
    <xf numFmtId="0" fontId="11" fillId="12" borderId="0" xfId="0" applyFont="1" applyFill="1"/>
    <xf numFmtId="172" fontId="11" fillId="0" borderId="35" xfId="0" applyNumberFormat="1" applyFont="1" applyBorder="1"/>
    <xf numFmtId="0" fontId="11" fillId="0" borderId="32" xfId="0" applyFont="1" applyBorder="1" applyAlignment="1">
      <alignment horizontal="left" indent="1"/>
    </xf>
    <xf numFmtId="0" fontId="11" fillId="0" borderId="32" xfId="8" applyFont="1" applyBorder="1" applyAlignment="1">
      <alignment horizontal="left" indent="2"/>
    </xf>
    <xf numFmtId="172" fontId="20" fillId="0" borderId="35" xfId="0" applyNumberFormat="1" applyFont="1" applyBorder="1"/>
    <xf numFmtId="172" fontId="20" fillId="0" borderId="39" xfId="0" applyNumberFormat="1" applyFont="1" applyBorder="1"/>
    <xf numFmtId="172" fontId="20" fillId="0" borderId="40" xfId="0" applyNumberFormat="1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38" xfId="0" applyFont="1" applyBorder="1"/>
    <xf numFmtId="0" fontId="20" fillId="0" borderId="32" xfId="8" applyFont="1" applyBorder="1" applyAlignment="1">
      <alignment horizontal="left" indent="1"/>
    </xf>
    <xf numFmtId="0" fontId="20" fillId="0" borderId="32" xfId="8" applyFont="1" applyBorder="1" applyAlignment="1">
      <alignment horizontal="left" indent="3"/>
    </xf>
    <xf numFmtId="0" fontId="18" fillId="0" borderId="32" xfId="0" applyFont="1" applyBorder="1" applyAlignment="1">
      <alignment horizontal="left" indent="1"/>
    </xf>
    <xf numFmtId="0" fontId="20" fillId="0" borderId="32" xfId="0" applyFont="1" applyBorder="1" applyAlignment="1">
      <alignment horizontal="left" indent="1"/>
    </xf>
    <xf numFmtId="0" fontId="11" fillId="0" borderId="32" xfId="0" applyFont="1" applyBorder="1" applyAlignment="1">
      <alignment horizontal="left" indent="2"/>
    </xf>
    <xf numFmtId="0" fontId="20" fillId="0" borderId="32" xfId="0" applyFont="1" applyBorder="1" applyAlignment="1">
      <alignment horizontal="left" indent="3"/>
    </xf>
    <xf numFmtId="0" fontId="11" fillId="0" borderId="32" xfId="8" applyFont="1" applyBorder="1" applyAlignment="1">
      <alignment horizontal="left" indent="3"/>
    </xf>
    <xf numFmtId="0" fontId="16" fillId="5" borderId="15" xfId="0" applyFont="1" applyFill="1" applyBorder="1" applyAlignment="1">
      <alignment horizontal="left"/>
    </xf>
    <xf numFmtId="0" fontId="20" fillId="2" borderId="5" xfId="1" applyFont="1" applyBorder="1" applyAlignment="1">
      <alignment horizontal="left"/>
    </xf>
    <xf numFmtId="175" fontId="11" fillId="2" borderId="3" xfId="1" applyNumberFormat="1" applyFont="1" applyAlignment="1">
      <alignment horizontal="left"/>
    </xf>
    <xf numFmtId="14" fontId="16" fillId="7" borderId="0" xfId="0" applyNumberFormat="1" applyFont="1" applyFill="1" applyAlignment="1">
      <alignment horizontal="left" vertical="center"/>
    </xf>
    <xf numFmtId="4" fontId="14" fillId="3" borderId="8" xfId="0" applyNumberFormat="1" applyFont="1" applyFill="1" applyBorder="1" applyAlignment="1">
      <alignment horizontal="center" vertical="center" wrapText="1" readingOrder="1"/>
    </xf>
    <xf numFmtId="168" fontId="14" fillId="3" borderId="9" xfId="2" applyNumberFormat="1" applyFont="1" applyFill="1" applyBorder="1" applyAlignment="1">
      <alignment horizontal="center" vertical="center" wrapText="1"/>
    </xf>
    <xf numFmtId="4" fontId="14" fillId="3" borderId="9" xfId="0" applyNumberFormat="1" applyFont="1" applyFill="1" applyBorder="1" applyAlignment="1">
      <alignment horizontal="center" vertical="center" wrapText="1"/>
    </xf>
    <xf numFmtId="4" fontId="14" fillId="3" borderId="9" xfId="0" applyNumberFormat="1" applyFont="1" applyFill="1" applyBorder="1" applyAlignment="1">
      <alignment horizontal="center" vertical="center" wrapText="1" readingOrder="1"/>
    </xf>
    <xf numFmtId="4" fontId="14" fillId="3" borderId="8" xfId="0" applyNumberFormat="1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1" fontId="30" fillId="7" borderId="0" xfId="2" applyNumberFormat="1" applyFont="1" applyFill="1" applyAlignment="1">
      <alignment horizontal="right" vertical="center"/>
    </xf>
    <xf numFmtId="14" fontId="45" fillId="7" borderId="0" xfId="0" applyNumberFormat="1" applyFont="1" applyFill="1" applyAlignment="1">
      <alignment horizontal="left" vertical="center"/>
    </xf>
    <xf numFmtId="176" fontId="30" fillId="7" borderId="0" xfId="2" applyNumberFormat="1" applyFont="1" applyFill="1" applyBorder="1" applyAlignment="1">
      <alignment horizontal="right" vertical="center"/>
    </xf>
    <xf numFmtId="4" fontId="30" fillId="7" borderId="0" xfId="0" applyNumberFormat="1" applyFont="1" applyFill="1" applyAlignment="1">
      <alignment horizontal="right" vertical="center"/>
    </xf>
    <xf numFmtId="0" fontId="25" fillId="3" borderId="42" xfId="0" applyFont="1" applyFill="1" applyBorder="1"/>
    <xf numFmtId="0" fontId="14" fillId="3" borderId="45" xfId="0" applyFont="1" applyFill="1" applyBorder="1" applyAlignment="1">
      <alignment horizontal="center" vertical="center" wrapText="1"/>
    </xf>
    <xf numFmtId="14" fontId="30" fillId="7" borderId="25" xfId="0" applyNumberFormat="1" applyFont="1" applyFill="1" applyBorder="1" applyAlignment="1">
      <alignment horizontal="left" vertical="center"/>
    </xf>
    <xf numFmtId="14" fontId="30" fillId="7" borderId="23" xfId="0" applyNumberFormat="1" applyFont="1" applyFill="1" applyBorder="1" applyAlignment="1">
      <alignment horizontal="left" vertical="center"/>
    </xf>
    <xf numFmtId="4" fontId="11" fillId="0" borderId="23" xfId="0" applyNumberFormat="1" applyFont="1" applyBorder="1"/>
    <xf numFmtId="14" fontId="30" fillId="7" borderId="46" xfId="0" applyNumberFormat="1" applyFont="1" applyFill="1" applyBorder="1" applyAlignment="1">
      <alignment horizontal="left" vertical="center"/>
    </xf>
    <xf numFmtId="4" fontId="11" fillId="7" borderId="24" xfId="0" applyNumberFormat="1" applyFont="1" applyFill="1" applyBorder="1" applyAlignment="1">
      <alignment horizontal="left" vertical="center" wrapText="1" readingOrder="1"/>
    </xf>
    <xf numFmtId="176" fontId="30" fillId="7" borderId="24" xfId="2" applyNumberFormat="1" applyFont="1" applyFill="1" applyBorder="1" applyAlignment="1">
      <alignment horizontal="right" vertical="center"/>
    </xf>
    <xf numFmtId="4" fontId="30" fillId="7" borderId="24" xfId="2" applyNumberFormat="1" applyFont="1" applyFill="1" applyBorder="1" applyAlignment="1">
      <alignment horizontal="right" vertical="center"/>
    </xf>
    <xf numFmtId="4" fontId="20" fillId="5" borderId="0" xfId="0" applyNumberFormat="1" applyFont="1" applyFill="1" applyAlignment="1">
      <alignment horizontal="left" vertical="center" wrapText="1" readingOrder="1"/>
    </xf>
    <xf numFmtId="0" fontId="11" fillId="13" borderId="0" xfId="0" applyFont="1" applyFill="1"/>
    <xf numFmtId="178" fontId="44" fillId="0" borderId="0" xfId="0" applyNumberFormat="1" applyFont="1" applyAlignment="1">
      <alignment horizontal="right"/>
    </xf>
    <xf numFmtId="178" fontId="11" fillId="0" borderId="0" xfId="0" applyNumberFormat="1" applyFont="1" applyAlignment="1">
      <alignment horizontal="right"/>
    </xf>
    <xf numFmtId="4" fontId="11" fillId="0" borderId="0" xfId="8" applyNumberFormat="1" applyFont="1" applyAlignment="1">
      <alignment horizontal="right"/>
    </xf>
    <xf numFmtId="4" fontId="11" fillId="0" borderId="47" xfId="0" applyNumberFormat="1" applyFont="1" applyBorder="1"/>
    <xf numFmtId="14" fontId="30" fillId="7" borderId="48" xfId="0" applyNumberFormat="1" applyFont="1" applyFill="1" applyBorder="1" applyAlignment="1">
      <alignment horizontal="left" vertical="center"/>
    </xf>
    <xf numFmtId="4" fontId="11" fillId="0" borderId="35" xfId="0" applyNumberFormat="1" applyFont="1" applyBorder="1"/>
    <xf numFmtId="176" fontId="42" fillId="5" borderId="0" xfId="2" applyNumberFormat="1" applyFont="1" applyFill="1" applyBorder="1" applyAlignment="1">
      <alignment horizontal="right" vertical="center"/>
    </xf>
    <xf numFmtId="4" fontId="42" fillId="5" borderId="0" xfId="2" applyNumberFormat="1" applyFont="1" applyFill="1" applyBorder="1" applyAlignment="1">
      <alignment horizontal="right" vertical="center"/>
    </xf>
    <xf numFmtId="4" fontId="20" fillId="5" borderId="0" xfId="0" applyNumberFormat="1" applyFont="1" applyFill="1" applyAlignment="1">
      <alignment horizontal="right"/>
    </xf>
    <xf numFmtId="178" fontId="46" fillId="5" borderId="0" xfId="0" applyNumberFormat="1" applyFont="1" applyFill="1" applyAlignment="1">
      <alignment horizontal="right"/>
    </xf>
    <xf numFmtId="4" fontId="11" fillId="13" borderId="50" xfId="0" applyNumberFormat="1" applyFont="1" applyFill="1" applyBorder="1" applyAlignment="1">
      <alignment horizontal="left" vertical="center" wrapText="1" readingOrder="1"/>
    </xf>
    <xf numFmtId="176" fontId="30" fillId="13" borderId="50" xfId="2" applyNumberFormat="1" applyFont="1" applyFill="1" applyBorder="1" applyAlignment="1">
      <alignment horizontal="right" vertical="center"/>
    </xf>
    <xf numFmtId="4" fontId="30" fillId="13" borderId="50" xfId="2" applyNumberFormat="1" applyFont="1" applyFill="1" applyBorder="1" applyAlignment="1">
      <alignment horizontal="right" vertical="center"/>
    </xf>
    <xf numFmtId="4" fontId="11" fillId="13" borderId="50" xfId="0" applyNumberFormat="1" applyFont="1" applyFill="1" applyBorder="1" applyAlignment="1">
      <alignment horizontal="right"/>
    </xf>
    <xf numFmtId="4" fontId="11" fillId="13" borderId="50" xfId="0" applyNumberFormat="1" applyFont="1" applyFill="1" applyBorder="1"/>
    <xf numFmtId="4" fontId="11" fillId="13" borderId="53" xfId="0" applyNumberFormat="1" applyFont="1" applyFill="1" applyBorder="1" applyAlignment="1">
      <alignment horizontal="left" vertical="center" wrapText="1" readingOrder="1"/>
    </xf>
    <xf numFmtId="1" fontId="30" fillId="13" borderId="53" xfId="2" applyNumberFormat="1" applyFont="1" applyFill="1" applyBorder="1" applyAlignment="1">
      <alignment horizontal="right" vertical="center"/>
    </xf>
    <xf numFmtId="177" fontId="30" fillId="13" borderId="53" xfId="2" applyNumberFormat="1" applyFont="1" applyFill="1" applyBorder="1" applyAlignment="1">
      <alignment horizontal="right" vertical="center"/>
    </xf>
    <xf numFmtId="177" fontId="30" fillId="13" borderId="54" xfId="2" applyNumberFormat="1" applyFont="1" applyFill="1" applyBorder="1" applyAlignment="1">
      <alignment horizontal="right" vertical="center"/>
    </xf>
    <xf numFmtId="168" fontId="30" fillId="13" borderId="50" xfId="2" applyNumberFormat="1" applyFont="1" applyFill="1" applyBorder="1" applyAlignment="1">
      <alignment horizontal="right" vertical="center" wrapText="1"/>
    </xf>
    <xf numFmtId="4" fontId="31" fillId="13" borderId="50" xfId="0" applyNumberFormat="1" applyFont="1" applyFill="1" applyBorder="1" applyAlignment="1">
      <alignment horizontal="right" vertical="center" wrapText="1"/>
    </xf>
    <xf numFmtId="14" fontId="30" fillId="13" borderId="50" xfId="0" applyNumberFormat="1" applyFont="1" applyFill="1" applyBorder="1" applyAlignment="1">
      <alignment horizontal="left" vertical="center"/>
    </xf>
    <xf numFmtId="0" fontId="11" fillId="13" borderId="50" xfId="0" applyFont="1" applyFill="1" applyBorder="1"/>
    <xf numFmtId="10" fontId="11" fillId="13" borderId="50" xfId="0" applyNumberFormat="1" applyFont="1" applyFill="1" applyBorder="1"/>
    <xf numFmtId="177" fontId="11" fillId="13" borderId="50" xfId="0" applyNumberFormat="1" applyFont="1" applyFill="1" applyBorder="1"/>
    <xf numFmtId="177" fontId="11" fillId="13" borderId="55" xfId="0" applyNumberFormat="1" applyFont="1" applyFill="1" applyBorder="1"/>
    <xf numFmtId="4" fontId="20" fillId="5" borderId="50" xfId="0" applyNumberFormat="1" applyFont="1" applyFill="1" applyBorder="1" applyAlignment="1">
      <alignment horizontal="left" vertical="center" wrapText="1" readingOrder="1"/>
    </xf>
    <xf numFmtId="168" fontId="42" fillId="5" borderId="50" xfId="2" applyNumberFormat="1" applyFont="1" applyFill="1" applyBorder="1" applyAlignment="1">
      <alignment horizontal="right" vertical="center" wrapText="1"/>
    </xf>
    <xf numFmtId="4" fontId="43" fillId="5" borderId="50" xfId="0" applyNumberFormat="1" applyFont="1" applyFill="1" applyBorder="1" applyAlignment="1">
      <alignment horizontal="right" vertical="center" wrapText="1"/>
    </xf>
    <xf numFmtId="14" fontId="42" fillId="5" borderId="50" xfId="0" applyNumberFormat="1" applyFont="1" applyFill="1" applyBorder="1" applyAlignment="1">
      <alignment horizontal="left" vertical="center"/>
    </xf>
    <xf numFmtId="4" fontId="20" fillId="5" borderId="50" xfId="0" applyNumberFormat="1" applyFont="1" applyFill="1" applyBorder="1"/>
    <xf numFmtId="0" fontId="20" fillId="5" borderId="50" xfId="0" applyFont="1" applyFill="1" applyBorder="1"/>
    <xf numFmtId="10" fontId="20" fillId="5" borderId="50" xfId="0" applyNumberFormat="1" applyFont="1" applyFill="1" applyBorder="1"/>
    <xf numFmtId="177" fontId="20" fillId="5" borderId="50" xfId="0" applyNumberFormat="1" applyFont="1" applyFill="1" applyBorder="1"/>
    <xf numFmtId="177" fontId="20" fillId="5" borderId="55" xfId="0" applyNumberFormat="1" applyFont="1" applyFill="1" applyBorder="1"/>
    <xf numFmtId="4" fontId="11" fillId="13" borderId="57" xfId="0" applyNumberFormat="1" applyFont="1" applyFill="1" applyBorder="1" applyAlignment="1">
      <alignment horizontal="left" vertical="center" wrapText="1" readingOrder="1"/>
    </xf>
    <xf numFmtId="168" fontId="30" fillId="13" borderId="57" xfId="2" applyNumberFormat="1" applyFont="1" applyFill="1" applyBorder="1" applyAlignment="1">
      <alignment horizontal="right" vertical="center" wrapText="1"/>
    </xf>
    <xf numFmtId="4" fontId="31" fillId="13" borderId="57" xfId="0" applyNumberFormat="1" applyFont="1" applyFill="1" applyBorder="1" applyAlignment="1">
      <alignment horizontal="right" vertical="center" wrapText="1"/>
    </xf>
    <xf numFmtId="14" fontId="30" fillId="13" borderId="57" xfId="0" applyNumberFormat="1" applyFont="1" applyFill="1" applyBorder="1" applyAlignment="1">
      <alignment horizontal="left" vertical="center"/>
    </xf>
    <xf numFmtId="4" fontId="11" fillId="13" borderId="57" xfId="0" applyNumberFormat="1" applyFont="1" applyFill="1" applyBorder="1"/>
    <xf numFmtId="0" fontId="11" fillId="13" borderId="57" xfId="0" applyFont="1" applyFill="1" applyBorder="1"/>
    <xf numFmtId="10" fontId="11" fillId="13" borderId="57" xfId="0" applyNumberFormat="1" applyFont="1" applyFill="1" applyBorder="1"/>
    <xf numFmtId="177" fontId="11" fillId="13" borderId="57" xfId="0" applyNumberFormat="1" applyFont="1" applyFill="1" applyBorder="1"/>
    <xf numFmtId="177" fontId="11" fillId="13" borderId="58" xfId="0" applyNumberFormat="1" applyFont="1" applyFill="1" applyBorder="1"/>
    <xf numFmtId="4" fontId="11" fillId="0" borderId="24" xfId="0" applyNumberFormat="1" applyFont="1" applyBorder="1" applyAlignment="1">
      <alignment horizontal="right"/>
    </xf>
    <xf numFmtId="3" fontId="30" fillId="7" borderId="0" xfId="0" applyNumberFormat="1" applyFont="1" applyFill="1" applyAlignment="1">
      <alignment horizontal="right" vertical="center"/>
    </xf>
    <xf numFmtId="3" fontId="30" fillId="7" borderId="0" xfId="2" applyNumberFormat="1" applyFont="1" applyFill="1" applyBorder="1" applyAlignment="1">
      <alignment horizontal="right" vertical="center"/>
    </xf>
    <xf numFmtId="3" fontId="44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3" fontId="44" fillId="13" borderId="50" xfId="0" applyNumberFormat="1" applyFont="1" applyFill="1" applyBorder="1" applyAlignment="1">
      <alignment horizontal="right"/>
    </xf>
    <xf numFmtId="3" fontId="44" fillId="13" borderId="51" xfId="0" applyNumberFormat="1" applyFont="1" applyFill="1" applyBorder="1" applyAlignment="1">
      <alignment horizontal="right"/>
    </xf>
    <xf numFmtId="3" fontId="11" fillId="13" borderId="50" xfId="0" applyNumberFormat="1" applyFont="1" applyFill="1" applyBorder="1"/>
    <xf numFmtId="3" fontId="11" fillId="13" borderId="51" xfId="0" applyNumberFormat="1" applyFont="1" applyFill="1" applyBorder="1"/>
    <xf numFmtId="14" fontId="30" fillId="7" borderId="25" xfId="0" applyNumberFormat="1" applyFont="1" applyFill="1" applyBorder="1" applyAlignment="1">
      <alignment horizontal="left" vertical="center" indent="1"/>
    </xf>
    <xf numFmtId="14" fontId="30" fillId="7" borderId="46" xfId="0" applyNumberFormat="1" applyFont="1" applyFill="1" applyBorder="1" applyAlignment="1">
      <alignment horizontal="left" vertical="center" indent="1"/>
    </xf>
    <xf numFmtId="14" fontId="30" fillId="13" borderId="52" xfId="0" applyNumberFormat="1" applyFont="1" applyFill="1" applyBorder="1" applyAlignment="1">
      <alignment horizontal="left" vertical="center" indent="1"/>
    </xf>
    <xf numFmtId="14" fontId="30" fillId="13" borderId="49" xfId="0" applyNumberFormat="1" applyFont="1" applyFill="1" applyBorder="1" applyAlignment="1">
      <alignment horizontal="left" vertical="center" indent="1"/>
    </xf>
    <xf numFmtId="14" fontId="42" fillId="5" borderId="49" xfId="0" applyNumberFormat="1" applyFont="1" applyFill="1" applyBorder="1" applyAlignment="1">
      <alignment horizontal="left" vertical="center" indent="1"/>
    </xf>
    <xf numFmtId="14" fontId="30" fillId="13" borderId="56" xfId="0" applyNumberFormat="1" applyFont="1" applyFill="1" applyBorder="1" applyAlignment="1">
      <alignment horizontal="left" vertical="center" indent="1"/>
    </xf>
    <xf numFmtId="14" fontId="42" fillId="5" borderId="25" xfId="0" applyNumberFormat="1" applyFont="1" applyFill="1" applyBorder="1" applyAlignment="1">
      <alignment horizontal="left" vertical="center" indent="1"/>
    </xf>
    <xf numFmtId="176" fontId="30" fillId="7" borderId="37" xfId="2" applyNumberFormat="1" applyFont="1" applyFill="1" applyBorder="1" applyAlignment="1">
      <alignment horizontal="right" vertical="center"/>
    </xf>
    <xf numFmtId="3" fontId="30" fillId="7" borderId="37" xfId="2" applyNumberFormat="1" applyFont="1" applyFill="1" applyBorder="1" applyAlignment="1">
      <alignment horizontal="right" vertical="center"/>
    </xf>
    <xf numFmtId="3" fontId="30" fillId="7" borderId="37" xfId="0" applyNumberFormat="1" applyFont="1" applyFill="1" applyBorder="1" applyAlignment="1">
      <alignment horizontal="right" vertical="center"/>
    </xf>
    <xf numFmtId="3" fontId="11" fillId="0" borderId="37" xfId="0" applyNumberFormat="1" applyFont="1" applyBorder="1" applyAlignment="1">
      <alignment horizontal="right"/>
    </xf>
    <xf numFmtId="4" fontId="11" fillId="0" borderId="37" xfId="0" applyNumberFormat="1" applyFont="1" applyBorder="1"/>
    <xf numFmtId="14" fontId="11" fillId="0" borderId="0" xfId="0" applyNumberFormat="1" applyFont="1"/>
    <xf numFmtId="2" fontId="11" fillId="9" borderId="0" xfId="0" applyNumberFormat="1" applyFont="1" applyFill="1"/>
    <xf numFmtId="0" fontId="25" fillId="0" borderId="0" xfId="0" applyFont="1"/>
    <xf numFmtId="0" fontId="20" fillId="8" borderId="0" xfId="0" applyFont="1" applyFill="1"/>
    <xf numFmtId="0" fontId="11" fillId="8" borderId="0" xfId="0" applyFont="1" applyFill="1"/>
    <xf numFmtId="176" fontId="20" fillId="8" borderId="0" xfId="0" applyNumberFormat="1" applyFont="1" applyFill="1"/>
    <xf numFmtId="14" fontId="47" fillId="2" borderId="3" xfId="1" applyNumberFormat="1" applyFont="1"/>
    <xf numFmtId="9" fontId="47" fillId="2" borderId="3" xfId="1" applyNumberFormat="1" applyFont="1"/>
    <xf numFmtId="10" fontId="47" fillId="2" borderId="3" xfId="1" applyNumberFormat="1" applyFont="1"/>
    <xf numFmtId="176" fontId="47" fillId="13" borderId="0" xfId="0" applyNumberFormat="1" applyFont="1" applyFill="1"/>
    <xf numFmtId="0" fontId="11" fillId="0" borderId="4" xfId="0" applyFont="1" applyBorder="1"/>
    <xf numFmtId="167" fontId="20" fillId="0" borderId="4" xfId="0" applyNumberFormat="1" applyFont="1" applyBorder="1"/>
    <xf numFmtId="0" fontId="20" fillId="0" borderId="4" xfId="0" applyFont="1" applyBorder="1" applyAlignment="1">
      <alignment horizontal="left" indent="1"/>
    </xf>
    <xf numFmtId="169" fontId="28" fillId="0" borderId="0" xfId="0" applyNumberFormat="1" applyFont="1"/>
    <xf numFmtId="176" fontId="11" fillId="0" borderId="0" xfId="0" applyNumberFormat="1" applyFont="1"/>
    <xf numFmtId="179" fontId="11" fillId="0" borderId="0" xfId="0" applyNumberFormat="1" applyFont="1"/>
    <xf numFmtId="179" fontId="20" fillId="0" borderId="4" xfId="0" applyNumberFormat="1" applyFont="1" applyBorder="1"/>
    <xf numFmtId="179" fontId="20" fillId="0" borderId="0" xfId="0" applyNumberFormat="1" applyFont="1"/>
    <xf numFmtId="0" fontId="6" fillId="0" borderId="0" xfId="3" applyFill="1" applyAlignment="1">
      <alignment horizontal="right"/>
    </xf>
    <xf numFmtId="10" fontId="11" fillId="0" borderId="35" xfId="0" applyNumberFormat="1" applyFont="1" applyBorder="1"/>
    <xf numFmtId="0" fontId="20" fillId="8" borderId="36" xfId="0" applyFont="1" applyFill="1" applyBorder="1"/>
    <xf numFmtId="0" fontId="20" fillId="8" borderId="37" xfId="0" applyFont="1" applyFill="1" applyBorder="1"/>
    <xf numFmtId="10" fontId="20" fillId="8" borderId="38" xfId="2" applyNumberFormat="1" applyFont="1" applyFill="1" applyBorder="1"/>
    <xf numFmtId="179" fontId="20" fillId="8" borderId="38" xfId="0" applyNumberFormat="1" applyFont="1" applyFill="1" applyBorder="1"/>
    <xf numFmtId="10" fontId="11" fillId="0" borderId="35" xfId="2" applyNumberFormat="1" applyFont="1" applyBorder="1"/>
    <xf numFmtId="10" fontId="20" fillId="8" borderId="38" xfId="0" applyNumberFormat="1" applyFont="1" applyFill="1" applyBorder="1"/>
    <xf numFmtId="0" fontId="28" fillId="0" borderId="32" xfId="0" applyFont="1" applyBorder="1"/>
    <xf numFmtId="0" fontId="20" fillId="0" borderId="32" xfId="0" applyFont="1" applyBorder="1"/>
    <xf numFmtId="10" fontId="20" fillId="0" borderId="35" xfId="0" applyNumberFormat="1" applyFont="1" applyBorder="1"/>
    <xf numFmtId="0" fontId="11" fillId="8" borderId="37" xfId="0" applyFont="1" applyFill="1" applyBorder="1"/>
    <xf numFmtId="10" fontId="47" fillId="0" borderId="35" xfId="0" applyNumberFormat="1" applyFont="1" applyBorder="1"/>
    <xf numFmtId="179" fontId="48" fillId="0" borderId="35" xfId="0" applyNumberFormat="1" applyFont="1" applyBorder="1"/>
    <xf numFmtId="2" fontId="48" fillId="0" borderId="35" xfId="0" applyNumberFormat="1" applyFont="1" applyBorder="1"/>
    <xf numFmtId="167" fontId="48" fillId="0" borderId="0" xfId="0" applyNumberFormat="1" applyFont="1"/>
    <xf numFmtId="10" fontId="49" fillId="0" borderId="0" xfId="2" applyNumberFormat="1" applyFont="1"/>
    <xf numFmtId="0" fontId="13" fillId="3" borderId="41" xfId="0" applyFont="1" applyFill="1" applyBorder="1"/>
    <xf numFmtId="0" fontId="20" fillId="8" borderId="4" xfId="0" applyFont="1" applyFill="1" applyBorder="1"/>
    <xf numFmtId="0" fontId="11" fillId="8" borderId="4" xfId="0" applyFont="1" applyFill="1" applyBorder="1"/>
    <xf numFmtId="167" fontId="20" fillId="8" borderId="4" xfId="0" applyNumberFormat="1" applyFont="1" applyFill="1" applyBorder="1"/>
    <xf numFmtId="0" fontId="51" fillId="3" borderId="33" xfId="9" applyFont="1" applyFill="1" applyBorder="1"/>
    <xf numFmtId="0" fontId="51" fillId="3" borderId="60" xfId="9" applyFont="1" applyFill="1" applyBorder="1"/>
    <xf numFmtId="0" fontId="52" fillId="3" borderId="59" xfId="9" applyFont="1" applyFill="1" applyBorder="1"/>
    <xf numFmtId="180" fontId="53" fillId="0" borderId="59" xfId="9" applyNumberFormat="1" applyFont="1" applyBorder="1"/>
    <xf numFmtId="180" fontId="53" fillId="0" borderId="33" xfId="9" applyNumberFormat="1" applyFont="1" applyBorder="1"/>
    <xf numFmtId="180" fontId="54" fillId="0" borderId="33" xfId="9" applyNumberFormat="1" applyFont="1" applyBorder="1"/>
    <xf numFmtId="180" fontId="53" fillId="0" borderId="60" xfId="9" applyNumberFormat="1" applyFont="1" applyBorder="1"/>
    <xf numFmtId="180" fontId="53" fillId="0" borderId="32" xfId="9" applyNumberFormat="1" applyFont="1" applyBorder="1"/>
    <xf numFmtId="180" fontId="53" fillId="0" borderId="35" xfId="9" applyNumberFormat="1" applyFont="1" applyBorder="1"/>
    <xf numFmtId="180" fontId="54" fillId="0" borderId="32" xfId="9" applyNumberFormat="1" applyFont="1" applyBorder="1"/>
    <xf numFmtId="180" fontId="54" fillId="0" borderId="35" xfId="9" applyNumberFormat="1" applyFont="1" applyBorder="1"/>
    <xf numFmtId="180" fontId="53" fillId="0" borderId="36" xfId="9" applyNumberFormat="1" applyFont="1" applyBorder="1"/>
    <xf numFmtId="180" fontId="53" fillId="0" borderId="37" xfId="9" applyNumberFormat="1" applyFont="1" applyBorder="1"/>
    <xf numFmtId="180" fontId="54" fillId="0" borderId="37" xfId="9" applyNumberFormat="1" applyFont="1" applyBorder="1"/>
    <xf numFmtId="180" fontId="53" fillId="0" borderId="38" xfId="9" applyNumberFormat="1" applyFont="1" applyBorder="1"/>
    <xf numFmtId="180" fontId="53" fillId="0" borderId="0" xfId="9" applyNumberFormat="1" applyFont="1"/>
    <xf numFmtId="180" fontId="54" fillId="0" borderId="0" xfId="9" applyNumberFormat="1" applyFont="1"/>
    <xf numFmtId="168" fontId="28" fillId="0" borderId="0" xfId="2" applyNumberFormat="1" applyFont="1" applyBorder="1"/>
    <xf numFmtId="168" fontId="28" fillId="0" borderId="35" xfId="2" applyNumberFormat="1" applyFont="1" applyBorder="1"/>
    <xf numFmtId="168" fontId="11" fillId="0" borderId="35" xfId="8" applyNumberFormat="1" applyFont="1" applyBorder="1"/>
    <xf numFmtId="0" fontId="28" fillId="0" borderId="32" xfId="8" applyFont="1" applyBorder="1" applyAlignment="1">
      <alignment horizontal="left" indent="1"/>
    </xf>
    <xf numFmtId="0" fontId="28" fillId="0" borderId="32" xfId="8" applyFont="1" applyBorder="1" applyAlignment="1">
      <alignment horizontal="left" indent="2"/>
    </xf>
    <xf numFmtId="0" fontId="17" fillId="0" borderId="32" xfId="0" applyFont="1" applyBorder="1"/>
    <xf numFmtId="0" fontId="17" fillId="0" borderId="35" xfId="0" applyFont="1" applyBorder="1"/>
    <xf numFmtId="172" fontId="16" fillId="0" borderId="0" xfId="0" applyNumberFormat="1" applyFont="1"/>
    <xf numFmtId="172" fontId="16" fillId="0" borderId="35" xfId="0" applyNumberFormat="1" applyFont="1" applyBorder="1"/>
    <xf numFmtId="0" fontId="17" fillId="0" borderId="36" xfId="0" applyFont="1" applyBorder="1"/>
    <xf numFmtId="0" fontId="17" fillId="0" borderId="37" xfId="0" applyFont="1" applyBorder="1"/>
    <xf numFmtId="0" fontId="17" fillId="0" borderId="38" xfId="0" applyFont="1" applyBorder="1"/>
    <xf numFmtId="0" fontId="17" fillId="5" borderId="4" xfId="0" applyFont="1" applyFill="1" applyBorder="1"/>
    <xf numFmtId="172" fontId="17" fillId="0" borderId="0" xfId="0" applyNumberFormat="1" applyFont="1"/>
    <xf numFmtId="172" fontId="17" fillId="0" borderId="35" xfId="0" applyNumberFormat="1" applyFont="1" applyBorder="1"/>
    <xf numFmtId="0" fontId="28" fillId="0" borderId="36" xfId="8" applyFont="1" applyBorder="1" applyAlignment="1">
      <alignment horizontal="left" indent="2"/>
    </xf>
    <xf numFmtId="168" fontId="28" fillId="0" borderId="37" xfId="2" applyNumberFormat="1" applyFont="1" applyBorder="1"/>
    <xf numFmtId="168" fontId="28" fillId="0" borderId="38" xfId="2" applyNumberFormat="1" applyFont="1" applyBorder="1"/>
    <xf numFmtId="0" fontId="16" fillId="8" borderId="0" xfId="0" applyFont="1" applyFill="1"/>
    <xf numFmtId="0" fontId="17" fillId="8" borderId="0" xfId="0" applyFont="1" applyFill="1"/>
    <xf numFmtId="0" fontId="17" fillId="0" borderId="0" xfId="5" applyFont="1" applyBorder="1" applyAlignment="1">
      <alignment horizontal="left" indent="1"/>
    </xf>
    <xf numFmtId="0" fontId="20" fillId="0" borderId="19" xfId="6" applyFont="1" applyAlignment="1">
      <alignment horizontal="left" indent="1"/>
    </xf>
    <xf numFmtId="0" fontId="11" fillId="0" borderId="0" xfId="5" applyFont="1" applyAlignment="1">
      <alignment horizontal="left" indent="2"/>
    </xf>
    <xf numFmtId="0" fontId="16" fillId="0" borderId="0" xfId="0" applyFont="1"/>
    <xf numFmtId="9" fontId="11" fillId="0" borderId="0" xfId="0" applyNumberFormat="1" applyFont="1"/>
    <xf numFmtId="3" fontId="11" fillId="0" borderId="0" xfId="0" applyNumberFormat="1" applyFont="1"/>
    <xf numFmtId="0" fontId="20" fillId="0" borderId="33" xfId="0" applyFont="1" applyBorder="1"/>
    <xf numFmtId="0" fontId="11" fillId="0" borderId="33" xfId="0" applyFont="1" applyBorder="1"/>
    <xf numFmtId="179" fontId="20" fillId="0" borderId="33" xfId="0" applyNumberFormat="1" applyFont="1" applyBorder="1"/>
    <xf numFmtId="0" fontId="11" fillId="0" borderId="5" xfId="0" applyFont="1" applyBorder="1"/>
    <xf numFmtId="176" fontId="11" fillId="0" borderId="5" xfId="0" applyNumberFormat="1" applyFont="1" applyBorder="1"/>
    <xf numFmtId="4" fontId="11" fillId="0" borderId="5" xfId="0" applyNumberFormat="1" applyFont="1" applyBorder="1"/>
    <xf numFmtId="0" fontId="11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6" fillId="0" borderId="0" xfId="3"/>
    <xf numFmtId="0" fontId="20" fillId="0" borderId="37" xfId="0" applyFont="1" applyBorder="1"/>
    <xf numFmtId="3" fontId="20" fillId="0" borderId="0" xfId="0" applyNumberFormat="1" applyFont="1"/>
    <xf numFmtId="0" fontId="53" fillId="8" borderId="32" xfId="9" applyFont="1" applyFill="1" applyBorder="1"/>
    <xf numFmtId="0" fontId="53" fillId="8" borderId="0" xfId="9" applyFont="1" applyFill="1"/>
    <xf numFmtId="0" fontId="54" fillId="8" borderId="0" xfId="9" applyFont="1" applyFill="1" applyAlignment="1">
      <alignment horizontal="centerContinuous"/>
    </xf>
    <xf numFmtId="0" fontId="54" fillId="8" borderId="35" xfId="9" applyFont="1" applyFill="1" applyBorder="1" applyAlignment="1">
      <alignment horizontal="centerContinuous"/>
    </xf>
    <xf numFmtId="10" fontId="53" fillId="13" borderId="61" xfId="2" applyNumberFormat="1" applyFont="1" applyFill="1" applyBorder="1"/>
    <xf numFmtId="10" fontId="53" fillId="13" borderId="17" xfId="2" applyNumberFormat="1" applyFont="1" applyFill="1" applyBorder="1"/>
    <xf numFmtId="10" fontId="53" fillId="13" borderId="4" xfId="9" applyNumberFormat="1" applyFont="1" applyFill="1" applyBorder="1" applyAlignment="1">
      <alignment horizontal="center"/>
    </xf>
    <xf numFmtId="10" fontId="54" fillId="13" borderId="4" xfId="9" applyNumberFormat="1" applyFont="1" applyFill="1" applyBorder="1" applyAlignment="1">
      <alignment horizontal="center"/>
    </xf>
    <xf numFmtId="10" fontId="53" fillId="13" borderId="39" xfId="9" applyNumberFormat="1" applyFont="1" applyFill="1" applyBorder="1" applyAlignment="1">
      <alignment horizontal="center"/>
    </xf>
    <xf numFmtId="180" fontId="55" fillId="13" borderId="59" xfId="9" applyNumberFormat="1" applyFont="1" applyFill="1" applyBorder="1"/>
    <xf numFmtId="10" fontId="28" fillId="0" borderId="0" xfId="2" applyNumberFormat="1" applyFont="1" applyAlignment="1">
      <alignment horizontal="right"/>
    </xf>
    <xf numFmtId="172" fontId="47" fillId="0" borderId="0" xfId="8" applyNumberFormat="1" applyFont="1"/>
    <xf numFmtId="172" fontId="56" fillId="0" borderId="0" xfId="8" applyNumberFormat="1" applyFont="1"/>
    <xf numFmtId="172" fontId="47" fillId="0" borderId="35" xfId="8" applyNumberFormat="1" applyFont="1" applyBorder="1"/>
    <xf numFmtId="43" fontId="47" fillId="0" borderId="0" xfId="8" applyNumberFormat="1" applyFont="1"/>
    <xf numFmtId="3" fontId="47" fillId="0" borderId="0" xfId="8" applyNumberFormat="1" applyFont="1"/>
    <xf numFmtId="171" fontId="47" fillId="0" borderId="0" xfId="8" applyNumberFormat="1" applyFont="1"/>
    <xf numFmtId="0" fontId="47" fillId="0" borderId="0" xfId="8" applyFont="1"/>
    <xf numFmtId="168" fontId="57" fillId="0" borderId="0" xfId="2" applyNumberFormat="1" applyFont="1" applyBorder="1"/>
    <xf numFmtId="168" fontId="57" fillId="0" borderId="35" xfId="2" applyNumberFormat="1" applyFont="1" applyBorder="1"/>
    <xf numFmtId="172" fontId="48" fillId="0" borderId="0" xfId="8" applyNumberFormat="1" applyFont="1"/>
    <xf numFmtId="172" fontId="48" fillId="0" borderId="0" xfId="0" applyNumberFormat="1" applyFont="1"/>
    <xf numFmtId="3" fontId="56" fillId="0" borderId="33" xfId="0" applyNumberFormat="1" applyFont="1" applyBorder="1"/>
    <xf numFmtId="172" fontId="47" fillId="0" borderId="0" xfId="0" applyNumberFormat="1" applyFont="1"/>
    <xf numFmtId="172" fontId="56" fillId="0" borderId="33" xfId="0" applyNumberFormat="1" applyFont="1" applyBorder="1"/>
    <xf numFmtId="0" fontId="20" fillId="8" borderId="15" xfId="0" applyFont="1" applyFill="1" applyBorder="1"/>
    <xf numFmtId="0" fontId="11" fillId="8" borderId="39" xfId="0" applyFont="1" applyFill="1" applyBorder="1"/>
    <xf numFmtId="0" fontId="20" fillId="0" borderId="37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179" fontId="11" fillId="0" borderId="0" xfId="10" applyNumberFormat="1" applyFont="1" applyBorder="1"/>
    <xf numFmtId="168" fontId="11" fillId="0" borderId="0" xfId="2" applyNumberFormat="1" applyFont="1"/>
    <xf numFmtId="10" fontId="11" fillId="0" borderId="0" xfId="2" applyNumberFormat="1" applyFont="1"/>
    <xf numFmtId="0" fontId="20" fillId="0" borderId="36" xfId="0" applyFont="1" applyBorder="1"/>
    <xf numFmtId="0" fontId="20" fillId="0" borderId="15" xfId="0" applyFont="1" applyBorder="1"/>
    <xf numFmtId="0" fontId="2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9" xfId="0" applyFont="1" applyBorder="1" applyAlignment="1">
      <alignment horizontal="left"/>
    </xf>
    <xf numFmtId="3" fontId="11" fillId="0" borderId="32" xfId="0" applyNumberFormat="1" applyFont="1" applyBorder="1" applyAlignment="1">
      <alignment horizontal="left"/>
    </xf>
    <xf numFmtId="3" fontId="11" fillId="0" borderId="0" xfId="0" applyNumberFormat="1" applyFont="1" applyAlignment="1">
      <alignment horizontal="left"/>
    </xf>
    <xf numFmtId="0" fontId="11" fillId="0" borderId="35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6" xfId="0" applyFont="1" applyBorder="1" applyAlignment="1">
      <alignment horizontal="left"/>
    </xf>
    <xf numFmtId="0" fontId="11" fillId="0" borderId="37" xfId="0" applyFont="1" applyBorder="1" applyAlignment="1">
      <alignment horizontal="left"/>
    </xf>
    <xf numFmtId="0" fontId="11" fillId="0" borderId="38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168" fontId="11" fillId="0" borderId="0" xfId="0" applyNumberFormat="1" applyFont="1"/>
    <xf numFmtId="181" fontId="11" fillId="0" borderId="0" xfId="0" applyNumberFormat="1" applyFont="1"/>
    <xf numFmtId="168" fontId="57" fillId="0" borderId="0" xfId="2" applyNumberFormat="1" applyFont="1" applyFill="1" applyBorder="1"/>
    <xf numFmtId="0" fontId="28" fillId="0" borderId="37" xfId="0" applyFont="1" applyBorder="1"/>
    <xf numFmtId="172" fontId="11" fillId="0" borderId="33" xfId="0" applyNumberFormat="1" applyFont="1" applyBorder="1"/>
    <xf numFmtId="176" fontId="20" fillId="0" borderId="0" xfId="0" applyNumberFormat="1" applyFont="1"/>
    <xf numFmtId="9" fontId="11" fillId="0" borderId="0" xfId="2" applyFont="1" applyBorder="1"/>
    <xf numFmtId="172" fontId="6" fillId="0" borderId="0" xfId="3" applyNumberFormat="1"/>
    <xf numFmtId="172" fontId="58" fillId="0" borderId="33" xfId="3" applyNumberFormat="1" applyFont="1" applyBorder="1"/>
    <xf numFmtId="172" fontId="6" fillId="0" borderId="33" xfId="3" applyNumberFormat="1" applyBorder="1"/>
    <xf numFmtId="0" fontId="6" fillId="0" borderId="0" xfId="3" applyAlignment="1">
      <alignment horizontal="right"/>
    </xf>
    <xf numFmtId="0" fontId="11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172" fontId="1" fillId="0" borderId="0" xfId="3" applyNumberFormat="1" applyFont="1"/>
    <xf numFmtId="0" fontId="11" fillId="0" borderId="62" xfId="0" applyFont="1" applyBorder="1"/>
    <xf numFmtId="3" fontId="11" fillId="0" borderId="62" xfId="0" applyNumberFormat="1" applyFont="1" applyBorder="1"/>
    <xf numFmtId="3" fontId="6" fillId="0" borderId="62" xfId="3" applyNumberFormat="1" applyBorder="1"/>
    <xf numFmtId="167" fontId="6" fillId="0" borderId="62" xfId="3" applyNumberFormat="1" applyBorder="1"/>
    <xf numFmtId="176" fontId="53" fillId="13" borderId="17" xfId="2" applyNumberFormat="1" applyFont="1" applyFill="1" applyBorder="1"/>
    <xf numFmtId="176" fontId="53" fillId="13" borderId="61" xfId="2" applyNumberFormat="1" applyFont="1" applyFill="1" applyBorder="1"/>
    <xf numFmtId="9" fontId="53" fillId="0" borderId="59" xfId="2" applyFont="1" applyBorder="1"/>
    <xf numFmtId="9" fontId="53" fillId="0" borderId="33" xfId="2" applyFont="1" applyBorder="1"/>
    <xf numFmtId="9" fontId="54" fillId="0" borderId="33" xfId="2" applyFont="1" applyBorder="1"/>
    <xf numFmtId="9" fontId="53" fillId="0" borderId="60" xfId="2" applyFont="1" applyBorder="1"/>
    <xf numFmtId="9" fontId="53" fillId="0" borderId="32" xfId="2" applyFont="1" applyBorder="1"/>
    <xf numFmtId="9" fontId="53" fillId="0" borderId="0" xfId="2" applyFont="1"/>
    <xf numFmtId="9" fontId="54" fillId="0" borderId="0" xfId="2" applyFont="1"/>
    <xf numFmtId="9" fontId="53" fillId="0" borderId="35" xfId="2" applyFont="1" applyBorder="1"/>
    <xf numFmtId="9" fontId="54" fillId="0" borderId="32" xfId="2" applyFont="1" applyBorder="1"/>
    <xf numFmtId="9" fontId="54" fillId="0" borderId="35" xfId="2" applyFont="1" applyBorder="1"/>
    <xf numFmtId="9" fontId="53" fillId="0" borderId="36" xfId="2" applyFont="1" applyBorder="1"/>
    <xf numFmtId="9" fontId="53" fillId="0" borderId="37" xfId="2" applyFont="1" applyBorder="1"/>
    <xf numFmtId="9" fontId="54" fillId="0" borderId="37" xfId="2" applyFont="1" applyBorder="1"/>
    <xf numFmtId="9" fontId="53" fillId="0" borderId="38" xfId="2" applyFont="1" applyBorder="1"/>
    <xf numFmtId="176" fontId="54" fillId="13" borderId="61" xfId="2" applyNumberFormat="1" applyFont="1" applyFill="1" applyBorder="1"/>
    <xf numFmtId="176" fontId="59" fillId="13" borderId="59" xfId="2" applyNumberFormat="1" applyFont="1" applyFill="1" applyBorder="1"/>
    <xf numFmtId="9" fontId="28" fillId="0" borderId="0" xfId="8" applyNumberFormat="1" applyFont="1"/>
    <xf numFmtId="182" fontId="11" fillId="0" borderId="0" xfId="8" applyNumberFormat="1" applyFont="1"/>
    <xf numFmtId="183" fontId="11" fillId="0" borderId="0" xfId="8" applyNumberFormat="1" applyFont="1"/>
    <xf numFmtId="0" fontId="20" fillId="0" borderId="63" xfId="0" applyFont="1" applyBorder="1"/>
    <xf numFmtId="0" fontId="11" fillId="0" borderId="63" xfId="0" applyFont="1" applyBorder="1"/>
    <xf numFmtId="168" fontId="20" fillId="0" borderId="63" xfId="2" applyNumberFormat="1" applyFont="1" applyBorder="1"/>
    <xf numFmtId="43" fontId="11" fillId="0" borderId="0" xfId="0" applyNumberFormat="1" applyFont="1"/>
    <xf numFmtId="0" fontId="20" fillId="13" borderId="0" xfId="0" applyFont="1" applyFill="1"/>
    <xf numFmtId="0" fontId="18" fillId="13" borderId="0" xfId="0" applyFont="1" applyFill="1"/>
    <xf numFmtId="173" fontId="20" fillId="13" borderId="0" xfId="8" applyNumberFormat="1" applyFont="1" applyFill="1"/>
    <xf numFmtId="174" fontId="20" fillId="13" borderId="0" xfId="8" applyNumberFormat="1" applyFont="1" applyFill="1"/>
    <xf numFmtId="0" fontId="18" fillId="8" borderId="0" xfId="0" applyFont="1" applyFill="1"/>
    <xf numFmtId="0" fontId="11" fillId="8" borderId="0" xfId="8" applyFont="1" applyFill="1"/>
    <xf numFmtId="173" fontId="20" fillId="8" borderId="0" xfId="8" applyNumberFormat="1" applyFont="1" applyFill="1"/>
    <xf numFmtId="174" fontId="20" fillId="8" borderId="0" xfId="8" applyNumberFormat="1" applyFont="1" applyFill="1"/>
    <xf numFmtId="178" fontId="11" fillId="0" borderId="0" xfId="8" applyNumberFormat="1" applyFont="1"/>
    <xf numFmtId="0" fontId="11" fillId="0" borderId="17" xfId="8" applyFont="1" applyBorder="1" applyAlignment="1">
      <alignment horizontal="center"/>
    </xf>
    <xf numFmtId="0" fontId="11" fillId="0" borderId="16" xfId="8" applyFont="1" applyBorder="1" applyAlignment="1">
      <alignment horizontal="center"/>
    </xf>
    <xf numFmtId="4" fontId="11" fillId="0" borderId="64" xfId="8" applyNumberFormat="1" applyFont="1" applyBorder="1" applyAlignment="1">
      <alignment horizontal="center"/>
    </xf>
    <xf numFmtId="4" fontId="11" fillId="0" borderId="64" xfId="0" applyNumberFormat="1" applyFont="1" applyBorder="1" applyAlignment="1">
      <alignment horizontal="center"/>
    </xf>
    <xf numFmtId="0" fontId="20" fillId="0" borderId="35" xfId="8" applyFont="1" applyBorder="1" applyAlignment="1">
      <alignment horizontal="left" wrapText="1"/>
    </xf>
    <xf numFmtId="0" fontId="20" fillId="0" borderId="35" xfId="8" applyFont="1" applyBorder="1" applyAlignment="1">
      <alignment horizontal="center" vertical="center" wrapText="1"/>
    </xf>
    <xf numFmtId="0" fontId="20" fillId="0" borderId="38" xfId="8" applyFont="1" applyBorder="1" applyAlignment="1">
      <alignment horizontal="center" vertical="center" wrapText="1"/>
    </xf>
    <xf numFmtId="0" fontId="20" fillId="0" borderId="16" xfId="8" applyFont="1" applyBorder="1" applyAlignment="1">
      <alignment horizontal="center" vertical="center"/>
    </xf>
    <xf numFmtId="0" fontId="20" fillId="0" borderId="17" xfId="8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7" fillId="0" borderId="5" xfId="0" applyFont="1" applyBorder="1"/>
    <xf numFmtId="0" fontId="17" fillId="0" borderId="15" xfId="0" applyFont="1" applyBorder="1"/>
    <xf numFmtId="0" fontId="22" fillId="0" borderId="5" xfId="0" applyFont="1" applyBorder="1"/>
    <xf numFmtId="0" fontId="19" fillId="0" borderId="16" xfId="3" applyFont="1" applyBorder="1"/>
    <xf numFmtId="166" fontId="21" fillId="6" borderId="18" xfId="4" applyFont="1" applyBorder="1"/>
    <xf numFmtId="0" fontId="17" fillId="2" borderId="17" xfId="1" applyFont="1" applyBorder="1"/>
    <xf numFmtId="0" fontId="20" fillId="2" borderId="3" xfId="1" applyFont="1" applyAlignment="1">
      <alignment horizontal="left"/>
    </xf>
    <xf numFmtId="0" fontId="18" fillId="0" borderId="0" xfId="0" applyFont="1" applyAlignment="1">
      <alignment horizontal="center"/>
    </xf>
    <xf numFmtId="0" fontId="21" fillId="0" borderId="5" xfId="0" applyFont="1" applyBorder="1"/>
    <xf numFmtId="0" fontId="14" fillId="3" borderId="8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26" fillId="3" borderId="10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173" fontId="14" fillId="3" borderId="8" xfId="0" applyNumberFormat="1" applyFont="1" applyFill="1" applyBorder="1" applyAlignment="1">
      <alignment horizontal="center"/>
    </xf>
    <xf numFmtId="173" fontId="14" fillId="3" borderId="9" xfId="0" applyNumberFormat="1" applyFont="1" applyFill="1" applyBorder="1" applyAlignment="1">
      <alignment horizontal="center"/>
    </xf>
    <xf numFmtId="173" fontId="14" fillId="3" borderId="10" xfId="0" applyNumberFormat="1" applyFont="1" applyFill="1" applyBorder="1" applyAlignment="1">
      <alignment horizontal="center"/>
    </xf>
    <xf numFmtId="174" fontId="14" fillId="3" borderId="8" xfId="0" applyNumberFormat="1" applyFont="1" applyFill="1" applyBorder="1" applyAlignment="1">
      <alignment horizontal="center"/>
    </xf>
    <xf numFmtId="174" fontId="14" fillId="3" borderId="9" xfId="0" applyNumberFormat="1" applyFont="1" applyFill="1" applyBorder="1" applyAlignment="1">
      <alignment horizontal="center"/>
    </xf>
    <xf numFmtId="174" fontId="14" fillId="3" borderId="10" xfId="0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54" fillId="8" borderId="32" xfId="9" applyFont="1" applyFill="1" applyBorder="1" applyAlignment="1">
      <alignment horizontal="center" vertical="center" textRotation="90" wrapText="1"/>
    </xf>
    <xf numFmtId="0" fontId="11" fillId="8" borderId="32" xfId="0" applyFont="1" applyFill="1" applyBorder="1" applyAlignment="1">
      <alignment horizontal="center" vertical="center" textRotation="90" wrapText="1"/>
    </xf>
    <xf numFmtId="0" fontId="11" fillId="8" borderId="36" xfId="0" applyFont="1" applyFill="1" applyBorder="1" applyAlignment="1">
      <alignment horizontal="center" vertical="center" textRotation="90" wrapText="1"/>
    </xf>
    <xf numFmtId="0" fontId="11" fillId="2" borderId="20" xfId="1" applyFont="1" applyBorder="1"/>
    <xf numFmtId="0" fontId="11" fillId="2" borderId="21" xfId="1" applyFont="1" applyBorder="1"/>
    <xf numFmtId="0" fontId="11" fillId="2" borderId="22" xfId="1" applyFont="1" applyBorder="1"/>
    <xf numFmtId="4" fontId="14" fillId="3" borderId="42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14" fontId="14" fillId="3" borderId="25" xfId="0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68" fontId="14" fillId="3" borderId="42" xfId="2" applyNumberFormat="1" applyFont="1" applyFill="1" applyBorder="1" applyAlignment="1">
      <alignment horizontal="center" vertical="center" wrapText="1"/>
    </xf>
    <xf numFmtId="168" fontId="14" fillId="3" borderId="1" xfId="2" applyNumberFormat="1" applyFont="1" applyFill="1" applyBorder="1" applyAlignment="1">
      <alignment horizontal="center" vertical="center" wrapText="1"/>
    </xf>
    <xf numFmtId="0" fontId="54" fillId="8" borderId="37" xfId="9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0" fontId="14" fillId="11" borderId="0" xfId="0" applyFont="1" applyFill="1" applyAlignment="1">
      <alignment horizontal="center" wrapText="1"/>
    </xf>
    <xf numFmtId="0" fontId="14" fillId="11" borderId="26" xfId="0" applyFont="1" applyFill="1" applyBorder="1" applyAlignment="1">
      <alignment horizontal="center" wrapText="1"/>
    </xf>
    <xf numFmtId="0" fontId="11" fillId="0" borderId="0" xfId="0" applyFont="1" applyFill="1"/>
    <xf numFmtId="0" fontId="17" fillId="0" borderId="0" xfId="0" applyFont="1" applyFill="1"/>
    <xf numFmtId="0" fontId="4" fillId="0" borderId="0" xfId="0" applyFont="1" applyFill="1"/>
    <xf numFmtId="0" fontId="11" fillId="2" borderId="3" xfId="1" applyFont="1" applyAlignment="1">
      <alignment horizontal="left"/>
    </xf>
    <xf numFmtId="14" fontId="11" fillId="2" borderId="3" xfId="1" applyNumberFormat="1" applyFont="1" applyAlignment="1">
      <alignment horizontal="right"/>
    </xf>
    <xf numFmtId="169" fontId="11" fillId="2" borderId="20" xfId="1" applyNumberFormat="1" applyFont="1" applyBorder="1" applyAlignment="1">
      <alignment horizontal="right"/>
    </xf>
    <xf numFmtId="169" fontId="11" fillId="2" borderId="22" xfId="1" applyNumberFormat="1" applyFont="1" applyBorder="1" applyAlignment="1">
      <alignment horizontal="right"/>
    </xf>
    <xf numFmtId="14" fontId="11" fillId="2" borderId="3" xfId="1" applyNumberFormat="1" applyFont="1" applyAlignment="1">
      <alignment horizontal="right"/>
    </xf>
    <xf numFmtId="10" fontId="54" fillId="13" borderId="61" xfId="2" applyNumberFormat="1" applyFont="1" applyFill="1" applyBorder="1"/>
    <xf numFmtId="0" fontId="14" fillId="4" borderId="0" xfId="0" applyFont="1" applyFill="1" applyBorder="1"/>
    <xf numFmtId="174" fontId="14" fillId="4" borderId="0" xfId="0" applyNumberFormat="1" applyFont="1" applyFill="1" applyBorder="1"/>
  </cellXfs>
  <cellStyles count="11">
    <cellStyle name="Assumption" xfId="4" xr:uid="{13E0F060-244A-4114-804B-D04C2B579D70}"/>
    <cellStyle name="Currency" xfId="10" builtinId="4"/>
    <cellStyle name="Heading 3" xfId="6" builtinId="18"/>
    <cellStyle name="Hyperlink" xfId="5" builtinId="8"/>
    <cellStyle name="Normal" xfId="0" builtinId="0"/>
    <cellStyle name="Normal 2" xfId="9" xr:uid="{0279833A-34C1-4124-9BBA-8C1172FDA1FC}"/>
    <cellStyle name="Normal_1" xfId="8" xr:uid="{84F30508-1BA6-480D-880A-10F79C0DAE3A}"/>
    <cellStyle name="Note" xfId="1" builtinId="10"/>
    <cellStyle name="Percent" xfId="2" builtinId="5"/>
    <cellStyle name="Title ERP" xfId="7" xr:uid="{77A82A11-F05B-46F3-BC2E-2128335B1F29}"/>
    <cellStyle name="Warning Text" xfId="3" builtinId="11"/>
  </cellStyles>
  <dxfs count="0"/>
  <tableStyles count="0" defaultTableStyle="TableStyleMedium2" defaultPivotStyle="PivotStyleLight16"/>
  <colors>
    <mruColors>
      <color rgb="FF0000FF"/>
      <color rgb="FF00B000"/>
      <color rgb="FF001440"/>
      <color rgb="FF00004D"/>
      <color rgb="FF00006C"/>
      <color rgb="FFF4FFAF"/>
      <color rgb="FF6666CC"/>
      <color rgb="FF8DA9DB"/>
      <color rgb="FF0080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Val_Sum!$B$14:$B$20</c:f>
              <c:strCache>
                <c:ptCount val="6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DCF </c:v>
                </c:pt>
                <c:pt idx="4">
                  <c:v>52W H/L</c:v>
                </c:pt>
                <c:pt idx="5">
                  <c:v>Terminal Growth Rate 1%-5% - WACC 6% - 10%</c:v>
                </c:pt>
              </c:strCache>
            </c:strRef>
          </c:cat>
          <c:val>
            <c:numRef>
              <c:f>Val_Sum!$C$14:$C$20</c:f>
              <c:numCache>
                <c:formatCode>#,##0.00</c:formatCode>
                <c:ptCount val="7"/>
                <c:pt idx="0">
                  <c:v>265.86</c:v>
                </c:pt>
                <c:pt idx="1">
                  <c:v>279.06</c:v>
                </c:pt>
                <c:pt idx="2">
                  <c:v>66.34</c:v>
                </c:pt>
                <c:pt idx="3">
                  <c:v>619.48706486037895</c:v>
                </c:pt>
                <c:pt idx="4">
                  <c:v>365.74</c:v>
                </c:pt>
                <c:pt idx="5">
                  <c:v>616.41295207909661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7-4D73-B408-8DD772AD537A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Val_Sum!$B$14:$B$20</c:f>
              <c:strCache>
                <c:ptCount val="6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DCF </c:v>
                </c:pt>
                <c:pt idx="4">
                  <c:v>52W H/L</c:v>
                </c:pt>
                <c:pt idx="5">
                  <c:v>Terminal Growth Rate 1%-5% - WACC 6% - 10%</c:v>
                </c:pt>
              </c:strCache>
            </c:strRef>
          </c:cat>
          <c:val>
            <c:numRef>
              <c:f>Val_Sum!$D$14:$D$20</c:f>
              <c:numCache>
                <c:formatCode>#,##0.00</c:formatCode>
                <c:ptCount val="7"/>
                <c:pt idx="0">
                  <c:v>340.14</c:v>
                </c:pt>
                <c:pt idx="1">
                  <c:v>408.13</c:v>
                </c:pt>
                <c:pt idx="2">
                  <c:v>215.37</c:v>
                </c:pt>
                <c:pt idx="3">
                  <c:v>619.48706486037895</c:v>
                </c:pt>
                <c:pt idx="4">
                  <c:v>485.36</c:v>
                </c:pt>
                <c:pt idx="5">
                  <c:v>599.66414034940544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7-4D73-B408-8DD772AD537A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Val_Sum!$B$14:$B$20</c:f>
              <c:strCache>
                <c:ptCount val="6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DCF </c:v>
                </c:pt>
                <c:pt idx="4">
                  <c:v>52W H/L</c:v>
                </c:pt>
                <c:pt idx="5">
                  <c:v>Terminal Growth Rate 1%-5% - WACC 6% - 10%</c:v>
                </c:pt>
              </c:strCache>
            </c:strRef>
          </c:cat>
          <c:val>
            <c:numRef>
              <c:f>Val_Sum!$E$14:$E$20</c:f>
              <c:numCache>
                <c:formatCode>#,##0.00</c:formatCode>
                <c:ptCount val="7"/>
                <c:pt idx="0">
                  <c:v>542.46</c:v>
                </c:pt>
                <c:pt idx="1">
                  <c:v>751.93</c:v>
                </c:pt>
                <c:pt idx="2">
                  <c:v>655.32000000000005</c:v>
                </c:pt>
                <c:pt idx="3">
                  <c:v>619.48706486037895</c:v>
                </c:pt>
                <c:pt idx="4">
                  <c:v>487.7</c:v>
                </c:pt>
                <c:pt idx="5">
                  <c:v>583.54886414579687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7-4D73-B408-8DD772AD537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Val_Sum!$B$14:$B$20</c:f>
              <c:strCache>
                <c:ptCount val="6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DCF </c:v>
                </c:pt>
                <c:pt idx="4">
                  <c:v>52W H/L</c:v>
                </c:pt>
                <c:pt idx="5">
                  <c:v>Terminal Growth Rate 1%-5% - WACC 6% - 10%</c:v>
                </c:pt>
              </c:strCache>
            </c:strRef>
          </c:cat>
          <c:val>
            <c:numRef>
              <c:f>Val_Sum!$F$14:$F$20</c:f>
              <c:numCache>
                <c:formatCode>#,##0.00</c:formatCode>
                <c:ptCount val="7"/>
                <c:pt idx="0">
                  <c:v>815.7</c:v>
                </c:pt>
                <c:pt idx="1">
                  <c:v>851.11</c:v>
                </c:pt>
                <c:pt idx="2">
                  <c:v>1005.97</c:v>
                </c:pt>
                <c:pt idx="3">
                  <c:v>619.48706486037895</c:v>
                </c:pt>
                <c:pt idx="4">
                  <c:v>487.7</c:v>
                </c:pt>
                <c:pt idx="5">
                  <c:v>568.03753542554705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07-4D73-B408-8DD772AD537A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cat>
            <c:strRef>
              <c:f>Val_Sum!$B$14:$B$20</c:f>
              <c:strCache>
                <c:ptCount val="6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DCF </c:v>
                </c:pt>
                <c:pt idx="4">
                  <c:v>52W H/L</c:v>
                </c:pt>
                <c:pt idx="5">
                  <c:v>Terminal Growth Rate 1%-5% - WACC 6% - 10%</c:v>
                </c:pt>
              </c:strCache>
            </c:strRef>
          </c:cat>
          <c:val>
            <c:numRef>
              <c:f>Val_Sum!$G$14:$G$20</c:f>
              <c:numCache>
                <c:formatCode>#,##0.00</c:formatCode>
                <c:ptCount val="7"/>
                <c:pt idx="0">
                  <c:v>4955.4799999999996</c:v>
                </c:pt>
                <c:pt idx="1">
                  <c:v>5563.11</c:v>
                </c:pt>
                <c:pt idx="2">
                  <c:v>7490.76</c:v>
                </c:pt>
                <c:pt idx="3">
                  <c:v>619.48706486037895</c:v>
                </c:pt>
                <c:pt idx="4">
                  <c:v>651.73</c:v>
                </c:pt>
                <c:pt idx="5">
                  <c:v>553.10220372251581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07-4D73-B408-8DD772AD5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9135184"/>
        <c:axId val="1569141424"/>
      </c:barChart>
      <c:catAx>
        <c:axId val="156913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41424"/>
        <c:crosses val="autoZero"/>
        <c:auto val="1"/>
        <c:lblAlgn val="ctr"/>
        <c:lblOffset val="100"/>
        <c:noMultiLvlLbl val="0"/>
      </c:catAx>
      <c:valAx>
        <c:axId val="1569141424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3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297164</xdr:colOff>
      <xdr:row>8</xdr:row>
      <xdr:rowOff>94271</xdr:rowOff>
    </xdr:from>
    <xdr:to>
      <xdr:col>11</xdr:col>
      <xdr:colOff>258418</xdr:colOff>
      <xdr:row>21</xdr:row>
      <xdr:rowOff>13253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5B66B8-27E1-25DD-ED5C-E8D442DC9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552772</xdr:colOff>
      <xdr:row>0</xdr:row>
      <xdr:rowOff>26503</xdr:rowOff>
    </xdr:from>
    <xdr:to>
      <xdr:col>9</xdr:col>
      <xdr:colOff>494921</xdr:colOff>
      <xdr:row>3</xdr:row>
      <xdr:rowOff>246948</xdr:rowOff>
    </xdr:to>
    <xdr:pic>
      <xdr:nvPicPr>
        <xdr:cNvPr id="4" name="Graphic 3" descr="Bank with solid fill">
          <a:extLst>
            <a:ext uri="{FF2B5EF4-FFF2-40B4-BE49-F238E27FC236}">
              <a16:creationId xmlns:a16="http://schemas.microsoft.com/office/drawing/2014/main" id="{3F4768FC-40C5-D170-7B28-EE49A686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7510" y="26503"/>
          <a:ext cx="551749" cy="554553"/>
        </a:xfrm>
        <a:prstGeom prst="rect">
          <a:avLst/>
        </a:prstGeom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eqcapin@gmaco%20|%2091+%201111111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26EC-05B6-4765-9112-E5A4EA942541}">
  <dimension ref="B2:V40"/>
  <sheetViews>
    <sheetView showGridLines="0" topLeftCell="A13" workbookViewId="0">
      <selection activeCell="M19" sqref="M19"/>
    </sheetView>
  </sheetViews>
  <sheetFormatPr defaultRowHeight="13.2" x14ac:dyDescent="0.25"/>
  <cols>
    <col min="1" max="1" width="1.88671875" style="1" customWidth="1"/>
    <col min="2" max="4" width="8.88671875" style="1"/>
    <col min="5" max="5" width="1.33203125" style="1" customWidth="1"/>
    <col min="6" max="6" width="9.77734375" style="1" customWidth="1"/>
    <col min="7" max="7" width="12.21875" style="1" customWidth="1"/>
    <col min="8" max="8" width="5.44140625" style="1" customWidth="1"/>
    <col min="9" max="10" width="11.33203125" style="1" customWidth="1"/>
    <col min="11" max="11" width="15.33203125" style="1" customWidth="1"/>
    <col min="12" max="12" width="7.88671875" style="1" customWidth="1"/>
    <col min="13" max="13" width="8.44140625" style="1" customWidth="1"/>
    <col min="14" max="14" width="11.33203125" style="1" customWidth="1"/>
    <col min="15" max="15" width="6" style="1" customWidth="1"/>
    <col min="16" max="16" width="9.21875" style="1" bestFit="1" customWidth="1"/>
    <col min="17" max="16384" width="8.88671875" style="1"/>
  </cols>
  <sheetData>
    <row r="2" spans="2:22" ht="15.6" x14ac:dyDescent="0.3">
      <c r="B2" s="9" t="s">
        <v>334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22" ht="14.4" x14ac:dyDescent="0.3">
      <c r="B3" s="64" t="s">
        <v>32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2" ht="14.4" x14ac:dyDescent="0.3">
      <c r="B4" s="118" t="s">
        <v>339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22" x14ac:dyDescent="0.25">
      <c r="B5" s="3"/>
      <c r="C5" s="4"/>
      <c r="D5" s="4"/>
      <c r="E5" s="4"/>
      <c r="F5" s="4"/>
      <c r="G5" s="473"/>
      <c r="H5" s="473"/>
      <c r="I5" s="473"/>
      <c r="J5" s="473"/>
      <c r="K5" s="473"/>
      <c r="L5" s="473"/>
      <c r="M5" s="473"/>
      <c r="N5" s="473"/>
      <c r="O5" s="473"/>
    </row>
    <row r="7" spans="2:22" s="13" customFormat="1" ht="14.4" x14ac:dyDescent="0.3">
      <c r="B7" s="11" t="s">
        <v>21</v>
      </c>
      <c r="C7" s="11"/>
      <c r="D7" s="11"/>
      <c r="E7" s="11"/>
      <c r="F7" s="11" t="s">
        <v>5</v>
      </c>
      <c r="G7" s="11"/>
      <c r="H7" s="12"/>
      <c r="I7" s="12"/>
      <c r="J7" s="12"/>
      <c r="K7" s="12"/>
      <c r="L7" s="12"/>
      <c r="M7" s="12"/>
      <c r="N7" s="12"/>
      <c r="O7" s="12"/>
    </row>
    <row r="8" spans="2:22" s="13" customFormat="1" ht="13.8" x14ac:dyDescent="0.3"/>
    <row r="9" spans="2:22" s="13" customFormat="1" ht="13.8" x14ac:dyDescent="0.3">
      <c r="B9" s="13" t="s">
        <v>0</v>
      </c>
      <c r="G9" s="480" t="str">
        <f>UPPER(B2)</f>
        <v>SYNOPSYS, INC.</v>
      </c>
      <c r="H9" s="480"/>
      <c r="M9" s="481" t="s">
        <v>20</v>
      </c>
      <c r="N9" s="481"/>
    </row>
    <row r="10" spans="2:22" s="13" customFormat="1" ht="13.8" x14ac:dyDescent="0.3">
      <c r="B10" s="13" t="s">
        <v>6</v>
      </c>
      <c r="G10" s="524" t="s">
        <v>140</v>
      </c>
      <c r="H10" s="524"/>
      <c r="P10" s="15"/>
      <c r="Q10" s="15"/>
      <c r="R10" s="15"/>
      <c r="S10" s="15"/>
      <c r="T10" s="15"/>
      <c r="U10" s="15"/>
      <c r="V10" s="15"/>
    </row>
    <row r="11" spans="2:22" s="13" customFormat="1" ht="14.4" x14ac:dyDescent="0.3">
      <c r="B11" s="13" t="s">
        <v>302</v>
      </c>
      <c r="F11" s="13" t="s">
        <v>1</v>
      </c>
      <c r="G11" s="525">
        <f ca="1">TODAY()</f>
        <v>46098</v>
      </c>
      <c r="H11" s="525"/>
      <c r="L11" s="482" t="s">
        <v>14</v>
      </c>
      <c r="M11" s="482"/>
      <c r="N11" s="477" t="s">
        <v>19</v>
      </c>
      <c r="O11" s="477"/>
      <c r="P11" s="15"/>
      <c r="Q11" s="15"/>
      <c r="R11" s="15"/>
      <c r="S11" s="15"/>
      <c r="T11" s="15"/>
      <c r="U11" s="15"/>
      <c r="V11" s="15"/>
    </row>
    <row r="12" spans="2:22" s="13" customFormat="1" ht="14.4" x14ac:dyDescent="0.3">
      <c r="B12" s="13" t="s">
        <v>174</v>
      </c>
      <c r="F12" s="13" t="s">
        <v>33</v>
      </c>
      <c r="G12" s="526">
        <v>100</v>
      </c>
      <c r="H12" s="527"/>
      <c r="L12" s="474" t="s">
        <v>15</v>
      </c>
      <c r="M12" s="475"/>
      <c r="N12" s="478" t="s">
        <v>17</v>
      </c>
      <c r="O12" s="478"/>
      <c r="P12" s="15"/>
      <c r="Q12" s="15"/>
      <c r="R12" s="15"/>
      <c r="S12" s="15"/>
      <c r="T12" s="15"/>
      <c r="U12" s="15"/>
      <c r="V12" s="15"/>
    </row>
    <row r="13" spans="2:22" s="13" customFormat="1" ht="14.4" x14ac:dyDescent="0.3">
      <c r="L13" s="476" t="s">
        <v>16</v>
      </c>
      <c r="M13" s="476"/>
      <c r="N13" s="479" t="s">
        <v>18</v>
      </c>
      <c r="O13" s="479"/>
      <c r="P13" s="15"/>
      <c r="Q13" s="15"/>
      <c r="R13" s="15"/>
      <c r="S13" s="15"/>
      <c r="T13" s="15"/>
      <c r="U13" s="15"/>
      <c r="V13" s="15"/>
    </row>
    <row r="14" spans="2:22" s="13" customFormat="1" ht="13.8" x14ac:dyDescent="0.3">
      <c r="B14" s="16" t="s">
        <v>7</v>
      </c>
      <c r="C14" s="16"/>
      <c r="D14" s="16"/>
      <c r="E14" s="16"/>
      <c r="F14" s="16"/>
      <c r="G14" s="181" t="s">
        <v>304</v>
      </c>
      <c r="L14" s="65" t="s">
        <v>461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2:22" s="13" customFormat="1" ht="13.8" x14ac:dyDescent="0.3">
      <c r="P15" s="15"/>
      <c r="Q15" s="15"/>
      <c r="R15" s="15"/>
      <c r="S15" s="15"/>
      <c r="T15" s="15"/>
      <c r="U15" s="15"/>
      <c r="V15" s="15"/>
    </row>
    <row r="16" spans="2:22" s="13" customFormat="1" ht="13.8" x14ac:dyDescent="0.3">
      <c r="B16" s="13" t="s">
        <v>8</v>
      </c>
      <c r="F16" s="13" t="s">
        <v>1</v>
      </c>
      <c r="G16" s="528">
        <f>Statements!I7</f>
        <v>45596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2:22" s="13" customFormat="1" ht="13.8" x14ac:dyDescent="0.3">
      <c r="B17" s="13" t="s">
        <v>9</v>
      </c>
      <c r="F17" s="13" t="s">
        <v>1</v>
      </c>
      <c r="G17" s="528">
        <f>Statements!N7</f>
        <v>47422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2:22" s="13" customFormat="1" ht="13.8" x14ac:dyDescent="0.3">
      <c r="B18" s="13" t="s">
        <v>10</v>
      </c>
      <c r="F18" s="13" t="s">
        <v>11</v>
      </c>
      <c r="G18" s="182">
        <f>YEARFRAC(G16,G17,1)</f>
        <v>4.9981751824817522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2:22" s="13" customFormat="1" ht="13.8" x14ac:dyDescent="0.3">
      <c r="B19" s="13" t="s">
        <v>13</v>
      </c>
      <c r="F19" s="13" t="s">
        <v>12</v>
      </c>
      <c r="G19" s="182">
        <v>360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2:22" s="13" customFormat="1" ht="13.8" x14ac:dyDescent="0.3">
      <c r="P20" s="15"/>
      <c r="Q20" s="15"/>
      <c r="R20" s="15"/>
      <c r="S20" s="15"/>
      <c r="T20" s="15"/>
      <c r="U20" s="15"/>
      <c r="V20" s="15"/>
    </row>
    <row r="21" spans="2:22" s="13" customFormat="1" ht="13.8" x14ac:dyDescent="0.3">
      <c r="G21" s="521"/>
      <c r="H21" s="521"/>
      <c r="I21" s="521"/>
      <c r="J21" s="521"/>
    </row>
    <row r="22" spans="2:22" s="13" customFormat="1" ht="14.4" x14ac:dyDescent="0.3">
      <c r="C22" s="345" t="s">
        <v>101</v>
      </c>
      <c r="D22" s="346"/>
      <c r="E22" s="346"/>
      <c r="F22" s="346"/>
      <c r="G22" s="522"/>
      <c r="H22" s="522"/>
      <c r="I22" s="521"/>
      <c r="J22" s="521"/>
    </row>
    <row r="23" spans="2:22" s="13" customFormat="1" ht="13.8" x14ac:dyDescent="0.3">
      <c r="C23" s="17" t="s">
        <v>102</v>
      </c>
      <c r="G23" s="521"/>
      <c r="H23" s="521"/>
      <c r="I23" s="521"/>
      <c r="J23" s="521"/>
    </row>
    <row r="24" spans="2:22" s="13" customFormat="1" ht="3.6" customHeight="1" x14ac:dyDescent="0.3">
      <c r="G24" s="521"/>
      <c r="H24" s="521"/>
      <c r="I24" s="521"/>
      <c r="J24" s="521"/>
    </row>
    <row r="25" spans="2:22" s="13" customFormat="1" ht="14.4" x14ac:dyDescent="0.3">
      <c r="B25" s="15">
        <v>1</v>
      </c>
      <c r="C25" s="347" t="s">
        <v>32</v>
      </c>
      <c r="G25" s="521"/>
      <c r="H25" s="521"/>
      <c r="I25" s="521"/>
      <c r="J25" s="521"/>
    </row>
    <row r="26" spans="2:22" s="13" customFormat="1" ht="14.4" thickBot="1" x14ac:dyDescent="0.35">
      <c r="B26" s="15">
        <v>2</v>
      </c>
      <c r="C26" s="348" t="s">
        <v>45</v>
      </c>
      <c r="G26" s="521"/>
      <c r="H26" s="521"/>
      <c r="I26" s="521"/>
      <c r="J26" s="521"/>
    </row>
    <row r="27" spans="2:22" s="13" customFormat="1" ht="13.8" x14ac:dyDescent="0.3">
      <c r="B27" s="15">
        <v>3</v>
      </c>
      <c r="C27" s="349" t="s">
        <v>46</v>
      </c>
      <c r="G27" s="521"/>
      <c r="H27" s="521"/>
      <c r="I27" s="521"/>
      <c r="J27" s="521"/>
    </row>
    <row r="28" spans="2:22" s="13" customFormat="1" ht="13.8" x14ac:dyDescent="0.3">
      <c r="B28" s="15">
        <v>4</v>
      </c>
      <c r="C28" s="349" t="s">
        <v>37</v>
      </c>
      <c r="G28" s="521"/>
      <c r="H28" s="521"/>
      <c r="I28" s="521"/>
      <c r="J28" s="521"/>
    </row>
    <row r="29" spans="2:22" s="13" customFormat="1" ht="13.8" x14ac:dyDescent="0.3">
      <c r="B29" s="15">
        <v>5</v>
      </c>
      <c r="C29" s="349" t="s">
        <v>17</v>
      </c>
      <c r="G29" s="521"/>
      <c r="H29" s="521"/>
      <c r="I29" s="521"/>
      <c r="J29" s="521"/>
    </row>
    <row r="30" spans="2:22" s="13" customFormat="1" ht="13.8" x14ac:dyDescent="0.3">
      <c r="B30" s="15">
        <v>6</v>
      </c>
      <c r="C30" s="349" t="s">
        <v>42</v>
      </c>
      <c r="G30" s="521"/>
      <c r="H30" s="521"/>
      <c r="I30" s="521"/>
      <c r="J30" s="521"/>
    </row>
    <row r="31" spans="2:22" s="13" customFormat="1" ht="14.4" thickBot="1" x14ac:dyDescent="0.35">
      <c r="B31" s="15">
        <v>7</v>
      </c>
      <c r="C31" s="348" t="s">
        <v>48</v>
      </c>
      <c r="G31" s="521"/>
      <c r="H31" s="521"/>
      <c r="I31" s="521"/>
      <c r="J31" s="521"/>
    </row>
    <row r="32" spans="2:22" s="13" customFormat="1" ht="13.8" x14ac:dyDescent="0.3">
      <c r="B32" s="15">
        <v>8</v>
      </c>
      <c r="C32" s="349" t="s">
        <v>51</v>
      </c>
      <c r="G32" s="521"/>
      <c r="H32" s="521"/>
      <c r="I32" s="521"/>
      <c r="J32" s="521"/>
    </row>
    <row r="33" spans="2:10" s="13" customFormat="1" ht="13.8" x14ac:dyDescent="0.3">
      <c r="B33" s="15">
        <v>9</v>
      </c>
      <c r="C33" s="349" t="s">
        <v>50</v>
      </c>
      <c r="G33" s="521"/>
      <c r="H33" s="521"/>
      <c r="I33" s="521"/>
      <c r="J33" s="521"/>
    </row>
    <row r="34" spans="2:10" s="13" customFormat="1" ht="13.8" x14ac:dyDescent="0.3">
      <c r="B34" s="15">
        <v>10</v>
      </c>
      <c r="C34" s="349" t="s">
        <v>49</v>
      </c>
      <c r="G34" s="521"/>
      <c r="H34" s="521"/>
      <c r="I34" s="521"/>
      <c r="J34" s="521"/>
    </row>
    <row r="35" spans="2:10" s="13" customFormat="1" ht="14.4" thickBot="1" x14ac:dyDescent="0.35">
      <c r="B35" s="15">
        <v>11</v>
      </c>
      <c r="C35" s="348" t="s">
        <v>59</v>
      </c>
      <c r="G35" s="521"/>
      <c r="H35" s="521"/>
      <c r="I35" s="521"/>
      <c r="J35" s="521"/>
    </row>
    <row r="36" spans="2:10" s="13" customFormat="1" ht="13.8" x14ac:dyDescent="0.3">
      <c r="B36" s="15">
        <v>12</v>
      </c>
      <c r="C36" s="349" t="s">
        <v>104</v>
      </c>
      <c r="G36" s="521"/>
      <c r="H36" s="521"/>
      <c r="I36" s="521"/>
      <c r="J36" s="521"/>
    </row>
    <row r="37" spans="2:10" s="13" customFormat="1" ht="13.8" x14ac:dyDescent="0.3">
      <c r="B37" s="15">
        <v>13</v>
      </c>
      <c r="C37" s="349" t="s">
        <v>112</v>
      </c>
      <c r="G37" s="521"/>
      <c r="H37" s="521"/>
      <c r="I37" s="521"/>
      <c r="J37" s="521"/>
    </row>
    <row r="38" spans="2:10" s="13" customFormat="1" ht="14.4" x14ac:dyDescent="0.3">
      <c r="C38" s="346"/>
      <c r="D38" s="346"/>
      <c r="E38" s="346"/>
      <c r="F38" s="346"/>
      <c r="G38" s="522"/>
      <c r="H38" s="522"/>
      <c r="I38" s="521"/>
      <c r="J38" s="521"/>
    </row>
    <row r="39" spans="2:10" x14ac:dyDescent="0.25">
      <c r="G39" s="523"/>
      <c r="H39" s="523"/>
      <c r="I39" s="523"/>
      <c r="J39" s="523"/>
    </row>
    <row r="40" spans="2:10" x14ac:dyDescent="0.25">
      <c r="G40" s="523"/>
      <c r="H40" s="523"/>
      <c r="I40" s="523"/>
      <c r="J40" s="523"/>
    </row>
  </sheetData>
  <mergeCells count="13">
    <mergeCell ref="G5:J5"/>
    <mergeCell ref="K5:O5"/>
    <mergeCell ref="L12:M12"/>
    <mergeCell ref="L13:M13"/>
    <mergeCell ref="N11:O11"/>
    <mergeCell ref="N12:O12"/>
    <mergeCell ref="N13:O13"/>
    <mergeCell ref="G9:H9"/>
    <mergeCell ref="G10:H10"/>
    <mergeCell ref="G11:H11"/>
    <mergeCell ref="M9:N9"/>
    <mergeCell ref="L11:M11"/>
    <mergeCell ref="G12:H12"/>
  </mergeCells>
  <hyperlinks>
    <hyperlink ref="C25" location="Dashboard!A1" display="Dashboard" xr:uid="{9C73C154-C68B-454C-852F-D91427F3C438}"/>
    <hyperlink ref="C26" location="'Financials-&gt;'!A1" display="Financials" xr:uid="{9EB1F29F-EE24-4AE6-AFF2-F1CBF4F8C1DE}"/>
    <hyperlink ref="C27" location="Statements!A1" display="Statements" xr:uid="{FF406334-9291-44BC-A10D-46BA488F313D}"/>
    <hyperlink ref="C28" location="Scenario!A1" display="Scenario" xr:uid="{627DCDE0-0927-4D09-AABB-133D7D82A9AD}"/>
    <hyperlink ref="C29" location="Assumptions!A1" display="Assumptions" xr:uid="{B0546597-0306-49E6-8CA2-46F168078804}"/>
    <hyperlink ref="C30" location="Schedule!A1" display="Schedule" xr:uid="{F8C637A0-EADC-4EA0-984D-A00DB590DF2C}"/>
    <hyperlink ref="C31" location="'Valuation-&gt;'!A1" display="Valuation" xr:uid="{285E0536-6BC2-46FA-8BAF-2F6A42DB5126}"/>
    <hyperlink ref="C32" location="Beta!A1" display="Beta" xr:uid="{9EFBD76D-E381-42AC-BD1F-8C26DC615ED0}"/>
    <hyperlink ref="C33" location="WACC!A1" display="WACC" xr:uid="{0415E4CF-6814-493D-A057-79F7E9E7D99F}"/>
    <hyperlink ref="C34" location="FCFF!A1" display="FCFF" xr:uid="{B5AD4E4D-210D-4829-927E-24383B87FBCF}"/>
    <hyperlink ref="C35" location="Report!A1" display="Report" xr:uid="{AE5AD584-FDA9-4512-AFC4-856E2FEB3AAE}"/>
    <hyperlink ref="C36" location="'Ratio Analysis'!A1" display="Ratio Analysis" xr:uid="{71B97E50-971D-4837-A6B4-58EF43AF1C7C}"/>
    <hyperlink ref="C37" location="'Equity Report'!A1" display="Equity Report" xr:uid="{0FFC448C-375D-41DE-A8DB-BBD220A9CB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CFEF-B378-4225-B4E0-924531738075}">
  <sheetPr>
    <tabColor rgb="FF00004D"/>
  </sheetPr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86AC-83E4-4BFE-86DE-94869AE10D6C}">
  <dimension ref="A1:S140"/>
  <sheetViews>
    <sheetView showGridLines="0" topLeftCell="A9" zoomScale="85" zoomScaleNormal="85" workbookViewId="0">
      <selection activeCell="B109" sqref="B109:B138"/>
    </sheetView>
  </sheetViews>
  <sheetFormatPr defaultRowHeight="13.8" outlineLevelRow="1" x14ac:dyDescent="0.3"/>
  <cols>
    <col min="1" max="1" width="1.88671875" style="13" customWidth="1"/>
    <col min="2" max="2" width="12.21875" style="13" customWidth="1"/>
    <col min="3" max="3" width="6.33203125" style="13" customWidth="1"/>
    <col min="4" max="4" width="12.21875" style="13" customWidth="1"/>
    <col min="5" max="5" width="9.77734375" style="13" customWidth="1"/>
    <col min="6" max="6" width="9.44140625" style="13" customWidth="1"/>
    <col min="7" max="14" width="13.109375" style="13" customWidth="1"/>
    <col min="15" max="16" width="12" style="13" customWidth="1"/>
    <col min="17" max="19" width="16" style="13" customWidth="1"/>
    <col min="20" max="16384" width="8.88671875" style="13"/>
  </cols>
  <sheetData>
    <row r="1" spans="1:19" s="18" customFormat="1" ht="14.4" x14ac:dyDescent="0.3"/>
    <row r="2" spans="1:19" s="18" customFormat="1" ht="15.6" x14ac:dyDescent="0.3">
      <c r="A2" s="19"/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s="18" customFormat="1" ht="14.4" x14ac:dyDescent="0.3">
      <c r="B3" s="64" t="s">
        <v>36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s="18" customFormat="1" ht="14.4" x14ac:dyDescent="0.3">
      <c r="B4" s="7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s="18" customFormat="1" ht="14.4" x14ac:dyDescent="0.3">
      <c r="B5" s="10" t="s">
        <v>39</v>
      </c>
      <c r="C5" s="21"/>
      <c r="D5" s="10" t="str">
        <f>Dashboard!G14</f>
        <v>N/A</v>
      </c>
      <c r="E5" s="21"/>
      <c r="F5" s="21"/>
      <c r="G5" s="24"/>
      <c r="H5" s="24"/>
      <c r="I5" s="24"/>
      <c r="J5" s="24"/>
      <c r="K5" s="24"/>
      <c r="L5" s="24"/>
      <c r="M5" s="24"/>
      <c r="N5" s="24"/>
      <c r="O5" s="21"/>
      <c r="P5" s="21"/>
      <c r="Q5" s="21"/>
      <c r="R5" s="21"/>
      <c r="S5" s="21"/>
    </row>
    <row r="6" spans="1:19" s="18" customFormat="1" ht="14.4" x14ac:dyDescent="0.3">
      <c r="B6" s="10" t="s">
        <v>1</v>
      </c>
      <c r="C6" s="25"/>
      <c r="D6" s="25"/>
      <c r="E6" s="25"/>
      <c r="F6" s="26"/>
      <c r="G6" s="483" t="s">
        <v>170</v>
      </c>
      <c r="H6" s="484"/>
      <c r="I6" s="485"/>
      <c r="J6" s="483" t="s">
        <v>3</v>
      </c>
      <c r="K6" s="484"/>
      <c r="L6" s="484"/>
      <c r="M6" s="484"/>
      <c r="N6" s="485"/>
      <c r="O6" s="486" t="s">
        <v>31</v>
      </c>
      <c r="P6" s="487"/>
      <c r="Q6" s="488" t="s">
        <v>18</v>
      </c>
      <c r="R6" s="489"/>
      <c r="S6" s="489"/>
    </row>
    <row r="7" spans="1:19" s="18" customFormat="1" ht="14.4" x14ac:dyDescent="0.3">
      <c r="B7" s="10" t="s">
        <v>171</v>
      </c>
      <c r="C7" s="25"/>
      <c r="D7" s="25"/>
      <c r="E7" s="25"/>
      <c r="F7" s="26"/>
      <c r="G7" s="109">
        <v>44865</v>
      </c>
      <c r="H7" s="109">
        <f t="shared" ref="H7:N7" si="0">EDATE(G7,12)</f>
        <v>45230</v>
      </c>
      <c r="I7" s="109">
        <f t="shared" si="0"/>
        <v>45596</v>
      </c>
      <c r="J7" s="110">
        <f t="shared" si="0"/>
        <v>45961</v>
      </c>
      <c r="K7" s="110">
        <f t="shared" si="0"/>
        <v>46326</v>
      </c>
      <c r="L7" s="110">
        <f t="shared" si="0"/>
        <v>46691</v>
      </c>
      <c r="M7" s="110">
        <f t="shared" si="0"/>
        <v>47057</v>
      </c>
      <c r="N7" s="110">
        <f t="shared" si="0"/>
        <v>47422</v>
      </c>
      <c r="O7" s="30" t="s">
        <v>172</v>
      </c>
      <c r="P7" s="31" t="s">
        <v>173</v>
      </c>
      <c r="Q7" s="490"/>
      <c r="R7" s="491"/>
      <c r="S7" s="491"/>
    </row>
    <row r="8" spans="1:19" x14ac:dyDescent="0.3">
      <c r="G8" s="32"/>
      <c r="H8" s="32"/>
      <c r="L8" s="33"/>
    </row>
    <row r="9" spans="1:19" ht="14.4" x14ac:dyDescent="0.3">
      <c r="B9" s="34" t="s">
        <v>47</v>
      </c>
    </row>
    <row r="10" spans="1:19" ht="14.4" x14ac:dyDescent="0.3">
      <c r="B10" s="34"/>
    </row>
    <row r="11" spans="1:19" ht="14.4" x14ac:dyDescent="0.3">
      <c r="B11" s="34" t="s">
        <v>53</v>
      </c>
      <c r="C11" s="101" t="s">
        <v>35</v>
      </c>
      <c r="E11" s="100" t="s">
        <v>54</v>
      </c>
      <c r="G11" s="117" t="s">
        <v>34</v>
      </c>
    </row>
    <row r="12" spans="1:19" ht="14.4" x14ac:dyDescent="0.3">
      <c r="B12" s="34"/>
      <c r="C12" s="35"/>
      <c r="E12" s="35"/>
    </row>
    <row r="13" spans="1:19" ht="14.4" x14ac:dyDescent="0.3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</row>
    <row r="15" spans="1:19" x14ac:dyDescent="0.3">
      <c r="B15" s="37" t="s">
        <v>22</v>
      </c>
      <c r="C15" s="13" t="s">
        <v>26</v>
      </c>
      <c r="E15" s="37" t="s">
        <v>24</v>
      </c>
      <c r="F15" s="13" t="s">
        <v>30</v>
      </c>
    </row>
    <row r="16" spans="1:19" x14ac:dyDescent="0.3">
      <c r="B16" s="37" t="s">
        <v>23</v>
      </c>
      <c r="C16" s="13" t="s">
        <v>27</v>
      </c>
      <c r="E16" s="37" t="s">
        <v>25</v>
      </c>
      <c r="F16" s="13" t="s">
        <v>229</v>
      </c>
    </row>
    <row r="17" spans="1:19" x14ac:dyDescent="0.3">
      <c r="B17" s="37" t="s">
        <v>28</v>
      </c>
      <c r="C17" s="13" t="s">
        <v>29</v>
      </c>
    </row>
    <row r="18" spans="1:19" x14ac:dyDescent="0.3">
      <c r="B18" s="37" t="s">
        <v>5</v>
      </c>
      <c r="C18" s="13" t="s">
        <v>133</v>
      </c>
    </row>
    <row r="20" spans="1:19" s="18" customFormat="1" ht="14.4" x14ac:dyDescent="0.3">
      <c r="A20" s="18" t="s">
        <v>33</v>
      </c>
      <c r="B20" s="180" t="s">
        <v>35</v>
      </c>
      <c r="C20" s="151"/>
      <c r="D20" s="151"/>
      <c r="E20" s="151"/>
      <c r="F20" s="151"/>
      <c r="G20" s="152">
        <v>44865</v>
      </c>
      <c r="H20" s="152">
        <v>45230</v>
      </c>
      <c r="I20" s="152">
        <v>45596</v>
      </c>
      <c r="J20" s="153">
        <v>45961</v>
      </c>
      <c r="K20" s="153">
        <v>46326</v>
      </c>
      <c r="L20" s="153">
        <v>46691</v>
      </c>
      <c r="M20" s="153">
        <v>47057</v>
      </c>
      <c r="N20" s="154">
        <v>47422</v>
      </c>
      <c r="O20" s="36"/>
      <c r="P20" s="36"/>
      <c r="Q20" s="36"/>
      <c r="R20" s="36"/>
      <c r="S20" s="36"/>
    </row>
    <row r="21" spans="1:19" s="39" customFormat="1" x14ac:dyDescent="0.3">
      <c r="B21" s="136"/>
      <c r="N21" s="137"/>
    </row>
    <row r="22" spans="1:19" s="39" customFormat="1" hidden="1" outlineLevel="1" x14ac:dyDescent="0.3">
      <c r="B22" s="173" t="s">
        <v>166</v>
      </c>
      <c r="G22" s="105"/>
      <c r="H22" s="105"/>
      <c r="I22" s="105"/>
      <c r="J22" s="105"/>
      <c r="K22" s="105"/>
      <c r="L22" s="105"/>
      <c r="M22" s="105"/>
      <c r="N22" s="156"/>
    </row>
    <row r="23" spans="1:19" s="39" customFormat="1" hidden="1" outlineLevel="1" x14ac:dyDescent="0.3">
      <c r="B23" s="166" t="s">
        <v>142</v>
      </c>
      <c r="G23" s="375">
        <v>2657724</v>
      </c>
      <c r="H23" s="375">
        <v>3016256</v>
      </c>
      <c r="I23" s="375">
        <v>3224299</v>
      </c>
      <c r="J23" s="107">
        <f>Scenario!J15</f>
        <v>3489609</v>
      </c>
      <c r="K23" s="107">
        <f>Scenario!K15</f>
        <v>3782736.1560000004</v>
      </c>
      <c r="L23" s="107">
        <f>Scenario!L15</f>
        <v>4119399.6738840002</v>
      </c>
      <c r="M23" s="107">
        <f>Scenario!M15</f>
        <v>4494265.0442074444</v>
      </c>
      <c r="N23" s="139">
        <f>Scenario!N15</f>
        <v>4916725.9583629444</v>
      </c>
    </row>
    <row r="24" spans="1:19" s="39" customFormat="1" hidden="1" outlineLevel="1" x14ac:dyDescent="0.3">
      <c r="B24" s="166" t="s">
        <v>141</v>
      </c>
      <c r="G24" s="375">
        <v>1221240</v>
      </c>
      <c r="H24" s="375">
        <v>1400125</v>
      </c>
      <c r="I24" s="375">
        <v>1802222</v>
      </c>
      <c r="J24" s="107">
        <f>Scenario!J17</f>
        <v>2010602</v>
      </c>
      <c r="K24" s="107">
        <f>Scenario!K17</f>
        <v>2261927.25</v>
      </c>
      <c r="L24" s="107">
        <f>Scenario!L17</f>
        <v>2560501.6470000003</v>
      </c>
      <c r="M24" s="107">
        <f>Scenario!M17</f>
        <v>2921532.3792270003</v>
      </c>
      <c r="N24" s="139">
        <f>Scenario!N17</f>
        <v>3356840.7037318232</v>
      </c>
    </row>
    <row r="25" spans="1:19" s="39" customFormat="1" hidden="1" outlineLevel="1" x14ac:dyDescent="0.3">
      <c r="B25" s="174" t="s">
        <v>143</v>
      </c>
      <c r="C25" s="104"/>
      <c r="D25" s="104"/>
      <c r="E25" s="104"/>
      <c r="F25" s="104"/>
      <c r="G25" s="108">
        <f>SUM(G23:G24)</f>
        <v>3878964</v>
      </c>
      <c r="H25" s="108">
        <f>SUM(H23:H24)</f>
        <v>4416381</v>
      </c>
      <c r="I25" s="108">
        <f>SUM(I23:I24)</f>
        <v>5026521</v>
      </c>
      <c r="J25" s="108">
        <f t="shared" ref="J25:N25" si="1">SUM(J23:J24)</f>
        <v>5500211</v>
      </c>
      <c r="K25" s="108">
        <f t="shared" si="1"/>
        <v>6044663.4060000004</v>
      </c>
      <c r="L25" s="108">
        <f t="shared" si="1"/>
        <v>6679901.3208840005</v>
      </c>
      <c r="M25" s="108">
        <f t="shared" si="1"/>
        <v>7415797.4234344447</v>
      </c>
      <c r="N25" s="140">
        <f t="shared" si="1"/>
        <v>8273566.6620947681</v>
      </c>
      <c r="O25" s="119">
        <f>_xlfn.RRI(2,G25,I25)</f>
        <v>0.13835016845752679</v>
      </c>
      <c r="P25" s="119">
        <f>_xlfn.RRI(4,J25,N25)</f>
        <v>0.10746078033528561</v>
      </c>
    </row>
    <row r="26" spans="1:19" s="39" customFormat="1" hidden="1" outlineLevel="1" x14ac:dyDescent="0.3">
      <c r="B26" s="166" t="s">
        <v>144</v>
      </c>
      <c r="G26" s="375">
        <v>736750</v>
      </c>
      <c r="H26" s="375">
        <v>901633</v>
      </c>
      <c r="I26" s="375">
        <v>1100915</v>
      </c>
      <c r="J26" s="107">
        <f>Scenario!J21</f>
        <v>1553967</v>
      </c>
      <c r="K26" s="107">
        <f>Scenario!K21</f>
        <v>1997543.9339811071</v>
      </c>
      <c r="L26" s="107">
        <f>Scenario!L21</f>
        <v>2578829.218769609</v>
      </c>
      <c r="M26" s="107">
        <f>Scenario!M21</f>
        <v>3355056.8136192611</v>
      </c>
      <c r="N26" s="139">
        <f>Scenario!N21</f>
        <v>4388414.3122139936</v>
      </c>
    </row>
    <row r="27" spans="1:19" s="39" customFormat="1" hidden="1" outlineLevel="1" x14ac:dyDescent="0.3">
      <c r="B27" s="174" t="s">
        <v>145</v>
      </c>
      <c r="C27" s="104"/>
      <c r="D27" s="104"/>
      <c r="E27" s="104"/>
      <c r="F27" s="104"/>
      <c r="G27" s="108">
        <f>SUM(G25:G26)</f>
        <v>4615714</v>
      </c>
      <c r="H27" s="108">
        <f>SUM(H25:H26)</f>
        <v>5318014</v>
      </c>
      <c r="I27" s="108">
        <f>SUM(I25:I26)</f>
        <v>6127436</v>
      </c>
      <c r="J27" s="108">
        <f t="shared" ref="J27:N27" si="2">SUM(J25:J26)</f>
        <v>7054178</v>
      </c>
      <c r="K27" s="108">
        <f t="shared" si="2"/>
        <v>8042207.339981107</v>
      </c>
      <c r="L27" s="108">
        <f t="shared" si="2"/>
        <v>9258730.5396536104</v>
      </c>
      <c r="M27" s="108">
        <f t="shared" si="2"/>
        <v>10770854.237053705</v>
      </c>
      <c r="N27" s="140">
        <f t="shared" si="2"/>
        <v>12661980.974308763</v>
      </c>
      <c r="O27" s="119">
        <f>_xlfn.RRI(2,G27,I27)</f>
        <v>0.15217897607681841</v>
      </c>
      <c r="P27" s="119">
        <f>_xlfn.RRI(4,J27,N27)</f>
        <v>0.15748083954618108</v>
      </c>
    </row>
    <row r="28" spans="1:19" s="39" customFormat="1" hidden="1" outlineLevel="1" x14ac:dyDescent="0.3">
      <c r="B28" s="173" t="s">
        <v>167</v>
      </c>
      <c r="G28" s="107"/>
      <c r="H28" s="107"/>
      <c r="I28" s="107"/>
      <c r="J28" s="107"/>
      <c r="K28" s="107"/>
      <c r="L28" s="107"/>
      <c r="M28" s="107"/>
      <c r="N28" s="139"/>
    </row>
    <row r="29" spans="1:19" s="39" customFormat="1" hidden="1" outlineLevel="1" x14ac:dyDescent="0.3">
      <c r="B29" s="166" t="s">
        <v>146</v>
      </c>
      <c r="G29" s="375">
        <v>594007</v>
      </c>
      <c r="H29" s="375">
        <v>697686</v>
      </c>
      <c r="I29" s="375">
        <v>770238</v>
      </c>
      <c r="J29" s="107">
        <f>Scenario!J29</f>
        <v>867165</v>
      </c>
      <c r="K29" s="107">
        <f>Scenario!K29</f>
        <v>984050.60757704545</v>
      </c>
      <c r="L29" s="107">
        <f>Scenario!L29</f>
        <v>1103652.2176983738</v>
      </c>
      <c r="M29" s="107">
        <f>Scenario!M29</f>
        <v>1244246.8157575028</v>
      </c>
      <c r="N29" s="139">
        <f>Scenario!N29</f>
        <v>1403394.6579713735</v>
      </c>
    </row>
    <row r="30" spans="1:19" s="39" customFormat="1" hidden="1" outlineLevel="1" x14ac:dyDescent="0.3">
      <c r="B30" s="166" t="s">
        <v>144</v>
      </c>
      <c r="G30" s="375">
        <v>259332</v>
      </c>
      <c r="H30" s="375">
        <v>287876</v>
      </c>
      <c r="I30" s="375">
        <v>367055</v>
      </c>
      <c r="J30" s="107">
        <f>Scenario!J31</f>
        <v>444526</v>
      </c>
      <c r="K30" s="107">
        <f>Scenario!K31</f>
        <v>511204.89999999997</v>
      </c>
      <c r="L30" s="107">
        <f>Scenario!L31</f>
        <v>592997.68399999989</v>
      </c>
      <c r="M30" s="107">
        <f>Scenario!M31</f>
        <v>693807.29027999984</v>
      </c>
      <c r="N30" s="139">
        <f>Scenario!N31</f>
        <v>818692.6025303998</v>
      </c>
    </row>
    <row r="31" spans="1:19" s="39" customFormat="1" hidden="1" outlineLevel="1" x14ac:dyDescent="0.3">
      <c r="B31" s="166" t="s">
        <v>147</v>
      </c>
      <c r="G31" s="375">
        <v>44674</v>
      </c>
      <c r="H31" s="375">
        <v>45281</v>
      </c>
      <c r="I31" s="375">
        <v>107996</v>
      </c>
      <c r="J31" s="107">
        <f>Scenario!J33</f>
        <v>311858</v>
      </c>
      <c r="K31" s="107">
        <f>Scenario!K33</f>
        <v>316535.87</v>
      </c>
      <c r="L31" s="107">
        <f>Scenario!L33</f>
        <v>321283.90804999997</v>
      </c>
      <c r="M31" s="107">
        <f>Scenario!M33</f>
        <v>326103.16667074995</v>
      </c>
      <c r="N31" s="139">
        <f>Scenario!N33</f>
        <v>330994.71417081117</v>
      </c>
    </row>
    <row r="32" spans="1:19" s="39" customFormat="1" hidden="1" outlineLevel="1" x14ac:dyDescent="0.3">
      <c r="B32" s="174" t="s">
        <v>148</v>
      </c>
      <c r="C32" s="104"/>
      <c r="D32" s="104"/>
      <c r="E32" s="104"/>
      <c r="F32" s="104"/>
      <c r="G32" s="108">
        <f>SUM(G29:G31)</f>
        <v>898013</v>
      </c>
      <c r="H32" s="108">
        <f>SUM(H29:H31)</f>
        <v>1030843</v>
      </c>
      <c r="I32" s="108">
        <f>SUM(I29:I31)</f>
        <v>1245289</v>
      </c>
      <c r="J32" s="108">
        <f t="shared" ref="J32:N32" si="3">SUM(J29:J31)</f>
        <v>1623549</v>
      </c>
      <c r="K32" s="108">
        <f t="shared" si="3"/>
        <v>1811791.3775770455</v>
      </c>
      <c r="L32" s="108">
        <f t="shared" si="3"/>
        <v>2017933.8097483737</v>
      </c>
      <c r="M32" s="108">
        <f t="shared" si="3"/>
        <v>2264157.2727082525</v>
      </c>
      <c r="N32" s="140">
        <f t="shared" si="3"/>
        <v>2553081.9746725843</v>
      </c>
      <c r="O32" s="119">
        <f>_xlfn.RRI(2,G32,I32)</f>
        <v>0.17758906466766611</v>
      </c>
      <c r="P32" s="119">
        <f>_xlfn.RRI(4,J32,N32)</f>
        <v>0.11982417712280036</v>
      </c>
    </row>
    <row r="33" spans="2:16" s="39" customFormat="1" hidden="1" outlineLevel="1" x14ac:dyDescent="0.3">
      <c r="B33" s="173" t="s">
        <v>149</v>
      </c>
      <c r="C33" s="104"/>
      <c r="D33" s="104"/>
      <c r="E33" s="104"/>
      <c r="F33" s="104"/>
      <c r="G33" s="108">
        <f>G27-G32</f>
        <v>3717701</v>
      </c>
      <c r="H33" s="108">
        <f>H27-H32</f>
        <v>4287171</v>
      </c>
      <c r="I33" s="108">
        <f>I27-I32</f>
        <v>4882147</v>
      </c>
      <c r="J33" s="108">
        <f t="shared" ref="J33:N33" si="4">J27-J32</f>
        <v>5430629</v>
      </c>
      <c r="K33" s="108">
        <f t="shared" si="4"/>
        <v>6230415.9624040611</v>
      </c>
      <c r="L33" s="108">
        <f t="shared" si="4"/>
        <v>7240796.7299052365</v>
      </c>
      <c r="M33" s="108">
        <f t="shared" si="4"/>
        <v>8506696.9643454533</v>
      </c>
      <c r="N33" s="140">
        <f t="shared" si="4"/>
        <v>10108898.999636179</v>
      </c>
      <c r="O33" s="119">
        <f>_xlfn.RRI(2,G33,I33)</f>
        <v>0.14595667001926405</v>
      </c>
      <c r="P33" s="119">
        <f>_xlfn.RRI(4,J33,N33)</f>
        <v>0.16805537099200407</v>
      </c>
    </row>
    <row r="34" spans="2:16" s="39" customFormat="1" hidden="1" outlineLevel="1" x14ac:dyDescent="0.3">
      <c r="B34" s="173" t="s">
        <v>168</v>
      </c>
      <c r="G34" s="107"/>
      <c r="H34" s="107"/>
      <c r="I34" s="107"/>
      <c r="J34" s="107"/>
      <c r="K34" s="107"/>
      <c r="L34" s="107"/>
      <c r="M34" s="107"/>
      <c r="N34" s="139"/>
    </row>
    <row r="35" spans="2:16" s="39" customFormat="1" hidden="1" outlineLevel="1" x14ac:dyDescent="0.3">
      <c r="B35" s="166" t="s">
        <v>150</v>
      </c>
      <c r="G35" s="375">
        <v>1589846</v>
      </c>
      <c r="H35" s="375">
        <v>1849935</v>
      </c>
      <c r="I35" s="375">
        <v>2082360</v>
      </c>
      <c r="J35" s="107">
        <f>Scenario!J41</f>
        <v>2269772.4000000004</v>
      </c>
      <c r="K35" s="107">
        <f>Scenario!K41</f>
        <v>2474051.9160000007</v>
      </c>
      <c r="L35" s="107">
        <f>Scenario!L41</f>
        <v>2696716.588440001</v>
      </c>
      <c r="M35" s="107">
        <f>Scenario!M41</f>
        <v>2939421.0813996014</v>
      </c>
      <c r="N35" s="139">
        <f>Scenario!N41</f>
        <v>3203968.9787255656</v>
      </c>
    </row>
    <row r="36" spans="2:16" s="39" customFormat="1" hidden="1" outlineLevel="1" x14ac:dyDescent="0.3">
      <c r="B36" s="166" t="s">
        <v>151</v>
      </c>
      <c r="G36" s="375">
        <v>642729</v>
      </c>
      <c r="H36" s="375">
        <v>724934</v>
      </c>
      <c r="I36" s="375">
        <v>859342</v>
      </c>
      <c r="J36" s="107">
        <f>Scenario!J43</f>
        <v>964181.72399999993</v>
      </c>
      <c r="K36" s="107">
        <f>Scenario!K43</f>
        <v>1081811.8943279998</v>
      </c>
      <c r="L36" s="107">
        <f>Scenario!L43</f>
        <v>1213792.9454360157</v>
      </c>
      <c r="M36" s="107">
        <f>Scenario!M43</f>
        <v>1361875.6847792096</v>
      </c>
      <c r="N36" s="139">
        <f>Scenario!N43</f>
        <v>1528024.5183222729</v>
      </c>
    </row>
    <row r="37" spans="2:16" s="39" customFormat="1" hidden="1" outlineLevel="1" x14ac:dyDescent="0.3">
      <c r="B37" s="166" t="s">
        <v>152</v>
      </c>
      <c r="G37" s="375">
        <v>313554</v>
      </c>
      <c r="H37" s="375">
        <v>376677</v>
      </c>
      <c r="I37" s="375">
        <v>568496</v>
      </c>
      <c r="J37" s="107">
        <f>Scenario!J45</f>
        <v>632167.55200000003</v>
      </c>
      <c r="K37" s="107">
        <f>Scenario!K45</f>
        <v>702970.31782400014</v>
      </c>
      <c r="L37" s="107">
        <f>Scenario!L45</f>
        <v>781702.9934202882</v>
      </c>
      <c r="M37" s="107">
        <f>Scenario!M45</f>
        <v>869253.7286833605</v>
      </c>
      <c r="N37" s="139">
        <f>Scenario!N45</f>
        <v>966610.14629589696</v>
      </c>
    </row>
    <row r="38" spans="2:16" s="39" customFormat="1" hidden="1" outlineLevel="1" x14ac:dyDescent="0.3">
      <c r="B38" s="166" t="s">
        <v>147</v>
      </c>
      <c r="G38" s="375">
        <v>11637</v>
      </c>
      <c r="H38" s="375">
        <v>9295</v>
      </c>
      <c r="I38" s="375">
        <v>16238</v>
      </c>
      <c r="J38" s="107">
        <f>Scenario!J47</f>
        <v>18267.75</v>
      </c>
      <c r="K38" s="107">
        <f>Scenario!K47</f>
        <v>20423.344499999999</v>
      </c>
      <c r="L38" s="107">
        <f>Scenario!L47</f>
        <v>23119.225974000001</v>
      </c>
      <c r="M38" s="107">
        <f>Scenario!M47</f>
        <v>26147.844576594001</v>
      </c>
      <c r="N38" s="139">
        <f>Scenario!N47</f>
        <v>29024.107480019346</v>
      </c>
    </row>
    <row r="39" spans="2:16" s="39" customFormat="1" hidden="1" outlineLevel="1" x14ac:dyDescent="0.3">
      <c r="B39" s="166" t="s">
        <v>153</v>
      </c>
      <c r="G39" s="375">
        <v>11221</v>
      </c>
      <c r="H39" s="375">
        <v>53091</v>
      </c>
      <c r="I39" s="375">
        <v>0</v>
      </c>
      <c r="J39" s="107">
        <v>0</v>
      </c>
      <c r="K39" s="107">
        <v>0</v>
      </c>
      <c r="L39" s="107">
        <v>0</v>
      </c>
      <c r="M39" s="107">
        <v>0</v>
      </c>
      <c r="N39" s="107">
        <v>0</v>
      </c>
    </row>
    <row r="40" spans="2:16" s="39" customFormat="1" hidden="1" outlineLevel="1" x14ac:dyDescent="0.3">
      <c r="B40" s="174" t="s">
        <v>154</v>
      </c>
      <c r="C40" s="104"/>
      <c r="D40" s="104"/>
      <c r="E40" s="104"/>
      <c r="F40" s="104"/>
      <c r="G40" s="108">
        <f>SUM(G35:G39)</f>
        <v>2568987</v>
      </c>
      <c r="H40" s="108">
        <f>SUM(H35:H39)</f>
        <v>3013932</v>
      </c>
      <c r="I40" s="108">
        <f>SUM(I35:I39)</f>
        <v>3526436</v>
      </c>
      <c r="J40" s="108">
        <f t="shared" ref="J40:M40" si="5">SUM(J35:J39)</f>
        <v>3884389.4260000004</v>
      </c>
      <c r="K40" s="108">
        <f t="shared" si="5"/>
        <v>4279257.4726520004</v>
      </c>
      <c r="L40" s="108">
        <f t="shared" si="5"/>
        <v>4715331.7532703048</v>
      </c>
      <c r="M40" s="108">
        <f t="shared" si="5"/>
        <v>5196698.3394387662</v>
      </c>
      <c r="N40" s="140">
        <f>SUM(N35:N39)</f>
        <v>5727627.7508237548</v>
      </c>
      <c r="O40" s="119">
        <f>_xlfn.RRI(2,G40,I40)</f>
        <v>0.17162073719460724</v>
      </c>
      <c r="P40" s="119">
        <f>_xlfn.RRI(4,J40,N40)</f>
        <v>0.10195283194493432</v>
      </c>
    </row>
    <row r="41" spans="2:16" s="39" customFormat="1" hidden="1" outlineLevel="1" x14ac:dyDescent="0.3">
      <c r="B41" s="173" t="s">
        <v>155</v>
      </c>
      <c r="C41" s="104"/>
      <c r="D41" s="104"/>
      <c r="E41" s="104"/>
      <c r="F41" s="104"/>
      <c r="G41" s="108">
        <f>G33-G40</f>
        <v>1148714</v>
      </c>
      <c r="H41" s="108">
        <f>H33-H40</f>
        <v>1273239</v>
      </c>
      <c r="I41" s="376">
        <v>1355711</v>
      </c>
      <c r="J41" s="108">
        <f>J33-J40</f>
        <v>1546239.5739999996</v>
      </c>
      <c r="K41" s="108">
        <f t="shared" ref="K41:N41" si="6">K33-K40</f>
        <v>1951158.4897520607</v>
      </c>
      <c r="L41" s="108">
        <f t="shared" si="6"/>
        <v>2525464.9766349318</v>
      </c>
      <c r="M41" s="108">
        <f t="shared" si="6"/>
        <v>3309998.6249066871</v>
      </c>
      <c r="N41" s="140">
        <f t="shared" si="6"/>
        <v>4381271.248812424</v>
      </c>
      <c r="O41" s="119">
        <f>_xlfn.RRI(2,G41,I41)</f>
        <v>8.6369596722828401E-2</v>
      </c>
      <c r="P41" s="119">
        <f>_xlfn.RRI(4,J41,N41)</f>
        <v>0.29742074968119359</v>
      </c>
    </row>
    <row r="42" spans="2:16" s="39" customFormat="1" hidden="1" outlineLevel="1" x14ac:dyDescent="0.3">
      <c r="B42" s="166" t="s">
        <v>156</v>
      </c>
      <c r="G42" s="107">
        <f>8545</f>
        <v>8545</v>
      </c>
      <c r="H42" s="375">
        <v>-2703</v>
      </c>
      <c r="I42" s="375">
        <v>-36829</v>
      </c>
      <c r="J42" s="107">
        <f>-Schedule!J99</f>
        <v>-766.55250000000001</v>
      </c>
      <c r="K42" s="107">
        <f>-Schedule!K99</f>
        <v>-665.49</v>
      </c>
      <c r="L42" s="107">
        <f>-Schedule!L99</f>
        <v>-578.86500000000001</v>
      </c>
      <c r="M42" s="107">
        <f>-Schedule!M99</f>
        <v>-507.99</v>
      </c>
      <c r="N42" s="139">
        <f>-Schedule!N99</f>
        <v>-443.67750000000001</v>
      </c>
    </row>
    <row r="43" spans="2:16" s="39" customFormat="1" hidden="1" outlineLevel="1" x14ac:dyDescent="0.3">
      <c r="B43" s="166" t="s">
        <v>157</v>
      </c>
      <c r="G43" s="107">
        <f>-1698-67516+10713+4694</f>
        <v>-53807</v>
      </c>
      <c r="H43" s="375">
        <v>34934</v>
      </c>
      <c r="I43" s="375">
        <v>194976</v>
      </c>
      <c r="J43" s="107">
        <f>Assumptions!J16</f>
        <v>38655.989349999989</v>
      </c>
      <c r="K43" s="107">
        <f>Assumptions!K16</f>
        <v>50730.12073355358</v>
      </c>
      <c r="L43" s="107">
        <f>Assumptions!L16</f>
        <v>68187.554369143152</v>
      </c>
      <c r="M43" s="107">
        <f>Assumptions!M16</f>
        <v>92679.961497387238</v>
      </c>
      <c r="N43" s="139">
        <f>Assumptions!N16</f>
        <v>127056.86621556031</v>
      </c>
    </row>
    <row r="44" spans="2:16" s="39" customFormat="1" hidden="1" outlineLevel="1" x14ac:dyDescent="0.3">
      <c r="B44" s="173" t="s">
        <v>169</v>
      </c>
      <c r="C44" s="104"/>
      <c r="D44" s="104"/>
      <c r="E44" s="104"/>
      <c r="F44" s="104"/>
      <c r="G44" s="108">
        <f>SUM(G41:G43)</f>
        <v>1103452</v>
      </c>
      <c r="H44" s="108">
        <f>SUM(H41:H43)</f>
        <v>1305470</v>
      </c>
      <c r="I44" s="108">
        <f>SUM(I41:I43)</f>
        <v>1513858</v>
      </c>
      <c r="J44" s="108">
        <f>SUM(J41:J43)</f>
        <v>1584129.0108499995</v>
      </c>
      <c r="K44" s="108">
        <f t="shared" ref="K44:N44" si="7">SUM(K41:K43)</f>
        <v>2001223.1204856143</v>
      </c>
      <c r="L44" s="108">
        <f t="shared" si="7"/>
        <v>2593073.6660040747</v>
      </c>
      <c r="M44" s="108">
        <f t="shared" si="7"/>
        <v>3402170.5964040742</v>
      </c>
      <c r="N44" s="140">
        <f t="shared" si="7"/>
        <v>4507884.4375279844</v>
      </c>
      <c r="O44" s="119">
        <f>_xlfn.RRI(2,G44,I44)</f>
        <v>0.17129380696689833</v>
      </c>
      <c r="P44" s="119">
        <f>_xlfn.RRI(4,J44,N44)</f>
        <v>0.29880979934248009</v>
      </c>
    </row>
    <row r="45" spans="2:16" s="39" customFormat="1" hidden="1" outlineLevel="1" x14ac:dyDescent="0.3">
      <c r="B45" s="166" t="s">
        <v>158</v>
      </c>
      <c r="G45" s="375">
        <v>139385</v>
      </c>
      <c r="H45" s="375">
        <v>90188</v>
      </c>
      <c r="I45" s="375">
        <v>99718</v>
      </c>
      <c r="J45" s="107">
        <f>Assumptions!J13</f>
        <v>55991</v>
      </c>
      <c r="K45" s="107">
        <f>Assumptions!K13</f>
        <v>320195.6992776983</v>
      </c>
      <c r="L45" s="107">
        <f>Assumptions!L13</f>
        <v>414891.78656065196</v>
      </c>
      <c r="M45" s="107">
        <f>Assumptions!M13</f>
        <v>544347.29542465194</v>
      </c>
      <c r="N45" s="139">
        <f>Assumptions!N13</f>
        <v>721261.51000447746</v>
      </c>
    </row>
    <row r="46" spans="2:16" s="39" customFormat="1" hidden="1" outlineLevel="1" x14ac:dyDescent="0.3">
      <c r="B46" s="173" t="s">
        <v>159</v>
      </c>
      <c r="C46" s="104"/>
      <c r="D46" s="104"/>
      <c r="E46" s="104"/>
      <c r="F46" s="104"/>
      <c r="G46" s="108">
        <f>G44-G45</f>
        <v>964067</v>
      </c>
      <c r="H46" s="108">
        <f>H44-H45</f>
        <v>1215282</v>
      </c>
      <c r="I46" s="108">
        <f>I44-I45</f>
        <v>1414140</v>
      </c>
      <c r="J46" s="108">
        <f t="shared" ref="J46:N46" si="8">J44-J45</f>
        <v>1528138.0108499995</v>
      </c>
      <c r="K46" s="108">
        <f t="shared" si="8"/>
        <v>1681027.421207916</v>
      </c>
      <c r="L46" s="108">
        <f t="shared" si="8"/>
        <v>2178181.8794434229</v>
      </c>
      <c r="M46" s="108">
        <f t="shared" si="8"/>
        <v>2857823.3009794224</v>
      </c>
      <c r="N46" s="140">
        <f t="shared" si="8"/>
        <v>3786622.9275235068</v>
      </c>
      <c r="O46" s="119">
        <f>_xlfn.RRI(2,G46,I46)</f>
        <v>0.21113511156751708</v>
      </c>
      <c r="P46" s="119">
        <f>_xlfn.RRI(4,J46,N46)</f>
        <v>0.25464936292691775</v>
      </c>
    </row>
    <row r="47" spans="2:16" s="39" customFormat="1" hidden="1" outlineLevel="1" x14ac:dyDescent="0.3">
      <c r="B47" s="166" t="s">
        <v>160</v>
      </c>
      <c r="G47" s="375">
        <v>14369</v>
      </c>
      <c r="H47" s="375">
        <v>2843</v>
      </c>
      <c r="I47" s="375">
        <v>821670</v>
      </c>
      <c r="J47" s="375">
        <v>0</v>
      </c>
      <c r="K47" s="375">
        <v>0</v>
      </c>
      <c r="L47" s="375">
        <v>0</v>
      </c>
      <c r="M47" s="375">
        <v>0</v>
      </c>
      <c r="N47" s="377">
        <v>0</v>
      </c>
    </row>
    <row r="48" spans="2:16" s="39" customFormat="1" hidden="1" outlineLevel="1" x14ac:dyDescent="0.3">
      <c r="B48" s="173" t="s">
        <v>161</v>
      </c>
      <c r="C48" s="104"/>
      <c r="D48" s="104"/>
      <c r="E48" s="104"/>
      <c r="F48" s="104"/>
      <c r="G48" s="108">
        <f>SUM(G46:G47)</f>
        <v>978436</v>
      </c>
      <c r="H48" s="108">
        <f>SUM(H46:H47)</f>
        <v>1218125</v>
      </c>
      <c r="I48" s="108">
        <f>SUM(I46:I47)</f>
        <v>2235810</v>
      </c>
      <c r="J48" s="108">
        <f t="shared" ref="J48:N48" si="9">SUM(J46:J47)</f>
        <v>1528138.0108499995</v>
      </c>
      <c r="K48" s="108">
        <f t="shared" si="9"/>
        <v>1681027.421207916</v>
      </c>
      <c r="L48" s="108">
        <f t="shared" si="9"/>
        <v>2178181.8794434229</v>
      </c>
      <c r="M48" s="108">
        <f t="shared" si="9"/>
        <v>2857823.3009794224</v>
      </c>
      <c r="N48" s="140">
        <f t="shared" si="9"/>
        <v>3786622.9275235068</v>
      </c>
      <c r="O48" s="119">
        <f>_xlfn.RRI(2,G48,I48)</f>
        <v>0.51164995470749464</v>
      </c>
      <c r="P48" s="119">
        <f>_xlfn.RRI(4,J48,N48)</f>
        <v>0.25464936292691775</v>
      </c>
    </row>
    <row r="49" spans="1:19" s="39" customFormat="1" hidden="1" outlineLevel="1" x14ac:dyDescent="0.3">
      <c r="B49" s="166" t="s">
        <v>162</v>
      </c>
      <c r="G49" s="375">
        <v>-6158</v>
      </c>
      <c r="H49" s="375">
        <v>-11763</v>
      </c>
      <c r="I49" s="375">
        <v>-27570</v>
      </c>
      <c r="J49" s="107">
        <f>-Assumptions!J19</f>
        <v>-14405.99319801576</v>
      </c>
      <c r="K49" s="107">
        <f>-Assumptions!K19</f>
        <v>-15847.305298118335</v>
      </c>
      <c r="L49" s="107">
        <f>-Assumptions!L19</f>
        <v>-17164.153601653612</v>
      </c>
      <c r="M49" s="107">
        <f>-Assumptions!M19</f>
        <v>-22541.963062819643</v>
      </c>
      <c r="N49" s="139">
        <f>-Assumptions!N19</f>
        <v>-28159.421811705986</v>
      </c>
    </row>
    <row r="50" spans="1:19" s="39" customFormat="1" hidden="1" outlineLevel="1" x14ac:dyDescent="0.3">
      <c r="B50" s="173" t="s">
        <v>163</v>
      </c>
      <c r="C50" s="104"/>
      <c r="D50" s="104"/>
      <c r="E50" s="104"/>
      <c r="F50" s="104"/>
      <c r="G50" s="108">
        <f>G48-G49</f>
        <v>984594</v>
      </c>
      <c r="H50" s="108">
        <f>H48-H49</f>
        <v>1229888</v>
      </c>
      <c r="I50" s="108">
        <f>I48-I49</f>
        <v>2263380</v>
      </c>
      <c r="J50" s="108">
        <f>J48-J49</f>
        <v>1542544.0040480152</v>
      </c>
      <c r="K50" s="108">
        <f t="shared" ref="K50:M50" si="10">K48-K49</f>
        <v>1696874.7265060344</v>
      </c>
      <c r="L50" s="108">
        <f t="shared" si="10"/>
        <v>2195346.0330450763</v>
      </c>
      <c r="M50" s="108">
        <f t="shared" si="10"/>
        <v>2880365.264042242</v>
      </c>
      <c r="N50" s="140">
        <f>N48-N49</f>
        <v>3814782.3493352127</v>
      </c>
      <c r="O50" s="119">
        <f>_xlfn.RRI(2,G50,I50)</f>
        <v>0.51617783899485459</v>
      </c>
      <c r="P50" s="119">
        <f>_xlfn.RRI(4,J50,N50)</f>
        <v>0.25403035934426144</v>
      </c>
    </row>
    <row r="51" spans="1:19" s="39" customFormat="1" hidden="1" outlineLevel="1" x14ac:dyDescent="0.3">
      <c r="B51" s="157"/>
      <c r="G51" s="105"/>
      <c r="H51" s="105"/>
      <c r="I51" s="105"/>
      <c r="J51" s="105"/>
      <c r="K51" s="105"/>
      <c r="L51" s="105"/>
      <c r="M51" s="105"/>
      <c r="N51" s="156"/>
    </row>
    <row r="52" spans="1:19" s="39" customFormat="1" hidden="1" outlineLevel="1" x14ac:dyDescent="0.3">
      <c r="B52" s="157" t="s">
        <v>164</v>
      </c>
      <c r="G52" s="378">
        <v>6.291938524459213</v>
      </c>
      <c r="H52" s="378">
        <v>7.9247913914752406</v>
      </c>
      <c r="I52" s="378">
        <v>14.514056327912584</v>
      </c>
      <c r="J52" s="111">
        <f>J50/J54</f>
        <v>9.8916534400042018</v>
      </c>
      <c r="K52" s="111">
        <f t="shared" ref="K52:N52" si="11">K50/K54</f>
        <v>10.881308203624599</v>
      </c>
      <c r="L52" s="111">
        <f t="shared" si="11"/>
        <v>14.07778454474091</v>
      </c>
      <c r="M52" s="111">
        <f t="shared" si="11"/>
        <v>18.470510337314945</v>
      </c>
      <c r="N52" s="159">
        <f t="shared" si="11"/>
        <v>24.462514423993309</v>
      </c>
    </row>
    <row r="53" spans="1:19" s="39" customFormat="1" hidden="1" outlineLevel="1" x14ac:dyDescent="0.3">
      <c r="B53" s="157"/>
      <c r="G53" s="105"/>
      <c r="H53" s="105"/>
      <c r="I53" s="105"/>
      <c r="J53" s="105"/>
      <c r="K53" s="105"/>
      <c r="L53" s="105"/>
      <c r="M53" s="105"/>
      <c r="N53" s="156"/>
    </row>
    <row r="54" spans="1:19" s="39" customFormat="1" hidden="1" outlineLevel="1" x14ac:dyDescent="0.3">
      <c r="B54" s="157" t="s">
        <v>165</v>
      </c>
      <c r="G54" s="379">
        <v>156485</v>
      </c>
      <c r="H54" s="379">
        <v>155195</v>
      </c>
      <c r="I54" s="380">
        <v>155944</v>
      </c>
      <c r="J54" s="105">
        <f>I54</f>
        <v>155944</v>
      </c>
      <c r="K54" s="105">
        <f t="shared" ref="K54:N54" si="12">J54</f>
        <v>155944</v>
      </c>
      <c r="L54" s="105">
        <f t="shared" si="12"/>
        <v>155944</v>
      </c>
      <c r="M54" s="105">
        <f t="shared" si="12"/>
        <v>155944</v>
      </c>
      <c r="N54" s="156">
        <f t="shared" si="12"/>
        <v>155944</v>
      </c>
    </row>
    <row r="55" spans="1:19" s="39" customFormat="1" hidden="1" outlineLevel="1" x14ac:dyDescent="0.3">
      <c r="B55" s="155"/>
      <c r="C55" s="147"/>
      <c r="D55" s="147"/>
      <c r="E55" s="147"/>
      <c r="F55" s="147"/>
      <c r="G55" s="160"/>
      <c r="H55" s="160"/>
      <c r="I55" s="160"/>
      <c r="J55" s="160"/>
      <c r="K55" s="160"/>
      <c r="L55" s="160"/>
      <c r="M55" s="160"/>
      <c r="N55" s="161"/>
    </row>
    <row r="56" spans="1:19" s="39" customFormat="1" collapsed="1" x14ac:dyDescent="0.3">
      <c r="G56" s="105"/>
      <c r="H56" s="105"/>
      <c r="I56" s="105"/>
      <c r="J56" s="105"/>
      <c r="K56" s="105"/>
      <c r="L56" s="105"/>
      <c r="M56" s="105"/>
      <c r="N56" s="105"/>
    </row>
    <row r="57" spans="1:19" s="39" customFormat="1" x14ac:dyDescent="0.3">
      <c r="G57" s="105"/>
      <c r="H57" s="105"/>
      <c r="I57" s="105"/>
      <c r="J57" s="105"/>
      <c r="K57" s="105"/>
      <c r="L57" s="105"/>
      <c r="M57" s="105"/>
      <c r="N57" s="105"/>
    </row>
    <row r="58" spans="1:19" ht="14.4" x14ac:dyDescent="0.3">
      <c r="A58" s="18" t="s">
        <v>33</v>
      </c>
      <c r="B58" s="150" t="s">
        <v>130</v>
      </c>
      <c r="C58" s="151"/>
      <c r="D58" s="151"/>
      <c r="E58" s="151"/>
      <c r="F58" s="151"/>
      <c r="G58" s="152">
        <v>44865</v>
      </c>
      <c r="H58" s="152">
        <v>45230</v>
      </c>
      <c r="I58" s="152">
        <v>45596</v>
      </c>
      <c r="J58" s="153">
        <v>45961</v>
      </c>
      <c r="K58" s="153">
        <v>46326</v>
      </c>
      <c r="L58" s="153">
        <v>46691</v>
      </c>
      <c r="M58" s="153">
        <v>47057</v>
      </c>
      <c r="N58" s="154">
        <v>47422</v>
      </c>
      <c r="O58" s="36"/>
      <c r="P58" s="36"/>
      <c r="Q58" s="36"/>
      <c r="R58" s="36"/>
      <c r="S58" s="36"/>
    </row>
    <row r="59" spans="1:19" s="39" customFormat="1" x14ac:dyDescent="0.3">
      <c r="B59" s="136"/>
      <c r="N59" s="137"/>
    </row>
    <row r="60" spans="1:19" s="39" customFormat="1" hidden="1" outlineLevel="1" x14ac:dyDescent="0.3">
      <c r="B60" s="173" t="s">
        <v>175</v>
      </c>
      <c r="N60" s="137"/>
    </row>
    <row r="61" spans="1:19" s="39" customFormat="1" hidden="1" outlineLevel="1" x14ac:dyDescent="0.3">
      <c r="B61" s="173" t="s">
        <v>176</v>
      </c>
      <c r="N61" s="137"/>
    </row>
    <row r="62" spans="1:19" s="39" customFormat="1" hidden="1" outlineLevel="1" x14ac:dyDescent="0.3">
      <c r="B62" s="166" t="s">
        <v>177</v>
      </c>
      <c r="G62" s="375">
        <v>1417608</v>
      </c>
      <c r="H62" s="375">
        <v>1433966</v>
      </c>
      <c r="I62" s="375">
        <v>3896532</v>
      </c>
      <c r="J62" s="107">
        <f>J138</f>
        <v>6282237.3057549708</v>
      </c>
      <c r="K62" s="107">
        <f t="shared" ref="K62:N62" si="13">K138</f>
        <v>8661670.6458630059</v>
      </c>
      <c r="L62" s="107">
        <f t="shared" si="13"/>
        <v>11696379.405711094</v>
      </c>
      <c r="M62" s="107">
        <f t="shared" si="13"/>
        <v>15729200.529655343</v>
      </c>
      <c r="N62" s="139">
        <f t="shared" si="13"/>
        <v>21053912.049219467</v>
      </c>
    </row>
    <row r="63" spans="1:19" s="39" customFormat="1" hidden="1" outlineLevel="1" x14ac:dyDescent="0.3">
      <c r="B63" s="166" t="s">
        <v>178</v>
      </c>
      <c r="G63" s="375">
        <v>147913</v>
      </c>
      <c r="H63" s="375">
        <v>151639</v>
      </c>
      <c r="I63" s="375">
        <v>153869</v>
      </c>
      <c r="J63" s="107">
        <f>I63</f>
        <v>153869</v>
      </c>
      <c r="K63" s="107">
        <f t="shared" ref="K63:N63" si="14">J63</f>
        <v>153869</v>
      </c>
      <c r="L63" s="107">
        <f t="shared" si="14"/>
        <v>153869</v>
      </c>
      <c r="M63" s="107">
        <f t="shared" si="14"/>
        <v>153869</v>
      </c>
      <c r="N63" s="139">
        <f t="shared" si="14"/>
        <v>153869</v>
      </c>
    </row>
    <row r="64" spans="1:19" s="39" customFormat="1" hidden="1" outlineLevel="1" x14ac:dyDescent="0.3">
      <c r="B64" s="166" t="s">
        <v>179</v>
      </c>
      <c r="G64" s="375">
        <v>796091</v>
      </c>
      <c r="H64" s="375">
        <v>856660</v>
      </c>
      <c r="I64" s="375">
        <v>934470</v>
      </c>
      <c r="J64" s="107">
        <f>Schedule!J56</f>
        <v>1022532.7165986177</v>
      </c>
      <c r="K64" s="107">
        <f>Schedule!K56</f>
        <v>1123750.7240106666</v>
      </c>
      <c r="L64" s="107">
        <f>Schedule!L56</f>
        <v>1241846.4753905279</v>
      </c>
      <c r="M64" s="107">
        <f>Schedule!M56</f>
        <v>1378655.3797898756</v>
      </c>
      <c r="N64" s="139">
        <f>Schedule!N56</f>
        <v>1538121.4638768442</v>
      </c>
    </row>
    <row r="65" spans="2:14" s="39" customFormat="1" hidden="1" outlineLevel="1" x14ac:dyDescent="0.3">
      <c r="B65" s="166" t="s">
        <v>180</v>
      </c>
      <c r="G65" s="375">
        <v>211927</v>
      </c>
      <c r="H65" s="375">
        <v>325590</v>
      </c>
      <c r="I65" s="375">
        <v>361849</v>
      </c>
      <c r="J65" s="107">
        <f>Schedule!J57</f>
        <v>395948.97746154841</v>
      </c>
      <c r="K65" s="107">
        <f>Schedule!K57</f>
        <v>435142.99627867748</v>
      </c>
      <c r="L65" s="107">
        <f>Schedule!L57</f>
        <v>480872.47881000687</v>
      </c>
      <c r="M65" s="107">
        <f>Schedule!M57</f>
        <v>533848.13907518343</v>
      </c>
      <c r="N65" s="139">
        <f>Schedule!N57</f>
        <v>595597.19796501985</v>
      </c>
    </row>
    <row r="66" spans="2:14" s="39" customFormat="1" hidden="1" outlineLevel="1" x14ac:dyDescent="0.3">
      <c r="B66" s="166" t="s">
        <v>181</v>
      </c>
      <c r="G66" s="375">
        <v>439130</v>
      </c>
      <c r="H66" s="375">
        <v>548115</v>
      </c>
      <c r="I66" s="375">
        <v>1122946</v>
      </c>
      <c r="J66" s="107">
        <f>Schedule!J58</f>
        <v>1228770.3446590593</v>
      </c>
      <c r="K66" s="107">
        <f>Schedule!K58</f>
        <v>1350403.3093891533</v>
      </c>
      <c r="L66" s="107">
        <f>Schedule!L58</f>
        <v>1492318.1398588417</v>
      </c>
      <c r="M66" s="107">
        <f>Schedule!M58</f>
        <v>1656720.4341643089</v>
      </c>
      <c r="N66" s="139">
        <f>Schedule!N58</f>
        <v>1848349.7013008939</v>
      </c>
    </row>
    <row r="67" spans="2:14" s="39" customFormat="1" hidden="1" outlineLevel="1" x14ac:dyDescent="0.3">
      <c r="B67" s="166" t="s">
        <v>210</v>
      </c>
      <c r="G67" s="375">
        <v>0</v>
      </c>
      <c r="H67" s="375">
        <v>114654</v>
      </c>
      <c r="I67" s="375">
        <v>0</v>
      </c>
      <c r="J67" s="107">
        <f>I67</f>
        <v>0</v>
      </c>
      <c r="K67" s="107">
        <f t="shared" ref="K67:N67" si="15">J67</f>
        <v>0</v>
      </c>
      <c r="L67" s="107">
        <f t="shared" si="15"/>
        <v>0</v>
      </c>
      <c r="M67" s="107">
        <f t="shared" si="15"/>
        <v>0</v>
      </c>
      <c r="N67" s="139">
        <f t="shared" si="15"/>
        <v>0</v>
      </c>
    </row>
    <row r="68" spans="2:14" s="39" customFormat="1" hidden="1" outlineLevel="1" x14ac:dyDescent="0.3">
      <c r="B68" s="158" t="s">
        <v>182</v>
      </c>
      <c r="G68" s="108">
        <f>SUM(G62:G67)</f>
        <v>3012669</v>
      </c>
      <c r="H68" s="108">
        <f>SUM(H62:H67)</f>
        <v>3430624</v>
      </c>
      <c r="I68" s="108">
        <f>SUM(I62:I67)</f>
        <v>6469666</v>
      </c>
      <c r="J68" s="108">
        <f t="shared" ref="J68:N68" si="16">SUM(J62:J67)</f>
        <v>9083358.3444741964</v>
      </c>
      <c r="K68" s="108">
        <f t="shared" si="16"/>
        <v>11724836.675541503</v>
      </c>
      <c r="L68" s="108">
        <f t="shared" si="16"/>
        <v>15065285.49977047</v>
      </c>
      <c r="M68" s="108">
        <f t="shared" si="16"/>
        <v>19452293.482684709</v>
      </c>
      <c r="N68" s="140">
        <f t="shared" si="16"/>
        <v>25189849.412362222</v>
      </c>
    </row>
    <row r="69" spans="2:14" s="39" customFormat="1" hidden="1" outlineLevel="1" x14ac:dyDescent="0.3">
      <c r="B69" s="157"/>
      <c r="G69" s="107"/>
      <c r="H69" s="107"/>
      <c r="I69" s="107"/>
      <c r="N69" s="137"/>
    </row>
    <row r="70" spans="2:14" s="39" customFormat="1" hidden="1" outlineLevel="1" x14ac:dyDescent="0.3">
      <c r="B70" s="166" t="s">
        <v>183</v>
      </c>
      <c r="G70" s="375">
        <v>483300</v>
      </c>
      <c r="H70" s="375">
        <v>549837</v>
      </c>
      <c r="I70" s="375">
        <v>563006</v>
      </c>
      <c r="J70" s="106">
        <f>Schedule!J21</f>
        <v>570118.196578298</v>
      </c>
      <c r="K70" s="106">
        <f>Schedule!K21</f>
        <v>569605.01141129993</v>
      </c>
      <c r="L70" s="106">
        <f>Schedule!L21</f>
        <v>556441.70905462513</v>
      </c>
      <c r="M70" s="106">
        <f>Schedule!M21</f>
        <v>554502.65599502018</v>
      </c>
      <c r="N70" s="141">
        <f>Schedule!N21</f>
        <v>548432.59120887634</v>
      </c>
    </row>
    <row r="71" spans="2:14" s="39" customFormat="1" hidden="1" outlineLevel="1" x14ac:dyDescent="0.3">
      <c r="B71" s="166" t="s">
        <v>184</v>
      </c>
      <c r="G71" s="375">
        <v>559090</v>
      </c>
      <c r="H71" s="375">
        <v>559923</v>
      </c>
      <c r="I71" s="375">
        <v>565917</v>
      </c>
      <c r="J71" s="107">
        <f>I71</f>
        <v>565917</v>
      </c>
      <c r="K71" s="107">
        <f t="shared" ref="K71:N71" si="17">J71</f>
        <v>565917</v>
      </c>
      <c r="L71" s="107">
        <f t="shared" si="17"/>
        <v>565917</v>
      </c>
      <c r="M71" s="107">
        <f t="shared" si="17"/>
        <v>565917</v>
      </c>
      <c r="N71" s="139">
        <f t="shared" si="17"/>
        <v>565917</v>
      </c>
    </row>
    <row r="72" spans="2:14" s="39" customFormat="1" hidden="1" outlineLevel="1" x14ac:dyDescent="0.3">
      <c r="B72" s="166" t="s">
        <v>185</v>
      </c>
      <c r="G72" s="375">
        <v>3842234</v>
      </c>
      <c r="H72" s="375">
        <v>3346065</v>
      </c>
      <c r="I72" s="375">
        <v>3448850</v>
      </c>
      <c r="J72" s="107">
        <f>I72</f>
        <v>3448850</v>
      </c>
      <c r="K72" s="107">
        <f t="shared" ref="K72:N72" si="18">J72</f>
        <v>3448850</v>
      </c>
      <c r="L72" s="107">
        <f t="shared" si="18"/>
        <v>3448850</v>
      </c>
      <c r="M72" s="107">
        <f t="shared" si="18"/>
        <v>3448850</v>
      </c>
      <c r="N72" s="139">
        <f t="shared" si="18"/>
        <v>3448850</v>
      </c>
    </row>
    <row r="73" spans="2:14" s="39" customFormat="1" hidden="1" outlineLevel="1" x14ac:dyDescent="0.3">
      <c r="B73" s="166" t="s">
        <v>186</v>
      </c>
      <c r="G73" s="375">
        <v>386446</v>
      </c>
      <c r="H73" s="375">
        <v>239577</v>
      </c>
      <c r="I73" s="375">
        <v>195164</v>
      </c>
      <c r="J73" s="107">
        <f>Schedule!J37</f>
        <v>238728</v>
      </c>
      <c r="K73" s="107">
        <f>Schedule!K37</f>
        <v>292616</v>
      </c>
      <c r="L73" s="107">
        <f>Schedule!L37</f>
        <v>351451</v>
      </c>
      <c r="M73" s="107">
        <f>Schedule!M37</f>
        <v>415879</v>
      </c>
      <c r="N73" s="139">
        <f>Schedule!N37</f>
        <v>482841</v>
      </c>
    </row>
    <row r="74" spans="2:14" s="39" customFormat="1" hidden="1" outlineLevel="1" x14ac:dyDescent="0.3">
      <c r="B74" s="166" t="s">
        <v>187</v>
      </c>
      <c r="G74" s="375">
        <v>670653</v>
      </c>
      <c r="H74" s="375">
        <v>853526</v>
      </c>
      <c r="I74" s="375">
        <v>1247258</v>
      </c>
      <c r="J74" s="107">
        <f>I74</f>
        <v>1247258</v>
      </c>
      <c r="K74" s="107">
        <f t="shared" ref="K74:N74" si="19">J74</f>
        <v>1247258</v>
      </c>
      <c r="L74" s="107">
        <f t="shared" si="19"/>
        <v>1247258</v>
      </c>
      <c r="M74" s="107">
        <f t="shared" si="19"/>
        <v>1247258</v>
      </c>
      <c r="N74" s="139">
        <f t="shared" si="19"/>
        <v>1247258</v>
      </c>
    </row>
    <row r="75" spans="2:14" s="39" customFormat="1" hidden="1" outlineLevel="1" x14ac:dyDescent="0.3">
      <c r="B75" s="166" t="s">
        <v>188</v>
      </c>
      <c r="G75" s="375">
        <v>463695</v>
      </c>
      <c r="H75" s="375">
        <v>444820</v>
      </c>
      <c r="I75" s="375">
        <v>583700</v>
      </c>
      <c r="J75" s="107">
        <f>Schedule!J79</f>
        <v>638706.80351280735</v>
      </c>
      <c r="K75" s="107">
        <f>Schedule!K79</f>
        <v>701930.82453693124</v>
      </c>
      <c r="L75" s="107">
        <f>Schedule!L79</f>
        <v>775697.22696871078</v>
      </c>
      <c r="M75" s="107">
        <f>Schedule!M79</f>
        <v>861152.46629998868</v>
      </c>
      <c r="N75" s="139">
        <f>Schedule!N79</f>
        <v>960760.1083661475</v>
      </c>
    </row>
    <row r="76" spans="2:14" s="39" customFormat="1" hidden="1" outlineLevel="1" x14ac:dyDescent="0.3">
      <c r="B76" s="166" t="s">
        <v>211</v>
      </c>
      <c r="G76" s="375">
        <v>0</v>
      </c>
      <c r="H76" s="375">
        <v>908759</v>
      </c>
      <c r="I76" s="375">
        <v>0</v>
      </c>
      <c r="J76" s="107">
        <f>I76</f>
        <v>0</v>
      </c>
      <c r="K76" s="107">
        <f t="shared" ref="K76:N76" si="20">J76</f>
        <v>0</v>
      </c>
      <c r="L76" s="107">
        <f t="shared" si="20"/>
        <v>0</v>
      </c>
      <c r="M76" s="107">
        <f t="shared" si="20"/>
        <v>0</v>
      </c>
      <c r="N76" s="139">
        <f t="shared" si="20"/>
        <v>0</v>
      </c>
    </row>
    <row r="77" spans="2:14" s="39" customFormat="1" hidden="1" outlineLevel="1" x14ac:dyDescent="0.3">
      <c r="B77" s="158" t="s">
        <v>189</v>
      </c>
      <c r="G77" s="108">
        <f>SUM(G70:G76)+G68</f>
        <v>9418087</v>
      </c>
      <c r="H77" s="108">
        <f>SUM(H70:H76)+H68</f>
        <v>10333131</v>
      </c>
      <c r="I77" s="108">
        <f>SUM(I70:I76)+I68</f>
        <v>13073561</v>
      </c>
      <c r="J77" s="108">
        <f t="shared" ref="J77:N77" si="21">SUM(J70:J76)+J68</f>
        <v>15792936.344565302</v>
      </c>
      <c r="K77" s="108">
        <f t="shared" si="21"/>
        <v>18551013.511489734</v>
      </c>
      <c r="L77" s="108">
        <f t="shared" si="21"/>
        <v>22010900.435793806</v>
      </c>
      <c r="M77" s="108">
        <f t="shared" si="21"/>
        <v>26545852.604979716</v>
      </c>
      <c r="N77" s="140">
        <f t="shared" si="21"/>
        <v>32443908.111937247</v>
      </c>
    </row>
    <row r="78" spans="2:14" s="39" customFormat="1" hidden="1" outlineLevel="1" x14ac:dyDescent="0.3">
      <c r="B78" s="157"/>
      <c r="G78" s="107"/>
      <c r="H78" s="107"/>
      <c r="I78" s="107"/>
      <c r="N78" s="137"/>
    </row>
    <row r="79" spans="2:14" s="39" customFormat="1" hidden="1" outlineLevel="1" x14ac:dyDescent="0.3">
      <c r="B79" s="173" t="s">
        <v>190</v>
      </c>
      <c r="G79" s="107"/>
      <c r="H79" s="107"/>
      <c r="I79" s="107"/>
      <c r="N79" s="137"/>
    </row>
    <row r="80" spans="2:14" s="39" customFormat="1" hidden="1" outlineLevel="1" x14ac:dyDescent="0.3">
      <c r="B80" s="173" t="s">
        <v>191</v>
      </c>
      <c r="G80" s="107"/>
      <c r="H80" s="107"/>
      <c r="I80" s="107"/>
      <c r="N80" s="137"/>
    </row>
    <row r="81" spans="2:15" s="39" customFormat="1" hidden="1" outlineLevel="1" x14ac:dyDescent="0.3">
      <c r="B81" s="166" t="s">
        <v>192</v>
      </c>
      <c r="G81" s="375">
        <v>809403</v>
      </c>
      <c r="H81" s="375">
        <v>1059914</v>
      </c>
      <c r="I81" s="375">
        <v>1163592</v>
      </c>
      <c r="J81" s="107">
        <f>Schedule!J62</f>
        <v>1517036.3088471834</v>
      </c>
      <c r="K81" s="107">
        <f>Schedule!K62</f>
        <v>1692929.0731851237</v>
      </c>
      <c r="L81" s="107">
        <f>Schedule!L62</f>
        <v>1885547.5616926912</v>
      </c>
      <c r="M81" s="107">
        <f>Schedule!M62</f>
        <v>2115617.5709133712</v>
      </c>
      <c r="N81" s="139">
        <f>Schedule!N62</f>
        <v>2385587.4106919933</v>
      </c>
    </row>
    <row r="82" spans="2:15" s="39" customFormat="1" hidden="1" outlineLevel="1" x14ac:dyDescent="0.3">
      <c r="B82" s="166" t="s">
        <v>193</v>
      </c>
      <c r="G82" s="375">
        <v>54274</v>
      </c>
      <c r="H82" s="375">
        <v>79832</v>
      </c>
      <c r="I82" s="375">
        <v>94791</v>
      </c>
      <c r="J82" s="107">
        <f>I82</f>
        <v>94791</v>
      </c>
      <c r="K82" s="107">
        <f t="shared" ref="K82:N82" si="22">J82</f>
        <v>94791</v>
      </c>
      <c r="L82" s="107">
        <f t="shared" si="22"/>
        <v>94791</v>
      </c>
      <c r="M82" s="107">
        <f t="shared" si="22"/>
        <v>94791</v>
      </c>
      <c r="N82" s="139">
        <f t="shared" si="22"/>
        <v>94791</v>
      </c>
    </row>
    <row r="83" spans="2:15" s="39" customFormat="1" hidden="1" outlineLevel="1" x14ac:dyDescent="0.3">
      <c r="B83" s="166" t="s">
        <v>194</v>
      </c>
      <c r="G83" s="375">
        <v>1910822</v>
      </c>
      <c r="H83" s="375">
        <v>1559461</v>
      </c>
      <c r="I83" s="375">
        <v>1391737</v>
      </c>
      <c r="J83" s="107">
        <f>Schedule!J76</f>
        <v>1522891.7090980024</v>
      </c>
      <c r="K83" s="107">
        <f>Schedule!K76</f>
        <v>1673639.0268092428</v>
      </c>
      <c r="L83" s="107">
        <f>Schedule!L76</f>
        <v>1849522.9254235954</v>
      </c>
      <c r="M83" s="107">
        <f>Schedule!M76</f>
        <v>2053276.9401935022</v>
      </c>
      <c r="N83" s="139">
        <f>Schedule!N76</f>
        <v>2290775.0401527788</v>
      </c>
    </row>
    <row r="84" spans="2:15" s="39" customFormat="1" hidden="1" outlineLevel="1" x14ac:dyDescent="0.3">
      <c r="B84" s="166" t="s">
        <v>212</v>
      </c>
      <c r="G84" s="375">
        <v>0</v>
      </c>
      <c r="H84" s="375">
        <v>286244</v>
      </c>
      <c r="I84" s="375">
        <v>0</v>
      </c>
      <c r="J84" s="107">
        <f>I84</f>
        <v>0</v>
      </c>
      <c r="K84" s="107">
        <f t="shared" ref="K84:N84" si="23">J84</f>
        <v>0</v>
      </c>
      <c r="L84" s="107">
        <f t="shared" si="23"/>
        <v>0</v>
      </c>
      <c r="M84" s="107">
        <f t="shared" si="23"/>
        <v>0</v>
      </c>
      <c r="N84" s="139">
        <f t="shared" si="23"/>
        <v>0</v>
      </c>
      <c r="O84" s="107"/>
    </row>
    <row r="85" spans="2:15" s="39" customFormat="1" hidden="1" outlineLevel="1" x14ac:dyDescent="0.3">
      <c r="B85" s="158" t="s">
        <v>195</v>
      </c>
      <c r="G85" s="108">
        <f>SUM(G81:G84)</f>
        <v>2774499</v>
      </c>
      <c r="H85" s="108">
        <f>SUM(H81:H84)</f>
        <v>2985451</v>
      </c>
      <c r="I85" s="108">
        <f>SUM(I81:I84)</f>
        <v>2650120</v>
      </c>
      <c r="J85" s="108">
        <f t="shared" ref="J85:N85" si="24">SUM(J81:J84)</f>
        <v>3134719.0179451858</v>
      </c>
      <c r="K85" s="108">
        <f t="shared" si="24"/>
        <v>3461359.0999943665</v>
      </c>
      <c r="L85" s="108">
        <f t="shared" si="24"/>
        <v>3829861.4871162865</v>
      </c>
      <c r="M85" s="108">
        <f t="shared" si="24"/>
        <v>4263685.5111068729</v>
      </c>
      <c r="N85" s="140">
        <f t="shared" si="24"/>
        <v>4771153.4508447722</v>
      </c>
    </row>
    <row r="86" spans="2:15" s="39" customFormat="1" hidden="1" outlineLevel="1" x14ac:dyDescent="0.3">
      <c r="B86" s="157"/>
      <c r="G86" s="107"/>
      <c r="H86" s="107"/>
      <c r="I86" s="107"/>
      <c r="N86" s="137"/>
    </row>
    <row r="87" spans="2:15" s="39" customFormat="1" hidden="1" outlineLevel="1" x14ac:dyDescent="0.3">
      <c r="B87" s="166" t="s">
        <v>196</v>
      </c>
      <c r="G87" s="381">
        <v>581273</v>
      </c>
      <c r="H87" s="375">
        <v>579686</v>
      </c>
      <c r="I87" s="375">
        <v>574065</v>
      </c>
      <c r="J87" s="107">
        <f>I87</f>
        <v>574065</v>
      </c>
      <c r="K87" s="107">
        <f t="shared" ref="K87:N87" si="25">J87</f>
        <v>574065</v>
      </c>
      <c r="L87" s="107">
        <f t="shared" si="25"/>
        <v>574065</v>
      </c>
      <c r="M87" s="107">
        <f t="shared" si="25"/>
        <v>574065</v>
      </c>
      <c r="N87" s="139">
        <f t="shared" si="25"/>
        <v>574065</v>
      </c>
    </row>
    <row r="88" spans="2:15" s="39" customFormat="1" hidden="1" outlineLevel="1" x14ac:dyDescent="0.3">
      <c r="B88" s="166" t="s">
        <v>197</v>
      </c>
      <c r="G88" s="375">
        <v>154472</v>
      </c>
      <c r="H88" s="375">
        <v>150827</v>
      </c>
      <c r="I88" s="375">
        <v>340831</v>
      </c>
      <c r="J88" s="107">
        <f>Schedule!J82</f>
        <v>372950.28019200556</v>
      </c>
      <c r="K88" s="107">
        <f>Schedule!K82</f>
        <v>409867.71433569782</v>
      </c>
      <c r="L88" s="107">
        <f>Schedule!L82</f>
        <v>452940.99976866995</v>
      </c>
      <c r="M88" s="107">
        <f>Schedule!M82</f>
        <v>502839.56868509756</v>
      </c>
      <c r="N88" s="139">
        <f>Schedule!N82</f>
        <v>561001.93334682612</v>
      </c>
    </row>
    <row r="89" spans="2:15" s="39" customFormat="1" hidden="1" outlineLevel="1" x14ac:dyDescent="0.3">
      <c r="B89" s="166" t="s">
        <v>198</v>
      </c>
      <c r="G89" s="375">
        <v>20824</v>
      </c>
      <c r="H89" s="375">
        <v>18078</v>
      </c>
      <c r="I89" s="375">
        <v>15601</v>
      </c>
      <c r="J89" s="107">
        <f>Schedule!J96</f>
        <v>13601</v>
      </c>
      <c r="K89" s="107">
        <f>Schedule!K96</f>
        <v>11751</v>
      </c>
      <c r="L89" s="107">
        <f>Schedule!L96</f>
        <v>10301</v>
      </c>
      <c r="M89" s="107">
        <f>Schedule!M96</f>
        <v>9051</v>
      </c>
      <c r="N89" s="139">
        <f>Schedule!N96</f>
        <v>7851</v>
      </c>
    </row>
    <row r="90" spans="2:15" s="39" customFormat="1" hidden="1" outlineLevel="1" x14ac:dyDescent="0.3">
      <c r="B90" s="166" t="s">
        <v>199</v>
      </c>
      <c r="G90" s="375">
        <v>327829</v>
      </c>
      <c r="H90" s="375">
        <v>381531</v>
      </c>
      <c r="I90" s="375">
        <v>469738</v>
      </c>
      <c r="J90" s="107">
        <f>Schedule!J85</f>
        <v>514005.23636885232</v>
      </c>
      <c r="K90" s="107">
        <f>Schedule!K85</f>
        <v>564885.35490205418</v>
      </c>
      <c r="L90" s="107">
        <f>Schedule!L85</f>
        <v>624249.55285562493</v>
      </c>
      <c r="M90" s="107">
        <f>Schedule!M85</f>
        <v>693020.45094196347</v>
      </c>
      <c r="N90" s="139">
        <f>Schedule!N85</f>
        <v>773180.62666386389</v>
      </c>
    </row>
    <row r="91" spans="2:15" s="39" customFormat="1" hidden="1" outlineLevel="1" x14ac:dyDescent="0.3">
      <c r="B91" s="166" t="s">
        <v>213</v>
      </c>
      <c r="G91" s="375">
        <v>0</v>
      </c>
      <c r="H91" s="375">
        <v>33257</v>
      </c>
      <c r="I91" s="375">
        <v>0</v>
      </c>
      <c r="J91" s="107">
        <f>I91</f>
        <v>0</v>
      </c>
      <c r="K91" s="107">
        <f t="shared" ref="K91:N91" si="26">J91</f>
        <v>0</v>
      </c>
      <c r="L91" s="107">
        <f t="shared" si="26"/>
        <v>0</v>
      </c>
      <c r="M91" s="107">
        <f t="shared" si="26"/>
        <v>0</v>
      </c>
      <c r="N91" s="139">
        <f t="shared" si="26"/>
        <v>0</v>
      </c>
    </row>
    <row r="92" spans="2:15" s="39" customFormat="1" hidden="1" outlineLevel="1" x14ac:dyDescent="0.3">
      <c r="B92" s="158" t="s">
        <v>200</v>
      </c>
      <c r="G92" s="108">
        <f>SUM(G87:G91)+G85</f>
        <v>3858897</v>
      </c>
      <c r="H92" s="108">
        <f>SUM(H87:H91)+H85</f>
        <v>4148830</v>
      </c>
      <c r="I92" s="108">
        <f>SUM(I87:I91)+I85</f>
        <v>4050355</v>
      </c>
      <c r="J92" s="108">
        <f t="shared" ref="J92:N92" si="27">SUM(J87:J91)+J85</f>
        <v>4609340.5345060434</v>
      </c>
      <c r="K92" s="108">
        <f t="shared" si="27"/>
        <v>5021928.1692321189</v>
      </c>
      <c r="L92" s="108">
        <f t="shared" si="27"/>
        <v>5491418.0397405811</v>
      </c>
      <c r="M92" s="108">
        <f t="shared" si="27"/>
        <v>6042661.5307339337</v>
      </c>
      <c r="N92" s="140">
        <f t="shared" si="27"/>
        <v>6687252.0108554624</v>
      </c>
    </row>
    <row r="93" spans="2:15" s="39" customFormat="1" hidden="1" outlineLevel="1" x14ac:dyDescent="0.3">
      <c r="B93" s="157" t="s">
        <v>201</v>
      </c>
      <c r="G93" s="375">
        <v>38664</v>
      </c>
      <c r="H93" s="375">
        <v>31043</v>
      </c>
      <c r="I93" s="375">
        <v>30000</v>
      </c>
      <c r="J93" s="107">
        <f>I93</f>
        <v>30000</v>
      </c>
      <c r="K93" s="107">
        <f t="shared" ref="K93:N93" si="28">J93</f>
        <v>30000</v>
      </c>
      <c r="L93" s="107">
        <f t="shared" si="28"/>
        <v>30000</v>
      </c>
      <c r="M93" s="107">
        <f t="shared" si="28"/>
        <v>30000</v>
      </c>
      <c r="N93" s="139">
        <f t="shared" si="28"/>
        <v>30000</v>
      </c>
    </row>
    <row r="94" spans="2:15" s="39" customFormat="1" hidden="1" outlineLevel="1" x14ac:dyDescent="0.3">
      <c r="B94" s="173" t="s">
        <v>214</v>
      </c>
      <c r="G94" s="107"/>
      <c r="H94" s="107"/>
      <c r="I94" s="107"/>
      <c r="N94" s="137"/>
    </row>
    <row r="95" spans="2:15" s="39" customFormat="1" hidden="1" outlineLevel="1" x14ac:dyDescent="0.3">
      <c r="B95" s="166" t="s">
        <v>202</v>
      </c>
      <c r="G95" s="375">
        <v>1524</v>
      </c>
      <c r="H95" s="375">
        <v>1521</v>
      </c>
      <c r="I95" s="375">
        <v>1541</v>
      </c>
      <c r="J95" s="107">
        <f>I95</f>
        <v>1541</v>
      </c>
      <c r="K95" s="107">
        <f t="shared" ref="K95:N95" si="29">J95</f>
        <v>1541</v>
      </c>
      <c r="L95" s="107">
        <f t="shared" si="29"/>
        <v>1541</v>
      </c>
      <c r="M95" s="107">
        <f t="shared" si="29"/>
        <v>1541</v>
      </c>
      <c r="N95" s="139">
        <f t="shared" si="29"/>
        <v>1541</v>
      </c>
    </row>
    <row r="96" spans="2:15" s="39" customFormat="1" hidden="1" outlineLevel="1" x14ac:dyDescent="0.3">
      <c r="B96" s="166" t="s">
        <v>203</v>
      </c>
      <c r="G96" s="375">
        <v>1487126</v>
      </c>
      <c r="H96" s="375">
        <v>1276152</v>
      </c>
      <c r="I96" s="375">
        <v>1211206</v>
      </c>
      <c r="J96" s="107">
        <f>Schedule!J110</f>
        <v>1843457.7992092595</v>
      </c>
      <c r="K96" s="107">
        <f>Schedule!K110</f>
        <v>2507919.9101997013</v>
      </c>
      <c r="L96" s="107">
        <f>Schedule!L110</f>
        <v>3320135.0845518862</v>
      </c>
      <c r="M96" s="107">
        <f>Schedule!M110</f>
        <v>4446020.4617650248</v>
      </c>
      <c r="N96" s="139">
        <f>Schedule!N110</f>
        <v>5912862.5610775184</v>
      </c>
    </row>
    <row r="97" spans="1:19" s="39" customFormat="1" hidden="1" outlineLevel="1" x14ac:dyDescent="0.3">
      <c r="B97" s="166" t="s">
        <v>204</v>
      </c>
      <c r="G97" s="375">
        <v>5534307</v>
      </c>
      <c r="H97" s="375">
        <v>6741699</v>
      </c>
      <c r="I97" s="375">
        <v>8984105</v>
      </c>
      <c r="J97" s="107">
        <f>Schedule!J106</f>
        <v>10526649.004048016</v>
      </c>
      <c r="K97" s="107">
        <f>Schedule!K106</f>
        <v>12223523.73055405</v>
      </c>
      <c r="L97" s="107">
        <f>Schedule!L106</f>
        <v>14418869.763599126</v>
      </c>
      <c r="M97" s="107">
        <f>Schedule!M106</f>
        <v>17299235.027641367</v>
      </c>
      <c r="N97" s="139">
        <f>Schedule!N106</f>
        <v>21114017.376976579</v>
      </c>
    </row>
    <row r="98" spans="1:19" s="39" customFormat="1" hidden="1" outlineLevel="1" x14ac:dyDescent="0.3">
      <c r="B98" s="166" t="s">
        <v>205</v>
      </c>
      <c r="G98" s="375">
        <v>-1272955</v>
      </c>
      <c r="H98" s="375">
        <v>-1675650</v>
      </c>
      <c r="I98" s="375">
        <v>-1025770</v>
      </c>
      <c r="J98" s="107">
        <f>I98</f>
        <v>-1025770</v>
      </c>
      <c r="K98" s="107">
        <f t="shared" ref="K98:N98" si="30">J98</f>
        <v>-1025770</v>
      </c>
      <c r="L98" s="107">
        <f t="shared" si="30"/>
        <v>-1025770</v>
      </c>
      <c r="M98" s="107">
        <f t="shared" si="30"/>
        <v>-1025770</v>
      </c>
      <c r="N98" s="139">
        <f t="shared" si="30"/>
        <v>-1025770</v>
      </c>
    </row>
    <row r="99" spans="1:19" s="39" customFormat="1" hidden="1" outlineLevel="1" x14ac:dyDescent="0.3">
      <c r="B99" s="166" t="s">
        <v>206</v>
      </c>
      <c r="G99" s="375">
        <v>-234277</v>
      </c>
      <c r="H99" s="375">
        <v>-196414</v>
      </c>
      <c r="I99" s="375">
        <v>-180380</v>
      </c>
      <c r="J99" s="107">
        <f>I99</f>
        <v>-180380</v>
      </c>
      <c r="K99" s="107">
        <f t="shared" ref="K99:N99" si="31">J99</f>
        <v>-180380</v>
      </c>
      <c r="L99" s="107">
        <f t="shared" si="31"/>
        <v>-180380</v>
      </c>
      <c r="M99" s="107">
        <f t="shared" si="31"/>
        <v>-180380</v>
      </c>
      <c r="N99" s="139">
        <f t="shared" si="31"/>
        <v>-180380</v>
      </c>
    </row>
    <row r="100" spans="1:19" s="39" customFormat="1" hidden="1" outlineLevel="1" x14ac:dyDescent="0.3">
      <c r="B100" s="158" t="s">
        <v>207</v>
      </c>
      <c r="G100" s="108">
        <f>SUM(G95:G99)</f>
        <v>5515725</v>
      </c>
      <c r="H100" s="108">
        <f>SUM(H95:H99)</f>
        <v>6147308</v>
      </c>
      <c r="I100" s="108">
        <f>SUM(I95:I99)</f>
        <v>8990702</v>
      </c>
      <c r="J100" s="108">
        <f t="shared" ref="J100:N100" si="32">SUM(J95:J99)</f>
        <v>11165497.803257275</v>
      </c>
      <c r="K100" s="108">
        <f t="shared" si="32"/>
        <v>13526834.640753752</v>
      </c>
      <c r="L100" s="108">
        <f t="shared" si="32"/>
        <v>16534395.848151013</v>
      </c>
      <c r="M100" s="108">
        <f t="shared" si="32"/>
        <v>20540646.489406392</v>
      </c>
      <c r="N100" s="140">
        <f t="shared" si="32"/>
        <v>25822270.9380541</v>
      </c>
    </row>
    <row r="101" spans="1:19" s="39" customFormat="1" hidden="1" outlineLevel="1" x14ac:dyDescent="0.3">
      <c r="B101" s="166" t="s">
        <v>208</v>
      </c>
      <c r="G101" s="375">
        <v>4801</v>
      </c>
      <c r="H101" s="375">
        <v>5950</v>
      </c>
      <c r="I101" s="375">
        <v>2504</v>
      </c>
      <c r="J101" s="107">
        <f>I101+J49</f>
        <v>-11901.99319801576</v>
      </c>
      <c r="K101" s="107">
        <f t="shared" ref="K101:N101" si="33">J101+K49</f>
        <v>-27749.298496134095</v>
      </c>
      <c r="L101" s="107">
        <f t="shared" si="33"/>
        <v>-44913.452097787711</v>
      </c>
      <c r="M101" s="107">
        <f t="shared" si="33"/>
        <v>-67455.415160607357</v>
      </c>
      <c r="N101" s="139">
        <f t="shared" si="33"/>
        <v>-95614.836972313351</v>
      </c>
    </row>
    <row r="102" spans="1:19" s="39" customFormat="1" hidden="1" outlineLevel="1" x14ac:dyDescent="0.3">
      <c r="B102" s="158" t="s">
        <v>209</v>
      </c>
      <c r="G102" s="108">
        <f>G101+G100+G92+G93</f>
        <v>9418087</v>
      </c>
      <c r="H102" s="108">
        <f>H101+H100+H92+H93</f>
        <v>10333131</v>
      </c>
      <c r="I102" s="108">
        <f>I101+I100+I92+I93</f>
        <v>13073561</v>
      </c>
      <c r="J102" s="108">
        <f t="shared" ref="J102:N102" si="34">J101+J100+J92+J93</f>
        <v>15792936.344565302</v>
      </c>
      <c r="K102" s="108">
        <f t="shared" si="34"/>
        <v>18551013.511489734</v>
      </c>
      <c r="L102" s="108">
        <f t="shared" si="34"/>
        <v>22010900.435793806</v>
      </c>
      <c r="M102" s="108">
        <f t="shared" si="34"/>
        <v>26545852.604979716</v>
      </c>
      <c r="N102" s="140">
        <f t="shared" si="34"/>
        <v>32443908.111937247</v>
      </c>
    </row>
    <row r="103" spans="1:19" s="39" customFormat="1" hidden="1" outlineLevel="1" x14ac:dyDescent="0.3">
      <c r="B103" s="138"/>
      <c r="G103" s="108"/>
      <c r="H103" s="108"/>
      <c r="I103" s="108"/>
      <c r="N103" s="137"/>
    </row>
    <row r="104" spans="1:19" s="39" customFormat="1" ht="14.4" hidden="1" outlineLevel="1" x14ac:dyDescent="0.3">
      <c r="B104" s="142" t="s">
        <v>260</v>
      </c>
      <c r="C104" s="143"/>
      <c r="D104" s="143"/>
      <c r="E104" s="143"/>
      <c r="F104" s="143"/>
      <c r="G104" s="144" t="b">
        <f>IF(G102=G77,TRUE,G77-G102)</f>
        <v>1</v>
      </c>
      <c r="H104" s="144" t="b">
        <f t="shared" ref="H104:N104" si="35">IF(H102=H77,TRUE,H77-H102)</f>
        <v>1</v>
      </c>
      <c r="I104" s="144" t="b">
        <f t="shared" si="35"/>
        <v>1</v>
      </c>
      <c r="J104" s="144" t="b">
        <f t="shared" si="35"/>
        <v>1</v>
      </c>
      <c r="K104" s="144" t="b">
        <f t="shared" si="35"/>
        <v>1</v>
      </c>
      <c r="L104" s="144" t="b">
        <f t="shared" si="35"/>
        <v>1</v>
      </c>
      <c r="M104" s="144" t="b">
        <f t="shared" si="35"/>
        <v>1</v>
      </c>
      <c r="N104" s="145" t="b">
        <f t="shared" si="35"/>
        <v>1</v>
      </c>
    </row>
    <row r="105" spans="1:19" s="39" customFormat="1" collapsed="1" x14ac:dyDescent="0.3">
      <c r="B105" s="146"/>
      <c r="C105" s="147"/>
      <c r="D105" s="147"/>
      <c r="E105" s="147"/>
      <c r="F105" s="147"/>
      <c r="G105" s="148"/>
      <c r="H105" s="148"/>
      <c r="I105" s="148"/>
      <c r="J105" s="147"/>
      <c r="K105" s="147"/>
      <c r="L105" s="147"/>
      <c r="M105" s="147"/>
      <c r="N105" s="149"/>
    </row>
    <row r="106" spans="1:19" s="39" customFormat="1" x14ac:dyDescent="0.3"/>
    <row r="107" spans="1:19" ht="14.4" x14ac:dyDescent="0.3">
      <c r="A107" s="18" t="s">
        <v>33</v>
      </c>
      <c r="B107" s="150" t="s">
        <v>34</v>
      </c>
      <c r="C107" s="151"/>
      <c r="D107" s="151"/>
      <c r="E107" s="151"/>
      <c r="F107" s="151"/>
      <c r="G107" s="152">
        <v>44865</v>
      </c>
      <c r="H107" s="152">
        <v>45230</v>
      </c>
      <c r="I107" s="152">
        <v>45596</v>
      </c>
      <c r="J107" s="153">
        <v>45961</v>
      </c>
      <c r="K107" s="153">
        <v>46326</v>
      </c>
      <c r="L107" s="153">
        <v>46691</v>
      </c>
      <c r="M107" s="153">
        <v>47057</v>
      </c>
      <c r="N107" s="154">
        <v>47422</v>
      </c>
      <c r="O107" s="36"/>
      <c r="P107" s="36"/>
      <c r="Q107" s="36"/>
      <c r="R107" s="36"/>
      <c r="S107" s="36"/>
    </row>
    <row r="108" spans="1:19" x14ac:dyDescent="0.3">
      <c r="B108" s="74"/>
      <c r="N108" s="162"/>
    </row>
    <row r="109" spans="1:19" hidden="1" outlineLevel="1" x14ac:dyDescent="0.3">
      <c r="B109" s="175" t="s">
        <v>276</v>
      </c>
      <c r="N109" s="162"/>
    </row>
    <row r="110" spans="1:19" hidden="1" outlineLevel="1" x14ac:dyDescent="0.3">
      <c r="B110" s="165" t="s">
        <v>161</v>
      </c>
      <c r="G110" s="163"/>
      <c r="H110" s="163"/>
      <c r="I110" s="163"/>
      <c r="J110" s="122">
        <f>J48</f>
        <v>1528138.0108499995</v>
      </c>
      <c r="K110" s="122">
        <f t="shared" ref="K110:N110" si="36">K48</f>
        <v>1681027.421207916</v>
      </c>
      <c r="L110" s="122">
        <f t="shared" si="36"/>
        <v>2178181.8794434229</v>
      </c>
      <c r="M110" s="122">
        <f t="shared" si="36"/>
        <v>2857823.3009794224</v>
      </c>
      <c r="N110" s="164">
        <f t="shared" si="36"/>
        <v>3786622.9275235068</v>
      </c>
    </row>
    <row r="111" spans="1:19" hidden="1" outlineLevel="1" x14ac:dyDescent="0.3">
      <c r="B111" s="176" t="s">
        <v>277</v>
      </c>
      <c r="G111" s="163"/>
      <c r="H111" s="163"/>
      <c r="I111" s="163"/>
      <c r="J111" s="122"/>
      <c r="K111" s="122"/>
      <c r="L111" s="122"/>
      <c r="M111" s="122"/>
      <c r="N111" s="164"/>
    </row>
    <row r="112" spans="1:19" hidden="1" outlineLevel="1" x14ac:dyDescent="0.3">
      <c r="B112" s="177" t="s">
        <v>300</v>
      </c>
      <c r="G112" s="163"/>
      <c r="H112" s="163"/>
      <c r="I112" s="163"/>
      <c r="J112" s="122">
        <f>Schedule!J26</f>
        <v>226881.11918455019</v>
      </c>
      <c r="K112" s="122">
        <f>Schedule!K26</f>
        <v>237903.47591309279</v>
      </c>
      <c r="L112" s="122">
        <f>Schedule!L26</f>
        <v>272471.54283530975</v>
      </c>
      <c r="M112" s="122">
        <f>Schedule!M26</f>
        <v>268240.59322024218</v>
      </c>
      <c r="N112" s="164">
        <f>Schedule!N26</f>
        <v>290717.77117289358</v>
      </c>
    </row>
    <row r="113" spans="2:14" hidden="1" outlineLevel="1" x14ac:dyDescent="0.3">
      <c r="B113" s="177" t="s">
        <v>278</v>
      </c>
      <c r="G113" s="163"/>
      <c r="H113" s="163"/>
      <c r="I113" s="163"/>
      <c r="J113" s="122">
        <f>Assumptions!J22</f>
        <v>632251.79920925957</v>
      </c>
      <c r="K113" s="122">
        <f>Assumptions!K22</f>
        <v>664462.11099044175</v>
      </c>
      <c r="L113" s="122">
        <f>Assumptions!L22</f>
        <v>812215.17435218475</v>
      </c>
      <c r="M113" s="122">
        <f>Assumptions!M22</f>
        <v>1125885.3772131382</v>
      </c>
      <c r="N113" s="164">
        <f>Assumptions!N22</f>
        <v>1466842.0993124938</v>
      </c>
    </row>
    <row r="114" spans="2:14" hidden="1" outlineLevel="1" x14ac:dyDescent="0.3">
      <c r="B114" s="177" t="s">
        <v>156</v>
      </c>
      <c r="G114" s="163"/>
      <c r="H114" s="163"/>
      <c r="I114" s="163"/>
      <c r="J114" s="122">
        <f>Schedule!J99</f>
        <v>766.55250000000001</v>
      </c>
      <c r="K114" s="122">
        <f>Schedule!K99</f>
        <v>665.49</v>
      </c>
      <c r="L114" s="122">
        <f>Schedule!L99</f>
        <v>578.86500000000001</v>
      </c>
      <c r="M114" s="122">
        <f>Schedule!M99</f>
        <v>507.99</v>
      </c>
      <c r="N114" s="164">
        <f>Schedule!N99</f>
        <v>443.67750000000001</v>
      </c>
    </row>
    <row r="115" spans="2:14" hidden="1" outlineLevel="1" x14ac:dyDescent="0.3">
      <c r="B115" s="177" t="s">
        <v>289</v>
      </c>
      <c r="G115" s="163"/>
      <c r="H115" s="163"/>
      <c r="I115" s="163"/>
      <c r="J115" s="122">
        <f>-Assumptions!J16</f>
        <v>-38655.989349999989</v>
      </c>
      <c r="K115" s="122">
        <f>-Assumptions!K16</f>
        <v>-50730.12073355358</v>
      </c>
      <c r="L115" s="122">
        <f>-Assumptions!L16</f>
        <v>-68187.554369143152</v>
      </c>
      <c r="M115" s="122">
        <f>-Assumptions!M16</f>
        <v>-92679.961497387238</v>
      </c>
      <c r="N115" s="164">
        <f>-Assumptions!N16</f>
        <v>-127056.86621556031</v>
      </c>
    </row>
    <row r="116" spans="2:14" hidden="1" outlineLevel="1" x14ac:dyDescent="0.3">
      <c r="B116" s="178" t="s">
        <v>279</v>
      </c>
      <c r="G116" s="163"/>
      <c r="H116" s="163"/>
      <c r="I116" s="163"/>
      <c r="N116" s="162"/>
    </row>
    <row r="117" spans="2:14" hidden="1" outlineLevel="1" x14ac:dyDescent="0.3">
      <c r="B117" s="179" t="s">
        <v>290</v>
      </c>
      <c r="G117" s="163"/>
      <c r="H117" s="163"/>
      <c r="I117" s="163"/>
      <c r="J117" s="122">
        <f>SUM(I63:I67)-SUM(J63:J67)</f>
        <v>-227987.03871922567</v>
      </c>
      <c r="K117" s="122">
        <f t="shared" ref="K117:N117" si="37">SUM(J63:J67)-SUM(K63:K67)</f>
        <v>-262044.99095927179</v>
      </c>
      <c r="L117" s="122">
        <f t="shared" si="37"/>
        <v>-305740.06438087858</v>
      </c>
      <c r="M117" s="122">
        <f t="shared" si="37"/>
        <v>-354186.85896999203</v>
      </c>
      <c r="N117" s="164">
        <f t="shared" si="37"/>
        <v>-412844.4101133896</v>
      </c>
    </row>
    <row r="118" spans="2:14" hidden="1" outlineLevel="1" x14ac:dyDescent="0.3">
      <c r="B118" s="179" t="s">
        <v>291</v>
      </c>
      <c r="G118" s="163"/>
      <c r="H118" s="163"/>
      <c r="I118" s="163"/>
      <c r="J118" s="122">
        <f>SUM(J81:J84)-SUM(I81:I84)</f>
        <v>484599.01794518577</v>
      </c>
      <c r="K118" s="122">
        <f t="shared" ref="K118:N118" si="38">SUM(K81:K84)-SUM(J81:J84)</f>
        <v>326640.08204918075</v>
      </c>
      <c r="L118" s="122">
        <f t="shared" si="38"/>
        <v>368502.38712192001</v>
      </c>
      <c r="M118" s="122">
        <f t="shared" si="38"/>
        <v>433824.0239905864</v>
      </c>
      <c r="N118" s="164">
        <f t="shared" si="38"/>
        <v>507467.93973789923</v>
      </c>
    </row>
    <row r="119" spans="2:14" hidden="1" outlineLevel="1" x14ac:dyDescent="0.3">
      <c r="B119" s="179" t="s">
        <v>292</v>
      </c>
      <c r="G119" s="163"/>
      <c r="H119" s="163"/>
      <c r="I119" s="163"/>
      <c r="J119" s="122">
        <f>SUM(J88,J90)-SUM(I88,I90)</f>
        <v>76386.516560857883</v>
      </c>
      <c r="K119" s="122">
        <f t="shared" ref="K119:N119" si="39">SUM(K88,K90)-SUM(J88,J90)</f>
        <v>87797.55267689412</v>
      </c>
      <c r="L119" s="122">
        <f t="shared" si="39"/>
        <v>102437.483386543</v>
      </c>
      <c r="M119" s="122">
        <f t="shared" si="39"/>
        <v>118669.46700276597</v>
      </c>
      <c r="N119" s="164">
        <f t="shared" si="39"/>
        <v>138322.54038362904</v>
      </c>
    </row>
    <row r="120" spans="2:14" hidden="1" outlineLevel="1" x14ac:dyDescent="0.3">
      <c r="B120" s="176" t="s">
        <v>280</v>
      </c>
      <c r="G120" s="163"/>
      <c r="H120" s="163"/>
      <c r="I120" s="163"/>
      <c r="J120" s="124">
        <f>SUM(J110:J119)</f>
        <v>2682379.9881806271</v>
      </c>
      <c r="K120" s="124">
        <f>SUM(K110:K119)</f>
        <v>2685721.0211447002</v>
      </c>
      <c r="L120" s="124">
        <f>SUM(L110:L119)</f>
        <v>3360459.7133893589</v>
      </c>
      <c r="M120" s="124">
        <f>SUM(M110:M119)</f>
        <v>4358083.9319387767</v>
      </c>
      <c r="N120" s="167">
        <f>SUM(N110:N119)</f>
        <v>5650515.6793014724</v>
      </c>
    </row>
    <row r="121" spans="2:14" hidden="1" outlineLevel="1" x14ac:dyDescent="0.3">
      <c r="B121" s="165"/>
      <c r="G121" s="163"/>
      <c r="H121" s="163"/>
      <c r="I121" s="163"/>
      <c r="N121" s="162"/>
    </row>
    <row r="122" spans="2:14" hidden="1" outlineLevel="1" x14ac:dyDescent="0.3">
      <c r="B122" s="175" t="s">
        <v>281</v>
      </c>
      <c r="G122" s="163"/>
      <c r="H122" s="163"/>
      <c r="I122" s="163"/>
      <c r="N122" s="162"/>
    </row>
    <row r="123" spans="2:14" hidden="1" outlineLevel="1" x14ac:dyDescent="0.3">
      <c r="B123" s="177" t="s">
        <v>282</v>
      </c>
      <c r="G123" s="163"/>
      <c r="H123" s="163"/>
      <c r="I123" s="163"/>
      <c r="J123" s="122">
        <f>-Schedule!J18</f>
        <v>-124808.18139284848</v>
      </c>
      <c r="K123" s="122">
        <f>-Schedule!K18</f>
        <v>-135241.68291870918</v>
      </c>
      <c r="L123" s="122">
        <f>-Schedule!L18</f>
        <v>-146547.38651397984</v>
      </c>
      <c r="M123" s="122">
        <f>-Schedule!M18</f>
        <v>-158798.20503998487</v>
      </c>
      <c r="N123" s="164">
        <f>-Schedule!N18</f>
        <v>-172073.14660309907</v>
      </c>
    </row>
    <row r="124" spans="2:14" hidden="1" outlineLevel="1" x14ac:dyDescent="0.3">
      <c r="B124" s="177" t="s">
        <v>283</v>
      </c>
      <c r="G124" s="163"/>
      <c r="H124" s="163"/>
      <c r="I124" s="163"/>
      <c r="J124" s="122">
        <f>-Schedule!J34</f>
        <v>-90000</v>
      </c>
      <c r="K124" s="122">
        <f>-Schedule!K34</f>
        <v>-90000</v>
      </c>
      <c r="L124" s="122">
        <f>-Schedule!L34</f>
        <v>-90000</v>
      </c>
      <c r="M124" s="122">
        <f>-Schedule!M34</f>
        <v>-90000</v>
      </c>
      <c r="N124" s="164">
        <f>-Schedule!N34</f>
        <v>-90000</v>
      </c>
    </row>
    <row r="125" spans="2:14" hidden="1" outlineLevel="1" x14ac:dyDescent="0.3">
      <c r="B125" s="177" t="s">
        <v>294</v>
      </c>
      <c r="G125" s="163"/>
      <c r="H125" s="163"/>
      <c r="I125" s="163"/>
      <c r="J125" s="122">
        <f>-Schedule!J45</f>
        <v>-117755.93788280711</v>
      </c>
      <c r="K125" s="122">
        <f>-Schedule!K45</f>
        <v>-129260.6288515093</v>
      </c>
      <c r="L125" s="122">
        <f>-Schedule!L45</f>
        <v>-155362.2563964345</v>
      </c>
      <c r="M125" s="122">
        <f>-Schedule!M45</f>
        <v>-167386.57445193024</v>
      </c>
      <c r="N125" s="164">
        <f>-Schedule!N45</f>
        <v>-189144.2018498095</v>
      </c>
    </row>
    <row r="126" spans="2:14" hidden="1" outlineLevel="1" x14ac:dyDescent="0.3">
      <c r="B126" s="177" t="s">
        <v>289</v>
      </c>
      <c r="G126" s="163"/>
      <c r="H126" s="163"/>
      <c r="I126" s="163"/>
      <c r="J126" s="122">
        <f>J43</f>
        <v>38655.989349999989</v>
      </c>
      <c r="K126" s="122">
        <f t="shared" ref="K126:N126" si="40">K43</f>
        <v>50730.12073355358</v>
      </c>
      <c r="L126" s="122">
        <f t="shared" si="40"/>
        <v>68187.554369143152</v>
      </c>
      <c r="M126" s="122">
        <f t="shared" si="40"/>
        <v>92679.961497387238</v>
      </c>
      <c r="N126" s="164">
        <f t="shared" si="40"/>
        <v>127056.86621556031</v>
      </c>
    </row>
    <row r="127" spans="2:14" hidden="1" outlineLevel="1" x14ac:dyDescent="0.3">
      <c r="B127" s="176" t="s">
        <v>284</v>
      </c>
      <c r="G127" s="163"/>
      <c r="H127" s="163"/>
      <c r="I127" s="163"/>
      <c r="J127" s="124">
        <f>SUM(J123:J126)</f>
        <v>-293908.12992565561</v>
      </c>
      <c r="K127" s="124">
        <f t="shared" ref="K127:N127" si="41">SUM(K123:K126)</f>
        <v>-303772.19103666488</v>
      </c>
      <c r="L127" s="124">
        <f t="shared" si="41"/>
        <v>-323722.08854127122</v>
      </c>
      <c r="M127" s="124">
        <f t="shared" si="41"/>
        <v>-323504.81799452787</v>
      </c>
      <c r="N127" s="167">
        <f t="shared" si="41"/>
        <v>-324160.48223734827</v>
      </c>
    </row>
    <row r="128" spans="2:14" hidden="1" outlineLevel="1" x14ac:dyDescent="0.3">
      <c r="B128" s="165"/>
      <c r="G128" s="163"/>
      <c r="H128" s="163"/>
      <c r="I128" s="163"/>
      <c r="N128" s="162"/>
    </row>
    <row r="129" spans="2:19" hidden="1" outlineLevel="1" x14ac:dyDescent="0.3">
      <c r="B129" s="175" t="s">
        <v>285</v>
      </c>
      <c r="G129" s="163"/>
      <c r="H129" s="163"/>
      <c r="I129" s="163"/>
      <c r="N129" s="162"/>
    </row>
    <row r="130" spans="2:19" hidden="1" outlineLevel="1" x14ac:dyDescent="0.3">
      <c r="B130" s="165" t="s">
        <v>263</v>
      </c>
      <c r="G130" s="163"/>
      <c r="H130" s="163"/>
      <c r="I130" s="163"/>
      <c r="J130" s="122">
        <f>Schedule!J94</f>
        <v>1000</v>
      </c>
      <c r="K130" s="122">
        <f>Schedule!K94</f>
        <v>1000</v>
      </c>
      <c r="L130" s="122">
        <f>Schedule!L94</f>
        <v>1000</v>
      </c>
      <c r="M130" s="122">
        <f>Schedule!M94</f>
        <v>1000</v>
      </c>
      <c r="N130" s="164">
        <f>Schedule!N94</f>
        <v>1000</v>
      </c>
    </row>
    <row r="131" spans="2:19" hidden="1" outlineLevel="1" x14ac:dyDescent="0.3">
      <c r="B131" s="165" t="s">
        <v>265</v>
      </c>
      <c r="G131" s="163"/>
      <c r="H131" s="163"/>
      <c r="I131" s="163"/>
      <c r="J131" s="122">
        <f>Schedule!J95</f>
        <v>-3000</v>
      </c>
      <c r="K131" s="122">
        <f>Schedule!K95</f>
        <v>-2850</v>
      </c>
      <c r="L131" s="122">
        <f>Schedule!L95</f>
        <v>-2450</v>
      </c>
      <c r="M131" s="122">
        <f>Schedule!M95</f>
        <v>-2250</v>
      </c>
      <c r="N131" s="164">
        <f>Schedule!N95</f>
        <v>-2200</v>
      </c>
    </row>
    <row r="132" spans="2:19" hidden="1" outlineLevel="1" x14ac:dyDescent="0.3">
      <c r="B132" s="165" t="s">
        <v>156</v>
      </c>
      <c r="G132" s="163"/>
      <c r="H132" s="163"/>
      <c r="I132" s="163"/>
      <c r="J132" s="122">
        <f>-Schedule!J99</f>
        <v>-766.55250000000001</v>
      </c>
      <c r="K132" s="122">
        <f>-Schedule!K99</f>
        <v>-665.49</v>
      </c>
      <c r="L132" s="122">
        <f>-Schedule!L99</f>
        <v>-578.86500000000001</v>
      </c>
      <c r="M132" s="122">
        <f>-Schedule!M99</f>
        <v>-507.99</v>
      </c>
      <c r="N132" s="164">
        <f>-Schedule!N99</f>
        <v>-443.67750000000001</v>
      </c>
    </row>
    <row r="133" spans="2:19" hidden="1" outlineLevel="1" x14ac:dyDescent="0.3">
      <c r="B133" s="176" t="s">
        <v>286</v>
      </c>
      <c r="G133" s="163"/>
      <c r="H133" s="163"/>
      <c r="I133" s="163"/>
      <c r="J133" s="124">
        <f>SUM(J130:J132)</f>
        <v>-2766.5524999999998</v>
      </c>
      <c r="K133" s="124">
        <f t="shared" ref="K133:N133" si="42">SUM(K130:K132)</f>
        <v>-2515.4899999999998</v>
      </c>
      <c r="L133" s="124">
        <f t="shared" si="42"/>
        <v>-2028.865</v>
      </c>
      <c r="M133" s="124">
        <f t="shared" si="42"/>
        <v>-1757.99</v>
      </c>
      <c r="N133" s="167">
        <f t="shared" si="42"/>
        <v>-1643.6775</v>
      </c>
    </row>
    <row r="134" spans="2:19" hidden="1" outlineLevel="1" x14ac:dyDescent="0.3">
      <c r="B134" s="165"/>
      <c r="G134" s="163"/>
      <c r="H134" s="163"/>
      <c r="I134" s="163"/>
      <c r="N134" s="162"/>
    </row>
    <row r="135" spans="2:19" hidden="1" outlineLevel="1" x14ac:dyDescent="0.3">
      <c r="B135" s="176" t="s">
        <v>287</v>
      </c>
      <c r="G135" s="163"/>
      <c r="H135" s="163"/>
      <c r="I135" s="163"/>
      <c r="J135" s="134">
        <f>J120+J127+J133</f>
        <v>2385705.3057549712</v>
      </c>
      <c r="K135" s="134">
        <f>K120+K127+K133</f>
        <v>2379433.3401080351</v>
      </c>
      <c r="L135" s="134">
        <f>L120+L127+L133</f>
        <v>3034708.7598480876</v>
      </c>
      <c r="M135" s="134">
        <f>M120+M127+M133</f>
        <v>4032821.1239442485</v>
      </c>
      <c r="N135" s="168">
        <f>N120+N127+N133</f>
        <v>5324711.5195641238</v>
      </c>
    </row>
    <row r="136" spans="2:19" hidden="1" outlineLevel="1" x14ac:dyDescent="0.3">
      <c r="B136" s="165"/>
      <c r="G136" s="163"/>
      <c r="H136" s="163"/>
      <c r="I136" s="163"/>
      <c r="N136" s="162"/>
    </row>
    <row r="137" spans="2:19" hidden="1" outlineLevel="1" x14ac:dyDescent="0.3">
      <c r="B137" s="176" t="s">
        <v>301</v>
      </c>
      <c r="G137" s="163"/>
      <c r="H137" s="163"/>
      <c r="I137" s="163"/>
      <c r="J137" s="122">
        <f>I62</f>
        <v>3896532</v>
      </c>
      <c r="K137" s="122">
        <f>J138</f>
        <v>6282237.3057549708</v>
      </c>
      <c r="L137" s="122">
        <f t="shared" ref="L137:N137" si="43">K138</f>
        <v>8661670.6458630059</v>
      </c>
      <c r="M137" s="122">
        <f t="shared" si="43"/>
        <v>11696379.405711094</v>
      </c>
      <c r="N137" s="164">
        <f t="shared" si="43"/>
        <v>15729200.529655343</v>
      </c>
    </row>
    <row r="138" spans="2:19" ht="14.4" hidden="1" outlineLevel="1" thickBot="1" x14ac:dyDescent="0.35">
      <c r="B138" s="176" t="s">
        <v>288</v>
      </c>
      <c r="G138" s="163"/>
      <c r="H138" s="163"/>
      <c r="I138" s="163"/>
      <c r="J138" s="135">
        <f>J135+J137</f>
        <v>6282237.3057549708</v>
      </c>
      <c r="K138" s="135">
        <f t="shared" ref="K138:N138" si="44">K135+K137</f>
        <v>8661670.6458630059</v>
      </c>
      <c r="L138" s="135">
        <f t="shared" si="44"/>
        <v>11696379.405711094</v>
      </c>
      <c r="M138" s="135">
        <f t="shared" si="44"/>
        <v>15729200.529655343</v>
      </c>
      <c r="N138" s="169">
        <f t="shared" si="44"/>
        <v>21053912.049219467</v>
      </c>
    </row>
    <row r="139" spans="2:19" collapsed="1" x14ac:dyDescent="0.3">
      <c r="B139" s="170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2"/>
    </row>
    <row r="140" spans="2:19" ht="14.4" x14ac:dyDescent="0.3">
      <c r="B140" s="40" t="s">
        <v>52</v>
      </c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</row>
  </sheetData>
  <mergeCells count="4">
    <mergeCell ref="G6:I6"/>
    <mergeCell ref="J6:N6"/>
    <mergeCell ref="O6:P6"/>
    <mergeCell ref="Q6:S7"/>
  </mergeCells>
  <hyperlinks>
    <hyperlink ref="B9" location="Dashboard!A1" display="&lt;-Back to dashboard" xr:uid="{344A16CC-67D3-41F6-BC16-98B2BE8FE9C8}"/>
    <hyperlink ref="C11" location="IS" display="Income statement" xr:uid="{D38B6B31-CE04-4CD4-9AD4-16C97AFD996F}"/>
    <hyperlink ref="E11" location="BS" display="Balance statement" xr:uid="{4D342354-E44F-4C26-B18E-5323D72A4B93}"/>
    <hyperlink ref="B140" location="Statements!A8" display="&lt;- Go back to the top" xr:uid="{01C862AD-BBFF-44E1-A1C3-BBE9E7A273DE}"/>
  </hyperlinks>
  <pageMargins left="0.7" right="0.7" top="0.75" bottom="0.75" header="0.3" footer="0.3"/>
  <ignoredErrors>
    <ignoredError sqref="J11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C779-B767-4076-B300-FA107F1CBF6C}">
  <sheetPr>
    <pageSetUpPr autoPageBreaks="0"/>
  </sheetPr>
  <dimension ref="A1:T128"/>
  <sheetViews>
    <sheetView showGridLines="0" topLeftCell="A13" zoomScaleNormal="100" workbookViewId="0">
      <selection activeCell="I77" sqref="I77"/>
    </sheetView>
  </sheetViews>
  <sheetFormatPr defaultRowHeight="13.8" x14ac:dyDescent="0.3"/>
  <cols>
    <col min="1" max="1" width="1.88671875" style="13" customWidth="1"/>
    <col min="2" max="2" width="8.88671875" style="13"/>
    <col min="3" max="3" width="7.109375" style="13" customWidth="1"/>
    <col min="4" max="4" width="11.88671875" style="13" customWidth="1"/>
    <col min="5" max="5" width="10.44140625" style="13" customWidth="1"/>
    <col min="6" max="6" width="7.44140625" style="13" customWidth="1"/>
    <col min="7" max="14" width="11.6640625" style="13" customWidth="1"/>
    <col min="15" max="15" width="10.88671875" style="13" bestFit="1" customWidth="1"/>
    <col min="16" max="16" width="11.21875" style="13" bestFit="1" customWidth="1"/>
    <col min="17" max="17" width="10" style="13" customWidth="1"/>
    <col min="18" max="20" width="13.88671875" style="13" customWidth="1"/>
    <col min="21" max="16384" width="8.88671875" style="13"/>
  </cols>
  <sheetData>
    <row r="1" spans="1:20" s="18" customFormat="1" ht="14.4" x14ac:dyDescent="0.3"/>
    <row r="2" spans="1:20" s="18" customFormat="1" ht="15.6" x14ac:dyDescent="0.3">
      <c r="A2" s="19"/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s="18" customFormat="1" ht="14.4" x14ac:dyDescent="0.3">
      <c r="B3" s="64" t="s">
        <v>37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s="18" customFormat="1" ht="14.4" x14ac:dyDescent="0.3">
      <c r="B4" s="7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0" s="18" customFormat="1" ht="14.4" x14ac:dyDescent="0.3">
      <c r="B5" s="10" t="s">
        <v>39</v>
      </c>
      <c r="C5" s="21"/>
      <c r="D5" s="10" t="str">
        <f>Dashboard!G14</f>
        <v>N/A</v>
      </c>
      <c r="E5" s="21"/>
      <c r="F5" s="21"/>
      <c r="G5" s="24"/>
      <c r="H5" s="24"/>
      <c r="I5" s="24"/>
      <c r="J5" s="24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0" s="18" customFormat="1" ht="14.4" x14ac:dyDescent="0.3">
      <c r="B6" s="10" t="s">
        <v>1</v>
      </c>
      <c r="C6" s="25"/>
      <c r="D6" s="25"/>
      <c r="E6" s="25"/>
      <c r="F6" s="26"/>
      <c r="G6" s="483" t="s">
        <v>170</v>
      </c>
      <c r="H6" s="484"/>
      <c r="I6" s="485"/>
      <c r="J6" s="483" t="s">
        <v>3</v>
      </c>
      <c r="K6" s="484"/>
      <c r="L6" s="484"/>
      <c r="M6" s="484"/>
      <c r="N6" s="485"/>
      <c r="O6" s="486" t="s">
        <v>31</v>
      </c>
      <c r="P6" s="487"/>
      <c r="Q6" s="488" t="s">
        <v>18</v>
      </c>
      <c r="R6" s="489"/>
      <c r="S6" s="489"/>
      <c r="T6" s="489"/>
    </row>
    <row r="7" spans="1:20" s="18" customFormat="1" ht="14.4" x14ac:dyDescent="0.3">
      <c r="B7" s="10" t="s">
        <v>2</v>
      </c>
      <c r="C7" s="25"/>
      <c r="D7" s="25"/>
      <c r="E7" s="25"/>
      <c r="F7" s="25"/>
      <c r="G7" s="109">
        <v>44865</v>
      </c>
      <c r="H7" s="109">
        <f t="shared" ref="H7:N7" si="0">EDATE(G7,12)</f>
        <v>45230</v>
      </c>
      <c r="I7" s="109">
        <f t="shared" si="0"/>
        <v>45596</v>
      </c>
      <c r="J7" s="110">
        <f t="shared" si="0"/>
        <v>45961</v>
      </c>
      <c r="K7" s="110">
        <f t="shared" si="0"/>
        <v>46326</v>
      </c>
      <c r="L7" s="110">
        <f t="shared" si="0"/>
        <v>46691</v>
      </c>
      <c r="M7" s="110">
        <f t="shared" si="0"/>
        <v>47057</v>
      </c>
      <c r="N7" s="110">
        <f t="shared" si="0"/>
        <v>47422</v>
      </c>
      <c r="O7" s="30" t="s">
        <v>172</v>
      </c>
      <c r="P7" s="31" t="s">
        <v>173</v>
      </c>
      <c r="Q7" s="490"/>
      <c r="R7" s="491"/>
      <c r="S7" s="491"/>
      <c r="T7" s="491"/>
    </row>
    <row r="9" spans="1:20" ht="14.4" x14ac:dyDescent="0.3">
      <c r="B9" s="34" t="s">
        <v>47</v>
      </c>
    </row>
    <row r="10" spans="1:20" ht="14.4" x14ac:dyDescent="0.3">
      <c r="B10" s="34"/>
    </row>
    <row r="11" spans="1:20" ht="14.4" x14ac:dyDescent="0.3">
      <c r="B11" s="34" t="s">
        <v>53</v>
      </c>
      <c r="C11" s="35" t="s">
        <v>55</v>
      </c>
      <c r="E11" s="101" t="s">
        <v>56</v>
      </c>
      <c r="G11" s="128" t="s">
        <v>223</v>
      </c>
    </row>
    <row r="13" spans="1:20" ht="14.4" x14ac:dyDescent="0.3">
      <c r="A13" s="13" t="s">
        <v>33</v>
      </c>
      <c r="B13" s="150" t="s">
        <v>38</v>
      </c>
      <c r="C13" s="151"/>
      <c r="D13" s="151"/>
      <c r="E13" s="151"/>
      <c r="F13" s="151"/>
      <c r="G13" s="152">
        <v>44865</v>
      </c>
      <c r="H13" s="152">
        <v>45230</v>
      </c>
      <c r="I13" s="152">
        <v>45596</v>
      </c>
      <c r="J13" s="153">
        <v>45961</v>
      </c>
      <c r="K13" s="153">
        <v>46326</v>
      </c>
      <c r="L13" s="153">
        <v>46691</v>
      </c>
      <c r="M13" s="153">
        <v>47057</v>
      </c>
      <c r="N13" s="154">
        <v>47422</v>
      </c>
      <c r="O13" s="41"/>
      <c r="P13" s="41"/>
      <c r="Q13" s="41"/>
      <c r="R13" s="41"/>
      <c r="S13" s="41"/>
      <c r="T13" s="41"/>
    </row>
    <row r="14" spans="1:20" x14ac:dyDescent="0.3">
      <c r="B14" s="74"/>
      <c r="N14" s="162"/>
    </row>
    <row r="15" spans="1:20" s="39" customFormat="1" x14ac:dyDescent="0.3">
      <c r="B15" s="157" t="s">
        <v>142</v>
      </c>
      <c r="G15" s="384">
        <f>Statements!G23</f>
        <v>2657724</v>
      </c>
      <c r="H15" s="384">
        <f>Statements!H23</f>
        <v>3016256</v>
      </c>
      <c r="I15" s="384">
        <f>Statements!I23</f>
        <v>3224299</v>
      </c>
      <c r="J15" s="375">
        <v>3489609</v>
      </c>
      <c r="K15" s="107">
        <f>J15*(1+K16)</f>
        <v>3782736.1560000004</v>
      </c>
      <c r="L15" s="107">
        <f t="shared" ref="L15:N15" si="1">K15*(1+L16)</f>
        <v>4119399.6738840002</v>
      </c>
      <c r="M15" s="107">
        <f t="shared" si="1"/>
        <v>4494265.0442074444</v>
      </c>
      <c r="N15" s="139">
        <f t="shared" si="1"/>
        <v>4916725.9583629444</v>
      </c>
    </row>
    <row r="16" spans="1:20" s="39" customFormat="1" x14ac:dyDescent="0.3">
      <c r="B16" s="330" t="s">
        <v>215</v>
      </c>
      <c r="G16" s="107"/>
      <c r="H16" s="327">
        <f>H15/G15-1</f>
        <v>0.13490189349985182</v>
      </c>
      <c r="I16" s="327">
        <f t="shared" ref="I16:J16" si="2">I15/H15-1</f>
        <v>6.8973919985571452E-2</v>
      </c>
      <c r="J16" s="327">
        <f t="shared" si="2"/>
        <v>8.2284552394179311E-2</v>
      </c>
      <c r="K16" s="382">
        <v>8.4000000000000005E-2</v>
      </c>
      <c r="L16" s="382">
        <v>8.8999999999999996E-2</v>
      </c>
      <c r="M16" s="382">
        <v>9.0999999999999998E-2</v>
      </c>
      <c r="N16" s="383">
        <v>9.4E-2</v>
      </c>
    </row>
    <row r="17" spans="1:20" s="39" customFormat="1" x14ac:dyDescent="0.3">
      <c r="B17" s="157" t="s">
        <v>141</v>
      </c>
      <c r="G17" s="384">
        <f>Statements!G24</f>
        <v>1221240</v>
      </c>
      <c r="H17" s="384">
        <f>Statements!H24</f>
        <v>1400125</v>
      </c>
      <c r="I17" s="384">
        <f>Statements!I24</f>
        <v>1802222</v>
      </c>
      <c r="J17" s="375">
        <v>2010602</v>
      </c>
      <c r="K17" s="107">
        <f>J17*(1+K18)</f>
        <v>2261927.25</v>
      </c>
      <c r="L17" s="107">
        <f t="shared" ref="L17" si="3">K17*(1+L18)</f>
        <v>2560501.6470000003</v>
      </c>
      <c r="M17" s="107">
        <f t="shared" ref="M17" si="4">L17*(1+M18)</f>
        <v>2921532.3792270003</v>
      </c>
      <c r="N17" s="139">
        <f t="shared" ref="N17" si="5">M17*(1+N18)</f>
        <v>3356840.7037318232</v>
      </c>
    </row>
    <row r="18" spans="1:20" s="39" customFormat="1" x14ac:dyDescent="0.3">
      <c r="B18" s="330" t="s">
        <v>216</v>
      </c>
      <c r="G18" s="107"/>
      <c r="H18" s="327">
        <f>H17/G17-1</f>
        <v>0.14647816972912775</v>
      </c>
      <c r="I18" s="327">
        <f t="shared" ref="I18" si="6">I17/H17-1</f>
        <v>0.28718650120524947</v>
      </c>
      <c r="J18" s="327">
        <f t="shared" ref="J18" si="7">J17/I17-1</f>
        <v>0.11562393534203896</v>
      </c>
      <c r="K18" s="382">
        <v>0.125</v>
      </c>
      <c r="L18" s="382">
        <v>0.13200000000000001</v>
      </c>
      <c r="M18" s="382">
        <v>0.14099999999999999</v>
      </c>
      <c r="N18" s="383">
        <v>0.14899999999999999</v>
      </c>
    </row>
    <row r="19" spans="1:20" s="39" customFormat="1" x14ac:dyDescent="0.3">
      <c r="B19" s="158" t="s">
        <v>143</v>
      </c>
      <c r="G19" s="108">
        <f t="shared" ref="G19:I19" si="8">SUM(G15:G17)</f>
        <v>3878964</v>
      </c>
      <c r="H19" s="108">
        <f t="shared" si="8"/>
        <v>4416381.1349018933</v>
      </c>
      <c r="I19" s="108">
        <f t="shared" si="8"/>
        <v>5026521.0689739194</v>
      </c>
      <c r="J19" s="108">
        <f>SUM(J15:J17)</f>
        <v>5500211.082284553</v>
      </c>
      <c r="K19" s="108">
        <f>K15+K17</f>
        <v>6044663.4060000004</v>
      </c>
      <c r="L19" s="108">
        <f t="shared" ref="L19:N19" si="9">L15+L17</f>
        <v>6679901.3208840005</v>
      </c>
      <c r="M19" s="108">
        <f t="shared" si="9"/>
        <v>7415797.4234344447</v>
      </c>
      <c r="N19" s="140">
        <f t="shared" si="9"/>
        <v>8273566.6620947681</v>
      </c>
      <c r="O19" s="119">
        <f>_xlfn.RRI(2,G19,I19)</f>
        <v>0.13835017626774704</v>
      </c>
      <c r="P19" s="119">
        <f>_xlfn.RRI(4,J19,N19)</f>
        <v>0.10746077619331218</v>
      </c>
    </row>
    <row r="20" spans="1:20" s="39" customFormat="1" x14ac:dyDescent="0.3">
      <c r="B20" s="331" t="s">
        <v>217</v>
      </c>
      <c r="G20" s="108"/>
      <c r="H20" s="327">
        <f>H19/G19-1</f>
        <v>0.13854656421196321</v>
      </c>
      <c r="I20" s="327">
        <f t="shared" ref="I20" si="10">I19/H19-1</f>
        <v>0.13815382219849548</v>
      </c>
      <c r="J20" s="327">
        <f t="shared" ref="J20" si="11">J19/I19-1</f>
        <v>9.423814340189951E-2</v>
      </c>
      <c r="K20" s="327">
        <f t="shared" ref="K20" si="12">K19/J19-1</f>
        <v>9.8987532581986892E-2</v>
      </c>
      <c r="L20" s="327">
        <f t="shared" ref="L20" si="13">L19/K19-1</f>
        <v>0.10509070103944174</v>
      </c>
      <c r="M20" s="327">
        <f t="shared" ref="M20" si="14">M19/L19-1</f>
        <v>0.11016571461164304</v>
      </c>
      <c r="N20" s="328">
        <f t="shared" ref="N20" si="15">N19/M19-1</f>
        <v>0.11566783579466611</v>
      </c>
    </row>
    <row r="21" spans="1:20" s="39" customFormat="1" x14ac:dyDescent="0.3">
      <c r="B21" s="157" t="s">
        <v>144</v>
      </c>
      <c r="G21" s="384">
        <f>Statements!G26</f>
        <v>736750</v>
      </c>
      <c r="H21" s="384">
        <f>Statements!H26</f>
        <v>901633</v>
      </c>
      <c r="I21" s="384">
        <f>Statements!I26</f>
        <v>1100915</v>
      </c>
      <c r="J21" s="375">
        <v>1553967</v>
      </c>
      <c r="K21" s="107">
        <f>J21*(1+K22)</f>
        <v>1997543.9339811071</v>
      </c>
      <c r="L21" s="107">
        <f t="shared" ref="L21" si="16">K21*(1+L22)</f>
        <v>2578829.218769609</v>
      </c>
      <c r="M21" s="107">
        <f t="shared" ref="M21" si="17">L21*(1+M22)</f>
        <v>3355056.8136192611</v>
      </c>
      <c r="N21" s="139">
        <f t="shared" ref="N21" si="18">M21*(1+N22)</f>
        <v>4388414.3122139936</v>
      </c>
    </row>
    <row r="22" spans="1:20" s="39" customFormat="1" x14ac:dyDescent="0.3">
      <c r="B22" s="330" t="s">
        <v>218</v>
      </c>
      <c r="G22" s="107"/>
      <c r="H22" s="327">
        <f>H21/G21-1</f>
        <v>0.22379776043433997</v>
      </c>
      <c r="I22" s="327">
        <f t="shared" ref="I22" si="19">I21/H21-1</f>
        <v>0.22102340974653778</v>
      </c>
      <c r="J22" s="327">
        <f t="shared" ref="J22" si="20">J21/I21-1</f>
        <v>0.41152314211360541</v>
      </c>
      <c r="K22" s="327">
        <f>AVERAGE(H22:J22)</f>
        <v>0.28544810409816107</v>
      </c>
      <c r="L22" s="382">
        <v>0.29099999999999998</v>
      </c>
      <c r="M22" s="382">
        <v>0.30099999999999999</v>
      </c>
      <c r="N22" s="383">
        <v>0.308</v>
      </c>
    </row>
    <row r="23" spans="1:20" s="39" customFormat="1" x14ac:dyDescent="0.3">
      <c r="B23" s="158" t="s">
        <v>145</v>
      </c>
      <c r="G23" s="108">
        <f t="shared" ref="G23:I23" si="21">SUM(G19:G21)</f>
        <v>4615714</v>
      </c>
      <c r="H23" s="108">
        <f t="shared" si="21"/>
        <v>5318014.2734484579</v>
      </c>
      <c r="I23" s="108">
        <f t="shared" si="21"/>
        <v>6127436.2071277415</v>
      </c>
      <c r="J23" s="108">
        <f>SUM(J19:J21)</f>
        <v>7054178.1765226964</v>
      </c>
      <c r="K23" s="108">
        <f>K19+K21</f>
        <v>8042207.339981107</v>
      </c>
      <c r="L23" s="108">
        <f t="shared" ref="L23:N23" si="22">L19+L21</f>
        <v>9258730.5396536104</v>
      </c>
      <c r="M23" s="108">
        <f t="shared" si="22"/>
        <v>10770854.237053705</v>
      </c>
      <c r="N23" s="140">
        <f t="shared" si="22"/>
        <v>12661980.974308763</v>
      </c>
      <c r="O23" s="119">
        <f>_xlfn.RRI(2,G23,I23)</f>
        <v>0.15217899555056147</v>
      </c>
      <c r="P23" s="119">
        <f>_xlfn.RRI(4,J23,N23)</f>
        <v>0.1574808323050243</v>
      </c>
    </row>
    <row r="24" spans="1:20" s="39" customFormat="1" x14ac:dyDescent="0.3">
      <c r="B24" s="331" t="s">
        <v>219</v>
      </c>
      <c r="H24" s="327">
        <f>H23/G23-1</f>
        <v>0.15215420050905615</v>
      </c>
      <c r="I24" s="327">
        <f t="shared" ref="I24" si="23">I23/H23-1</f>
        <v>0.15220379112567062</v>
      </c>
      <c r="J24" s="327">
        <f t="shared" ref="J24" si="24">J23/I23-1</f>
        <v>0.15124465405562648</v>
      </c>
      <c r="K24" s="327">
        <f t="shared" ref="K24" si="25">K23/J23-1</f>
        <v>0.14006297243053933</v>
      </c>
      <c r="L24" s="327">
        <f t="shared" ref="L24" si="26">L23/K23-1</f>
        <v>0.15126732602685689</v>
      </c>
      <c r="M24" s="327">
        <f t="shared" ref="M24" si="27">M23/L23-1</f>
        <v>0.1633186850966144</v>
      </c>
      <c r="N24" s="328">
        <f t="shared" ref="N24" si="28">N23/M23-1</f>
        <v>0.1755781570926136</v>
      </c>
    </row>
    <row r="25" spans="1:20" s="39" customFormat="1" x14ac:dyDescent="0.3">
      <c r="B25" s="155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9"/>
    </row>
    <row r="26" spans="1:20" s="39" customFormat="1" x14ac:dyDescent="0.3"/>
    <row r="27" spans="1:20" ht="14.4" x14ac:dyDescent="0.3">
      <c r="A27" s="18" t="s">
        <v>33</v>
      </c>
      <c r="B27" s="150" t="s">
        <v>40</v>
      </c>
      <c r="C27" s="151"/>
      <c r="D27" s="339"/>
      <c r="E27" s="151"/>
      <c r="F27" s="151"/>
      <c r="G27" s="152">
        <v>44865</v>
      </c>
      <c r="H27" s="152">
        <v>45230</v>
      </c>
      <c r="I27" s="152">
        <v>45596</v>
      </c>
      <c r="J27" s="153">
        <v>45961</v>
      </c>
      <c r="K27" s="153">
        <v>46326</v>
      </c>
      <c r="L27" s="153">
        <v>46691</v>
      </c>
      <c r="M27" s="153">
        <v>47057</v>
      </c>
      <c r="N27" s="154">
        <v>47422</v>
      </c>
      <c r="O27" s="36"/>
      <c r="P27" s="36"/>
      <c r="Q27" s="36"/>
      <c r="R27" s="36"/>
      <c r="S27" s="36"/>
      <c r="T27" s="36"/>
    </row>
    <row r="28" spans="1:20" s="18" customFormat="1" ht="14.4" x14ac:dyDescent="0.3">
      <c r="B28" s="332"/>
      <c r="N28" s="333"/>
    </row>
    <row r="29" spans="1:20" s="18" customFormat="1" ht="14.4" x14ac:dyDescent="0.3">
      <c r="B29" s="157" t="s">
        <v>146</v>
      </c>
      <c r="G29" s="384">
        <f>Statements!G29</f>
        <v>594007</v>
      </c>
      <c r="H29" s="384">
        <f>Statements!H29</f>
        <v>697686</v>
      </c>
      <c r="I29" s="384">
        <f>Statements!I29</f>
        <v>770238</v>
      </c>
      <c r="J29" s="375">
        <v>867165</v>
      </c>
      <c r="K29" s="107">
        <f>J29*(1+K30)</f>
        <v>984050.60757704545</v>
      </c>
      <c r="L29" s="107">
        <f t="shared" ref="L29" si="29">K29*(1+L30)</f>
        <v>1103652.2176983738</v>
      </c>
      <c r="M29" s="107">
        <f t="shared" ref="M29" si="30">L29*(1+M30)</f>
        <v>1244246.8157575028</v>
      </c>
      <c r="N29" s="139">
        <f t="shared" ref="N29" si="31">M29*(1+N30)</f>
        <v>1403394.6579713735</v>
      </c>
    </row>
    <row r="30" spans="1:20" s="18" customFormat="1" ht="14.4" x14ac:dyDescent="0.3">
      <c r="B30" s="330" t="s">
        <v>220</v>
      </c>
      <c r="H30" s="327">
        <f>H29/G29-1</f>
        <v>0.17454171415488373</v>
      </c>
      <c r="I30" s="327">
        <f t="shared" ref="I30:J30" si="32">I29/H29-1</f>
        <v>0.10398947377473533</v>
      </c>
      <c r="J30" s="327">
        <f t="shared" si="32"/>
        <v>0.12584032467886552</v>
      </c>
      <c r="K30" s="327">
        <f>AVERAGE(H30:J30)</f>
        <v>0.1347905042028282</v>
      </c>
      <c r="L30" s="327">
        <f t="shared" ref="L30" si="33">AVERAGE(I30:K30)</f>
        <v>0.12154010088547636</v>
      </c>
      <c r="M30" s="327">
        <f t="shared" ref="M30" si="34">AVERAGE(J30:L30)</f>
        <v>0.12739030992239003</v>
      </c>
      <c r="N30" s="328">
        <f t="shared" ref="N30" si="35">AVERAGE(K30:M30)</f>
        <v>0.12790697167023155</v>
      </c>
    </row>
    <row r="31" spans="1:20" s="18" customFormat="1" ht="14.4" x14ac:dyDescent="0.3">
      <c r="B31" s="157" t="s">
        <v>144</v>
      </c>
      <c r="G31" s="384">
        <f>Statements!G30</f>
        <v>259332</v>
      </c>
      <c r="H31" s="384">
        <f>Statements!H30</f>
        <v>287876</v>
      </c>
      <c r="I31" s="384">
        <f>Statements!I30</f>
        <v>367055</v>
      </c>
      <c r="J31" s="375">
        <v>444526</v>
      </c>
      <c r="K31" s="107">
        <f>J31*(1+K32)</f>
        <v>511204.89999999997</v>
      </c>
      <c r="L31" s="107">
        <f t="shared" ref="L31" si="36">K31*(1+L32)</f>
        <v>592997.68399999989</v>
      </c>
      <c r="M31" s="107">
        <f t="shared" ref="M31" si="37">L31*(1+M32)</f>
        <v>693807.29027999984</v>
      </c>
      <c r="N31" s="139">
        <f t="shared" ref="N31" si="38">M31*(1+N32)</f>
        <v>818692.6025303998</v>
      </c>
    </row>
    <row r="32" spans="1:20" s="18" customFormat="1" ht="14.4" x14ac:dyDescent="0.3">
      <c r="B32" s="330" t="s">
        <v>218</v>
      </c>
      <c r="H32" s="327">
        <f>H31/G31-1</f>
        <v>0.11006740394552161</v>
      </c>
      <c r="I32" s="327">
        <f t="shared" ref="I32:J32" si="39">I31/H31-1</f>
        <v>0.27504550570384478</v>
      </c>
      <c r="J32" s="327">
        <f t="shared" si="39"/>
        <v>0.21106101265477917</v>
      </c>
      <c r="K32" s="382">
        <v>0.15</v>
      </c>
      <c r="L32" s="327">
        <f>K32+($N$32-$K$32)/3</f>
        <v>0.16</v>
      </c>
      <c r="M32" s="327">
        <f>L32+($N$32-$K$32)/3</f>
        <v>0.17</v>
      </c>
      <c r="N32" s="383">
        <v>0.18</v>
      </c>
    </row>
    <row r="33" spans="1:20" s="18" customFormat="1" ht="14.4" x14ac:dyDescent="0.3">
      <c r="B33" s="157" t="s">
        <v>147</v>
      </c>
      <c r="G33" s="384">
        <f>Statements!G31</f>
        <v>44674</v>
      </c>
      <c r="H33" s="384">
        <f>Statements!H31</f>
        <v>45281</v>
      </c>
      <c r="I33" s="384">
        <f>Statements!I31</f>
        <v>107996</v>
      </c>
      <c r="J33" s="375">
        <v>311858</v>
      </c>
      <c r="K33" s="107">
        <f>J33*(1+K34)</f>
        <v>316535.87</v>
      </c>
      <c r="L33" s="107">
        <f t="shared" ref="L33" si="40">K33*(1+L34)</f>
        <v>321283.90804999997</v>
      </c>
      <c r="M33" s="107">
        <f t="shared" ref="M33" si="41">L33*(1+M34)</f>
        <v>326103.16667074995</v>
      </c>
      <c r="N33" s="139">
        <f t="shared" ref="N33" si="42">M33*(1+N34)</f>
        <v>330994.71417081117</v>
      </c>
    </row>
    <row r="34" spans="1:20" s="18" customFormat="1" ht="14.4" x14ac:dyDescent="0.3">
      <c r="B34" s="330" t="s">
        <v>221</v>
      </c>
      <c r="H34" s="327">
        <f>H33/G33-1</f>
        <v>1.3587321484532344E-2</v>
      </c>
      <c r="I34" s="327">
        <f t="shared" ref="I34:J34" si="43">I33/H33-1</f>
        <v>1.3850179987191096</v>
      </c>
      <c r="J34" s="327">
        <f t="shared" si="43"/>
        <v>1.8876810252231566</v>
      </c>
      <c r="K34" s="382">
        <v>1.4999999999999999E-2</v>
      </c>
      <c r="L34" s="382">
        <v>1.4999999999999999E-2</v>
      </c>
      <c r="M34" s="382">
        <v>1.4999999999999999E-2</v>
      </c>
      <c r="N34" s="383">
        <v>1.4999999999999999E-2</v>
      </c>
    </row>
    <row r="35" spans="1:20" s="18" customFormat="1" ht="14.4" x14ac:dyDescent="0.3">
      <c r="B35" s="158" t="s">
        <v>148</v>
      </c>
      <c r="G35" s="108">
        <f>Statements!G32</f>
        <v>898013</v>
      </c>
      <c r="H35" s="108">
        <f>Statements!H32</f>
        <v>1030843</v>
      </c>
      <c r="I35" s="108">
        <f>Statements!I32</f>
        <v>1245289</v>
      </c>
      <c r="J35" s="334">
        <f>J29+J31+J33</f>
        <v>1623549</v>
      </c>
      <c r="K35" s="334">
        <f t="shared" ref="K35:N35" si="44">K29+K31+K33</f>
        <v>1811791.3775770455</v>
      </c>
      <c r="L35" s="334">
        <f t="shared" si="44"/>
        <v>2017933.8097483737</v>
      </c>
      <c r="M35" s="334">
        <f t="shared" si="44"/>
        <v>2264157.2727082525</v>
      </c>
      <c r="N35" s="335">
        <f t="shared" si="44"/>
        <v>2553081.9746725843</v>
      </c>
      <c r="O35" s="119">
        <f>_xlfn.RRI(2,G35,I35)</f>
        <v>0.17758906466766611</v>
      </c>
      <c r="P35" s="119">
        <f>_xlfn.RRI(4,J35,N35)</f>
        <v>0.11982417712280036</v>
      </c>
    </row>
    <row r="36" spans="1:20" s="18" customFormat="1" ht="14.4" x14ac:dyDescent="0.3">
      <c r="B36" s="331" t="s">
        <v>222</v>
      </c>
      <c r="H36" s="327">
        <f>H35/G35-1</f>
        <v>0.14791545333976241</v>
      </c>
      <c r="I36" s="327">
        <f t="shared" ref="I36:J36" si="45">I35/H35-1</f>
        <v>0.20802973876720321</v>
      </c>
      <c r="J36" s="327">
        <f t="shared" si="45"/>
        <v>0.30375278349041879</v>
      </c>
      <c r="K36" s="327">
        <f t="shared" ref="K36" si="46">K35/J35-1</f>
        <v>0.11594499308431439</v>
      </c>
      <c r="L36" s="327">
        <f t="shared" ref="L36" si="47">L35/K35-1</f>
        <v>0.11377823888697813</v>
      </c>
      <c r="M36" s="327">
        <f t="shared" ref="M36" si="48">M35/L35-1</f>
        <v>0.12201761116762389</v>
      </c>
      <c r="N36" s="328">
        <f t="shared" ref="N36" si="49">N35/M35-1</f>
        <v>0.12760805331280589</v>
      </c>
    </row>
    <row r="37" spans="1:20" s="18" customFormat="1" ht="14.4" x14ac:dyDescent="0.3">
      <c r="B37" s="336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8"/>
    </row>
    <row r="38" spans="1:20" s="18" customFormat="1" ht="14.4" x14ac:dyDescent="0.3"/>
    <row r="39" spans="1:20" s="18" customFormat="1" ht="14.4" x14ac:dyDescent="0.3">
      <c r="A39" s="18" t="s">
        <v>33</v>
      </c>
      <c r="B39" s="150" t="s">
        <v>223</v>
      </c>
      <c r="C39" s="151"/>
      <c r="D39" s="339"/>
      <c r="E39" s="151"/>
      <c r="F39" s="151"/>
      <c r="G39" s="152">
        <v>44865</v>
      </c>
      <c r="H39" s="152">
        <v>45230</v>
      </c>
      <c r="I39" s="152">
        <v>45596</v>
      </c>
      <c r="J39" s="153">
        <v>45961</v>
      </c>
      <c r="K39" s="153">
        <v>46326</v>
      </c>
      <c r="L39" s="153">
        <v>46691</v>
      </c>
      <c r="M39" s="153">
        <v>47057</v>
      </c>
      <c r="N39" s="154">
        <v>47422</v>
      </c>
      <c r="O39" s="36"/>
      <c r="P39" s="36"/>
      <c r="Q39" s="36"/>
      <c r="R39" s="36"/>
      <c r="S39" s="36"/>
      <c r="T39" s="36"/>
    </row>
    <row r="40" spans="1:20" s="18" customFormat="1" ht="14.4" x14ac:dyDescent="0.3">
      <c r="B40" s="332"/>
      <c r="N40" s="333"/>
    </row>
    <row r="41" spans="1:20" s="18" customFormat="1" ht="14.4" x14ac:dyDescent="0.3">
      <c r="B41" s="157" t="s">
        <v>150</v>
      </c>
      <c r="G41" s="384">
        <f>Statements!G35</f>
        <v>1589846</v>
      </c>
      <c r="H41" s="384">
        <f>Statements!H35</f>
        <v>1849935</v>
      </c>
      <c r="I41" s="384">
        <f>Statements!I35</f>
        <v>2082360</v>
      </c>
      <c r="J41" s="107">
        <f>I41*(1+J42)</f>
        <v>2269772.4000000004</v>
      </c>
      <c r="K41" s="107">
        <f t="shared" ref="K41:N41" si="50">J41*(1+K42)</f>
        <v>2474051.9160000007</v>
      </c>
      <c r="L41" s="107">
        <f t="shared" si="50"/>
        <v>2696716.588440001</v>
      </c>
      <c r="M41" s="107">
        <f t="shared" si="50"/>
        <v>2939421.0813996014</v>
      </c>
      <c r="N41" s="139">
        <f t="shared" si="50"/>
        <v>3203968.9787255656</v>
      </c>
    </row>
    <row r="42" spans="1:20" s="18" customFormat="1" ht="14.4" x14ac:dyDescent="0.3">
      <c r="B42" s="330" t="s">
        <v>224</v>
      </c>
      <c r="G42" s="107"/>
      <c r="H42" s="327">
        <f>H41/G41-1</f>
        <v>0.1635938323586057</v>
      </c>
      <c r="I42" s="327">
        <f t="shared" ref="I42" si="51">I41/H41-1</f>
        <v>0.12563954949768497</v>
      </c>
      <c r="J42" s="412">
        <v>0.09</v>
      </c>
      <c r="K42" s="412">
        <v>0.09</v>
      </c>
      <c r="L42" s="412">
        <v>0.09</v>
      </c>
      <c r="M42" s="412">
        <v>0.09</v>
      </c>
      <c r="N42" s="412">
        <v>0.09</v>
      </c>
    </row>
    <row r="43" spans="1:20" s="18" customFormat="1" ht="14.4" x14ac:dyDescent="0.3">
      <c r="B43" s="157" t="s">
        <v>151</v>
      </c>
      <c r="G43" s="384">
        <f>Statements!G36</f>
        <v>642729</v>
      </c>
      <c r="H43" s="384">
        <f>Statements!H36</f>
        <v>724934</v>
      </c>
      <c r="I43" s="384">
        <f>Statements!I36</f>
        <v>859342</v>
      </c>
      <c r="J43" s="107">
        <f>I43*(1+J44)</f>
        <v>964181.72399999993</v>
      </c>
      <c r="K43" s="107">
        <f t="shared" ref="K43:N43" si="52">J43*(1+K44)</f>
        <v>1081811.8943279998</v>
      </c>
      <c r="L43" s="107">
        <f t="shared" si="52"/>
        <v>1213792.9454360157</v>
      </c>
      <c r="M43" s="107">
        <f t="shared" si="52"/>
        <v>1361875.6847792096</v>
      </c>
      <c r="N43" s="139">
        <f t="shared" si="52"/>
        <v>1528024.5183222729</v>
      </c>
    </row>
    <row r="44" spans="1:20" s="18" customFormat="1" ht="14.4" x14ac:dyDescent="0.3">
      <c r="B44" s="330" t="s">
        <v>225</v>
      </c>
      <c r="G44" s="107"/>
      <c r="H44" s="327">
        <f>H43/G43-1</f>
        <v>0.12789993916565146</v>
      </c>
      <c r="I44" s="327">
        <f t="shared" ref="I44" si="53">I43/H43-1</f>
        <v>0.18540722327825709</v>
      </c>
      <c r="J44" s="412">
        <v>0.122</v>
      </c>
      <c r="K44" s="412">
        <v>0.122</v>
      </c>
      <c r="L44" s="412">
        <v>0.122</v>
      </c>
      <c r="M44" s="412">
        <v>0.122</v>
      </c>
      <c r="N44" s="412">
        <v>0.122</v>
      </c>
    </row>
    <row r="45" spans="1:20" s="18" customFormat="1" ht="14.4" x14ac:dyDescent="0.3">
      <c r="B45" s="157" t="s">
        <v>152</v>
      </c>
      <c r="G45" s="384">
        <f>Statements!G37</f>
        <v>313554</v>
      </c>
      <c r="H45" s="384">
        <f>Statements!H37</f>
        <v>376677</v>
      </c>
      <c r="I45" s="384">
        <f>Statements!I37</f>
        <v>568496</v>
      </c>
      <c r="J45" s="107">
        <f>I45*(1+J46)</f>
        <v>632167.55200000003</v>
      </c>
      <c r="K45" s="107">
        <f t="shared" ref="K45:N45" si="54">J45*(1+K46)</f>
        <v>702970.31782400014</v>
      </c>
      <c r="L45" s="107">
        <f t="shared" si="54"/>
        <v>781702.9934202882</v>
      </c>
      <c r="M45" s="107">
        <f t="shared" si="54"/>
        <v>869253.7286833605</v>
      </c>
      <c r="N45" s="139">
        <f t="shared" si="54"/>
        <v>966610.14629589696</v>
      </c>
    </row>
    <row r="46" spans="1:20" s="18" customFormat="1" ht="14.4" x14ac:dyDescent="0.3">
      <c r="B46" s="330" t="s">
        <v>226</v>
      </c>
      <c r="G46" s="107"/>
      <c r="H46" s="327">
        <f>H45/G45-1</f>
        <v>0.2013146060965576</v>
      </c>
      <c r="I46" s="327">
        <f t="shared" ref="I46" si="55">I45/H45-1</f>
        <v>0.50924001199967073</v>
      </c>
      <c r="J46" s="412">
        <v>0.112</v>
      </c>
      <c r="K46" s="412">
        <v>0.112</v>
      </c>
      <c r="L46" s="412">
        <v>0.112</v>
      </c>
      <c r="M46" s="412">
        <v>0.112</v>
      </c>
      <c r="N46" s="412">
        <v>0.112</v>
      </c>
    </row>
    <row r="47" spans="1:20" s="18" customFormat="1" ht="14.4" x14ac:dyDescent="0.3">
      <c r="B47" s="157" t="s">
        <v>147</v>
      </c>
      <c r="G47" s="384">
        <f>Statements!G38</f>
        <v>11637</v>
      </c>
      <c r="H47" s="384">
        <f>Statements!H38</f>
        <v>9295</v>
      </c>
      <c r="I47" s="384">
        <f>Statements!I38</f>
        <v>16238</v>
      </c>
      <c r="J47" s="107">
        <f>I47*(1+J48)</f>
        <v>18267.75</v>
      </c>
      <c r="K47" s="107">
        <f>J47*(1+K48)</f>
        <v>20423.344499999999</v>
      </c>
      <c r="L47" s="107">
        <f t="shared" ref="L47" si="56">K47*(1+L48)</f>
        <v>23119.225974000001</v>
      </c>
      <c r="M47" s="107">
        <f t="shared" ref="M47" si="57">L47*(1+M48)</f>
        <v>26147.844576594001</v>
      </c>
      <c r="N47" s="139">
        <f t="shared" ref="N47" si="58">M47*(1+N48)</f>
        <v>29024.107480019346</v>
      </c>
    </row>
    <row r="48" spans="1:20" s="18" customFormat="1" ht="14.4" x14ac:dyDescent="0.3">
      <c r="B48" s="330" t="s">
        <v>221</v>
      </c>
      <c r="G48" s="107"/>
      <c r="H48" s="327">
        <f>H47/G47-1</f>
        <v>-0.20125461888802954</v>
      </c>
      <c r="I48" s="327">
        <f t="shared" ref="I48" si="59">I47/H47-1</f>
        <v>0.7469607315761162</v>
      </c>
      <c r="J48" s="412">
        <v>0.125</v>
      </c>
      <c r="K48" s="412">
        <v>0.11799999999999999</v>
      </c>
      <c r="L48" s="412">
        <v>0.13200000000000001</v>
      </c>
      <c r="M48" s="412">
        <v>0.13100000000000001</v>
      </c>
      <c r="N48" s="412">
        <v>0.11</v>
      </c>
    </row>
    <row r="49" spans="2:19" s="18" customFormat="1" ht="14.4" x14ac:dyDescent="0.3">
      <c r="B49" s="157" t="s">
        <v>153</v>
      </c>
      <c r="G49" s="384">
        <f>Statements!G39</f>
        <v>11221</v>
      </c>
      <c r="H49" s="384">
        <f>Statements!H39</f>
        <v>53091</v>
      </c>
      <c r="I49" s="384">
        <f>Statements!I39</f>
        <v>0</v>
      </c>
      <c r="J49" s="107">
        <v>0</v>
      </c>
      <c r="K49" s="340">
        <f>J49</f>
        <v>0</v>
      </c>
      <c r="L49" s="340">
        <f t="shared" ref="L49:N49" si="60">K49</f>
        <v>0</v>
      </c>
      <c r="M49" s="340">
        <f t="shared" si="60"/>
        <v>0</v>
      </c>
      <c r="N49" s="341">
        <f t="shared" si="60"/>
        <v>0</v>
      </c>
    </row>
    <row r="50" spans="2:19" s="18" customFormat="1" ht="14.4" x14ac:dyDescent="0.3">
      <c r="B50" s="158" t="s">
        <v>154</v>
      </c>
      <c r="G50" s="108">
        <f>G41+G43+G45+G47+G49</f>
        <v>2568987</v>
      </c>
      <c r="H50" s="108">
        <f t="shared" ref="H50:J50" si="61">H41+H43+H45+H47+H49</f>
        <v>3013932</v>
      </c>
      <c r="I50" s="108">
        <f t="shared" si="61"/>
        <v>3526436</v>
      </c>
      <c r="J50" s="108">
        <f t="shared" si="61"/>
        <v>3884389.4260000004</v>
      </c>
      <c r="K50" s="108">
        <f t="shared" ref="K50" si="62">K41+K43+K45+K47+K49</f>
        <v>4279257.4726520004</v>
      </c>
      <c r="L50" s="108">
        <f t="shared" ref="L50" si="63">L41+L43+L45+L47+L49</f>
        <v>4715331.7532703048</v>
      </c>
      <c r="M50" s="108">
        <f t="shared" ref="M50" si="64">M41+M43+M45+M47+M49</f>
        <v>5196698.3394387662</v>
      </c>
      <c r="N50" s="140">
        <f t="shared" ref="N50" si="65">N41+N43+N45+N47+N49</f>
        <v>5727627.7508237548</v>
      </c>
      <c r="O50" s="119">
        <f>_xlfn.RRI(2,G50,I50)</f>
        <v>0.17162073719460724</v>
      </c>
      <c r="P50" s="119">
        <f>_xlfn.RRI(4,J50,N50)</f>
        <v>0.10195283194493432</v>
      </c>
    </row>
    <row r="51" spans="2:19" s="18" customFormat="1" ht="14.4" x14ac:dyDescent="0.3">
      <c r="B51" s="331" t="s">
        <v>220</v>
      </c>
      <c r="H51" s="327">
        <f>H50/G50-1</f>
        <v>0.17319861875517462</v>
      </c>
      <c r="I51" s="327">
        <f t="shared" ref="I51" si="66">I50/H50-1</f>
        <v>0.17004497778981076</v>
      </c>
      <c r="J51" s="327">
        <f t="shared" ref="J51" si="67">J50/I50-1</f>
        <v>0.10150572022291082</v>
      </c>
      <c r="K51" s="327">
        <f t="shared" ref="K51" si="68">K50/J50-1</f>
        <v>0.10165511315857434</v>
      </c>
      <c r="L51" s="327">
        <f t="shared" ref="L51" si="69">L50/K50-1</f>
        <v>0.10190419328707856</v>
      </c>
      <c r="M51" s="327">
        <f t="shared" ref="M51" si="70">M50/L50-1</f>
        <v>0.10208541230097135</v>
      </c>
      <c r="N51" s="328">
        <f t="shared" ref="N51" si="71">N50/M50-1</f>
        <v>0.10216667905382559</v>
      </c>
    </row>
    <row r="52" spans="2:19" s="18" customFormat="1" ht="14.4" x14ac:dyDescent="0.3">
      <c r="B52" s="342"/>
      <c r="C52" s="337"/>
      <c r="D52" s="337"/>
      <c r="E52" s="337"/>
      <c r="F52" s="337"/>
      <c r="G52" s="337"/>
      <c r="H52" s="343"/>
      <c r="I52" s="343"/>
      <c r="J52" s="343"/>
      <c r="K52" s="343"/>
      <c r="L52" s="343"/>
      <c r="M52" s="343"/>
      <c r="N52" s="344"/>
    </row>
    <row r="53" spans="2:19" s="18" customFormat="1" ht="14.4" x14ac:dyDescent="0.3"/>
    <row r="54" spans="2:19" ht="14.4" x14ac:dyDescent="0.3">
      <c r="B54" s="116" t="s">
        <v>52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</row>
    <row r="55" spans="2:19" s="18" customFormat="1" ht="14.4" x14ac:dyDescent="0.3"/>
    <row r="56" spans="2:19" s="18" customFormat="1" ht="14.4" x14ac:dyDescent="0.3"/>
    <row r="57" spans="2:19" s="18" customFormat="1" ht="14.4" x14ac:dyDescent="0.3"/>
    <row r="58" spans="2:19" s="18" customFormat="1" ht="14.4" x14ac:dyDescent="0.3"/>
    <row r="59" spans="2:19" s="18" customFormat="1" ht="14.4" x14ac:dyDescent="0.3"/>
    <row r="60" spans="2:19" s="18" customFormat="1" ht="14.4" x14ac:dyDescent="0.3"/>
    <row r="61" spans="2:19" s="18" customFormat="1" ht="14.4" x14ac:dyDescent="0.3"/>
    <row r="62" spans="2:19" s="18" customFormat="1" ht="14.4" x14ac:dyDescent="0.3"/>
    <row r="63" spans="2:19" s="18" customFormat="1" ht="14.4" x14ac:dyDescent="0.3"/>
    <row r="64" spans="2:19" s="18" customFormat="1" ht="14.4" x14ac:dyDescent="0.3"/>
    <row r="65" s="18" customFormat="1" ht="14.4" x14ac:dyDescent="0.3"/>
    <row r="66" s="18" customFormat="1" ht="14.4" x14ac:dyDescent="0.3"/>
    <row r="67" s="18" customFormat="1" ht="14.4" x14ac:dyDescent="0.3"/>
    <row r="68" s="18" customFormat="1" ht="14.4" x14ac:dyDescent="0.3"/>
    <row r="69" s="18" customFormat="1" ht="14.4" x14ac:dyDescent="0.3"/>
    <row r="70" s="18" customFormat="1" ht="14.4" x14ac:dyDescent="0.3"/>
    <row r="71" s="18" customFormat="1" ht="14.4" x14ac:dyDescent="0.3"/>
    <row r="72" s="18" customFormat="1" ht="14.4" x14ac:dyDescent="0.3"/>
    <row r="73" s="18" customFormat="1" ht="14.4" x14ac:dyDescent="0.3"/>
    <row r="74" s="18" customFormat="1" ht="14.4" x14ac:dyDescent="0.3"/>
    <row r="75" s="18" customFormat="1" ht="14.4" x14ac:dyDescent="0.3"/>
    <row r="76" s="18" customFormat="1" ht="14.4" x14ac:dyDescent="0.3"/>
    <row r="77" s="18" customFormat="1" ht="14.4" x14ac:dyDescent="0.3"/>
    <row r="78" s="18" customFormat="1" ht="14.4" x14ac:dyDescent="0.3"/>
    <row r="79" s="18" customFormat="1" ht="14.4" x14ac:dyDescent="0.3"/>
    <row r="80" s="18" customFormat="1" ht="14.4" x14ac:dyDescent="0.3"/>
    <row r="81" s="18" customFormat="1" ht="14.4" x14ac:dyDescent="0.3"/>
    <row r="82" s="18" customFormat="1" ht="14.4" x14ac:dyDescent="0.3"/>
    <row r="83" s="18" customFormat="1" ht="14.4" x14ac:dyDescent="0.3"/>
    <row r="84" s="18" customFormat="1" ht="14.4" x14ac:dyDescent="0.3"/>
    <row r="85" s="18" customFormat="1" ht="14.4" x14ac:dyDescent="0.3"/>
    <row r="86" s="18" customFormat="1" ht="14.4" x14ac:dyDescent="0.3"/>
    <row r="87" s="18" customFormat="1" ht="14.4" x14ac:dyDescent="0.3"/>
    <row r="88" s="18" customFormat="1" ht="14.4" x14ac:dyDescent="0.3"/>
    <row r="89" s="18" customFormat="1" ht="14.4" x14ac:dyDescent="0.3"/>
    <row r="90" s="18" customFormat="1" ht="14.4" x14ac:dyDescent="0.3"/>
    <row r="91" s="18" customFormat="1" ht="14.4" x14ac:dyDescent="0.3"/>
    <row r="92" s="18" customFormat="1" ht="14.4" x14ac:dyDescent="0.3"/>
    <row r="93" s="18" customFormat="1" ht="14.4" x14ac:dyDescent="0.3"/>
    <row r="94" s="18" customFormat="1" ht="14.4" x14ac:dyDescent="0.3"/>
    <row r="95" s="18" customFormat="1" ht="14.4" x14ac:dyDescent="0.3"/>
    <row r="96" s="18" customFormat="1" ht="14.4" x14ac:dyDescent="0.3"/>
    <row r="97" s="18" customFormat="1" ht="14.4" x14ac:dyDescent="0.3"/>
    <row r="98" s="18" customFormat="1" ht="14.4" x14ac:dyDescent="0.3"/>
    <row r="99" s="18" customFormat="1" ht="14.4" x14ac:dyDescent="0.3"/>
    <row r="100" s="18" customFormat="1" ht="14.4" x14ac:dyDescent="0.3"/>
    <row r="101" s="18" customFormat="1" ht="14.4" x14ac:dyDescent="0.3"/>
    <row r="102" s="18" customFormat="1" ht="14.4" x14ac:dyDescent="0.3"/>
    <row r="103" s="18" customFormat="1" ht="14.4" x14ac:dyDescent="0.3"/>
    <row r="104" s="18" customFormat="1" ht="14.4" x14ac:dyDescent="0.3"/>
    <row r="105" s="18" customFormat="1" ht="14.4" x14ac:dyDescent="0.3"/>
    <row r="106" s="18" customFormat="1" ht="14.4" x14ac:dyDescent="0.3"/>
    <row r="107" s="18" customFormat="1" ht="14.4" x14ac:dyDescent="0.3"/>
    <row r="108" s="18" customFormat="1" ht="14.4" x14ac:dyDescent="0.3"/>
    <row r="109" s="18" customFormat="1" ht="14.4" x14ac:dyDescent="0.3"/>
    <row r="110" s="18" customFormat="1" ht="14.4" x14ac:dyDescent="0.3"/>
    <row r="111" s="18" customFormat="1" ht="14.4" x14ac:dyDescent="0.3"/>
    <row r="112" s="18" customFormat="1" ht="14.4" x14ac:dyDescent="0.3"/>
    <row r="113" spans="2:20" s="18" customFormat="1" ht="14.4" x14ac:dyDescent="0.3"/>
    <row r="114" spans="2:20" s="18" customFormat="1" ht="14.4" x14ac:dyDescent="0.3"/>
    <row r="115" spans="2:20" s="18" customFormat="1" ht="14.4" x14ac:dyDescent="0.3"/>
    <row r="116" spans="2:20" s="18" customFormat="1" ht="14.4" x14ac:dyDescent="0.3"/>
    <row r="117" spans="2:20" s="18" customFormat="1" ht="14.4" x14ac:dyDescent="0.3"/>
    <row r="118" spans="2:20" s="18" customFormat="1" ht="14.4" x14ac:dyDescent="0.3"/>
    <row r="119" spans="2:20" s="18" customFormat="1" ht="14.4" x14ac:dyDescent="0.3"/>
    <row r="120" spans="2:20" s="18" customFormat="1" ht="14.4" x14ac:dyDescent="0.3"/>
    <row r="121" spans="2:20" s="18" customFormat="1" ht="14.4" x14ac:dyDescent="0.3"/>
    <row r="122" spans="2:20" s="18" customFormat="1" ht="14.4" x14ac:dyDescent="0.3"/>
    <row r="123" spans="2:20" s="18" customFormat="1" ht="14.4" x14ac:dyDescent="0.3"/>
    <row r="124" spans="2:20" s="18" customFormat="1" ht="14.4" x14ac:dyDescent="0.3"/>
    <row r="125" spans="2:20" s="18" customFormat="1" ht="14.4" x14ac:dyDescent="0.3"/>
    <row r="126" spans="2:20" s="18" customFormat="1" ht="14.4" x14ac:dyDescent="0.3"/>
    <row r="128" spans="2:20" ht="14.4" x14ac:dyDescent="0.3">
      <c r="B128" s="40" t="s">
        <v>52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</row>
  </sheetData>
  <mergeCells count="4">
    <mergeCell ref="G6:I6"/>
    <mergeCell ref="J6:N6"/>
    <mergeCell ref="O6:P6"/>
    <mergeCell ref="Q6:T7"/>
  </mergeCells>
  <hyperlinks>
    <hyperlink ref="B9" location="Dashboard!A1" display="&lt;-Back to dashboard" xr:uid="{DCD15C9F-E496-4456-ADAB-79454FB5E8D0}"/>
    <hyperlink ref="C11" location="RF" display="Revenue forecast" xr:uid="{5BAF0C24-AF17-4DA4-B045-76E495DC16BB}"/>
    <hyperlink ref="E11" location="EF" display="Expense forecast" xr:uid="{21E33396-1534-48CA-B03D-06AFB818AA72}"/>
    <hyperlink ref="B128" location="Scenario!A8" display="&lt;- Go back to the top" xr:uid="{A12DDDAB-D9CA-432D-8C9D-4006ABCBCFAA}"/>
    <hyperlink ref="B54" location="Scenario!A8" display="&lt;- Go back to the top" xr:uid="{BDEB70D5-CE8A-4D26-ABEF-C3C6D6D64D71}"/>
    <hyperlink ref="G11" location="OpEx" display="Operating Expenses" xr:uid="{B78E7EE7-26A3-4544-A593-BCCABADE1CF9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9DCA-4D1C-4402-96E5-93D1A5CE7238}">
  <dimension ref="A1:V36"/>
  <sheetViews>
    <sheetView showGridLines="0" topLeftCell="A7" zoomScaleNormal="100" workbookViewId="0">
      <selection activeCell="J19" sqref="J19"/>
    </sheetView>
  </sheetViews>
  <sheetFormatPr defaultRowHeight="13.8" x14ac:dyDescent="0.3"/>
  <cols>
    <col min="1" max="1" width="1.88671875" style="13" customWidth="1"/>
    <col min="2" max="6" width="8.88671875" style="13"/>
    <col min="7" max="14" width="11.6640625" style="13" customWidth="1"/>
    <col min="15" max="15" width="10.88671875" style="13" bestFit="1" customWidth="1"/>
    <col min="16" max="16" width="11.21875" style="13" bestFit="1" customWidth="1"/>
    <col min="17" max="17" width="10.6640625" style="13" customWidth="1"/>
    <col min="18" max="20" width="12.5546875" style="13" customWidth="1"/>
    <col min="21" max="16384" width="8.88671875" style="13"/>
  </cols>
  <sheetData>
    <row r="1" spans="1:22" s="18" customFormat="1" ht="14.4" x14ac:dyDescent="0.3"/>
    <row r="2" spans="1:22" s="18" customFormat="1" ht="15.6" x14ac:dyDescent="0.3">
      <c r="A2" s="19"/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2" s="18" customFormat="1" ht="14.4" x14ac:dyDescent="0.3">
      <c r="B3" s="64" t="s">
        <v>17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2" s="18" customFormat="1" ht="14.4" x14ac:dyDescent="0.3">
      <c r="B4" s="7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2" s="18" customFormat="1" ht="14.4" x14ac:dyDescent="0.3">
      <c r="B5" s="10" t="s">
        <v>39</v>
      </c>
      <c r="C5" s="21"/>
      <c r="D5" s="10" t="str">
        <f>Dashboard!G14</f>
        <v>N/A</v>
      </c>
      <c r="E5" s="21"/>
      <c r="F5" s="21"/>
      <c r="G5" s="24"/>
      <c r="H5" s="24"/>
      <c r="I5" s="24"/>
      <c r="J5" s="24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2" s="18" customFormat="1" ht="14.4" x14ac:dyDescent="0.3">
      <c r="B6" s="10" t="s">
        <v>1</v>
      </c>
      <c r="C6" s="25"/>
      <c r="D6" s="25"/>
      <c r="E6" s="25"/>
      <c r="F6" s="25"/>
      <c r="G6" s="492" t="s">
        <v>170</v>
      </c>
      <c r="H6" s="493"/>
      <c r="I6" s="494"/>
      <c r="J6" s="483" t="s">
        <v>3</v>
      </c>
      <c r="K6" s="484"/>
      <c r="L6" s="484"/>
      <c r="M6" s="484"/>
      <c r="N6" s="485"/>
      <c r="O6" s="486" t="s">
        <v>31</v>
      </c>
      <c r="P6" s="487"/>
      <c r="Q6" s="488" t="s">
        <v>18</v>
      </c>
      <c r="R6" s="489"/>
      <c r="S6" s="489"/>
      <c r="T6" s="489"/>
    </row>
    <row r="7" spans="1:22" s="18" customFormat="1" ht="14.4" x14ac:dyDescent="0.3">
      <c r="B7" s="10" t="s">
        <v>2</v>
      </c>
      <c r="C7" s="25"/>
      <c r="D7" s="25"/>
      <c r="E7" s="25"/>
      <c r="F7" s="25"/>
      <c r="G7" s="109">
        <v>44865</v>
      </c>
      <c r="H7" s="109">
        <f t="shared" ref="H7:N7" si="0">EDATE(G7,12)</f>
        <v>45230</v>
      </c>
      <c r="I7" s="109">
        <f t="shared" si="0"/>
        <v>45596</v>
      </c>
      <c r="J7" s="110">
        <f t="shared" si="0"/>
        <v>45961</v>
      </c>
      <c r="K7" s="110">
        <f t="shared" si="0"/>
        <v>46326</v>
      </c>
      <c r="L7" s="110">
        <f t="shared" si="0"/>
        <v>46691</v>
      </c>
      <c r="M7" s="110">
        <f t="shared" si="0"/>
        <v>47057</v>
      </c>
      <c r="N7" s="110">
        <f t="shared" si="0"/>
        <v>47422</v>
      </c>
      <c r="O7" s="30" t="s">
        <v>172</v>
      </c>
      <c r="P7" s="31" t="s">
        <v>173</v>
      </c>
      <c r="Q7" s="490"/>
      <c r="R7" s="491"/>
      <c r="S7" s="491"/>
      <c r="T7" s="491"/>
    </row>
    <row r="8" spans="1:22" s="18" customFormat="1" ht="14.4" x14ac:dyDescent="0.3"/>
    <row r="9" spans="1:22" s="18" customFormat="1" ht="14.4" x14ac:dyDescent="0.3">
      <c r="B9" s="34" t="s">
        <v>47</v>
      </c>
    </row>
    <row r="10" spans="1:22" s="18" customFormat="1" ht="14.4" x14ac:dyDescent="0.3"/>
    <row r="11" spans="1:22" s="18" customFormat="1" ht="14.4" x14ac:dyDescent="0.3">
      <c r="A11" s="18" t="s">
        <v>33</v>
      </c>
      <c r="B11" s="180" t="s">
        <v>17</v>
      </c>
      <c r="C11" s="151"/>
      <c r="D11" s="151"/>
      <c r="E11" s="151"/>
      <c r="F11" s="151"/>
      <c r="G11" s="152">
        <v>44865</v>
      </c>
      <c r="H11" s="152">
        <v>45230</v>
      </c>
      <c r="I11" s="152">
        <v>45596</v>
      </c>
      <c r="J11" s="153">
        <v>45961</v>
      </c>
      <c r="K11" s="153">
        <v>46326</v>
      </c>
      <c r="L11" s="153">
        <v>46691</v>
      </c>
      <c r="M11" s="153">
        <v>47057</v>
      </c>
      <c r="N11" s="154">
        <v>47422</v>
      </c>
      <c r="O11" s="36"/>
      <c r="P11" s="36"/>
      <c r="Q11" s="36"/>
      <c r="R11" s="36"/>
      <c r="S11" s="36"/>
      <c r="T11" s="36"/>
    </row>
    <row r="12" spans="1:22" x14ac:dyDescent="0.3">
      <c r="B12" s="165"/>
      <c r="N12" s="162"/>
    </row>
    <row r="13" spans="1:22" x14ac:dyDescent="0.3">
      <c r="B13" s="157" t="s">
        <v>158</v>
      </c>
      <c r="C13" s="39"/>
      <c r="D13" s="39"/>
      <c r="E13" s="39"/>
      <c r="F13" s="39"/>
      <c r="G13" s="384">
        <f>Statements!G45</f>
        <v>139385</v>
      </c>
      <c r="H13" s="384">
        <f>Statements!H45</f>
        <v>90188</v>
      </c>
      <c r="I13" s="384">
        <f>Statements!I45</f>
        <v>99718</v>
      </c>
      <c r="J13" s="375">
        <v>55991</v>
      </c>
      <c r="K13" s="107">
        <f>K14*Statements!K44</f>
        <v>320195.6992776983</v>
      </c>
      <c r="L13" s="107">
        <f>L14*Statements!L44</f>
        <v>414891.78656065196</v>
      </c>
      <c r="M13" s="107">
        <f>M14*Statements!M44</f>
        <v>544347.29542465194</v>
      </c>
      <c r="N13" s="139">
        <f>N14*Statements!N44</f>
        <v>721261.51000447746</v>
      </c>
      <c r="O13" s="39"/>
      <c r="P13" s="39"/>
      <c r="Q13" s="39"/>
      <c r="R13" s="39"/>
      <c r="S13" s="39"/>
      <c r="T13" s="39"/>
      <c r="U13" s="39"/>
      <c r="V13" s="39"/>
    </row>
    <row r="14" spans="1:22" x14ac:dyDescent="0.3">
      <c r="B14" s="330" t="s">
        <v>227</v>
      </c>
      <c r="C14" s="39"/>
      <c r="D14" s="39"/>
      <c r="E14" s="39"/>
      <c r="F14" s="39"/>
      <c r="G14" s="327">
        <f>G13/Statements!G44</f>
        <v>0.12631722992934899</v>
      </c>
      <c r="H14" s="327">
        <f>H13/Statements!H44</f>
        <v>6.9084697465280703E-2</v>
      </c>
      <c r="I14" s="327">
        <f>I13/Statements!I44</f>
        <v>6.5870114634265564E-2</v>
      </c>
      <c r="J14" s="382">
        <v>0.16</v>
      </c>
      <c r="K14" s="382">
        <v>0.16</v>
      </c>
      <c r="L14" s="382">
        <v>0.16</v>
      </c>
      <c r="M14" s="382">
        <v>0.16</v>
      </c>
      <c r="N14" s="382">
        <v>0.16</v>
      </c>
      <c r="O14" s="39"/>
      <c r="P14" s="39"/>
      <c r="Q14" s="39"/>
      <c r="R14" s="39"/>
      <c r="S14" s="39"/>
      <c r="T14" s="39"/>
      <c r="U14" s="39"/>
      <c r="V14" s="39"/>
    </row>
    <row r="15" spans="1:22" x14ac:dyDescent="0.3">
      <c r="B15" s="157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137"/>
      <c r="O15" s="39"/>
      <c r="P15" s="39"/>
      <c r="Q15" s="39"/>
      <c r="R15" s="39"/>
      <c r="S15" s="39"/>
      <c r="T15" s="39"/>
      <c r="U15" s="39"/>
      <c r="V15" s="39"/>
    </row>
    <row r="16" spans="1:22" x14ac:dyDescent="0.3">
      <c r="B16" s="157" t="s">
        <v>157</v>
      </c>
      <c r="C16" s="39"/>
      <c r="D16" s="39"/>
      <c r="G16" s="384">
        <f>Statements!G43</f>
        <v>-53807</v>
      </c>
      <c r="H16" s="384">
        <f>Statements!H43</f>
        <v>34934</v>
      </c>
      <c r="I16" s="384">
        <f>Statements!I43</f>
        <v>194976</v>
      </c>
      <c r="J16" s="107">
        <f>J17*Statements!J41</f>
        <v>38655.989349999989</v>
      </c>
      <c r="K16" s="107">
        <f>K17*Statements!K41</f>
        <v>50730.12073355358</v>
      </c>
      <c r="L16" s="107">
        <f>L17*Statements!L41</f>
        <v>68187.554369143152</v>
      </c>
      <c r="M16" s="107">
        <f>M17*Statements!M41</f>
        <v>92679.961497387238</v>
      </c>
      <c r="N16" s="139">
        <f>N17*Statements!N41</f>
        <v>127056.86621556031</v>
      </c>
      <c r="O16" s="39"/>
      <c r="P16" s="39"/>
      <c r="Q16" s="39"/>
      <c r="R16" s="39"/>
      <c r="S16" s="39"/>
      <c r="T16" s="39"/>
      <c r="U16" s="39"/>
      <c r="V16" s="39"/>
    </row>
    <row r="17" spans="2:22" x14ac:dyDescent="0.3">
      <c r="B17" s="165" t="s">
        <v>230</v>
      </c>
      <c r="G17" s="327">
        <f>G16/Statements!G41</f>
        <v>-4.6841076194770848E-2</v>
      </c>
      <c r="H17" s="327">
        <f>H16/Statements!H41</f>
        <v>2.7437111178655382E-2</v>
      </c>
      <c r="I17" s="327">
        <f>I16/Statements!I41</f>
        <v>0.14381826215174179</v>
      </c>
      <c r="J17" s="382">
        <v>2.5000000000000001E-2</v>
      </c>
      <c r="K17" s="382">
        <v>2.5999999999999999E-2</v>
      </c>
      <c r="L17" s="382">
        <v>2.7E-2</v>
      </c>
      <c r="M17" s="382">
        <v>2.8000000000000001E-2</v>
      </c>
      <c r="N17" s="383">
        <v>2.9000000000000001E-2</v>
      </c>
      <c r="O17" s="39"/>
      <c r="P17" s="39"/>
      <c r="Q17" s="39"/>
      <c r="R17" s="39"/>
      <c r="S17" s="39"/>
      <c r="T17" s="39"/>
      <c r="U17" s="39"/>
      <c r="V17" s="39"/>
    </row>
    <row r="18" spans="2:22" x14ac:dyDescent="0.3">
      <c r="B18" s="157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37"/>
      <c r="O18" s="39"/>
      <c r="P18" s="39"/>
      <c r="Q18" s="39"/>
      <c r="R18" s="39"/>
      <c r="S18" s="39"/>
      <c r="T18" s="39"/>
      <c r="U18" s="39"/>
      <c r="V18" s="39"/>
    </row>
    <row r="19" spans="2:22" x14ac:dyDescent="0.3">
      <c r="B19" s="157" t="s">
        <v>162</v>
      </c>
      <c r="C19" s="39"/>
      <c r="D19" s="39"/>
      <c r="E19" s="39"/>
      <c r="F19" s="39"/>
      <c r="G19" s="384">
        <f>-Statements!G49</f>
        <v>6158</v>
      </c>
      <c r="H19" s="384">
        <f>-Statements!H49</f>
        <v>11763</v>
      </c>
      <c r="I19" s="384">
        <f>-Statements!I49</f>
        <v>27570</v>
      </c>
      <c r="J19" s="107">
        <f>Statements!J48*Assumptions!J20</f>
        <v>14405.99319801576</v>
      </c>
      <c r="K19" s="107">
        <f>K20*Statements!K48</f>
        <v>15847.305298118335</v>
      </c>
      <c r="L19" s="107">
        <f>L20*Statements!K48</f>
        <v>17164.153601653612</v>
      </c>
      <c r="M19" s="107">
        <f>M20*Statements!L48</f>
        <v>22541.963062819643</v>
      </c>
      <c r="N19" s="139">
        <f>N20*Statements!M48</f>
        <v>28159.421811705986</v>
      </c>
      <c r="O19" s="39"/>
      <c r="P19" s="39"/>
      <c r="Q19" s="39"/>
      <c r="R19" s="39"/>
      <c r="S19" s="39"/>
      <c r="T19" s="39"/>
      <c r="U19" s="39"/>
      <c r="V19" s="39"/>
    </row>
    <row r="20" spans="2:22" x14ac:dyDescent="0.3">
      <c r="B20" s="157" t="s">
        <v>228</v>
      </c>
      <c r="C20" s="39"/>
      <c r="D20" s="39"/>
      <c r="E20" s="39"/>
      <c r="F20" s="39"/>
      <c r="G20" s="327">
        <f>G19/Statements!G48</f>
        <v>6.2937177291105401E-3</v>
      </c>
      <c r="H20" s="327">
        <f>H19/Statements!H48</f>
        <v>9.6566444330425851E-3</v>
      </c>
      <c r="I20" s="327">
        <f>I19/Statements!I48</f>
        <v>1.2331101480000536E-2</v>
      </c>
      <c r="J20" s="327">
        <f>AVERAGE(G20:I20)</f>
        <v>9.4271545473845544E-3</v>
      </c>
      <c r="K20" s="115">
        <f>AVERAGE(G20:J20)</f>
        <v>9.4271545473845544E-3</v>
      </c>
      <c r="L20" s="115">
        <f t="shared" ref="L20:N20" si="1">AVERAGE(H20:K20)</f>
        <v>1.0210513751953058E-2</v>
      </c>
      <c r="M20" s="115">
        <f t="shared" si="1"/>
        <v>1.0348981081680676E-2</v>
      </c>
      <c r="N20" s="329">
        <f t="shared" si="1"/>
        <v>9.8534509821007112E-3</v>
      </c>
      <c r="O20" s="39"/>
      <c r="P20" s="39"/>
      <c r="Q20" s="39"/>
      <c r="R20" s="39"/>
      <c r="S20" s="39"/>
      <c r="T20" s="39"/>
      <c r="U20" s="39"/>
      <c r="V20" s="39"/>
    </row>
    <row r="21" spans="2:22" x14ac:dyDescent="0.3">
      <c r="B21" s="157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137"/>
      <c r="O21" s="39"/>
      <c r="P21" s="39"/>
      <c r="Q21" s="39"/>
      <c r="R21" s="39"/>
      <c r="S21" s="39"/>
      <c r="T21" s="39"/>
      <c r="U21" s="39"/>
      <c r="V21" s="39"/>
    </row>
    <row r="22" spans="2:22" x14ac:dyDescent="0.3">
      <c r="B22" s="157" t="s">
        <v>268</v>
      </c>
      <c r="C22" s="39"/>
      <c r="D22" s="39"/>
      <c r="E22" s="39"/>
      <c r="F22" s="39"/>
      <c r="G22" s="375">
        <v>459029</v>
      </c>
      <c r="H22" s="375">
        <v>563292</v>
      </c>
      <c r="I22" s="375">
        <v>692316</v>
      </c>
      <c r="J22" s="107">
        <f>J23*Statements!J48</f>
        <v>632251.79920925957</v>
      </c>
      <c r="K22" s="107">
        <f>K23*Statements!K48</f>
        <v>664462.11099044175</v>
      </c>
      <c r="L22" s="107">
        <f>L23*Statements!L48</f>
        <v>812215.17435218475</v>
      </c>
      <c r="M22" s="107">
        <f>M23*Statements!M48</f>
        <v>1125885.3772131382</v>
      </c>
      <c r="N22" s="139">
        <f>N23*Statements!N48</f>
        <v>1466842.0993124938</v>
      </c>
      <c r="O22" s="39"/>
      <c r="P22" s="39"/>
      <c r="Q22" s="39"/>
      <c r="R22" s="39"/>
      <c r="S22" s="39"/>
      <c r="T22" s="39"/>
      <c r="U22" s="39"/>
      <c r="V22" s="39"/>
    </row>
    <row r="23" spans="2:22" x14ac:dyDescent="0.3">
      <c r="B23" s="157" t="s">
        <v>269</v>
      </c>
      <c r="C23" s="39"/>
      <c r="D23" s="39"/>
      <c r="E23" s="39"/>
      <c r="F23" s="39"/>
      <c r="G23" s="327">
        <f>G22/Statements!G48</f>
        <v>0.46914565694639199</v>
      </c>
      <c r="H23" s="327">
        <f>H22/Statements!H48</f>
        <v>0.46242544894817855</v>
      </c>
      <c r="I23" s="327">
        <f>I22/Statements!I48</f>
        <v>0.309648852093872</v>
      </c>
      <c r="J23" s="115">
        <f>AVERAGE(G23:I23)</f>
        <v>0.41373998599614753</v>
      </c>
      <c r="K23" s="115">
        <f t="shared" ref="K23:N23" si="2">AVERAGE(H23:J23)</f>
        <v>0.39527142901273266</v>
      </c>
      <c r="L23" s="115">
        <f t="shared" si="2"/>
        <v>0.37288675570091739</v>
      </c>
      <c r="M23" s="115">
        <f t="shared" si="2"/>
        <v>0.39396605690326586</v>
      </c>
      <c r="N23" s="329">
        <f t="shared" si="2"/>
        <v>0.38737474720563864</v>
      </c>
      <c r="O23" s="39"/>
      <c r="P23" s="39"/>
      <c r="Q23" s="39"/>
      <c r="R23" s="39"/>
      <c r="S23" s="39"/>
      <c r="T23" s="39"/>
      <c r="U23" s="39"/>
      <c r="V23" s="39"/>
    </row>
    <row r="24" spans="2:22" x14ac:dyDescent="0.3">
      <c r="B24" s="136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137"/>
      <c r="O24" s="39"/>
      <c r="P24" s="39"/>
      <c r="Q24" s="39"/>
      <c r="R24" s="39"/>
      <c r="S24" s="39"/>
      <c r="T24" s="39"/>
      <c r="U24" s="39"/>
      <c r="V24" s="39"/>
    </row>
    <row r="25" spans="2:22" x14ac:dyDescent="0.3">
      <c r="B25" s="155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9"/>
      <c r="O25" s="39"/>
      <c r="P25" s="39"/>
      <c r="Q25" s="39"/>
      <c r="R25" s="39"/>
      <c r="S25" s="39"/>
      <c r="T25" s="39"/>
      <c r="U25" s="39"/>
      <c r="V25" s="39"/>
    </row>
    <row r="28" spans="2:22" ht="14.4" x14ac:dyDescent="0.3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</row>
    <row r="29" spans="2:22" x14ac:dyDescent="0.3">
      <c r="I29" s="37"/>
      <c r="J29" s="37"/>
    </row>
    <row r="30" spans="2:22" x14ac:dyDescent="0.3">
      <c r="I30" s="37"/>
      <c r="J30" s="37"/>
    </row>
    <row r="31" spans="2:22" x14ac:dyDescent="0.3">
      <c r="I31" s="37"/>
      <c r="J31" s="37"/>
    </row>
    <row r="32" spans="2:22" x14ac:dyDescent="0.3">
      <c r="I32" s="37"/>
      <c r="J32" s="37"/>
    </row>
    <row r="33" spans="9:10" x14ac:dyDescent="0.3">
      <c r="I33" s="37"/>
      <c r="J33" s="37"/>
    </row>
    <row r="34" spans="9:10" x14ac:dyDescent="0.3">
      <c r="I34" s="37"/>
      <c r="J34" s="37"/>
    </row>
    <row r="35" spans="9:10" x14ac:dyDescent="0.3">
      <c r="I35" s="37"/>
      <c r="J35" s="37"/>
    </row>
    <row r="36" spans="9:10" x14ac:dyDescent="0.3">
      <c r="I36" s="37"/>
      <c r="J36" s="37"/>
    </row>
  </sheetData>
  <mergeCells count="4">
    <mergeCell ref="G6:I6"/>
    <mergeCell ref="J6:N6"/>
    <mergeCell ref="O6:P6"/>
    <mergeCell ref="Q6:T7"/>
  </mergeCells>
  <hyperlinks>
    <hyperlink ref="B9" location="Dashboard!A1" display="&lt;-Back to dashboard" xr:uid="{43FCBDE0-6A65-4DDE-B9B3-B19FE57C44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44F4-48FD-47E7-8572-BBAC6143B4D1}">
  <dimension ref="A2:S113"/>
  <sheetViews>
    <sheetView showGridLines="0" topLeftCell="A28" zoomScaleNormal="100" workbookViewId="0">
      <selection activeCell="P49" sqref="P49"/>
    </sheetView>
  </sheetViews>
  <sheetFormatPr defaultRowHeight="13.8" x14ac:dyDescent="0.3"/>
  <cols>
    <col min="1" max="1" width="1.88671875" style="13" customWidth="1"/>
    <col min="2" max="3" width="8.88671875" style="13"/>
    <col min="4" max="4" width="10.109375" style="13" customWidth="1"/>
    <col min="5" max="6" width="8.88671875" style="13"/>
    <col min="7" max="14" width="13.77734375" style="13" customWidth="1"/>
    <col min="15" max="15" width="12.6640625" style="39" customWidth="1"/>
    <col min="16" max="16" width="12.6640625" style="13" customWidth="1"/>
    <col min="17" max="16384" width="8.88671875" style="13"/>
  </cols>
  <sheetData>
    <row r="2" spans="1:19" ht="15.6" x14ac:dyDescent="0.3">
      <c r="B2" s="20" t="str">
        <f>Dashboard!B2</f>
        <v>Synopsys, INC.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9" ht="14.4" x14ac:dyDescent="0.3">
      <c r="B3" s="64" t="s">
        <v>42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9" x14ac:dyDescent="0.3">
      <c r="B4" s="72" t="str">
        <f>Dashboard!B4</f>
        <v>($ in Millions, Except Per Share Amounts in Dollars and Share Counts in Thousands)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9" x14ac:dyDescent="0.3">
      <c r="B5" s="10" t="s">
        <v>39</v>
      </c>
      <c r="C5" s="25"/>
      <c r="D5" s="10" t="str">
        <f>Dashboard!G14</f>
        <v>N/A</v>
      </c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9" x14ac:dyDescent="0.3">
      <c r="B6" s="10" t="s">
        <v>1</v>
      </c>
      <c r="C6" s="25"/>
      <c r="D6" s="25"/>
      <c r="E6" s="25"/>
      <c r="F6" s="25"/>
      <c r="G6" s="495" t="s">
        <v>170</v>
      </c>
      <c r="H6" s="496"/>
      <c r="I6" s="497"/>
      <c r="J6" s="483" t="s">
        <v>3</v>
      </c>
      <c r="K6" s="484"/>
      <c r="L6" s="484"/>
      <c r="M6" s="484"/>
      <c r="N6" s="484"/>
      <c r="P6" s="39"/>
      <c r="Q6" s="39"/>
      <c r="R6" s="39"/>
      <c r="S6" s="39"/>
    </row>
    <row r="7" spans="1:19" x14ac:dyDescent="0.3">
      <c r="B7" s="10" t="s">
        <v>2</v>
      </c>
      <c r="C7" s="25"/>
      <c r="D7" s="25"/>
      <c r="E7" s="25"/>
      <c r="F7" s="25"/>
      <c r="G7" s="110">
        <v>44865</v>
      </c>
      <c r="H7" s="110">
        <f t="shared" ref="H7:N7" si="0">EDATE(G7,12)</f>
        <v>45230</v>
      </c>
      <c r="I7" s="110">
        <f t="shared" si="0"/>
        <v>45596</v>
      </c>
      <c r="J7" s="110">
        <f t="shared" si="0"/>
        <v>45961</v>
      </c>
      <c r="K7" s="110">
        <f t="shared" si="0"/>
        <v>46326</v>
      </c>
      <c r="L7" s="110">
        <f t="shared" si="0"/>
        <v>46691</v>
      </c>
      <c r="M7" s="110">
        <f t="shared" si="0"/>
        <v>47057</v>
      </c>
      <c r="N7" s="110">
        <f t="shared" si="0"/>
        <v>47422</v>
      </c>
      <c r="P7" s="39"/>
      <c r="Q7" s="39"/>
      <c r="R7" s="39"/>
      <c r="S7" s="39"/>
    </row>
    <row r="9" spans="1:19" x14ac:dyDescent="0.3">
      <c r="B9" s="73" t="s">
        <v>47</v>
      </c>
    </row>
    <row r="10" spans="1:19" x14ac:dyDescent="0.3">
      <c r="B10" s="73"/>
    </row>
    <row r="11" spans="1:19" x14ac:dyDescent="0.3">
      <c r="B11" s="73" t="s">
        <v>53</v>
      </c>
      <c r="C11" s="126" t="s">
        <v>57</v>
      </c>
      <c r="E11" s="126" t="s">
        <v>58</v>
      </c>
      <c r="G11" s="73" t="s">
        <v>131</v>
      </c>
      <c r="H11" s="126" t="s">
        <v>132</v>
      </c>
    </row>
    <row r="13" spans="1:19" ht="14.4" x14ac:dyDescent="0.3">
      <c r="A13" s="13" t="s">
        <v>33</v>
      </c>
      <c r="B13" s="11" t="s">
        <v>43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spans="1:19" s="39" customFormat="1" x14ac:dyDescent="0.3"/>
    <row r="15" spans="1:19" s="39" customFormat="1" x14ac:dyDescent="0.3">
      <c r="B15" s="120" t="s">
        <v>231</v>
      </c>
    </row>
    <row r="16" spans="1:19" s="39" customFormat="1" x14ac:dyDescent="0.3"/>
    <row r="17" spans="2:14" s="39" customFormat="1" x14ac:dyDescent="0.3">
      <c r="B17" s="39" t="s">
        <v>234</v>
      </c>
      <c r="G17" s="379">
        <v>1276745</v>
      </c>
      <c r="H17" s="106">
        <f>G19</f>
        <v>1349655</v>
      </c>
      <c r="I17" s="106">
        <f>H19</f>
        <v>1473283</v>
      </c>
      <c r="J17" s="106">
        <f>I19</f>
        <v>1492987</v>
      </c>
      <c r="K17" s="106">
        <f t="shared" ref="K17:N17" si="1">J19</f>
        <v>1617795.1813928485</v>
      </c>
      <c r="L17" s="106">
        <f t="shared" si="1"/>
        <v>1753036.8643115577</v>
      </c>
      <c r="M17" s="106">
        <f t="shared" si="1"/>
        <v>1899584.2508255376</v>
      </c>
      <c r="N17" s="106">
        <f t="shared" si="1"/>
        <v>2058382.4558655224</v>
      </c>
    </row>
    <row r="18" spans="2:14" s="39" customFormat="1" x14ac:dyDescent="0.3">
      <c r="B18" s="102" t="s">
        <v>232</v>
      </c>
      <c r="J18" s="106">
        <f>J23</f>
        <v>124808.18139284848</v>
      </c>
      <c r="K18" s="106">
        <f t="shared" ref="K18:N18" si="2">K23</f>
        <v>135241.68291870918</v>
      </c>
      <c r="L18" s="106">
        <f t="shared" si="2"/>
        <v>146547.38651397984</v>
      </c>
      <c r="M18" s="106">
        <f t="shared" si="2"/>
        <v>158798.20503998487</v>
      </c>
      <c r="N18" s="106">
        <f t="shared" si="2"/>
        <v>172073.14660309907</v>
      </c>
    </row>
    <row r="19" spans="2:14" s="39" customFormat="1" x14ac:dyDescent="0.3">
      <c r="B19" s="103" t="s">
        <v>233</v>
      </c>
      <c r="C19" s="104"/>
      <c r="D19" s="104"/>
      <c r="E19" s="104"/>
      <c r="F19" s="104"/>
      <c r="G19" s="386">
        <v>1349655</v>
      </c>
      <c r="H19" s="386">
        <v>1473283</v>
      </c>
      <c r="I19" s="386">
        <v>1492987</v>
      </c>
      <c r="J19" s="121">
        <f>SUM(J17:J18)</f>
        <v>1617795.1813928485</v>
      </c>
      <c r="K19" s="121">
        <f t="shared" ref="K19:N19" si="3">SUM(K17:K18)</f>
        <v>1753036.8643115577</v>
      </c>
      <c r="L19" s="121">
        <f t="shared" si="3"/>
        <v>1899584.2508255376</v>
      </c>
      <c r="M19" s="121">
        <f t="shared" si="3"/>
        <v>2058382.4558655224</v>
      </c>
      <c r="N19" s="121">
        <f t="shared" si="3"/>
        <v>2230455.6024686215</v>
      </c>
    </row>
    <row r="20" spans="2:14" s="39" customFormat="1" x14ac:dyDescent="0.3">
      <c r="B20" s="102" t="s">
        <v>235</v>
      </c>
      <c r="I20" s="387">
        <v>-929981</v>
      </c>
      <c r="J20" s="107">
        <f>I20-J28</f>
        <v>-1047676.9848145505</v>
      </c>
      <c r="K20" s="107">
        <f t="shared" ref="K20:N20" si="4">J20-K28</f>
        <v>-1183431.8529002578</v>
      </c>
      <c r="L20" s="107">
        <f t="shared" si="4"/>
        <v>-1343142.5417709125</v>
      </c>
      <c r="M20" s="107">
        <f t="shared" si="4"/>
        <v>-1503879.7998705022</v>
      </c>
      <c r="N20" s="107">
        <f t="shared" si="4"/>
        <v>-1682023.0112597451</v>
      </c>
    </row>
    <row r="21" spans="2:14" s="39" customFormat="1" x14ac:dyDescent="0.3">
      <c r="B21" s="103" t="s">
        <v>236</v>
      </c>
      <c r="C21" s="104"/>
      <c r="D21" s="104"/>
      <c r="E21" s="104"/>
      <c r="F21" s="104"/>
      <c r="G21" s="104"/>
      <c r="H21" s="104"/>
      <c r="I21" s="104"/>
      <c r="J21" s="121">
        <f>SUM(J19:J20)</f>
        <v>570118.196578298</v>
      </c>
      <c r="K21" s="121">
        <f t="shared" ref="K21:N21" si="5">SUM(K19:K20)</f>
        <v>569605.01141129993</v>
      </c>
      <c r="L21" s="121">
        <f t="shared" si="5"/>
        <v>556441.70905462513</v>
      </c>
      <c r="M21" s="121">
        <f t="shared" si="5"/>
        <v>554502.65599502018</v>
      </c>
      <c r="N21" s="121">
        <f t="shared" si="5"/>
        <v>548432.59120887634</v>
      </c>
    </row>
    <row r="22" spans="2:14" s="39" customFormat="1" x14ac:dyDescent="0.3"/>
    <row r="23" spans="2:14" s="39" customFormat="1" x14ac:dyDescent="0.3">
      <c r="B23" s="39" t="s">
        <v>239</v>
      </c>
      <c r="G23" s="379">
        <v>136589</v>
      </c>
      <c r="H23" s="379">
        <v>189618</v>
      </c>
      <c r="I23" s="379">
        <v>123161</v>
      </c>
      <c r="J23" s="106">
        <f>J24*J17</f>
        <v>124808.18139284848</v>
      </c>
      <c r="K23" s="106">
        <f t="shared" ref="K23:N23" si="6">K24*K17</f>
        <v>135241.68291870918</v>
      </c>
      <c r="L23" s="106">
        <f t="shared" si="6"/>
        <v>146547.38651397984</v>
      </c>
      <c r="M23" s="106">
        <f t="shared" si="6"/>
        <v>158798.20503998487</v>
      </c>
      <c r="N23" s="106">
        <f t="shared" si="6"/>
        <v>172073.14660309907</v>
      </c>
    </row>
    <row r="24" spans="2:14" s="39" customFormat="1" x14ac:dyDescent="0.3">
      <c r="B24" s="39" t="s">
        <v>240</v>
      </c>
      <c r="G24" s="114">
        <f>G23/G17</f>
        <v>0.10698220866343711</v>
      </c>
      <c r="H24" s="114">
        <f t="shared" ref="H24:I24" si="7">H23/H17</f>
        <v>0.14049368171866145</v>
      </c>
      <c r="I24" s="114">
        <f t="shared" si="7"/>
        <v>8.359629480554652E-2</v>
      </c>
      <c r="J24" s="115">
        <f>I24</f>
        <v>8.359629480554652E-2</v>
      </c>
      <c r="K24" s="115">
        <f t="shared" ref="K24:N24" si="8">J24</f>
        <v>8.359629480554652E-2</v>
      </c>
      <c r="L24" s="115">
        <f t="shared" si="8"/>
        <v>8.359629480554652E-2</v>
      </c>
      <c r="M24" s="115">
        <f t="shared" si="8"/>
        <v>8.359629480554652E-2</v>
      </c>
      <c r="N24" s="115">
        <f t="shared" si="8"/>
        <v>8.359629480554652E-2</v>
      </c>
    </row>
    <row r="25" spans="2:14" s="39" customFormat="1" x14ac:dyDescent="0.3"/>
    <row r="26" spans="2:14" s="39" customFormat="1" x14ac:dyDescent="0.3">
      <c r="B26" s="39" t="s">
        <v>241</v>
      </c>
      <c r="G26" s="379">
        <v>228405</v>
      </c>
      <c r="H26" s="379">
        <v>247120</v>
      </c>
      <c r="I26" s="379">
        <v>295065</v>
      </c>
      <c r="J26" s="106">
        <f>J28+J39+J49</f>
        <v>226881.11918455019</v>
      </c>
      <c r="K26" s="106">
        <f t="shared" ref="K26:N26" si="9">K28+K39+K49</f>
        <v>237903.47591309279</v>
      </c>
      <c r="L26" s="106">
        <f t="shared" si="9"/>
        <v>272471.54283530975</v>
      </c>
      <c r="M26" s="106">
        <f t="shared" si="9"/>
        <v>268240.59322024218</v>
      </c>
      <c r="N26" s="106">
        <f t="shared" si="9"/>
        <v>290717.77117289358</v>
      </c>
    </row>
    <row r="27" spans="2:14" s="39" customFormat="1" x14ac:dyDescent="0.3"/>
    <row r="28" spans="2:14" s="39" customFormat="1" x14ac:dyDescent="0.3">
      <c r="B28" s="39" t="s">
        <v>237</v>
      </c>
      <c r="G28" s="379">
        <v>103900</v>
      </c>
      <c r="H28" s="379">
        <v>141400</v>
      </c>
      <c r="I28" s="379">
        <v>162900</v>
      </c>
      <c r="J28" s="106">
        <f>J29*J23</f>
        <v>117695.98481455051</v>
      </c>
      <c r="K28" s="106">
        <f t="shared" ref="K28:N28" si="10">K29*K23</f>
        <v>135754.86808570739</v>
      </c>
      <c r="L28" s="106">
        <f t="shared" si="10"/>
        <v>159710.68887065473</v>
      </c>
      <c r="M28" s="106">
        <f t="shared" si="10"/>
        <v>160737.25809958985</v>
      </c>
      <c r="N28" s="106">
        <f t="shared" si="10"/>
        <v>178143.21138924285</v>
      </c>
    </row>
    <row r="29" spans="2:14" s="39" customFormat="1" x14ac:dyDescent="0.3">
      <c r="B29" s="39" t="s">
        <v>238</v>
      </c>
      <c r="G29" s="114">
        <f>G28/G23</f>
        <v>0.76067618915139579</v>
      </c>
      <c r="H29" s="114">
        <f t="shared" ref="H29:I29" si="11">H28/H23</f>
        <v>0.7457097954835511</v>
      </c>
      <c r="I29" s="114">
        <f t="shared" si="11"/>
        <v>1.322658958598907</v>
      </c>
      <c r="J29" s="115">
        <f>AVERAGE(G29:I29)</f>
        <v>0.94301498107795123</v>
      </c>
      <c r="K29" s="115">
        <f t="shared" ref="K29" si="12">AVERAGE(H29:J29)</f>
        <v>1.0037945783868032</v>
      </c>
      <c r="L29" s="115">
        <f t="shared" ref="L29" si="13">AVERAGE(I29:K29)</f>
        <v>1.0898228393545537</v>
      </c>
      <c r="M29" s="115">
        <f t="shared" ref="M29" si="14">AVERAGE(J29:L29)</f>
        <v>1.012210799606436</v>
      </c>
      <c r="N29" s="115">
        <f t="shared" ref="N29" si="15">AVERAGE(K29:M29)</f>
        <v>1.0352760724492642</v>
      </c>
    </row>
    <row r="30" spans="2:14" s="39" customFormat="1" x14ac:dyDescent="0.3"/>
    <row r="31" spans="2:14" s="39" customFormat="1" x14ac:dyDescent="0.3">
      <c r="B31" s="120" t="s">
        <v>186</v>
      </c>
    </row>
    <row r="32" spans="2:14" s="39" customFormat="1" x14ac:dyDescent="0.3"/>
    <row r="33" spans="2:14" s="39" customFormat="1" x14ac:dyDescent="0.3">
      <c r="B33" s="39" t="s">
        <v>244</v>
      </c>
      <c r="G33" s="387">
        <v>1598984</v>
      </c>
      <c r="H33" s="122">
        <f>G35</f>
        <v>1801997</v>
      </c>
      <c r="I33" s="122">
        <f>H35</f>
        <v>1378798</v>
      </c>
      <c r="J33" s="122">
        <f t="shared" ref="J33:N33" si="16">I35</f>
        <v>1407794</v>
      </c>
      <c r="K33" s="122">
        <f t="shared" si="16"/>
        <v>1497794</v>
      </c>
      <c r="L33" s="122">
        <f t="shared" si="16"/>
        <v>1587794</v>
      </c>
      <c r="M33" s="122">
        <f t="shared" si="16"/>
        <v>1677794</v>
      </c>
      <c r="N33" s="122">
        <f t="shared" si="16"/>
        <v>1767794</v>
      </c>
    </row>
    <row r="34" spans="2:14" s="39" customFormat="1" x14ac:dyDescent="0.3">
      <c r="B34" s="102" t="s">
        <v>242</v>
      </c>
      <c r="G34" s="122"/>
      <c r="H34" s="122"/>
      <c r="I34" s="122"/>
      <c r="J34" s="387">
        <v>90000</v>
      </c>
      <c r="K34" s="387">
        <v>90000</v>
      </c>
      <c r="L34" s="387">
        <v>90000</v>
      </c>
      <c r="M34" s="387">
        <v>90000</v>
      </c>
      <c r="N34" s="387">
        <v>90000</v>
      </c>
    </row>
    <row r="35" spans="2:14" s="39" customFormat="1" x14ac:dyDescent="0.3">
      <c r="B35" s="103" t="s">
        <v>243</v>
      </c>
      <c r="C35" s="104"/>
      <c r="D35" s="104"/>
      <c r="E35" s="104"/>
      <c r="F35" s="104"/>
      <c r="G35" s="388">
        <v>1801997</v>
      </c>
      <c r="H35" s="388">
        <v>1378798</v>
      </c>
      <c r="I35" s="388">
        <v>1407794</v>
      </c>
      <c r="J35" s="123">
        <f>SUM(J33:J34)</f>
        <v>1497794</v>
      </c>
      <c r="K35" s="123">
        <f t="shared" ref="K35:N35" si="17">SUM(K33:K34)</f>
        <v>1587794</v>
      </c>
      <c r="L35" s="123">
        <f t="shared" si="17"/>
        <v>1677794</v>
      </c>
      <c r="M35" s="123">
        <f t="shared" si="17"/>
        <v>1767794</v>
      </c>
      <c r="N35" s="123">
        <f t="shared" si="17"/>
        <v>1857794</v>
      </c>
    </row>
    <row r="36" spans="2:14" s="39" customFormat="1" x14ac:dyDescent="0.3">
      <c r="B36" s="102" t="s">
        <v>245</v>
      </c>
      <c r="G36" s="122"/>
      <c r="H36" s="122"/>
      <c r="I36" s="387">
        <v>-1212630</v>
      </c>
      <c r="J36" s="122">
        <f>I36-J39</f>
        <v>-1259066</v>
      </c>
      <c r="K36" s="122">
        <f t="shared" ref="K36:N36" si="18">J36-K39</f>
        <v>-1295178</v>
      </c>
      <c r="L36" s="122">
        <f t="shared" si="18"/>
        <v>-1326343</v>
      </c>
      <c r="M36" s="122">
        <f t="shared" si="18"/>
        <v>-1351915</v>
      </c>
      <c r="N36" s="122">
        <f t="shared" si="18"/>
        <v>-1374953</v>
      </c>
    </row>
    <row r="37" spans="2:14" s="39" customFormat="1" x14ac:dyDescent="0.3">
      <c r="B37" s="103" t="s">
        <v>246</v>
      </c>
      <c r="C37" s="104"/>
      <c r="D37" s="104"/>
      <c r="E37" s="104"/>
      <c r="F37" s="104"/>
      <c r="G37" s="124"/>
      <c r="H37" s="124"/>
      <c r="I37" s="124"/>
      <c r="J37" s="123">
        <f>SUM(J35:J36)</f>
        <v>238728</v>
      </c>
      <c r="K37" s="123">
        <f t="shared" ref="K37:N37" si="19">SUM(K35:K36)</f>
        <v>292616</v>
      </c>
      <c r="L37" s="123">
        <f t="shared" si="19"/>
        <v>351451</v>
      </c>
      <c r="M37" s="123">
        <f t="shared" si="19"/>
        <v>415879</v>
      </c>
      <c r="N37" s="123">
        <f t="shared" si="19"/>
        <v>482841</v>
      </c>
    </row>
    <row r="38" spans="2:14" s="39" customFormat="1" x14ac:dyDescent="0.3"/>
    <row r="39" spans="2:14" s="39" customFormat="1" x14ac:dyDescent="0.3">
      <c r="B39" s="39" t="s">
        <v>247</v>
      </c>
      <c r="G39" s="379">
        <v>49900</v>
      </c>
      <c r="H39" s="379">
        <v>52100</v>
      </c>
      <c r="I39" s="379">
        <v>48500</v>
      </c>
      <c r="J39" s="379">
        <v>46436</v>
      </c>
      <c r="K39" s="379">
        <v>36112</v>
      </c>
      <c r="L39" s="379">
        <v>31165</v>
      </c>
      <c r="M39" s="379">
        <v>25572</v>
      </c>
      <c r="N39" s="379">
        <v>23038</v>
      </c>
    </row>
    <row r="40" spans="2:14" s="39" customFormat="1" x14ac:dyDescent="0.3">
      <c r="B40" s="39" t="s">
        <v>248</v>
      </c>
      <c r="G40" s="114">
        <f>G39/G35</f>
        <v>2.769150004134302E-2</v>
      </c>
      <c r="H40" s="114">
        <f t="shared" ref="H40:N40" si="20">H39/H35</f>
        <v>3.7786535808726152E-2</v>
      </c>
      <c r="I40" s="114">
        <f t="shared" si="20"/>
        <v>3.4451063152705581E-2</v>
      </c>
      <c r="J40" s="114">
        <f t="shared" si="20"/>
        <v>3.1002928306562851E-2</v>
      </c>
      <c r="K40" s="114">
        <f t="shared" si="20"/>
        <v>2.2743504510030897E-2</v>
      </c>
      <c r="L40" s="114">
        <f t="shared" si="20"/>
        <v>1.8574985963711873E-2</v>
      </c>
      <c r="M40" s="114">
        <f t="shared" si="20"/>
        <v>1.4465486363230105E-2</v>
      </c>
      <c r="N40" s="114">
        <f t="shared" si="20"/>
        <v>1.2400729036696211E-2</v>
      </c>
    </row>
    <row r="41" spans="2:14" s="39" customFormat="1" x14ac:dyDescent="0.3"/>
    <row r="42" spans="2:14" s="39" customFormat="1" x14ac:dyDescent="0.3">
      <c r="B42" s="120" t="s">
        <v>296</v>
      </c>
      <c r="J42" s="106"/>
      <c r="K42" s="106"/>
      <c r="L42" s="106"/>
      <c r="M42" s="106"/>
      <c r="N42" s="106"/>
    </row>
    <row r="43" spans="2:14" s="39" customFormat="1" x14ac:dyDescent="0.3">
      <c r="B43" s="120"/>
      <c r="J43" s="106"/>
      <c r="K43" s="106"/>
      <c r="L43" s="106"/>
      <c r="M43" s="106"/>
      <c r="N43" s="106"/>
    </row>
    <row r="44" spans="2:14" s="39" customFormat="1" x14ac:dyDescent="0.3">
      <c r="B44" s="39" t="s">
        <v>293</v>
      </c>
      <c r="G44" s="131"/>
      <c r="H44" s="131"/>
      <c r="I44" s="131"/>
      <c r="J44" s="385">
        <f>Statements!I75</f>
        <v>583700</v>
      </c>
      <c r="K44" s="122">
        <f>J47</f>
        <v>638706.80351280735</v>
      </c>
      <c r="L44" s="122">
        <f t="shared" ref="L44:N44" si="21">K47</f>
        <v>701930.82453693124</v>
      </c>
      <c r="M44" s="122">
        <f t="shared" si="21"/>
        <v>775697.22696871078</v>
      </c>
      <c r="N44" s="122">
        <f t="shared" si="21"/>
        <v>861152.46629998868</v>
      </c>
    </row>
    <row r="45" spans="2:14" s="39" customFormat="1" x14ac:dyDescent="0.3">
      <c r="B45" s="102" t="s">
        <v>294</v>
      </c>
      <c r="G45" s="131"/>
      <c r="H45" s="131"/>
      <c r="I45" s="131"/>
      <c r="J45" s="122">
        <f>J47-J46-J44</f>
        <v>117755.93788280711</v>
      </c>
      <c r="K45" s="122">
        <f t="shared" ref="K45:N45" si="22">K47-K46-K44</f>
        <v>129260.6288515093</v>
      </c>
      <c r="L45" s="122">
        <f t="shared" si="22"/>
        <v>155362.2563964345</v>
      </c>
      <c r="M45" s="122">
        <f t="shared" si="22"/>
        <v>167386.57445193024</v>
      </c>
      <c r="N45" s="122">
        <f t="shared" si="22"/>
        <v>189144.2018498095</v>
      </c>
    </row>
    <row r="46" spans="2:14" s="39" customFormat="1" x14ac:dyDescent="0.3">
      <c r="B46" s="102" t="s">
        <v>299</v>
      </c>
      <c r="G46" s="131"/>
      <c r="H46" s="131"/>
      <c r="I46" s="131"/>
      <c r="J46" s="122">
        <f>-J49</f>
        <v>-62749.134369999709</v>
      </c>
      <c r="K46" s="122">
        <f t="shared" ref="K46:N46" si="23">-K49</f>
        <v>-66036.607827385378</v>
      </c>
      <c r="L46" s="122">
        <f t="shared" si="23"/>
        <v>-81595.853964654991</v>
      </c>
      <c r="M46" s="122">
        <f t="shared" si="23"/>
        <v>-81931.335120652322</v>
      </c>
      <c r="N46" s="122">
        <f t="shared" si="23"/>
        <v>-89536.559783650766</v>
      </c>
    </row>
    <row r="47" spans="2:14" s="39" customFormat="1" x14ac:dyDescent="0.3">
      <c r="B47" s="103" t="s">
        <v>295</v>
      </c>
      <c r="G47" s="131"/>
      <c r="H47" s="131"/>
      <c r="I47" s="131"/>
      <c r="J47" s="123">
        <f>Statements!J75</f>
        <v>638706.80351280735</v>
      </c>
      <c r="K47" s="123">
        <f>Statements!K75</f>
        <v>701930.82453693124</v>
      </c>
      <c r="L47" s="123">
        <f>Statements!L75</f>
        <v>775697.22696871078</v>
      </c>
      <c r="M47" s="123">
        <f>Statements!M75</f>
        <v>861152.46629998868</v>
      </c>
      <c r="N47" s="123">
        <f>Statements!N75</f>
        <v>960760.1083661475</v>
      </c>
    </row>
    <row r="48" spans="2:14" s="39" customFormat="1" x14ac:dyDescent="0.3">
      <c r="B48" s="103"/>
      <c r="J48" s="106"/>
      <c r="K48" s="106"/>
      <c r="L48" s="106"/>
      <c r="M48" s="106"/>
      <c r="N48" s="106"/>
    </row>
    <row r="49" spans="1:14" s="39" customFormat="1" x14ac:dyDescent="0.3">
      <c r="B49" s="133" t="s">
        <v>297</v>
      </c>
      <c r="G49" s="106">
        <f>G26-G28-G39</f>
        <v>74605</v>
      </c>
      <c r="H49" s="106">
        <f t="shared" ref="H49:I49" si="24">H26-H28-H39</f>
        <v>53620</v>
      </c>
      <c r="I49" s="106">
        <f t="shared" si="24"/>
        <v>83665</v>
      </c>
      <c r="J49" s="106">
        <f>J50*J23</f>
        <v>62749.134369999709</v>
      </c>
      <c r="K49" s="106">
        <f t="shared" ref="K49:N49" si="25">K50*K23</f>
        <v>66036.607827385378</v>
      </c>
      <c r="L49" s="106">
        <f t="shared" si="25"/>
        <v>81595.853964654991</v>
      </c>
      <c r="M49" s="106">
        <f t="shared" si="25"/>
        <v>81931.335120652322</v>
      </c>
      <c r="N49" s="106">
        <f t="shared" si="25"/>
        <v>89536.559783650766</v>
      </c>
    </row>
    <row r="50" spans="1:14" s="39" customFormat="1" x14ac:dyDescent="0.3">
      <c r="B50" s="39" t="s">
        <v>298</v>
      </c>
      <c r="G50" s="114">
        <f>G49/G23</f>
        <v>0.5462006457328189</v>
      </c>
      <c r="H50" s="114">
        <f t="shared" ref="H50:I50" si="26">H49/H23</f>
        <v>0.28277906105960404</v>
      </c>
      <c r="I50" s="114">
        <f t="shared" si="26"/>
        <v>0.67931406857690335</v>
      </c>
      <c r="J50" s="114">
        <f>AVERAGE(G50:I50)</f>
        <v>0.50276459178977539</v>
      </c>
      <c r="K50" s="114">
        <f t="shared" ref="K50:N50" si="27">AVERAGE(H50:J50)</f>
        <v>0.48828590714209424</v>
      </c>
      <c r="L50" s="114">
        <f t="shared" si="27"/>
        <v>0.55678818916959105</v>
      </c>
      <c r="M50" s="114">
        <f t="shared" si="27"/>
        <v>0.51594622936715362</v>
      </c>
      <c r="N50" s="114">
        <f t="shared" si="27"/>
        <v>0.52034010855961299</v>
      </c>
    </row>
    <row r="51" spans="1:14" s="39" customFormat="1" x14ac:dyDescent="0.3"/>
    <row r="52" spans="1:14" ht="14.4" x14ac:dyDescent="0.3">
      <c r="A52" s="13" t="s">
        <v>33</v>
      </c>
      <c r="B52" s="11" t="s">
        <v>44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</row>
    <row r="53" spans="1:14" s="39" customFormat="1" x14ac:dyDescent="0.3"/>
    <row r="54" spans="1:14" s="39" customFormat="1" x14ac:dyDescent="0.3">
      <c r="B54" s="120" t="s">
        <v>249</v>
      </c>
    </row>
    <row r="55" spans="1:14" s="39" customFormat="1" x14ac:dyDescent="0.3"/>
    <row r="56" spans="1:14" s="39" customFormat="1" x14ac:dyDescent="0.3">
      <c r="B56" s="39" t="s">
        <v>179</v>
      </c>
      <c r="G56" s="385">
        <f>Statements!G64</f>
        <v>796091</v>
      </c>
      <c r="H56" s="385">
        <f>Statements!H64</f>
        <v>856660</v>
      </c>
      <c r="I56" s="385">
        <f>Statements!I64</f>
        <v>934470</v>
      </c>
      <c r="J56" s="122">
        <f>J71*Statements!J$25/days</f>
        <v>1022532.7165986177</v>
      </c>
      <c r="K56" s="122">
        <f>K71*Statements!K$25/days</f>
        <v>1123750.7240106666</v>
      </c>
      <c r="L56" s="122">
        <f>L71*Statements!L$25/days</f>
        <v>1241846.4753905279</v>
      </c>
      <c r="M56" s="122">
        <f>M71*Statements!M$25/days</f>
        <v>1378655.3797898756</v>
      </c>
      <c r="N56" s="122">
        <f>N71*Statements!N$25/days</f>
        <v>1538121.4638768442</v>
      </c>
    </row>
    <row r="57" spans="1:14" s="39" customFormat="1" x14ac:dyDescent="0.3">
      <c r="B57" s="39" t="s">
        <v>180</v>
      </c>
      <c r="G57" s="385">
        <f>Statements!G65</f>
        <v>211927</v>
      </c>
      <c r="H57" s="385">
        <f>Statements!H65</f>
        <v>325590</v>
      </c>
      <c r="I57" s="385">
        <f>Statements!I65</f>
        <v>361849</v>
      </c>
      <c r="J57" s="122">
        <f>J72*Statements!J$25/days</f>
        <v>395948.97746154841</v>
      </c>
      <c r="K57" s="122">
        <f>K72*Statements!K$25/days</f>
        <v>435142.99627867748</v>
      </c>
      <c r="L57" s="122">
        <f>L72*Statements!L$25/days</f>
        <v>480872.47881000687</v>
      </c>
      <c r="M57" s="122">
        <f>M72*Statements!M$25/days</f>
        <v>533848.13907518343</v>
      </c>
      <c r="N57" s="122">
        <f>N72*Statements!N$25/days</f>
        <v>595597.19796501985</v>
      </c>
    </row>
    <row r="58" spans="1:14" s="39" customFormat="1" x14ac:dyDescent="0.3">
      <c r="B58" s="39" t="s">
        <v>181</v>
      </c>
      <c r="G58" s="385">
        <f>Statements!G66</f>
        <v>439130</v>
      </c>
      <c r="H58" s="385">
        <f>Statements!H66</f>
        <v>548115</v>
      </c>
      <c r="I58" s="385">
        <f>Statements!I66</f>
        <v>1122946</v>
      </c>
      <c r="J58" s="122">
        <f>J73*Statements!J$25/days</f>
        <v>1228770.3446590593</v>
      </c>
      <c r="K58" s="122">
        <f>K73*Statements!K$25/days</f>
        <v>1350403.3093891533</v>
      </c>
      <c r="L58" s="122">
        <f>L73*Statements!L$25/days</f>
        <v>1492318.1398588417</v>
      </c>
      <c r="M58" s="122">
        <f>M73*Statements!M$25/days</f>
        <v>1656720.4341643089</v>
      </c>
      <c r="N58" s="122">
        <f>N73*Statements!N$25/days</f>
        <v>1848349.7013008939</v>
      </c>
    </row>
    <row r="59" spans="1:14" s="39" customFormat="1" x14ac:dyDescent="0.3">
      <c r="G59" s="122"/>
      <c r="H59" s="122"/>
      <c r="I59" s="122"/>
    </row>
    <row r="60" spans="1:14" s="39" customFormat="1" x14ac:dyDescent="0.3">
      <c r="B60" s="120" t="s">
        <v>250</v>
      </c>
      <c r="G60" s="122"/>
      <c r="H60" s="122"/>
      <c r="I60" s="122"/>
    </row>
    <row r="61" spans="1:14" s="39" customFormat="1" x14ac:dyDescent="0.3">
      <c r="G61" s="122"/>
      <c r="H61" s="122"/>
      <c r="I61" s="122"/>
    </row>
    <row r="62" spans="1:14" s="39" customFormat="1" x14ac:dyDescent="0.3">
      <c r="B62" s="39" t="s">
        <v>192</v>
      </c>
      <c r="G62" s="385">
        <f>Statements!G81</f>
        <v>809403</v>
      </c>
      <c r="H62" s="385">
        <f>Statements!H81</f>
        <v>1059914</v>
      </c>
      <c r="I62" s="385">
        <f>Statements!I81</f>
        <v>1163592</v>
      </c>
      <c r="J62" s="122">
        <f>J74*Statements!J$32/days</f>
        <v>1517036.3088471834</v>
      </c>
      <c r="K62" s="122">
        <f>K74*Statements!K$32/days</f>
        <v>1692929.0731851237</v>
      </c>
      <c r="L62" s="122">
        <f>L74*Statements!L$32/days</f>
        <v>1885547.5616926912</v>
      </c>
      <c r="M62" s="122">
        <f>M74*Statements!M$32/days</f>
        <v>2115617.5709133712</v>
      </c>
      <c r="N62" s="122">
        <f>N74*Statements!N$32/days</f>
        <v>2385587.4106919933</v>
      </c>
    </row>
    <row r="63" spans="1:14" s="39" customFormat="1" x14ac:dyDescent="0.3">
      <c r="G63" s="122"/>
      <c r="H63" s="122"/>
      <c r="I63" s="122"/>
    </row>
    <row r="64" spans="1:14" s="39" customFormat="1" x14ac:dyDescent="0.3">
      <c r="B64" s="39" t="s">
        <v>249</v>
      </c>
      <c r="G64" s="385">
        <f t="shared" ref="G64:N64" si="28">SUM(G56:G58)</f>
        <v>1447148</v>
      </c>
      <c r="H64" s="385">
        <f t="shared" si="28"/>
        <v>1730365</v>
      </c>
      <c r="I64" s="385">
        <f t="shared" si="28"/>
        <v>2419265</v>
      </c>
      <c r="J64" s="122">
        <f t="shared" si="28"/>
        <v>2647252.0387192257</v>
      </c>
      <c r="K64" s="122">
        <f t="shared" si="28"/>
        <v>2909297.0296784975</v>
      </c>
      <c r="L64" s="122">
        <f t="shared" si="28"/>
        <v>3215037.094059376</v>
      </c>
      <c r="M64" s="122">
        <f t="shared" si="28"/>
        <v>3569223.9530293681</v>
      </c>
      <c r="N64" s="122">
        <f t="shared" si="28"/>
        <v>3982068.3631427577</v>
      </c>
    </row>
    <row r="65" spans="2:14" s="39" customFormat="1" x14ac:dyDescent="0.3">
      <c r="B65" s="39" t="s">
        <v>252</v>
      </c>
      <c r="G65" s="385">
        <f t="shared" ref="G65:N65" si="29">SUM(G62:G62)</f>
        <v>809403</v>
      </c>
      <c r="H65" s="385">
        <f t="shared" si="29"/>
        <v>1059914</v>
      </c>
      <c r="I65" s="385">
        <f t="shared" si="29"/>
        <v>1163592</v>
      </c>
      <c r="J65" s="122">
        <f t="shared" si="29"/>
        <v>1517036.3088471834</v>
      </c>
      <c r="K65" s="122">
        <f t="shared" si="29"/>
        <v>1692929.0731851237</v>
      </c>
      <c r="L65" s="122">
        <f t="shared" si="29"/>
        <v>1885547.5616926912</v>
      </c>
      <c r="M65" s="122">
        <f t="shared" si="29"/>
        <v>2115617.5709133712</v>
      </c>
      <c r="N65" s="122">
        <f t="shared" si="29"/>
        <v>2385587.4106919933</v>
      </c>
    </row>
    <row r="66" spans="2:14" s="39" customFormat="1" x14ac:dyDescent="0.3">
      <c r="B66" s="129" t="s">
        <v>254</v>
      </c>
      <c r="C66" s="104"/>
      <c r="D66" s="104"/>
      <c r="E66" s="104"/>
      <c r="F66" s="104"/>
      <c r="G66" s="124">
        <f>G64-G65</f>
        <v>637745</v>
      </c>
      <c r="H66" s="124">
        <f t="shared" ref="H66:I66" si="30">H64-H65</f>
        <v>670451</v>
      </c>
      <c r="I66" s="124">
        <f t="shared" si="30"/>
        <v>1255673</v>
      </c>
      <c r="J66" s="124">
        <f t="shared" ref="J66" si="31">J64-J65</f>
        <v>1130215.7298720423</v>
      </c>
      <c r="K66" s="124">
        <f t="shared" ref="K66" si="32">K64-K65</f>
        <v>1216367.9564933737</v>
      </c>
      <c r="L66" s="124">
        <f t="shared" ref="L66" si="33">L64-L65</f>
        <v>1329489.5323666849</v>
      </c>
      <c r="M66" s="124">
        <f t="shared" ref="M66" si="34">M64-M65</f>
        <v>1453606.3821159969</v>
      </c>
      <c r="N66" s="124">
        <f t="shared" ref="N66" si="35">N64-N65</f>
        <v>1596480.9524507644</v>
      </c>
    </row>
    <row r="67" spans="2:14" s="39" customFormat="1" x14ac:dyDescent="0.3">
      <c r="B67" s="130" t="s">
        <v>253</v>
      </c>
      <c r="G67" s="122"/>
      <c r="H67" s="122"/>
      <c r="I67" s="122"/>
      <c r="J67" s="107">
        <f>J66-I66</f>
        <v>-125457.27012795769</v>
      </c>
      <c r="K67" s="107">
        <f t="shared" ref="K67:N67" si="36">K66-J66</f>
        <v>86152.226621331414</v>
      </c>
      <c r="L67" s="107">
        <f t="shared" si="36"/>
        <v>113121.57587331114</v>
      </c>
      <c r="M67" s="107">
        <f t="shared" si="36"/>
        <v>124116.84974931204</v>
      </c>
      <c r="N67" s="107">
        <f t="shared" si="36"/>
        <v>142874.57033476746</v>
      </c>
    </row>
    <row r="68" spans="2:14" s="39" customFormat="1" x14ac:dyDescent="0.3"/>
    <row r="69" spans="2:14" s="39" customFormat="1" x14ac:dyDescent="0.3">
      <c r="B69" s="120" t="s">
        <v>251</v>
      </c>
    </row>
    <row r="70" spans="2:14" s="39" customFormat="1" x14ac:dyDescent="0.3"/>
    <row r="71" spans="2:14" s="39" customFormat="1" x14ac:dyDescent="0.3">
      <c r="B71" s="39" t="s">
        <v>179</v>
      </c>
      <c r="G71" s="125">
        <f>G56*days/Statements!G$25</f>
        <v>73.883841149337812</v>
      </c>
      <c r="H71" s="125">
        <f>H56*days/Statements!H$25</f>
        <v>69.830388274924644</v>
      </c>
      <c r="I71" s="125">
        <f>I56*days/Statements!I$25</f>
        <v>66.926846620157363</v>
      </c>
      <c r="J71" s="125">
        <f>I71</f>
        <v>66.926846620157363</v>
      </c>
      <c r="K71" s="125">
        <f t="shared" ref="K71:N71" si="37">J71</f>
        <v>66.926846620157363</v>
      </c>
      <c r="L71" s="125">
        <f t="shared" si="37"/>
        <v>66.926846620157363</v>
      </c>
      <c r="M71" s="125">
        <f t="shared" si="37"/>
        <v>66.926846620157363</v>
      </c>
      <c r="N71" s="125">
        <f t="shared" si="37"/>
        <v>66.926846620157363</v>
      </c>
    </row>
    <row r="72" spans="2:14" s="39" customFormat="1" x14ac:dyDescent="0.3">
      <c r="B72" s="39" t="s">
        <v>180</v>
      </c>
      <c r="G72" s="125">
        <f>G57*days/Statements!G$25</f>
        <v>19.668581610966228</v>
      </c>
      <c r="H72" s="125">
        <f>H57*days/Statements!H$25</f>
        <v>26.540373215082667</v>
      </c>
      <c r="I72" s="125">
        <f>I57*days/Statements!I$25</f>
        <v>25.915666123746423</v>
      </c>
      <c r="J72" s="125">
        <f t="shared" ref="J72:N74" si="38">I72</f>
        <v>25.915666123746423</v>
      </c>
      <c r="K72" s="125">
        <f t="shared" si="38"/>
        <v>25.915666123746423</v>
      </c>
      <c r="L72" s="125">
        <f t="shared" si="38"/>
        <v>25.915666123746423</v>
      </c>
      <c r="M72" s="125">
        <f t="shared" si="38"/>
        <v>25.915666123746423</v>
      </c>
      <c r="N72" s="125">
        <f t="shared" si="38"/>
        <v>25.915666123746423</v>
      </c>
    </row>
    <row r="73" spans="2:14" s="39" customFormat="1" x14ac:dyDescent="0.3">
      <c r="B73" s="39" t="s">
        <v>181</v>
      </c>
      <c r="G73" s="125">
        <f>G58*days/Statements!G$25</f>
        <v>40.754902597703925</v>
      </c>
      <c r="H73" s="125">
        <f>H58*days/Statements!H$25</f>
        <v>44.679433228247291</v>
      </c>
      <c r="I73" s="125">
        <f>I58*days/Statements!I$25</f>
        <v>80.425518962320055</v>
      </c>
      <c r="J73" s="125">
        <f t="shared" si="38"/>
        <v>80.425518962320055</v>
      </c>
      <c r="K73" s="125">
        <f t="shared" si="38"/>
        <v>80.425518962320055</v>
      </c>
      <c r="L73" s="125">
        <f t="shared" si="38"/>
        <v>80.425518962320055</v>
      </c>
      <c r="M73" s="125">
        <f t="shared" si="38"/>
        <v>80.425518962320055</v>
      </c>
      <c r="N73" s="125">
        <f t="shared" si="38"/>
        <v>80.425518962320055</v>
      </c>
    </row>
    <row r="74" spans="2:14" s="39" customFormat="1" x14ac:dyDescent="0.3">
      <c r="B74" s="39" t="s">
        <v>192</v>
      </c>
      <c r="G74" s="125">
        <f>G62*days/Statements!G$32</f>
        <v>324.47757437809918</v>
      </c>
      <c r="H74" s="125">
        <f>H62*days/Statements!H$32</f>
        <v>370.15242864335306</v>
      </c>
      <c r="I74" s="125">
        <f>I62*days/Statements!I$32</f>
        <v>336.38225343675242</v>
      </c>
      <c r="J74" s="125">
        <f t="shared" si="38"/>
        <v>336.38225343675242</v>
      </c>
      <c r="K74" s="125">
        <f t="shared" si="38"/>
        <v>336.38225343675242</v>
      </c>
      <c r="L74" s="125">
        <f t="shared" si="38"/>
        <v>336.38225343675242</v>
      </c>
      <c r="M74" s="125">
        <f t="shared" si="38"/>
        <v>336.38225343675242</v>
      </c>
      <c r="N74" s="125">
        <f t="shared" si="38"/>
        <v>336.38225343675242</v>
      </c>
    </row>
    <row r="75" spans="2:14" s="39" customFormat="1" x14ac:dyDescent="0.3"/>
    <row r="76" spans="2:14" s="39" customFormat="1" x14ac:dyDescent="0.3">
      <c r="B76" s="39" t="s">
        <v>256</v>
      </c>
      <c r="G76" s="385">
        <f>Statements!G83</f>
        <v>1910822</v>
      </c>
      <c r="H76" s="385">
        <f>Statements!H83</f>
        <v>1559461</v>
      </c>
      <c r="I76" s="385">
        <f>Statements!I83</f>
        <v>1391737</v>
      </c>
      <c r="J76" s="122">
        <f>J77*Statements!J$25</f>
        <v>1522891.7090980024</v>
      </c>
      <c r="K76" s="122">
        <f>K77*Statements!K$25</f>
        <v>1673639.0268092428</v>
      </c>
      <c r="L76" s="122">
        <f>L77*Statements!L$25</f>
        <v>1849522.9254235954</v>
      </c>
      <c r="M76" s="122">
        <f>M77*Statements!M$25</f>
        <v>2053276.9401935022</v>
      </c>
      <c r="N76" s="122">
        <f>N77*Statements!N$25</f>
        <v>2290775.0401527788</v>
      </c>
    </row>
    <row r="77" spans="2:14" s="39" customFormat="1" x14ac:dyDescent="0.3">
      <c r="B77" s="39" t="s">
        <v>257</v>
      </c>
      <c r="G77" s="114">
        <f>G76/Statements!G$25</f>
        <v>0.49261142923729118</v>
      </c>
      <c r="H77" s="114">
        <f>H76/Statements!H$25</f>
        <v>0.35310834821542797</v>
      </c>
      <c r="I77" s="114">
        <f>I76/Statements!I$25</f>
        <v>0.27687877957736573</v>
      </c>
      <c r="J77" s="115">
        <f>I77</f>
        <v>0.27687877957736573</v>
      </c>
      <c r="K77" s="115">
        <f t="shared" ref="K77:N77" si="39">J77</f>
        <v>0.27687877957736573</v>
      </c>
      <c r="L77" s="115">
        <f t="shared" si="39"/>
        <v>0.27687877957736573</v>
      </c>
      <c r="M77" s="115">
        <f t="shared" si="39"/>
        <v>0.27687877957736573</v>
      </c>
      <c r="N77" s="115">
        <f t="shared" si="39"/>
        <v>0.27687877957736573</v>
      </c>
    </row>
    <row r="78" spans="2:14" s="39" customFormat="1" x14ac:dyDescent="0.3">
      <c r="G78" s="122"/>
    </row>
    <row r="79" spans="2:14" s="39" customFormat="1" x14ac:dyDescent="0.3">
      <c r="B79" s="39" t="s">
        <v>188</v>
      </c>
      <c r="G79" s="385">
        <f>Statements!G75</f>
        <v>463695</v>
      </c>
      <c r="H79" s="385">
        <f>Statements!H75</f>
        <v>444820</v>
      </c>
      <c r="I79" s="385">
        <f>Statements!I75</f>
        <v>583700</v>
      </c>
      <c r="J79" s="122">
        <f>J80*Statements!J$25</f>
        <v>638706.80351280735</v>
      </c>
      <c r="K79" s="122">
        <f>K80*Statements!K$25</f>
        <v>701930.82453693124</v>
      </c>
      <c r="L79" s="122">
        <f>L80*Statements!L$25</f>
        <v>775697.22696871078</v>
      </c>
      <c r="M79" s="122">
        <f>M80*Statements!M$25</f>
        <v>861152.46629998868</v>
      </c>
      <c r="N79" s="122">
        <f>N80*Statements!N$25</f>
        <v>960760.1083661475</v>
      </c>
    </row>
    <row r="80" spans="2:14" s="39" customFormat="1" x14ac:dyDescent="0.3">
      <c r="B80" s="39" t="s">
        <v>255</v>
      </c>
      <c r="G80" s="114">
        <f>G79/Statements!G$25</f>
        <v>0.11954093928172574</v>
      </c>
      <c r="H80" s="114">
        <f>H79/Statements!H$25</f>
        <v>0.10072047678857417</v>
      </c>
      <c r="I80" s="114">
        <f>I79/Statements!I$25</f>
        <v>0.11612405478859036</v>
      </c>
      <c r="J80" s="115">
        <f>I80</f>
        <v>0.11612405478859036</v>
      </c>
      <c r="K80" s="115">
        <f t="shared" ref="K80:N80" si="40">J80</f>
        <v>0.11612405478859036</v>
      </c>
      <c r="L80" s="115">
        <f t="shared" si="40"/>
        <v>0.11612405478859036</v>
      </c>
      <c r="M80" s="115">
        <f t="shared" si="40"/>
        <v>0.11612405478859036</v>
      </c>
      <c r="N80" s="115">
        <f t="shared" si="40"/>
        <v>0.11612405478859036</v>
      </c>
    </row>
    <row r="81" spans="1:14" s="39" customFormat="1" x14ac:dyDescent="0.3">
      <c r="G81" s="122"/>
    </row>
    <row r="82" spans="1:14" s="39" customFormat="1" x14ac:dyDescent="0.3">
      <c r="B82" s="39" t="s">
        <v>197</v>
      </c>
      <c r="G82" s="385">
        <f>Statements!G88</f>
        <v>154472</v>
      </c>
      <c r="H82" s="385">
        <f>Statements!H88</f>
        <v>150827</v>
      </c>
      <c r="I82" s="385">
        <f>Statements!I88</f>
        <v>340831</v>
      </c>
      <c r="J82" s="122">
        <f>J83*Statements!J$25</f>
        <v>372950.28019200556</v>
      </c>
      <c r="K82" s="122">
        <f>K83*Statements!K$25</f>
        <v>409867.71433569782</v>
      </c>
      <c r="L82" s="122">
        <f>L83*Statements!L$25</f>
        <v>452940.99976866995</v>
      </c>
      <c r="M82" s="122">
        <f>M83*Statements!M$25</f>
        <v>502839.56868509756</v>
      </c>
      <c r="N82" s="122">
        <f>N83*Statements!N$25</f>
        <v>561001.93334682612</v>
      </c>
    </row>
    <row r="83" spans="1:14" s="39" customFormat="1" x14ac:dyDescent="0.3">
      <c r="B83" s="39" t="s">
        <v>261</v>
      </c>
      <c r="G83" s="114">
        <f>G82/Statements!G$25</f>
        <v>3.9823004286711608E-2</v>
      </c>
      <c r="H83" s="114">
        <f>H82/Statements!H$25</f>
        <v>3.4151718341329698E-2</v>
      </c>
      <c r="I83" s="114">
        <f>I82/Statements!I$25</f>
        <v>6.7806540547627275E-2</v>
      </c>
      <c r="J83" s="115">
        <f>I83</f>
        <v>6.7806540547627275E-2</v>
      </c>
      <c r="K83" s="115">
        <f t="shared" ref="K83:N83" si="41">J83</f>
        <v>6.7806540547627275E-2</v>
      </c>
      <c r="L83" s="115">
        <f t="shared" si="41"/>
        <v>6.7806540547627275E-2</v>
      </c>
      <c r="M83" s="115">
        <f t="shared" si="41"/>
        <v>6.7806540547627275E-2</v>
      </c>
      <c r="N83" s="115">
        <f t="shared" si="41"/>
        <v>6.7806540547627275E-2</v>
      </c>
    </row>
    <row r="84" spans="1:14" s="39" customFormat="1" x14ac:dyDescent="0.3">
      <c r="G84" s="122"/>
    </row>
    <row r="85" spans="1:14" s="39" customFormat="1" x14ac:dyDescent="0.3">
      <c r="B85" s="39" t="s">
        <v>258</v>
      </c>
      <c r="G85" s="385">
        <f>Statements!G90</f>
        <v>327829</v>
      </c>
      <c r="H85" s="385">
        <f>Statements!H90</f>
        <v>381531</v>
      </c>
      <c r="I85" s="385">
        <f>Statements!I90</f>
        <v>469738</v>
      </c>
      <c r="J85" s="122">
        <f>J86*Statements!J$25</f>
        <v>514005.23636885232</v>
      </c>
      <c r="K85" s="122">
        <f>K86*Statements!K$25</f>
        <v>564885.35490205418</v>
      </c>
      <c r="L85" s="122">
        <f>L86*Statements!L$25</f>
        <v>624249.55285562493</v>
      </c>
      <c r="M85" s="122">
        <f>M86*Statements!M$25</f>
        <v>693020.45094196347</v>
      </c>
      <c r="N85" s="122">
        <f>N86*Statements!N$25</f>
        <v>773180.62666386389</v>
      </c>
    </row>
    <row r="86" spans="1:14" s="39" customFormat="1" x14ac:dyDescent="0.3">
      <c r="B86" s="39" t="s">
        <v>259</v>
      </c>
      <c r="G86" s="114">
        <f>G85/Statements!G$25</f>
        <v>8.4514576572507508E-2</v>
      </c>
      <c r="H86" s="114">
        <f>H85/Statements!H$25</f>
        <v>8.6389964996226545E-2</v>
      </c>
      <c r="I86" s="114">
        <f>I85/Statements!I$25</f>
        <v>9.3451912366425999E-2</v>
      </c>
      <c r="J86" s="115">
        <f>I86</f>
        <v>9.3451912366425999E-2</v>
      </c>
      <c r="K86" s="115">
        <f t="shared" ref="K86:N86" si="42">J86</f>
        <v>9.3451912366425999E-2</v>
      </c>
      <c r="L86" s="115">
        <f t="shared" si="42"/>
        <v>9.3451912366425999E-2</v>
      </c>
      <c r="M86" s="115">
        <f t="shared" si="42"/>
        <v>9.3451912366425999E-2</v>
      </c>
      <c r="N86" s="115">
        <f t="shared" si="42"/>
        <v>9.3451912366425999E-2</v>
      </c>
    </row>
    <row r="87" spans="1:14" s="39" customFormat="1" x14ac:dyDescent="0.3">
      <c r="G87" s="114"/>
      <c r="H87" s="114"/>
      <c r="I87" s="114"/>
      <c r="J87" s="115"/>
      <c r="K87" s="115"/>
      <c r="L87" s="115"/>
      <c r="M87" s="115"/>
      <c r="N87" s="115"/>
    </row>
    <row r="88" spans="1:14" s="39" customFormat="1" x14ac:dyDescent="0.3"/>
    <row r="89" spans="1:14" ht="14.4" x14ac:dyDescent="0.3">
      <c r="A89" s="13" t="s">
        <v>33</v>
      </c>
      <c r="B89" s="11" t="s">
        <v>131</v>
      </c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</row>
    <row r="90" spans="1:14" s="39" customFormat="1" x14ac:dyDescent="0.3"/>
    <row r="91" spans="1:14" s="39" customFormat="1" x14ac:dyDescent="0.3">
      <c r="B91" s="120" t="s">
        <v>262</v>
      </c>
    </row>
    <row r="92" spans="1:14" s="39" customFormat="1" x14ac:dyDescent="0.3"/>
    <row r="93" spans="1:14" s="39" customFormat="1" x14ac:dyDescent="0.3">
      <c r="B93" s="39" t="s">
        <v>264</v>
      </c>
      <c r="G93" s="131"/>
      <c r="H93" s="131"/>
      <c r="I93" s="131"/>
      <c r="J93" s="385">
        <f>Statements!I89</f>
        <v>15601</v>
      </c>
      <c r="K93" s="122">
        <f>J96</f>
        <v>13601</v>
      </c>
      <c r="L93" s="122">
        <f t="shared" ref="L93:N93" si="43">K96</f>
        <v>11751</v>
      </c>
      <c r="M93" s="122">
        <f t="shared" si="43"/>
        <v>10301</v>
      </c>
      <c r="N93" s="122">
        <f t="shared" si="43"/>
        <v>9051</v>
      </c>
    </row>
    <row r="94" spans="1:14" s="39" customFormat="1" x14ac:dyDescent="0.3">
      <c r="B94" s="102" t="s">
        <v>263</v>
      </c>
      <c r="G94" s="131"/>
      <c r="H94" s="131"/>
      <c r="I94" s="131"/>
      <c r="J94" s="387">
        <v>1000</v>
      </c>
      <c r="K94" s="387">
        <v>1000</v>
      </c>
      <c r="L94" s="387">
        <v>1000</v>
      </c>
      <c r="M94" s="387">
        <v>1000</v>
      </c>
      <c r="N94" s="387">
        <v>1000</v>
      </c>
    </row>
    <row r="95" spans="1:14" s="39" customFormat="1" x14ac:dyDescent="0.3">
      <c r="B95" s="102" t="s">
        <v>265</v>
      </c>
      <c r="G95" s="131"/>
      <c r="H95" s="131"/>
      <c r="I95" s="131"/>
      <c r="J95" s="387">
        <v>-3000</v>
      </c>
      <c r="K95" s="387">
        <v>-2850</v>
      </c>
      <c r="L95" s="387">
        <v>-2450</v>
      </c>
      <c r="M95" s="387">
        <v>-2250</v>
      </c>
      <c r="N95" s="387">
        <v>-2200</v>
      </c>
    </row>
    <row r="96" spans="1:14" s="39" customFormat="1" x14ac:dyDescent="0.3">
      <c r="B96" s="103" t="s">
        <v>266</v>
      </c>
      <c r="G96" s="131"/>
      <c r="H96" s="131"/>
      <c r="I96" s="131"/>
      <c r="J96" s="123">
        <f>SUM(J93:J95)</f>
        <v>13601</v>
      </c>
      <c r="K96" s="123">
        <f t="shared" ref="K96:N96" si="44">SUM(K93:K95)</f>
        <v>11751</v>
      </c>
      <c r="L96" s="123">
        <f t="shared" si="44"/>
        <v>10301</v>
      </c>
      <c r="M96" s="123">
        <f t="shared" si="44"/>
        <v>9051</v>
      </c>
      <c r="N96" s="123">
        <f t="shared" si="44"/>
        <v>7851</v>
      </c>
    </row>
    <row r="97" spans="1:14" s="39" customFormat="1" x14ac:dyDescent="0.3"/>
    <row r="98" spans="1:14" s="39" customFormat="1" x14ac:dyDescent="0.3">
      <c r="B98" s="39" t="s">
        <v>267</v>
      </c>
      <c r="E98" s="132">
        <v>5.2499999999999998E-2</v>
      </c>
    </row>
    <row r="99" spans="1:14" s="39" customFormat="1" x14ac:dyDescent="0.3">
      <c r="B99" s="39" t="s">
        <v>156</v>
      </c>
      <c r="G99" s="131"/>
      <c r="H99" s="131"/>
      <c r="I99" s="131"/>
      <c r="J99" s="122">
        <f>AVERAGE(J96,J93)*$E$98</f>
        <v>766.55250000000001</v>
      </c>
      <c r="K99" s="122">
        <f t="shared" ref="K99:N99" si="45">AVERAGE(K96,K93)*$E$98</f>
        <v>665.49</v>
      </c>
      <c r="L99" s="122">
        <f t="shared" si="45"/>
        <v>578.86500000000001</v>
      </c>
      <c r="M99" s="122">
        <f t="shared" si="45"/>
        <v>507.99</v>
      </c>
      <c r="N99" s="122">
        <f t="shared" si="45"/>
        <v>443.67750000000001</v>
      </c>
    </row>
    <row r="100" spans="1:14" s="39" customFormat="1" x14ac:dyDescent="0.3"/>
    <row r="101" spans="1:14" s="39" customFormat="1" x14ac:dyDescent="0.3"/>
    <row r="102" spans="1:14" ht="14.4" x14ac:dyDescent="0.3">
      <c r="A102" s="13" t="s">
        <v>33</v>
      </c>
      <c r="B102" s="11" t="s">
        <v>132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</row>
    <row r="103" spans="1:14" s="39" customFormat="1" x14ac:dyDescent="0.3"/>
    <row r="104" spans="1:14" s="39" customFormat="1" x14ac:dyDescent="0.3">
      <c r="B104" s="39" t="s">
        <v>273</v>
      </c>
      <c r="G104" s="131"/>
      <c r="H104" s="131"/>
      <c r="I104" s="131"/>
      <c r="J104" s="385">
        <f>Statements!I97</f>
        <v>8984105</v>
      </c>
      <c r="K104" s="122">
        <f>J106</f>
        <v>10526649.004048016</v>
      </c>
      <c r="L104" s="122">
        <f t="shared" ref="L104:N104" si="46">K106</f>
        <v>12223523.73055405</v>
      </c>
      <c r="M104" s="122">
        <f t="shared" si="46"/>
        <v>14418869.763599126</v>
      </c>
      <c r="N104" s="122">
        <f t="shared" si="46"/>
        <v>17299235.027641367</v>
      </c>
    </row>
    <row r="105" spans="1:14" s="39" customFormat="1" x14ac:dyDescent="0.3">
      <c r="B105" s="102" t="s">
        <v>270</v>
      </c>
      <c r="G105" s="131"/>
      <c r="H105" s="131"/>
      <c r="I105" s="131"/>
      <c r="J105" s="122">
        <f>Statements!J50</f>
        <v>1542544.0040480152</v>
      </c>
      <c r="K105" s="122">
        <f>Statements!K50</f>
        <v>1696874.7265060344</v>
      </c>
      <c r="L105" s="122">
        <f>Statements!L50</f>
        <v>2195346.0330450763</v>
      </c>
      <c r="M105" s="122">
        <f>Statements!M50</f>
        <v>2880365.264042242</v>
      </c>
      <c r="N105" s="122">
        <f>Statements!N50</f>
        <v>3814782.3493352127</v>
      </c>
    </row>
    <row r="106" spans="1:14" s="39" customFormat="1" x14ac:dyDescent="0.3">
      <c r="B106" s="103" t="s">
        <v>272</v>
      </c>
      <c r="G106" s="131"/>
      <c r="H106" s="131"/>
      <c r="I106" s="131"/>
      <c r="J106" s="123">
        <f>SUM(J104:J105)</f>
        <v>10526649.004048016</v>
      </c>
      <c r="K106" s="123">
        <f t="shared" ref="K106:N106" si="47">SUM(K104:K105)</f>
        <v>12223523.73055405</v>
      </c>
      <c r="L106" s="123">
        <f t="shared" si="47"/>
        <v>14418869.763599126</v>
      </c>
      <c r="M106" s="123">
        <f t="shared" si="47"/>
        <v>17299235.027641367</v>
      </c>
      <c r="N106" s="123">
        <f t="shared" si="47"/>
        <v>21114017.376976579</v>
      </c>
    </row>
    <row r="107" spans="1:14" s="39" customFormat="1" x14ac:dyDescent="0.3"/>
    <row r="108" spans="1:14" s="39" customFormat="1" x14ac:dyDescent="0.3">
      <c r="B108" s="39" t="s">
        <v>274</v>
      </c>
      <c r="G108" s="131"/>
      <c r="H108" s="131"/>
      <c r="I108" s="131"/>
      <c r="J108" s="385">
        <f>Statements!I96</f>
        <v>1211206</v>
      </c>
      <c r="K108" s="122">
        <f>J110</f>
        <v>1843457.7992092595</v>
      </c>
      <c r="L108" s="122">
        <f t="shared" ref="L108:N108" si="48">K110</f>
        <v>2507919.9101997013</v>
      </c>
      <c r="M108" s="122">
        <f t="shared" si="48"/>
        <v>3320135.0845518862</v>
      </c>
      <c r="N108" s="122">
        <f t="shared" si="48"/>
        <v>4446020.4617650248</v>
      </c>
    </row>
    <row r="109" spans="1:14" s="39" customFormat="1" x14ac:dyDescent="0.3">
      <c r="B109" s="102" t="s">
        <v>271</v>
      </c>
      <c r="G109" s="131"/>
      <c r="H109" s="131"/>
      <c r="I109" s="131"/>
      <c r="J109" s="122">
        <f>Assumptions!J22</f>
        <v>632251.79920925957</v>
      </c>
      <c r="K109" s="122">
        <f>Assumptions!K22</f>
        <v>664462.11099044175</v>
      </c>
      <c r="L109" s="122">
        <f>Assumptions!L22</f>
        <v>812215.17435218475</v>
      </c>
      <c r="M109" s="122">
        <f>Assumptions!M22</f>
        <v>1125885.3772131382</v>
      </c>
      <c r="N109" s="122">
        <f>Assumptions!N22</f>
        <v>1466842.0993124938</v>
      </c>
    </row>
    <row r="110" spans="1:14" s="39" customFormat="1" x14ac:dyDescent="0.3">
      <c r="B110" s="103" t="s">
        <v>275</v>
      </c>
      <c r="G110" s="131"/>
      <c r="H110" s="131"/>
      <c r="I110" s="131"/>
      <c r="J110" s="123">
        <f>SUM(J108:J109)</f>
        <v>1843457.7992092595</v>
      </c>
      <c r="K110" s="123">
        <f t="shared" ref="K110:N110" si="49">SUM(K108:K109)</f>
        <v>2507919.9101997013</v>
      </c>
      <c r="L110" s="123">
        <f t="shared" si="49"/>
        <v>3320135.0845518862</v>
      </c>
      <c r="M110" s="123">
        <f t="shared" si="49"/>
        <v>4446020.4617650248</v>
      </c>
      <c r="N110" s="123">
        <f t="shared" si="49"/>
        <v>5912862.5610775184</v>
      </c>
    </row>
    <row r="111" spans="1:14" s="39" customFormat="1" x14ac:dyDescent="0.3">
      <c r="B111" s="103"/>
      <c r="G111" s="131"/>
      <c r="H111" s="131"/>
      <c r="I111" s="131"/>
      <c r="J111" s="124"/>
      <c r="K111" s="124"/>
      <c r="L111" s="124"/>
      <c r="M111" s="124"/>
      <c r="N111" s="124"/>
    </row>
    <row r="112" spans="1:14" s="39" customFormat="1" x14ac:dyDescent="0.3"/>
    <row r="113" spans="2:14" x14ac:dyDescent="0.3">
      <c r="B113" s="127" t="s">
        <v>52</v>
      </c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</row>
  </sheetData>
  <mergeCells count="2">
    <mergeCell ref="G6:I6"/>
    <mergeCell ref="J6:N6"/>
  </mergeCells>
  <hyperlinks>
    <hyperlink ref="B113" location="Schedule!A8" display="&lt;- Go back to the top" xr:uid="{BD6AFDFD-951C-4A5E-A975-D7F35E747FA9}"/>
    <hyperlink ref="C11" location="PPE" display="PPE and intangibles" xr:uid="{9C001D6F-D977-4DF9-864F-BDB9D1C3F2FD}"/>
    <hyperlink ref="E11" location="WC" display="Working capital" xr:uid="{28CDD9BD-1EBF-40C9-9D76-0DAF9E639C3C}"/>
    <hyperlink ref="H11" location="Equity" display="Equity schedule" xr:uid="{D4AC04A9-C57A-4530-823C-62342D2E543F}"/>
    <hyperlink ref="G11" location="Debt" display="Debt Schedule" xr:uid="{D477E45E-C436-4B4C-8CFE-A2D6BA0FD26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7E9B-182C-4605-86F7-8C19CB228200}">
  <sheetPr>
    <tabColor rgb="FF00004D"/>
  </sheetPr>
  <dimension ref="A1"/>
  <sheetViews>
    <sheetView showGridLines="0" topLeftCell="P1" workbookViewId="0">
      <selection activeCell="I13" sqref="I13"/>
    </sheetView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110-6571-4E63-B74B-852FE0B133C5}">
  <dimension ref="A2:V389"/>
  <sheetViews>
    <sheetView showGridLines="0" topLeftCell="A7" zoomScaleNormal="100" workbookViewId="0">
      <selection activeCell="B263" sqref="B263"/>
    </sheetView>
  </sheetViews>
  <sheetFormatPr defaultRowHeight="13.8" outlineLevelRow="1" x14ac:dyDescent="0.3"/>
  <cols>
    <col min="1" max="1" width="1.88671875" style="13" customWidth="1"/>
    <col min="2" max="2" width="12.33203125" style="13" customWidth="1"/>
    <col min="3" max="3" width="9.21875" style="13" customWidth="1"/>
    <col min="4" max="5" width="8.88671875" style="13"/>
    <col min="6" max="6" width="12.44140625" style="13" bestFit="1" customWidth="1"/>
    <col min="7" max="7" width="10.88671875" style="13" bestFit="1" customWidth="1"/>
    <col min="8" max="11" width="8.88671875" style="13"/>
    <col min="12" max="12" width="9.21875" style="13" bestFit="1" customWidth="1"/>
    <col min="13" max="16384" width="8.88671875" style="13"/>
  </cols>
  <sheetData>
    <row r="2" spans="1:22" s="18" customFormat="1" ht="15.6" x14ac:dyDescent="0.3"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13"/>
      <c r="N2" s="13"/>
      <c r="O2" s="13"/>
    </row>
    <row r="3" spans="1:22" s="18" customFormat="1" ht="14.4" x14ac:dyDescent="0.3">
      <c r="B3" s="64" t="s">
        <v>51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13"/>
      <c r="N3" s="13"/>
      <c r="O3" s="13"/>
    </row>
    <row r="4" spans="1:22" s="18" customFormat="1" ht="14.4" x14ac:dyDescent="0.3">
      <c r="B4" s="2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13"/>
      <c r="N4" s="13"/>
      <c r="O4" s="13"/>
    </row>
    <row r="5" spans="1:22" x14ac:dyDescent="0.3">
      <c r="R5" s="52"/>
      <c r="S5" s="52"/>
      <c r="T5" s="52"/>
      <c r="V5" s="57"/>
    </row>
    <row r="6" spans="1:22" ht="14.4" x14ac:dyDescent="0.3">
      <c r="B6" s="34" t="s">
        <v>47</v>
      </c>
      <c r="R6" s="52"/>
      <c r="S6" s="52"/>
      <c r="T6" s="52"/>
      <c r="V6" s="57"/>
    </row>
    <row r="7" spans="1:22" ht="14.4" x14ac:dyDescent="0.3">
      <c r="B7" s="34"/>
      <c r="R7" s="52"/>
      <c r="S7" s="52"/>
      <c r="T7" s="52"/>
      <c r="V7" s="57"/>
    </row>
    <row r="8" spans="1:22" ht="14.4" x14ac:dyDescent="0.3">
      <c r="B8" s="34" t="s">
        <v>53</v>
      </c>
      <c r="C8" s="34" t="s">
        <v>50</v>
      </c>
      <c r="D8" s="34" t="s">
        <v>49</v>
      </c>
      <c r="R8" s="52"/>
      <c r="S8" s="52"/>
      <c r="T8" s="52"/>
      <c r="V8" s="57"/>
    </row>
    <row r="9" spans="1:22" ht="14.4" x14ac:dyDescent="0.3">
      <c r="B9" s="34"/>
      <c r="R9" s="52"/>
      <c r="S9" s="52"/>
      <c r="T9" s="52"/>
      <c r="V9" s="57"/>
    </row>
    <row r="10" spans="1:22" x14ac:dyDescent="0.3">
      <c r="R10" s="52"/>
      <c r="S10" s="52"/>
      <c r="T10" s="52"/>
      <c r="V10" s="57"/>
    </row>
    <row r="11" spans="1:22" x14ac:dyDescent="0.3">
      <c r="B11" s="498" t="s">
        <v>341</v>
      </c>
      <c r="C11" s="498"/>
      <c r="D11" s="498"/>
      <c r="F11" s="498" t="s">
        <v>342</v>
      </c>
      <c r="G11" s="498"/>
      <c r="H11" s="498"/>
      <c r="J11" s="498" t="s">
        <v>62</v>
      </c>
      <c r="K11" s="498"/>
      <c r="L11" s="498"/>
      <c r="R11" s="52"/>
      <c r="S11" s="52"/>
      <c r="T11" s="52"/>
      <c r="V11" s="57"/>
    </row>
    <row r="12" spans="1:22" x14ac:dyDescent="0.3">
      <c r="R12" s="52"/>
      <c r="S12" s="52"/>
      <c r="T12" s="52"/>
      <c r="V12" s="57"/>
    </row>
    <row r="13" spans="1:22" x14ac:dyDescent="0.3">
      <c r="A13" s="14"/>
      <c r="B13" s="45" t="s">
        <v>1</v>
      </c>
      <c r="C13" s="45" t="s">
        <v>60</v>
      </c>
      <c r="D13" s="45" t="s">
        <v>61</v>
      </c>
      <c r="F13" s="45" t="s">
        <v>1</v>
      </c>
      <c r="G13" s="45" t="s">
        <v>60</v>
      </c>
      <c r="H13" s="45" t="s">
        <v>61</v>
      </c>
      <c r="J13" s="46" t="s">
        <v>67</v>
      </c>
      <c r="K13" s="47"/>
      <c r="L13" s="272">
        <f>SLOPE(D15:D263,H15:H263)</f>
        <v>1.4107476741079168</v>
      </c>
      <c r="R13" s="52"/>
      <c r="S13" s="52"/>
      <c r="T13" s="52"/>
      <c r="V13" s="57"/>
    </row>
    <row r="14" spans="1:22" ht="14.4" x14ac:dyDescent="0.3">
      <c r="B14" s="271">
        <v>46087</v>
      </c>
      <c r="C14" s="13">
        <v>437.41</v>
      </c>
      <c r="D14" s="45"/>
      <c r="E14" s="51"/>
      <c r="F14" s="271">
        <v>46087</v>
      </c>
      <c r="G14" s="52">
        <v>22518.1</v>
      </c>
      <c r="H14" s="50"/>
      <c r="I14" s="52"/>
      <c r="J14" s="47"/>
      <c r="K14" s="47"/>
      <c r="L14" s="47"/>
      <c r="R14" s="52"/>
      <c r="S14" s="52"/>
      <c r="T14" s="52"/>
      <c r="V14" s="57"/>
    </row>
    <row r="15" spans="1:22" ht="14.4" x14ac:dyDescent="0.3">
      <c r="B15" s="271">
        <v>46086</v>
      </c>
      <c r="C15" s="13">
        <v>442.3</v>
      </c>
      <c r="D15" s="53">
        <f t="shared" ref="D15:D78" si="0">C15/C14-1</f>
        <v>1.11794426281977E-2</v>
      </c>
      <c r="E15" s="51"/>
      <c r="F15" s="271">
        <v>46086</v>
      </c>
      <c r="G15" s="52">
        <v>22789.599999999999</v>
      </c>
      <c r="H15" s="53">
        <f>G15/G14-1</f>
        <v>1.2056967506139493E-2</v>
      </c>
      <c r="I15" s="52"/>
      <c r="J15" s="47" t="s">
        <v>63</v>
      </c>
      <c r="K15" s="47"/>
      <c r="L15" s="272">
        <f>L13</f>
        <v>1.4107476741079168</v>
      </c>
      <c r="R15" s="52"/>
      <c r="S15" s="52"/>
      <c r="T15" s="52"/>
      <c r="V15" s="57"/>
    </row>
    <row r="16" spans="1:22" ht="14.4" x14ac:dyDescent="0.3">
      <c r="B16" s="271">
        <v>46085</v>
      </c>
      <c r="C16" s="13">
        <v>430.98</v>
      </c>
      <c r="D16" s="53">
        <f t="shared" si="0"/>
        <v>-2.5593488582410062E-2</v>
      </c>
      <c r="E16" s="51"/>
      <c r="F16" s="271">
        <v>46085</v>
      </c>
      <c r="G16" s="52">
        <v>23086.3</v>
      </c>
      <c r="H16" s="53">
        <f t="shared" ref="H16:H79" si="1">G16/G15-1</f>
        <v>1.3019096429950583E-2</v>
      </c>
      <c r="I16" s="52"/>
      <c r="J16" s="46" t="s">
        <v>64</v>
      </c>
      <c r="K16" s="47"/>
      <c r="L16" s="54">
        <v>0.75</v>
      </c>
      <c r="R16" s="52"/>
      <c r="S16" s="52"/>
      <c r="T16" s="52"/>
      <c r="V16" s="57"/>
    </row>
    <row r="17" spans="2:22" ht="14.4" x14ac:dyDescent="0.3">
      <c r="B17" s="271">
        <v>46084</v>
      </c>
      <c r="C17" s="13">
        <v>424.32</v>
      </c>
      <c r="D17" s="53">
        <f t="shared" si="0"/>
        <v>-1.5453153278574439E-2</v>
      </c>
      <c r="E17" s="51"/>
      <c r="F17" s="271">
        <v>46084</v>
      </c>
      <c r="G17" s="52">
        <v>22998.2</v>
      </c>
      <c r="H17" s="53">
        <f t="shared" si="1"/>
        <v>-3.8161160515109982E-3</v>
      </c>
      <c r="I17" s="52"/>
      <c r="J17" s="46"/>
      <c r="K17" s="47"/>
      <c r="L17" s="54"/>
      <c r="R17" s="52"/>
      <c r="S17" s="52"/>
      <c r="T17" s="52"/>
      <c r="V17" s="57"/>
    </row>
    <row r="18" spans="2:22" ht="14.4" x14ac:dyDescent="0.3">
      <c r="B18" s="271">
        <v>46083</v>
      </c>
      <c r="C18" s="13">
        <v>424.66</v>
      </c>
      <c r="D18" s="53">
        <f t="shared" si="0"/>
        <v>8.0128205128215946E-4</v>
      </c>
      <c r="E18" s="51"/>
      <c r="F18" s="271">
        <v>46083</v>
      </c>
      <c r="G18" s="52">
        <v>23413.1</v>
      </c>
      <c r="H18" s="53">
        <f t="shared" si="1"/>
        <v>1.8040542303310536E-2</v>
      </c>
      <c r="I18" s="52"/>
      <c r="J18" s="46" t="s">
        <v>65</v>
      </c>
      <c r="K18" s="47"/>
      <c r="L18" s="47">
        <f>SLOPE(H15:H263,H15:H263)</f>
        <v>1</v>
      </c>
      <c r="R18" s="52"/>
      <c r="S18" s="52"/>
      <c r="T18" s="52"/>
      <c r="V18" s="57"/>
    </row>
    <row r="19" spans="2:22" ht="14.4" x14ac:dyDescent="0.3">
      <c r="B19" s="271">
        <v>46080</v>
      </c>
      <c r="C19" s="13">
        <v>414</v>
      </c>
      <c r="D19" s="53">
        <f t="shared" si="0"/>
        <v>-2.510243488908781E-2</v>
      </c>
      <c r="E19" s="51"/>
      <c r="F19" s="271">
        <v>46080</v>
      </c>
      <c r="G19" s="52">
        <v>23494.400000000001</v>
      </c>
      <c r="H19" s="53">
        <f t="shared" si="1"/>
        <v>3.4724150155256428E-3</v>
      </c>
      <c r="I19" s="52"/>
      <c r="J19" s="46" t="s">
        <v>66</v>
      </c>
      <c r="K19" s="47"/>
      <c r="L19" s="54">
        <v>0.25</v>
      </c>
      <c r="R19" s="52"/>
      <c r="S19" s="52"/>
      <c r="T19" s="52"/>
      <c r="V19" s="57"/>
    </row>
    <row r="20" spans="2:22" ht="14.4" x14ac:dyDescent="0.3">
      <c r="B20" s="271">
        <v>46079</v>
      </c>
      <c r="C20" s="13">
        <v>426</v>
      </c>
      <c r="D20" s="53">
        <f t="shared" si="0"/>
        <v>2.8985507246376718E-2</v>
      </c>
      <c r="E20" s="51"/>
      <c r="F20" s="271">
        <v>46079</v>
      </c>
      <c r="G20" s="52">
        <v>23524.799999999999</v>
      </c>
      <c r="H20" s="53">
        <f t="shared" si="1"/>
        <v>1.2939253609369761E-3</v>
      </c>
      <c r="I20" s="52"/>
      <c r="J20" s="46"/>
      <c r="K20" s="47"/>
      <c r="L20" s="54"/>
      <c r="R20" s="52"/>
      <c r="S20" s="52"/>
      <c r="T20" s="52"/>
      <c r="V20" s="57"/>
    </row>
    <row r="21" spans="2:22" ht="14.4" x14ac:dyDescent="0.3">
      <c r="B21" s="271">
        <v>46078</v>
      </c>
      <c r="C21" s="13">
        <v>449.17</v>
      </c>
      <c r="D21" s="53">
        <f t="shared" si="0"/>
        <v>5.4389671361502412E-2</v>
      </c>
      <c r="E21" s="51"/>
      <c r="F21" s="271">
        <v>46078</v>
      </c>
      <c r="G21" s="52">
        <v>23452.7</v>
      </c>
      <c r="H21" s="53">
        <f t="shared" si="1"/>
        <v>-3.0648507107392531E-3</v>
      </c>
      <c r="I21" s="52"/>
      <c r="J21" s="55" t="s">
        <v>68</v>
      </c>
      <c r="K21" s="38"/>
      <c r="L21" s="56">
        <f>(L15*L16)+(L18*L19)</f>
        <v>1.3080607555809376</v>
      </c>
      <c r="R21" s="52"/>
      <c r="S21" s="52"/>
      <c r="T21" s="52"/>
      <c r="V21" s="57"/>
    </row>
    <row r="22" spans="2:22" ht="14.4" x14ac:dyDescent="0.3">
      <c r="B22" s="271">
        <v>46077</v>
      </c>
      <c r="C22" s="13">
        <v>440.72</v>
      </c>
      <c r="D22" s="53">
        <f t="shared" si="0"/>
        <v>-1.8812476345258955E-2</v>
      </c>
      <c r="E22" s="51"/>
      <c r="F22" s="271">
        <v>46077</v>
      </c>
      <c r="G22" s="52">
        <v>23383.8</v>
      </c>
      <c r="H22" s="53">
        <f t="shared" si="1"/>
        <v>-2.9378280539128498E-3</v>
      </c>
      <c r="I22" s="52"/>
      <c r="J22" s="52"/>
      <c r="L22" s="57"/>
      <c r="R22" s="52"/>
      <c r="S22" s="52"/>
      <c r="T22" s="52"/>
      <c r="V22" s="57"/>
    </row>
    <row r="23" spans="2:22" ht="14.4" x14ac:dyDescent="0.3">
      <c r="B23" s="271">
        <v>46076</v>
      </c>
      <c r="C23" s="13">
        <v>420.82</v>
      </c>
      <c r="D23" s="53">
        <f t="shared" si="0"/>
        <v>-4.5153385369395616E-2</v>
      </c>
      <c r="E23" s="51"/>
      <c r="F23" s="271">
        <v>46076</v>
      </c>
      <c r="G23" s="52">
        <v>23214.9</v>
      </c>
      <c r="H23" s="53">
        <f t="shared" si="1"/>
        <v>-7.222949221255659E-3</v>
      </c>
      <c r="I23" s="52"/>
      <c r="J23" s="38" t="s">
        <v>71</v>
      </c>
      <c r="K23" s="38"/>
      <c r="L23" s="58">
        <f>YEARFRAC(F263,F14,1)</f>
        <v>0.989041095890411</v>
      </c>
      <c r="R23" s="52"/>
      <c r="S23" s="52"/>
      <c r="T23" s="52"/>
      <c r="V23" s="57"/>
    </row>
    <row r="24" spans="2:22" ht="14.4" x14ac:dyDescent="0.3">
      <c r="B24" s="271">
        <v>46073</v>
      </c>
      <c r="C24" s="13">
        <v>439.94</v>
      </c>
      <c r="D24" s="53">
        <f t="shared" si="0"/>
        <v>4.5435102894349155E-2</v>
      </c>
      <c r="E24" s="51"/>
      <c r="F24" s="271">
        <v>46073</v>
      </c>
      <c r="G24" s="52">
        <v>23452.6</v>
      </c>
      <c r="H24" s="53">
        <f t="shared" si="1"/>
        <v>1.0239113672684264E-2</v>
      </c>
      <c r="I24" s="52"/>
      <c r="J24" s="55" t="s">
        <v>134</v>
      </c>
      <c r="K24" s="38"/>
      <c r="L24" s="59">
        <f>AVERAGE(H15:H263)</f>
        <v>-5.9129142460817195E-4</v>
      </c>
      <c r="R24" s="52"/>
      <c r="S24" s="52"/>
      <c r="T24" s="52"/>
      <c r="V24" s="57"/>
    </row>
    <row r="25" spans="2:22" ht="14.4" hidden="1" outlineLevel="1" x14ac:dyDescent="0.3">
      <c r="B25" s="271">
        <v>46072</v>
      </c>
      <c r="C25" s="13">
        <v>442.44</v>
      </c>
      <c r="D25" s="53">
        <f t="shared" si="0"/>
        <v>5.6825930808745984E-3</v>
      </c>
      <c r="E25" s="51"/>
      <c r="F25" s="271">
        <v>46072</v>
      </c>
      <c r="G25" s="52">
        <v>23358.3</v>
      </c>
      <c r="H25" s="53">
        <f t="shared" si="1"/>
        <v>-4.0208761501923096E-3</v>
      </c>
      <c r="I25" s="52"/>
      <c r="J25" s="52"/>
      <c r="L25" s="57"/>
      <c r="R25" s="52"/>
      <c r="S25" s="52"/>
      <c r="T25" s="52"/>
      <c r="V25" s="57"/>
    </row>
    <row r="26" spans="2:22" ht="14.4" hidden="1" outlineLevel="1" x14ac:dyDescent="0.3">
      <c r="B26" s="271">
        <v>46071</v>
      </c>
      <c r="C26" s="13">
        <v>442.31</v>
      </c>
      <c r="D26" s="53">
        <f t="shared" si="0"/>
        <v>-2.9382515143294707E-4</v>
      </c>
      <c r="E26" s="51"/>
      <c r="F26" s="271">
        <v>46071</v>
      </c>
      <c r="G26" s="52">
        <v>23387.5</v>
      </c>
      <c r="H26" s="53">
        <f t="shared" si="1"/>
        <v>1.2500909740862376E-3</v>
      </c>
      <c r="I26" s="52"/>
      <c r="J26" s="52"/>
      <c r="L26" s="57"/>
      <c r="R26" s="52"/>
      <c r="S26" s="52"/>
      <c r="T26" s="52"/>
      <c r="V26" s="57"/>
    </row>
    <row r="27" spans="2:22" ht="14.4" hidden="1" outlineLevel="1" x14ac:dyDescent="0.3">
      <c r="B27" s="271">
        <v>46070</v>
      </c>
      <c r="C27" s="13">
        <v>421.95</v>
      </c>
      <c r="D27" s="53">
        <f t="shared" si="0"/>
        <v>-4.6031064185752091E-2</v>
      </c>
      <c r="E27" s="51"/>
      <c r="F27" s="271">
        <v>46070</v>
      </c>
      <c r="G27" s="52">
        <v>23300.799999999999</v>
      </c>
      <c r="H27" s="53">
        <f t="shared" si="1"/>
        <v>-3.7071084981293856E-3</v>
      </c>
      <c r="I27" s="52"/>
      <c r="J27" s="52"/>
      <c r="L27" s="57"/>
      <c r="R27" s="52"/>
      <c r="S27" s="52"/>
      <c r="T27" s="52"/>
      <c r="V27" s="57"/>
    </row>
    <row r="28" spans="2:22" ht="14.4" hidden="1" outlineLevel="1" x14ac:dyDescent="0.3">
      <c r="B28" s="271">
        <v>46066</v>
      </c>
      <c r="C28" s="13">
        <v>437.09</v>
      </c>
      <c r="D28" s="53">
        <f t="shared" si="0"/>
        <v>3.5881028557885886E-2</v>
      </c>
      <c r="E28" s="51"/>
      <c r="F28" s="271">
        <v>46066</v>
      </c>
      <c r="G28" s="52">
        <v>23326.1</v>
      </c>
      <c r="H28" s="53">
        <f t="shared" si="1"/>
        <v>1.0857996291973038E-3</v>
      </c>
      <c r="I28" s="52"/>
      <c r="J28" s="52"/>
      <c r="L28" s="57"/>
      <c r="R28" s="52"/>
      <c r="S28" s="52"/>
      <c r="T28" s="52"/>
      <c r="V28" s="57"/>
    </row>
    <row r="29" spans="2:22" ht="14.4" hidden="1" outlineLevel="1" x14ac:dyDescent="0.3">
      <c r="B29" s="271">
        <v>46065</v>
      </c>
      <c r="C29" s="13">
        <v>423.35</v>
      </c>
      <c r="D29" s="53">
        <f t="shared" si="0"/>
        <v>-3.1435173534054672E-2</v>
      </c>
      <c r="E29" s="51"/>
      <c r="F29" s="271">
        <v>46065</v>
      </c>
      <c r="G29" s="52">
        <v>23188.799999999999</v>
      </c>
      <c r="H29" s="53">
        <f t="shared" si="1"/>
        <v>-5.8861104085122795E-3</v>
      </c>
      <c r="I29" s="52"/>
      <c r="J29" s="52"/>
      <c r="L29" s="57"/>
      <c r="R29" s="52"/>
      <c r="S29" s="52"/>
      <c r="T29" s="52"/>
      <c r="V29" s="57"/>
    </row>
    <row r="30" spans="2:22" ht="14.4" hidden="1" outlineLevel="1" x14ac:dyDescent="0.3">
      <c r="B30" s="271">
        <v>46064</v>
      </c>
      <c r="C30" s="13">
        <v>438.21</v>
      </c>
      <c r="D30" s="53">
        <f t="shared" si="0"/>
        <v>3.5100980276366878E-2</v>
      </c>
      <c r="E30" s="51"/>
      <c r="F30" s="271">
        <v>46064</v>
      </c>
      <c r="G30" s="52">
        <v>23479.7</v>
      </c>
      <c r="H30" s="53">
        <f t="shared" si="1"/>
        <v>1.2544849237563049E-2</v>
      </c>
      <c r="I30" s="52"/>
      <c r="J30" s="52"/>
      <c r="L30" s="57"/>
      <c r="R30" s="52"/>
      <c r="S30" s="52"/>
      <c r="T30" s="52"/>
      <c r="V30" s="57"/>
    </row>
    <row r="31" spans="2:22" ht="14.4" hidden="1" outlineLevel="1" x14ac:dyDescent="0.3">
      <c r="B31" s="271">
        <v>46063</v>
      </c>
      <c r="C31" s="13">
        <v>437.45</v>
      </c>
      <c r="D31" s="53">
        <f t="shared" si="0"/>
        <v>-1.7343282900892376E-3</v>
      </c>
      <c r="E31" s="51"/>
      <c r="F31" s="271">
        <v>46063</v>
      </c>
      <c r="G31" s="52">
        <v>23398.1</v>
      </c>
      <c r="H31" s="53">
        <f t="shared" si="1"/>
        <v>-3.4753425299302032E-3</v>
      </c>
      <c r="I31" s="52"/>
      <c r="J31" s="52"/>
      <c r="L31" s="57"/>
      <c r="R31" s="52"/>
      <c r="S31" s="52"/>
      <c r="T31" s="52"/>
      <c r="V31" s="57"/>
    </row>
    <row r="32" spans="2:22" ht="14.4" hidden="1" outlineLevel="1" x14ac:dyDescent="0.3">
      <c r="B32" s="271">
        <v>46062</v>
      </c>
      <c r="C32" s="13">
        <v>438.9</v>
      </c>
      <c r="D32" s="53">
        <f t="shared" si="0"/>
        <v>3.3146645330894842E-3</v>
      </c>
      <c r="E32" s="51"/>
      <c r="F32" s="271">
        <v>46062</v>
      </c>
      <c r="G32" s="52">
        <v>23340.7</v>
      </c>
      <c r="H32" s="53">
        <f t="shared" si="1"/>
        <v>-2.4531906436846551E-3</v>
      </c>
      <c r="I32" s="52"/>
      <c r="J32" s="52"/>
      <c r="L32" s="57"/>
      <c r="R32" s="52"/>
      <c r="S32" s="52"/>
      <c r="T32" s="52"/>
      <c r="V32" s="57"/>
    </row>
    <row r="33" spans="2:22" ht="14.4" hidden="1" outlineLevel="1" x14ac:dyDescent="0.3">
      <c r="B33" s="271">
        <v>46059</v>
      </c>
      <c r="C33" s="13">
        <v>426.88</v>
      </c>
      <c r="D33" s="53">
        <f t="shared" si="0"/>
        <v>-2.7386648439279959E-2</v>
      </c>
      <c r="E33" s="51"/>
      <c r="F33" s="271">
        <v>46059</v>
      </c>
      <c r="G33" s="52">
        <v>23252.799999999999</v>
      </c>
      <c r="H33" s="53">
        <f t="shared" si="1"/>
        <v>-3.7659538916999802E-3</v>
      </c>
      <c r="I33" s="52"/>
      <c r="J33" s="52"/>
      <c r="L33" s="57"/>
      <c r="R33" s="52"/>
      <c r="S33" s="52"/>
      <c r="T33" s="52"/>
      <c r="V33" s="57"/>
    </row>
    <row r="34" spans="2:22" ht="14.4" hidden="1" outlineLevel="1" x14ac:dyDescent="0.3">
      <c r="B34" s="271">
        <v>46058</v>
      </c>
      <c r="C34" s="13">
        <v>410.44</v>
      </c>
      <c r="D34" s="53">
        <f t="shared" si="0"/>
        <v>-3.851199400299854E-2</v>
      </c>
      <c r="E34" s="51"/>
      <c r="F34" s="271">
        <v>46058</v>
      </c>
      <c r="G34" s="52">
        <v>22733.3</v>
      </c>
      <c r="H34" s="53">
        <f t="shared" si="1"/>
        <v>-2.2341395444849699E-2</v>
      </c>
      <c r="I34" s="52"/>
      <c r="J34" s="52"/>
      <c r="L34" s="57"/>
      <c r="R34" s="52"/>
      <c r="S34" s="52"/>
      <c r="T34" s="52"/>
      <c r="V34" s="57"/>
    </row>
    <row r="35" spans="2:22" ht="14.4" hidden="1" outlineLevel="1" x14ac:dyDescent="0.3">
      <c r="B35" s="271">
        <v>46057</v>
      </c>
      <c r="C35" s="13">
        <v>418.98</v>
      </c>
      <c r="D35" s="53">
        <f t="shared" si="0"/>
        <v>2.080693889484464E-2</v>
      </c>
      <c r="E35" s="51"/>
      <c r="F35" s="271">
        <v>46057</v>
      </c>
      <c r="G35" s="52">
        <v>22975.599999999999</v>
      </c>
      <c r="H35" s="53">
        <f t="shared" si="1"/>
        <v>1.0658373399374366E-2</v>
      </c>
      <c r="I35" s="52"/>
      <c r="J35" s="52"/>
      <c r="L35" s="57"/>
      <c r="R35" s="52"/>
      <c r="S35" s="52"/>
      <c r="T35" s="52"/>
      <c r="V35" s="57"/>
    </row>
    <row r="36" spans="2:22" ht="14.4" hidden="1" outlineLevel="1" x14ac:dyDescent="0.3">
      <c r="B36" s="271">
        <v>46056</v>
      </c>
      <c r="C36" s="13">
        <v>419.14</v>
      </c>
      <c r="D36" s="53">
        <f t="shared" si="0"/>
        <v>3.8187980333193039E-4</v>
      </c>
      <c r="E36" s="51"/>
      <c r="F36" s="271">
        <v>46056</v>
      </c>
      <c r="G36" s="52">
        <v>22881.200000000001</v>
      </c>
      <c r="H36" s="53">
        <f t="shared" si="1"/>
        <v>-4.1087066279008599E-3</v>
      </c>
      <c r="I36" s="52"/>
      <c r="J36" s="52"/>
      <c r="L36" s="57"/>
      <c r="R36" s="52"/>
      <c r="S36" s="52"/>
      <c r="T36" s="52"/>
      <c r="V36" s="57"/>
    </row>
    <row r="37" spans="2:22" ht="14.4" hidden="1" outlineLevel="1" x14ac:dyDescent="0.3">
      <c r="B37" s="271">
        <v>46055</v>
      </c>
      <c r="C37" s="13">
        <v>457.89</v>
      </c>
      <c r="D37" s="53">
        <f t="shared" si="0"/>
        <v>9.2451209619697439E-2</v>
      </c>
      <c r="E37" s="51"/>
      <c r="F37" s="271">
        <v>46055</v>
      </c>
      <c r="G37" s="52">
        <v>22885.7</v>
      </c>
      <c r="H37" s="53">
        <f t="shared" si="1"/>
        <v>1.966680069227511E-4</v>
      </c>
      <c r="I37" s="52"/>
      <c r="J37" s="52"/>
      <c r="L37" s="57"/>
      <c r="R37" s="52"/>
      <c r="S37" s="52"/>
      <c r="T37" s="52"/>
      <c r="V37" s="57"/>
    </row>
    <row r="38" spans="2:22" ht="14.4" hidden="1" outlineLevel="1" x14ac:dyDescent="0.3">
      <c r="B38" s="271">
        <v>46052</v>
      </c>
      <c r="C38" s="13">
        <v>465.11</v>
      </c>
      <c r="D38" s="53">
        <f t="shared" si="0"/>
        <v>1.5767979208980432E-2</v>
      </c>
      <c r="E38" s="51"/>
      <c r="F38" s="271">
        <v>46052</v>
      </c>
      <c r="G38" s="52">
        <v>22719.3</v>
      </c>
      <c r="H38" s="53">
        <f t="shared" si="1"/>
        <v>-7.2709158994481715E-3</v>
      </c>
      <c r="I38" s="52"/>
      <c r="J38" s="52"/>
      <c r="L38" s="57"/>
      <c r="R38" s="52"/>
      <c r="S38" s="52"/>
      <c r="T38" s="52"/>
      <c r="V38" s="57"/>
    </row>
    <row r="39" spans="2:22" ht="14.4" hidden="1" outlineLevel="1" x14ac:dyDescent="0.3">
      <c r="B39" s="271">
        <v>46051</v>
      </c>
      <c r="C39" s="13">
        <v>480</v>
      </c>
      <c r="D39" s="53">
        <f t="shared" si="0"/>
        <v>3.2013932188084571E-2</v>
      </c>
      <c r="E39" s="51"/>
      <c r="F39" s="271">
        <v>46051</v>
      </c>
      <c r="G39" s="52">
        <v>22875.5</v>
      </c>
      <c r="H39" s="53">
        <f t="shared" si="1"/>
        <v>6.8752118243080584E-3</v>
      </c>
      <c r="I39" s="52"/>
      <c r="J39" s="52"/>
      <c r="L39" s="57"/>
      <c r="R39" s="52"/>
      <c r="S39" s="52"/>
      <c r="T39" s="52"/>
      <c r="V39" s="57"/>
    </row>
    <row r="40" spans="2:22" ht="14.4" hidden="1" outlineLevel="1" x14ac:dyDescent="0.3">
      <c r="B40" s="271">
        <v>46050</v>
      </c>
      <c r="C40" s="13">
        <v>511.35</v>
      </c>
      <c r="D40" s="53">
        <f t="shared" si="0"/>
        <v>6.5312500000000107E-2</v>
      </c>
      <c r="E40" s="51"/>
      <c r="F40" s="271">
        <v>46050</v>
      </c>
      <c r="G40" s="52">
        <v>22800.1</v>
      </c>
      <c r="H40" s="53">
        <f t="shared" si="1"/>
        <v>-3.296102817424873E-3</v>
      </c>
      <c r="I40" s="52"/>
      <c r="J40" s="52"/>
      <c r="L40" s="57"/>
      <c r="R40" s="52"/>
      <c r="S40" s="52"/>
      <c r="T40" s="52"/>
      <c r="V40" s="57"/>
    </row>
    <row r="41" spans="2:22" ht="14.4" hidden="1" outlineLevel="1" x14ac:dyDescent="0.3">
      <c r="B41" s="271">
        <v>46049</v>
      </c>
      <c r="C41" s="13">
        <v>502.7</v>
      </c>
      <c r="D41" s="53">
        <f t="shared" si="0"/>
        <v>-1.6916006649066229E-2</v>
      </c>
      <c r="E41" s="51"/>
      <c r="F41" s="271">
        <v>46049</v>
      </c>
      <c r="G41" s="52">
        <v>22878.2</v>
      </c>
      <c r="H41" s="53">
        <f t="shared" si="1"/>
        <v>3.4254235727038118E-3</v>
      </c>
      <c r="I41" s="52"/>
      <c r="J41" s="52"/>
      <c r="L41" s="57"/>
      <c r="R41" s="52"/>
      <c r="S41" s="52"/>
      <c r="T41" s="52"/>
      <c r="V41" s="57"/>
    </row>
    <row r="42" spans="2:22" ht="14.4" hidden="1" outlineLevel="1" x14ac:dyDescent="0.3">
      <c r="B42" s="271">
        <v>46048</v>
      </c>
      <c r="C42" s="13">
        <v>503.01</v>
      </c>
      <c r="D42" s="53">
        <f t="shared" si="0"/>
        <v>6.1666998209664037E-4</v>
      </c>
      <c r="E42" s="51"/>
      <c r="F42" s="271">
        <v>46048</v>
      </c>
      <c r="G42" s="52">
        <v>22829.1</v>
      </c>
      <c r="H42" s="53">
        <f t="shared" si="1"/>
        <v>-2.1461478612828655E-3</v>
      </c>
      <c r="I42" s="52"/>
      <c r="J42" s="52"/>
      <c r="L42" s="57"/>
      <c r="R42" s="52"/>
      <c r="S42" s="52"/>
      <c r="T42" s="52"/>
      <c r="V42" s="57"/>
    </row>
    <row r="43" spans="2:22" ht="14.4" hidden="1" outlineLevel="1" x14ac:dyDescent="0.3">
      <c r="B43" s="271">
        <v>46045</v>
      </c>
      <c r="C43" s="13">
        <v>501.39</v>
      </c>
      <c r="D43" s="53">
        <f t="shared" si="0"/>
        <v>-3.2206119162641045E-3</v>
      </c>
      <c r="E43" s="51"/>
      <c r="F43" s="271">
        <v>46045</v>
      </c>
      <c r="G43" s="52">
        <v>22757.200000000001</v>
      </c>
      <c r="H43" s="53">
        <f t="shared" si="1"/>
        <v>-3.1494890293527478E-3</v>
      </c>
      <c r="I43" s="52"/>
      <c r="J43" s="52"/>
      <c r="L43" s="57"/>
      <c r="R43" s="52"/>
      <c r="S43" s="52"/>
      <c r="T43" s="52"/>
      <c r="V43" s="57"/>
    </row>
    <row r="44" spans="2:22" ht="14.4" hidden="1" outlineLevel="1" x14ac:dyDescent="0.3">
      <c r="B44" s="271">
        <v>46044</v>
      </c>
      <c r="C44" s="13">
        <v>509.47</v>
      </c>
      <c r="D44" s="53">
        <f t="shared" si="0"/>
        <v>1.6115199744709763E-2</v>
      </c>
      <c r="E44" s="51"/>
      <c r="F44" s="271">
        <v>46044</v>
      </c>
      <c r="G44" s="52">
        <v>22797.200000000001</v>
      </c>
      <c r="H44" s="53">
        <f t="shared" si="1"/>
        <v>1.7576854797602959E-3</v>
      </c>
      <c r="I44" s="52"/>
      <c r="J44" s="52"/>
      <c r="L44" s="57"/>
      <c r="R44" s="52"/>
      <c r="S44" s="52"/>
      <c r="T44" s="52"/>
      <c r="V44" s="57"/>
    </row>
    <row r="45" spans="2:22" ht="14.4" hidden="1" outlineLevel="1" x14ac:dyDescent="0.3">
      <c r="B45" s="271">
        <v>46043</v>
      </c>
      <c r="C45" s="13">
        <v>521.95000000000005</v>
      </c>
      <c r="D45" s="53">
        <f t="shared" si="0"/>
        <v>2.4496044909415593E-2</v>
      </c>
      <c r="E45" s="51"/>
      <c r="F45" s="271">
        <v>46043</v>
      </c>
      <c r="G45" s="52">
        <v>22726.5</v>
      </c>
      <c r="H45" s="53">
        <f t="shared" si="1"/>
        <v>-3.1012580492341124E-3</v>
      </c>
      <c r="I45" s="52"/>
      <c r="J45" s="52"/>
      <c r="L45" s="57"/>
      <c r="R45" s="52"/>
      <c r="S45" s="52"/>
      <c r="T45" s="52"/>
      <c r="V45" s="57"/>
    </row>
    <row r="46" spans="2:22" ht="14.4" hidden="1" outlineLevel="1" x14ac:dyDescent="0.3">
      <c r="B46" s="271">
        <v>46042</v>
      </c>
      <c r="C46" s="13">
        <v>510.97</v>
      </c>
      <c r="D46" s="53">
        <f t="shared" si="0"/>
        <v>-2.1036497748826544E-2</v>
      </c>
      <c r="E46" s="51"/>
      <c r="F46" s="271">
        <v>46042</v>
      </c>
      <c r="G46" s="52">
        <v>22473.200000000001</v>
      </c>
      <c r="H46" s="53">
        <f t="shared" si="1"/>
        <v>-1.1145578949684265E-2</v>
      </c>
      <c r="I46" s="52"/>
      <c r="J46" s="52"/>
      <c r="L46" s="57"/>
      <c r="R46" s="52"/>
      <c r="S46" s="52"/>
      <c r="T46" s="52"/>
      <c r="V46" s="57"/>
    </row>
    <row r="47" spans="2:22" ht="14.4" hidden="1" outlineLevel="1" x14ac:dyDescent="0.3">
      <c r="B47" s="271">
        <v>46038</v>
      </c>
      <c r="C47" s="13">
        <v>516.30999999999995</v>
      </c>
      <c r="D47" s="53">
        <f t="shared" si="0"/>
        <v>1.0450711392057999E-2</v>
      </c>
      <c r="E47" s="51"/>
      <c r="F47" s="271">
        <v>46038</v>
      </c>
      <c r="G47" s="52">
        <v>22807.1</v>
      </c>
      <c r="H47" s="53">
        <f t="shared" si="1"/>
        <v>1.4857697168182415E-2</v>
      </c>
      <c r="I47" s="52"/>
      <c r="J47" s="52"/>
      <c r="L47" s="57"/>
      <c r="R47" s="52"/>
      <c r="S47" s="52"/>
      <c r="T47" s="52"/>
      <c r="V47" s="57"/>
    </row>
    <row r="48" spans="2:22" ht="14.4" hidden="1" outlineLevel="1" x14ac:dyDescent="0.3">
      <c r="B48" s="271">
        <v>46037</v>
      </c>
      <c r="C48" s="13">
        <v>508.19</v>
      </c>
      <c r="D48" s="53">
        <f t="shared" si="0"/>
        <v>-1.5726985725629805E-2</v>
      </c>
      <c r="E48" s="51"/>
      <c r="F48" s="271">
        <v>46037</v>
      </c>
      <c r="G48" s="52">
        <v>22808.799999999999</v>
      </c>
      <c r="H48" s="53">
        <f t="shared" si="1"/>
        <v>7.4538192054163233E-5</v>
      </c>
      <c r="I48" s="52"/>
      <c r="J48" s="52"/>
      <c r="L48" s="57"/>
      <c r="R48" s="52"/>
      <c r="S48" s="52"/>
      <c r="T48" s="52"/>
      <c r="V48" s="57"/>
    </row>
    <row r="49" spans="2:22" ht="14.4" hidden="1" outlineLevel="1" x14ac:dyDescent="0.3">
      <c r="B49" s="271">
        <v>46036</v>
      </c>
      <c r="C49" s="13">
        <v>505.34</v>
      </c>
      <c r="D49" s="53">
        <f t="shared" si="0"/>
        <v>-5.608138688285913E-3</v>
      </c>
      <c r="E49" s="51"/>
      <c r="F49" s="271">
        <v>46036</v>
      </c>
      <c r="G49" s="52">
        <v>22721.200000000001</v>
      </c>
      <c r="H49" s="53">
        <f t="shared" si="1"/>
        <v>-3.8406229174703377E-3</v>
      </c>
      <c r="I49" s="52"/>
      <c r="J49" s="52"/>
      <c r="L49" s="57"/>
      <c r="R49" s="52"/>
      <c r="S49" s="52"/>
      <c r="T49" s="52"/>
      <c r="V49" s="57"/>
    </row>
    <row r="50" spans="2:22" ht="14.4" hidden="1" outlineLevel="1" x14ac:dyDescent="0.3">
      <c r="B50" s="271">
        <v>46035</v>
      </c>
      <c r="C50" s="13">
        <v>511.8</v>
      </c>
      <c r="D50" s="53">
        <f t="shared" si="0"/>
        <v>1.2783472513555383E-2</v>
      </c>
      <c r="E50" s="51"/>
      <c r="F50" s="271">
        <v>46035</v>
      </c>
      <c r="G50" s="52">
        <v>22655.4</v>
      </c>
      <c r="H50" s="53">
        <f t="shared" si="1"/>
        <v>-2.8959738042004801E-3</v>
      </c>
      <c r="I50" s="52"/>
      <c r="J50" s="52"/>
      <c r="L50" s="57"/>
      <c r="R50" s="52"/>
      <c r="S50" s="52"/>
      <c r="T50" s="52"/>
      <c r="V50" s="57"/>
    </row>
    <row r="51" spans="2:22" ht="14.4" hidden="1" outlineLevel="1" x14ac:dyDescent="0.3">
      <c r="B51" s="271">
        <v>46034</v>
      </c>
      <c r="C51" s="13">
        <v>533.41999999999996</v>
      </c>
      <c r="D51" s="53">
        <f t="shared" si="0"/>
        <v>4.2243063696756344E-2</v>
      </c>
      <c r="E51" s="51"/>
      <c r="F51" s="271">
        <v>46034</v>
      </c>
      <c r="G51" s="52">
        <v>22695.9</v>
      </c>
      <c r="H51" s="53">
        <f t="shared" si="1"/>
        <v>1.7876532747158613E-3</v>
      </c>
      <c r="I51" s="52"/>
      <c r="J51" s="52"/>
      <c r="L51" s="57"/>
      <c r="R51" s="52"/>
      <c r="S51" s="52"/>
      <c r="T51" s="52"/>
      <c r="V51" s="57"/>
    </row>
    <row r="52" spans="2:22" ht="14.4" hidden="1" outlineLevel="1" x14ac:dyDescent="0.3">
      <c r="B52" s="271">
        <v>46031</v>
      </c>
      <c r="C52" s="13">
        <v>525.17999999999995</v>
      </c>
      <c r="D52" s="53">
        <f t="shared" si="0"/>
        <v>-1.5447489782910329E-2</v>
      </c>
      <c r="E52" s="51"/>
      <c r="F52" s="271">
        <v>46031</v>
      </c>
      <c r="G52" s="52">
        <v>22591.7</v>
      </c>
      <c r="H52" s="53">
        <f t="shared" si="1"/>
        <v>-4.5911376063518805E-3</v>
      </c>
      <c r="I52" s="52"/>
      <c r="J52" s="52"/>
      <c r="L52" s="57"/>
      <c r="R52" s="52"/>
      <c r="S52" s="52"/>
      <c r="T52" s="52"/>
      <c r="V52" s="57"/>
    </row>
    <row r="53" spans="2:22" ht="14.4" hidden="1" outlineLevel="1" x14ac:dyDescent="0.3">
      <c r="B53" s="271">
        <v>46030</v>
      </c>
      <c r="C53" s="13">
        <v>514.49</v>
      </c>
      <c r="D53" s="53">
        <f t="shared" si="0"/>
        <v>-2.0354925930157197E-2</v>
      </c>
      <c r="E53" s="51"/>
      <c r="F53" s="271">
        <v>46030</v>
      </c>
      <c r="G53" s="52">
        <v>22485.7</v>
      </c>
      <c r="H53" s="53">
        <f t="shared" si="1"/>
        <v>-4.691988650699197E-3</v>
      </c>
      <c r="I53" s="52"/>
      <c r="J53" s="52"/>
      <c r="L53" s="57"/>
      <c r="R53" s="52"/>
      <c r="S53" s="52"/>
      <c r="T53" s="52"/>
      <c r="V53" s="57"/>
    </row>
    <row r="54" spans="2:22" ht="14.4" hidden="1" outlineLevel="1" x14ac:dyDescent="0.3">
      <c r="B54" s="271">
        <v>46029</v>
      </c>
      <c r="C54" s="13">
        <v>519.70000000000005</v>
      </c>
      <c r="D54" s="53">
        <f t="shared" si="0"/>
        <v>1.0126533071585619E-2</v>
      </c>
      <c r="E54" s="51"/>
      <c r="F54" s="271">
        <v>46029</v>
      </c>
      <c r="G54" s="52">
        <v>22341.200000000001</v>
      </c>
      <c r="H54" s="53">
        <f t="shared" si="1"/>
        <v>-6.4263064970181416E-3</v>
      </c>
      <c r="I54" s="52"/>
      <c r="J54" s="52"/>
      <c r="L54" s="57"/>
      <c r="R54" s="52"/>
      <c r="S54" s="52"/>
      <c r="T54" s="52"/>
      <c r="V54" s="57"/>
    </row>
    <row r="55" spans="2:22" ht="14.4" hidden="1" outlineLevel="1" x14ac:dyDescent="0.3">
      <c r="B55" s="271">
        <v>46028</v>
      </c>
      <c r="C55" s="13">
        <v>508.77</v>
      </c>
      <c r="D55" s="53">
        <f t="shared" si="0"/>
        <v>-2.1031364248605078E-2</v>
      </c>
      <c r="E55" s="51"/>
      <c r="F55" s="271">
        <v>46028</v>
      </c>
      <c r="G55" s="52">
        <v>22570.799999999999</v>
      </c>
      <c r="H55" s="53">
        <f t="shared" si="1"/>
        <v>1.0276977064795023E-2</v>
      </c>
      <c r="I55" s="52"/>
      <c r="J55" s="52"/>
      <c r="L55" s="57"/>
      <c r="R55" s="52"/>
      <c r="S55" s="52"/>
      <c r="T55" s="52"/>
      <c r="V55" s="57"/>
    </row>
    <row r="56" spans="2:22" ht="14.4" hidden="1" outlineLevel="1" x14ac:dyDescent="0.3">
      <c r="B56" s="271">
        <v>46027</v>
      </c>
      <c r="C56" s="13">
        <v>494.19</v>
      </c>
      <c r="D56" s="53">
        <f t="shared" si="0"/>
        <v>-2.8657350079603683E-2</v>
      </c>
      <c r="E56" s="51"/>
      <c r="F56" s="271">
        <v>46027</v>
      </c>
      <c r="G56" s="52">
        <v>22432.1</v>
      </c>
      <c r="H56" s="53">
        <f t="shared" si="1"/>
        <v>-6.1451078384461288E-3</v>
      </c>
      <c r="I56" s="52"/>
      <c r="J56" s="52"/>
      <c r="L56" s="57"/>
      <c r="R56" s="52"/>
      <c r="S56" s="52"/>
      <c r="T56" s="52"/>
      <c r="V56" s="57"/>
    </row>
    <row r="57" spans="2:22" ht="14.4" hidden="1" outlineLevel="1" x14ac:dyDescent="0.3">
      <c r="B57" s="271">
        <v>46024</v>
      </c>
      <c r="C57" s="13">
        <v>480.42</v>
      </c>
      <c r="D57" s="53">
        <f t="shared" si="0"/>
        <v>-2.786377708978327E-2</v>
      </c>
      <c r="E57" s="51"/>
      <c r="F57" s="271">
        <v>46024</v>
      </c>
      <c r="G57" s="52">
        <v>22233.8</v>
      </c>
      <c r="H57" s="53">
        <f t="shared" si="1"/>
        <v>-8.8400105206377644E-3</v>
      </c>
      <c r="I57" s="52"/>
      <c r="J57" s="52"/>
      <c r="L57" s="57"/>
      <c r="R57" s="52"/>
      <c r="S57" s="52"/>
      <c r="T57" s="52"/>
      <c r="V57" s="57"/>
    </row>
    <row r="58" spans="2:22" ht="14.4" hidden="1" outlineLevel="1" x14ac:dyDescent="0.3">
      <c r="B58" s="271">
        <v>46022</v>
      </c>
      <c r="C58" s="13">
        <v>469.72</v>
      </c>
      <c r="D58" s="53">
        <f t="shared" si="0"/>
        <v>-2.2272178510470031E-2</v>
      </c>
      <c r="E58" s="51"/>
      <c r="F58" s="271">
        <v>46022</v>
      </c>
      <c r="G58" s="52">
        <v>22003.9</v>
      </c>
      <c r="H58" s="53">
        <f t="shared" si="1"/>
        <v>-1.0340112801230483E-2</v>
      </c>
      <c r="I58" s="52"/>
      <c r="J58" s="52"/>
      <c r="L58" s="57"/>
      <c r="R58" s="52"/>
      <c r="S58" s="52"/>
      <c r="T58" s="52"/>
      <c r="V58" s="57"/>
    </row>
    <row r="59" spans="2:22" ht="14.4" hidden="1" outlineLevel="1" x14ac:dyDescent="0.3">
      <c r="B59" s="271">
        <v>46021</v>
      </c>
      <c r="C59" s="13">
        <v>474.49</v>
      </c>
      <c r="D59" s="53">
        <f t="shared" si="0"/>
        <v>1.0154985949075934E-2</v>
      </c>
      <c r="E59" s="51"/>
      <c r="F59" s="271">
        <v>46021</v>
      </c>
      <c r="G59" s="52">
        <v>22148.1</v>
      </c>
      <c r="H59" s="53">
        <f t="shared" si="1"/>
        <v>6.5533837183406884E-3</v>
      </c>
      <c r="I59" s="52"/>
      <c r="J59" s="52"/>
      <c r="L59" s="57"/>
      <c r="R59" s="52"/>
      <c r="S59" s="52"/>
      <c r="T59" s="52"/>
      <c r="V59" s="57"/>
    </row>
    <row r="60" spans="2:22" ht="14.4" hidden="1" outlineLevel="1" x14ac:dyDescent="0.3">
      <c r="B60" s="271">
        <v>46020</v>
      </c>
      <c r="C60" s="13">
        <v>478.97</v>
      </c>
      <c r="D60" s="53">
        <f t="shared" si="0"/>
        <v>9.4417163691542516E-3</v>
      </c>
      <c r="E60" s="51"/>
      <c r="F60" s="271">
        <v>46020</v>
      </c>
      <c r="G60" s="52">
        <v>22165.9</v>
      </c>
      <c r="H60" s="53">
        <f t="shared" si="1"/>
        <v>8.0368067689784439E-4</v>
      </c>
      <c r="I60" s="52"/>
      <c r="J60" s="52"/>
      <c r="L60" s="57"/>
      <c r="R60" s="52"/>
      <c r="S60" s="52"/>
      <c r="T60" s="52"/>
      <c r="V60" s="57"/>
    </row>
    <row r="61" spans="2:22" ht="14.4" hidden="1" outlineLevel="1" x14ac:dyDescent="0.3">
      <c r="B61" s="271">
        <v>46017</v>
      </c>
      <c r="C61" s="13">
        <v>477.14</v>
      </c>
      <c r="D61" s="53">
        <f t="shared" si="0"/>
        <v>-3.8206985823747708E-3</v>
      </c>
      <c r="E61" s="51"/>
      <c r="F61" s="271">
        <v>46017</v>
      </c>
      <c r="G61" s="52">
        <v>22246.6</v>
      </c>
      <c r="H61" s="53">
        <f t="shared" si="1"/>
        <v>3.6407274236551768E-3</v>
      </c>
      <c r="I61" s="52"/>
      <c r="J61" s="52"/>
      <c r="L61" s="57"/>
      <c r="R61" s="52"/>
      <c r="S61" s="52"/>
      <c r="T61" s="52"/>
      <c r="V61" s="57"/>
    </row>
    <row r="62" spans="2:22" ht="14.4" hidden="1" outlineLevel="1" x14ac:dyDescent="0.3">
      <c r="B62" s="271">
        <v>46015</v>
      </c>
      <c r="C62" s="13">
        <v>475.75</v>
      </c>
      <c r="D62" s="53">
        <f t="shared" si="0"/>
        <v>-2.9131910969526498E-3</v>
      </c>
      <c r="E62" s="51"/>
      <c r="F62" s="271">
        <v>46015</v>
      </c>
      <c r="G62" s="52">
        <v>22229.1</v>
      </c>
      <c r="H62" s="53">
        <f t="shared" si="1"/>
        <v>-7.8663705914616688E-4</v>
      </c>
      <c r="I62" s="52"/>
      <c r="J62" s="52"/>
      <c r="L62" s="57"/>
      <c r="R62" s="52"/>
      <c r="S62" s="52"/>
      <c r="T62" s="52"/>
      <c r="V62" s="57"/>
    </row>
    <row r="63" spans="2:22" ht="14.4" hidden="1" outlineLevel="1" x14ac:dyDescent="0.3">
      <c r="B63" s="271">
        <v>46014</v>
      </c>
      <c r="C63" s="13">
        <v>475.47</v>
      </c>
      <c r="D63" s="53">
        <f t="shared" si="0"/>
        <v>-5.8854440357325455E-4</v>
      </c>
      <c r="E63" s="51"/>
      <c r="F63" s="271">
        <v>46014</v>
      </c>
      <c r="G63" s="52">
        <v>22151.7</v>
      </c>
      <c r="H63" s="53">
        <f t="shared" si="1"/>
        <v>-3.481922345034083E-3</v>
      </c>
      <c r="I63" s="52"/>
      <c r="J63" s="52"/>
      <c r="L63" s="57"/>
      <c r="R63" s="52"/>
      <c r="S63" s="52"/>
      <c r="T63" s="52"/>
      <c r="V63" s="57"/>
    </row>
    <row r="64" spans="2:22" ht="14.4" hidden="1" outlineLevel="1" x14ac:dyDescent="0.3">
      <c r="B64" s="271">
        <v>46013</v>
      </c>
      <c r="C64" s="13">
        <v>481.24</v>
      </c>
      <c r="D64" s="53">
        <f t="shared" si="0"/>
        <v>1.2135360800891615E-2</v>
      </c>
      <c r="E64" s="51"/>
      <c r="F64" s="271">
        <v>46013</v>
      </c>
      <c r="G64" s="52">
        <v>22111.3</v>
      </c>
      <c r="H64" s="53">
        <f t="shared" si="1"/>
        <v>-1.8237877905533662E-3</v>
      </c>
      <c r="I64" s="52"/>
      <c r="J64" s="52"/>
      <c r="L64" s="57"/>
      <c r="R64" s="52"/>
      <c r="S64" s="52"/>
      <c r="T64" s="52"/>
      <c r="V64" s="57"/>
    </row>
    <row r="65" spans="2:22" ht="14.4" hidden="1" outlineLevel="1" x14ac:dyDescent="0.3">
      <c r="B65" s="271">
        <v>46010</v>
      </c>
      <c r="C65" s="13">
        <v>463.73</v>
      </c>
      <c r="D65" s="53">
        <f t="shared" si="0"/>
        <v>-3.6385171639930158E-2</v>
      </c>
      <c r="E65" s="51"/>
      <c r="F65" s="271">
        <v>46010</v>
      </c>
      <c r="G65" s="52">
        <v>21923.9</v>
      </c>
      <c r="H65" s="53">
        <f t="shared" si="1"/>
        <v>-8.4753044823233648E-3</v>
      </c>
      <c r="I65" s="52"/>
      <c r="J65" s="52"/>
      <c r="L65" s="57"/>
      <c r="R65" s="52"/>
      <c r="S65" s="52"/>
      <c r="T65" s="52"/>
      <c r="V65" s="57"/>
    </row>
    <row r="66" spans="2:22" ht="14.4" hidden="1" outlineLevel="1" x14ac:dyDescent="0.3">
      <c r="B66" s="271">
        <v>46009</v>
      </c>
      <c r="C66" s="13">
        <v>458.13</v>
      </c>
      <c r="D66" s="53">
        <f t="shared" si="0"/>
        <v>-1.2075992495633292E-2</v>
      </c>
      <c r="E66" s="51"/>
      <c r="F66" s="271">
        <v>46009</v>
      </c>
      <c r="G66" s="52">
        <v>21807.9</v>
      </c>
      <c r="H66" s="53">
        <f t="shared" si="1"/>
        <v>-5.2910294245093192E-3</v>
      </c>
      <c r="I66" s="52"/>
      <c r="J66" s="52"/>
      <c r="L66" s="57"/>
      <c r="R66" s="52"/>
      <c r="S66" s="52"/>
      <c r="T66" s="52"/>
      <c r="V66" s="57"/>
    </row>
    <row r="67" spans="2:22" ht="14.4" hidden="1" outlineLevel="1" x14ac:dyDescent="0.3">
      <c r="B67" s="271">
        <v>46008</v>
      </c>
      <c r="C67" s="13">
        <v>453.07</v>
      </c>
      <c r="D67" s="53">
        <f t="shared" si="0"/>
        <v>-1.104489991923685E-2</v>
      </c>
      <c r="E67" s="51"/>
      <c r="F67" s="271">
        <v>46008</v>
      </c>
      <c r="G67" s="52">
        <v>21756</v>
      </c>
      <c r="H67" s="53">
        <f t="shared" si="1"/>
        <v>-2.3798715144512927E-3</v>
      </c>
      <c r="I67" s="52"/>
      <c r="J67" s="52"/>
      <c r="L67" s="57"/>
      <c r="R67" s="52"/>
      <c r="S67" s="52"/>
      <c r="T67" s="52"/>
      <c r="V67" s="57"/>
    </row>
    <row r="68" spans="2:22" ht="14.4" hidden="1" outlineLevel="1" x14ac:dyDescent="0.3">
      <c r="B68" s="271">
        <v>46007</v>
      </c>
      <c r="C68" s="13">
        <v>463.34</v>
      </c>
      <c r="D68" s="53">
        <f t="shared" si="0"/>
        <v>2.2667578961308443E-2</v>
      </c>
      <c r="E68" s="51"/>
      <c r="F68" s="271">
        <v>46007</v>
      </c>
      <c r="G68" s="52">
        <v>21842.1</v>
      </c>
      <c r="H68" s="53">
        <f t="shared" si="1"/>
        <v>3.9575289575288775E-3</v>
      </c>
      <c r="I68" s="52"/>
      <c r="J68" s="52"/>
      <c r="L68" s="57"/>
      <c r="R68" s="52"/>
      <c r="S68" s="52"/>
      <c r="T68" s="52"/>
      <c r="V68" s="57"/>
    </row>
    <row r="69" spans="2:22" ht="14.4" hidden="1" outlineLevel="1" x14ac:dyDescent="0.3">
      <c r="B69" s="271">
        <v>46006</v>
      </c>
      <c r="C69" s="13">
        <v>454.67</v>
      </c>
      <c r="D69" s="53">
        <f t="shared" si="0"/>
        <v>-1.8711960978978648E-2</v>
      </c>
      <c r="E69" s="51"/>
      <c r="F69" s="271">
        <v>46006</v>
      </c>
      <c r="G69" s="52">
        <v>22030</v>
      </c>
      <c r="H69" s="53">
        <f t="shared" si="1"/>
        <v>8.6026526753379962E-3</v>
      </c>
      <c r="I69" s="52"/>
      <c r="J69" s="52"/>
      <c r="L69" s="57"/>
      <c r="R69" s="52"/>
      <c r="S69" s="52"/>
      <c r="T69" s="52"/>
      <c r="V69" s="57"/>
    </row>
    <row r="70" spans="2:22" ht="14.4" hidden="1" outlineLevel="1" x14ac:dyDescent="0.3">
      <c r="B70" s="271">
        <v>46003</v>
      </c>
      <c r="C70" s="13">
        <v>452.95</v>
      </c>
      <c r="D70" s="53">
        <f t="shared" si="0"/>
        <v>-3.7829634680097701E-3</v>
      </c>
      <c r="E70" s="51"/>
      <c r="F70" s="271">
        <v>46003</v>
      </c>
      <c r="G70" s="52">
        <v>22004.3</v>
      </c>
      <c r="H70" s="53">
        <f t="shared" si="1"/>
        <v>-1.1665910122560241E-3</v>
      </c>
      <c r="I70" s="52"/>
      <c r="J70" s="52"/>
      <c r="L70" s="57"/>
      <c r="R70" s="52"/>
      <c r="S70" s="52"/>
      <c r="T70" s="52"/>
      <c r="V70" s="57"/>
    </row>
    <row r="71" spans="2:22" ht="14.4" hidden="1" outlineLevel="1" x14ac:dyDescent="0.3">
      <c r="B71" s="271">
        <v>46002</v>
      </c>
      <c r="C71" s="13">
        <v>477.26</v>
      </c>
      <c r="D71" s="53">
        <f t="shared" si="0"/>
        <v>5.3670383044486236E-2</v>
      </c>
      <c r="E71" s="51"/>
      <c r="F71" s="271">
        <v>46002</v>
      </c>
      <c r="G71" s="52">
        <v>22114.400000000001</v>
      </c>
      <c r="H71" s="53">
        <f t="shared" si="1"/>
        <v>5.0035674845372302E-3</v>
      </c>
      <c r="I71" s="52"/>
      <c r="J71" s="52"/>
      <c r="L71" s="57"/>
      <c r="R71" s="52"/>
      <c r="S71" s="52"/>
      <c r="T71" s="52"/>
      <c r="V71" s="57"/>
    </row>
    <row r="72" spans="2:22" ht="14.4" hidden="1" outlineLevel="1" x14ac:dyDescent="0.3">
      <c r="B72" s="271">
        <v>46001</v>
      </c>
      <c r="C72" s="13">
        <v>475.83</v>
      </c>
      <c r="D72" s="53">
        <f t="shared" si="0"/>
        <v>-2.9962703767338894E-3</v>
      </c>
      <c r="E72" s="51"/>
      <c r="F72" s="271">
        <v>46001</v>
      </c>
      <c r="G72" s="52">
        <v>21933.3</v>
      </c>
      <c r="H72" s="53">
        <f t="shared" si="1"/>
        <v>-8.189234164164616E-3</v>
      </c>
      <c r="I72" s="52"/>
      <c r="J72" s="52"/>
      <c r="L72" s="57"/>
      <c r="R72" s="52"/>
      <c r="S72" s="52"/>
      <c r="T72" s="52"/>
      <c r="V72" s="57"/>
    </row>
    <row r="73" spans="2:22" ht="14.4" hidden="1" outlineLevel="1" x14ac:dyDescent="0.3">
      <c r="B73" s="271">
        <v>46000</v>
      </c>
      <c r="C73" s="13">
        <v>465.85</v>
      </c>
      <c r="D73" s="53">
        <f t="shared" si="0"/>
        <v>-2.0973877225059279E-2</v>
      </c>
      <c r="E73" s="51"/>
      <c r="F73" s="271">
        <v>46000</v>
      </c>
      <c r="G73" s="52">
        <v>21654.799999999999</v>
      </c>
      <c r="H73" s="53">
        <f t="shared" si="1"/>
        <v>-1.2697587686303469E-2</v>
      </c>
      <c r="I73" s="52"/>
      <c r="J73" s="52"/>
      <c r="L73" s="57"/>
      <c r="R73" s="52"/>
      <c r="S73" s="52"/>
      <c r="T73" s="52"/>
      <c r="V73" s="57"/>
    </row>
    <row r="74" spans="2:22" ht="14.4" hidden="1" outlineLevel="1" x14ac:dyDescent="0.3">
      <c r="B74" s="271">
        <v>45999</v>
      </c>
      <c r="C74" s="13">
        <v>465.75</v>
      </c>
      <c r="D74" s="53">
        <f t="shared" si="0"/>
        <v>-2.1466137168624222E-4</v>
      </c>
      <c r="E74" s="51"/>
      <c r="F74" s="271">
        <v>45999</v>
      </c>
      <c r="G74" s="52">
        <v>21703.200000000001</v>
      </c>
      <c r="H74" s="53">
        <f t="shared" si="1"/>
        <v>2.2350702846483106E-3</v>
      </c>
      <c r="I74" s="52"/>
      <c r="J74" s="52"/>
      <c r="L74" s="57"/>
      <c r="R74" s="52"/>
      <c r="S74" s="52"/>
      <c r="T74" s="52"/>
      <c r="V74" s="57"/>
    </row>
    <row r="75" spans="2:22" ht="14.4" hidden="1" outlineLevel="1" x14ac:dyDescent="0.3">
      <c r="B75" s="271">
        <v>45996</v>
      </c>
      <c r="C75" s="13">
        <v>466.76</v>
      </c>
      <c r="D75" s="53">
        <f t="shared" si="0"/>
        <v>2.1685453569511015E-3</v>
      </c>
      <c r="E75" s="51"/>
      <c r="F75" s="271">
        <v>45996</v>
      </c>
      <c r="G75" s="52">
        <v>21810.1</v>
      </c>
      <c r="H75" s="53">
        <f t="shared" si="1"/>
        <v>4.9255409340556167E-3</v>
      </c>
      <c r="I75" s="52"/>
      <c r="J75" s="52"/>
      <c r="L75" s="57"/>
      <c r="R75" s="52"/>
      <c r="S75" s="52"/>
      <c r="T75" s="52"/>
      <c r="V75" s="57"/>
    </row>
    <row r="76" spans="2:22" ht="14.4" hidden="1" outlineLevel="1" x14ac:dyDescent="0.3">
      <c r="B76" s="271">
        <v>45995</v>
      </c>
      <c r="C76" s="13">
        <v>463.74</v>
      </c>
      <c r="D76" s="53">
        <f t="shared" si="0"/>
        <v>-6.4701345445196123E-3</v>
      </c>
      <c r="E76" s="51"/>
      <c r="F76" s="271">
        <v>45995</v>
      </c>
      <c r="G76" s="52">
        <v>21835.8</v>
      </c>
      <c r="H76" s="53">
        <f t="shared" si="1"/>
        <v>1.1783531483120502E-3</v>
      </c>
      <c r="I76" s="52"/>
      <c r="J76" s="52"/>
      <c r="L76" s="57"/>
      <c r="R76" s="52"/>
      <c r="S76" s="52"/>
      <c r="T76" s="52"/>
      <c r="V76" s="57"/>
    </row>
    <row r="77" spans="2:22" ht="14.4" hidden="1" outlineLevel="1" x14ac:dyDescent="0.3">
      <c r="B77" s="271">
        <v>45994</v>
      </c>
      <c r="C77" s="13">
        <v>466.44</v>
      </c>
      <c r="D77" s="53">
        <f t="shared" si="0"/>
        <v>5.8222279725708148E-3</v>
      </c>
      <c r="E77" s="51"/>
      <c r="F77" s="271">
        <v>45994</v>
      </c>
      <c r="G77" s="52">
        <v>21805.4</v>
      </c>
      <c r="H77" s="53">
        <f t="shared" si="1"/>
        <v>-1.392209124465249E-3</v>
      </c>
      <c r="I77" s="52"/>
      <c r="J77" s="52"/>
      <c r="L77" s="57"/>
      <c r="R77" s="52"/>
      <c r="S77" s="52"/>
      <c r="T77" s="52"/>
      <c r="V77" s="57"/>
    </row>
    <row r="78" spans="2:22" ht="14.4" hidden="1" outlineLevel="1" x14ac:dyDescent="0.3">
      <c r="B78" s="271">
        <v>45993</v>
      </c>
      <c r="C78" s="13">
        <v>449.35</v>
      </c>
      <c r="D78" s="53">
        <f t="shared" si="0"/>
        <v>-3.6639224766314982E-2</v>
      </c>
      <c r="E78" s="51"/>
      <c r="F78" s="271">
        <v>45993</v>
      </c>
      <c r="G78" s="52">
        <v>21650.5</v>
      </c>
      <c r="H78" s="53">
        <f t="shared" si="1"/>
        <v>-7.1037449439130818E-3</v>
      </c>
      <c r="I78" s="52"/>
      <c r="J78" s="52"/>
      <c r="L78" s="57"/>
      <c r="R78" s="52"/>
      <c r="S78" s="52"/>
      <c r="T78" s="52"/>
      <c r="V78" s="57"/>
    </row>
    <row r="79" spans="2:22" ht="14.4" hidden="1" outlineLevel="1" x14ac:dyDescent="0.3">
      <c r="B79" s="271">
        <v>45992</v>
      </c>
      <c r="C79" s="13">
        <v>438.29</v>
      </c>
      <c r="D79" s="53">
        <f t="shared" ref="D79:D142" si="2">C79/C78-1</f>
        <v>-2.4613330366084374E-2</v>
      </c>
      <c r="E79" s="51"/>
      <c r="F79" s="271">
        <v>45992</v>
      </c>
      <c r="G79" s="52">
        <v>21666.5</v>
      </c>
      <c r="H79" s="53">
        <f t="shared" si="1"/>
        <v>7.3901295582090576E-4</v>
      </c>
      <c r="I79" s="52"/>
      <c r="J79" s="52"/>
      <c r="L79" s="57"/>
      <c r="R79" s="52"/>
      <c r="S79" s="52"/>
      <c r="T79" s="52"/>
      <c r="V79" s="57"/>
    </row>
    <row r="80" spans="2:22" ht="14.4" hidden="1" outlineLevel="1" x14ac:dyDescent="0.3">
      <c r="B80" s="271">
        <v>45989</v>
      </c>
      <c r="C80" s="13">
        <v>418.01</v>
      </c>
      <c r="D80" s="53">
        <f t="shared" si="2"/>
        <v>-4.6270733988911572E-2</v>
      </c>
      <c r="E80" s="51"/>
      <c r="F80" s="271">
        <v>45989</v>
      </c>
      <c r="G80" s="52">
        <v>21824.7</v>
      </c>
      <c r="H80" s="53">
        <f t="shared" ref="H80:H143" si="3">G80/G79-1</f>
        <v>7.3015946276511201E-3</v>
      </c>
      <c r="I80" s="52"/>
      <c r="J80" s="52"/>
      <c r="L80" s="57"/>
      <c r="R80" s="52"/>
      <c r="S80" s="52"/>
      <c r="T80" s="52"/>
      <c r="V80" s="57"/>
    </row>
    <row r="81" spans="2:22" ht="14.4" hidden="1" outlineLevel="1" x14ac:dyDescent="0.3">
      <c r="B81" s="271">
        <v>45987</v>
      </c>
      <c r="C81" s="13">
        <v>409.68</v>
      </c>
      <c r="D81" s="53">
        <f t="shared" si="2"/>
        <v>-1.9927752924571163E-2</v>
      </c>
      <c r="E81" s="61"/>
      <c r="F81" s="271">
        <v>45987</v>
      </c>
      <c r="G81" s="52">
        <v>21713.1</v>
      </c>
      <c r="H81" s="53">
        <f t="shared" si="3"/>
        <v>-5.113472350135484E-3</v>
      </c>
      <c r="I81" s="52"/>
      <c r="J81" s="52"/>
      <c r="L81" s="57"/>
      <c r="R81" s="52"/>
      <c r="S81" s="52"/>
      <c r="T81" s="52"/>
      <c r="V81" s="57"/>
    </row>
    <row r="82" spans="2:22" ht="14.4" hidden="1" outlineLevel="1" x14ac:dyDescent="0.3">
      <c r="B82" s="271">
        <v>45986</v>
      </c>
      <c r="C82" s="13">
        <v>401.61</v>
      </c>
      <c r="D82" s="53">
        <f t="shared" si="2"/>
        <v>-1.969830111306381E-2</v>
      </c>
      <c r="E82" s="61"/>
      <c r="F82" s="271">
        <v>45986</v>
      </c>
      <c r="G82" s="52">
        <v>21551.7</v>
      </c>
      <c r="H82" s="53">
        <f t="shared" si="3"/>
        <v>-7.4333006341792407E-3</v>
      </c>
      <c r="I82" s="52"/>
      <c r="J82" s="52"/>
      <c r="L82" s="57"/>
      <c r="R82" s="52"/>
      <c r="S82" s="52"/>
      <c r="T82" s="52"/>
      <c r="V82" s="57"/>
    </row>
    <row r="83" spans="2:22" ht="14.4" hidden="1" outlineLevel="1" x14ac:dyDescent="0.3">
      <c r="B83" s="271">
        <v>45985</v>
      </c>
      <c r="C83" s="13">
        <v>404.63</v>
      </c>
      <c r="D83" s="53">
        <f t="shared" si="2"/>
        <v>7.5197330743757007E-3</v>
      </c>
      <c r="E83" s="61"/>
      <c r="F83" s="271">
        <v>45985</v>
      </c>
      <c r="G83" s="52">
        <v>21271.599999999999</v>
      </c>
      <c r="H83" s="53">
        <f t="shared" si="3"/>
        <v>-1.2996654556253207E-2</v>
      </c>
      <c r="I83" s="52"/>
      <c r="J83" s="52"/>
      <c r="L83" s="57"/>
      <c r="R83" s="52"/>
      <c r="S83" s="52"/>
      <c r="T83" s="52"/>
      <c r="V83" s="57"/>
    </row>
    <row r="84" spans="2:22" ht="14.4" hidden="1" outlineLevel="1" x14ac:dyDescent="0.3">
      <c r="B84" s="271">
        <v>45982</v>
      </c>
      <c r="C84" s="13">
        <v>388.36</v>
      </c>
      <c r="D84" s="53">
        <f t="shared" si="2"/>
        <v>-4.0209574178879381E-2</v>
      </c>
      <c r="E84" s="61"/>
      <c r="F84" s="271">
        <v>45982</v>
      </c>
      <c r="G84" s="52">
        <v>21177</v>
      </c>
      <c r="H84" s="53">
        <f t="shared" si="3"/>
        <v>-4.4472442129411816E-3</v>
      </c>
      <c r="I84" s="52"/>
      <c r="J84" s="52"/>
      <c r="L84" s="57"/>
      <c r="R84" s="52"/>
      <c r="S84" s="52"/>
      <c r="T84" s="52"/>
      <c r="V84" s="57"/>
    </row>
    <row r="85" spans="2:22" ht="14.4" hidden="1" outlineLevel="1" x14ac:dyDescent="0.3">
      <c r="B85" s="271">
        <v>45981</v>
      </c>
      <c r="C85" s="13">
        <v>385.6</v>
      </c>
      <c r="D85" s="53">
        <f t="shared" si="2"/>
        <v>-7.1068081161808072E-3</v>
      </c>
      <c r="E85" s="61"/>
      <c r="F85" s="271">
        <v>45981</v>
      </c>
      <c r="G85" s="52">
        <v>20912.900000000001</v>
      </c>
      <c r="H85" s="53">
        <f t="shared" si="3"/>
        <v>-1.2471077111961049E-2</v>
      </c>
      <c r="I85" s="52"/>
      <c r="J85" s="52"/>
      <c r="L85" s="57"/>
      <c r="R85" s="52"/>
      <c r="S85" s="52"/>
      <c r="T85" s="52"/>
      <c r="V85" s="57"/>
    </row>
    <row r="86" spans="2:22" ht="14.4" hidden="1" outlineLevel="1" x14ac:dyDescent="0.3">
      <c r="B86" s="271">
        <v>45980</v>
      </c>
      <c r="C86" s="13">
        <v>386.3</v>
      </c>
      <c r="D86" s="53">
        <f t="shared" si="2"/>
        <v>1.8153526970954292E-3</v>
      </c>
      <c r="E86" s="61"/>
      <c r="F86" s="271">
        <v>45980</v>
      </c>
      <c r="G86" s="52">
        <v>21168.3</v>
      </c>
      <c r="H86" s="53">
        <f t="shared" si="3"/>
        <v>1.2212557799252899E-2</v>
      </c>
      <c r="I86" s="52"/>
      <c r="J86" s="52"/>
      <c r="L86" s="57"/>
      <c r="R86" s="52"/>
      <c r="S86" s="52"/>
      <c r="T86" s="52"/>
      <c r="V86" s="57"/>
    </row>
    <row r="87" spans="2:22" ht="14.4" hidden="1" outlineLevel="1" x14ac:dyDescent="0.3">
      <c r="B87" s="271">
        <v>45979</v>
      </c>
      <c r="C87" s="13">
        <v>383.82</v>
      </c>
      <c r="D87" s="53">
        <f t="shared" si="2"/>
        <v>-6.4198809215636476E-3</v>
      </c>
      <c r="E87" s="61"/>
      <c r="F87" s="271">
        <v>45979</v>
      </c>
      <c r="G87" s="52">
        <v>21172.6</v>
      </c>
      <c r="H87" s="53">
        <f t="shared" si="3"/>
        <v>2.0313393139748115E-4</v>
      </c>
      <c r="I87" s="52"/>
      <c r="J87" s="52"/>
      <c r="L87" s="57"/>
      <c r="R87" s="52"/>
      <c r="S87" s="52"/>
      <c r="T87" s="52"/>
      <c r="V87" s="57"/>
    </row>
    <row r="88" spans="2:22" ht="14.4" hidden="1" outlineLevel="1" x14ac:dyDescent="0.3">
      <c r="B88" s="271">
        <v>45978</v>
      </c>
      <c r="C88" s="13">
        <v>390.24</v>
      </c>
      <c r="D88" s="53">
        <f t="shared" si="2"/>
        <v>1.6726590589338786E-2</v>
      </c>
      <c r="E88" s="61"/>
      <c r="F88" s="271">
        <v>45978</v>
      </c>
      <c r="G88" s="52">
        <v>21213.4</v>
      </c>
      <c r="H88" s="53">
        <f t="shared" si="3"/>
        <v>1.9270188828959256E-3</v>
      </c>
      <c r="I88" s="52"/>
      <c r="J88" s="52"/>
      <c r="L88" s="57"/>
      <c r="R88" s="52"/>
      <c r="S88" s="52"/>
      <c r="T88" s="52"/>
      <c r="V88" s="57"/>
    </row>
    <row r="89" spans="2:22" ht="14.4" hidden="1" outlineLevel="1" x14ac:dyDescent="0.3">
      <c r="B89" s="271">
        <v>45975</v>
      </c>
      <c r="C89" s="13">
        <v>389.83</v>
      </c>
      <c r="D89" s="53">
        <f t="shared" si="2"/>
        <v>-1.050635506355091E-3</v>
      </c>
      <c r="E89" s="61"/>
      <c r="F89" s="271">
        <v>45975</v>
      </c>
      <c r="G89" s="52">
        <v>21470.3</v>
      </c>
      <c r="H89" s="53">
        <f t="shared" si="3"/>
        <v>1.2110269923727435E-2</v>
      </c>
      <c r="I89" s="52"/>
      <c r="J89" s="52"/>
      <c r="L89" s="57"/>
      <c r="R89" s="52"/>
      <c r="S89" s="52"/>
      <c r="T89" s="52"/>
      <c r="V89" s="57"/>
    </row>
    <row r="90" spans="2:22" ht="14.4" hidden="1" outlineLevel="1" x14ac:dyDescent="0.3">
      <c r="B90" s="271">
        <v>45974</v>
      </c>
      <c r="C90" s="13">
        <v>393.93</v>
      </c>
      <c r="D90" s="53">
        <f t="shared" si="2"/>
        <v>1.0517405022702153E-2</v>
      </c>
      <c r="E90" s="61"/>
      <c r="F90" s="271">
        <v>45974</v>
      </c>
      <c r="G90" s="52">
        <v>21534.400000000001</v>
      </c>
      <c r="H90" s="53">
        <f t="shared" si="3"/>
        <v>2.9855195316321748E-3</v>
      </c>
      <c r="I90" s="52"/>
      <c r="J90" s="52"/>
      <c r="L90" s="57"/>
      <c r="R90" s="52"/>
      <c r="S90" s="52"/>
      <c r="T90" s="52"/>
      <c r="V90" s="57"/>
    </row>
    <row r="91" spans="2:22" ht="14.4" hidden="1" outlineLevel="1" x14ac:dyDescent="0.3">
      <c r="B91" s="271">
        <v>45973</v>
      </c>
      <c r="C91" s="13">
        <v>398.81</v>
      </c>
      <c r="D91" s="53">
        <f t="shared" si="2"/>
        <v>1.2387987713553095E-2</v>
      </c>
      <c r="E91" s="61"/>
      <c r="F91" s="271">
        <v>45973</v>
      </c>
      <c r="G91" s="52">
        <v>21807.3</v>
      </c>
      <c r="H91" s="53">
        <f t="shared" si="3"/>
        <v>1.2672746860836526E-2</v>
      </c>
      <c r="I91" s="52"/>
      <c r="J91" s="52"/>
      <c r="L91" s="57"/>
      <c r="R91" s="52"/>
      <c r="S91" s="52"/>
      <c r="T91" s="52"/>
      <c r="V91" s="57"/>
    </row>
    <row r="92" spans="2:22" ht="14.4" hidden="1" outlineLevel="1" x14ac:dyDescent="0.3">
      <c r="B92" s="271">
        <v>45972</v>
      </c>
      <c r="C92" s="13">
        <v>395.6</v>
      </c>
      <c r="D92" s="53">
        <f t="shared" si="2"/>
        <v>-8.0489456131992432E-3</v>
      </c>
      <c r="E92" s="61"/>
      <c r="F92" s="271">
        <v>45972</v>
      </c>
      <c r="G92" s="52">
        <v>21716.7</v>
      </c>
      <c r="H92" s="53">
        <f t="shared" si="3"/>
        <v>-4.1545720928312102E-3</v>
      </c>
      <c r="I92" s="52"/>
      <c r="J92" s="52"/>
      <c r="L92" s="57"/>
      <c r="R92" s="52"/>
      <c r="S92" s="52"/>
      <c r="T92" s="52"/>
      <c r="V92" s="57"/>
    </row>
    <row r="93" spans="2:22" ht="14.4" hidden="1" outlineLevel="1" x14ac:dyDescent="0.3">
      <c r="B93" s="271">
        <v>45971</v>
      </c>
      <c r="C93" s="13">
        <v>400.77</v>
      </c>
      <c r="D93" s="53">
        <f t="shared" si="2"/>
        <v>1.3068756319514652E-2</v>
      </c>
      <c r="E93" s="61"/>
      <c r="F93" s="271">
        <v>45971</v>
      </c>
      <c r="G93" s="52">
        <v>21566.400000000001</v>
      </c>
      <c r="H93" s="53">
        <f t="shared" si="3"/>
        <v>-6.9209410269516214E-3</v>
      </c>
      <c r="I93" s="52"/>
      <c r="J93" s="52"/>
      <c r="L93" s="57"/>
      <c r="R93" s="52"/>
      <c r="S93" s="52"/>
      <c r="T93" s="52"/>
      <c r="V93" s="57"/>
    </row>
    <row r="94" spans="2:22" ht="14.4" hidden="1" outlineLevel="1" x14ac:dyDescent="0.3">
      <c r="B94" s="271">
        <v>45968</v>
      </c>
      <c r="C94" s="13">
        <v>393.43</v>
      </c>
      <c r="D94" s="53">
        <f t="shared" si="2"/>
        <v>-1.8314744117573611E-2</v>
      </c>
      <c r="E94" s="61"/>
      <c r="F94" s="271">
        <v>45968</v>
      </c>
      <c r="G94" s="52">
        <v>21408.6</v>
      </c>
      <c r="H94" s="53">
        <f t="shared" si="3"/>
        <v>-7.3169374582685576E-3</v>
      </c>
      <c r="I94" s="52"/>
      <c r="J94" s="52"/>
      <c r="L94" s="57"/>
      <c r="R94" s="52"/>
      <c r="S94" s="52"/>
      <c r="T94" s="52"/>
      <c r="V94" s="57"/>
    </row>
    <row r="95" spans="2:22" ht="14.4" hidden="1" outlineLevel="1" x14ac:dyDescent="0.3">
      <c r="B95" s="271">
        <v>45967</v>
      </c>
      <c r="C95" s="13">
        <v>396.14</v>
      </c>
      <c r="D95" s="53">
        <f t="shared" si="2"/>
        <v>6.8881376610832046E-3</v>
      </c>
      <c r="E95" s="61"/>
      <c r="F95" s="271">
        <v>45967</v>
      </c>
      <c r="G95" s="52">
        <v>21288.400000000001</v>
      </c>
      <c r="H95" s="53">
        <f t="shared" si="3"/>
        <v>-5.614566108946728E-3</v>
      </c>
      <c r="I95" s="52"/>
      <c r="J95" s="52"/>
      <c r="L95" s="57"/>
      <c r="R95" s="52"/>
      <c r="S95" s="52"/>
      <c r="T95" s="52"/>
      <c r="V95" s="57"/>
    </row>
    <row r="96" spans="2:22" ht="14.4" hidden="1" outlineLevel="1" x14ac:dyDescent="0.3">
      <c r="B96" s="271">
        <v>45966</v>
      </c>
      <c r="C96" s="13">
        <v>409.11</v>
      </c>
      <c r="D96" s="53">
        <f t="shared" si="2"/>
        <v>3.2740950169132255E-2</v>
      </c>
      <c r="E96" s="61"/>
      <c r="F96" s="271">
        <v>45966</v>
      </c>
      <c r="G96" s="52">
        <v>21361.599999999999</v>
      </c>
      <c r="H96" s="53">
        <f t="shared" si="3"/>
        <v>3.4384923244583643E-3</v>
      </c>
      <c r="I96" s="52"/>
      <c r="J96" s="52"/>
      <c r="L96" s="57"/>
      <c r="R96" s="52"/>
      <c r="S96" s="52"/>
      <c r="T96" s="52"/>
      <c r="V96" s="57"/>
    </row>
    <row r="97" spans="2:22" ht="14.4" hidden="1" outlineLevel="1" x14ac:dyDescent="0.3">
      <c r="B97" s="271">
        <v>45965</v>
      </c>
      <c r="C97" s="13">
        <v>416.35</v>
      </c>
      <c r="D97" s="53">
        <f t="shared" si="2"/>
        <v>1.7696951920021631E-2</v>
      </c>
      <c r="E97" s="61"/>
      <c r="F97" s="271">
        <v>45965</v>
      </c>
      <c r="G97" s="52">
        <v>21282.7</v>
      </c>
      <c r="H97" s="53">
        <f t="shared" si="3"/>
        <v>-3.693543554789791E-3</v>
      </c>
      <c r="I97" s="52"/>
      <c r="J97" s="52"/>
      <c r="L97" s="57"/>
      <c r="R97" s="52"/>
      <c r="S97" s="52"/>
      <c r="T97" s="52"/>
      <c r="V97" s="57"/>
    </row>
    <row r="98" spans="2:22" ht="14.4" hidden="1" outlineLevel="1" x14ac:dyDescent="0.3">
      <c r="B98" s="271">
        <v>45964</v>
      </c>
      <c r="C98" s="13">
        <v>445.72</v>
      </c>
      <c r="D98" s="53">
        <f t="shared" si="2"/>
        <v>7.0541611624834966E-2</v>
      </c>
      <c r="E98" s="61"/>
      <c r="F98" s="271">
        <v>45964</v>
      </c>
      <c r="G98" s="52">
        <v>21416.6</v>
      </c>
      <c r="H98" s="53">
        <f t="shared" si="3"/>
        <v>6.291494970092959E-3</v>
      </c>
      <c r="I98" s="52"/>
      <c r="J98" s="52"/>
      <c r="L98" s="57"/>
      <c r="R98" s="52"/>
      <c r="S98" s="52"/>
      <c r="T98" s="52"/>
      <c r="V98" s="57"/>
    </row>
    <row r="99" spans="2:22" ht="14.4" hidden="1" outlineLevel="1" x14ac:dyDescent="0.3">
      <c r="B99" s="271">
        <v>45961</v>
      </c>
      <c r="C99" s="13">
        <v>453.82</v>
      </c>
      <c r="D99" s="53">
        <f t="shared" si="2"/>
        <v>1.8172843937898087E-2</v>
      </c>
      <c r="E99" s="61"/>
      <c r="F99" s="271">
        <v>45961</v>
      </c>
      <c r="G99" s="52">
        <v>21459.599999999999</v>
      </c>
      <c r="H99" s="53">
        <f t="shared" si="3"/>
        <v>2.0077883510920547E-3</v>
      </c>
      <c r="I99" s="52"/>
      <c r="J99" s="52"/>
      <c r="L99" s="57"/>
      <c r="R99" s="52"/>
      <c r="S99" s="52"/>
      <c r="T99" s="52"/>
      <c r="V99" s="57"/>
    </row>
    <row r="100" spans="2:22" ht="14.4" hidden="1" outlineLevel="1" x14ac:dyDescent="0.3">
      <c r="B100" s="271">
        <v>45960</v>
      </c>
      <c r="C100" s="13">
        <v>442.93</v>
      </c>
      <c r="D100" s="53">
        <f t="shared" si="2"/>
        <v>-2.3996298091754409E-2</v>
      </c>
      <c r="E100" s="61"/>
      <c r="F100" s="271">
        <v>45960</v>
      </c>
      <c r="G100" s="52">
        <v>21451</v>
      </c>
      <c r="H100" s="53">
        <f t="shared" si="3"/>
        <v>-4.0075304292708225E-4</v>
      </c>
      <c r="I100" s="52"/>
      <c r="J100" s="52"/>
      <c r="L100" s="57"/>
      <c r="R100" s="52"/>
      <c r="S100" s="52"/>
      <c r="T100" s="52"/>
      <c r="V100" s="57"/>
    </row>
    <row r="101" spans="2:22" ht="14.4" hidden="1" outlineLevel="1" x14ac:dyDescent="0.3">
      <c r="B101" s="271">
        <v>45959</v>
      </c>
      <c r="C101" s="13">
        <v>455.34</v>
      </c>
      <c r="D101" s="53">
        <f t="shared" si="2"/>
        <v>2.8017971236989903E-2</v>
      </c>
      <c r="E101" s="61"/>
      <c r="F101" s="271">
        <v>45959</v>
      </c>
      <c r="G101" s="52">
        <v>21525.9</v>
      </c>
      <c r="H101" s="53">
        <f t="shared" si="3"/>
        <v>3.4916787096173074E-3</v>
      </c>
      <c r="I101" s="52"/>
      <c r="J101" s="52"/>
      <c r="L101" s="57"/>
      <c r="R101" s="52"/>
      <c r="S101" s="52"/>
      <c r="T101" s="52"/>
      <c r="V101" s="57"/>
    </row>
    <row r="102" spans="2:22" ht="14.4" hidden="1" outlineLevel="1" x14ac:dyDescent="0.3">
      <c r="B102" s="271">
        <v>45958</v>
      </c>
      <c r="C102" s="13">
        <v>456.83</v>
      </c>
      <c r="D102" s="53">
        <f t="shared" si="2"/>
        <v>3.2722800544648933E-3</v>
      </c>
      <c r="E102" s="61"/>
      <c r="F102" s="271">
        <v>45958</v>
      </c>
      <c r="G102" s="52">
        <v>21689.599999999999</v>
      </c>
      <c r="H102" s="53">
        <f t="shared" si="3"/>
        <v>7.6047923664048778E-3</v>
      </c>
      <c r="I102" s="52"/>
      <c r="J102" s="52"/>
      <c r="L102" s="57"/>
      <c r="R102" s="52"/>
      <c r="S102" s="52"/>
      <c r="T102" s="52"/>
      <c r="V102" s="57"/>
    </row>
    <row r="103" spans="2:22" ht="14.4" hidden="1" outlineLevel="1" x14ac:dyDescent="0.3">
      <c r="B103" s="271">
        <v>45957</v>
      </c>
      <c r="C103" s="13">
        <v>465.41</v>
      </c>
      <c r="D103" s="53">
        <f t="shared" si="2"/>
        <v>1.8781603660004809E-2</v>
      </c>
      <c r="E103" s="61"/>
      <c r="F103" s="271">
        <v>45957</v>
      </c>
      <c r="G103" s="52">
        <v>21789.599999999999</v>
      </c>
      <c r="H103" s="53">
        <f t="shared" si="3"/>
        <v>4.6105045736204442E-3</v>
      </c>
      <c r="I103" s="52"/>
      <c r="J103" s="52"/>
      <c r="L103" s="57"/>
      <c r="R103" s="52"/>
      <c r="S103" s="52"/>
      <c r="T103" s="52"/>
      <c r="V103" s="57"/>
    </row>
    <row r="104" spans="2:22" ht="14.4" hidden="1" outlineLevel="1" x14ac:dyDescent="0.3">
      <c r="B104" s="271">
        <v>45954</v>
      </c>
      <c r="C104" s="13">
        <v>464.18</v>
      </c>
      <c r="D104" s="53">
        <f t="shared" si="2"/>
        <v>-2.6428310521905418E-3</v>
      </c>
      <c r="E104" s="61"/>
      <c r="F104" s="271">
        <v>45954</v>
      </c>
      <c r="G104" s="52">
        <v>21698.1</v>
      </c>
      <c r="H104" s="53">
        <f t="shared" si="3"/>
        <v>-4.199251018834671E-3</v>
      </c>
      <c r="I104" s="52"/>
      <c r="J104" s="52"/>
      <c r="L104" s="57"/>
      <c r="R104" s="52"/>
      <c r="S104" s="52"/>
      <c r="T104" s="52"/>
      <c r="V104" s="57"/>
    </row>
    <row r="105" spans="2:22" ht="14.4" hidden="1" outlineLevel="1" x14ac:dyDescent="0.3">
      <c r="B105" s="271">
        <v>45953</v>
      </c>
      <c r="C105" s="13">
        <v>456.09</v>
      </c>
      <c r="D105" s="53">
        <f t="shared" si="2"/>
        <v>-1.7428583739066861E-2</v>
      </c>
      <c r="E105" s="61"/>
      <c r="F105" s="271">
        <v>45953</v>
      </c>
      <c r="G105" s="52">
        <v>21623.8</v>
      </c>
      <c r="H105" s="53">
        <f t="shared" si="3"/>
        <v>-3.4242629538991931E-3</v>
      </c>
      <c r="I105" s="52"/>
      <c r="J105" s="52"/>
      <c r="L105" s="57"/>
      <c r="R105" s="52"/>
      <c r="S105" s="52"/>
      <c r="T105" s="52"/>
      <c r="V105" s="57"/>
    </row>
    <row r="106" spans="2:22" ht="14.4" hidden="1" outlineLevel="1" x14ac:dyDescent="0.3">
      <c r="B106" s="271">
        <v>45952</v>
      </c>
      <c r="C106" s="13">
        <v>454.3</v>
      </c>
      <c r="D106" s="53">
        <f t="shared" si="2"/>
        <v>-3.92466399175595E-3</v>
      </c>
      <c r="E106" s="61"/>
      <c r="F106" s="271">
        <v>45952</v>
      </c>
      <c r="G106" s="52">
        <v>21514.7</v>
      </c>
      <c r="H106" s="53">
        <f t="shared" si="3"/>
        <v>-5.0453666793069951E-3</v>
      </c>
      <c r="I106" s="52"/>
      <c r="J106" s="52"/>
      <c r="L106" s="57"/>
      <c r="R106" s="52"/>
      <c r="S106" s="52"/>
      <c r="T106" s="52"/>
      <c r="V106" s="57"/>
    </row>
    <row r="107" spans="2:22" ht="14.4" hidden="1" outlineLevel="1" x14ac:dyDescent="0.3">
      <c r="B107" s="271">
        <v>45951</v>
      </c>
      <c r="C107" s="13">
        <v>459.04</v>
      </c>
      <c r="D107" s="53">
        <f t="shared" si="2"/>
        <v>1.0433634162447802E-2</v>
      </c>
      <c r="E107" s="61"/>
      <c r="F107" s="271">
        <v>45951</v>
      </c>
      <c r="G107" s="52">
        <v>21571.200000000001</v>
      </c>
      <c r="H107" s="53">
        <f t="shared" si="3"/>
        <v>2.6261114493810744E-3</v>
      </c>
      <c r="I107" s="52"/>
      <c r="J107" s="52"/>
      <c r="L107" s="57"/>
      <c r="R107" s="52"/>
      <c r="S107" s="52"/>
      <c r="T107" s="52"/>
      <c r="V107" s="57"/>
    </row>
    <row r="108" spans="2:22" ht="14.4" hidden="1" outlineLevel="1" x14ac:dyDescent="0.3">
      <c r="B108" s="271">
        <v>45950</v>
      </c>
      <c r="C108" s="13">
        <v>453.35</v>
      </c>
      <c r="D108" s="53">
        <f t="shared" si="2"/>
        <v>-1.2395433949111134E-2</v>
      </c>
      <c r="E108" s="61"/>
      <c r="F108" s="271">
        <v>45950</v>
      </c>
      <c r="G108" s="52">
        <v>21598.2</v>
      </c>
      <c r="H108" s="53">
        <f t="shared" si="3"/>
        <v>1.251668891855795E-3</v>
      </c>
      <c r="I108" s="52"/>
      <c r="J108" s="52"/>
      <c r="L108" s="57"/>
      <c r="R108" s="52"/>
      <c r="S108" s="52"/>
      <c r="T108" s="52"/>
      <c r="V108" s="57"/>
    </row>
    <row r="109" spans="2:22" ht="14.4" hidden="1" outlineLevel="1" x14ac:dyDescent="0.3">
      <c r="B109" s="271">
        <v>45947</v>
      </c>
      <c r="C109" s="13">
        <v>447.64</v>
      </c>
      <c r="D109" s="53">
        <f t="shared" si="2"/>
        <v>-1.2595125179221456E-2</v>
      </c>
      <c r="E109" s="61"/>
      <c r="F109" s="271">
        <v>45947</v>
      </c>
      <c r="G109" s="52">
        <v>21411.4</v>
      </c>
      <c r="H109" s="53">
        <f t="shared" si="3"/>
        <v>-8.6488688872220498E-3</v>
      </c>
      <c r="I109" s="52"/>
      <c r="J109" s="52"/>
      <c r="L109" s="57"/>
      <c r="R109" s="52"/>
      <c r="S109" s="52"/>
      <c r="T109" s="52"/>
      <c r="V109" s="57"/>
    </row>
    <row r="110" spans="2:22" ht="14.4" hidden="1" outlineLevel="1" x14ac:dyDescent="0.3">
      <c r="B110" s="271">
        <v>45946</v>
      </c>
      <c r="C110" s="13">
        <v>440.2</v>
      </c>
      <c r="D110" s="53">
        <f t="shared" si="2"/>
        <v>-1.6620498614958401E-2</v>
      </c>
      <c r="E110" s="61"/>
      <c r="F110" s="271">
        <v>45946</v>
      </c>
      <c r="G110" s="52">
        <v>21377</v>
      </c>
      <c r="H110" s="53">
        <f t="shared" si="3"/>
        <v>-1.606620772112155E-3</v>
      </c>
      <c r="I110" s="52"/>
      <c r="J110" s="52"/>
      <c r="L110" s="57"/>
      <c r="R110" s="52"/>
      <c r="S110" s="52"/>
      <c r="T110" s="52"/>
      <c r="V110" s="57"/>
    </row>
    <row r="111" spans="2:22" ht="14.4" hidden="1" outlineLevel="1" x14ac:dyDescent="0.3">
      <c r="B111" s="271">
        <v>45945</v>
      </c>
      <c r="C111" s="13">
        <v>435.9</v>
      </c>
      <c r="D111" s="53">
        <f t="shared" si="2"/>
        <v>-9.7682871422081208E-3</v>
      </c>
      <c r="E111" s="61"/>
      <c r="F111" s="271">
        <v>45945</v>
      </c>
      <c r="G111" s="52">
        <v>21570.9</v>
      </c>
      <c r="H111" s="53">
        <f t="shared" si="3"/>
        <v>9.0704963278289696E-3</v>
      </c>
      <c r="I111" s="52"/>
      <c r="J111" s="52"/>
      <c r="L111" s="57"/>
      <c r="R111" s="52"/>
      <c r="S111" s="52"/>
      <c r="T111" s="52"/>
      <c r="V111" s="57"/>
    </row>
    <row r="112" spans="2:22" ht="14.4" hidden="1" outlineLevel="1" x14ac:dyDescent="0.3">
      <c r="B112" s="271">
        <v>45944</v>
      </c>
      <c r="C112" s="13">
        <v>443.76</v>
      </c>
      <c r="D112" s="53">
        <f t="shared" si="2"/>
        <v>1.8031658637302161E-2</v>
      </c>
      <c r="E112" s="61"/>
      <c r="F112" s="271">
        <v>45944</v>
      </c>
      <c r="G112" s="52">
        <v>21500.3</v>
      </c>
      <c r="H112" s="53">
        <f t="shared" si="3"/>
        <v>-3.2729278796899131E-3</v>
      </c>
      <c r="I112" s="52"/>
      <c r="J112" s="52"/>
      <c r="L112" s="57"/>
      <c r="R112" s="52"/>
      <c r="S112" s="52"/>
      <c r="T112" s="52"/>
      <c r="V112" s="57"/>
    </row>
    <row r="113" spans="2:22" ht="14.4" hidden="1" outlineLevel="1" x14ac:dyDescent="0.3">
      <c r="B113" s="271">
        <v>45943</v>
      </c>
      <c r="C113" s="13">
        <v>448</v>
      </c>
      <c r="D113" s="53">
        <f t="shared" si="2"/>
        <v>9.5547142599603507E-3</v>
      </c>
      <c r="E113" s="61"/>
      <c r="F113" s="271">
        <v>45943</v>
      </c>
      <c r="G113" s="52">
        <v>21381.8</v>
      </c>
      <c r="H113" s="53">
        <f t="shared" si="3"/>
        <v>-5.5115510016139346E-3</v>
      </c>
      <c r="I113" s="52"/>
      <c r="J113" s="52"/>
      <c r="L113" s="57"/>
      <c r="R113" s="52"/>
      <c r="S113" s="52"/>
      <c r="T113" s="52"/>
      <c r="V113" s="57"/>
    </row>
    <row r="114" spans="2:22" ht="14.4" hidden="1" outlineLevel="1" x14ac:dyDescent="0.3">
      <c r="B114" s="271">
        <v>45940</v>
      </c>
      <c r="C114" s="13">
        <v>438.92</v>
      </c>
      <c r="D114" s="53">
        <f t="shared" si="2"/>
        <v>-2.026785714285706E-2</v>
      </c>
      <c r="E114" s="61"/>
      <c r="F114" s="271">
        <v>45940</v>
      </c>
      <c r="G114" s="52">
        <v>21096.9</v>
      </c>
      <c r="H114" s="53">
        <f t="shared" si="3"/>
        <v>-1.3324416092190483E-2</v>
      </c>
      <c r="I114" s="52"/>
      <c r="J114" s="52"/>
      <c r="L114" s="57"/>
      <c r="R114" s="52"/>
      <c r="S114" s="52"/>
      <c r="T114" s="52"/>
      <c r="V114" s="57"/>
    </row>
    <row r="115" spans="2:22" ht="14.4" hidden="1" outlineLevel="1" x14ac:dyDescent="0.3">
      <c r="B115" s="271">
        <v>45939</v>
      </c>
      <c r="C115" s="13">
        <v>484.41</v>
      </c>
      <c r="D115" s="53">
        <f t="shared" si="2"/>
        <v>0.10364075457942223</v>
      </c>
      <c r="E115" s="61"/>
      <c r="F115" s="271">
        <v>45939</v>
      </c>
      <c r="G115" s="52">
        <v>21548.3</v>
      </c>
      <c r="H115" s="53">
        <f t="shared" si="3"/>
        <v>2.1396508491768884E-2</v>
      </c>
      <c r="I115" s="52"/>
      <c r="J115" s="52"/>
      <c r="L115" s="57"/>
      <c r="R115" s="52"/>
      <c r="S115" s="52"/>
      <c r="T115" s="52"/>
      <c r="V115" s="57"/>
    </row>
    <row r="116" spans="2:22" ht="14.4" hidden="1" outlineLevel="1" x14ac:dyDescent="0.3">
      <c r="B116" s="271">
        <v>45938</v>
      </c>
      <c r="C116" s="13">
        <v>489.36</v>
      </c>
      <c r="D116" s="53">
        <f t="shared" si="2"/>
        <v>1.0218616461262098E-2</v>
      </c>
      <c r="E116" s="61"/>
      <c r="F116" s="271">
        <v>45938</v>
      </c>
      <c r="G116" s="52">
        <v>21725.8</v>
      </c>
      <c r="H116" s="53">
        <f t="shared" si="3"/>
        <v>8.2373087436131698E-3</v>
      </c>
      <c r="I116" s="52"/>
      <c r="J116" s="52"/>
      <c r="L116" s="57"/>
      <c r="R116" s="52"/>
      <c r="S116" s="52"/>
      <c r="T116" s="52"/>
      <c r="V116" s="57"/>
    </row>
    <row r="117" spans="2:22" ht="14.4" hidden="1" outlineLevel="1" x14ac:dyDescent="0.3">
      <c r="B117" s="271">
        <v>45937</v>
      </c>
      <c r="C117" s="13">
        <v>477.83</v>
      </c>
      <c r="D117" s="53">
        <f t="shared" si="2"/>
        <v>-2.3561386300474108E-2</v>
      </c>
      <c r="E117" s="61"/>
      <c r="F117" s="271">
        <v>45937</v>
      </c>
      <c r="G117" s="52">
        <v>21663.1</v>
      </c>
      <c r="H117" s="53">
        <f t="shared" si="3"/>
        <v>-2.8859696766057041E-3</v>
      </c>
      <c r="I117" s="52"/>
      <c r="J117" s="52"/>
      <c r="L117" s="57"/>
      <c r="R117" s="52"/>
      <c r="S117" s="52"/>
      <c r="T117" s="52"/>
      <c r="V117" s="57"/>
    </row>
    <row r="118" spans="2:22" ht="14.4" hidden="1" outlineLevel="1" x14ac:dyDescent="0.3">
      <c r="B118" s="271">
        <v>45936</v>
      </c>
      <c r="C118" s="13">
        <v>478.22</v>
      </c>
      <c r="D118" s="53">
        <f t="shared" si="2"/>
        <v>8.1618985831788393E-4</v>
      </c>
      <c r="E118" s="61"/>
      <c r="F118" s="271">
        <v>45936</v>
      </c>
      <c r="G118" s="52">
        <v>21765</v>
      </c>
      <c r="H118" s="53">
        <f t="shared" si="3"/>
        <v>4.7038512493595697E-3</v>
      </c>
      <c r="I118" s="52"/>
      <c r="J118" s="52"/>
      <c r="L118" s="57"/>
      <c r="R118" s="52"/>
      <c r="S118" s="52"/>
      <c r="T118" s="52"/>
      <c r="V118" s="57"/>
    </row>
    <row r="119" spans="2:22" ht="14.4" hidden="1" outlineLevel="1" x14ac:dyDescent="0.3">
      <c r="B119" s="271">
        <v>45933</v>
      </c>
      <c r="C119" s="13">
        <v>469.17</v>
      </c>
      <c r="D119" s="53">
        <f t="shared" si="2"/>
        <v>-1.8924344443979835E-2</v>
      </c>
      <c r="E119" s="61"/>
      <c r="F119" s="271">
        <v>45933</v>
      </c>
      <c r="G119" s="52">
        <v>21725.4</v>
      </c>
      <c r="H119" s="53">
        <f t="shared" si="3"/>
        <v>-1.8194348725016907E-3</v>
      </c>
      <c r="I119" s="52"/>
      <c r="J119" s="52"/>
      <c r="L119" s="57"/>
      <c r="R119" s="52"/>
      <c r="S119" s="52"/>
      <c r="T119" s="52"/>
      <c r="V119" s="57"/>
    </row>
    <row r="120" spans="2:22" ht="14.4" hidden="1" outlineLevel="1" x14ac:dyDescent="0.3">
      <c r="B120" s="271">
        <v>45932</v>
      </c>
      <c r="C120" s="13">
        <v>471.14</v>
      </c>
      <c r="D120" s="53">
        <f t="shared" si="2"/>
        <v>4.1989044482808602E-3</v>
      </c>
      <c r="E120" s="61"/>
      <c r="F120" s="271">
        <v>45932</v>
      </c>
      <c r="G120" s="52">
        <v>21608</v>
      </c>
      <c r="H120" s="53">
        <f t="shared" si="3"/>
        <v>-5.403813048321382E-3</v>
      </c>
      <c r="I120" s="52"/>
      <c r="J120" s="52"/>
      <c r="L120" s="57"/>
      <c r="R120" s="52"/>
      <c r="S120" s="52"/>
      <c r="T120" s="52"/>
      <c r="V120" s="57"/>
    </row>
    <row r="121" spans="2:22" ht="14.4" hidden="1" outlineLevel="1" x14ac:dyDescent="0.3">
      <c r="B121" s="271">
        <v>45931</v>
      </c>
      <c r="C121" s="13">
        <v>488.78</v>
      </c>
      <c r="D121" s="53">
        <f t="shared" si="2"/>
        <v>3.7441100309886677E-2</v>
      </c>
      <c r="E121" s="61"/>
      <c r="F121" s="271">
        <v>45931</v>
      </c>
      <c r="G121" s="52">
        <v>21640</v>
      </c>
      <c r="H121" s="53">
        <f t="shared" si="3"/>
        <v>1.4809329877822908E-3</v>
      </c>
      <c r="I121" s="52"/>
      <c r="J121" s="52"/>
      <c r="L121" s="57"/>
      <c r="R121" s="52"/>
      <c r="S121" s="52"/>
      <c r="T121" s="52"/>
      <c r="V121" s="57"/>
    </row>
    <row r="122" spans="2:22" ht="14.4" hidden="1" outlineLevel="1" x14ac:dyDescent="0.3">
      <c r="B122" s="271">
        <v>45930</v>
      </c>
      <c r="C122" s="13">
        <v>493.39</v>
      </c>
      <c r="D122" s="53">
        <f t="shared" si="2"/>
        <v>9.4316461393675333E-3</v>
      </c>
      <c r="E122" s="61"/>
      <c r="F122" s="271">
        <v>45930</v>
      </c>
      <c r="G122" s="52">
        <v>21564.5</v>
      </c>
      <c r="H122" s="53">
        <f t="shared" si="3"/>
        <v>-3.4889094269870968E-3</v>
      </c>
      <c r="I122" s="52"/>
      <c r="J122" s="52"/>
      <c r="L122" s="57"/>
      <c r="R122" s="52"/>
      <c r="S122" s="52"/>
      <c r="T122" s="52"/>
      <c r="V122" s="57"/>
    </row>
    <row r="123" spans="2:22" ht="14.4" hidden="1" outlineLevel="1" x14ac:dyDescent="0.3">
      <c r="B123" s="271">
        <v>45929</v>
      </c>
      <c r="C123" s="13">
        <v>481.61</v>
      </c>
      <c r="D123" s="53">
        <f t="shared" si="2"/>
        <v>-2.3875635906686288E-2</v>
      </c>
      <c r="E123" s="61"/>
      <c r="F123" s="271">
        <v>45929</v>
      </c>
      <c r="G123" s="52">
        <v>21497.599999999999</v>
      </c>
      <c r="H123" s="53">
        <f t="shared" si="3"/>
        <v>-3.1023209441444211E-3</v>
      </c>
      <c r="I123" s="52"/>
      <c r="J123" s="52"/>
      <c r="L123" s="57"/>
      <c r="R123" s="52"/>
      <c r="S123" s="52"/>
      <c r="T123" s="52"/>
      <c r="V123" s="57"/>
    </row>
    <row r="124" spans="2:22" ht="14.4" hidden="1" outlineLevel="1" x14ac:dyDescent="0.3">
      <c r="B124" s="271">
        <v>45926</v>
      </c>
      <c r="C124" s="13">
        <v>487.76</v>
      </c>
      <c r="D124" s="53">
        <f t="shared" si="2"/>
        <v>1.2769668403895151E-2</v>
      </c>
      <c r="E124" s="61"/>
      <c r="F124" s="271">
        <v>45926</v>
      </c>
      <c r="G124" s="52">
        <v>21477.5</v>
      </c>
      <c r="H124" s="53">
        <f t="shared" si="3"/>
        <v>-9.3498809169390018E-4</v>
      </c>
      <c r="I124" s="52"/>
      <c r="J124" s="52"/>
      <c r="L124" s="57"/>
      <c r="R124" s="52"/>
      <c r="S124" s="52"/>
      <c r="T124" s="52"/>
      <c r="V124" s="57"/>
    </row>
    <row r="125" spans="2:22" ht="14.4" hidden="1" outlineLevel="1" x14ac:dyDescent="0.3">
      <c r="B125" s="271">
        <v>45925</v>
      </c>
      <c r="C125" s="13">
        <v>487.2</v>
      </c>
      <c r="D125" s="53">
        <f t="shared" si="2"/>
        <v>-1.1481056257175437E-3</v>
      </c>
      <c r="E125" s="61"/>
      <c r="F125" s="271">
        <v>45925</v>
      </c>
      <c r="G125" s="52">
        <v>21337</v>
      </c>
      <c r="H125" s="53">
        <f t="shared" si="3"/>
        <v>-6.5417297171458388E-3</v>
      </c>
      <c r="I125" s="52"/>
      <c r="J125" s="52"/>
      <c r="L125" s="57"/>
      <c r="R125" s="52"/>
      <c r="S125" s="52"/>
      <c r="T125" s="52"/>
      <c r="V125" s="57"/>
    </row>
    <row r="126" spans="2:22" ht="14.4" hidden="1" outlineLevel="1" x14ac:dyDescent="0.3">
      <c r="B126" s="271">
        <v>45924</v>
      </c>
      <c r="C126" s="13">
        <v>468.09</v>
      </c>
      <c r="D126" s="53">
        <f t="shared" si="2"/>
        <v>-3.922413793103452E-2</v>
      </c>
      <c r="E126" s="61"/>
      <c r="F126" s="271">
        <v>45924</v>
      </c>
      <c r="G126" s="52">
        <v>21483.5</v>
      </c>
      <c r="H126" s="53">
        <f t="shared" si="3"/>
        <v>6.8660074049773367E-3</v>
      </c>
      <c r="I126" s="52"/>
      <c r="J126" s="52"/>
      <c r="L126" s="57"/>
      <c r="R126" s="52"/>
      <c r="S126" s="52"/>
      <c r="T126" s="52"/>
      <c r="V126" s="57"/>
    </row>
    <row r="127" spans="2:22" ht="14.4" hidden="1" outlineLevel="1" x14ac:dyDescent="0.3">
      <c r="B127" s="271">
        <v>45923</v>
      </c>
      <c r="C127" s="13">
        <v>490.32</v>
      </c>
      <c r="D127" s="53">
        <f t="shared" si="2"/>
        <v>4.7490867140934423E-2</v>
      </c>
      <c r="E127" s="61"/>
      <c r="F127" s="271">
        <v>45923</v>
      </c>
      <c r="G127" s="52">
        <v>21548.2</v>
      </c>
      <c r="H127" s="53">
        <f t="shared" si="3"/>
        <v>3.0116135638980079E-3</v>
      </c>
      <c r="I127" s="52"/>
      <c r="J127" s="52"/>
      <c r="L127" s="57"/>
      <c r="R127" s="52"/>
      <c r="S127" s="52"/>
      <c r="T127" s="52"/>
      <c r="V127" s="57"/>
    </row>
    <row r="128" spans="2:22" ht="14.4" hidden="1" outlineLevel="1" x14ac:dyDescent="0.3">
      <c r="B128" s="271">
        <v>45922</v>
      </c>
      <c r="C128" s="13">
        <v>514.79</v>
      </c>
      <c r="D128" s="53">
        <f t="shared" si="2"/>
        <v>4.9906183716756258E-2</v>
      </c>
      <c r="E128" s="61"/>
      <c r="F128" s="271">
        <v>45922</v>
      </c>
      <c r="G128" s="52">
        <v>21542.5</v>
      </c>
      <c r="H128" s="53">
        <f t="shared" si="3"/>
        <v>-2.6452325484271899E-4</v>
      </c>
      <c r="I128" s="52"/>
      <c r="J128" s="52"/>
      <c r="L128" s="57"/>
      <c r="R128" s="52"/>
      <c r="S128" s="52"/>
      <c r="T128" s="52"/>
      <c r="V128" s="57"/>
    </row>
    <row r="129" spans="2:22" ht="14.4" hidden="1" outlineLevel="1" x14ac:dyDescent="0.3">
      <c r="B129" s="271">
        <v>45919</v>
      </c>
      <c r="C129" s="13">
        <v>495.5</v>
      </c>
      <c r="D129" s="53">
        <f t="shared" si="2"/>
        <v>-3.747159035723302E-2</v>
      </c>
      <c r="E129" s="61"/>
      <c r="F129" s="271">
        <v>45919</v>
      </c>
      <c r="G129" s="52">
        <v>21494</v>
      </c>
      <c r="H129" s="53">
        <f t="shared" si="3"/>
        <v>-2.2513635836137746E-3</v>
      </c>
      <c r="I129" s="52"/>
      <c r="J129" s="52"/>
      <c r="L129" s="57"/>
      <c r="R129" s="52"/>
      <c r="S129" s="52"/>
      <c r="T129" s="52"/>
      <c r="V129" s="57"/>
    </row>
    <row r="130" spans="2:22" ht="14.4" hidden="1" outlineLevel="1" x14ac:dyDescent="0.3">
      <c r="B130" s="271">
        <v>45918</v>
      </c>
      <c r="C130" s="13">
        <v>480.11</v>
      </c>
      <c r="D130" s="53">
        <f t="shared" si="2"/>
        <v>-3.1059535822401618E-2</v>
      </c>
      <c r="E130" s="61"/>
      <c r="F130" s="271">
        <v>45918</v>
      </c>
      <c r="G130" s="52">
        <v>21504.3</v>
      </c>
      <c r="H130" s="53">
        <f t="shared" si="3"/>
        <v>4.7920349865071543E-4</v>
      </c>
      <c r="I130" s="52"/>
      <c r="J130" s="52"/>
      <c r="L130" s="57"/>
      <c r="R130" s="52"/>
      <c r="S130" s="52"/>
      <c r="T130" s="52"/>
      <c r="V130" s="57"/>
    </row>
    <row r="131" spans="2:22" ht="14.4" hidden="1" outlineLevel="1" x14ac:dyDescent="0.3">
      <c r="B131" s="271">
        <v>45917</v>
      </c>
      <c r="C131" s="13">
        <v>425.4</v>
      </c>
      <c r="D131" s="53">
        <f t="shared" si="2"/>
        <v>-0.11395305242548592</v>
      </c>
      <c r="E131" s="61"/>
      <c r="F131" s="271">
        <v>45917</v>
      </c>
      <c r="G131" s="52">
        <v>21439.9</v>
      </c>
      <c r="H131" s="53">
        <f t="shared" si="3"/>
        <v>-2.9947498872318068E-3</v>
      </c>
      <c r="I131" s="52"/>
      <c r="J131" s="52"/>
      <c r="L131" s="57"/>
      <c r="R131" s="52"/>
      <c r="S131" s="52"/>
      <c r="T131" s="52"/>
      <c r="V131" s="57"/>
    </row>
    <row r="132" spans="2:22" ht="14.4" hidden="1" outlineLevel="1" x14ac:dyDescent="0.3">
      <c r="B132" s="271">
        <v>45916</v>
      </c>
      <c r="C132" s="13">
        <v>425.97</v>
      </c>
      <c r="D132" s="53">
        <f t="shared" si="2"/>
        <v>1.3399153737658764E-3</v>
      </c>
      <c r="E132" s="61"/>
      <c r="F132" s="271">
        <v>45916</v>
      </c>
      <c r="G132" s="52">
        <v>21375.200000000001</v>
      </c>
      <c r="H132" s="53">
        <f t="shared" si="3"/>
        <v>-3.0177379558673501E-3</v>
      </c>
      <c r="I132" s="52"/>
      <c r="J132" s="52"/>
      <c r="L132" s="57"/>
      <c r="R132" s="52"/>
      <c r="S132" s="52"/>
      <c r="T132" s="52"/>
      <c r="V132" s="57"/>
    </row>
    <row r="133" spans="2:22" ht="14.4" hidden="1" outlineLevel="1" x14ac:dyDescent="0.3">
      <c r="B133" s="271">
        <v>45915</v>
      </c>
      <c r="C133" s="13">
        <v>419.2</v>
      </c>
      <c r="D133" s="53">
        <f t="shared" si="2"/>
        <v>-1.5893138014414276E-2</v>
      </c>
      <c r="E133" s="61"/>
      <c r="F133" s="271">
        <v>45915</v>
      </c>
      <c r="G133" s="52">
        <v>21394.6</v>
      </c>
      <c r="H133" s="53">
        <f t="shared" si="3"/>
        <v>9.0759384707506108E-4</v>
      </c>
      <c r="I133" s="52"/>
      <c r="J133" s="52"/>
      <c r="L133" s="57"/>
      <c r="R133" s="52"/>
      <c r="S133" s="52"/>
      <c r="T133" s="52"/>
      <c r="V133" s="57"/>
    </row>
    <row r="134" spans="2:22" ht="14.4" hidden="1" outlineLevel="1" x14ac:dyDescent="0.3">
      <c r="B134" s="271">
        <v>45912</v>
      </c>
      <c r="C134" s="13">
        <v>425.45</v>
      </c>
      <c r="D134" s="53">
        <f t="shared" si="2"/>
        <v>1.4909351145038219E-2</v>
      </c>
      <c r="E134" s="61"/>
      <c r="F134" s="271">
        <v>45912</v>
      </c>
      <c r="G134" s="52">
        <v>21374.3</v>
      </c>
      <c r="H134" s="53">
        <f t="shared" si="3"/>
        <v>-9.4883755714059159E-4</v>
      </c>
      <c r="I134" s="52"/>
      <c r="J134" s="52"/>
      <c r="L134" s="57"/>
      <c r="R134" s="52"/>
      <c r="S134" s="52"/>
      <c r="T134" s="52"/>
      <c r="V134" s="57"/>
    </row>
    <row r="135" spans="2:22" ht="14.4" hidden="1" outlineLevel="1" x14ac:dyDescent="0.3">
      <c r="B135" s="271">
        <v>45911</v>
      </c>
      <c r="C135" s="13">
        <v>438.1</v>
      </c>
      <c r="D135" s="53">
        <f t="shared" si="2"/>
        <v>2.9733223645551865E-2</v>
      </c>
      <c r="E135" s="61"/>
      <c r="F135" s="271">
        <v>45911</v>
      </c>
      <c r="G135" s="52">
        <v>21533.599999999999</v>
      </c>
      <c r="H135" s="53">
        <f t="shared" si="3"/>
        <v>7.4528756497287407E-3</v>
      </c>
      <c r="I135" s="52"/>
      <c r="J135" s="52"/>
      <c r="L135" s="57"/>
      <c r="R135" s="52"/>
      <c r="S135" s="52"/>
      <c r="T135" s="52"/>
      <c r="V135" s="57"/>
    </row>
    <row r="136" spans="2:22" ht="14.4" hidden="1" outlineLevel="1" x14ac:dyDescent="0.3">
      <c r="B136" s="271">
        <v>45910</v>
      </c>
      <c r="C136" s="13">
        <v>387.78</v>
      </c>
      <c r="D136" s="53">
        <f t="shared" si="2"/>
        <v>-0.11485962109107517</v>
      </c>
      <c r="E136" s="61"/>
      <c r="F136" s="271">
        <v>45910</v>
      </c>
      <c r="G136" s="52">
        <v>21294.6</v>
      </c>
      <c r="H136" s="53">
        <f t="shared" si="3"/>
        <v>-1.109893375933424E-2</v>
      </c>
      <c r="I136" s="52"/>
      <c r="J136" s="52"/>
      <c r="L136" s="57"/>
      <c r="R136" s="52"/>
      <c r="S136" s="52"/>
      <c r="T136" s="52"/>
      <c r="V136" s="57"/>
    </row>
    <row r="137" spans="2:22" ht="14.4" hidden="1" outlineLevel="1" x14ac:dyDescent="0.3">
      <c r="B137" s="271">
        <v>45909</v>
      </c>
      <c r="C137" s="13">
        <v>604.37</v>
      </c>
      <c r="D137" s="53">
        <f t="shared" si="2"/>
        <v>0.55853834648512057</v>
      </c>
      <c r="E137" s="61"/>
      <c r="F137" s="271">
        <v>45909</v>
      </c>
      <c r="G137" s="52">
        <v>21193.1</v>
      </c>
      <c r="H137" s="53">
        <f t="shared" si="3"/>
        <v>-4.7664666159495939E-3</v>
      </c>
      <c r="I137" s="52"/>
      <c r="J137" s="52"/>
      <c r="L137" s="57"/>
      <c r="R137" s="52"/>
      <c r="S137" s="52"/>
      <c r="T137" s="52"/>
      <c r="V137" s="57"/>
    </row>
    <row r="138" spans="2:22" ht="14.4" hidden="1" outlineLevel="1" x14ac:dyDescent="0.3">
      <c r="B138" s="271">
        <v>45908</v>
      </c>
      <c r="C138" s="13">
        <v>609.08000000000004</v>
      </c>
      <c r="D138" s="53">
        <f t="shared" si="2"/>
        <v>7.7932392408623929E-3</v>
      </c>
      <c r="E138" s="61"/>
      <c r="F138" s="271">
        <v>45908</v>
      </c>
      <c r="G138" s="52">
        <v>21173.599999999999</v>
      </c>
      <c r="H138" s="53">
        <f t="shared" si="3"/>
        <v>-9.201107907762518E-4</v>
      </c>
      <c r="I138" s="52"/>
      <c r="J138" s="52"/>
      <c r="L138" s="57"/>
      <c r="R138" s="52"/>
      <c r="S138" s="52"/>
      <c r="T138" s="52"/>
      <c r="V138" s="57"/>
    </row>
    <row r="139" spans="2:22" ht="14.4" hidden="1" outlineLevel="1" x14ac:dyDescent="0.3">
      <c r="B139" s="271">
        <v>45905</v>
      </c>
      <c r="C139" s="13">
        <v>598.14</v>
      </c>
      <c r="D139" s="53">
        <f t="shared" si="2"/>
        <v>-1.7961515728640021E-2</v>
      </c>
      <c r="E139" s="61"/>
      <c r="F139" s="271">
        <v>45905</v>
      </c>
      <c r="G139" s="52">
        <v>21136</v>
      </c>
      <c r="H139" s="53">
        <f t="shared" si="3"/>
        <v>-1.7757962746060008E-3</v>
      </c>
      <c r="I139" s="52"/>
      <c r="J139" s="52"/>
      <c r="L139" s="57"/>
      <c r="R139" s="52"/>
      <c r="S139" s="52"/>
      <c r="T139" s="52"/>
      <c r="V139" s="57"/>
    </row>
    <row r="140" spans="2:22" ht="14.4" hidden="1" outlineLevel="1" x14ac:dyDescent="0.3">
      <c r="B140" s="271">
        <v>45904</v>
      </c>
      <c r="C140" s="13">
        <v>601.96</v>
      </c>
      <c r="D140" s="53">
        <f t="shared" si="2"/>
        <v>6.3864647072593428E-3</v>
      </c>
      <c r="E140" s="61"/>
      <c r="F140" s="271">
        <v>45904</v>
      </c>
      <c r="G140" s="52">
        <v>21157.9</v>
      </c>
      <c r="H140" s="53">
        <f t="shared" si="3"/>
        <v>1.0361468584405564E-3</v>
      </c>
      <c r="I140" s="52"/>
      <c r="J140" s="52"/>
      <c r="L140" s="57"/>
      <c r="R140" s="52"/>
      <c r="S140" s="52"/>
      <c r="T140" s="52"/>
      <c r="V140" s="57"/>
    </row>
    <row r="141" spans="2:22" ht="14.4" hidden="1" outlineLevel="1" x14ac:dyDescent="0.3">
      <c r="B141" s="271">
        <v>45903</v>
      </c>
      <c r="C141" s="13">
        <v>592.12</v>
      </c>
      <c r="D141" s="53">
        <f t="shared" si="2"/>
        <v>-1.6346601103063407E-2</v>
      </c>
      <c r="E141" s="61"/>
      <c r="F141" s="271">
        <v>45903</v>
      </c>
      <c r="G141" s="52">
        <v>21008.1</v>
      </c>
      <c r="H141" s="53">
        <f t="shared" si="3"/>
        <v>-7.0800977412693866E-3</v>
      </c>
      <c r="I141" s="52"/>
      <c r="J141" s="52"/>
      <c r="L141" s="57"/>
      <c r="R141" s="52"/>
      <c r="S141" s="52"/>
      <c r="T141" s="52"/>
      <c r="V141" s="57"/>
    </row>
    <row r="142" spans="2:22" ht="14.4" hidden="1" outlineLevel="1" x14ac:dyDescent="0.3">
      <c r="B142" s="271">
        <v>45902</v>
      </c>
      <c r="C142" s="13">
        <v>592.01</v>
      </c>
      <c r="D142" s="53">
        <f t="shared" si="2"/>
        <v>-1.8577315409040729E-4</v>
      </c>
      <c r="E142" s="61"/>
      <c r="F142" s="271">
        <v>45902</v>
      </c>
      <c r="G142" s="52">
        <v>21044.9</v>
      </c>
      <c r="H142" s="53">
        <f t="shared" si="3"/>
        <v>1.7517052946245393E-3</v>
      </c>
      <c r="I142" s="52"/>
      <c r="J142" s="52"/>
      <c r="L142" s="57"/>
      <c r="R142" s="52"/>
      <c r="S142" s="52"/>
      <c r="T142" s="52"/>
      <c r="V142" s="57"/>
    </row>
    <row r="143" spans="2:22" ht="14.4" hidden="1" outlineLevel="1" x14ac:dyDescent="0.3">
      <c r="B143" s="271">
        <v>45898</v>
      </c>
      <c r="C143" s="13">
        <v>603.52</v>
      </c>
      <c r="D143" s="53">
        <f t="shared" ref="D143:D206" si="4">C143/C142-1</f>
        <v>1.9442239151365781E-2</v>
      </c>
      <c r="E143" s="61"/>
      <c r="F143" s="271">
        <v>45898</v>
      </c>
      <c r="G143" s="52">
        <v>21151.5</v>
      </c>
      <c r="H143" s="53">
        <f t="shared" si="3"/>
        <v>5.0653602535530862E-3</v>
      </c>
      <c r="I143" s="52"/>
      <c r="J143" s="52"/>
      <c r="L143" s="57"/>
      <c r="R143" s="52"/>
      <c r="S143" s="52"/>
      <c r="T143" s="52"/>
      <c r="V143" s="57"/>
    </row>
    <row r="144" spans="2:22" ht="14.4" hidden="1" outlineLevel="1" x14ac:dyDescent="0.3">
      <c r="B144" s="271">
        <v>45897</v>
      </c>
      <c r="C144" s="13">
        <v>612.16999999999996</v>
      </c>
      <c r="D144" s="53">
        <f t="shared" si="4"/>
        <v>1.4332582184517495E-2</v>
      </c>
      <c r="E144" s="61"/>
      <c r="F144" s="271">
        <v>45897</v>
      </c>
      <c r="G144" s="52">
        <v>21165.1</v>
      </c>
      <c r="H144" s="53">
        <f t="shared" ref="H144:H207" si="5">G144/G143-1</f>
        <v>6.429804032810349E-4</v>
      </c>
      <c r="I144" s="52"/>
      <c r="J144" s="52"/>
      <c r="L144" s="57"/>
      <c r="R144" s="52"/>
      <c r="S144" s="52"/>
      <c r="T144" s="52"/>
      <c r="V144" s="57"/>
    </row>
    <row r="145" spans="2:22" ht="14.4" hidden="1" outlineLevel="1" x14ac:dyDescent="0.3">
      <c r="B145" s="271">
        <v>45896</v>
      </c>
      <c r="C145" s="13">
        <v>603.16999999999996</v>
      </c>
      <c r="D145" s="53">
        <f t="shared" si="4"/>
        <v>-1.470179852001896E-2</v>
      </c>
      <c r="E145" s="61"/>
      <c r="F145" s="271">
        <v>45896</v>
      </c>
      <c r="G145" s="52">
        <v>21132.400000000001</v>
      </c>
      <c r="H145" s="53">
        <f t="shared" si="5"/>
        <v>-1.5449962438163212E-3</v>
      </c>
      <c r="I145" s="52"/>
      <c r="J145" s="52"/>
      <c r="L145" s="57"/>
      <c r="R145" s="52"/>
      <c r="S145" s="52"/>
      <c r="T145" s="52"/>
      <c r="V145" s="57"/>
    </row>
    <row r="146" spans="2:22" ht="14.4" hidden="1" outlineLevel="1" x14ac:dyDescent="0.3">
      <c r="B146" s="271">
        <v>45895</v>
      </c>
      <c r="C146" s="13">
        <v>596</v>
      </c>
      <c r="D146" s="53">
        <f t="shared" si="4"/>
        <v>-1.1887195981232446E-2</v>
      </c>
      <c r="E146" s="61"/>
      <c r="F146" s="271">
        <v>45895</v>
      </c>
      <c r="G146" s="52">
        <v>21082.6</v>
      </c>
      <c r="H146" s="53">
        <f t="shared" si="5"/>
        <v>-2.3565709526605083E-3</v>
      </c>
      <c r="I146" s="52"/>
      <c r="J146" s="52"/>
      <c r="L146" s="57"/>
      <c r="R146" s="52"/>
      <c r="S146" s="52"/>
      <c r="T146" s="52"/>
      <c r="V146" s="57"/>
    </row>
    <row r="147" spans="2:22" ht="14.4" hidden="1" outlineLevel="1" x14ac:dyDescent="0.3">
      <c r="B147" s="271">
        <v>45894</v>
      </c>
      <c r="C147" s="13">
        <v>597</v>
      </c>
      <c r="D147" s="53">
        <f t="shared" si="4"/>
        <v>1.6778523489933139E-3</v>
      </c>
      <c r="E147" s="61"/>
      <c r="F147" s="271">
        <v>45894</v>
      </c>
      <c r="G147" s="52">
        <v>21000.6</v>
      </c>
      <c r="H147" s="53">
        <f t="shared" si="5"/>
        <v>-3.889463348922817E-3</v>
      </c>
      <c r="I147" s="52"/>
      <c r="J147" s="52"/>
      <c r="L147" s="57"/>
      <c r="R147" s="52"/>
      <c r="S147" s="52"/>
      <c r="T147" s="52"/>
      <c r="V147" s="57"/>
    </row>
    <row r="148" spans="2:22" ht="14.4" hidden="1" outlineLevel="1" x14ac:dyDescent="0.3">
      <c r="B148" s="271">
        <v>45891</v>
      </c>
      <c r="C148" s="13">
        <v>606.52</v>
      </c>
      <c r="D148" s="53">
        <f t="shared" si="4"/>
        <v>1.5946398659966388E-2</v>
      </c>
      <c r="E148" s="61"/>
      <c r="F148" s="271">
        <v>45891</v>
      </c>
      <c r="G148" s="52">
        <v>21150.1</v>
      </c>
      <c r="H148" s="53">
        <f t="shared" si="5"/>
        <v>7.1188442234983995E-3</v>
      </c>
      <c r="I148" s="52"/>
      <c r="J148" s="52"/>
      <c r="L148" s="57"/>
      <c r="R148" s="52"/>
      <c r="S148" s="52"/>
      <c r="T148" s="52"/>
      <c r="V148" s="57"/>
    </row>
    <row r="149" spans="2:22" ht="14.4" hidden="1" outlineLevel="1" x14ac:dyDescent="0.3">
      <c r="B149" s="271">
        <v>45890</v>
      </c>
      <c r="C149" s="13">
        <v>598.16999999999996</v>
      </c>
      <c r="D149" s="53">
        <f t="shared" si="4"/>
        <v>-1.3767064565059717E-2</v>
      </c>
      <c r="E149" s="61"/>
      <c r="F149" s="271">
        <v>45890</v>
      </c>
      <c r="G149" s="52">
        <v>20818.599999999999</v>
      </c>
      <c r="H149" s="53">
        <f t="shared" si="5"/>
        <v>-1.567368475799169E-2</v>
      </c>
      <c r="I149" s="52"/>
      <c r="J149" s="52"/>
      <c r="L149" s="57"/>
      <c r="R149" s="52"/>
      <c r="S149" s="52"/>
      <c r="T149" s="52"/>
      <c r="V149" s="57"/>
    </row>
    <row r="150" spans="2:22" ht="14.4" hidden="1" outlineLevel="1" x14ac:dyDescent="0.3">
      <c r="B150" s="271">
        <v>45889</v>
      </c>
      <c r="C150" s="13">
        <v>601.13</v>
      </c>
      <c r="D150" s="53">
        <f t="shared" si="4"/>
        <v>4.9484260327332663E-3</v>
      </c>
      <c r="E150" s="61"/>
      <c r="F150" s="271">
        <v>45889</v>
      </c>
      <c r="G150" s="52">
        <v>20865.599999999999</v>
      </c>
      <c r="H150" s="53">
        <f t="shared" si="5"/>
        <v>2.2575965722959612E-3</v>
      </c>
      <c r="I150" s="52"/>
      <c r="J150" s="52"/>
      <c r="L150" s="57"/>
      <c r="R150" s="52"/>
      <c r="S150" s="52"/>
      <c r="T150" s="52"/>
      <c r="V150" s="57"/>
    </row>
    <row r="151" spans="2:22" ht="14.4" hidden="1" outlineLevel="1" x14ac:dyDescent="0.3">
      <c r="B151" s="271">
        <v>45888</v>
      </c>
      <c r="C151" s="13">
        <v>612.79</v>
      </c>
      <c r="D151" s="53">
        <f t="shared" si="4"/>
        <v>1.9396802688270265E-2</v>
      </c>
      <c r="E151" s="61"/>
      <c r="F151" s="271">
        <v>45888</v>
      </c>
      <c r="G151" s="52">
        <v>20820.7</v>
      </c>
      <c r="H151" s="53">
        <f t="shared" si="5"/>
        <v>-2.1518671880990103E-3</v>
      </c>
      <c r="I151" s="52"/>
      <c r="J151" s="52"/>
      <c r="L151" s="57"/>
      <c r="R151" s="52"/>
      <c r="S151" s="52"/>
      <c r="T151" s="52"/>
      <c r="V151" s="57"/>
    </row>
    <row r="152" spans="2:22" ht="14.4" hidden="1" outlineLevel="1" x14ac:dyDescent="0.3">
      <c r="B152" s="271">
        <v>45887</v>
      </c>
      <c r="C152" s="13">
        <v>625.33000000000004</v>
      </c>
      <c r="D152" s="53">
        <f t="shared" si="4"/>
        <v>2.0463780414171406E-2</v>
      </c>
      <c r="E152" s="61"/>
      <c r="F152" s="271">
        <v>45887</v>
      </c>
      <c r="G152" s="52">
        <v>20816.2</v>
      </c>
      <c r="H152" s="53">
        <f t="shared" si="5"/>
        <v>-2.1613106187590159E-4</v>
      </c>
      <c r="I152" s="52"/>
      <c r="J152" s="52"/>
      <c r="L152" s="57"/>
      <c r="R152" s="52"/>
      <c r="S152" s="52"/>
      <c r="T152" s="52"/>
      <c r="V152" s="57"/>
    </row>
    <row r="153" spans="2:22" ht="14.4" hidden="1" outlineLevel="1" x14ac:dyDescent="0.3">
      <c r="B153" s="271">
        <v>45884</v>
      </c>
      <c r="C153" s="13">
        <v>617.91</v>
      </c>
      <c r="D153" s="53">
        <f t="shared" si="4"/>
        <v>-1.1865734891977175E-2</v>
      </c>
      <c r="E153" s="61"/>
      <c r="F153" s="271">
        <v>45884</v>
      </c>
      <c r="G153" s="52">
        <v>20802.7</v>
      </c>
      <c r="H153" s="53">
        <f t="shared" si="5"/>
        <v>-6.4853335383019406E-4</v>
      </c>
      <c r="I153" s="52"/>
      <c r="J153" s="52"/>
      <c r="L153" s="57"/>
      <c r="R153" s="52"/>
      <c r="S153" s="52"/>
      <c r="T153" s="52"/>
      <c r="V153" s="57"/>
    </row>
    <row r="154" spans="2:22" ht="14.4" hidden="1" outlineLevel="1" x14ac:dyDescent="0.3">
      <c r="B154" s="271">
        <v>45883</v>
      </c>
      <c r="C154" s="13">
        <v>616.36</v>
      </c>
      <c r="D154" s="53">
        <f t="shared" si="4"/>
        <v>-2.50845592400184E-3</v>
      </c>
      <c r="E154" s="61"/>
      <c r="F154" s="271">
        <v>45883</v>
      </c>
      <c r="G154" s="52">
        <v>20808.400000000001</v>
      </c>
      <c r="H154" s="53">
        <f t="shared" si="5"/>
        <v>2.74002893855263E-4</v>
      </c>
      <c r="I154" s="52"/>
      <c r="J154" s="52"/>
      <c r="L154" s="57"/>
      <c r="R154" s="52"/>
      <c r="S154" s="52"/>
      <c r="T154" s="52"/>
      <c r="V154" s="57"/>
    </row>
    <row r="155" spans="2:22" ht="14.4" hidden="1" outlineLevel="1" x14ac:dyDescent="0.3">
      <c r="B155" s="271">
        <v>45882</v>
      </c>
      <c r="C155" s="13">
        <v>618.57000000000005</v>
      </c>
      <c r="D155" s="53">
        <f t="shared" si="4"/>
        <v>3.5855668765008009E-3</v>
      </c>
      <c r="E155" s="61"/>
      <c r="F155" s="271">
        <v>45882</v>
      </c>
      <c r="G155" s="52">
        <v>20867.7</v>
      </c>
      <c r="H155" s="53">
        <f t="shared" si="5"/>
        <v>2.8498106533898504E-3</v>
      </c>
      <c r="I155" s="52"/>
      <c r="J155" s="52"/>
      <c r="L155" s="57"/>
      <c r="R155" s="52"/>
      <c r="S155" s="52"/>
      <c r="T155" s="52"/>
      <c r="V155" s="57"/>
    </row>
    <row r="156" spans="2:22" ht="14.4" hidden="1" outlineLevel="1" x14ac:dyDescent="0.3">
      <c r="B156" s="271">
        <v>45881</v>
      </c>
      <c r="C156" s="13">
        <v>625.79999999999995</v>
      </c>
      <c r="D156" s="53">
        <f t="shared" si="4"/>
        <v>1.1688248702652837E-2</v>
      </c>
      <c r="E156" s="61"/>
      <c r="F156" s="271">
        <v>45881</v>
      </c>
      <c r="G156" s="52">
        <v>20709.7</v>
      </c>
      <c r="H156" s="53">
        <f t="shared" si="5"/>
        <v>-7.5715100370429278E-3</v>
      </c>
      <c r="I156" s="52"/>
      <c r="J156" s="52"/>
      <c r="L156" s="57"/>
      <c r="R156" s="52"/>
      <c r="S156" s="52"/>
      <c r="T156" s="52"/>
      <c r="V156" s="57"/>
    </row>
    <row r="157" spans="2:22" ht="14.4" hidden="1" outlineLevel="1" x14ac:dyDescent="0.3">
      <c r="B157" s="271">
        <v>45880</v>
      </c>
      <c r="C157" s="13">
        <v>616.12</v>
      </c>
      <c r="D157" s="53">
        <f t="shared" si="4"/>
        <v>-1.5468200703099955E-2</v>
      </c>
      <c r="E157" s="61"/>
      <c r="F157" s="271">
        <v>45880</v>
      </c>
      <c r="G157" s="52">
        <v>20483.2</v>
      </c>
      <c r="H157" s="53">
        <f t="shared" si="5"/>
        <v>-1.0936903962877276E-2</v>
      </c>
      <c r="I157" s="52"/>
      <c r="J157" s="52"/>
      <c r="L157" s="57"/>
      <c r="R157" s="52"/>
      <c r="S157" s="52"/>
      <c r="T157" s="52"/>
      <c r="V157" s="57"/>
    </row>
    <row r="158" spans="2:22" ht="14.4" hidden="1" outlineLevel="1" x14ac:dyDescent="0.3">
      <c r="B158" s="271">
        <v>45877</v>
      </c>
      <c r="C158" s="13">
        <v>619.41999999999996</v>
      </c>
      <c r="D158" s="53">
        <f t="shared" si="4"/>
        <v>5.3560994611439039E-3</v>
      </c>
      <c r="E158" s="61"/>
      <c r="F158" s="271">
        <v>45877</v>
      </c>
      <c r="G158" s="52">
        <v>20524.2</v>
      </c>
      <c r="H158" s="53">
        <f t="shared" si="5"/>
        <v>2.0016403686924367E-3</v>
      </c>
      <c r="I158" s="52"/>
      <c r="J158" s="52"/>
      <c r="L158" s="57"/>
      <c r="R158" s="52"/>
      <c r="S158" s="52"/>
      <c r="T158" s="52"/>
      <c r="V158" s="57"/>
    </row>
    <row r="159" spans="2:22" ht="14.4" hidden="1" outlineLevel="1" x14ac:dyDescent="0.3">
      <c r="B159" s="271">
        <v>45876</v>
      </c>
      <c r="C159" s="13">
        <v>620.33000000000004</v>
      </c>
      <c r="D159" s="53">
        <f t="shared" si="4"/>
        <v>1.4691162700593008E-3</v>
      </c>
      <c r="E159" s="61"/>
      <c r="F159" s="271">
        <v>45876</v>
      </c>
      <c r="G159" s="52">
        <v>20465.8</v>
      </c>
      <c r="H159" s="53">
        <f t="shared" si="5"/>
        <v>-2.845421502421619E-3</v>
      </c>
      <c r="I159" s="52"/>
      <c r="J159" s="52"/>
      <c r="L159" s="57"/>
      <c r="R159" s="52"/>
      <c r="S159" s="52"/>
      <c r="T159" s="52"/>
      <c r="V159" s="57"/>
    </row>
    <row r="160" spans="2:22" ht="14.4" hidden="1" outlineLevel="1" x14ac:dyDescent="0.3">
      <c r="B160" s="271">
        <v>45875</v>
      </c>
      <c r="C160" s="13">
        <v>625.88</v>
      </c>
      <c r="D160" s="53">
        <f t="shared" si="4"/>
        <v>8.9468508696983751E-3</v>
      </c>
      <c r="E160" s="61"/>
      <c r="F160" s="271">
        <v>45875</v>
      </c>
      <c r="G160" s="52">
        <v>20489.099999999999</v>
      </c>
      <c r="H160" s="53">
        <f t="shared" si="5"/>
        <v>1.1384846915341029E-3</v>
      </c>
      <c r="I160" s="52"/>
      <c r="J160" s="52"/>
      <c r="L160" s="57"/>
      <c r="R160" s="52"/>
      <c r="S160" s="52"/>
      <c r="T160" s="52"/>
      <c r="V160" s="57"/>
    </row>
    <row r="161" spans="2:22" ht="14.4" hidden="1" outlineLevel="1" x14ac:dyDescent="0.3">
      <c r="B161" s="271">
        <v>45874</v>
      </c>
      <c r="C161" s="13">
        <v>628.5</v>
      </c>
      <c r="D161" s="53">
        <f t="shared" si="4"/>
        <v>4.1861059628043318E-3</v>
      </c>
      <c r="E161" s="61"/>
      <c r="F161" s="271">
        <v>45874</v>
      </c>
      <c r="G161" s="52">
        <v>20457.099999999999</v>
      </c>
      <c r="H161" s="53">
        <f t="shared" si="5"/>
        <v>-1.5618060334519068E-3</v>
      </c>
      <c r="I161" s="52"/>
      <c r="J161" s="52"/>
      <c r="L161" s="57"/>
      <c r="R161" s="52"/>
      <c r="S161" s="52"/>
      <c r="T161" s="52"/>
      <c r="V161" s="57"/>
    </row>
    <row r="162" spans="2:22" ht="14.4" hidden="1" outlineLevel="1" x14ac:dyDescent="0.3">
      <c r="B162" s="271">
        <v>45873</v>
      </c>
      <c r="C162" s="13">
        <v>636.02</v>
      </c>
      <c r="D162" s="53">
        <f t="shared" si="4"/>
        <v>1.1964996022275187E-2</v>
      </c>
      <c r="E162" s="61"/>
      <c r="F162" s="271">
        <v>45873</v>
      </c>
      <c r="G162" s="52">
        <v>20488.900000000001</v>
      </c>
      <c r="H162" s="53">
        <f t="shared" si="5"/>
        <v>1.554472530319595E-3</v>
      </c>
      <c r="I162" s="52"/>
      <c r="J162" s="52"/>
      <c r="L162" s="57"/>
      <c r="R162" s="52"/>
      <c r="S162" s="52"/>
      <c r="T162" s="52"/>
      <c r="V162" s="57"/>
    </row>
    <row r="163" spans="2:22" ht="14.4" hidden="1" outlineLevel="1" x14ac:dyDescent="0.3">
      <c r="B163" s="271">
        <v>45870</v>
      </c>
      <c r="C163" s="13">
        <v>618.65</v>
      </c>
      <c r="D163" s="53">
        <f t="shared" si="4"/>
        <v>-2.7310461935159291E-2</v>
      </c>
      <c r="E163" s="61"/>
      <c r="F163" s="271">
        <v>45870</v>
      </c>
      <c r="G163" s="52">
        <v>20267.7</v>
      </c>
      <c r="H163" s="53">
        <f t="shared" si="5"/>
        <v>-1.0796089589973135E-2</v>
      </c>
      <c r="I163" s="52"/>
      <c r="J163" s="52"/>
      <c r="L163" s="57"/>
      <c r="R163" s="52"/>
      <c r="S163" s="52"/>
      <c r="T163" s="52"/>
      <c r="V163" s="57"/>
    </row>
    <row r="164" spans="2:22" ht="14.4" hidden="1" outlineLevel="1" x14ac:dyDescent="0.3">
      <c r="B164" s="271">
        <v>45869</v>
      </c>
      <c r="C164" s="13">
        <v>633.47</v>
      </c>
      <c r="D164" s="53">
        <f t="shared" si="4"/>
        <v>2.3955386729168415E-2</v>
      </c>
      <c r="E164" s="61"/>
      <c r="F164" s="271">
        <v>45869</v>
      </c>
      <c r="G164" s="52">
        <v>20458.400000000001</v>
      </c>
      <c r="H164" s="53">
        <f t="shared" si="5"/>
        <v>9.4090597354412608E-3</v>
      </c>
      <c r="I164" s="52"/>
      <c r="J164" s="52"/>
      <c r="L164" s="57"/>
      <c r="R164" s="52"/>
      <c r="S164" s="52"/>
      <c r="T164" s="52"/>
      <c r="V164" s="57"/>
    </row>
    <row r="165" spans="2:22" ht="14.4" hidden="1" outlineLevel="1" x14ac:dyDescent="0.3">
      <c r="B165" s="271">
        <v>45868</v>
      </c>
      <c r="C165" s="13">
        <v>645.35</v>
      </c>
      <c r="D165" s="53">
        <f t="shared" si="4"/>
        <v>1.8753847853884231E-2</v>
      </c>
      <c r="E165" s="61"/>
      <c r="F165" s="271">
        <v>45868</v>
      </c>
      <c r="G165" s="52">
        <v>20630.900000000001</v>
      </c>
      <c r="H165" s="53">
        <f t="shared" si="5"/>
        <v>8.4317444179407008E-3</v>
      </c>
      <c r="I165" s="52"/>
      <c r="J165" s="52"/>
      <c r="L165" s="57"/>
      <c r="R165" s="52"/>
      <c r="S165" s="52"/>
      <c r="T165" s="52"/>
      <c r="V165" s="57"/>
    </row>
    <row r="166" spans="2:22" ht="14.4" hidden="1" outlineLevel="1" x14ac:dyDescent="0.3">
      <c r="B166" s="271">
        <v>45867</v>
      </c>
      <c r="C166" s="13">
        <v>635.80999999999995</v>
      </c>
      <c r="D166" s="53">
        <f t="shared" si="4"/>
        <v>-1.4782676067250478E-2</v>
      </c>
      <c r="E166" s="61"/>
      <c r="F166" s="271">
        <v>45867</v>
      </c>
      <c r="G166" s="52">
        <v>20761.599999999999</v>
      </c>
      <c r="H166" s="53">
        <f t="shared" si="5"/>
        <v>6.335157457987739E-3</v>
      </c>
      <c r="I166" s="52"/>
      <c r="J166" s="52"/>
      <c r="L166" s="57"/>
      <c r="R166" s="52"/>
      <c r="S166" s="52"/>
      <c r="T166" s="52"/>
      <c r="V166" s="57"/>
    </row>
    <row r="167" spans="2:22" ht="14.4" hidden="1" outlineLevel="1" x14ac:dyDescent="0.3">
      <c r="B167" s="271">
        <v>45866</v>
      </c>
      <c r="C167" s="13">
        <v>592.63</v>
      </c>
      <c r="D167" s="53">
        <f t="shared" si="4"/>
        <v>-6.7913370346487034E-2</v>
      </c>
      <c r="E167" s="61"/>
      <c r="F167" s="271">
        <v>45866</v>
      </c>
      <c r="G167" s="52">
        <v>20821.3</v>
      </c>
      <c r="H167" s="53">
        <f t="shared" si="5"/>
        <v>2.87550092478428E-3</v>
      </c>
      <c r="I167" s="52"/>
      <c r="J167" s="52"/>
      <c r="L167" s="57"/>
      <c r="R167" s="52"/>
      <c r="S167" s="52"/>
      <c r="T167" s="52"/>
      <c r="V167" s="57"/>
    </row>
    <row r="168" spans="2:22" ht="14.4" hidden="1" outlineLevel="1" x14ac:dyDescent="0.3">
      <c r="B168" s="271">
        <v>45863</v>
      </c>
      <c r="C168" s="13">
        <v>601.54999999999995</v>
      </c>
      <c r="D168" s="53">
        <f t="shared" si="4"/>
        <v>1.5051549870914283E-2</v>
      </c>
      <c r="E168" s="61"/>
      <c r="F168" s="271">
        <v>45863</v>
      </c>
      <c r="G168" s="52">
        <v>20950.400000000001</v>
      </c>
      <c r="H168" s="53">
        <f t="shared" si="5"/>
        <v>6.2003813402622399E-3</v>
      </c>
      <c r="I168" s="52"/>
      <c r="J168" s="52"/>
      <c r="L168" s="57"/>
      <c r="R168" s="52"/>
      <c r="S168" s="52"/>
      <c r="T168" s="52"/>
      <c r="V168" s="57"/>
    </row>
    <row r="169" spans="2:22" ht="14.4" hidden="1" outlineLevel="1" x14ac:dyDescent="0.3">
      <c r="B169" s="271">
        <v>45862</v>
      </c>
      <c r="C169" s="13">
        <v>609.67999999999995</v>
      </c>
      <c r="D169" s="53">
        <f t="shared" si="4"/>
        <v>1.3515086027761525E-2</v>
      </c>
      <c r="E169" s="61"/>
      <c r="F169" s="271">
        <v>45862</v>
      </c>
      <c r="G169" s="52">
        <v>20853.400000000001</v>
      </c>
      <c r="H169" s="53">
        <f t="shared" si="5"/>
        <v>-4.6299831984114581E-3</v>
      </c>
      <c r="I169" s="52"/>
      <c r="J169" s="52"/>
      <c r="L169" s="57"/>
      <c r="R169" s="52"/>
      <c r="S169" s="52"/>
      <c r="T169" s="52"/>
      <c r="V169" s="57"/>
    </row>
    <row r="170" spans="2:22" ht="14.4" hidden="1" outlineLevel="1" x14ac:dyDescent="0.3">
      <c r="B170" s="271">
        <v>45861</v>
      </c>
      <c r="C170" s="13">
        <v>614.41999999999996</v>
      </c>
      <c r="D170" s="53">
        <f t="shared" si="4"/>
        <v>7.7745702663691851E-3</v>
      </c>
      <c r="E170" s="61"/>
      <c r="F170" s="271">
        <v>45861</v>
      </c>
      <c r="G170" s="52">
        <v>20921.8</v>
      </c>
      <c r="H170" s="53">
        <f t="shared" si="5"/>
        <v>3.2800406648314517E-3</v>
      </c>
      <c r="I170" s="52"/>
      <c r="J170" s="52"/>
      <c r="L170" s="57"/>
      <c r="R170" s="52"/>
      <c r="S170" s="52"/>
      <c r="T170" s="52"/>
      <c r="V170" s="57"/>
    </row>
    <row r="171" spans="2:22" ht="14.4" hidden="1" outlineLevel="1" x14ac:dyDescent="0.3">
      <c r="B171" s="271">
        <v>45860</v>
      </c>
      <c r="C171" s="13">
        <v>615.13</v>
      </c>
      <c r="D171" s="53">
        <f t="shared" si="4"/>
        <v>1.1555613424043543E-3</v>
      </c>
      <c r="E171" s="61"/>
      <c r="F171" s="271">
        <v>45860</v>
      </c>
      <c r="G171" s="52">
        <v>20658.8</v>
      </c>
      <c r="H171" s="53">
        <f t="shared" si="5"/>
        <v>-1.2570620118727782E-2</v>
      </c>
      <c r="I171" s="52"/>
      <c r="J171" s="52"/>
      <c r="L171" s="57"/>
      <c r="R171" s="52"/>
      <c r="S171" s="52"/>
      <c r="T171" s="52"/>
      <c r="V171" s="57"/>
    </row>
    <row r="172" spans="2:22" ht="14.4" hidden="1" outlineLevel="1" x14ac:dyDescent="0.3">
      <c r="B172" s="271">
        <v>45859</v>
      </c>
      <c r="C172" s="13">
        <v>591.46</v>
      </c>
      <c r="D172" s="53">
        <f t="shared" si="4"/>
        <v>-3.8479670963861179E-2</v>
      </c>
      <c r="E172" s="61"/>
      <c r="F172" s="271">
        <v>45859</v>
      </c>
      <c r="G172" s="52">
        <v>20514.5</v>
      </c>
      <c r="H172" s="53">
        <f t="shared" si="5"/>
        <v>-6.9849168393130157E-3</v>
      </c>
      <c r="I172" s="52"/>
      <c r="J172" s="52"/>
      <c r="L172" s="57"/>
      <c r="R172" s="52"/>
      <c r="S172" s="52"/>
      <c r="T172" s="52"/>
      <c r="V172" s="57"/>
    </row>
    <row r="173" spans="2:22" ht="14.4" hidden="1" outlineLevel="1" x14ac:dyDescent="0.3">
      <c r="B173" s="271">
        <v>45856</v>
      </c>
      <c r="C173" s="13">
        <v>584.76</v>
      </c>
      <c r="D173" s="53">
        <f t="shared" si="4"/>
        <v>-1.132790044973464E-2</v>
      </c>
      <c r="E173" s="61"/>
      <c r="F173" s="271">
        <v>45856</v>
      </c>
      <c r="G173" s="52">
        <v>20541.599999999999</v>
      </c>
      <c r="H173" s="53">
        <f t="shared" si="5"/>
        <v>1.3210168417459034E-3</v>
      </c>
      <c r="I173" s="52"/>
      <c r="J173" s="52"/>
      <c r="L173" s="57"/>
      <c r="R173" s="52"/>
      <c r="S173" s="52"/>
      <c r="T173" s="52"/>
      <c r="V173" s="57"/>
    </row>
    <row r="174" spans="2:22" ht="14.4" hidden="1" outlineLevel="1" x14ac:dyDescent="0.3">
      <c r="B174" s="271">
        <v>45855</v>
      </c>
      <c r="C174" s="13">
        <v>589.01</v>
      </c>
      <c r="D174" s="53">
        <f t="shared" si="4"/>
        <v>7.2679389835146324E-3</v>
      </c>
      <c r="E174" s="61"/>
      <c r="F174" s="271">
        <v>45855</v>
      </c>
      <c r="G174" s="52">
        <v>20589.5</v>
      </c>
      <c r="H174" s="53">
        <f t="shared" si="5"/>
        <v>2.3318534096663512E-3</v>
      </c>
      <c r="I174" s="52"/>
      <c r="J174" s="52"/>
      <c r="L174" s="57"/>
      <c r="R174" s="52"/>
      <c r="S174" s="52"/>
      <c r="T174" s="52"/>
      <c r="V174" s="57"/>
    </row>
    <row r="175" spans="2:22" ht="14.4" hidden="1" outlineLevel="1" x14ac:dyDescent="0.3">
      <c r="B175" s="271">
        <v>45854</v>
      </c>
      <c r="C175" s="13">
        <v>571.20000000000005</v>
      </c>
      <c r="D175" s="53">
        <f t="shared" si="4"/>
        <v>-3.0237177637051915E-2</v>
      </c>
      <c r="E175" s="61"/>
      <c r="F175" s="271">
        <v>45854</v>
      </c>
      <c r="G175" s="52">
        <v>20485.7</v>
      </c>
      <c r="H175" s="53">
        <f t="shared" si="5"/>
        <v>-5.0414045994316981E-3</v>
      </c>
      <c r="I175" s="52"/>
      <c r="J175" s="52"/>
      <c r="L175" s="57"/>
      <c r="R175" s="52"/>
      <c r="S175" s="52"/>
      <c r="T175" s="52"/>
      <c r="V175" s="57"/>
    </row>
    <row r="176" spans="2:22" ht="14.4" hidden="1" outlineLevel="1" x14ac:dyDescent="0.3">
      <c r="B176" s="271">
        <v>45853</v>
      </c>
      <c r="C176" s="13">
        <v>569.1</v>
      </c>
      <c r="D176" s="53">
        <f t="shared" si="4"/>
        <v>-3.6764705882352811E-3</v>
      </c>
      <c r="E176" s="61"/>
      <c r="F176" s="271">
        <v>45853</v>
      </c>
      <c r="G176" s="52">
        <v>20374.400000000001</v>
      </c>
      <c r="H176" s="53">
        <f t="shared" si="5"/>
        <v>-5.4330581820488666E-3</v>
      </c>
      <c r="I176" s="52"/>
      <c r="J176" s="52"/>
      <c r="L176" s="57"/>
      <c r="R176" s="52"/>
      <c r="S176" s="52"/>
      <c r="T176" s="52"/>
      <c r="V176" s="57"/>
    </row>
    <row r="177" spans="2:22" ht="14.4" hidden="1" outlineLevel="1" x14ac:dyDescent="0.3">
      <c r="B177" s="271">
        <v>45852</v>
      </c>
      <c r="C177" s="13">
        <v>549.53</v>
      </c>
      <c r="D177" s="53">
        <f t="shared" si="4"/>
        <v>-3.4387629590581725E-2</v>
      </c>
      <c r="E177" s="61"/>
      <c r="F177" s="271">
        <v>45852</v>
      </c>
      <c r="G177" s="52">
        <v>20581.400000000001</v>
      </c>
      <c r="H177" s="53">
        <f t="shared" si="5"/>
        <v>1.0159808386995373E-2</v>
      </c>
      <c r="I177" s="52"/>
      <c r="J177" s="52"/>
      <c r="L177" s="57"/>
      <c r="R177" s="52"/>
      <c r="S177" s="52"/>
      <c r="T177" s="52"/>
      <c r="V177" s="57"/>
    </row>
    <row r="178" spans="2:22" ht="14.4" hidden="1" outlineLevel="1" x14ac:dyDescent="0.3">
      <c r="B178" s="271">
        <v>45849</v>
      </c>
      <c r="C178" s="13">
        <v>559.28</v>
      </c>
      <c r="D178" s="53">
        <f t="shared" si="4"/>
        <v>1.7742434443979382E-2</v>
      </c>
      <c r="E178" s="61"/>
      <c r="F178" s="271">
        <v>45849</v>
      </c>
      <c r="G178" s="52">
        <v>20547.7</v>
      </c>
      <c r="H178" s="53">
        <f t="shared" si="5"/>
        <v>-1.6374007599094798E-3</v>
      </c>
      <c r="I178" s="52"/>
      <c r="J178" s="52"/>
      <c r="L178" s="57"/>
      <c r="R178" s="52"/>
      <c r="S178" s="52"/>
      <c r="T178" s="52"/>
      <c r="V178" s="57"/>
    </row>
    <row r="179" spans="2:22" ht="14.4" hidden="1" outlineLevel="1" x14ac:dyDescent="0.3">
      <c r="B179" s="271">
        <v>45848</v>
      </c>
      <c r="C179" s="13">
        <v>566.19000000000005</v>
      </c>
      <c r="D179" s="53">
        <f t="shared" si="4"/>
        <v>1.2355170934058135E-2</v>
      </c>
      <c r="E179" s="61"/>
      <c r="F179" s="271">
        <v>45848</v>
      </c>
      <c r="G179" s="52">
        <v>20678.099999999999</v>
      </c>
      <c r="H179" s="53">
        <f t="shared" si="5"/>
        <v>6.3462090647614655E-3</v>
      </c>
      <c r="I179" s="52"/>
      <c r="J179" s="52"/>
      <c r="L179" s="57"/>
      <c r="R179" s="52"/>
      <c r="S179" s="52"/>
      <c r="T179" s="52"/>
      <c r="V179" s="57"/>
    </row>
    <row r="180" spans="2:22" ht="14.4" hidden="1" outlineLevel="1" x14ac:dyDescent="0.3">
      <c r="B180" s="271">
        <v>45847</v>
      </c>
      <c r="C180" s="13">
        <v>550.95000000000005</v>
      </c>
      <c r="D180" s="53">
        <f t="shared" si="4"/>
        <v>-2.6916759391723666E-2</v>
      </c>
      <c r="E180" s="61"/>
      <c r="F180" s="271">
        <v>45847</v>
      </c>
      <c r="G180" s="52">
        <v>20608.2</v>
      </c>
      <c r="H180" s="53">
        <f t="shared" si="5"/>
        <v>-3.380387946668062E-3</v>
      </c>
      <c r="I180" s="52"/>
      <c r="J180" s="52"/>
      <c r="L180" s="57"/>
      <c r="R180" s="52"/>
      <c r="S180" s="52"/>
      <c r="T180" s="52"/>
      <c r="V180" s="57"/>
    </row>
    <row r="181" spans="2:22" ht="14.4" hidden="1" outlineLevel="1" x14ac:dyDescent="0.3">
      <c r="B181" s="271">
        <v>45846</v>
      </c>
      <c r="C181" s="13">
        <v>551.51</v>
      </c>
      <c r="D181" s="53">
        <f t="shared" si="4"/>
        <v>1.0164261729739277E-3</v>
      </c>
      <c r="E181" s="61"/>
      <c r="F181" s="271">
        <v>45846</v>
      </c>
      <c r="G181" s="52">
        <v>20542</v>
      </c>
      <c r="H181" s="53">
        <f t="shared" si="5"/>
        <v>-3.2123135450937701E-3</v>
      </c>
      <c r="I181" s="52"/>
      <c r="J181" s="52"/>
      <c r="L181" s="57"/>
      <c r="R181" s="52"/>
      <c r="S181" s="52"/>
      <c r="T181" s="52"/>
      <c r="V181" s="57"/>
    </row>
    <row r="182" spans="2:22" ht="14.4" hidden="1" outlineLevel="1" x14ac:dyDescent="0.3">
      <c r="B182" s="271">
        <v>45845</v>
      </c>
      <c r="C182" s="13">
        <v>536.52</v>
      </c>
      <c r="D182" s="53">
        <f t="shared" si="4"/>
        <v>-2.7179924208083239E-2</v>
      </c>
      <c r="E182" s="61"/>
      <c r="F182" s="271">
        <v>45845</v>
      </c>
      <c r="G182" s="52">
        <v>20545.599999999999</v>
      </c>
      <c r="H182" s="53">
        <f t="shared" si="5"/>
        <v>1.7525070587076641E-4</v>
      </c>
      <c r="I182" s="52"/>
      <c r="J182" s="52"/>
      <c r="L182" s="57"/>
      <c r="R182" s="52"/>
      <c r="S182" s="52"/>
      <c r="T182" s="52"/>
      <c r="V182" s="57"/>
    </row>
    <row r="183" spans="2:22" ht="14.4" hidden="1" outlineLevel="1" x14ac:dyDescent="0.3">
      <c r="B183" s="271">
        <v>45841</v>
      </c>
      <c r="C183" s="13">
        <v>548.74</v>
      </c>
      <c r="D183" s="53">
        <f t="shared" si="4"/>
        <v>2.2776410944606029E-2</v>
      </c>
      <c r="E183" s="61"/>
      <c r="F183" s="271">
        <v>45841</v>
      </c>
      <c r="G183" s="52">
        <v>20725.8</v>
      </c>
      <c r="H183" s="53">
        <f t="shared" si="5"/>
        <v>8.7707343664824577E-3</v>
      </c>
      <c r="I183" s="52"/>
      <c r="J183" s="52"/>
      <c r="L183" s="57"/>
      <c r="R183" s="52"/>
      <c r="S183" s="52"/>
      <c r="T183" s="52"/>
      <c r="V183" s="57"/>
    </row>
    <row r="184" spans="2:22" ht="14.4" hidden="1" outlineLevel="1" x14ac:dyDescent="0.3">
      <c r="B184" s="271">
        <v>45840</v>
      </c>
      <c r="C184" s="13">
        <v>523.11</v>
      </c>
      <c r="D184" s="53">
        <f t="shared" si="4"/>
        <v>-4.670700149433249E-2</v>
      </c>
      <c r="E184" s="61"/>
      <c r="F184" s="271">
        <v>45840</v>
      </c>
      <c r="G184" s="52">
        <v>20596.900000000001</v>
      </c>
      <c r="H184" s="53">
        <f t="shared" si="5"/>
        <v>-6.219301546864231E-3</v>
      </c>
      <c r="I184" s="52"/>
      <c r="J184" s="52"/>
      <c r="L184" s="57"/>
      <c r="R184" s="52"/>
      <c r="S184" s="52"/>
      <c r="T184" s="52"/>
      <c r="V184" s="57"/>
    </row>
    <row r="185" spans="2:22" ht="14.4" hidden="1" outlineLevel="1" x14ac:dyDescent="0.3">
      <c r="B185" s="271">
        <v>45839</v>
      </c>
      <c r="C185" s="13">
        <v>521.78</v>
      </c>
      <c r="D185" s="53">
        <f t="shared" si="4"/>
        <v>-2.5424862839557028E-3</v>
      </c>
      <c r="E185" s="61"/>
      <c r="F185" s="271">
        <v>45839</v>
      </c>
      <c r="G185" s="52">
        <v>20541.400000000001</v>
      </c>
      <c r="H185" s="53">
        <f t="shared" si="5"/>
        <v>-2.6945802523681284E-3</v>
      </c>
      <c r="I185" s="52"/>
      <c r="J185" s="52"/>
      <c r="L185" s="57"/>
      <c r="R185" s="52"/>
      <c r="S185" s="52"/>
      <c r="T185" s="52"/>
      <c r="V185" s="57"/>
    </row>
    <row r="186" spans="2:22" ht="14.4" hidden="1" outlineLevel="1" x14ac:dyDescent="0.3">
      <c r="B186" s="271">
        <v>45838</v>
      </c>
      <c r="C186" s="13">
        <v>512.67999999999995</v>
      </c>
      <c r="D186" s="53">
        <f t="shared" si="4"/>
        <v>-1.7440300509793394E-2</v>
      </c>
      <c r="E186" s="61"/>
      <c r="F186" s="271">
        <v>45838</v>
      </c>
      <c r="G186" s="52">
        <v>20429.599999999999</v>
      </c>
      <c r="H186" s="53">
        <f t="shared" si="5"/>
        <v>-5.4426670041965997E-3</v>
      </c>
      <c r="I186" s="52"/>
      <c r="J186" s="52"/>
      <c r="L186" s="57"/>
      <c r="R186" s="52"/>
      <c r="S186" s="52"/>
      <c r="T186" s="52"/>
      <c r="V186" s="57"/>
    </row>
    <row r="187" spans="2:22" ht="14.4" hidden="1" outlineLevel="1" x14ac:dyDescent="0.3">
      <c r="B187" s="271">
        <v>45835</v>
      </c>
      <c r="C187" s="13">
        <v>502.63</v>
      </c>
      <c r="D187" s="53">
        <f t="shared" si="4"/>
        <v>-1.9602871186705118E-2</v>
      </c>
      <c r="E187" s="61"/>
      <c r="F187" s="271">
        <v>45835</v>
      </c>
      <c r="G187" s="52">
        <v>20338.400000000001</v>
      </c>
      <c r="H187" s="53">
        <f t="shared" si="5"/>
        <v>-4.4641108979126543E-3</v>
      </c>
      <c r="I187" s="52"/>
      <c r="J187" s="52"/>
      <c r="L187" s="57"/>
      <c r="R187" s="52"/>
      <c r="S187" s="52"/>
      <c r="T187" s="52"/>
      <c r="V187" s="57"/>
    </row>
    <row r="188" spans="2:22" ht="14.4" hidden="1" outlineLevel="1" x14ac:dyDescent="0.3">
      <c r="B188" s="271">
        <v>45834</v>
      </c>
      <c r="C188" s="13">
        <v>495.7</v>
      </c>
      <c r="D188" s="53">
        <f t="shared" si="4"/>
        <v>-1.3787477866422648E-2</v>
      </c>
      <c r="E188" s="61"/>
      <c r="F188" s="271">
        <v>45834</v>
      </c>
      <c r="G188" s="52">
        <v>20256.2</v>
      </c>
      <c r="H188" s="53">
        <f t="shared" si="5"/>
        <v>-4.0416158596546792E-3</v>
      </c>
      <c r="I188" s="52"/>
      <c r="J188" s="52"/>
      <c r="L188" s="57"/>
      <c r="R188" s="52"/>
      <c r="S188" s="52"/>
      <c r="T188" s="52"/>
      <c r="V188" s="57"/>
    </row>
    <row r="189" spans="2:22" ht="14.4" hidden="1" outlineLevel="1" x14ac:dyDescent="0.3">
      <c r="B189" s="271">
        <v>45833</v>
      </c>
      <c r="C189" s="13">
        <v>487.27</v>
      </c>
      <c r="D189" s="53">
        <f t="shared" si="4"/>
        <v>-1.7006253782529734E-2</v>
      </c>
      <c r="E189" s="61"/>
      <c r="F189" s="271">
        <v>45833</v>
      </c>
      <c r="G189" s="52">
        <v>20087.400000000001</v>
      </c>
      <c r="H189" s="53">
        <f t="shared" si="5"/>
        <v>-8.3332510539982918E-3</v>
      </c>
      <c r="I189" s="52"/>
      <c r="J189" s="52"/>
      <c r="L189" s="57"/>
      <c r="R189" s="52"/>
      <c r="S189" s="52"/>
      <c r="T189" s="52"/>
      <c r="V189" s="57"/>
    </row>
    <row r="190" spans="2:22" ht="14.4" hidden="1" outlineLevel="1" x14ac:dyDescent="0.3">
      <c r="B190" s="271">
        <v>45832</v>
      </c>
      <c r="C190" s="13">
        <v>478.98</v>
      </c>
      <c r="D190" s="53">
        <f t="shared" si="4"/>
        <v>-1.7013154924374496E-2</v>
      </c>
      <c r="E190" s="61"/>
      <c r="F190" s="271">
        <v>45832</v>
      </c>
      <c r="G190" s="52">
        <v>20217.3</v>
      </c>
      <c r="H190" s="53">
        <f t="shared" si="5"/>
        <v>6.4667403446936333E-3</v>
      </c>
      <c r="I190" s="52"/>
      <c r="J190" s="52"/>
      <c r="L190" s="57"/>
      <c r="R190" s="52"/>
      <c r="S190" s="52"/>
      <c r="T190" s="52"/>
      <c r="V190" s="57"/>
    </row>
    <row r="191" spans="2:22" ht="14.4" hidden="1" outlineLevel="1" x14ac:dyDescent="0.3">
      <c r="B191" s="271">
        <v>45831</v>
      </c>
      <c r="C191" s="13">
        <v>470.98</v>
      </c>
      <c r="D191" s="53">
        <f t="shared" si="4"/>
        <v>-1.6702158754018925E-2</v>
      </c>
      <c r="E191" s="61"/>
      <c r="F191" s="271">
        <v>45831</v>
      </c>
      <c r="G191" s="52">
        <v>20008.2</v>
      </c>
      <c r="H191" s="53">
        <f t="shared" si="5"/>
        <v>-1.0342627353800871E-2</v>
      </c>
      <c r="I191" s="52"/>
      <c r="J191" s="52"/>
      <c r="L191" s="57"/>
      <c r="R191" s="52"/>
      <c r="S191" s="52"/>
      <c r="T191" s="52"/>
      <c r="V191" s="57"/>
    </row>
    <row r="192" spans="2:22" ht="14.4" hidden="1" outlineLevel="1" x14ac:dyDescent="0.3">
      <c r="B192" s="271">
        <v>45828</v>
      </c>
      <c r="C192" s="13">
        <v>470.53</v>
      </c>
      <c r="D192" s="53">
        <f t="shared" si="4"/>
        <v>-9.5545458405887906E-4</v>
      </c>
      <c r="E192" s="61"/>
      <c r="F192" s="271">
        <v>45828</v>
      </c>
      <c r="G192" s="52">
        <v>19868.400000000001</v>
      </c>
      <c r="H192" s="53">
        <f t="shared" si="5"/>
        <v>-6.987135274537426E-3</v>
      </c>
      <c r="I192" s="52"/>
      <c r="J192" s="52"/>
      <c r="L192" s="57"/>
      <c r="R192" s="52"/>
      <c r="S192" s="52"/>
      <c r="T192" s="52"/>
      <c r="V192" s="57"/>
    </row>
    <row r="193" spans="2:22" ht="14.4" hidden="1" outlineLevel="1" x14ac:dyDescent="0.3">
      <c r="B193" s="271">
        <v>45826</v>
      </c>
      <c r="C193" s="13">
        <v>473.62</v>
      </c>
      <c r="D193" s="53">
        <f t="shared" si="4"/>
        <v>6.5670626740059745E-3</v>
      </c>
      <c r="E193" s="61"/>
      <c r="F193" s="271">
        <v>45826</v>
      </c>
      <c r="G193" s="52">
        <v>19901.099999999999</v>
      </c>
      <c r="H193" s="53">
        <f t="shared" si="5"/>
        <v>1.6458295584946825E-3</v>
      </c>
      <c r="I193" s="52"/>
      <c r="J193" s="52"/>
      <c r="L193" s="57"/>
      <c r="R193" s="52"/>
      <c r="S193" s="52"/>
      <c r="T193" s="52"/>
      <c r="V193" s="57"/>
    </row>
    <row r="194" spans="2:22" ht="14.4" hidden="1" outlineLevel="1" x14ac:dyDescent="0.3">
      <c r="B194" s="271">
        <v>45825</v>
      </c>
      <c r="C194" s="13">
        <v>475.4</v>
      </c>
      <c r="D194" s="53">
        <f t="shared" si="4"/>
        <v>3.7582872344916751E-3</v>
      </c>
      <c r="E194" s="61"/>
      <c r="F194" s="271">
        <v>45825</v>
      </c>
      <c r="G194" s="52">
        <v>19918.3</v>
      </c>
      <c r="H194" s="53">
        <f t="shared" si="5"/>
        <v>8.6427383410980774E-4</v>
      </c>
      <c r="I194" s="52"/>
      <c r="J194" s="52"/>
      <c r="L194" s="57"/>
      <c r="R194" s="52"/>
      <c r="S194" s="52"/>
      <c r="T194" s="52"/>
      <c r="V194" s="57"/>
    </row>
    <row r="195" spans="2:22" ht="14.4" hidden="1" outlineLevel="1" x14ac:dyDescent="0.3">
      <c r="B195" s="271">
        <v>45824</v>
      </c>
      <c r="C195" s="13">
        <v>479.41</v>
      </c>
      <c r="D195" s="53">
        <f t="shared" si="4"/>
        <v>8.4350021034917955E-3</v>
      </c>
      <c r="E195" s="61"/>
      <c r="F195" s="271">
        <v>45824</v>
      </c>
      <c r="G195" s="52">
        <v>20088</v>
      </c>
      <c r="H195" s="53">
        <f t="shared" si="5"/>
        <v>8.5198033968763021E-3</v>
      </c>
      <c r="I195" s="52"/>
      <c r="J195" s="52"/>
      <c r="L195" s="57"/>
      <c r="R195" s="52"/>
      <c r="S195" s="52"/>
      <c r="T195" s="52"/>
      <c r="V195" s="57"/>
    </row>
    <row r="196" spans="2:22" ht="14.4" hidden="1" outlineLevel="1" x14ac:dyDescent="0.3">
      <c r="B196" s="271">
        <v>45821</v>
      </c>
      <c r="C196" s="13">
        <v>478.86</v>
      </c>
      <c r="D196" s="53">
        <f t="shared" si="4"/>
        <v>-1.1472434867858539E-3</v>
      </c>
      <c r="E196" s="61"/>
      <c r="F196" s="271">
        <v>45821</v>
      </c>
      <c r="G196" s="52">
        <v>19981.099999999999</v>
      </c>
      <c r="H196" s="53">
        <f t="shared" si="5"/>
        <v>-5.3215850258861996E-3</v>
      </c>
      <c r="I196" s="52"/>
      <c r="J196" s="52"/>
      <c r="L196" s="57"/>
      <c r="R196" s="52"/>
      <c r="S196" s="52"/>
      <c r="T196" s="52"/>
      <c r="V196" s="57"/>
    </row>
    <row r="197" spans="2:22" ht="14.4" hidden="1" outlineLevel="1" x14ac:dyDescent="0.3">
      <c r="B197" s="271">
        <v>45820</v>
      </c>
      <c r="C197" s="13">
        <v>494.99</v>
      </c>
      <c r="D197" s="53">
        <f t="shared" si="4"/>
        <v>3.3684166562252038E-2</v>
      </c>
      <c r="E197" s="61"/>
      <c r="F197" s="271">
        <v>45820</v>
      </c>
      <c r="G197" s="52">
        <v>20199.5</v>
      </c>
      <c r="H197" s="53">
        <f t="shared" si="5"/>
        <v>1.0930329161057184E-2</v>
      </c>
      <c r="I197" s="52"/>
      <c r="J197" s="52"/>
      <c r="L197" s="57"/>
      <c r="R197" s="52"/>
      <c r="S197" s="52"/>
      <c r="T197" s="52"/>
      <c r="V197" s="57"/>
    </row>
    <row r="198" spans="2:22" ht="14.4" hidden="1" outlineLevel="1" x14ac:dyDescent="0.3">
      <c r="B198" s="271">
        <v>45819</v>
      </c>
      <c r="C198" s="13">
        <v>500.73</v>
      </c>
      <c r="D198" s="53">
        <f t="shared" si="4"/>
        <v>1.1596193862502213E-2</v>
      </c>
      <c r="E198" s="61"/>
      <c r="F198" s="271">
        <v>45819</v>
      </c>
      <c r="G198" s="52">
        <v>20119.099999999999</v>
      </c>
      <c r="H198" s="53">
        <f t="shared" si="5"/>
        <v>-3.980296541993722E-3</v>
      </c>
      <c r="I198" s="52"/>
      <c r="J198" s="52"/>
      <c r="L198" s="57"/>
      <c r="R198" s="52"/>
      <c r="S198" s="52"/>
      <c r="T198" s="52"/>
      <c r="V198" s="57"/>
    </row>
    <row r="199" spans="2:22" ht="14.4" hidden="1" outlineLevel="1" x14ac:dyDescent="0.3">
      <c r="B199" s="271">
        <v>45818</v>
      </c>
      <c r="C199" s="13">
        <v>504.4</v>
      </c>
      <c r="D199" s="53">
        <f t="shared" si="4"/>
        <v>7.3292992231341891E-3</v>
      </c>
      <c r="E199" s="61"/>
      <c r="F199" s="271">
        <v>45818</v>
      </c>
      <c r="G199" s="52">
        <v>20114.8</v>
      </c>
      <c r="H199" s="53">
        <f t="shared" si="5"/>
        <v>-2.1372725420121252E-4</v>
      </c>
      <c r="I199" s="52"/>
      <c r="J199" s="52"/>
      <c r="L199" s="57"/>
      <c r="R199" s="52"/>
      <c r="S199" s="52"/>
      <c r="T199" s="52"/>
      <c r="V199" s="57"/>
    </row>
    <row r="200" spans="2:22" ht="14.4" hidden="1" outlineLevel="1" x14ac:dyDescent="0.3">
      <c r="B200" s="271">
        <v>45817</v>
      </c>
      <c r="C200" s="13">
        <v>495.77</v>
      </c>
      <c r="D200" s="53">
        <f t="shared" si="4"/>
        <v>-1.7109436954797719E-2</v>
      </c>
      <c r="E200" s="61"/>
      <c r="F200" s="271">
        <v>45817</v>
      </c>
      <c r="G200" s="52">
        <v>20034.5</v>
      </c>
      <c r="H200" s="53">
        <f t="shared" si="5"/>
        <v>-3.9920854296339181E-3</v>
      </c>
      <c r="I200" s="52"/>
      <c r="J200" s="52"/>
      <c r="L200" s="57"/>
      <c r="R200" s="52"/>
      <c r="S200" s="52"/>
      <c r="T200" s="52"/>
      <c r="V200" s="57"/>
    </row>
    <row r="201" spans="2:22" ht="14.4" hidden="1" outlineLevel="1" x14ac:dyDescent="0.3">
      <c r="B201" s="271">
        <v>45814</v>
      </c>
      <c r="C201" s="13">
        <v>486</v>
      </c>
      <c r="D201" s="53">
        <f t="shared" si="4"/>
        <v>-1.9706718841398185E-2</v>
      </c>
      <c r="E201" s="61"/>
      <c r="F201" s="271">
        <v>45814</v>
      </c>
      <c r="G201" s="52">
        <v>20045.400000000001</v>
      </c>
      <c r="H201" s="53">
        <f t="shared" si="5"/>
        <v>5.4406149392316472E-4</v>
      </c>
      <c r="I201" s="52"/>
      <c r="J201" s="52"/>
      <c r="L201" s="57"/>
      <c r="R201" s="52"/>
      <c r="S201" s="52"/>
      <c r="T201" s="52"/>
      <c r="V201" s="57"/>
    </row>
    <row r="202" spans="2:22" ht="14.4" hidden="1" outlineLevel="1" x14ac:dyDescent="0.3">
      <c r="B202" s="271">
        <v>45813</v>
      </c>
      <c r="C202" s="13">
        <v>482.2</v>
      </c>
      <c r="D202" s="53">
        <f t="shared" si="4"/>
        <v>-7.8189300411523055E-3</v>
      </c>
      <c r="E202" s="61"/>
      <c r="F202" s="271">
        <v>45813</v>
      </c>
      <c r="G202" s="52">
        <v>19883.3</v>
      </c>
      <c r="H202" s="53">
        <f t="shared" si="5"/>
        <v>-8.086643319664466E-3</v>
      </c>
      <c r="I202" s="52"/>
      <c r="J202" s="52"/>
      <c r="L202" s="57"/>
      <c r="R202" s="52"/>
      <c r="S202" s="52"/>
      <c r="T202" s="52"/>
      <c r="V202" s="57"/>
    </row>
    <row r="203" spans="2:22" ht="14.4" hidden="1" outlineLevel="1" x14ac:dyDescent="0.3">
      <c r="B203" s="271">
        <v>45812</v>
      </c>
      <c r="C203" s="13">
        <v>473.19</v>
      </c>
      <c r="D203" s="53">
        <f t="shared" si="4"/>
        <v>-1.8685192866030653E-2</v>
      </c>
      <c r="E203" s="61"/>
      <c r="F203" s="271">
        <v>45812</v>
      </c>
      <c r="G203" s="52">
        <v>19887.3</v>
      </c>
      <c r="H203" s="53">
        <f t="shared" si="5"/>
        <v>2.0117384941120697E-4</v>
      </c>
      <c r="I203" s="52"/>
      <c r="J203" s="52"/>
      <c r="L203" s="57"/>
      <c r="R203" s="52"/>
      <c r="S203" s="52"/>
      <c r="T203" s="52"/>
      <c r="V203" s="57"/>
    </row>
    <row r="204" spans="2:22" ht="14.4" hidden="1" outlineLevel="1" x14ac:dyDescent="0.3">
      <c r="B204" s="271">
        <v>45811</v>
      </c>
      <c r="C204" s="13">
        <v>466.26</v>
      </c>
      <c r="D204" s="53">
        <f t="shared" si="4"/>
        <v>-1.4645279908704789E-2</v>
      </c>
      <c r="E204" s="61"/>
      <c r="F204" s="271">
        <v>45811</v>
      </c>
      <c r="G204" s="52">
        <v>19912.400000000001</v>
      </c>
      <c r="H204" s="53">
        <f t="shared" si="5"/>
        <v>1.2621120011264697E-3</v>
      </c>
      <c r="I204" s="52"/>
      <c r="J204" s="52"/>
      <c r="L204" s="57"/>
      <c r="R204" s="52"/>
      <c r="S204" s="52"/>
      <c r="T204" s="52"/>
      <c r="V204" s="57"/>
    </row>
    <row r="205" spans="2:22" ht="14.4" hidden="1" outlineLevel="1" x14ac:dyDescent="0.3">
      <c r="B205" s="271">
        <v>45810</v>
      </c>
      <c r="C205" s="13">
        <v>466.15</v>
      </c>
      <c r="D205" s="53">
        <f t="shared" si="4"/>
        <v>-2.3591987303228645E-4</v>
      </c>
      <c r="E205" s="61"/>
      <c r="F205" s="271">
        <v>45810</v>
      </c>
      <c r="G205" s="52">
        <v>19834.8</v>
      </c>
      <c r="H205" s="53">
        <f t="shared" si="5"/>
        <v>-3.8970691629337528E-3</v>
      </c>
      <c r="I205" s="52"/>
      <c r="J205" s="52"/>
      <c r="L205" s="57"/>
      <c r="R205" s="52"/>
      <c r="S205" s="52"/>
      <c r="T205" s="52"/>
      <c r="V205" s="57"/>
    </row>
    <row r="206" spans="2:22" ht="14.4" hidden="1" outlineLevel="1" x14ac:dyDescent="0.3">
      <c r="B206" s="271">
        <v>45807</v>
      </c>
      <c r="C206" s="13">
        <v>463.98</v>
      </c>
      <c r="D206" s="53">
        <f t="shared" si="4"/>
        <v>-4.6551539204118253E-3</v>
      </c>
      <c r="E206" s="61"/>
      <c r="F206" s="271">
        <v>45807</v>
      </c>
      <c r="G206" s="52">
        <v>19783.8</v>
      </c>
      <c r="H206" s="53">
        <f t="shared" si="5"/>
        <v>-2.5712384294270807E-3</v>
      </c>
      <c r="I206" s="52"/>
      <c r="J206" s="52"/>
      <c r="L206" s="57"/>
      <c r="R206" s="52"/>
      <c r="S206" s="52"/>
      <c r="T206" s="52"/>
      <c r="V206" s="57"/>
    </row>
    <row r="207" spans="2:22" ht="14.4" hidden="1" outlineLevel="1" x14ac:dyDescent="0.3">
      <c r="B207" s="271">
        <v>45806</v>
      </c>
      <c r="C207" s="13">
        <v>454.99</v>
      </c>
      <c r="D207" s="53">
        <f t="shared" ref="D207:D263" si="6">C207/C206-1</f>
        <v>-1.937583516530883E-2</v>
      </c>
      <c r="E207" s="61"/>
      <c r="F207" s="271">
        <v>45806</v>
      </c>
      <c r="G207" s="52">
        <v>19743.8</v>
      </c>
      <c r="H207" s="53">
        <f t="shared" si="5"/>
        <v>-2.0218562662380757E-3</v>
      </c>
      <c r="I207" s="52"/>
      <c r="J207" s="52"/>
      <c r="L207" s="57"/>
      <c r="R207" s="52"/>
      <c r="S207" s="52"/>
      <c r="T207" s="52"/>
      <c r="V207" s="57"/>
    </row>
    <row r="208" spans="2:22" ht="14.4" hidden="1" outlineLevel="1" x14ac:dyDescent="0.3">
      <c r="B208" s="271">
        <v>45805</v>
      </c>
      <c r="C208" s="13">
        <v>462.43</v>
      </c>
      <c r="D208" s="53">
        <f t="shared" si="6"/>
        <v>1.635200773643386E-2</v>
      </c>
      <c r="E208" s="61"/>
      <c r="F208" s="271">
        <v>45805</v>
      </c>
      <c r="G208" s="52">
        <v>19678.900000000001</v>
      </c>
      <c r="H208" s="53">
        <f t="shared" ref="H208:H263" si="7">G208/G207-1</f>
        <v>-3.2871078515785968E-3</v>
      </c>
      <c r="I208" s="52"/>
      <c r="J208" s="52"/>
      <c r="L208" s="57"/>
      <c r="R208" s="52"/>
      <c r="S208" s="52"/>
      <c r="T208" s="52"/>
      <c r="V208" s="57"/>
    </row>
    <row r="209" spans="2:22" ht="14.4" hidden="1" outlineLevel="1" x14ac:dyDescent="0.3">
      <c r="B209" s="271">
        <v>45804</v>
      </c>
      <c r="C209" s="13">
        <v>511.79</v>
      </c>
      <c r="D209" s="53">
        <f t="shared" si="6"/>
        <v>0.10674047964016187</v>
      </c>
      <c r="E209" s="61"/>
      <c r="F209" s="271">
        <v>45804</v>
      </c>
      <c r="G209" s="52">
        <v>19829.900000000001</v>
      </c>
      <c r="H209" s="53">
        <f t="shared" si="7"/>
        <v>7.6731931154687683E-3</v>
      </c>
      <c r="I209" s="52"/>
      <c r="J209" s="52"/>
      <c r="L209" s="57"/>
      <c r="R209" s="52"/>
      <c r="S209" s="52"/>
      <c r="T209" s="52"/>
      <c r="V209" s="57"/>
    </row>
    <row r="210" spans="2:22" ht="14.4" hidden="1" outlineLevel="1" x14ac:dyDescent="0.3">
      <c r="B210" s="271">
        <v>45800</v>
      </c>
      <c r="C210" s="13">
        <v>498.85</v>
      </c>
      <c r="D210" s="53">
        <f t="shared" si="6"/>
        <v>-2.5283807811797843E-2</v>
      </c>
      <c r="E210" s="61"/>
      <c r="F210" s="271">
        <v>45800</v>
      </c>
      <c r="G210" s="52">
        <v>19534.8</v>
      </c>
      <c r="H210" s="53">
        <f t="shared" si="7"/>
        <v>-1.4881567733574186E-2</v>
      </c>
      <c r="I210" s="52"/>
      <c r="J210" s="52"/>
      <c r="L210" s="57"/>
      <c r="R210" s="52"/>
      <c r="S210" s="52"/>
      <c r="T210" s="52"/>
      <c r="V210" s="57"/>
    </row>
    <row r="211" spans="2:22" ht="14.4" hidden="1" outlineLevel="1" x14ac:dyDescent="0.3">
      <c r="B211" s="271">
        <v>45799</v>
      </c>
      <c r="C211" s="13">
        <v>503.48</v>
      </c>
      <c r="D211" s="53">
        <f t="shared" si="6"/>
        <v>9.2813470983261759E-3</v>
      </c>
      <c r="E211" s="61"/>
      <c r="F211" s="271">
        <v>45799</v>
      </c>
      <c r="G211" s="52">
        <v>19564.7</v>
      </c>
      <c r="H211" s="53">
        <f t="shared" si="7"/>
        <v>1.530601797817388E-3</v>
      </c>
      <c r="I211" s="52"/>
      <c r="J211" s="52"/>
      <c r="L211" s="57"/>
      <c r="R211" s="52"/>
      <c r="S211" s="52"/>
      <c r="T211" s="52"/>
      <c r="V211" s="57"/>
    </row>
    <row r="212" spans="2:22" ht="14.4" hidden="1" outlineLevel="1" x14ac:dyDescent="0.3">
      <c r="B212" s="271">
        <v>45798</v>
      </c>
      <c r="C212" s="13">
        <v>501.46</v>
      </c>
      <c r="D212" s="53">
        <f t="shared" si="6"/>
        <v>-4.0120759513785353E-3</v>
      </c>
      <c r="E212" s="61"/>
      <c r="F212" s="271">
        <v>45798</v>
      </c>
      <c r="G212" s="52">
        <v>19607.8</v>
      </c>
      <c r="H212" s="53">
        <f t="shared" si="7"/>
        <v>2.2029471446021187E-3</v>
      </c>
      <c r="I212" s="52"/>
      <c r="J212" s="52"/>
      <c r="L212" s="57"/>
      <c r="R212" s="52"/>
      <c r="S212" s="52"/>
      <c r="T212" s="52"/>
      <c r="V212" s="57"/>
    </row>
    <row r="213" spans="2:22" ht="14.4" hidden="1" outlineLevel="1" x14ac:dyDescent="0.3">
      <c r="B213" s="271">
        <v>45797</v>
      </c>
      <c r="C213" s="13">
        <v>515.61</v>
      </c>
      <c r="D213" s="53">
        <f t="shared" si="6"/>
        <v>2.8217604594583889E-2</v>
      </c>
      <c r="E213" s="61"/>
      <c r="F213" s="271">
        <v>45797</v>
      </c>
      <c r="G213" s="52">
        <v>19942.2</v>
      </c>
      <c r="H213" s="53">
        <f t="shared" si="7"/>
        <v>1.7054437519762544E-2</v>
      </c>
      <c r="I213" s="52"/>
      <c r="J213" s="52"/>
      <c r="L213" s="57"/>
      <c r="R213" s="52"/>
      <c r="S213" s="52"/>
      <c r="T213" s="52"/>
      <c r="V213" s="57"/>
    </row>
    <row r="214" spans="2:22" ht="14.4" hidden="1" outlineLevel="1" x14ac:dyDescent="0.3">
      <c r="B214" s="271">
        <v>45796</v>
      </c>
      <c r="C214" s="13">
        <v>516.01</v>
      </c>
      <c r="D214" s="53">
        <f t="shared" si="6"/>
        <v>7.7578014390722316E-4</v>
      </c>
      <c r="E214" s="61"/>
      <c r="F214" s="271">
        <v>45796</v>
      </c>
      <c r="G214" s="52">
        <v>19975.099999999999</v>
      </c>
      <c r="H214" s="53">
        <f t="shared" si="7"/>
        <v>1.6497678290257056E-3</v>
      </c>
      <c r="I214" s="52"/>
      <c r="J214" s="52"/>
      <c r="L214" s="57"/>
      <c r="R214" s="52"/>
      <c r="S214" s="52"/>
      <c r="T214" s="52"/>
      <c r="V214" s="57"/>
    </row>
    <row r="215" spans="2:22" ht="14.4" hidden="1" outlineLevel="1" x14ac:dyDescent="0.3">
      <c r="B215" s="271">
        <v>45793</v>
      </c>
      <c r="C215" s="13">
        <v>514.42999999999995</v>
      </c>
      <c r="D215" s="53">
        <f t="shared" si="6"/>
        <v>-3.0619561636403558E-3</v>
      </c>
      <c r="E215" s="61"/>
      <c r="F215" s="271">
        <v>45793</v>
      </c>
      <c r="G215" s="52">
        <v>19934.099999999999</v>
      </c>
      <c r="H215" s="53">
        <f t="shared" si="7"/>
        <v>-2.0525554315122818E-3</v>
      </c>
      <c r="I215" s="52"/>
      <c r="J215" s="52"/>
      <c r="L215" s="57"/>
      <c r="R215" s="52"/>
      <c r="S215" s="52"/>
      <c r="T215" s="52"/>
      <c r="V215" s="57"/>
    </row>
    <row r="216" spans="2:22" ht="14.4" hidden="1" outlineLevel="1" x14ac:dyDescent="0.3">
      <c r="B216" s="271">
        <v>45792</v>
      </c>
      <c r="C216" s="13">
        <v>514.48</v>
      </c>
      <c r="D216" s="53">
        <f t="shared" si="6"/>
        <v>9.7194953638135573E-5</v>
      </c>
      <c r="E216" s="61"/>
      <c r="F216" s="271">
        <v>45792</v>
      </c>
      <c r="G216" s="52">
        <v>19784.7</v>
      </c>
      <c r="H216" s="53">
        <f t="shared" si="7"/>
        <v>-7.4946950200911466E-3</v>
      </c>
      <c r="I216" s="52"/>
      <c r="J216" s="52"/>
      <c r="L216" s="57"/>
      <c r="R216" s="52"/>
      <c r="S216" s="52"/>
      <c r="T216" s="52"/>
      <c r="V216" s="57"/>
    </row>
    <row r="217" spans="2:22" ht="14.4" hidden="1" outlineLevel="1" x14ac:dyDescent="0.3">
      <c r="B217" s="271">
        <v>45791</v>
      </c>
      <c r="C217" s="13">
        <v>517.66</v>
      </c>
      <c r="D217" s="53">
        <f t="shared" si="6"/>
        <v>6.1809982895348892E-3</v>
      </c>
      <c r="E217" s="61"/>
      <c r="F217" s="271">
        <v>45791</v>
      </c>
      <c r="G217" s="52">
        <v>19628.5</v>
      </c>
      <c r="H217" s="53">
        <f t="shared" si="7"/>
        <v>-7.8949895626418964E-3</v>
      </c>
      <c r="I217" s="52"/>
      <c r="J217" s="52"/>
      <c r="L217" s="57"/>
      <c r="R217" s="52"/>
      <c r="S217" s="52"/>
      <c r="T217" s="52"/>
      <c r="V217" s="57"/>
    </row>
    <row r="218" spans="2:22" ht="14.4" hidden="1" outlineLevel="1" x14ac:dyDescent="0.3">
      <c r="B218" s="271">
        <v>45790</v>
      </c>
      <c r="C218" s="13">
        <v>515.71</v>
      </c>
      <c r="D218" s="53">
        <f t="shared" si="6"/>
        <v>-3.7669512807633199E-3</v>
      </c>
      <c r="E218" s="61"/>
      <c r="F218" s="271">
        <v>45790</v>
      </c>
      <c r="G218" s="52">
        <v>19723.400000000001</v>
      </c>
      <c r="H218" s="53">
        <f t="shared" si="7"/>
        <v>4.8348065313192912E-3</v>
      </c>
      <c r="I218" s="52"/>
      <c r="J218" s="52"/>
      <c r="L218" s="57"/>
      <c r="R218" s="52"/>
      <c r="S218" s="52"/>
      <c r="T218" s="52"/>
      <c r="V218" s="57"/>
    </row>
    <row r="219" spans="2:22" ht="14.4" hidden="1" outlineLevel="1" x14ac:dyDescent="0.3">
      <c r="B219" s="271">
        <v>45789</v>
      </c>
      <c r="C219" s="13">
        <v>505.59</v>
      </c>
      <c r="D219" s="53">
        <f t="shared" si="6"/>
        <v>-1.9623431773671318E-2</v>
      </c>
      <c r="E219" s="61"/>
      <c r="F219" s="271">
        <v>45789</v>
      </c>
      <c r="G219" s="52">
        <v>19711.5</v>
      </c>
      <c r="H219" s="53">
        <f t="shared" si="7"/>
        <v>-6.0334425099128897E-4</v>
      </c>
      <c r="I219" s="52"/>
      <c r="J219" s="52"/>
      <c r="L219" s="57"/>
      <c r="R219" s="52"/>
      <c r="S219" s="52"/>
      <c r="T219" s="52"/>
      <c r="V219" s="57"/>
    </row>
    <row r="220" spans="2:22" ht="14.4" hidden="1" outlineLevel="1" x14ac:dyDescent="0.3">
      <c r="B220" s="271">
        <v>45786</v>
      </c>
      <c r="C220" s="13">
        <v>482.9</v>
      </c>
      <c r="D220" s="53">
        <f t="shared" si="6"/>
        <v>-4.4878261041555456E-2</v>
      </c>
      <c r="E220" s="61"/>
      <c r="F220" s="271">
        <v>45786</v>
      </c>
      <c r="G220" s="52">
        <v>19319.2</v>
      </c>
      <c r="H220" s="53">
        <f t="shared" si="7"/>
        <v>-1.99020876138295E-2</v>
      </c>
      <c r="I220" s="52"/>
      <c r="J220" s="52"/>
      <c r="L220" s="57"/>
      <c r="R220" s="52"/>
      <c r="S220" s="52"/>
      <c r="T220" s="52"/>
      <c r="V220" s="57"/>
    </row>
    <row r="221" spans="2:22" ht="14.4" hidden="1" outlineLevel="1" x14ac:dyDescent="0.3">
      <c r="B221" s="271">
        <v>45785</v>
      </c>
      <c r="C221" s="13">
        <v>484.5</v>
      </c>
      <c r="D221" s="53">
        <f t="shared" si="6"/>
        <v>3.313315386208382E-3</v>
      </c>
      <c r="E221" s="61"/>
      <c r="F221" s="271">
        <v>45785</v>
      </c>
      <c r="G221" s="52">
        <v>19314.2</v>
      </c>
      <c r="H221" s="53">
        <f t="shared" si="7"/>
        <v>-2.5880988860826903E-4</v>
      </c>
      <c r="I221" s="52"/>
      <c r="J221" s="52"/>
      <c r="L221" s="57"/>
      <c r="R221" s="52"/>
      <c r="S221" s="52"/>
      <c r="T221" s="52"/>
      <c r="V221" s="57"/>
    </row>
    <row r="222" spans="2:22" ht="14.4" hidden="1" outlineLevel="1" x14ac:dyDescent="0.3">
      <c r="B222" s="271">
        <v>45784</v>
      </c>
      <c r="C222" s="13">
        <v>480.54</v>
      </c>
      <c r="D222" s="53">
        <f t="shared" si="6"/>
        <v>-8.1733746130030482E-3</v>
      </c>
      <c r="E222" s="61"/>
      <c r="F222" s="271">
        <v>45784</v>
      </c>
      <c r="G222" s="52">
        <v>19262.400000000001</v>
      </c>
      <c r="H222" s="53">
        <f t="shared" si="7"/>
        <v>-2.6819645649314161E-3</v>
      </c>
      <c r="I222" s="52"/>
      <c r="J222" s="52"/>
      <c r="L222" s="57"/>
      <c r="R222" s="52"/>
      <c r="S222" s="52"/>
      <c r="T222" s="52"/>
      <c r="V222" s="57"/>
    </row>
    <row r="223" spans="2:22" ht="14.4" hidden="1" outlineLevel="1" x14ac:dyDescent="0.3">
      <c r="B223" s="271">
        <v>45783</v>
      </c>
      <c r="C223" s="13">
        <v>473.55</v>
      </c>
      <c r="D223" s="53">
        <f t="shared" si="6"/>
        <v>-1.4546135597452881E-2</v>
      </c>
      <c r="E223" s="61"/>
      <c r="F223" s="271">
        <v>45783</v>
      </c>
      <c r="G223" s="52">
        <v>19182.2</v>
      </c>
      <c r="H223" s="53">
        <f t="shared" si="7"/>
        <v>-4.1635517900158181E-3</v>
      </c>
      <c r="I223" s="52"/>
      <c r="J223" s="52"/>
      <c r="L223" s="57"/>
      <c r="R223" s="52"/>
      <c r="S223" s="52"/>
      <c r="T223" s="52"/>
      <c r="V223" s="57"/>
    </row>
    <row r="224" spans="2:22" ht="14.4" hidden="1" outlineLevel="1" x14ac:dyDescent="0.3">
      <c r="B224" s="271">
        <v>45782</v>
      </c>
      <c r="C224" s="13">
        <v>477.41</v>
      </c>
      <c r="D224" s="53">
        <f t="shared" si="6"/>
        <v>8.1511983951008116E-3</v>
      </c>
      <c r="E224" s="61"/>
      <c r="F224" s="271">
        <v>45782</v>
      </c>
      <c r="G224" s="52">
        <v>19303.2</v>
      </c>
      <c r="H224" s="53">
        <f t="shared" si="7"/>
        <v>6.3079313113199031E-3</v>
      </c>
      <c r="I224" s="52"/>
      <c r="J224" s="52"/>
      <c r="L224" s="57"/>
      <c r="R224" s="52"/>
      <c r="S224" s="52"/>
      <c r="T224" s="52"/>
      <c r="V224" s="57"/>
    </row>
    <row r="225" spans="2:22" ht="14.4" hidden="1" outlineLevel="1" x14ac:dyDescent="0.3">
      <c r="B225" s="271">
        <v>45779</v>
      </c>
      <c r="C225" s="13">
        <v>472.28</v>
      </c>
      <c r="D225" s="53">
        <f t="shared" si="6"/>
        <v>-1.074548082361082E-2</v>
      </c>
      <c r="E225" s="61"/>
      <c r="F225" s="271">
        <v>45779</v>
      </c>
      <c r="G225" s="52">
        <v>19386.7</v>
      </c>
      <c r="H225" s="53">
        <f t="shared" si="7"/>
        <v>4.3257076546894258E-3</v>
      </c>
      <c r="I225" s="52"/>
      <c r="J225" s="52"/>
      <c r="L225" s="57"/>
      <c r="R225" s="52"/>
      <c r="S225" s="52"/>
      <c r="T225" s="52"/>
      <c r="V225" s="57"/>
    </row>
    <row r="226" spans="2:22" ht="14.4" hidden="1" outlineLevel="1" x14ac:dyDescent="0.3">
      <c r="B226" s="271">
        <v>45778</v>
      </c>
      <c r="C226" s="13">
        <v>459.36</v>
      </c>
      <c r="D226" s="53">
        <f t="shared" si="6"/>
        <v>-2.7356652833065098E-2</v>
      </c>
      <c r="E226" s="61"/>
      <c r="F226" s="271">
        <v>45778</v>
      </c>
      <c r="G226" s="52">
        <v>19049.8</v>
      </c>
      <c r="H226" s="53">
        <f t="shared" si="7"/>
        <v>-1.7377893091655716E-2</v>
      </c>
      <c r="I226" s="52"/>
      <c r="J226" s="52"/>
      <c r="L226" s="57"/>
      <c r="R226" s="52"/>
      <c r="S226" s="52"/>
      <c r="T226" s="52"/>
      <c r="V226" s="57"/>
    </row>
    <row r="227" spans="2:22" ht="14.4" hidden="1" outlineLevel="1" x14ac:dyDescent="0.3">
      <c r="B227" s="271">
        <v>45777</v>
      </c>
      <c r="C227" s="13">
        <v>459.01</v>
      </c>
      <c r="D227" s="53">
        <f t="shared" si="6"/>
        <v>-7.6192964124000007E-4</v>
      </c>
      <c r="E227" s="61"/>
      <c r="F227" s="271">
        <v>45777</v>
      </c>
      <c r="G227" s="52">
        <v>19114.2</v>
      </c>
      <c r="H227" s="53">
        <f t="shared" si="7"/>
        <v>3.3806129198208357E-3</v>
      </c>
      <c r="I227" s="52"/>
      <c r="J227" s="52"/>
      <c r="L227" s="57"/>
      <c r="R227" s="52"/>
      <c r="S227" s="52"/>
      <c r="T227" s="52"/>
      <c r="V227" s="57"/>
    </row>
    <row r="228" spans="2:22" ht="14.4" hidden="1" outlineLevel="1" x14ac:dyDescent="0.3">
      <c r="B228" s="271">
        <v>45776</v>
      </c>
      <c r="C228" s="13">
        <v>460.77</v>
      </c>
      <c r="D228" s="53">
        <f t="shared" si="6"/>
        <v>3.8343391211519418E-3</v>
      </c>
      <c r="E228" s="61"/>
      <c r="F228" s="271">
        <v>45776</v>
      </c>
      <c r="G228" s="52">
        <v>19089.2</v>
      </c>
      <c r="H228" s="53">
        <f t="shared" si="7"/>
        <v>-1.3079281371963791E-3</v>
      </c>
      <c r="I228" s="52"/>
      <c r="J228" s="52"/>
      <c r="L228" s="57"/>
      <c r="R228" s="52"/>
      <c r="S228" s="52"/>
      <c r="T228" s="52"/>
      <c r="V228" s="57"/>
    </row>
    <row r="229" spans="2:22" ht="14.4" hidden="1" outlineLevel="1" x14ac:dyDescent="0.3">
      <c r="B229" s="271">
        <v>45775</v>
      </c>
      <c r="C229" s="13">
        <v>443.97</v>
      </c>
      <c r="D229" s="53">
        <f t="shared" si="6"/>
        <v>-3.646070707728355E-2</v>
      </c>
      <c r="E229" s="61"/>
      <c r="F229" s="271">
        <v>45775</v>
      </c>
      <c r="G229" s="52">
        <v>18971.7</v>
      </c>
      <c r="H229" s="53">
        <f t="shared" si="7"/>
        <v>-6.1553129518261418E-3</v>
      </c>
      <c r="I229" s="52"/>
      <c r="J229" s="52"/>
      <c r="L229" s="57"/>
      <c r="R229" s="52"/>
      <c r="S229" s="52"/>
      <c r="T229" s="52"/>
      <c r="V229" s="57"/>
    </row>
    <row r="230" spans="2:22" ht="14.4" hidden="1" outlineLevel="1" x14ac:dyDescent="0.3">
      <c r="B230" s="271">
        <v>45772</v>
      </c>
      <c r="C230" s="13">
        <v>446.62</v>
      </c>
      <c r="D230" s="53">
        <f t="shared" si="6"/>
        <v>5.968871770615003E-3</v>
      </c>
      <c r="E230" s="61"/>
      <c r="F230" s="271">
        <v>45772</v>
      </c>
      <c r="G230" s="52">
        <v>18899.8</v>
      </c>
      <c r="H230" s="53">
        <f t="shared" si="7"/>
        <v>-3.7898554162253406E-3</v>
      </c>
      <c r="I230" s="52"/>
      <c r="J230" s="52"/>
      <c r="L230" s="57"/>
      <c r="R230" s="52"/>
      <c r="S230" s="52"/>
      <c r="T230" s="52"/>
      <c r="V230" s="57"/>
    </row>
    <row r="231" spans="2:22" ht="14.4" hidden="1" outlineLevel="1" x14ac:dyDescent="0.3">
      <c r="B231" s="271">
        <v>45771</v>
      </c>
      <c r="C231" s="13">
        <v>438.9</v>
      </c>
      <c r="D231" s="53">
        <f t="shared" si="6"/>
        <v>-1.7285388025614634E-2</v>
      </c>
      <c r="E231" s="61"/>
      <c r="F231" s="271">
        <v>45771</v>
      </c>
      <c r="G231" s="52">
        <v>18895.400000000001</v>
      </c>
      <c r="H231" s="53">
        <f t="shared" si="7"/>
        <v>-2.3280669636704943E-4</v>
      </c>
      <c r="I231" s="52"/>
      <c r="J231" s="52"/>
      <c r="L231" s="57"/>
      <c r="R231" s="52"/>
      <c r="S231" s="52"/>
      <c r="T231" s="52"/>
      <c r="V231" s="57"/>
    </row>
    <row r="232" spans="2:22" ht="14.4" hidden="1" outlineLevel="1" x14ac:dyDescent="0.3">
      <c r="B232" s="271">
        <v>45770</v>
      </c>
      <c r="C232" s="13">
        <v>422.23</v>
      </c>
      <c r="D232" s="53">
        <f t="shared" si="6"/>
        <v>-3.7981316928685227E-2</v>
      </c>
      <c r="E232" s="61"/>
      <c r="F232" s="271">
        <v>45770</v>
      </c>
      <c r="G232" s="52">
        <v>18631.099999999999</v>
      </c>
      <c r="H232" s="53">
        <f t="shared" si="7"/>
        <v>-1.3987531356838279E-2</v>
      </c>
      <c r="I232" s="52"/>
      <c r="J232" s="52"/>
      <c r="L232" s="57"/>
      <c r="R232" s="52"/>
      <c r="S232" s="52"/>
      <c r="T232" s="52"/>
      <c r="V232" s="57"/>
    </row>
    <row r="233" spans="2:22" ht="14.4" hidden="1" outlineLevel="1" x14ac:dyDescent="0.3">
      <c r="B233" s="271">
        <v>45769</v>
      </c>
      <c r="C233" s="13">
        <v>413.4</v>
      </c>
      <c r="D233" s="53">
        <f t="shared" si="6"/>
        <v>-2.0912772659451129E-2</v>
      </c>
      <c r="E233" s="61"/>
      <c r="F233" s="271">
        <v>45769</v>
      </c>
      <c r="G233" s="52">
        <v>18455.099999999999</v>
      </c>
      <c r="H233" s="53">
        <f t="shared" si="7"/>
        <v>-9.4465705191856264E-3</v>
      </c>
      <c r="I233" s="52"/>
      <c r="J233" s="52"/>
      <c r="L233" s="57"/>
      <c r="R233" s="52"/>
      <c r="S233" s="52"/>
      <c r="T233" s="52"/>
      <c r="V233" s="57"/>
    </row>
    <row r="234" spans="2:22" ht="14.4" hidden="1" outlineLevel="1" x14ac:dyDescent="0.3">
      <c r="B234" s="271">
        <v>45768</v>
      </c>
      <c r="C234" s="13">
        <v>402.36</v>
      </c>
      <c r="D234" s="53">
        <f t="shared" si="6"/>
        <v>-2.670537010159646E-2</v>
      </c>
      <c r="E234" s="61"/>
      <c r="F234" s="271">
        <v>45768</v>
      </c>
      <c r="G234" s="52">
        <v>18032.400000000001</v>
      </c>
      <c r="H234" s="53">
        <f t="shared" si="7"/>
        <v>-2.2904237852951037E-2</v>
      </c>
      <c r="I234" s="52"/>
      <c r="J234" s="52"/>
      <c r="L234" s="57"/>
      <c r="R234" s="52"/>
      <c r="S234" s="52"/>
      <c r="T234" s="52"/>
      <c r="V234" s="57"/>
    </row>
    <row r="235" spans="2:22" ht="14.4" hidden="1" outlineLevel="1" x14ac:dyDescent="0.3">
      <c r="B235" s="271">
        <v>45764</v>
      </c>
      <c r="C235" s="13">
        <v>413.32</v>
      </c>
      <c r="D235" s="53">
        <f t="shared" si="6"/>
        <v>2.723928819962218E-2</v>
      </c>
      <c r="E235" s="61"/>
      <c r="F235" s="271">
        <v>45764</v>
      </c>
      <c r="G235" s="52">
        <v>18367.099999999999</v>
      </c>
      <c r="H235" s="53">
        <f t="shared" si="7"/>
        <v>1.8561034582196267E-2</v>
      </c>
      <c r="I235" s="52"/>
      <c r="J235" s="52"/>
      <c r="L235" s="57"/>
      <c r="R235" s="52"/>
      <c r="S235" s="52"/>
      <c r="T235" s="52"/>
      <c r="V235" s="57"/>
    </row>
    <row r="236" spans="2:22" ht="14.4" hidden="1" outlineLevel="1" x14ac:dyDescent="0.3">
      <c r="B236" s="271">
        <v>45763</v>
      </c>
      <c r="C236" s="13">
        <v>415.65</v>
      </c>
      <c r="D236" s="53">
        <f t="shared" si="6"/>
        <v>5.6372786218910065E-3</v>
      </c>
      <c r="E236" s="61"/>
      <c r="F236" s="271">
        <v>45763</v>
      </c>
      <c r="G236" s="52">
        <v>18245.7</v>
      </c>
      <c r="H236" s="53">
        <f t="shared" si="7"/>
        <v>-6.6096444185526071E-3</v>
      </c>
      <c r="I236" s="52"/>
      <c r="J236" s="52"/>
      <c r="L236" s="57"/>
      <c r="R236" s="52"/>
      <c r="S236" s="52"/>
      <c r="T236" s="52"/>
      <c r="V236" s="57"/>
    </row>
    <row r="237" spans="2:22" ht="14.4" hidden="1" outlineLevel="1" x14ac:dyDescent="0.3">
      <c r="B237" s="271">
        <v>45762</v>
      </c>
      <c r="C237" s="13">
        <v>425.65</v>
      </c>
      <c r="D237" s="53">
        <f t="shared" si="6"/>
        <v>2.4058703235895651E-2</v>
      </c>
      <c r="E237" s="61"/>
      <c r="F237" s="271">
        <v>45762</v>
      </c>
      <c r="G237" s="52">
        <v>18430</v>
      </c>
      <c r="H237" s="53">
        <f t="shared" si="7"/>
        <v>1.0101010101010166E-2</v>
      </c>
      <c r="I237" s="52"/>
      <c r="J237" s="52"/>
      <c r="L237" s="57"/>
      <c r="R237" s="52"/>
      <c r="S237" s="52"/>
      <c r="T237" s="52"/>
      <c r="V237" s="57"/>
    </row>
    <row r="238" spans="2:22" ht="14.4" hidden="1" outlineLevel="1" x14ac:dyDescent="0.3">
      <c r="B238" s="271">
        <v>45761</v>
      </c>
      <c r="C238" s="13">
        <v>421.98</v>
      </c>
      <c r="D238" s="53">
        <f t="shared" si="6"/>
        <v>-8.6221073652060776E-3</v>
      </c>
      <c r="E238" s="61"/>
      <c r="F238" s="271">
        <v>45761</v>
      </c>
      <c r="G238" s="52">
        <v>18432.2</v>
      </c>
      <c r="H238" s="53">
        <f t="shared" si="7"/>
        <v>1.1937059142708151E-4</v>
      </c>
      <c r="I238" s="52"/>
      <c r="J238" s="52"/>
      <c r="L238" s="57"/>
      <c r="R238" s="52"/>
      <c r="S238" s="52"/>
      <c r="T238" s="52"/>
      <c r="V238" s="57"/>
    </row>
    <row r="239" spans="2:22" ht="14.4" hidden="1" outlineLevel="1" x14ac:dyDescent="0.3">
      <c r="B239" s="271">
        <v>45758</v>
      </c>
      <c r="C239" s="13">
        <v>421.21</v>
      </c>
      <c r="D239" s="53">
        <f t="shared" si="6"/>
        <v>-1.8247310299067676E-3</v>
      </c>
      <c r="E239" s="61"/>
      <c r="F239" s="271">
        <v>45758</v>
      </c>
      <c r="G239" s="52">
        <v>18219.7</v>
      </c>
      <c r="H239" s="53">
        <f t="shared" si="7"/>
        <v>-1.1528737752411589E-2</v>
      </c>
      <c r="I239" s="52"/>
      <c r="J239" s="52"/>
      <c r="L239" s="57"/>
      <c r="R239" s="52"/>
      <c r="S239" s="52"/>
      <c r="T239" s="52"/>
      <c r="V239" s="57"/>
    </row>
    <row r="240" spans="2:22" ht="14.4" hidden="1" outlineLevel="1" x14ac:dyDescent="0.3">
      <c r="B240" s="271">
        <v>45757</v>
      </c>
      <c r="C240" s="13">
        <v>406.89</v>
      </c>
      <c r="D240" s="53">
        <f t="shared" si="6"/>
        <v>-3.3997293511550009E-2</v>
      </c>
      <c r="E240" s="61"/>
      <c r="F240" s="271">
        <v>45757</v>
      </c>
      <c r="G240" s="52">
        <v>17890.599999999999</v>
      </c>
      <c r="H240" s="53">
        <f t="shared" si="7"/>
        <v>-1.8062866018650259E-2</v>
      </c>
      <c r="I240" s="52"/>
      <c r="J240" s="52"/>
      <c r="L240" s="57"/>
      <c r="R240" s="52"/>
      <c r="S240" s="52"/>
      <c r="T240" s="52"/>
      <c r="V240" s="57"/>
    </row>
    <row r="241" spans="2:22" ht="14.4" hidden="1" outlineLevel="1" x14ac:dyDescent="0.3">
      <c r="B241" s="271">
        <v>45756</v>
      </c>
      <c r="C241" s="13">
        <v>428.7</v>
      </c>
      <c r="D241" s="53">
        <f t="shared" si="6"/>
        <v>5.3601710536017144E-2</v>
      </c>
      <c r="E241" s="61"/>
      <c r="F241" s="271">
        <v>45756</v>
      </c>
      <c r="G241" s="52">
        <v>18398.5</v>
      </c>
      <c r="H241" s="53">
        <f t="shared" si="7"/>
        <v>2.8389209976188656E-2</v>
      </c>
      <c r="I241" s="52"/>
      <c r="J241" s="52"/>
      <c r="L241" s="57"/>
      <c r="R241" s="52"/>
      <c r="S241" s="52"/>
      <c r="T241" s="52"/>
      <c r="V241" s="57"/>
    </row>
    <row r="242" spans="2:22" ht="14.4" hidden="1" outlineLevel="1" x14ac:dyDescent="0.3">
      <c r="B242" s="271">
        <v>45755</v>
      </c>
      <c r="C242" s="13">
        <v>381.59</v>
      </c>
      <c r="D242" s="53">
        <f t="shared" si="6"/>
        <v>-0.10989036622346637</v>
      </c>
      <c r="E242" s="61"/>
      <c r="F242" s="271">
        <v>45755</v>
      </c>
      <c r="G242" s="52">
        <v>17188.5</v>
      </c>
      <c r="H242" s="53">
        <f t="shared" si="7"/>
        <v>-6.5766230942739923E-2</v>
      </c>
      <c r="I242" s="52"/>
      <c r="J242" s="52"/>
      <c r="L242" s="57"/>
      <c r="R242" s="52"/>
      <c r="S242" s="52"/>
      <c r="T242" s="52"/>
      <c r="V242" s="57"/>
    </row>
    <row r="243" spans="2:22" ht="14.4" hidden="1" outlineLevel="1" x14ac:dyDescent="0.3">
      <c r="B243" s="271">
        <v>45754</v>
      </c>
      <c r="C243" s="13">
        <v>380.9</v>
      </c>
      <c r="D243" s="53">
        <f t="shared" si="6"/>
        <v>-1.8082234859404522E-3</v>
      </c>
      <c r="E243" s="61"/>
      <c r="F243" s="271">
        <v>45754</v>
      </c>
      <c r="G243" s="52">
        <v>17438.599999999999</v>
      </c>
      <c r="H243" s="53">
        <f t="shared" si="7"/>
        <v>1.455042615702351E-2</v>
      </c>
      <c r="I243" s="52"/>
      <c r="J243" s="52"/>
      <c r="L243" s="57"/>
      <c r="R243" s="52"/>
      <c r="S243" s="52"/>
      <c r="T243" s="52"/>
      <c r="V243" s="57"/>
    </row>
    <row r="244" spans="2:22" ht="14.4" hidden="1" outlineLevel="1" x14ac:dyDescent="0.3">
      <c r="B244" s="271">
        <v>45751</v>
      </c>
      <c r="C244" s="13">
        <v>388.13</v>
      </c>
      <c r="D244" s="53">
        <f t="shared" si="6"/>
        <v>1.898135993699146E-2</v>
      </c>
      <c r="E244" s="61"/>
      <c r="F244" s="271">
        <v>45751</v>
      </c>
      <c r="G244" s="52">
        <v>17618.599999999999</v>
      </c>
      <c r="H244" s="53">
        <f t="shared" si="7"/>
        <v>1.0321929512690176E-2</v>
      </c>
      <c r="I244" s="52"/>
      <c r="J244" s="52"/>
      <c r="L244" s="57"/>
      <c r="R244" s="52"/>
      <c r="S244" s="52"/>
      <c r="T244" s="52"/>
      <c r="V244" s="57"/>
    </row>
    <row r="245" spans="2:22" ht="14.4" hidden="1" outlineLevel="1" x14ac:dyDescent="0.3">
      <c r="B245" s="271">
        <v>45750</v>
      </c>
      <c r="C245" s="13">
        <v>417.76</v>
      </c>
      <c r="D245" s="53">
        <f t="shared" si="6"/>
        <v>7.6340401411898018E-2</v>
      </c>
      <c r="E245" s="61"/>
      <c r="F245" s="271">
        <v>45750</v>
      </c>
      <c r="G245" s="52">
        <v>18767.2</v>
      </c>
      <c r="H245" s="53">
        <f t="shared" si="7"/>
        <v>6.5192467051865766E-2</v>
      </c>
      <c r="I245" s="52"/>
      <c r="J245" s="52"/>
      <c r="L245" s="57"/>
      <c r="R245" s="52"/>
      <c r="S245" s="52"/>
      <c r="T245" s="52"/>
      <c r="V245" s="57"/>
    </row>
    <row r="246" spans="2:22" ht="14.4" hidden="1" outlineLevel="1" x14ac:dyDescent="0.3">
      <c r="B246" s="271">
        <v>45749</v>
      </c>
      <c r="C246" s="13">
        <v>438.55</v>
      </c>
      <c r="D246" s="53">
        <f t="shared" si="6"/>
        <v>4.9765415549597902E-2</v>
      </c>
      <c r="E246" s="61"/>
      <c r="F246" s="271">
        <v>45749</v>
      </c>
      <c r="G246" s="52">
        <v>19532.7</v>
      </c>
      <c r="H246" s="53">
        <f t="shared" si="7"/>
        <v>4.078924932861594E-2</v>
      </c>
      <c r="I246" s="52"/>
      <c r="J246" s="52"/>
      <c r="L246" s="57"/>
      <c r="R246" s="52"/>
      <c r="S246" s="52"/>
      <c r="T246" s="52"/>
      <c r="V246" s="57"/>
    </row>
    <row r="247" spans="2:22" ht="14.4" hidden="1" outlineLevel="1" x14ac:dyDescent="0.3">
      <c r="B247" s="271">
        <v>45748</v>
      </c>
      <c r="C247" s="13">
        <v>435.94</v>
      </c>
      <c r="D247" s="53">
        <f t="shared" si="6"/>
        <v>-5.9514308516702696E-3</v>
      </c>
      <c r="E247" s="61"/>
      <c r="F247" s="271">
        <v>45748</v>
      </c>
      <c r="G247" s="52">
        <v>19398.3</v>
      </c>
      <c r="H247" s="53">
        <f t="shared" si="7"/>
        <v>-6.8807691716967767E-3</v>
      </c>
      <c r="I247" s="52"/>
      <c r="J247" s="52"/>
      <c r="L247" s="57"/>
      <c r="R247" s="52"/>
      <c r="S247" s="52"/>
      <c r="T247" s="52"/>
      <c r="V247" s="57"/>
    </row>
    <row r="248" spans="2:22" ht="14.4" hidden="1" outlineLevel="1" x14ac:dyDescent="0.3">
      <c r="B248" s="271">
        <v>45747</v>
      </c>
      <c r="C248" s="13">
        <v>428.85</v>
      </c>
      <c r="D248" s="53">
        <f t="shared" si="6"/>
        <v>-1.6263706014589152E-2</v>
      </c>
      <c r="E248" s="61"/>
      <c r="F248" s="271">
        <v>45747</v>
      </c>
      <c r="G248" s="52">
        <v>19395.900000000001</v>
      </c>
      <c r="H248" s="53">
        <f t="shared" si="7"/>
        <v>-1.2372218184053541E-4</v>
      </c>
      <c r="I248" s="52"/>
      <c r="J248" s="52"/>
      <c r="L248" s="57"/>
      <c r="R248" s="52"/>
      <c r="S248" s="52"/>
      <c r="T248" s="52"/>
      <c r="V248" s="57"/>
    </row>
    <row r="249" spans="2:22" ht="14.4" hidden="1" outlineLevel="1" x14ac:dyDescent="0.3">
      <c r="B249" s="271">
        <v>45744</v>
      </c>
      <c r="C249" s="13">
        <v>437.95</v>
      </c>
      <c r="D249" s="53">
        <f t="shared" si="6"/>
        <v>2.121954063192244E-2</v>
      </c>
      <c r="E249" s="61"/>
      <c r="F249" s="271">
        <v>45744</v>
      </c>
      <c r="G249" s="52">
        <v>19270.3</v>
      </c>
      <c r="H249" s="53">
        <f t="shared" si="7"/>
        <v>-6.4755953577818604E-3</v>
      </c>
      <c r="I249" s="52"/>
      <c r="J249" s="52"/>
      <c r="L249" s="57"/>
      <c r="R249" s="52"/>
      <c r="S249" s="52"/>
      <c r="T249" s="52"/>
      <c r="V249" s="57"/>
    </row>
    <row r="250" spans="2:22" ht="14.4" hidden="1" outlineLevel="1" x14ac:dyDescent="0.3">
      <c r="B250" s="271">
        <v>45743</v>
      </c>
      <c r="C250" s="13">
        <v>446.23</v>
      </c>
      <c r="D250" s="53">
        <f t="shared" si="6"/>
        <v>1.8906267838794344E-2</v>
      </c>
      <c r="E250" s="61"/>
      <c r="F250" s="271">
        <v>45743</v>
      </c>
      <c r="G250" s="52">
        <v>19534.7</v>
      </c>
      <c r="H250" s="53">
        <f t="shared" si="7"/>
        <v>1.3720595942979585E-2</v>
      </c>
      <c r="I250" s="52"/>
      <c r="J250" s="52"/>
      <c r="L250" s="57"/>
      <c r="R250" s="52"/>
      <c r="S250" s="52"/>
      <c r="T250" s="52"/>
      <c r="V250" s="57"/>
    </row>
    <row r="251" spans="2:22" ht="14.4" hidden="1" outlineLevel="1" x14ac:dyDescent="0.3">
      <c r="B251" s="271">
        <v>45742</v>
      </c>
      <c r="C251" s="13">
        <v>449.9</v>
      </c>
      <c r="D251" s="53">
        <f t="shared" si="6"/>
        <v>8.2244582390247345E-3</v>
      </c>
      <c r="E251" s="61"/>
      <c r="F251" s="271">
        <v>45742</v>
      </c>
      <c r="G251" s="52">
        <v>19585.8</v>
      </c>
      <c r="H251" s="53">
        <f t="shared" si="7"/>
        <v>2.6158579348543043E-3</v>
      </c>
      <c r="I251" s="52"/>
      <c r="J251" s="52"/>
      <c r="L251" s="57"/>
      <c r="R251" s="52"/>
      <c r="S251" s="52"/>
      <c r="T251" s="52"/>
      <c r="V251" s="57"/>
    </row>
    <row r="252" spans="2:22" ht="14.4" hidden="1" outlineLevel="1" x14ac:dyDescent="0.3">
      <c r="B252" s="271">
        <v>45741</v>
      </c>
      <c r="C252" s="13">
        <v>457.23</v>
      </c>
      <c r="D252" s="53">
        <f t="shared" si="6"/>
        <v>1.6292509446543813E-2</v>
      </c>
      <c r="E252" s="61"/>
      <c r="F252" s="271">
        <v>45741</v>
      </c>
      <c r="G252" s="52">
        <v>19678.400000000001</v>
      </c>
      <c r="H252" s="53">
        <f t="shared" si="7"/>
        <v>4.7279151221804039E-3</v>
      </c>
      <c r="I252" s="52"/>
      <c r="J252" s="52"/>
      <c r="L252" s="57"/>
      <c r="R252" s="52"/>
      <c r="S252" s="52"/>
      <c r="T252" s="52"/>
      <c r="V252" s="57"/>
    </row>
    <row r="253" spans="2:22" ht="14.4" hidden="1" outlineLevel="1" x14ac:dyDescent="0.3">
      <c r="B253" s="271">
        <v>45740</v>
      </c>
      <c r="C253" s="13">
        <v>457.77</v>
      </c>
      <c r="D253" s="53">
        <f t="shared" si="6"/>
        <v>1.1810248671346724E-3</v>
      </c>
      <c r="E253" s="61"/>
      <c r="F253" s="271">
        <v>45740</v>
      </c>
      <c r="G253" s="52">
        <v>19704.2</v>
      </c>
      <c r="H253" s="53">
        <f t="shared" si="7"/>
        <v>1.3110822018049806E-3</v>
      </c>
      <c r="I253" s="52"/>
      <c r="J253" s="52"/>
      <c r="L253" s="57"/>
      <c r="R253" s="52"/>
      <c r="S253" s="52"/>
      <c r="T253" s="52"/>
      <c r="V253" s="57"/>
    </row>
    <row r="254" spans="2:22" ht="14.4" hidden="1" outlineLevel="1" x14ac:dyDescent="0.3">
      <c r="B254" s="271">
        <v>45737</v>
      </c>
      <c r="C254" s="13">
        <v>448.6</v>
      </c>
      <c r="D254" s="53">
        <f t="shared" si="6"/>
        <v>-2.0031893745767415E-2</v>
      </c>
      <c r="E254" s="61"/>
      <c r="F254" s="271">
        <v>45737</v>
      </c>
      <c r="G254" s="52">
        <v>19454.3</v>
      </c>
      <c r="H254" s="53">
        <f t="shared" si="7"/>
        <v>-1.2682575288517239E-2</v>
      </c>
      <c r="I254" s="52"/>
      <c r="J254" s="52"/>
      <c r="L254" s="57"/>
      <c r="R254" s="52"/>
      <c r="S254" s="52"/>
      <c r="T254" s="52"/>
      <c r="V254" s="57"/>
    </row>
    <row r="255" spans="2:22" ht="14.4" hidden="1" outlineLevel="1" x14ac:dyDescent="0.3">
      <c r="B255" s="271">
        <v>45736</v>
      </c>
      <c r="C255" s="13">
        <v>449.99</v>
      </c>
      <c r="D255" s="53">
        <f t="shared" si="6"/>
        <v>3.0985287561302588E-3</v>
      </c>
      <c r="E255" s="61"/>
      <c r="F255" s="271">
        <v>45736</v>
      </c>
      <c r="G255" s="52">
        <v>19537.3</v>
      </c>
      <c r="H255" s="53">
        <f t="shared" si="7"/>
        <v>4.2664089687112217E-3</v>
      </c>
      <c r="I255" s="52"/>
      <c r="J255" s="52"/>
      <c r="L255" s="57"/>
      <c r="V255" s="57"/>
    </row>
    <row r="256" spans="2:22" ht="14.4" hidden="1" outlineLevel="1" x14ac:dyDescent="0.3">
      <c r="B256" s="271">
        <v>45735</v>
      </c>
      <c r="C256" s="13">
        <v>450.28</v>
      </c>
      <c r="D256" s="53">
        <f t="shared" si="6"/>
        <v>6.4445876575036642E-4</v>
      </c>
      <c r="E256" s="61"/>
      <c r="F256" s="271">
        <v>45735</v>
      </c>
      <c r="G256" s="52">
        <v>19581.3</v>
      </c>
      <c r="H256" s="53">
        <f t="shared" si="7"/>
        <v>2.2521023887640546E-3</v>
      </c>
      <c r="I256" s="52"/>
      <c r="J256" s="52"/>
      <c r="L256" s="57"/>
    </row>
    <row r="257" spans="2:12" ht="14.4" hidden="1" outlineLevel="1" x14ac:dyDescent="0.3">
      <c r="B257" s="271">
        <v>45734</v>
      </c>
      <c r="C257" s="13">
        <v>447.99</v>
      </c>
      <c r="D257" s="53">
        <f t="shared" si="6"/>
        <v>-5.0857244381272704E-3</v>
      </c>
      <c r="E257" s="61"/>
      <c r="F257" s="271">
        <v>45734</v>
      </c>
      <c r="G257" s="52">
        <v>19421.599999999999</v>
      </c>
      <c r="H257" s="53">
        <f t="shared" si="7"/>
        <v>-8.1557404258144617E-3</v>
      </c>
      <c r="I257" s="52"/>
      <c r="J257" s="52"/>
      <c r="L257" s="57"/>
    </row>
    <row r="258" spans="2:12" ht="14.4" hidden="1" outlineLevel="1" x14ac:dyDescent="0.3">
      <c r="B258" s="271">
        <v>45733</v>
      </c>
      <c r="C258" s="13">
        <v>453.51</v>
      </c>
      <c r="D258" s="53">
        <f t="shared" si="6"/>
        <v>1.2321703609455614E-2</v>
      </c>
      <c r="E258" s="61"/>
      <c r="F258" s="271">
        <v>45733</v>
      </c>
      <c r="G258" s="52">
        <v>19494.7</v>
      </c>
      <c r="H258" s="53">
        <f t="shared" si="7"/>
        <v>3.763850558141657E-3</v>
      </c>
      <c r="I258" s="52"/>
      <c r="J258" s="52"/>
      <c r="L258" s="57"/>
    </row>
    <row r="259" spans="2:12" ht="14.4" hidden="1" outlineLevel="1" x14ac:dyDescent="0.3">
      <c r="B259" s="271">
        <v>45730</v>
      </c>
      <c r="C259" s="13">
        <v>446.23</v>
      </c>
      <c r="D259" s="53">
        <f t="shared" si="6"/>
        <v>-1.6052567749332947E-2</v>
      </c>
      <c r="E259" s="61"/>
      <c r="F259" s="271">
        <v>45730</v>
      </c>
      <c r="G259" s="52">
        <v>19231.3</v>
      </c>
      <c r="H259" s="53">
        <f t="shared" si="7"/>
        <v>-1.3511364627309064E-2</v>
      </c>
      <c r="I259" s="52"/>
      <c r="J259" s="52"/>
      <c r="L259" s="57"/>
    </row>
    <row r="260" spans="2:12" ht="14.4" hidden="1" outlineLevel="1" x14ac:dyDescent="0.3">
      <c r="B260" s="271">
        <v>45729</v>
      </c>
      <c r="C260" s="13">
        <v>428.58</v>
      </c>
      <c r="D260" s="53">
        <f t="shared" si="6"/>
        <v>-3.9553593438361512E-2</v>
      </c>
      <c r="E260" s="61"/>
      <c r="F260" s="271">
        <v>45729</v>
      </c>
      <c r="G260" s="52">
        <v>18875.5</v>
      </c>
      <c r="H260" s="53">
        <f t="shared" si="7"/>
        <v>-1.8501089369933332E-2</v>
      </c>
      <c r="I260" s="52"/>
      <c r="J260" s="52"/>
      <c r="L260" s="57"/>
    </row>
    <row r="261" spans="2:12" ht="14.4" hidden="1" outlineLevel="1" x14ac:dyDescent="0.3">
      <c r="B261" s="271">
        <v>45728</v>
      </c>
      <c r="C261" s="13">
        <v>432.46</v>
      </c>
      <c r="D261" s="53">
        <f t="shared" si="6"/>
        <v>9.0531522702879119E-3</v>
      </c>
      <c r="E261" s="61"/>
      <c r="F261" s="271">
        <v>45728</v>
      </c>
      <c r="G261" s="52">
        <v>19051.599999999999</v>
      </c>
      <c r="H261" s="53">
        <f t="shared" si="7"/>
        <v>9.3295541839950591E-3</v>
      </c>
      <c r="I261" s="52"/>
      <c r="J261" s="52"/>
      <c r="L261" s="57"/>
    </row>
    <row r="262" spans="2:12" ht="14.4" hidden="1" outlineLevel="1" x14ac:dyDescent="0.3">
      <c r="B262" s="271">
        <v>45727</v>
      </c>
      <c r="C262" s="13">
        <v>430.68</v>
      </c>
      <c r="D262" s="53">
        <f t="shared" si="6"/>
        <v>-4.1159876057900169E-3</v>
      </c>
      <c r="E262" s="61"/>
      <c r="F262" s="271">
        <v>45727</v>
      </c>
      <c r="G262" s="52">
        <v>19052.099999999999</v>
      </c>
      <c r="H262" s="53">
        <f t="shared" si="7"/>
        <v>2.6244514896411886E-5</v>
      </c>
      <c r="I262" s="52"/>
      <c r="J262" s="52"/>
      <c r="L262" s="57"/>
    </row>
    <row r="263" spans="2:12" ht="14.4" hidden="1" outlineLevel="1" x14ac:dyDescent="0.3">
      <c r="B263" s="271">
        <v>45726</v>
      </c>
      <c r="C263" s="13">
        <v>429.85</v>
      </c>
      <c r="D263" s="53">
        <f t="shared" si="6"/>
        <v>-1.9271849168756017E-3</v>
      </c>
      <c r="E263" s="61"/>
      <c r="F263" s="271">
        <v>45726</v>
      </c>
      <c r="G263" s="52">
        <v>19202.400000000001</v>
      </c>
      <c r="H263" s="53">
        <f t="shared" si="7"/>
        <v>7.8888941376542565E-3</v>
      </c>
      <c r="I263" s="52"/>
      <c r="J263" s="52"/>
      <c r="L263" s="57"/>
    </row>
    <row r="264" spans="2:12" ht="14.4" collapsed="1" x14ac:dyDescent="0.3">
      <c r="E264" s="61"/>
      <c r="F264" s="48"/>
      <c r="G264" s="49"/>
      <c r="H264" s="53"/>
      <c r="I264" s="52"/>
      <c r="J264" s="52"/>
      <c r="L264" s="57"/>
    </row>
    <row r="265" spans="2:12" ht="14.4" x14ac:dyDescent="0.3">
      <c r="B265" s="48"/>
      <c r="C265" s="60"/>
      <c r="D265" s="53"/>
      <c r="E265" s="61"/>
      <c r="F265" s="48"/>
      <c r="G265" s="49"/>
      <c r="H265" s="53"/>
      <c r="I265" s="52"/>
      <c r="J265" s="52"/>
      <c r="L265" s="57"/>
    </row>
    <row r="266" spans="2:12" ht="14.4" x14ac:dyDescent="0.3">
      <c r="B266" s="48"/>
      <c r="C266" s="60"/>
      <c r="D266" s="53"/>
      <c r="E266" s="61"/>
      <c r="F266" s="48"/>
      <c r="G266" s="49"/>
      <c r="H266" s="53"/>
      <c r="I266" s="52"/>
      <c r="J266" s="52"/>
      <c r="L266" s="57"/>
    </row>
    <row r="267" spans="2:12" ht="14.4" x14ac:dyDescent="0.3">
      <c r="B267" s="48"/>
      <c r="C267" s="60"/>
      <c r="D267" s="53"/>
      <c r="E267" s="61"/>
      <c r="F267" s="48"/>
      <c r="G267" s="49"/>
      <c r="H267" s="53"/>
      <c r="I267" s="52"/>
      <c r="J267" s="52"/>
      <c r="L267" s="57"/>
    </row>
    <row r="268" spans="2:12" ht="14.4" x14ac:dyDescent="0.3">
      <c r="B268" s="48"/>
      <c r="C268" s="60"/>
      <c r="D268" s="53"/>
      <c r="E268" s="61"/>
      <c r="F268" s="48"/>
      <c r="G268" s="49"/>
      <c r="H268" s="53"/>
      <c r="I268" s="52"/>
      <c r="J268" s="52"/>
      <c r="L268" s="57"/>
    </row>
    <row r="269" spans="2:12" ht="14.4" x14ac:dyDescent="0.3">
      <c r="B269" s="48"/>
      <c r="C269" s="60"/>
      <c r="D269" s="53"/>
      <c r="E269" s="61"/>
      <c r="F269" s="48"/>
      <c r="G269" s="49"/>
      <c r="H269" s="53"/>
      <c r="I269" s="52"/>
      <c r="J269" s="52"/>
      <c r="L269" s="57"/>
    </row>
    <row r="270" spans="2:12" ht="14.4" x14ac:dyDescent="0.3">
      <c r="B270" s="48"/>
      <c r="C270" s="60"/>
      <c r="D270" s="53"/>
      <c r="E270" s="61"/>
      <c r="F270" s="48"/>
      <c r="G270" s="49"/>
      <c r="H270" s="53"/>
      <c r="I270" s="52"/>
      <c r="J270" s="52"/>
      <c r="L270" s="57"/>
    </row>
    <row r="271" spans="2:12" ht="14.4" x14ac:dyDescent="0.3">
      <c r="B271" s="48"/>
      <c r="C271" s="60"/>
      <c r="D271" s="53"/>
      <c r="E271" s="61"/>
      <c r="F271" s="48"/>
      <c r="G271" s="49"/>
      <c r="H271" s="53"/>
      <c r="I271" s="52"/>
      <c r="J271" s="52"/>
      <c r="L271" s="57"/>
    </row>
    <row r="272" spans="2:12" ht="14.4" x14ac:dyDescent="0.3">
      <c r="B272" s="48"/>
      <c r="C272" s="60"/>
      <c r="D272" s="53"/>
      <c r="E272" s="61"/>
      <c r="F272" s="48"/>
      <c r="G272" s="49"/>
      <c r="H272" s="53"/>
      <c r="I272" s="52"/>
      <c r="J272" s="52"/>
      <c r="L272" s="57"/>
    </row>
    <row r="273" spans="2:12" ht="14.4" x14ac:dyDescent="0.3">
      <c r="B273" s="48"/>
      <c r="C273" s="60"/>
      <c r="D273" s="53"/>
      <c r="E273" s="61"/>
      <c r="F273" s="48"/>
      <c r="G273" s="49"/>
      <c r="H273" s="53"/>
      <c r="I273" s="52"/>
      <c r="J273" s="52"/>
      <c r="L273" s="57"/>
    </row>
    <row r="274" spans="2:12" ht="14.4" x14ac:dyDescent="0.3">
      <c r="B274" s="48"/>
      <c r="C274" s="60"/>
      <c r="D274" s="53"/>
      <c r="E274" s="61"/>
      <c r="F274" s="48"/>
      <c r="G274" s="49"/>
      <c r="H274" s="53"/>
      <c r="I274" s="52"/>
      <c r="J274" s="52"/>
      <c r="L274" s="57"/>
    </row>
    <row r="275" spans="2:12" ht="14.4" x14ac:dyDescent="0.3">
      <c r="B275" s="48"/>
      <c r="C275" s="60"/>
      <c r="D275" s="53"/>
      <c r="E275" s="61"/>
      <c r="F275" s="48"/>
      <c r="G275" s="49"/>
      <c r="H275" s="53"/>
      <c r="I275" s="52"/>
      <c r="J275" s="52"/>
      <c r="L275" s="57"/>
    </row>
    <row r="276" spans="2:12" ht="14.4" x14ac:dyDescent="0.3">
      <c r="B276" s="48"/>
      <c r="C276" s="60"/>
      <c r="D276" s="53"/>
      <c r="E276" s="61"/>
      <c r="F276" s="48"/>
      <c r="G276" s="49"/>
      <c r="H276" s="53"/>
      <c r="I276" s="52"/>
      <c r="J276" s="52"/>
      <c r="L276" s="57"/>
    </row>
    <row r="277" spans="2:12" ht="14.4" x14ac:dyDescent="0.3">
      <c r="B277" s="48"/>
      <c r="C277" s="60"/>
      <c r="D277" s="53"/>
      <c r="E277" s="61"/>
      <c r="F277" s="48"/>
      <c r="G277" s="49"/>
      <c r="H277" s="53"/>
      <c r="I277" s="52"/>
      <c r="J277" s="52"/>
      <c r="L277" s="57"/>
    </row>
    <row r="278" spans="2:12" ht="14.4" x14ac:dyDescent="0.3">
      <c r="B278" s="48"/>
      <c r="C278" s="60"/>
      <c r="D278" s="53"/>
      <c r="E278" s="61"/>
      <c r="F278" s="48"/>
      <c r="G278" s="49"/>
      <c r="H278" s="53"/>
      <c r="I278" s="52"/>
      <c r="J278" s="52"/>
      <c r="L278" s="57"/>
    </row>
    <row r="279" spans="2:12" ht="14.4" x14ac:dyDescent="0.3">
      <c r="B279" s="48"/>
      <c r="C279" s="60"/>
      <c r="D279" s="53"/>
      <c r="E279" s="61"/>
      <c r="F279" s="48"/>
      <c r="G279" s="49"/>
      <c r="H279" s="53"/>
      <c r="I279" s="52"/>
      <c r="J279" s="52"/>
      <c r="L279" s="57"/>
    </row>
    <row r="280" spans="2:12" ht="14.4" x14ac:dyDescent="0.3">
      <c r="B280" s="48"/>
      <c r="C280" s="60"/>
      <c r="D280" s="53"/>
      <c r="E280" s="61"/>
      <c r="F280" s="48"/>
      <c r="G280" s="49"/>
      <c r="H280" s="53"/>
      <c r="I280" s="52"/>
      <c r="J280" s="52"/>
      <c r="L280" s="57"/>
    </row>
    <row r="281" spans="2:12" ht="14.4" x14ac:dyDescent="0.3">
      <c r="B281" s="48"/>
      <c r="C281" s="60"/>
      <c r="D281" s="53"/>
      <c r="E281" s="61"/>
      <c r="F281" s="48"/>
      <c r="G281" s="49"/>
      <c r="H281" s="53"/>
      <c r="I281" s="52"/>
      <c r="J281" s="52"/>
      <c r="L281" s="57"/>
    </row>
    <row r="282" spans="2:12" ht="14.4" x14ac:dyDescent="0.3">
      <c r="B282" s="48"/>
      <c r="C282" s="60"/>
      <c r="D282" s="53"/>
      <c r="E282" s="61"/>
      <c r="F282" s="48"/>
      <c r="G282" s="49"/>
      <c r="H282" s="53"/>
      <c r="I282" s="52"/>
      <c r="J282" s="52"/>
      <c r="L282" s="57"/>
    </row>
    <row r="283" spans="2:12" ht="14.4" x14ac:dyDescent="0.3">
      <c r="B283" s="48"/>
      <c r="C283" s="60"/>
      <c r="D283" s="53"/>
      <c r="E283" s="61"/>
      <c r="F283" s="48"/>
      <c r="G283" s="49"/>
      <c r="H283" s="53"/>
      <c r="I283" s="52"/>
      <c r="J283" s="52"/>
      <c r="L283" s="57"/>
    </row>
    <row r="284" spans="2:12" ht="14.4" x14ac:dyDescent="0.3">
      <c r="B284" s="48"/>
      <c r="C284" s="60"/>
      <c r="D284" s="53"/>
      <c r="E284" s="61"/>
      <c r="F284" s="48"/>
      <c r="G284" s="49"/>
      <c r="H284" s="53"/>
      <c r="I284" s="52"/>
      <c r="J284" s="52"/>
      <c r="L284" s="57"/>
    </row>
    <row r="285" spans="2:12" ht="14.4" x14ac:dyDescent="0.3">
      <c r="B285" s="48"/>
      <c r="C285" s="60"/>
      <c r="D285" s="53"/>
      <c r="E285" s="61"/>
      <c r="F285" s="48"/>
      <c r="G285" s="49"/>
      <c r="H285" s="53"/>
      <c r="I285" s="52"/>
      <c r="J285" s="52"/>
      <c r="L285" s="57"/>
    </row>
    <row r="286" spans="2:12" ht="14.4" x14ac:dyDescent="0.3">
      <c r="B286" s="48"/>
      <c r="C286" s="60"/>
      <c r="D286" s="53"/>
      <c r="E286" s="61"/>
      <c r="F286" s="48"/>
      <c r="G286" s="49"/>
      <c r="H286" s="53"/>
      <c r="I286" s="52"/>
      <c r="J286" s="52"/>
      <c r="L286" s="57"/>
    </row>
    <row r="287" spans="2:12" ht="14.4" x14ac:dyDescent="0.3">
      <c r="B287" s="48"/>
      <c r="C287" s="60"/>
      <c r="D287" s="53"/>
      <c r="E287" s="61"/>
      <c r="F287" s="48"/>
      <c r="G287" s="49"/>
      <c r="H287" s="53"/>
      <c r="I287" s="52"/>
      <c r="J287" s="52"/>
      <c r="L287" s="57"/>
    </row>
    <row r="288" spans="2:12" ht="14.4" x14ac:dyDescent="0.3">
      <c r="B288" s="48"/>
      <c r="C288" s="60"/>
      <c r="D288" s="53"/>
      <c r="E288" s="61"/>
      <c r="F288" s="48"/>
      <c r="G288" s="49"/>
      <c r="H288" s="53"/>
      <c r="I288" s="52"/>
      <c r="L288" s="57"/>
    </row>
    <row r="289" spans="2:12" ht="14.4" x14ac:dyDescent="0.3">
      <c r="B289" s="48"/>
      <c r="C289" s="60"/>
      <c r="D289" s="53"/>
      <c r="E289" s="61"/>
      <c r="F289" s="48"/>
      <c r="G289" s="49"/>
      <c r="H289" s="53"/>
      <c r="I289" s="52"/>
      <c r="L289" s="57"/>
    </row>
    <row r="290" spans="2:12" ht="14.4" x14ac:dyDescent="0.3">
      <c r="B290" s="48"/>
      <c r="C290" s="60"/>
      <c r="D290" s="53"/>
      <c r="E290" s="61"/>
      <c r="F290" s="48"/>
      <c r="G290" s="49"/>
      <c r="H290" s="53"/>
      <c r="I290" s="52"/>
      <c r="L290" s="57"/>
    </row>
    <row r="291" spans="2:12" ht="14.4" x14ac:dyDescent="0.3">
      <c r="B291" s="48"/>
      <c r="C291" s="60"/>
      <c r="D291" s="53"/>
      <c r="E291" s="61"/>
      <c r="F291" s="48"/>
      <c r="G291" s="49"/>
      <c r="H291" s="53"/>
      <c r="I291" s="52"/>
      <c r="J291" s="52"/>
      <c r="L291" s="57"/>
    </row>
    <row r="292" spans="2:12" ht="14.4" x14ac:dyDescent="0.3">
      <c r="B292" s="48"/>
      <c r="C292" s="60"/>
      <c r="D292" s="53"/>
      <c r="E292" s="61"/>
      <c r="F292" s="48"/>
      <c r="G292" s="49"/>
      <c r="H292" s="53"/>
      <c r="I292" s="52"/>
      <c r="J292" s="52"/>
      <c r="L292" s="57"/>
    </row>
    <row r="293" spans="2:12" ht="14.4" x14ac:dyDescent="0.3">
      <c r="B293" s="48"/>
      <c r="C293" s="60"/>
      <c r="D293" s="53"/>
      <c r="E293" s="61"/>
      <c r="F293" s="48"/>
      <c r="G293" s="49"/>
      <c r="H293" s="53"/>
      <c r="I293" s="52"/>
      <c r="J293" s="52"/>
      <c r="L293" s="57"/>
    </row>
    <row r="294" spans="2:12" ht="14.4" x14ac:dyDescent="0.3">
      <c r="B294" s="48"/>
      <c r="C294" s="60"/>
      <c r="D294" s="53"/>
      <c r="E294" s="61"/>
      <c r="F294" s="48"/>
      <c r="G294" s="49"/>
      <c r="H294" s="53"/>
      <c r="I294" s="52"/>
      <c r="L294" s="57"/>
    </row>
    <row r="295" spans="2:12" ht="14.4" x14ac:dyDescent="0.3">
      <c r="B295" s="48"/>
      <c r="C295" s="60"/>
      <c r="D295" s="53"/>
      <c r="E295" s="61"/>
      <c r="F295" s="48"/>
      <c r="G295" s="49"/>
      <c r="H295" s="53"/>
      <c r="L295" s="57"/>
    </row>
    <row r="296" spans="2:12" ht="14.4" x14ac:dyDescent="0.3">
      <c r="B296" s="48"/>
      <c r="C296" s="60"/>
      <c r="D296" s="53"/>
      <c r="E296" s="61"/>
      <c r="F296" s="48"/>
      <c r="G296" s="49"/>
      <c r="H296" s="53"/>
      <c r="I296" s="52"/>
      <c r="L296" s="57"/>
    </row>
    <row r="297" spans="2:12" ht="14.4" x14ac:dyDescent="0.3">
      <c r="B297" s="48"/>
      <c r="C297" s="60"/>
      <c r="D297" s="53"/>
      <c r="E297" s="61"/>
      <c r="F297" s="48"/>
      <c r="G297" s="49"/>
      <c r="H297" s="53"/>
      <c r="I297" s="52"/>
      <c r="L297" s="57"/>
    </row>
    <row r="298" spans="2:12" ht="14.4" x14ac:dyDescent="0.3">
      <c r="B298" s="48"/>
      <c r="C298" s="60"/>
      <c r="D298" s="53"/>
      <c r="E298" s="61"/>
      <c r="F298" s="48"/>
      <c r="G298" s="49"/>
      <c r="H298" s="53"/>
      <c r="I298" s="52"/>
      <c r="L298" s="57"/>
    </row>
    <row r="299" spans="2:12" ht="14.4" x14ac:dyDescent="0.3">
      <c r="B299" s="48"/>
      <c r="C299" s="60"/>
      <c r="D299" s="53"/>
      <c r="E299" s="61"/>
      <c r="F299" s="48"/>
      <c r="G299" s="49"/>
      <c r="H299" s="53"/>
      <c r="I299" s="52"/>
      <c r="J299" s="52"/>
      <c r="L299" s="57"/>
    </row>
    <row r="300" spans="2:12" ht="14.4" x14ac:dyDescent="0.3">
      <c r="B300" s="48"/>
      <c r="C300" s="60"/>
      <c r="D300" s="53"/>
      <c r="E300" s="61"/>
      <c r="F300" s="48"/>
      <c r="G300" s="49"/>
      <c r="H300" s="53"/>
      <c r="I300" s="52"/>
      <c r="J300" s="52"/>
      <c r="L300" s="57"/>
    </row>
    <row r="301" spans="2:12" ht="14.4" x14ac:dyDescent="0.3">
      <c r="B301" s="48"/>
      <c r="C301" s="60"/>
      <c r="D301" s="53"/>
      <c r="E301" s="61"/>
      <c r="F301" s="48"/>
      <c r="G301" s="49"/>
      <c r="H301" s="53"/>
      <c r="I301" s="52"/>
      <c r="J301" s="52"/>
      <c r="L301" s="57"/>
    </row>
    <row r="302" spans="2:12" ht="14.4" x14ac:dyDescent="0.3">
      <c r="B302" s="48"/>
      <c r="C302" s="60"/>
      <c r="D302" s="53"/>
      <c r="E302" s="61"/>
      <c r="F302" s="48"/>
      <c r="G302" s="49"/>
      <c r="H302" s="53"/>
      <c r="I302" s="52"/>
      <c r="J302" s="52"/>
      <c r="L302" s="57"/>
    </row>
    <row r="303" spans="2:12" ht="14.4" x14ac:dyDescent="0.3">
      <c r="B303" s="48"/>
      <c r="C303" s="60"/>
      <c r="D303" s="53"/>
      <c r="E303" s="61"/>
      <c r="F303" s="48"/>
      <c r="G303" s="49"/>
      <c r="H303" s="53"/>
      <c r="I303" s="52"/>
      <c r="J303" s="52"/>
      <c r="L303" s="57"/>
    </row>
    <row r="304" spans="2:12" ht="14.4" x14ac:dyDescent="0.3">
      <c r="B304" s="48"/>
      <c r="C304" s="60"/>
      <c r="D304" s="53"/>
      <c r="E304" s="61"/>
      <c r="F304" s="48"/>
      <c r="G304" s="49"/>
      <c r="H304" s="53"/>
      <c r="I304" s="52"/>
      <c r="J304" s="52"/>
      <c r="L304" s="57"/>
    </row>
    <row r="305" spans="2:12" ht="14.4" x14ac:dyDescent="0.3">
      <c r="B305" s="48"/>
      <c r="C305" s="60"/>
      <c r="D305" s="53"/>
      <c r="E305" s="61"/>
      <c r="F305" s="48"/>
      <c r="G305" s="49"/>
      <c r="H305" s="53"/>
      <c r="I305" s="52"/>
      <c r="J305" s="52"/>
      <c r="L305" s="57"/>
    </row>
    <row r="306" spans="2:12" ht="14.4" x14ac:dyDescent="0.3">
      <c r="B306" s="48"/>
      <c r="C306" s="60"/>
      <c r="D306" s="53"/>
      <c r="E306" s="61"/>
      <c r="F306" s="48"/>
      <c r="G306" s="49"/>
      <c r="H306" s="53"/>
      <c r="I306" s="52"/>
      <c r="L306" s="57"/>
    </row>
    <row r="307" spans="2:12" ht="14.4" x14ac:dyDescent="0.3">
      <c r="B307" s="48"/>
      <c r="C307" s="60"/>
      <c r="D307" s="53"/>
      <c r="E307" s="61"/>
      <c r="F307" s="48"/>
      <c r="G307" s="49"/>
      <c r="H307" s="53"/>
      <c r="I307" s="52"/>
      <c r="L307" s="57"/>
    </row>
    <row r="308" spans="2:12" ht="14.4" x14ac:dyDescent="0.3">
      <c r="B308" s="48"/>
      <c r="C308" s="60"/>
      <c r="D308" s="53"/>
      <c r="E308" s="61"/>
      <c r="F308" s="48"/>
      <c r="G308" s="49"/>
      <c r="H308" s="53"/>
      <c r="I308" s="52"/>
      <c r="L308" s="57"/>
    </row>
    <row r="309" spans="2:12" ht="14.4" x14ac:dyDescent="0.3">
      <c r="B309" s="48"/>
      <c r="C309" s="60"/>
      <c r="D309" s="53"/>
      <c r="E309" s="61"/>
      <c r="F309" s="48"/>
      <c r="G309" s="49"/>
      <c r="H309" s="53"/>
      <c r="I309" s="52"/>
      <c r="J309" s="52"/>
      <c r="L309" s="57"/>
    </row>
    <row r="310" spans="2:12" ht="14.4" x14ac:dyDescent="0.3">
      <c r="B310" s="48"/>
      <c r="C310" s="60"/>
      <c r="D310" s="53"/>
      <c r="E310" s="61"/>
      <c r="F310" s="48"/>
      <c r="G310" s="49"/>
      <c r="H310" s="53"/>
      <c r="I310" s="52"/>
      <c r="J310" s="52"/>
      <c r="L310" s="57"/>
    </row>
    <row r="311" spans="2:12" ht="14.4" x14ac:dyDescent="0.3">
      <c r="B311" s="48"/>
      <c r="C311" s="60"/>
      <c r="D311" s="53"/>
      <c r="E311" s="61"/>
      <c r="F311" s="48"/>
      <c r="G311" s="49"/>
      <c r="H311" s="53"/>
      <c r="I311" s="52"/>
      <c r="J311" s="52"/>
      <c r="L311" s="57"/>
    </row>
    <row r="312" spans="2:12" ht="14.4" x14ac:dyDescent="0.3">
      <c r="B312" s="48"/>
      <c r="C312" s="60"/>
      <c r="D312" s="53"/>
      <c r="E312" s="61"/>
      <c r="F312" s="48"/>
      <c r="G312" s="49"/>
      <c r="H312" s="53"/>
      <c r="I312" s="52"/>
      <c r="J312" s="52"/>
      <c r="L312" s="57"/>
    </row>
    <row r="313" spans="2:12" ht="14.4" x14ac:dyDescent="0.3">
      <c r="B313" s="48"/>
      <c r="C313" s="60"/>
      <c r="D313" s="53"/>
      <c r="E313" s="61"/>
      <c r="F313" s="48"/>
      <c r="G313" s="49"/>
      <c r="H313" s="53"/>
      <c r="I313" s="52"/>
      <c r="J313" s="52"/>
      <c r="L313" s="57"/>
    </row>
    <row r="314" spans="2:12" ht="14.4" x14ac:dyDescent="0.3">
      <c r="B314" s="48"/>
      <c r="C314" s="60"/>
      <c r="D314" s="53"/>
      <c r="E314" s="61"/>
      <c r="F314" s="48"/>
      <c r="G314" s="49"/>
      <c r="H314" s="53"/>
      <c r="I314" s="52"/>
      <c r="J314" s="52"/>
      <c r="L314" s="57"/>
    </row>
    <row r="315" spans="2:12" ht="14.4" x14ac:dyDescent="0.3">
      <c r="B315" s="48"/>
      <c r="C315" s="60"/>
      <c r="D315" s="53"/>
      <c r="E315" s="61"/>
      <c r="F315" s="48"/>
      <c r="G315" s="49"/>
      <c r="H315" s="53"/>
      <c r="I315" s="52"/>
      <c r="J315" s="52"/>
      <c r="L315" s="57"/>
    </row>
    <row r="316" spans="2:12" ht="14.4" x14ac:dyDescent="0.3">
      <c r="B316" s="48"/>
      <c r="C316" s="60"/>
      <c r="D316" s="53"/>
      <c r="E316" s="61"/>
      <c r="F316" s="48"/>
      <c r="G316" s="49"/>
      <c r="H316" s="53"/>
      <c r="I316" s="52"/>
      <c r="J316" s="52"/>
      <c r="L316" s="57"/>
    </row>
    <row r="317" spans="2:12" ht="14.4" x14ac:dyDescent="0.3">
      <c r="B317" s="48"/>
      <c r="C317" s="60"/>
      <c r="D317" s="53"/>
      <c r="E317" s="61"/>
      <c r="F317" s="48"/>
      <c r="G317" s="49"/>
      <c r="H317" s="53"/>
      <c r="I317" s="52"/>
      <c r="J317" s="52"/>
      <c r="L317" s="57"/>
    </row>
    <row r="318" spans="2:12" ht="14.4" x14ac:dyDescent="0.3">
      <c r="B318" s="48"/>
      <c r="C318" s="60"/>
      <c r="D318" s="53"/>
      <c r="E318" s="61"/>
      <c r="F318" s="48"/>
      <c r="G318" s="49"/>
      <c r="H318" s="53"/>
      <c r="I318" s="52"/>
      <c r="J318" s="52"/>
      <c r="L318" s="57"/>
    </row>
    <row r="319" spans="2:12" ht="14.4" x14ac:dyDescent="0.3">
      <c r="B319" s="48"/>
      <c r="C319" s="60"/>
      <c r="D319" s="53"/>
      <c r="E319" s="61"/>
      <c r="F319" s="48"/>
      <c r="G319" s="49"/>
      <c r="H319" s="53"/>
      <c r="I319" s="52"/>
      <c r="J319" s="52"/>
      <c r="L319" s="57"/>
    </row>
    <row r="320" spans="2:12" ht="14.4" x14ac:dyDescent="0.3">
      <c r="B320" s="48"/>
      <c r="C320" s="60"/>
      <c r="D320" s="53"/>
      <c r="E320" s="61"/>
      <c r="F320" s="48"/>
      <c r="G320" s="49"/>
      <c r="H320" s="53"/>
      <c r="I320" s="52"/>
      <c r="J320" s="52"/>
      <c r="L320" s="57"/>
    </row>
    <row r="321" spans="2:12" ht="14.4" x14ac:dyDescent="0.3">
      <c r="B321" s="48"/>
      <c r="C321" s="60"/>
      <c r="D321" s="53"/>
      <c r="E321" s="61"/>
      <c r="F321" s="48"/>
      <c r="G321" s="49"/>
      <c r="H321" s="53"/>
      <c r="I321" s="52"/>
      <c r="J321" s="52"/>
      <c r="L321" s="57"/>
    </row>
    <row r="322" spans="2:12" ht="14.4" x14ac:dyDescent="0.3">
      <c r="B322" s="48"/>
      <c r="C322" s="60"/>
      <c r="D322" s="53"/>
      <c r="E322" s="61"/>
      <c r="F322" s="48"/>
      <c r="G322" s="49"/>
      <c r="H322" s="53"/>
      <c r="I322" s="52"/>
      <c r="J322" s="52"/>
      <c r="L322" s="57"/>
    </row>
    <row r="323" spans="2:12" ht="14.4" x14ac:dyDescent="0.3">
      <c r="B323" s="48"/>
      <c r="C323" s="60"/>
      <c r="D323" s="53"/>
      <c r="E323" s="61"/>
      <c r="F323" s="48"/>
      <c r="G323" s="49"/>
      <c r="H323" s="53"/>
      <c r="I323" s="52"/>
      <c r="J323" s="52"/>
      <c r="L323" s="57"/>
    </row>
    <row r="324" spans="2:12" ht="14.4" x14ac:dyDescent="0.3">
      <c r="B324" s="48"/>
      <c r="C324" s="60"/>
      <c r="D324" s="53"/>
      <c r="E324" s="61"/>
      <c r="F324" s="48"/>
      <c r="G324" s="49"/>
      <c r="H324" s="53"/>
      <c r="I324" s="52"/>
      <c r="J324" s="52"/>
      <c r="L324" s="57"/>
    </row>
    <row r="325" spans="2:12" ht="14.4" x14ac:dyDescent="0.3">
      <c r="B325" s="48"/>
      <c r="C325" s="60"/>
      <c r="D325" s="53"/>
      <c r="E325" s="61"/>
      <c r="F325" s="48"/>
      <c r="G325" s="49"/>
      <c r="H325" s="53"/>
      <c r="I325" s="52"/>
      <c r="J325" s="52"/>
      <c r="L325" s="57"/>
    </row>
    <row r="326" spans="2:12" ht="14.4" x14ac:dyDescent="0.3">
      <c r="B326" s="48"/>
      <c r="C326" s="60"/>
      <c r="D326" s="53"/>
      <c r="E326" s="61"/>
      <c r="F326" s="48"/>
      <c r="G326" s="49"/>
      <c r="H326" s="53"/>
      <c r="I326" s="52"/>
      <c r="J326" s="52"/>
      <c r="L326" s="57"/>
    </row>
    <row r="327" spans="2:12" ht="14.4" x14ac:dyDescent="0.3">
      <c r="B327" s="48"/>
      <c r="C327" s="60"/>
      <c r="D327" s="53"/>
      <c r="E327" s="61"/>
      <c r="F327" s="48"/>
      <c r="G327" s="49"/>
      <c r="H327" s="53"/>
      <c r="I327" s="52"/>
      <c r="J327" s="52"/>
      <c r="L327" s="57"/>
    </row>
    <row r="328" spans="2:12" ht="14.4" x14ac:dyDescent="0.3">
      <c r="B328" s="48"/>
      <c r="C328" s="60"/>
      <c r="D328" s="53"/>
      <c r="E328" s="61"/>
      <c r="F328" s="48"/>
      <c r="G328" s="49"/>
      <c r="H328" s="53"/>
      <c r="I328" s="52"/>
      <c r="J328" s="52"/>
      <c r="L328" s="57"/>
    </row>
    <row r="329" spans="2:12" ht="14.4" x14ac:dyDescent="0.3">
      <c r="B329" s="48"/>
      <c r="C329" s="60"/>
      <c r="D329" s="53"/>
      <c r="E329" s="61"/>
      <c r="F329" s="48"/>
      <c r="G329" s="49"/>
      <c r="H329" s="53"/>
      <c r="I329" s="52"/>
      <c r="J329" s="52"/>
      <c r="L329" s="57"/>
    </row>
    <row r="330" spans="2:12" ht="14.4" x14ac:dyDescent="0.3">
      <c r="B330" s="48"/>
      <c r="C330" s="60"/>
      <c r="D330" s="53"/>
      <c r="E330" s="61"/>
      <c r="F330" s="48"/>
      <c r="G330" s="49"/>
      <c r="H330" s="53"/>
      <c r="I330" s="52"/>
      <c r="J330" s="52"/>
      <c r="L330" s="57"/>
    </row>
    <row r="331" spans="2:12" ht="14.4" x14ac:dyDescent="0.3">
      <c r="B331" s="48"/>
      <c r="C331" s="60"/>
      <c r="D331" s="53"/>
      <c r="E331" s="61"/>
      <c r="F331" s="48"/>
      <c r="G331" s="49"/>
      <c r="H331" s="53"/>
      <c r="I331" s="52"/>
      <c r="J331" s="52"/>
      <c r="L331" s="57"/>
    </row>
    <row r="332" spans="2:12" ht="14.4" x14ac:dyDescent="0.3">
      <c r="B332" s="48"/>
      <c r="C332" s="60"/>
      <c r="D332" s="53"/>
      <c r="E332" s="61"/>
      <c r="F332" s="48"/>
      <c r="G332" s="49"/>
      <c r="H332" s="53"/>
      <c r="I332" s="52"/>
      <c r="J332" s="52"/>
      <c r="L332" s="57"/>
    </row>
    <row r="333" spans="2:12" ht="14.4" x14ac:dyDescent="0.3">
      <c r="B333" s="48"/>
      <c r="C333" s="60"/>
      <c r="D333" s="53"/>
      <c r="E333" s="61"/>
      <c r="F333" s="48"/>
      <c r="G333" s="49"/>
      <c r="H333" s="53"/>
      <c r="I333" s="52"/>
      <c r="J333" s="52"/>
      <c r="L333" s="57"/>
    </row>
    <row r="334" spans="2:12" ht="14.4" x14ac:dyDescent="0.3">
      <c r="B334" s="48"/>
      <c r="C334" s="60"/>
      <c r="D334" s="53"/>
      <c r="E334" s="61"/>
      <c r="F334" s="48"/>
      <c r="G334" s="49"/>
      <c r="H334" s="53"/>
      <c r="I334" s="52"/>
      <c r="J334" s="52"/>
      <c r="L334" s="57"/>
    </row>
    <row r="335" spans="2:12" ht="14.4" x14ac:dyDescent="0.3">
      <c r="B335" s="48"/>
      <c r="C335" s="60"/>
      <c r="D335" s="53"/>
      <c r="E335" s="61"/>
      <c r="F335" s="48"/>
      <c r="G335" s="49"/>
      <c r="H335" s="53"/>
      <c r="I335" s="52"/>
      <c r="J335" s="52"/>
      <c r="L335" s="57"/>
    </row>
    <row r="336" spans="2:12" ht="14.4" x14ac:dyDescent="0.3">
      <c r="B336" s="48"/>
      <c r="C336" s="60"/>
      <c r="D336" s="53"/>
      <c r="E336" s="61"/>
      <c r="F336" s="48"/>
      <c r="G336" s="49"/>
      <c r="H336" s="53"/>
      <c r="I336" s="52"/>
      <c r="L336" s="57"/>
    </row>
    <row r="337" spans="2:12" ht="14.4" x14ac:dyDescent="0.3">
      <c r="B337" s="48"/>
      <c r="C337" s="60"/>
      <c r="D337" s="53"/>
      <c r="E337" s="61"/>
      <c r="F337" s="48"/>
      <c r="G337" s="49"/>
      <c r="H337" s="53"/>
      <c r="I337" s="52"/>
      <c r="L337" s="57"/>
    </row>
    <row r="338" spans="2:12" ht="14.4" x14ac:dyDescent="0.3">
      <c r="B338" s="48"/>
      <c r="C338" s="60"/>
      <c r="D338" s="53"/>
      <c r="E338" s="61"/>
      <c r="F338" s="48"/>
      <c r="G338" s="49"/>
      <c r="H338" s="53"/>
      <c r="I338" s="52"/>
      <c r="L338" s="57"/>
    </row>
    <row r="339" spans="2:12" ht="14.4" x14ac:dyDescent="0.3">
      <c r="B339" s="48"/>
      <c r="C339" s="60"/>
      <c r="D339" s="53"/>
      <c r="E339" s="61"/>
      <c r="F339" s="48"/>
      <c r="G339" s="49"/>
      <c r="H339" s="53"/>
      <c r="L339" s="57"/>
    </row>
    <row r="340" spans="2:12" ht="14.4" x14ac:dyDescent="0.3">
      <c r="B340" s="48"/>
      <c r="C340" s="60"/>
      <c r="D340" s="53"/>
      <c r="E340" s="61"/>
      <c r="F340" s="48"/>
      <c r="G340" s="49"/>
      <c r="H340" s="53"/>
      <c r="I340" s="52"/>
      <c r="L340" s="57"/>
    </row>
    <row r="341" spans="2:12" ht="14.4" x14ac:dyDescent="0.3">
      <c r="B341" s="48"/>
      <c r="C341" s="60"/>
      <c r="D341" s="53"/>
      <c r="E341" s="61"/>
      <c r="F341" s="48"/>
      <c r="G341" s="49"/>
      <c r="H341" s="53"/>
      <c r="L341" s="57"/>
    </row>
    <row r="342" spans="2:12" ht="14.4" x14ac:dyDescent="0.3">
      <c r="B342" s="48"/>
      <c r="C342" s="60"/>
      <c r="D342" s="53"/>
      <c r="E342" s="61"/>
      <c r="F342" s="48"/>
      <c r="G342" s="49"/>
      <c r="H342" s="53"/>
      <c r="L342" s="57"/>
    </row>
    <row r="343" spans="2:12" ht="14.4" x14ac:dyDescent="0.3">
      <c r="B343" s="48"/>
      <c r="C343" s="60"/>
      <c r="D343" s="53"/>
      <c r="E343" s="61"/>
      <c r="F343" s="48"/>
      <c r="G343" s="49"/>
      <c r="H343" s="53"/>
      <c r="L343" s="57"/>
    </row>
    <row r="344" spans="2:12" ht="14.4" x14ac:dyDescent="0.3">
      <c r="B344" s="48"/>
      <c r="C344" s="60"/>
      <c r="D344" s="53"/>
      <c r="E344" s="61"/>
      <c r="F344" s="48"/>
      <c r="G344" s="49"/>
      <c r="H344" s="53"/>
      <c r="L344" s="57"/>
    </row>
    <row r="345" spans="2:12" ht="14.4" x14ac:dyDescent="0.3">
      <c r="B345" s="48"/>
      <c r="C345" s="60"/>
      <c r="D345" s="53"/>
      <c r="E345" s="61"/>
      <c r="F345" s="48"/>
      <c r="G345" s="49"/>
      <c r="H345" s="53"/>
      <c r="L345" s="57"/>
    </row>
    <row r="346" spans="2:12" ht="14.4" x14ac:dyDescent="0.3">
      <c r="B346" s="48"/>
      <c r="C346" s="60"/>
      <c r="D346" s="53"/>
      <c r="E346" s="61"/>
      <c r="F346" s="48"/>
      <c r="G346" s="49"/>
      <c r="H346" s="53"/>
      <c r="I346" s="52"/>
      <c r="L346" s="57"/>
    </row>
    <row r="347" spans="2:12" ht="14.4" x14ac:dyDescent="0.3">
      <c r="B347" s="48"/>
      <c r="C347" s="60"/>
      <c r="D347" s="53"/>
      <c r="E347" s="61"/>
      <c r="F347" s="48"/>
      <c r="G347" s="49"/>
      <c r="H347" s="53"/>
      <c r="I347" s="52"/>
      <c r="L347" s="57"/>
    </row>
    <row r="348" spans="2:12" ht="14.4" x14ac:dyDescent="0.3">
      <c r="B348" s="48"/>
      <c r="C348" s="60"/>
      <c r="D348" s="53"/>
      <c r="E348" s="61"/>
      <c r="F348" s="48"/>
      <c r="G348" s="49"/>
      <c r="H348" s="53"/>
      <c r="I348" s="52"/>
      <c r="J348" s="52"/>
      <c r="L348" s="57"/>
    </row>
    <row r="349" spans="2:12" ht="14.4" x14ac:dyDescent="0.3">
      <c r="B349" s="48"/>
      <c r="C349" s="60"/>
      <c r="D349" s="53"/>
      <c r="E349" s="61"/>
      <c r="F349" s="48"/>
      <c r="G349" s="49"/>
      <c r="H349" s="53"/>
      <c r="I349" s="52"/>
      <c r="J349" s="52"/>
      <c r="L349" s="57"/>
    </row>
    <row r="350" spans="2:12" ht="14.4" x14ac:dyDescent="0.3">
      <c r="B350" s="48"/>
      <c r="C350" s="60"/>
      <c r="D350" s="53"/>
      <c r="E350" s="61"/>
      <c r="F350" s="48"/>
      <c r="G350" s="49"/>
      <c r="H350" s="53"/>
      <c r="I350" s="52"/>
      <c r="J350" s="52"/>
      <c r="L350" s="57"/>
    </row>
    <row r="351" spans="2:12" ht="14.4" x14ac:dyDescent="0.3">
      <c r="B351" s="48"/>
      <c r="C351" s="60"/>
      <c r="D351" s="53"/>
      <c r="E351" s="61"/>
      <c r="F351" s="48"/>
      <c r="G351" s="49"/>
      <c r="H351" s="53"/>
      <c r="I351" s="52"/>
      <c r="L351" s="57"/>
    </row>
    <row r="352" spans="2:12" ht="14.4" x14ac:dyDescent="0.3">
      <c r="B352" s="48"/>
      <c r="C352" s="60"/>
      <c r="D352" s="53"/>
      <c r="E352" s="61"/>
      <c r="F352" s="48"/>
      <c r="G352" s="49"/>
      <c r="H352" s="53"/>
      <c r="I352" s="52"/>
      <c r="L352" s="57"/>
    </row>
    <row r="353" spans="2:12" ht="14.4" x14ac:dyDescent="0.3">
      <c r="B353" s="48"/>
      <c r="C353" s="60"/>
      <c r="D353" s="53"/>
      <c r="E353" s="61"/>
      <c r="F353" s="48"/>
      <c r="G353" s="49"/>
      <c r="H353" s="53"/>
      <c r="I353" s="52"/>
      <c r="L353" s="57"/>
    </row>
    <row r="354" spans="2:12" ht="14.4" x14ac:dyDescent="0.3">
      <c r="B354" s="48"/>
      <c r="C354" s="60"/>
      <c r="D354" s="53"/>
      <c r="E354" s="61"/>
      <c r="F354" s="48"/>
      <c r="G354" s="49"/>
      <c r="H354" s="53"/>
      <c r="I354" s="52"/>
      <c r="L354" s="57"/>
    </row>
    <row r="355" spans="2:12" ht="14.4" x14ac:dyDescent="0.3">
      <c r="B355" s="48"/>
      <c r="C355" s="60"/>
      <c r="D355" s="53"/>
      <c r="E355" s="61"/>
      <c r="F355" s="48"/>
      <c r="G355" s="49"/>
      <c r="H355" s="53"/>
      <c r="I355" s="52"/>
      <c r="J355" s="52"/>
      <c r="L355" s="57"/>
    </row>
    <row r="356" spans="2:12" ht="14.4" x14ac:dyDescent="0.3">
      <c r="B356" s="48"/>
      <c r="C356" s="60"/>
      <c r="D356" s="53"/>
      <c r="E356" s="61"/>
      <c r="F356" s="48"/>
      <c r="G356" s="49"/>
      <c r="H356" s="53"/>
      <c r="I356" s="52"/>
      <c r="J356" s="52"/>
      <c r="L356" s="57"/>
    </row>
    <row r="357" spans="2:12" ht="14.4" x14ac:dyDescent="0.3">
      <c r="B357" s="48"/>
      <c r="C357" s="60"/>
      <c r="D357" s="53"/>
      <c r="E357" s="61"/>
      <c r="F357" s="48"/>
      <c r="G357" s="49"/>
      <c r="H357" s="53"/>
      <c r="I357" s="52"/>
      <c r="J357" s="52"/>
      <c r="L357" s="57"/>
    </row>
    <row r="358" spans="2:12" ht="14.4" x14ac:dyDescent="0.3">
      <c r="B358" s="48"/>
      <c r="C358" s="60"/>
      <c r="D358" s="53"/>
      <c r="E358" s="61"/>
      <c r="F358" s="48"/>
      <c r="G358" s="49"/>
      <c r="H358" s="53"/>
      <c r="I358" s="52"/>
      <c r="J358" s="52"/>
      <c r="L358" s="57"/>
    </row>
    <row r="359" spans="2:12" ht="14.4" x14ac:dyDescent="0.3">
      <c r="B359" s="48"/>
      <c r="C359" s="60"/>
      <c r="D359" s="53"/>
      <c r="E359" s="61"/>
      <c r="F359" s="48"/>
      <c r="G359" s="49"/>
      <c r="H359" s="53"/>
      <c r="I359" s="52"/>
      <c r="J359" s="52"/>
      <c r="L359" s="57"/>
    </row>
    <row r="360" spans="2:12" ht="14.4" x14ac:dyDescent="0.3">
      <c r="B360" s="48"/>
      <c r="C360" s="60"/>
      <c r="D360" s="53"/>
      <c r="E360" s="61"/>
      <c r="F360" s="48"/>
      <c r="G360" s="49"/>
      <c r="H360" s="53"/>
      <c r="I360" s="52"/>
      <c r="J360" s="52"/>
      <c r="L360" s="57"/>
    </row>
    <row r="361" spans="2:12" ht="14.4" x14ac:dyDescent="0.3">
      <c r="B361" s="48"/>
      <c r="C361" s="60"/>
      <c r="D361" s="53"/>
      <c r="E361" s="61"/>
      <c r="F361" s="48"/>
      <c r="G361" s="49"/>
      <c r="H361" s="53"/>
      <c r="I361" s="52"/>
      <c r="L361" s="57"/>
    </row>
    <row r="362" spans="2:12" ht="14.4" x14ac:dyDescent="0.3">
      <c r="B362" s="48"/>
      <c r="C362" s="60"/>
      <c r="D362" s="53"/>
      <c r="E362" s="61"/>
      <c r="F362" s="48"/>
      <c r="G362" s="49"/>
      <c r="H362" s="53"/>
      <c r="I362" s="52"/>
      <c r="L362" s="57"/>
    </row>
    <row r="363" spans="2:12" ht="14.4" x14ac:dyDescent="0.3">
      <c r="B363" s="48"/>
      <c r="C363" s="60"/>
      <c r="D363" s="53"/>
      <c r="E363" s="61"/>
      <c r="F363" s="48"/>
      <c r="G363" s="49"/>
      <c r="H363" s="53"/>
      <c r="I363" s="52"/>
      <c r="L363" s="57"/>
    </row>
    <row r="364" spans="2:12" ht="14.4" x14ac:dyDescent="0.3">
      <c r="B364" s="48"/>
      <c r="C364" s="60"/>
      <c r="D364" s="53"/>
      <c r="E364" s="61"/>
      <c r="F364" s="48"/>
      <c r="G364" s="49"/>
      <c r="H364" s="53"/>
      <c r="I364" s="52"/>
      <c r="L364" s="57"/>
    </row>
    <row r="365" spans="2:12" ht="14.4" x14ac:dyDescent="0.3">
      <c r="B365" s="48"/>
      <c r="C365" s="60"/>
      <c r="D365" s="53"/>
      <c r="E365" s="61"/>
      <c r="F365" s="48"/>
      <c r="G365" s="49"/>
      <c r="H365" s="53"/>
      <c r="L365" s="57"/>
    </row>
    <row r="366" spans="2:12" ht="14.4" x14ac:dyDescent="0.3">
      <c r="B366" s="48"/>
      <c r="C366" s="60"/>
      <c r="D366" s="53"/>
      <c r="E366" s="61"/>
      <c r="F366" s="48"/>
      <c r="G366" s="49"/>
      <c r="H366" s="53"/>
      <c r="L366" s="57"/>
    </row>
    <row r="367" spans="2:12" ht="14.4" x14ac:dyDescent="0.3">
      <c r="B367" s="48"/>
      <c r="C367" s="60"/>
      <c r="D367" s="53"/>
      <c r="E367" s="61"/>
      <c r="F367" s="48"/>
      <c r="G367" s="49"/>
      <c r="H367" s="53"/>
      <c r="L367" s="57"/>
    </row>
    <row r="368" spans="2:12" ht="14.4" x14ac:dyDescent="0.3">
      <c r="B368" s="48"/>
      <c r="C368" s="60"/>
      <c r="D368" s="53"/>
      <c r="E368" s="61"/>
      <c r="F368" s="48"/>
      <c r="G368" s="49"/>
      <c r="H368" s="53"/>
      <c r="I368" s="52"/>
      <c r="L368" s="57"/>
    </row>
    <row r="369" spans="2:12" ht="14.4" x14ac:dyDescent="0.3">
      <c r="B369" s="48"/>
      <c r="C369" s="60"/>
      <c r="D369" s="53"/>
      <c r="E369" s="61"/>
      <c r="F369" s="48"/>
      <c r="G369" s="49"/>
      <c r="H369" s="53"/>
      <c r="I369" s="52"/>
      <c r="L369" s="57"/>
    </row>
    <row r="370" spans="2:12" ht="14.4" x14ac:dyDescent="0.3">
      <c r="B370" s="48"/>
      <c r="C370" s="60"/>
      <c r="D370" s="53"/>
      <c r="E370" s="61"/>
      <c r="F370" s="48"/>
      <c r="G370" s="49"/>
      <c r="H370" s="53"/>
      <c r="I370" s="52"/>
      <c r="L370" s="57"/>
    </row>
    <row r="371" spans="2:12" ht="14.4" x14ac:dyDescent="0.3">
      <c r="B371" s="48"/>
      <c r="C371" s="60"/>
      <c r="D371" s="53"/>
      <c r="E371" s="61"/>
      <c r="F371" s="48"/>
      <c r="G371" s="49"/>
      <c r="H371" s="53"/>
      <c r="I371" s="52"/>
      <c r="J371" s="52"/>
      <c r="L371" s="57"/>
    </row>
    <row r="372" spans="2:12" ht="14.4" x14ac:dyDescent="0.3">
      <c r="B372" s="48"/>
      <c r="C372" s="60"/>
      <c r="D372" s="53"/>
      <c r="E372" s="61"/>
      <c r="F372" s="48"/>
      <c r="G372" s="49"/>
      <c r="H372" s="53"/>
      <c r="I372" s="52"/>
      <c r="J372" s="52"/>
      <c r="L372" s="57"/>
    </row>
    <row r="373" spans="2:12" ht="14.4" x14ac:dyDescent="0.3">
      <c r="B373" s="48"/>
      <c r="C373" s="60"/>
      <c r="D373" s="53"/>
      <c r="E373" s="61"/>
      <c r="F373" s="48"/>
      <c r="G373" s="49"/>
      <c r="H373" s="53"/>
      <c r="I373" s="52"/>
      <c r="L373" s="57"/>
    </row>
    <row r="374" spans="2:12" ht="14.4" x14ac:dyDescent="0.3">
      <c r="B374" s="48"/>
      <c r="C374" s="60"/>
      <c r="D374" s="53"/>
      <c r="E374" s="61"/>
      <c r="F374" s="48"/>
      <c r="G374" s="49"/>
      <c r="H374" s="53"/>
      <c r="I374" s="52"/>
      <c r="L374" s="57"/>
    </row>
    <row r="375" spans="2:12" ht="14.4" x14ac:dyDescent="0.3">
      <c r="B375" s="48"/>
      <c r="C375" s="60"/>
      <c r="D375" s="53"/>
      <c r="E375" s="61"/>
      <c r="F375" s="48"/>
      <c r="G375" s="49"/>
      <c r="H375" s="53"/>
      <c r="I375" s="52"/>
      <c r="L375" s="57"/>
    </row>
    <row r="376" spans="2:12" ht="14.4" x14ac:dyDescent="0.3">
      <c r="B376" s="48"/>
      <c r="C376" s="60"/>
      <c r="D376" s="53"/>
      <c r="E376" s="61"/>
      <c r="F376" s="48"/>
      <c r="G376" s="49"/>
      <c r="H376" s="53"/>
      <c r="L376" s="57"/>
    </row>
    <row r="377" spans="2:12" ht="14.4" x14ac:dyDescent="0.3">
      <c r="B377" s="48"/>
      <c r="C377" s="60"/>
      <c r="D377" s="53"/>
      <c r="E377" s="61"/>
      <c r="F377" s="48"/>
      <c r="G377" s="49"/>
      <c r="H377" s="53"/>
      <c r="L377" s="57"/>
    </row>
    <row r="378" spans="2:12" ht="14.4" x14ac:dyDescent="0.3">
      <c r="B378" s="48"/>
      <c r="C378" s="60"/>
      <c r="D378" s="53"/>
      <c r="E378" s="61"/>
      <c r="F378" s="61"/>
      <c r="G378" s="61"/>
      <c r="H378" s="62"/>
    </row>
    <row r="379" spans="2:12" ht="14.4" x14ac:dyDescent="0.3">
      <c r="B379" s="48"/>
      <c r="C379" s="60"/>
      <c r="D379" s="53"/>
      <c r="E379" s="61"/>
      <c r="F379" s="61"/>
      <c r="G379" s="61"/>
      <c r="H379" s="62"/>
    </row>
    <row r="380" spans="2:12" ht="14.4" x14ac:dyDescent="0.3">
      <c r="B380" s="48"/>
      <c r="C380" s="60"/>
      <c r="D380" s="53"/>
      <c r="E380" s="61"/>
      <c r="F380" s="61"/>
      <c r="G380" s="61"/>
      <c r="H380" s="62"/>
    </row>
    <row r="381" spans="2:12" ht="14.4" x14ac:dyDescent="0.3">
      <c r="B381" s="48"/>
      <c r="C381" s="60"/>
      <c r="D381" s="53"/>
      <c r="E381" s="61"/>
      <c r="F381" s="61"/>
      <c r="G381" s="61"/>
      <c r="H381" s="63"/>
    </row>
    <row r="382" spans="2:12" ht="14.4" x14ac:dyDescent="0.3">
      <c r="B382" s="48"/>
      <c r="C382" s="60"/>
      <c r="D382" s="53"/>
      <c r="E382" s="61"/>
      <c r="F382" s="61"/>
      <c r="G382" s="61"/>
      <c r="H382" s="62"/>
    </row>
    <row r="383" spans="2:12" ht="14.4" x14ac:dyDescent="0.3">
      <c r="B383" s="48"/>
      <c r="C383" s="60"/>
      <c r="D383" s="53"/>
      <c r="E383" s="61"/>
      <c r="F383" s="61"/>
      <c r="G383" s="61"/>
      <c r="H383" s="62"/>
    </row>
    <row r="384" spans="2:12" ht="14.4" x14ac:dyDescent="0.3">
      <c r="B384" s="48"/>
      <c r="C384" s="60"/>
      <c r="D384" s="53"/>
      <c r="E384" s="61"/>
      <c r="F384" s="61"/>
      <c r="G384" s="61"/>
      <c r="H384" s="63"/>
    </row>
    <row r="385" spans="2:8" ht="14.4" x14ac:dyDescent="0.3">
      <c r="B385" s="48"/>
      <c r="C385" s="60"/>
      <c r="D385" s="53"/>
      <c r="E385" s="61"/>
      <c r="F385" s="61"/>
      <c r="G385" s="61"/>
      <c r="H385" s="62"/>
    </row>
    <row r="386" spans="2:8" ht="14.4" x14ac:dyDescent="0.3">
      <c r="B386" s="48"/>
      <c r="C386" s="60"/>
      <c r="D386" s="53"/>
      <c r="E386" s="61"/>
      <c r="F386" s="61"/>
      <c r="G386" s="61"/>
      <c r="H386" s="63"/>
    </row>
    <row r="387" spans="2:8" ht="14.4" x14ac:dyDescent="0.3">
      <c r="B387" s="48"/>
      <c r="C387" s="60"/>
      <c r="D387" s="53"/>
      <c r="E387" s="61"/>
      <c r="F387" s="61"/>
      <c r="G387" s="61"/>
      <c r="H387" s="63"/>
    </row>
    <row r="388" spans="2:8" ht="14.4" x14ac:dyDescent="0.3">
      <c r="B388" s="48"/>
      <c r="C388" s="60"/>
      <c r="D388" s="53"/>
      <c r="E388" s="61"/>
      <c r="F388" s="61"/>
      <c r="G388" s="61"/>
      <c r="H388" s="62"/>
    </row>
    <row r="389" spans="2:8" ht="14.4" x14ac:dyDescent="0.3">
      <c r="B389" s="48"/>
      <c r="C389" s="60"/>
      <c r="D389" s="53"/>
      <c r="E389" s="61"/>
      <c r="F389" s="61"/>
      <c r="G389" s="61"/>
      <c r="H389" s="62"/>
    </row>
  </sheetData>
  <mergeCells count="3">
    <mergeCell ref="B11:D11"/>
    <mergeCell ref="F11:H11"/>
    <mergeCell ref="J11:L11"/>
  </mergeCells>
  <hyperlinks>
    <hyperlink ref="B6" location="Dashboard!A1" display="&lt;-Back to dashboard" xr:uid="{B4CAAB1B-CA15-40FD-B4A5-1531F055AD2A}"/>
    <hyperlink ref="C8" location="WACC!A1" display="WACC" xr:uid="{2ED539A7-A4E0-43AD-965B-4DC5AEC4E661}"/>
    <hyperlink ref="D8" location="FCFF!A1" display="FCFF" xr:uid="{E9149DEC-67B9-4C3B-A71A-5980FE88849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99F9-B230-4756-966C-30D72BA1C5DB}">
  <dimension ref="B2:O25"/>
  <sheetViews>
    <sheetView showGridLines="0" workbookViewId="0">
      <selection activeCell="E11" sqref="E11"/>
    </sheetView>
  </sheetViews>
  <sheetFormatPr defaultRowHeight="13.8" x14ac:dyDescent="0.3"/>
  <cols>
    <col min="1" max="1" width="1.88671875" style="13" customWidth="1"/>
    <col min="2" max="2" width="10.6640625" style="13" customWidth="1"/>
    <col min="3" max="3" width="7.33203125" style="13" customWidth="1"/>
    <col min="4" max="4" width="16.5546875" style="13" customWidth="1"/>
    <col min="5" max="5" width="8.21875" style="13" customWidth="1"/>
    <col min="6" max="6" width="4.77734375" style="13" customWidth="1"/>
    <col min="7" max="7" width="9.33203125" style="13" customWidth="1"/>
    <col min="8" max="8" width="17.77734375" style="13" customWidth="1"/>
    <col min="9" max="9" width="14.44140625" style="13" customWidth="1"/>
    <col min="10" max="16384" width="8.88671875" style="13"/>
  </cols>
  <sheetData>
    <row r="2" spans="2:15" s="18" customFormat="1" ht="15.6" x14ac:dyDescent="0.3"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13"/>
      <c r="L2" s="13"/>
      <c r="M2" s="13"/>
      <c r="N2" s="13"/>
      <c r="O2" s="13"/>
    </row>
    <row r="3" spans="2:15" s="18" customFormat="1" ht="14.4" x14ac:dyDescent="0.3">
      <c r="B3" s="10" t="s">
        <v>50</v>
      </c>
      <c r="C3" s="21"/>
      <c r="D3" s="21"/>
      <c r="E3" s="21"/>
      <c r="F3" s="21"/>
      <c r="G3" s="21"/>
      <c r="H3" s="21"/>
      <c r="I3" s="21"/>
      <c r="J3" s="21"/>
      <c r="K3" s="13"/>
      <c r="L3" s="13"/>
      <c r="M3" s="13"/>
      <c r="N3" s="13"/>
      <c r="O3" s="13"/>
    </row>
    <row r="4" spans="2:15" s="18" customFormat="1" ht="14.4" x14ac:dyDescent="0.3">
      <c r="B4" s="2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13"/>
      <c r="L4" s="13"/>
      <c r="M4" s="13"/>
      <c r="N4" s="13"/>
      <c r="O4" s="13"/>
    </row>
    <row r="6" spans="2:15" ht="14.4" x14ac:dyDescent="0.3">
      <c r="B6" s="34" t="s">
        <v>47</v>
      </c>
    </row>
    <row r="8" spans="2:15" ht="14.4" x14ac:dyDescent="0.3">
      <c r="B8" s="34" t="s">
        <v>53</v>
      </c>
      <c r="C8" s="34" t="s">
        <v>103</v>
      </c>
      <c r="D8" s="34" t="s">
        <v>49</v>
      </c>
    </row>
    <row r="10" spans="2:15" ht="14.4" x14ac:dyDescent="0.3">
      <c r="C10" s="499" t="s">
        <v>69</v>
      </c>
      <c r="D10" s="499"/>
      <c r="E10" s="499"/>
      <c r="H10" s="499" t="s">
        <v>78</v>
      </c>
      <c r="I10" s="499"/>
    </row>
    <row r="11" spans="2:15" ht="14.4" customHeight="1" x14ac:dyDescent="0.3">
      <c r="C11" s="74" t="s">
        <v>70</v>
      </c>
      <c r="E11" s="301">
        <v>4.2099999999999999E-2</v>
      </c>
      <c r="H11" s="74" t="s">
        <v>79</v>
      </c>
      <c r="I11" s="302">
        <f>Public_Comps!F31</f>
        <v>808118.89999999991</v>
      </c>
    </row>
    <row r="12" spans="2:15" x14ac:dyDescent="0.3">
      <c r="C12" s="74" t="s">
        <v>343</v>
      </c>
      <c r="E12" s="301">
        <v>4.4600000000000001E-2</v>
      </c>
      <c r="H12" s="74" t="s">
        <v>80</v>
      </c>
      <c r="I12" s="302">
        <f>Statements!I89+Statements!I82+Statements!I87</f>
        <v>684457</v>
      </c>
    </row>
    <row r="13" spans="2:15" x14ac:dyDescent="0.3">
      <c r="C13" s="74" t="s">
        <v>344</v>
      </c>
      <c r="E13" s="301">
        <v>2.3E-3</v>
      </c>
      <c r="H13" s="291" t="s">
        <v>81</v>
      </c>
      <c r="I13" s="294">
        <f>I11+I12</f>
        <v>1492575.9</v>
      </c>
    </row>
    <row r="14" spans="2:15" x14ac:dyDescent="0.3">
      <c r="C14" s="74" t="s">
        <v>63</v>
      </c>
      <c r="E14" s="303">
        <f>Beta!L21</f>
        <v>1.3080607555809376</v>
      </c>
    </row>
    <row r="15" spans="2:15" x14ac:dyDescent="0.3">
      <c r="C15" s="291" t="s">
        <v>72</v>
      </c>
      <c r="D15" s="292"/>
      <c r="E15" s="293">
        <f>E11+(E12*E14)+E13</f>
        <v>0.10273950969890981</v>
      </c>
    </row>
    <row r="17" spans="2:10" ht="14.4" x14ac:dyDescent="0.3">
      <c r="C17" s="499" t="s">
        <v>73</v>
      </c>
      <c r="D17" s="499"/>
      <c r="E17" s="499"/>
      <c r="H17" s="499" t="s">
        <v>50</v>
      </c>
      <c r="I17" s="499"/>
    </row>
    <row r="18" spans="2:10" x14ac:dyDescent="0.3">
      <c r="C18" s="297" t="s">
        <v>356</v>
      </c>
      <c r="E18" s="162"/>
      <c r="H18" s="74" t="s">
        <v>82</v>
      </c>
      <c r="I18" s="290">
        <f>E15*(I11/I13)</f>
        <v>5.5625807414163876E-2</v>
      </c>
    </row>
    <row r="19" spans="2:10" x14ac:dyDescent="0.3">
      <c r="C19" s="74" t="s">
        <v>70</v>
      </c>
      <c r="E19" s="301">
        <v>4.2099999999999999E-2</v>
      </c>
      <c r="H19" s="74" t="s">
        <v>73</v>
      </c>
      <c r="I19" s="295">
        <f>E23*(I12/I13)</f>
        <v>2.1468616042909443E-2</v>
      </c>
    </row>
    <row r="20" spans="2:10" x14ac:dyDescent="0.3">
      <c r="C20" s="74" t="s">
        <v>74</v>
      </c>
      <c r="E20" s="301">
        <v>1.11E-2</v>
      </c>
      <c r="H20" s="291" t="s">
        <v>50</v>
      </c>
      <c r="I20" s="296">
        <f>I18+I19</f>
        <v>7.7094423457073319E-2</v>
      </c>
    </row>
    <row r="21" spans="2:10" x14ac:dyDescent="0.3">
      <c r="C21" s="298" t="s">
        <v>75</v>
      </c>
      <c r="E21" s="299">
        <f>E19+E20</f>
        <v>5.3199999999999997E-2</v>
      </c>
    </row>
    <row r="22" spans="2:10" x14ac:dyDescent="0.3">
      <c r="C22" s="74" t="s">
        <v>76</v>
      </c>
      <c r="E22" s="301">
        <v>0.12</v>
      </c>
    </row>
    <row r="23" spans="2:10" x14ac:dyDescent="0.3">
      <c r="C23" s="291" t="s">
        <v>77</v>
      </c>
      <c r="D23" s="300"/>
      <c r="E23" s="293">
        <f>E21*(1-E22)</f>
        <v>4.6815999999999997E-2</v>
      </c>
    </row>
    <row r="25" spans="2:10" ht="14.4" x14ac:dyDescent="0.3">
      <c r="B25" s="21"/>
      <c r="C25" s="21"/>
      <c r="D25" s="21"/>
      <c r="E25" s="21"/>
      <c r="F25" s="21"/>
      <c r="G25" s="21"/>
      <c r="H25" s="21"/>
      <c r="I25" s="21"/>
      <c r="J25" s="21"/>
    </row>
  </sheetData>
  <mergeCells count="4">
    <mergeCell ref="C17:E17"/>
    <mergeCell ref="H17:I17"/>
    <mergeCell ref="H10:I10"/>
    <mergeCell ref="C10:E10"/>
  </mergeCells>
  <hyperlinks>
    <hyperlink ref="B6" location="Dashboard!A1" display="&lt;-Back to dashboard" xr:uid="{8A726ABA-FF8B-4FCE-A982-76721E345442}"/>
    <hyperlink ref="C8" location="Beta!A1" display="Beta " xr:uid="{D571D134-976C-45E3-91A3-293EA2DA4219}"/>
    <hyperlink ref="D8" location="FCFF!A1" display="FCFF" xr:uid="{0E34F9CE-E8A7-43EF-8916-ACEE12F8CBC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E337-656A-46C9-8BDE-DC1FB398E8E9}">
  <dimension ref="B2:O60"/>
  <sheetViews>
    <sheetView showGridLines="0" topLeftCell="A31" workbookViewId="0">
      <selection activeCell="P25" sqref="P25"/>
    </sheetView>
  </sheetViews>
  <sheetFormatPr defaultRowHeight="13.8" x14ac:dyDescent="0.3"/>
  <cols>
    <col min="1" max="1" width="1.88671875" style="13" customWidth="1"/>
    <col min="2" max="3" width="8.88671875" style="13"/>
    <col min="4" max="4" width="12.6640625" style="13" customWidth="1"/>
    <col min="5" max="5" width="15.21875" style="13" customWidth="1"/>
    <col min="6" max="6" width="1.33203125" style="13" hidden="1" customWidth="1"/>
    <col min="7" max="11" width="12.6640625" style="13" customWidth="1"/>
    <col min="12" max="16384" width="8.88671875" style="13"/>
  </cols>
  <sheetData>
    <row r="2" spans="2:15" x14ac:dyDescent="0.3">
      <c r="B2" s="10" t="str">
        <f>Dashboard!B2</f>
        <v>Synopsys, INC.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x14ac:dyDescent="0.3">
      <c r="B3" s="10" t="s">
        <v>49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2:15" x14ac:dyDescent="0.3">
      <c r="B4" s="72" t="str">
        <f>Dashboard!B4</f>
        <v>($ in Millions, Except Per Share Amounts in Dollars and Share Counts in Thousands)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6" spans="2:15" x14ac:dyDescent="0.3">
      <c r="B6" s="73" t="s">
        <v>47</v>
      </c>
    </row>
    <row r="7" spans="2:15" x14ac:dyDescent="0.3">
      <c r="B7" s="73"/>
    </row>
    <row r="8" spans="2:15" x14ac:dyDescent="0.3">
      <c r="B8" s="73" t="s">
        <v>53</v>
      </c>
      <c r="C8" s="73" t="s">
        <v>103</v>
      </c>
      <c r="D8" s="73" t="s">
        <v>50</v>
      </c>
    </row>
    <row r="9" spans="2:15" x14ac:dyDescent="0.3">
      <c r="B9" s="73"/>
    </row>
    <row r="10" spans="2:15" x14ac:dyDescent="0.3">
      <c r="B10" s="500" t="s">
        <v>91</v>
      </c>
      <c r="C10" s="500"/>
      <c r="D10" s="500"/>
      <c r="E10" s="500"/>
    </row>
    <row r="11" spans="2:15" ht="7.2" customHeight="1" x14ac:dyDescent="0.3">
      <c r="B11" s="17"/>
    </row>
    <row r="12" spans="2:15" x14ac:dyDescent="0.3">
      <c r="B12" s="504" t="s">
        <v>92</v>
      </c>
      <c r="C12" s="505"/>
      <c r="D12" s="506"/>
      <c r="E12" s="277">
        <v>45596</v>
      </c>
    </row>
    <row r="13" spans="2:15" x14ac:dyDescent="0.3">
      <c r="B13" s="504" t="s">
        <v>93</v>
      </c>
      <c r="C13" s="505"/>
      <c r="D13" s="506"/>
      <c r="E13" s="277">
        <v>45657</v>
      </c>
    </row>
    <row r="14" spans="2:15" x14ac:dyDescent="0.3">
      <c r="B14" s="66" t="s">
        <v>136</v>
      </c>
      <c r="C14" s="67"/>
      <c r="D14" s="68"/>
      <c r="E14" s="278">
        <v>0.25</v>
      </c>
    </row>
    <row r="15" spans="2:15" x14ac:dyDescent="0.3">
      <c r="B15" s="504" t="s">
        <v>137</v>
      </c>
      <c r="C15" s="505"/>
      <c r="D15" s="506"/>
      <c r="E15" s="69">
        <f>WACC!I20</f>
        <v>7.7094423457073319E-2</v>
      </c>
    </row>
    <row r="16" spans="2:15" x14ac:dyDescent="0.3">
      <c r="B16" s="504" t="s">
        <v>138</v>
      </c>
      <c r="C16" s="505"/>
      <c r="D16" s="506"/>
      <c r="E16" s="279">
        <v>0.02</v>
      </c>
    </row>
    <row r="19" spans="2:12" x14ac:dyDescent="0.3">
      <c r="B19" s="70" t="s">
        <v>89</v>
      </c>
      <c r="C19" s="70"/>
      <c r="D19" s="70"/>
      <c r="E19" s="530"/>
      <c r="F19" s="530"/>
      <c r="G19" s="531">
        <f>Statements!J7</f>
        <v>45961</v>
      </c>
      <c r="H19" s="531">
        <f>Statements!K7</f>
        <v>46326</v>
      </c>
      <c r="I19" s="531">
        <f>Statements!L7</f>
        <v>46691</v>
      </c>
      <c r="J19" s="531">
        <f>Statements!M7</f>
        <v>47057</v>
      </c>
      <c r="K19" s="531">
        <f>Statements!N7</f>
        <v>47422</v>
      </c>
    </row>
    <row r="20" spans="2:12" ht="5.4" customHeight="1" x14ac:dyDescent="0.3"/>
    <row r="21" spans="2:12" x14ac:dyDescent="0.3">
      <c r="B21" s="42" t="s">
        <v>83</v>
      </c>
      <c r="G21" s="304">
        <f>Statements!J41</f>
        <v>1546239.5739999996</v>
      </c>
      <c r="H21" s="304">
        <f>Statements!K41</f>
        <v>1951158.4897520607</v>
      </c>
      <c r="I21" s="304">
        <f>Statements!L41</f>
        <v>2525464.9766349318</v>
      </c>
      <c r="J21" s="304">
        <f>Statements!M41</f>
        <v>3309998.6249066871</v>
      </c>
      <c r="K21" s="304">
        <f>Statements!N41</f>
        <v>4381271.248812424</v>
      </c>
    </row>
    <row r="22" spans="2:12" x14ac:dyDescent="0.3">
      <c r="B22" s="42" t="s">
        <v>135</v>
      </c>
      <c r="G22" s="305">
        <f>$E$14</f>
        <v>0.25</v>
      </c>
      <c r="H22" s="305">
        <f t="shared" ref="H22:K22" si="0">$E$14</f>
        <v>0.25</v>
      </c>
      <c r="I22" s="305">
        <f t="shared" si="0"/>
        <v>0.25</v>
      </c>
      <c r="J22" s="305">
        <f t="shared" si="0"/>
        <v>0.25</v>
      </c>
      <c r="K22" s="305">
        <f t="shared" si="0"/>
        <v>0.25</v>
      </c>
    </row>
    <row r="23" spans="2:12" x14ac:dyDescent="0.3">
      <c r="B23" s="71" t="s">
        <v>84</v>
      </c>
      <c r="G23" s="43">
        <f>G21*G22</f>
        <v>386559.89349999989</v>
      </c>
      <c r="H23" s="43">
        <f t="shared" ref="H23:K23" si="1">H21*H22</f>
        <v>487789.62243801518</v>
      </c>
      <c r="I23" s="43">
        <f t="shared" si="1"/>
        <v>631366.24415873294</v>
      </c>
      <c r="J23" s="43">
        <f t="shared" si="1"/>
        <v>827499.65622667177</v>
      </c>
      <c r="K23" s="43">
        <f t="shared" si="1"/>
        <v>1095317.812203106</v>
      </c>
    </row>
    <row r="24" spans="2:12" x14ac:dyDescent="0.3">
      <c r="B24" s="283" t="s">
        <v>85</v>
      </c>
      <c r="C24" s="281"/>
      <c r="D24" s="281"/>
      <c r="E24" s="281"/>
      <c r="F24" s="281"/>
      <c r="G24" s="282">
        <f>G21-G23</f>
        <v>1159679.6804999998</v>
      </c>
      <c r="H24" s="282">
        <f t="shared" ref="H24:K24" si="2">H21-H23</f>
        <v>1463368.8673140456</v>
      </c>
      <c r="I24" s="282">
        <f t="shared" si="2"/>
        <v>1894098.7324761988</v>
      </c>
      <c r="J24" s="282">
        <f t="shared" si="2"/>
        <v>2482498.9686800153</v>
      </c>
      <c r="K24" s="282">
        <f t="shared" si="2"/>
        <v>3285953.436609318</v>
      </c>
    </row>
    <row r="25" spans="2:12" x14ac:dyDescent="0.3">
      <c r="B25" s="71" t="s">
        <v>86</v>
      </c>
      <c r="G25" s="304">
        <f>Statements!J112</f>
        <v>226881.11918455019</v>
      </c>
      <c r="H25" s="304">
        <f>Statements!K112</f>
        <v>237903.47591309279</v>
      </c>
      <c r="I25" s="304">
        <f>Statements!L112</f>
        <v>272471.54283530975</v>
      </c>
      <c r="J25" s="304">
        <f>Statements!M112</f>
        <v>268240.59322024218</v>
      </c>
      <c r="K25" s="304">
        <f>Statements!N112</f>
        <v>290717.77117289358</v>
      </c>
      <c r="L25" s="43"/>
    </row>
    <row r="26" spans="2:12" x14ac:dyDescent="0.3">
      <c r="B26" s="71" t="s">
        <v>345</v>
      </c>
      <c r="G26" s="304">
        <f>Statements!J113</f>
        <v>632251.79920925957</v>
      </c>
      <c r="H26" s="304">
        <f>Statements!K113</f>
        <v>664462.11099044175</v>
      </c>
      <c r="I26" s="304">
        <f>Statements!L113</f>
        <v>812215.17435218475</v>
      </c>
      <c r="J26" s="304">
        <f>Statements!M113</f>
        <v>1125885.3772131382</v>
      </c>
      <c r="K26" s="304">
        <f>Statements!N113</f>
        <v>1466842.0993124938</v>
      </c>
      <c r="L26" s="43"/>
    </row>
    <row r="27" spans="2:12" x14ac:dyDescent="0.3">
      <c r="B27" s="71" t="s">
        <v>87</v>
      </c>
      <c r="G27" s="304">
        <f>Schedule!J67</f>
        <v>-125457.27012795769</v>
      </c>
      <c r="H27" s="304">
        <f>Schedule!K67</f>
        <v>86152.226621331414</v>
      </c>
      <c r="I27" s="304">
        <f>Schedule!L67</f>
        <v>113121.57587331114</v>
      </c>
      <c r="J27" s="304">
        <f>Schedule!M67</f>
        <v>124116.84974931204</v>
      </c>
      <c r="K27" s="304">
        <f>Schedule!N67</f>
        <v>142874.57033476746</v>
      </c>
      <c r="L27" s="43"/>
    </row>
    <row r="28" spans="2:12" x14ac:dyDescent="0.3">
      <c r="B28" s="71" t="s">
        <v>88</v>
      </c>
      <c r="G28" s="304">
        <f>-Schedule!J23</f>
        <v>-124808.18139284848</v>
      </c>
      <c r="H28" s="304">
        <f>-Schedule!K23</f>
        <v>-135241.68291870918</v>
      </c>
      <c r="I28" s="304">
        <f>-Schedule!L23</f>
        <v>-146547.38651397984</v>
      </c>
      <c r="J28" s="304">
        <f>-Schedule!M23</f>
        <v>-158798.20503998487</v>
      </c>
      <c r="K28" s="304">
        <f>-Schedule!N23</f>
        <v>-172073.14660309907</v>
      </c>
      <c r="L28" s="43"/>
    </row>
    <row r="29" spans="2:12" x14ac:dyDescent="0.3">
      <c r="B29" s="307" t="s">
        <v>49</v>
      </c>
      <c r="C29" s="308"/>
      <c r="D29" s="308"/>
      <c r="E29" s="308"/>
      <c r="F29" s="308"/>
      <c r="G29" s="309">
        <f>SUM(G24:G28)</f>
        <v>1768547.1473730034</v>
      </c>
      <c r="H29" s="309">
        <f t="shared" ref="H29:K29" si="3">SUM(H24:H28)</f>
        <v>2316644.9979202026</v>
      </c>
      <c r="I29" s="309">
        <f t="shared" si="3"/>
        <v>2945359.6390230251</v>
      </c>
      <c r="J29" s="309">
        <f t="shared" si="3"/>
        <v>3841943.583822723</v>
      </c>
      <c r="K29" s="309">
        <f t="shared" si="3"/>
        <v>5014314.7308263732</v>
      </c>
    </row>
    <row r="30" spans="2:12" ht="5.4" customHeight="1" x14ac:dyDescent="0.3"/>
    <row r="31" spans="2:12" x14ac:dyDescent="0.3">
      <c r="B31" s="65" t="s">
        <v>90</v>
      </c>
      <c r="G31" s="284">
        <f>(E13-E12)/365</f>
        <v>0.16712328767123288</v>
      </c>
      <c r="H31" s="284">
        <f>G31+1</f>
        <v>1.167123287671233</v>
      </c>
      <c r="I31" s="284">
        <f>H31+1</f>
        <v>2.1671232876712327</v>
      </c>
      <c r="J31" s="284">
        <f>I31+1</f>
        <v>3.1671232876712327</v>
      </c>
      <c r="K31" s="284">
        <f>J31+1</f>
        <v>4.1671232876712327</v>
      </c>
    </row>
    <row r="32" spans="2:12" x14ac:dyDescent="0.3">
      <c r="B32" s="307" t="s">
        <v>94</v>
      </c>
      <c r="C32" s="308"/>
      <c r="D32" s="308"/>
      <c r="E32" s="308"/>
      <c r="F32" s="308"/>
      <c r="G32" s="309">
        <f>G29/(1+$E$15)^G31</f>
        <v>1746732.0329917073</v>
      </c>
      <c r="H32" s="309">
        <f>H29/(1+$E$15)^H31</f>
        <v>2124297.5734357219</v>
      </c>
      <c r="I32" s="309">
        <f>I29/(1+$E$15)^I31</f>
        <v>2507496.9832767933</v>
      </c>
      <c r="J32" s="309">
        <f>J29/(1+$E$15)^J31</f>
        <v>3036681.850609852</v>
      </c>
      <c r="K32" s="309">
        <f>K29/(1+$E$15)^K31</f>
        <v>3679646.7061159699</v>
      </c>
    </row>
    <row r="35" spans="2:15" x14ac:dyDescent="0.3">
      <c r="B35" s="500" t="s">
        <v>95</v>
      </c>
      <c r="C35" s="500"/>
      <c r="D35" s="500"/>
      <c r="E35" s="500"/>
    </row>
    <row r="36" spans="2:15" ht="5.4" customHeight="1" x14ac:dyDescent="0.3"/>
    <row r="37" spans="2:15" x14ac:dyDescent="0.3">
      <c r="B37" s="13" t="s">
        <v>350</v>
      </c>
      <c r="E37" s="43">
        <f>K29*(1+E16)/(E15-E16)</f>
        <v>89581446.238586426</v>
      </c>
    </row>
    <row r="38" spans="2:15" x14ac:dyDescent="0.3">
      <c r="B38" s="13" t="s">
        <v>351</v>
      </c>
      <c r="E38" s="43">
        <f>SUM(G32:K32)</f>
        <v>13094855.146430045</v>
      </c>
    </row>
    <row r="39" spans="2:15" ht="14.4" customHeight="1" x14ac:dyDescent="0.3">
      <c r="B39" s="13" t="s">
        <v>352</v>
      </c>
      <c r="E39" s="43">
        <f>E37/(1+E15)^K31</f>
        <v>65737412.044456124</v>
      </c>
      <c r="G39" s="273"/>
      <c r="H39" s="273"/>
      <c r="I39" s="273"/>
      <c r="J39" s="273"/>
      <c r="K39" s="273"/>
      <c r="L39" s="273"/>
      <c r="M39" s="273"/>
      <c r="N39" s="273"/>
      <c r="O39" s="273"/>
    </row>
    <row r="40" spans="2:15" x14ac:dyDescent="0.3">
      <c r="B40" s="16" t="s">
        <v>349</v>
      </c>
      <c r="C40" s="16"/>
      <c r="D40" s="16"/>
      <c r="E40" s="287">
        <f>E38+E39</f>
        <v>78832267.19088617</v>
      </c>
    </row>
    <row r="41" spans="2:15" x14ac:dyDescent="0.3">
      <c r="B41" s="13" t="s">
        <v>96</v>
      </c>
      <c r="E41" s="304">
        <f>-(Statements!I89+Statements!I82+Statements!I87)</f>
        <v>-684457</v>
      </c>
    </row>
    <row r="42" spans="2:15" x14ac:dyDescent="0.3">
      <c r="B42" s="13" t="s">
        <v>97</v>
      </c>
      <c r="E42" s="304">
        <f>Statements!I62</f>
        <v>3896532</v>
      </c>
    </row>
    <row r="43" spans="2:15" x14ac:dyDescent="0.3">
      <c r="B43" s="13" t="s">
        <v>98</v>
      </c>
      <c r="E43" s="304">
        <f>Statements!H63</f>
        <v>151639</v>
      </c>
    </row>
    <row r="44" spans="2:15" x14ac:dyDescent="0.3">
      <c r="B44" s="37" t="s">
        <v>348</v>
      </c>
      <c r="C44" s="37"/>
      <c r="D44" s="37"/>
      <c r="E44" s="288">
        <f>SUM(E40:E43)</f>
        <v>82195981.19088617</v>
      </c>
    </row>
    <row r="45" spans="2:15" x14ac:dyDescent="0.3">
      <c r="B45" s="13" t="s">
        <v>353</v>
      </c>
      <c r="E45" s="352">
        <v>165700</v>
      </c>
    </row>
    <row r="46" spans="2:15" x14ac:dyDescent="0.3">
      <c r="B46" s="274" t="s">
        <v>354</v>
      </c>
      <c r="C46" s="275"/>
      <c r="D46" s="275"/>
      <c r="E46" s="276">
        <f>E44/E45</f>
        <v>496.05299451349526</v>
      </c>
    </row>
    <row r="47" spans="2:15" x14ac:dyDescent="0.3">
      <c r="B47" s="205" t="s">
        <v>355</v>
      </c>
      <c r="C47" s="205"/>
      <c r="D47" s="205"/>
      <c r="E47" s="280">
        <v>487.7</v>
      </c>
    </row>
    <row r="48" spans="2:15" x14ac:dyDescent="0.3">
      <c r="B48" s="65" t="s">
        <v>346</v>
      </c>
    </row>
    <row r="49" spans="2:10" ht="14.4" x14ac:dyDescent="0.3">
      <c r="B49" s="13" t="s">
        <v>347</v>
      </c>
      <c r="E49" s="289" t="str">
        <f>IF(E47&gt;E46,"Premium","Discount")</f>
        <v>Discount</v>
      </c>
    </row>
    <row r="50" spans="2:10" x14ac:dyDescent="0.3">
      <c r="B50" s="13" t="s">
        <v>460</v>
      </c>
      <c r="E50" s="374">
        <f>E47/E46-1</f>
        <v>-1.6838915611602112E-2</v>
      </c>
    </row>
    <row r="51" spans="2:10" x14ac:dyDescent="0.3">
      <c r="B51" s="273"/>
      <c r="C51" s="273"/>
      <c r="D51" s="273"/>
      <c r="E51" s="273"/>
      <c r="F51" s="273"/>
    </row>
    <row r="52" spans="2:10" ht="14.4" x14ac:dyDescent="0.3">
      <c r="B52" s="312" t="s">
        <v>364</v>
      </c>
      <c r="C52" s="310"/>
      <c r="D52" s="310"/>
      <c r="E52" s="310"/>
      <c r="F52" s="310"/>
      <c r="G52" s="310"/>
      <c r="H52" s="310"/>
      <c r="I52" s="310"/>
      <c r="J52" s="311"/>
    </row>
    <row r="53" spans="2:10" x14ac:dyDescent="0.3">
      <c r="B53" s="364"/>
      <c r="C53" s="365"/>
      <c r="D53" s="366" t="s">
        <v>50</v>
      </c>
      <c r="E53" s="366"/>
      <c r="F53" s="366"/>
      <c r="G53" s="366"/>
      <c r="H53" s="366"/>
      <c r="I53" s="366"/>
      <c r="J53" s="367"/>
    </row>
    <row r="54" spans="2:10" x14ac:dyDescent="0.3">
      <c r="B54" s="364"/>
      <c r="C54" s="373">
        <f>E46</f>
        <v>496.05299451349526</v>
      </c>
      <c r="D54" s="370">
        <v>0.06</v>
      </c>
      <c r="E54" s="370">
        <v>7.0000000000000007E-2</v>
      </c>
      <c r="F54" s="370"/>
      <c r="G54" s="371">
        <v>7.7100000000000002E-2</v>
      </c>
      <c r="H54" s="370">
        <v>0.09</v>
      </c>
      <c r="I54" s="370">
        <v>0.1</v>
      </c>
      <c r="J54" s="372">
        <v>0.11</v>
      </c>
    </row>
    <row r="55" spans="2:10" ht="13.8" customHeight="1" x14ac:dyDescent="0.3">
      <c r="B55" s="501" t="s">
        <v>363</v>
      </c>
      <c r="C55" s="368">
        <f t="shared" ref="C55:C58" si="4">C56+1%</f>
        <v>0.05</v>
      </c>
      <c r="D55" s="313">
        <f t="dataTable" ref="D55:J60" dt2D="1" dtr="1" r1="E15" r2="E16"/>
        <v>2595.0603858011564</v>
      </c>
      <c r="E55" s="314">
        <v>1299.0664365966588</v>
      </c>
      <c r="F55" s="314">
        <v>-519.31252413028665</v>
      </c>
      <c r="G55" s="315">
        <v>959.71429654039423</v>
      </c>
      <c r="H55" s="314">
        <v>651.68946851765224</v>
      </c>
      <c r="I55" s="314">
        <v>522.44785214875446</v>
      </c>
      <c r="J55" s="316">
        <v>436.40926140980957</v>
      </c>
    </row>
    <row r="56" spans="2:10" x14ac:dyDescent="0.3">
      <c r="B56" s="502"/>
      <c r="C56" s="368">
        <f t="shared" si="4"/>
        <v>0.04</v>
      </c>
      <c r="D56" s="317">
        <v>1336.968705679132</v>
      </c>
      <c r="E56" s="325">
        <v>891.99016870266951</v>
      </c>
      <c r="F56" s="325">
        <v>-670.61954678648374</v>
      </c>
      <c r="G56" s="326">
        <v>721.81833483346497</v>
      </c>
      <c r="H56" s="325">
        <v>536.5233440572016</v>
      </c>
      <c r="I56" s="325">
        <v>447.85931506268344</v>
      </c>
      <c r="J56" s="318">
        <v>384.63709610086261</v>
      </c>
    </row>
    <row r="57" spans="2:10" x14ac:dyDescent="0.3">
      <c r="B57" s="502"/>
      <c r="C57" s="368">
        <f t="shared" si="4"/>
        <v>0.03</v>
      </c>
      <c r="D57" s="317">
        <v>917.60481230512414</v>
      </c>
      <c r="E57" s="325">
        <v>688.45203475567484</v>
      </c>
      <c r="F57" s="325">
        <v>-922.79791788014597</v>
      </c>
      <c r="G57" s="326">
        <v>584.93976663266278</v>
      </c>
      <c r="H57" s="325">
        <v>459.74592775023456</v>
      </c>
      <c r="I57" s="325">
        <v>394.58178857263277</v>
      </c>
      <c r="J57" s="318">
        <v>345.80797211915257</v>
      </c>
    </row>
    <row r="58" spans="2:10" x14ac:dyDescent="0.3">
      <c r="B58" s="502"/>
      <c r="C58" s="529">
        <f t="shared" si="4"/>
        <v>0.02</v>
      </c>
      <c r="D58" s="319">
        <v>707.92286561812034</v>
      </c>
      <c r="E58" s="326">
        <v>566.32915438747807</v>
      </c>
      <c r="F58" s="326">
        <v>-1427.1546600674699</v>
      </c>
      <c r="G58" s="326">
        <v>496.00465489448834</v>
      </c>
      <c r="H58" s="326">
        <v>404.90491610240088</v>
      </c>
      <c r="I58" s="326">
        <v>354.62364370509482</v>
      </c>
      <c r="J58" s="320">
        <v>315.60754235560017</v>
      </c>
    </row>
    <row r="59" spans="2:10" x14ac:dyDescent="0.3">
      <c r="B59" s="502"/>
      <c r="C59" s="368">
        <f>C60+1%</f>
        <v>0.01</v>
      </c>
      <c r="D59" s="317">
        <v>582.11369760591788</v>
      </c>
      <c r="E59" s="325">
        <v>484.91390080868013</v>
      </c>
      <c r="F59" s="325">
        <v>-2940.2248866294408</v>
      </c>
      <c r="G59" s="326">
        <v>433.57777318259537</v>
      </c>
      <c r="H59" s="325">
        <v>363.77415736652563</v>
      </c>
      <c r="I59" s="325">
        <v>323.5450865858985</v>
      </c>
      <c r="J59" s="318">
        <v>291.44719854475824</v>
      </c>
    </row>
    <row r="60" spans="2:10" x14ac:dyDescent="0.3">
      <c r="B60" s="503"/>
      <c r="C60" s="369">
        <v>0</v>
      </c>
      <c r="D60" s="321">
        <v>498.24091893111637</v>
      </c>
      <c r="E60" s="322">
        <v>426.76014825239588</v>
      </c>
      <c r="F60" s="322" t="e">
        <v>#DIV/0!</v>
      </c>
      <c r="G60" s="323">
        <v>387.34463510543463</v>
      </c>
      <c r="H60" s="322">
        <v>331.7835672386226</v>
      </c>
      <c r="I60" s="322">
        <v>298.68224089054149</v>
      </c>
      <c r="J60" s="324">
        <v>271.67964451770587</v>
      </c>
    </row>
  </sheetData>
  <mergeCells count="7">
    <mergeCell ref="B10:E10"/>
    <mergeCell ref="B55:B60"/>
    <mergeCell ref="B12:D12"/>
    <mergeCell ref="B13:D13"/>
    <mergeCell ref="B15:D15"/>
    <mergeCell ref="B16:D16"/>
    <mergeCell ref="B35:E35"/>
  </mergeCells>
  <hyperlinks>
    <hyperlink ref="B6" location="Dashboard!A1" display="&lt;-Back to dashboard" xr:uid="{F062D85C-EB45-4F30-96FC-9A66AA255C6E}"/>
    <hyperlink ref="C8" location="Beta!A1" display="Beta " xr:uid="{0E18DE25-52A4-44AE-A26A-C036715FD165}"/>
    <hyperlink ref="D8" location="WACC!A1" display="WACC" xr:uid="{FCEF59CF-7698-4881-BEE6-17E7B8246A5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7443-4451-45F2-958E-912D0A70AFE9}">
  <dimension ref="B2:O376"/>
  <sheetViews>
    <sheetView showGridLines="0" topLeftCell="A13" zoomScale="85" zoomScaleNormal="85" workbookViewId="0">
      <selection activeCell="Q31" sqref="Q31"/>
    </sheetView>
  </sheetViews>
  <sheetFormatPr defaultRowHeight="13.8" x14ac:dyDescent="0.3"/>
  <cols>
    <col min="1" max="1" width="1.88671875" style="13" customWidth="1"/>
    <col min="2" max="2" width="30.6640625" style="13" customWidth="1"/>
    <col min="3" max="3" width="12.5546875" style="13" customWidth="1"/>
    <col min="4" max="9" width="13.88671875" style="13" customWidth="1"/>
    <col min="10" max="12" width="11.77734375" style="13" customWidth="1"/>
    <col min="13" max="15" width="14.33203125" style="13" customWidth="1"/>
    <col min="16" max="16384" width="8.88671875" style="13"/>
  </cols>
  <sheetData>
    <row r="2" spans="2:15" s="18" customFormat="1" ht="15.6" x14ac:dyDescent="0.3"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s="18" customFormat="1" ht="14.4" x14ac:dyDescent="0.3">
      <c r="B3" s="21" t="s">
        <v>303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2:15" s="18" customFormat="1" ht="14.4" x14ac:dyDescent="0.3">
      <c r="B4" s="7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6" spans="2:15" ht="14.4" x14ac:dyDescent="0.3">
      <c r="B6" s="34" t="s">
        <v>47</v>
      </c>
    </row>
    <row r="7" spans="2:15" ht="14.4" x14ac:dyDescent="0.3">
      <c r="B7" s="48"/>
      <c r="C7" s="49"/>
      <c r="D7" s="53"/>
      <c r="E7" s="51"/>
      <c r="F7" s="48"/>
      <c r="G7" s="48"/>
      <c r="H7" s="53"/>
      <c r="I7" s="52"/>
      <c r="J7" s="52"/>
      <c r="L7" s="57"/>
    </row>
    <row r="8" spans="2:15" ht="14.4" x14ac:dyDescent="0.3">
      <c r="B8" s="183" t="s">
        <v>305</v>
      </c>
      <c r="C8" s="49"/>
      <c r="D8" s="53"/>
      <c r="E8" s="51"/>
      <c r="F8" s="48"/>
      <c r="G8" s="48"/>
      <c r="H8" s="53"/>
      <c r="I8" s="52"/>
      <c r="J8" s="52"/>
      <c r="L8" s="57"/>
    </row>
    <row r="9" spans="2:15" ht="14.4" x14ac:dyDescent="0.3">
      <c r="B9" s="192" t="s">
        <v>339</v>
      </c>
      <c r="C9" s="49"/>
      <c r="D9" s="53"/>
      <c r="E9" s="51"/>
      <c r="F9" s="48"/>
      <c r="G9" s="48"/>
      <c r="H9" s="53"/>
      <c r="I9" s="52"/>
      <c r="J9" s="52"/>
      <c r="L9" s="57"/>
    </row>
    <row r="10" spans="2:15" ht="14.4" x14ac:dyDescent="0.3">
      <c r="B10" s="183"/>
      <c r="C10" s="49"/>
      <c r="D10" s="53"/>
      <c r="E10" s="51"/>
      <c r="F10" s="48"/>
      <c r="G10" s="48"/>
      <c r="H10" s="53"/>
      <c r="I10" s="52"/>
      <c r="J10" s="52"/>
      <c r="L10" s="57"/>
    </row>
    <row r="11" spans="2:15" ht="14.4" customHeight="1" x14ac:dyDescent="0.3">
      <c r="B11" s="306" t="s">
        <v>317</v>
      </c>
      <c r="C11" s="195"/>
      <c r="D11" s="515" t="s">
        <v>315</v>
      </c>
      <c r="E11" s="515"/>
      <c r="F11" s="515"/>
      <c r="G11" s="515"/>
      <c r="H11" s="515"/>
      <c r="I11" s="515"/>
      <c r="J11" s="507" t="s">
        <v>45</v>
      </c>
      <c r="K11" s="507"/>
      <c r="L11" s="507"/>
      <c r="M11" s="509" t="s">
        <v>48</v>
      </c>
      <c r="N11" s="509"/>
      <c r="O11" s="510"/>
    </row>
    <row r="12" spans="2:15" ht="14.4" customHeight="1" x14ac:dyDescent="0.3">
      <c r="B12" s="513" t="s">
        <v>0</v>
      </c>
      <c r="C12" s="514" t="s">
        <v>6</v>
      </c>
      <c r="D12" s="516"/>
      <c r="E12" s="516"/>
      <c r="F12" s="516"/>
      <c r="G12" s="516"/>
      <c r="H12" s="516"/>
      <c r="I12" s="516"/>
      <c r="J12" s="508"/>
      <c r="K12" s="508"/>
      <c r="L12" s="508"/>
      <c r="M12" s="511"/>
      <c r="N12" s="511"/>
      <c r="O12" s="512"/>
    </row>
    <row r="13" spans="2:15" ht="27.6" x14ac:dyDescent="0.3">
      <c r="B13" s="513"/>
      <c r="C13" s="514"/>
      <c r="D13" s="184" t="s">
        <v>99</v>
      </c>
      <c r="E13" s="185" t="s">
        <v>310</v>
      </c>
      <c r="F13" s="186" t="s">
        <v>306</v>
      </c>
      <c r="G13" s="186" t="s">
        <v>318</v>
      </c>
      <c r="H13" s="187" t="s">
        <v>80</v>
      </c>
      <c r="I13" s="185" t="s">
        <v>308</v>
      </c>
      <c r="J13" s="188" t="s">
        <v>309</v>
      </c>
      <c r="K13" s="186" t="s">
        <v>106</v>
      </c>
      <c r="L13" s="189" t="s">
        <v>311</v>
      </c>
      <c r="M13" s="190" t="s">
        <v>312</v>
      </c>
      <c r="N13" s="189" t="s">
        <v>313</v>
      </c>
      <c r="O13" s="196" t="s">
        <v>314</v>
      </c>
    </row>
    <row r="14" spans="2:15" x14ac:dyDescent="0.3">
      <c r="B14" s="19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198"/>
    </row>
    <row r="15" spans="2:15" x14ac:dyDescent="0.3">
      <c r="B15" s="259" t="s">
        <v>323</v>
      </c>
      <c r="C15" s="49" t="s">
        <v>316</v>
      </c>
      <c r="D15" s="193">
        <v>299.83999999999997</v>
      </c>
      <c r="E15" s="251">
        <v>276000</v>
      </c>
      <c r="F15" s="251">
        <f>D15/units*E15</f>
        <v>827558.39999999991</v>
      </c>
      <c r="G15" s="253">
        <v>489.2</v>
      </c>
      <c r="H15" s="253">
        <v>2670</v>
      </c>
      <c r="I15" s="254">
        <f>F15+G15+H15</f>
        <v>830717.59999999986</v>
      </c>
      <c r="J15" s="253">
        <v>530000</v>
      </c>
      <c r="K15" s="253">
        <v>191000</v>
      </c>
      <c r="L15" s="254">
        <v>111000</v>
      </c>
      <c r="M15" s="52">
        <f>I15/J15</f>
        <v>1.5673916981132072</v>
      </c>
      <c r="N15" s="52">
        <f>I15/K15</f>
        <v>4.3493068062827218</v>
      </c>
      <c r="O15" s="199">
        <f>D15/(L15/E15*units)</f>
        <v>7.4554810810810803</v>
      </c>
    </row>
    <row r="16" spans="2:15" x14ac:dyDescent="0.3">
      <c r="B16" s="259" t="s">
        <v>322</v>
      </c>
      <c r="C16" s="49" t="s">
        <v>319</v>
      </c>
      <c r="D16" s="193">
        <v>120.62</v>
      </c>
      <c r="E16" s="252">
        <v>106000</v>
      </c>
      <c r="F16" s="251">
        <f>D16/units*E16</f>
        <v>127857.2</v>
      </c>
      <c r="G16" s="252">
        <v>3080</v>
      </c>
      <c r="H16" s="252">
        <v>461</v>
      </c>
      <c r="I16" s="254">
        <f t="shared" ref="I16:I19" si="0">F16+G16+H16</f>
        <v>131398.20000000001</v>
      </c>
      <c r="J16" s="252">
        <v>467000</v>
      </c>
      <c r="K16" s="252">
        <v>108000</v>
      </c>
      <c r="L16" s="252">
        <v>80100</v>
      </c>
      <c r="M16" s="52">
        <f t="shared" ref="M16:M19" si="1">I16/J16</f>
        <v>0.28136659528907926</v>
      </c>
      <c r="N16" s="52">
        <f t="shared" ref="N16:N19" si="2">I16/K16</f>
        <v>1.21665</v>
      </c>
      <c r="O16" s="199">
        <f>D16/(L16/E16*units)</f>
        <v>1.596219725343321</v>
      </c>
    </row>
    <row r="17" spans="2:15" x14ac:dyDescent="0.3">
      <c r="B17" s="259" t="s">
        <v>321</v>
      </c>
      <c r="C17" s="49" t="s">
        <v>320</v>
      </c>
      <c r="D17" s="193">
        <v>272.43</v>
      </c>
      <c r="E17" s="252">
        <v>171500</v>
      </c>
      <c r="F17" s="251">
        <f>D17/units*E17</f>
        <v>467217.45</v>
      </c>
      <c r="G17" s="252">
        <v>594</v>
      </c>
      <c r="H17" s="252">
        <v>2770</v>
      </c>
      <c r="I17" s="254">
        <f t="shared" si="0"/>
        <v>470581.45</v>
      </c>
      <c r="J17" s="252">
        <v>568000</v>
      </c>
      <c r="K17" s="252">
        <v>129000</v>
      </c>
      <c r="L17" s="252">
        <v>96200</v>
      </c>
      <c r="M17" s="52">
        <f t="shared" si="1"/>
        <v>0.82848846830985923</v>
      </c>
      <c r="N17" s="52">
        <f t="shared" si="2"/>
        <v>3.6479182170542637</v>
      </c>
      <c r="O17" s="199">
        <f>D17/(L17/E17*units)</f>
        <v>4.8567302494802496</v>
      </c>
    </row>
    <row r="18" spans="2:15" x14ac:dyDescent="0.3">
      <c r="B18" s="259" t="s">
        <v>324</v>
      </c>
      <c r="C18" s="49" t="s">
        <v>325</v>
      </c>
      <c r="D18" s="193">
        <v>260.99</v>
      </c>
      <c r="E18" s="252">
        <v>21100</v>
      </c>
      <c r="F18" s="251">
        <f>D18/units*E18</f>
        <v>55068.89</v>
      </c>
      <c r="G18" s="252">
        <v>239</v>
      </c>
      <c r="H18" s="252">
        <v>2730</v>
      </c>
      <c r="I18" s="254">
        <f t="shared" si="0"/>
        <v>58037.89</v>
      </c>
      <c r="J18" s="252">
        <v>721000</v>
      </c>
      <c r="K18" s="252">
        <v>191000</v>
      </c>
      <c r="L18" s="252">
        <v>112000</v>
      </c>
      <c r="M18" s="52">
        <f t="shared" si="1"/>
        <v>8.0496380027739248E-2</v>
      </c>
      <c r="N18" s="52">
        <f t="shared" si="2"/>
        <v>0.30386329842931936</v>
      </c>
      <c r="O18" s="199">
        <f>D18/(L18/E18*units)</f>
        <v>0.4916865178571429</v>
      </c>
    </row>
    <row r="19" spans="2:15" x14ac:dyDescent="0.3">
      <c r="B19" s="260" t="s">
        <v>326</v>
      </c>
      <c r="C19" s="201" t="s">
        <v>327</v>
      </c>
      <c r="D19" s="266">
        <v>374.3</v>
      </c>
      <c r="E19" s="267">
        <v>879200</v>
      </c>
      <c r="F19" s="268">
        <f>D19/units*E19</f>
        <v>3290845.6</v>
      </c>
      <c r="G19" s="267">
        <v>967.65</v>
      </c>
      <c r="H19" s="267">
        <v>860.91</v>
      </c>
      <c r="I19" s="269">
        <f t="shared" si="0"/>
        <v>3292674.16</v>
      </c>
      <c r="J19" s="267">
        <v>258000</v>
      </c>
      <c r="K19" s="267">
        <v>87404</v>
      </c>
      <c r="L19" s="267">
        <v>59278</v>
      </c>
      <c r="M19" s="270">
        <f t="shared" si="1"/>
        <v>12.762302945736435</v>
      </c>
      <c r="N19" s="270">
        <f t="shared" si="2"/>
        <v>37.671893277195551</v>
      </c>
      <c r="O19" s="209">
        <f>D19/(L19/E19*units)</f>
        <v>55.515462734910088</v>
      </c>
    </row>
    <row r="20" spans="2:15" x14ac:dyDescent="0.3">
      <c r="B20" s="48"/>
      <c r="C20" s="49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</row>
    <row r="21" spans="2:15" x14ac:dyDescent="0.3">
      <c r="B21" s="261" t="s">
        <v>328</v>
      </c>
      <c r="C21" s="221"/>
      <c r="D21" s="222"/>
      <c r="E21" s="222"/>
      <c r="F21" s="222"/>
      <c r="G21" s="222"/>
      <c r="H21" s="222"/>
      <c r="I21" s="222"/>
      <c r="J21" s="222"/>
      <c r="K21" s="222"/>
      <c r="L21" s="222"/>
      <c r="M21" s="223">
        <f>MAX(M15:M19)</f>
        <v>12.762302945736435</v>
      </c>
      <c r="N21" s="223">
        <f t="shared" ref="N21:O21" si="3">MAX(N15:N19)</f>
        <v>37.671893277195551</v>
      </c>
      <c r="O21" s="224">
        <f t="shared" si="3"/>
        <v>55.515462734910088</v>
      </c>
    </row>
    <row r="22" spans="2:15" ht="14.4" x14ac:dyDescent="0.3">
      <c r="B22" s="262" t="s">
        <v>329</v>
      </c>
      <c r="C22" s="216"/>
      <c r="D22" s="225"/>
      <c r="E22" s="226"/>
      <c r="F22" s="227"/>
      <c r="G22" s="227"/>
      <c r="H22" s="225"/>
      <c r="I22" s="220"/>
      <c r="J22" s="220"/>
      <c r="K22" s="228"/>
      <c r="L22" s="229"/>
      <c r="M22" s="230">
        <f>QUARTILE(M15:M19,3)</f>
        <v>1.5673916981132072</v>
      </c>
      <c r="N22" s="230">
        <f t="shared" ref="N22:O22" si="4">QUARTILE(N15:N19,3)</f>
        <v>4.3493068062827218</v>
      </c>
      <c r="O22" s="231">
        <f t="shared" si="4"/>
        <v>7.4554810810810803</v>
      </c>
    </row>
    <row r="23" spans="2:15" ht="14.4" x14ac:dyDescent="0.3">
      <c r="B23" s="263" t="s">
        <v>330</v>
      </c>
      <c r="C23" s="232"/>
      <c r="D23" s="233"/>
      <c r="E23" s="234"/>
      <c r="F23" s="235"/>
      <c r="G23" s="235"/>
      <c r="H23" s="233"/>
      <c r="I23" s="236"/>
      <c r="J23" s="236"/>
      <c r="K23" s="237"/>
      <c r="L23" s="238"/>
      <c r="M23" s="239">
        <f>MEDIAN(M15:M19)</f>
        <v>0.82848846830985923</v>
      </c>
      <c r="N23" s="239">
        <f t="shared" ref="N23:O23" si="5">MEDIAN(N15:N19)</f>
        <v>3.6479182170542637</v>
      </c>
      <c r="O23" s="240">
        <f t="shared" si="5"/>
        <v>4.8567302494802496</v>
      </c>
    </row>
    <row r="24" spans="2:15" ht="14.4" x14ac:dyDescent="0.3">
      <c r="B24" s="262" t="s">
        <v>331</v>
      </c>
      <c r="C24" s="216"/>
      <c r="D24" s="225"/>
      <c r="E24" s="226"/>
      <c r="F24" s="227"/>
      <c r="G24" s="227"/>
      <c r="H24" s="225"/>
      <c r="I24" s="220"/>
      <c r="J24" s="220"/>
      <c r="K24" s="228"/>
      <c r="L24" s="229"/>
      <c r="M24" s="230">
        <f>QUARTILE(M15:M19,1)</f>
        <v>0.28136659528907926</v>
      </c>
      <c r="N24" s="230">
        <f t="shared" ref="N24:O24" si="6">QUARTILE(N15:N19,1)</f>
        <v>1.21665</v>
      </c>
      <c r="O24" s="231">
        <f t="shared" si="6"/>
        <v>1.596219725343321</v>
      </c>
    </row>
    <row r="25" spans="2:15" ht="14.4" x14ac:dyDescent="0.3">
      <c r="B25" s="264" t="s">
        <v>332</v>
      </c>
      <c r="C25" s="241"/>
      <c r="D25" s="242"/>
      <c r="E25" s="243"/>
      <c r="F25" s="244"/>
      <c r="G25" s="244"/>
      <c r="H25" s="242"/>
      <c r="I25" s="245"/>
      <c r="J25" s="245"/>
      <c r="K25" s="246"/>
      <c r="L25" s="247"/>
      <c r="M25" s="248">
        <f t="array" ref="M25">MIN(M15:M19)</f>
        <v>8.0496380027739248E-2</v>
      </c>
      <c r="N25" s="248">
        <f t="array" ref="N25">MIN(N15:N19)</f>
        <v>0.30386329842931936</v>
      </c>
      <c r="O25" s="249">
        <f t="array" ref="O25">MIN(O15:O19)</f>
        <v>0.4916865178571429</v>
      </c>
    </row>
    <row r="26" spans="2:15" ht="14.4" x14ac:dyDescent="0.3">
      <c r="B26" s="48"/>
      <c r="C26" s="49"/>
      <c r="D26" s="53"/>
      <c r="E26" s="51"/>
      <c r="F26" s="48"/>
      <c r="G26" s="48"/>
      <c r="H26" s="53"/>
      <c r="I26" s="52"/>
      <c r="J26" s="52"/>
      <c r="L26" s="57"/>
    </row>
    <row r="27" spans="2:15" ht="15.6" x14ac:dyDescent="0.3">
      <c r="B27" s="306" t="s">
        <v>333</v>
      </c>
      <c r="C27" s="195"/>
      <c r="D27" s="515" t="s">
        <v>315</v>
      </c>
      <c r="E27" s="515"/>
      <c r="F27" s="515"/>
      <c r="G27" s="515"/>
      <c r="H27" s="515"/>
      <c r="I27" s="515"/>
      <c r="J27" s="507" t="s">
        <v>45</v>
      </c>
      <c r="K27" s="507"/>
      <c r="L27" s="507"/>
      <c r="M27" s="509" t="s">
        <v>48</v>
      </c>
      <c r="N27" s="509"/>
      <c r="O27" s="510"/>
    </row>
    <row r="28" spans="2:15" x14ac:dyDescent="0.3">
      <c r="B28" s="513" t="s">
        <v>0</v>
      </c>
      <c r="C28" s="514" t="s">
        <v>6</v>
      </c>
      <c r="D28" s="516"/>
      <c r="E28" s="516"/>
      <c r="F28" s="516"/>
      <c r="G28" s="516"/>
      <c r="H28" s="516"/>
      <c r="I28" s="516"/>
      <c r="J28" s="508"/>
      <c r="K28" s="508"/>
      <c r="L28" s="508"/>
      <c r="M28" s="511"/>
      <c r="N28" s="511"/>
      <c r="O28" s="512"/>
    </row>
    <row r="29" spans="2:15" ht="27.6" x14ac:dyDescent="0.3">
      <c r="B29" s="513"/>
      <c r="C29" s="514"/>
      <c r="D29" s="184" t="s">
        <v>99</v>
      </c>
      <c r="E29" s="185" t="s">
        <v>310</v>
      </c>
      <c r="F29" s="186" t="s">
        <v>306</v>
      </c>
      <c r="G29" s="186" t="s">
        <v>318</v>
      </c>
      <c r="H29" s="187" t="s">
        <v>80</v>
      </c>
      <c r="I29" s="185" t="s">
        <v>308</v>
      </c>
      <c r="J29" s="188" t="s">
        <v>309</v>
      </c>
      <c r="K29" s="186" t="s">
        <v>106</v>
      </c>
      <c r="L29" s="189" t="s">
        <v>311</v>
      </c>
      <c r="M29" s="190" t="s">
        <v>312</v>
      </c>
      <c r="N29" s="189" t="s">
        <v>313</v>
      </c>
      <c r="O29" s="196" t="s">
        <v>314</v>
      </c>
    </row>
    <row r="30" spans="2:15" x14ac:dyDescent="0.3">
      <c r="B30" s="19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210"/>
    </row>
    <row r="31" spans="2:15" x14ac:dyDescent="0.3">
      <c r="B31" s="259" t="s">
        <v>334</v>
      </c>
      <c r="C31" s="49"/>
      <c r="D31" s="285">
        <f>FCFF!E47</f>
        <v>487.7</v>
      </c>
      <c r="E31" s="352">
        <v>165700</v>
      </c>
      <c r="F31" s="251">
        <f>D31/units*E31</f>
        <v>808118.89999999991</v>
      </c>
      <c r="G31" s="253">
        <f>Statements!I62</f>
        <v>3896532</v>
      </c>
      <c r="H31" s="253">
        <f>Statements!I89</f>
        <v>15601</v>
      </c>
      <c r="I31" s="254">
        <f t="shared" ref="I31" si="7">F31+G31+H31</f>
        <v>4720251.9000000004</v>
      </c>
      <c r="J31" s="253">
        <f>Statements!I27</f>
        <v>6127436</v>
      </c>
      <c r="K31" s="253">
        <f>Ratio_Analysis!G15</f>
        <v>2343092</v>
      </c>
      <c r="L31" s="254">
        <f>Statements!I48</f>
        <v>2235810</v>
      </c>
      <c r="O31" s="211"/>
    </row>
    <row r="32" spans="2:15" x14ac:dyDescent="0.3">
      <c r="B32" s="259"/>
      <c r="C32" s="49"/>
      <c r="D32" s="193"/>
      <c r="E32" s="208"/>
      <c r="F32" s="194"/>
      <c r="G32" s="206"/>
      <c r="H32" s="206"/>
      <c r="I32" s="207"/>
      <c r="J32" s="206"/>
      <c r="K32" s="206"/>
      <c r="L32" s="207"/>
      <c r="O32" s="211"/>
    </row>
    <row r="33" spans="2:15" x14ac:dyDescent="0.3">
      <c r="B33" s="262" t="s">
        <v>335</v>
      </c>
      <c r="C33" s="216"/>
      <c r="D33" s="217"/>
      <c r="E33" s="218"/>
      <c r="F33" s="218"/>
      <c r="G33" s="218"/>
      <c r="H33" s="218"/>
      <c r="I33" s="219"/>
      <c r="J33" s="218"/>
      <c r="K33" s="218"/>
      <c r="L33" s="218"/>
      <c r="M33" s="255">
        <f>M23*J31</f>
        <v>5076510.0663066907</v>
      </c>
      <c r="N33" s="255">
        <f>N23*K31</f>
        <v>8547407.9910341091</v>
      </c>
      <c r="O33" s="256">
        <f>O34+O36+O35</f>
        <v>14770859.059090437</v>
      </c>
    </row>
    <row r="34" spans="2:15" x14ac:dyDescent="0.3">
      <c r="B34" s="262" t="s">
        <v>307</v>
      </c>
      <c r="C34" s="216"/>
      <c r="D34" s="217"/>
      <c r="E34" s="218"/>
      <c r="F34" s="218"/>
      <c r="G34" s="218"/>
      <c r="H34" s="218"/>
      <c r="I34" s="219"/>
      <c r="J34" s="218"/>
      <c r="K34" s="218"/>
      <c r="L34" s="218"/>
      <c r="M34" s="255">
        <f>$G$31</f>
        <v>3896532</v>
      </c>
      <c r="N34" s="255">
        <f t="shared" ref="N34:O34" si="8">$G$31</f>
        <v>3896532</v>
      </c>
      <c r="O34" s="256">
        <f t="shared" si="8"/>
        <v>3896532</v>
      </c>
    </row>
    <row r="35" spans="2:15" x14ac:dyDescent="0.3">
      <c r="B35" s="262" t="s">
        <v>336</v>
      </c>
      <c r="C35" s="216"/>
      <c r="D35" s="217"/>
      <c r="E35" s="218"/>
      <c r="F35" s="218"/>
      <c r="G35" s="218"/>
      <c r="H35" s="218"/>
      <c r="I35" s="219"/>
      <c r="J35" s="218"/>
      <c r="K35" s="218"/>
      <c r="L35" s="218"/>
      <c r="M35" s="255">
        <f>$H$31</f>
        <v>15601</v>
      </c>
      <c r="N35" s="255">
        <f t="shared" ref="N35:O35" si="9">$H$31</f>
        <v>15601</v>
      </c>
      <c r="O35" s="256">
        <f t="shared" si="9"/>
        <v>15601</v>
      </c>
    </row>
    <row r="36" spans="2:15" x14ac:dyDescent="0.3">
      <c r="B36" s="262" t="s">
        <v>337</v>
      </c>
      <c r="C36" s="216"/>
      <c r="D36" s="217"/>
      <c r="E36" s="218"/>
      <c r="F36" s="218"/>
      <c r="G36" s="218"/>
      <c r="H36" s="218"/>
      <c r="I36" s="219"/>
      <c r="J36" s="218"/>
      <c r="K36" s="218"/>
      <c r="L36" s="218"/>
      <c r="M36" s="255">
        <f>M33+M34+M35</f>
        <v>8988643.0663066916</v>
      </c>
      <c r="N36" s="255">
        <f>N33+N34+N35</f>
        <v>12459540.991034109</v>
      </c>
      <c r="O36" s="256">
        <f>O23*L31</f>
        <v>10858726.059090437</v>
      </c>
    </row>
    <row r="37" spans="2:15" x14ac:dyDescent="0.3">
      <c r="B37" s="262" t="s">
        <v>310</v>
      </c>
      <c r="C37" s="216"/>
      <c r="D37" s="217"/>
      <c r="E37" s="218"/>
      <c r="F37" s="218"/>
      <c r="G37" s="218"/>
      <c r="H37" s="218"/>
      <c r="I37" s="219"/>
      <c r="J37" s="218"/>
      <c r="K37" s="218"/>
      <c r="L37" s="218"/>
      <c r="M37" s="257">
        <f>$E$31</f>
        <v>165700</v>
      </c>
      <c r="N37" s="257">
        <f t="shared" ref="N37:O37" si="10">$E$31</f>
        <v>165700</v>
      </c>
      <c r="O37" s="258">
        <f t="shared" si="10"/>
        <v>165700</v>
      </c>
    </row>
    <row r="38" spans="2:15" x14ac:dyDescent="0.3">
      <c r="B38" s="265" t="s">
        <v>338</v>
      </c>
      <c r="C38" s="204"/>
      <c r="D38" s="212"/>
      <c r="E38" s="213"/>
      <c r="F38" s="213"/>
      <c r="G38" s="213"/>
      <c r="H38" s="213"/>
      <c r="I38" s="214"/>
      <c r="J38" s="213"/>
      <c r="K38" s="213"/>
      <c r="L38" s="213"/>
      <c r="M38" s="215">
        <f>M36/M37*10000</f>
        <v>542464.88028404897</v>
      </c>
      <c r="N38" s="215">
        <f t="shared" ref="N38:O38" si="11">N36/N37*10000</f>
        <v>751933.67477574584</v>
      </c>
      <c r="O38" s="215">
        <f t="shared" si="11"/>
        <v>655324.4453283305</v>
      </c>
    </row>
    <row r="39" spans="2:15" x14ac:dyDescent="0.3">
      <c r="B39" s="200"/>
      <c r="C39" s="201"/>
      <c r="D39" s="202"/>
      <c r="E39" s="203"/>
      <c r="F39" s="203"/>
      <c r="G39" s="203"/>
      <c r="H39" s="203"/>
      <c r="I39" s="203"/>
      <c r="J39" s="203"/>
      <c r="K39" s="203"/>
      <c r="L39" s="203"/>
      <c r="M39" s="250" t="str">
        <f>IF($D$31&gt;M$38,"Over valued","Under Valued")</f>
        <v>Under Valued</v>
      </c>
      <c r="N39" s="250" t="str">
        <f>IF($D$31&gt;N$38,"Over valued","Under Valued")</f>
        <v>Under Valued</v>
      </c>
      <c r="O39" s="250" t="str">
        <f>IF($D$31&gt;O$38,"Over valued","Under Valued")</f>
        <v>Under Valued</v>
      </c>
    </row>
    <row r="40" spans="2:15" ht="14.4" x14ac:dyDescent="0.3">
      <c r="B40" s="48"/>
      <c r="C40" s="49"/>
      <c r="D40" s="53"/>
      <c r="E40" s="51"/>
      <c r="F40" s="48"/>
      <c r="G40" s="48"/>
      <c r="H40" s="53"/>
      <c r="I40" s="52"/>
      <c r="J40" s="52"/>
      <c r="L40" s="57"/>
    </row>
    <row r="41" spans="2:15" ht="14.4" x14ac:dyDescent="0.3">
      <c r="B41" s="48"/>
      <c r="C41" s="49"/>
      <c r="D41" s="53"/>
      <c r="E41" s="51"/>
      <c r="F41" s="48"/>
      <c r="G41" s="48"/>
      <c r="H41" s="53"/>
      <c r="I41" s="52"/>
      <c r="J41" s="39"/>
      <c r="K41" s="104" t="s">
        <v>357</v>
      </c>
      <c r="L41" s="37" t="s">
        <v>359</v>
      </c>
      <c r="M41" s="104" t="s">
        <v>330</v>
      </c>
      <c r="N41" s="37" t="s">
        <v>360</v>
      </c>
      <c r="O41" s="104" t="s">
        <v>358</v>
      </c>
    </row>
    <row r="42" spans="2:15" ht="14.4" x14ac:dyDescent="0.3">
      <c r="B42" s="48"/>
      <c r="C42" s="49"/>
      <c r="D42" s="53"/>
      <c r="E42" s="51"/>
      <c r="F42" s="48"/>
      <c r="G42" s="48"/>
      <c r="H42" s="53"/>
      <c r="I42" s="52"/>
      <c r="J42" s="39" t="s">
        <v>534</v>
      </c>
      <c r="K42" s="39"/>
      <c r="L42" s="39"/>
      <c r="M42" s="39"/>
      <c r="N42" s="39"/>
      <c r="O42" s="39"/>
    </row>
    <row r="43" spans="2:15" ht="14.4" x14ac:dyDescent="0.3">
      <c r="B43" s="48"/>
      <c r="C43" s="49"/>
      <c r="D43" s="53"/>
      <c r="E43" s="51"/>
      <c r="F43" s="48"/>
      <c r="G43" s="48"/>
      <c r="H43" s="53"/>
      <c r="I43" s="52"/>
      <c r="J43" s="102" t="s">
        <v>312</v>
      </c>
      <c r="K43" s="461">
        <v>265864.17723908572</v>
      </c>
      <c r="L43" s="461">
        <v>340144.16446419642</v>
      </c>
      <c r="M43" s="461">
        <v>542464.88028404897</v>
      </c>
      <c r="N43" s="461">
        <v>815704.60574049479</v>
      </c>
      <c r="O43" s="461">
        <v>4955481.4431268247</v>
      </c>
    </row>
    <row r="44" spans="2:15" ht="14.4" x14ac:dyDescent="0.3">
      <c r="B44" s="48"/>
      <c r="C44" s="49"/>
      <c r="D44" s="53"/>
      <c r="E44" s="51"/>
      <c r="F44" s="48"/>
      <c r="G44" s="48"/>
      <c r="H44" s="53"/>
      <c r="I44" s="52"/>
      <c r="J44" s="102" t="s">
        <v>313</v>
      </c>
      <c r="K44" s="461">
        <v>279065.33878354559</v>
      </c>
      <c r="L44" s="461">
        <v>408138.55653590825</v>
      </c>
      <c r="M44" s="461">
        <v>751933.67477574584</v>
      </c>
      <c r="N44" s="461">
        <v>851114.00020196708</v>
      </c>
      <c r="O44" s="461">
        <v>5563116.7629843503</v>
      </c>
    </row>
    <row r="45" spans="2:15" ht="14.4" x14ac:dyDescent="0.3">
      <c r="B45" s="48"/>
      <c r="C45" s="49"/>
      <c r="D45" s="53"/>
      <c r="E45" s="51"/>
      <c r="F45" s="48"/>
      <c r="G45" s="48"/>
      <c r="H45" s="53"/>
      <c r="I45" s="52"/>
      <c r="J45" s="102" t="s">
        <v>314</v>
      </c>
      <c r="K45" s="461">
        <v>66343.852353058464</v>
      </c>
      <c r="L45" s="461">
        <v>215379.84454555527</v>
      </c>
      <c r="M45" s="461">
        <v>655324.4453283305</v>
      </c>
      <c r="N45" s="461">
        <v>1005977.0160465835</v>
      </c>
      <c r="O45" s="461">
        <v>7490768.058982458</v>
      </c>
    </row>
    <row r="46" spans="2:15" ht="14.4" x14ac:dyDescent="0.3">
      <c r="B46" s="48"/>
      <c r="C46" s="49"/>
      <c r="D46" s="53"/>
      <c r="E46" s="51"/>
      <c r="F46" s="48"/>
      <c r="G46" s="48"/>
      <c r="H46" s="53"/>
      <c r="I46" s="52"/>
      <c r="J46" s="52"/>
      <c r="L46" s="57"/>
    </row>
    <row r="47" spans="2:15" ht="14.4" x14ac:dyDescent="0.3">
      <c r="B47" s="48"/>
      <c r="C47" s="49"/>
      <c r="D47" s="53"/>
      <c r="E47" s="51"/>
      <c r="F47" s="48"/>
      <c r="G47" s="48"/>
      <c r="H47" s="53"/>
      <c r="I47" s="52"/>
      <c r="J47" s="52"/>
      <c r="L47" s="57"/>
    </row>
    <row r="48" spans="2:15" ht="14.4" x14ac:dyDescent="0.3">
      <c r="B48" s="48"/>
      <c r="C48" s="49"/>
      <c r="D48" s="53"/>
      <c r="E48" s="51"/>
      <c r="F48" s="48"/>
      <c r="G48" s="48"/>
      <c r="H48" s="53"/>
      <c r="I48" s="52"/>
      <c r="J48" s="52"/>
      <c r="L48" s="57"/>
    </row>
    <row r="49" spans="2:12" ht="14.4" x14ac:dyDescent="0.3">
      <c r="B49" s="48"/>
      <c r="C49" s="49"/>
      <c r="D49" s="53"/>
      <c r="E49" s="51"/>
      <c r="F49" s="48"/>
      <c r="G49" s="48"/>
      <c r="H49" s="53"/>
      <c r="I49" s="52"/>
      <c r="J49" s="52"/>
      <c r="L49" s="57"/>
    </row>
    <row r="50" spans="2:12" ht="14.4" x14ac:dyDescent="0.3">
      <c r="B50" s="48"/>
      <c r="C50" s="49"/>
      <c r="D50" s="53"/>
      <c r="E50" s="51"/>
      <c r="F50" s="48"/>
      <c r="G50" s="48"/>
      <c r="H50" s="53"/>
      <c r="I50" s="52"/>
      <c r="J50" s="52"/>
      <c r="L50" s="57"/>
    </row>
    <row r="51" spans="2:12" ht="14.4" x14ac:dyDescent="0.3">
      <c r="B51" s="48"/>
      <c r="C51" s="49"/>
      <c r="D51" s="53"/>
      <c r="E51" s="51"/>
      <c r="F51" s="48"/>
      <c r="G51" s="48"/>
      <c r="H51" s="53"/>
      <c r="I51" s="52"/>
      <c r="J51" s="52"/>
      <c r="L51" s="57"/>
    </row>
    <row r="52" spans="2:12" ht="14.4" x14ac:dyDescent="0.3">
      <c r="B52" s="48"/>
      <c r="C52" s="49"/>
      <c r="D52" s="53"/>
      <c r="E52" s="51"/>
      <c r="F52" s="48"/>
      <c r="G52" s="48"/>
      <c r="H52" s="53"/>
      <c r="I52" s="52"/>
      <c r="J52" s="52"/>
      <c r="L52" s="57"/>
    </row>
    <row r="53" spans="2:12" ht="14.4" x14ac:dyDescent="0.3">
      <c r="B53" s="48"/>
      <c r="C53" s="49"/>
      <c r="D53" s="53"/>
      <c r="E53" s="51"/>
      <c r="F53" s="48"/>
      <c r="G53" s="48"/>
      <c r="H53" s="53"/>
      <c r="I53" s="52"/>
      <c r="J53" s="52"/>
      <c r="L53" s="57"/>
    </row>
    <row r="54" spans="2:12" ht="14.4" x14ac:dyDescent="0.3">
      <c r="B54" s="48"/>
      <c r="C54" s="49"/>
      <c r="D54" s="53"/>
      <c r="E54" s="51"/>
      <c r="F54" s="48"/>
      <c r="G54" s="48"/>
      <c r="H54" s="53"/>
      <c r="I54" s="52"/>
      <c r="J54" s="52"/>
      <c r="L54" s="57"/>
    </row>
    <row r="55" spans="2:12" ht="14.4" x14ac:dyDescent="0.3">
      <c r="B55" s="48"/>
      <c r="C55" s="49"/>
      <c r="D55" s="53"/>
      <c r="E55" s="51"/>
      <c r="F55" s="48"/>
      <c r="G55" s="48"/>
      <c r="H55" s="53"/>
      <c r="I55" s="52"/>
      <c r="J55" s="52"/>
      <c r="L55" s="57"/>
    </row>
    <row r="56" spans="2:12" ht="14.4" x14ac:dyDescent="0.3">
      <c r="B56" s="48"/>
      <c r="C56" s="49"/>
      <c r="D56" s="53"/>
      <c r="E56" s="51"/>
      <c r="F56" s="48"/>
      <c r="G56" s="48"/>
      <c r="H56" s="53"/>
      <c r="I56" s="52"/>
      <c r="J56" s="52"/>
      <c r="L56" s="57"/>
    </row>
    <row r="57" spans="2:12" ht="14.4" x14ac:dyDescent="0.3">
      <c r="B57" s="48"/>
      <c r="C57" s="49"/>
      <c r="D57" s="53"/>
      <c r="E57" s="51"/>
      <c r="F57" s="48"/>
      <c r="G57" s="48"/>
      <c r="H57" s="53"/>
      <c r="I57" s="52"/>
      <c r="J57" s="52"/>
      <c r="L57" s="57"/>
    </row>
    <row r="58" spans="2:12" ht="14.4" x14ac:dyDescent="0.3">
      <c r="B58" s="48"/>
      <c r="C58" s="49"/>
      <c r="D58" s="53"/>
      <c r="E58" s="51"/>
      <c r="F58" s="48"/>
      <c r="G58" s="48"/>
      <c r="H58" s="53"/>
      <c r="I58" s="52"/>
      <c r="J58" s="52"/>
      <c r="L58" s="57"/>
    </row>
    <row r="59" spans="2:12" ht="14.4" x14ac:dyDescent="0.3">
      <c r="B59" s="48"/>
      <c r="C59" s="49"/>
      <c r="D59" s="53"/>
      <c r="E59" s="51"/>
      <c r="F59" s="48"/>
      <c r="G59" s="48"/>
      <c r="H59" s="53"/>
      <c r="I59" s="52"/>
      <c r="J59" s="52"/>
      <c r="L59" s="57"/>
    </row>
    <row r="60" spans="2:12" ht="14.4" x14ac:dyDescent="0.3">
      <c r="B60" s="48"/>
      <c r="C60" s="49"/>
      <c r="D60" s="53"/>
      <c r="E60" s="51"/>
      <c r="F60" s="48"/>
      <c r="G60" s="48"/>
      <c r="H60" s="53"/>
      <c r="I60" s="52"/>
      <c r="J60" s="52"/>
      <c r="L60" s="57"/>
    </row>
    <row r="61" spans="2:12" ht="14.4" x14ac:dyDescent="0.3">
      <c r="B61" s="48"/>
      <c r="C61" s="49"/>
      <c r="D61" s="53"/>
      <c r="E61" s="51"/>
      <c r="F61" s="48"/>
      <c r="G61" s="48"/>
      <c r="H61" s="53"/>
      <c r="I61" s="52"/>
      <c r="J61" s="52"/>
      <c r="L61" s="57"/>
    </row>
    <row r="62" spans="2:12" ht="14.4" x14ac:dyDescent="0.3">
      <c r="B62" s="48"/>
      <c r="C62" s="49"/>
      <c r="D62" s="53"/>
      <c r="E62" s="51"/>
      <c r="F62" s="48"/>
      <c r="G62" s="48"/>
      <c r="H62" s="53"/>
      <c r="I62" s="52"/>
      <c r="J62" s="52"/>
      <c r="L62" s="57"/>
    </row>
    <row r="63" spans="2:12" ht="14.4" x14ac:dyDescent="0.3">
      <c r="B63" s="48"/>
      <c r="C63" s="49"/>
      <c r="D63" s="53"/>
      <c r="E63" s="51"/>
      <c r="F63" s="48"/>
      <c r="G63" s="48"/>
      <c r="H63" s="53"/>
      <c r="I63" s="52"/>
      <c r="J63" s="52"/>
      <c r="L63" s="57"/>
    </row>
    <row r="64" spans="2:12" ht="14.4" x14ac:dyDescent="0.3">
      <c r="B64" s="48"/>
      <c r="C64" s="49"/>
      <c r="D64" s="53"/>
      <c r="E64" s="51"/>
      <c r="F64" s="48"/>
      <c r="G64" s="48"/>
      <c r="H64" s="53"/>
      <c r="I64" s="52"/>
      <c r="J64" s="52"/>
      <c r="L64" s="57"/>
    </row>
    <row r="65" spans="2:12" ht="14.4" x14ac:dyDescent="0.3">
      <c r="B65" s="48"/>
      <c r="C65" s="49"/>
      <c r="D65" s="53"/>
      <c r="E65" s="51"/>
      <c r="F65" s="48"/>
      <c r="G65" s="48"/>
      <c r="H65" s="53"/>
      <c r="I65" s="52"/>
      <c r="J65" s="52"/>
      <c r="L65" s="57"/>
    </row>
    <row r="66" spans="2:12" ht="14.4" x14ac:dyDescent="0.3">
      <c r="B66" s="48"/>
      <c r="C66" s="49"/>
      <c r="D66" s="53"/>
      <c r="E66" s="51"/>
      <c r="F66" s="48"/>
      <c r="G66" s="48"/>
      <c r="H66" s="53"/>
      <c r="I66" s="52"/>
      <c r="J66" s="52"/>
      <c r="L66" s="57"/>
    </row>
    <row r="67" spans="2:12" ht="14.4" x14ac:dyDescent="0.3">
      <c r="B67" s="48"/>
      <c r="C67" s="49"/>
      <c r="D67" s="53"/>
      <c r="E67" s="51"/>
      <c r="F67" s="48"/>
      <c r="G67" s="48"/>
      <c r="H67" s="53"/>
      <c r="I67" s="52"/>
      <c r="J67" s="52"/>
      <c r="L67" s="57"/>
    </row>
    <row r="68" spans="2:12" ht="14.4" x14ac:dyDescent="0.3">
      <c r="B68" s="48"/>
      <c r="C68" s="60"/>
      <c r="D68" s="53"/>
      <c r="E68" s="61"/>
      <c r="F68" s="48"/>
      <c r="G68" s="48"/>
      <c r="H68" s="53"/>
      <c r="I68" s="52"/>
      <c r="J68" s="52"/>
      <c r="L68" s="57"/>
    </row>
    <row r="69" spans="2:12" ht="14.4" x14ac:dyDescent="0.3">
      <c r="B69" s="48"/>
      <c r="C69" s="60"/>
      <c r="D69" s="53"/>
      <c r="E69" s="61"/>
      <c r="F69" s="48"/>
      <c r="G69" s="48"/>
      <c r="H69" s="53"/>
      <c r="I69" s="52"/>
      <c r="J69" s="52"/>
      <c r="L69" s="57"/>
    </row>
    <row r="70" spans="2:12" ht="14.4" x14ac:dyDescent="0.3">
      <c r="B70" s="48"/>
      <c r="C70" s="60"/>
      <c r="D70" s="53"/>
      <c r="E70" s="61"/>
      <c r="F70" s="48"/>
      <c r="G70" s="48"/>
      <c r="H70" s="53"/>
      <c r="I70" s="52"/>
      <c r="J70" s="52"/>
      <c r="L70" s="57"/>
    </row>
    <row r="71" spans="2:12" ht="14.4" x14ac:dyDescent="0.3">
      <c r="B71" s="48"/>
      <c r="C71" s="60"/>
      <c r="D71" s="53"/>
      <c r="E71" s="61"/>
      <c r="F71" s="48"/>
      <c r="G71" s="48"/>
      <c r="H71" s="53"/>
      <c r="I71" s="52"/>
      <c r="J71" s="52"/>
      <c r="L71" s="57"/>
    </row>
    <row r="72" spans="2:12" ht="14.4" x14ac:dyDescent="0.3">
      <c r="B72" s="48"/>
      <c r="C72" s="60"/>
      <c r="D72" s="53"/>
      <c r="E72" s="61"/>
      <c r="F72" s="48"/>
      <c r="G72" s="48"/>
      <c r="H72" s="53"/>
      <c r="I72" s="52"/>
      <c r="J72" s="52"/>
      <c r="L72" s="57"/>
    </row>
    <row r="73" spans="2:12" ht="14.4" x14ac:dyDescent="0.3">
      <c r="B73" s="48"/>
      <c r="C73" s="60"/>
      <c r="D73" s="53"/>
      <c r="E73" s="61"/>
      <c r="F73" s="48"/>
      <c r="G73" s="48"/>
      <c r="H73" s="53"/>
      <c r="I73" s="52"/>
      <c r="J73" s="52"/>
      <c r="L73" s="57"/>
    </row>
    <row r="74" spans="2:12" ht="14.4" x14ac:dyDescent="0.3">
      <c r="B74" s="48"/>
      <c r="C74" s="60"/>
      <c r="D74" s="53"/>
      <c r="E74" s="61"/>
      <c r="F74" s="48"/>
      <c r="G74" s="48"/>
      <c r="H74" s="53"/>
      <c r="I74" s="52"/>
      <c r="J74" s="52"/>
      <c r="L74" s="57"/>
    </row>
    <row r="75" spans="2:12" ht="14.4" x14ac:dyDescent="0.3">
      <c r="B75" s="48"/>
      <c r="C75" s="60"/>
      <c r="D75" s="53"/>
      <c r="E75" s="61"/>
      <c r="F75" s="48"/>
      <c r="G75" s="48"/>
      <c r="H75" s="53"/>
      <c r="I75" s="52"/>
      <c r="J75" s="52"/>
      <c r="L75" s="57"/>
    </row>
    <row r="76" spans="2:12" ht="14.4" x14ac:dyDescent="0.3">
      <c r="B76" s="48"/>
      <c r="C76" s="60"/>
      <c r="D76" s="53"/>
      <c r="E76" s="61"/>
      <c r="F76" s="48"/>
      <c r="G76" s="48"/>
      <c r="H76" s="53"/>
      <c r="I76" s="52"/>
      <c r="J76" s="52"/>
      <c r="L76" s="57"/>
    </row>
    <row r="77" spans="2:12" ht="14.4" x14ac:dyDescent="0.3">
      <c r="B77" s="48"/>
      <c r="C77" s="60"/>
      <c r="D77" s="53"/>
      <c r="E77" s="61"/>
      <c r="F77" s="48"/>
      <c r="G77" s="48"/>
      <c r="H77" s="53"/>
      <c r="I77" s="52"/>
      <c r="J77" s="52"/>
      <c r="L77" s="57"/>
    </row>
    <row r="78" spans="2:12" ht="14.4" x14ac:dyDescent="0.3">
      <c r="B78" s="48"/>
      <c r="C78" s="60"/>
      <c r="D78" s="53"/>
      <c r="E78" s="61"/>
      <c r="F78" s="48"/>
      <c r="G78" s="48"/>
      <c r="H78" s="53"/>
      <c r="I78" s="52"/>
      <c r="J78" s="52"/>
      <c r="L78" s="57"/>
    </row>
    <row r="79" spans="2:12" ht="14.4" x14ac:dyDescent="0.3">
      <c r="B79" s="48"/>
      <c r="C79" s="60"/>
      <c r="D79" s="53"/>
      <c r="E79" s="61"/>
      <c r="F79" s="48"/>
      <c r="G79" s="48"/>
      <c r="H79" s="53"/>
      <c r="I79" s="52"/>
      <c r="J79" s="52"/>
      <c r="L79" s="57"/>
    </row>
    <row r="80" spans="2:12" ht="14.4" x14ac:dyDescent="0.3">
      <c r="B80" s="48"/>
      <c r="C80" s="60"/>
      <c r="D80" s="53"/>
      <c r="E80" s="61"/>
      <c r="F80" s="48"/>
      <c r="G80" s="48"/>
      <c r="H80" s="53"/>
      <c r="I80" s="52"/>
      <c r="J80" s="52"/>
      <c r="L80" s="57"/>
    </row>
    <row r="81" spans="2:12" ht="14.4" x14ac:dyDescent="0.3">
      <c r="B81" s="48"/>
      <c r="C81" s="60"/>
      <c r="D81" s="53"/>
      <c r="E81" s="61"/>
      <c r="F81" s="48"/>
      <c r="G81" s="48"/>
      <c r="H81" s="53"/>
      <c r="I81" s="52"/>
      <c r="J81" s="52"/>
      <c r="L81" s="57"/>
    </row>
    <row r="82" spans="2:12" ht="14.4" x14ac:dyDescent="0.3">
      <c r="B82" s="48"/>
      <c r="C82" s="60"/>
      <c r="D82" s="53"/>
      <c r="E82" s="61"/>
      <c r="F82" s="48"/>
      <c r="G82" s="48"/>
      <c r="H82" s="53"/>
      <c r="I82" s="52"/>
      <c r="J82" s="52"/>
      <c r="L82" s="57"/>
    </row>
    <row r="83" spans="2:12" ht="14.4" x14ac:dyDescent="0.3">
      <c r="B83" s="48"/>
      <c r="C83" s="60"/>
      <c r="D83" s="53"/>
      <c r="E83" s="61"/>
      <c r="F83" s="48"/>
      <c r="G83" s="48"/>
      <c r="H83" s="53"/>
      <c r="I83" s="52"/>
      <c r="J83" s="52"/>
      <c r="L83" s="57"/>
    </row>
    <row r="84" spans="2:12" ht="14.4" x14ac:dyDescent="0.3">
      <c r="B84" s="48"/>
      <c r="C84" s="60"/>
      <c r="D84" s="53"/>
      <c r="E84" s="61"/>
      <c r="F84" s="48"/>
      <c r="G84" s="48"/>
      <c r="H84" s="53"/>
      <c r="I84" s="52"/>
      <c r="J84" s="52"/>
      <c r="L84" s="57"/>
    </row>
    <row r="85" spans="2:12" ht="14.4" x14ac:dyDescent="0.3">
      <c r="B85" s="48"/>
      <c r="C85" s="60"/>
      <c r="D85" s="53"/>
      <c r="E85" s="61"/>
      <c r="F85" s="48"/>
      <c r="G85" s="48"/>
      <c r="H85" s="53"/>
      <c r="I85" s="52"/>
      <c r="J85" s="52"/>
      <c r="L85" s="57"/>
    </row>
    <row r="86" spans="2:12" ht="14.4" x14ac:dyDescent="0.3">
      <c r="B86" s="48"/>
      <c r="C86" s="60"/>
      <c r="D86" s="53"/>
      <c r="E86" s="61"/>
      <c r="F86" s="48"/>
      <c r="G86" s="48"/>
      <c r="H86" s="53"/>
      <c r="I86" s="52"/>
      <c r="J86" s="52"/>
      <c r="L86" s="57"/>
    </row>
    <row r="87" spans="2:12" ht="14.4" x14ac:dyDescent="0.3">
      <c r="B87" s="48"/>
      <c r="C87" s="60"/>
      <c r="D87" s="53"/>
      <c r="E87" s="61"/>
      <c r="F87" s="48"/>
      <c r="G87" s="48"/>
      <c r="H87" s="53"/>
      <c r="I87" s="52"/>
      <c r="J87" s="52"/>
      <c r="L87" s="57"/>
    </row>
    <row r="88" spans="2:12" ht="14.4" x14ac:dyDescent="0.3">
      <c r="B88" s="48"/>
      <c r="C88" s="60"/>
      <c r="D88" s="53"/>
      <c r="E88" s="61"/>
      <c r="F88" s="48"/>
      <c r="G88" s="48"/>
      <c r="H88" s="53"/>
      <c r="I88" s="52"/>
      <c r="J88" s="52"/>
      <c r="L88" s="57"/>
    </row>
    <row r="89" spans="2:12" ht="14.4" x14ac:dyDescent="0.3">
      <c r="B89" s="48"/>
      <c r="C89" s="60"/>
      <c r="D89" s="53"/>
      <c r="E89" s="61"/>
      <c r="F89" s="48"/>
      <c r="G89" s="48"/>
      <c r="H89" s="53"/>
      <c r="I89" s="52"/>
      <c r="J89" s="52"/>
      <c r="L89" s="57"/>
    </row>
    <row r="90" spans="2:12" ht="14.4" x14ac:dyDescent="0.3">
      <c r="B90" s="48"/>
      <c r="C90" s="60"/>
      <c r="D90" s="53"/>
      <c r="E90" s="61"/>
      <c r="F90" s="48"/>
      <c r="G90" s="48"/>
      <c r="H90" s="53"/>
      <c r="I90" s="52"/>
      <c r="J90" s="52"/>
      <c r="L90" s="57"/>
    </row>
    <row r="91" spans="2:12" ht="14.4" x14ac:dyDescent="0.3">
      <c r="B91" s="48"/>
      <c r="C91" s="60"/>
      <c r="D91" s="53"/>
      <c r="E91" s="61"/>
      <c r="F91" s="48"/>
      <c r="G91" s="48"/>
      <c r="H91" s="53"/>
      <c r="I91" s="52"/>
      <c r="J91" s="52"/>
      <c r="L91" s="57"/>
    </row>
    <row r="92" spans="2:12" ht="14.4" x14ac:dyDescent="0.3">
      <c r="B92" s="48"/>
      <c r="C92" s="60"/>
      <c r="D92" s="53"/>
      <c r="E92" s="61"/>
      <c r="F92" s="48"/>
      <c r="G92" s="48"/>
      <c r="H92" s="53"/>
      <c r="I92" s="52"/>
      <c r="J92" s="52"/>
      <c r="L92" s="57"/>
    </row>
    <row r="93" spans="2:12" ht="14.4" x14ac:dyDescent="0.3">
      <c r="B93" s="48"/>
      <c r="C93" s="60"/>
      <c r="D93" s="53"/>
      <c r="E93" s="61"/>
      <c r="F93" s="48"/>
      <c r="G93" s="48"/>
      <c r="H93" s="53"/>
      <c r="I93" s="52"/>
      <c r="J93" s="52"/>
      <c r="L93" s="57"/>
    </row>
    <row r="94" spans="2:12" ht="14.4" x14ac:dyDescent="0.3">
      <c r="B94" s="48"/>
      <c r="C94" s="60"/>
      <c r="D94" s="53"/>
      <c r="E94" s="61"/>
      <c r="F94" s="48"/>
      <c r="G94" s="48"/>
      <c r="H94" s="53"/>
      <c r="I94" s="52"/>
      <c r="J94" s="52"/>
      <c r="L94" s="57"/>
    </row>
    <row r="95" spans="2:12" ht="14.4" x14ac:dyDescent="0.3">
      <c r="B95" s="48"/>
      <c r="C95" s="60"/>
      <c r="D95" s="53"/>
      <c r="E95" s="61"/>
      <c r="F95" s="48"/>
      <c r="G95" s="48"/>
      <c r="H95" s="53"/>
      <c r="I95" s="52"/>
      <c r="J95" s="52"/>
      <c r="L95" s="57"/>
    </row>
    <row r="96" spans="2:12" ht="14.4" x14ac:dyDescent="0.3">
      <c r="B96" s="48"/>
      <c r="C96" s="60"/>
      <c r="D96" s="53"/>
      <c r="E96" s="61"/>
      <c r="F96" s="48"/>
      <c r="G96" s="48"/>
      <c r="H96" s="53"/>
      <c r="I96" s="52"/>
      <c r="J96" s="52"/>
      <c r="L96" s="57"/>
    </row>
    <row r="97" spans="2:12" ht="14.4" x14ac:dyDescent="0.3">
      <c r="B97" s="48"/>
      <c r="C97" s="60"/>
      <c r="D97" s="53"/>
      <c r="E97" s="61"/>
      <c r="F97" s="48"/>
      <c r="G97" s="48"/>
      <c r="H97" s="53"/>
      <c r="I97" s="52"/>
      <c r="J97" s="52"/>
      <c r="L97" s="57"/>
    </row>
    <row r="98" spans="2:12" ht="14.4" x14ac:dyDescent="0.3">
      <c r="B98" s="48"/>
      <c r="C98" s="60"/>
      <c r="D98" s="53"/>
      <c r="E98" s="61"/>
      <c r="F98" s="48"/>
      <c r="G98" s="48"/>
      <c r="H98" s="53"/>
      <c r="I98" s="52"/>
      <c r="J98" s="52"/>
      <c r="L98" s="57"/>
    </row>
    <row r="99" spans="2:12" ht="14.4" x14ac:dyDescent="0.3">
      <c r="B99" s="48"/>
      <c r="C99" s="60"/>
      <c r="D99" s="53"/>
      <c r="E99" s="61"/>
      <c r="F99" s="48"/>
      <c r="G99" s="48"/>
      <c r="H99" s="53"/>
      <c r="I99" s="52"/>
      <c r="J99" s="52"/>
      <c r="L99" s="57"/>
    </row>
    <row r="100" spans="2:12" ht="14.4" x14ac:dyDescent="0.3">
      <c r="B100" s="48"/>
      <c r="C100" s="60"/>
      <c r="D100" s="53"/>
      <c r="E100" s="61"/>
      <c r="F100" s="48"/>
      <c r="G100" s="48"/>
      <c r="H100" s="53"/>
      <c r="I100" s="52"/>
      <c r="J100" s="52"/>
      <c r="L100" s="57"/>
    </row>
    <row r="101" spans="2:12" ht="14.4" x14ac:dyDescent="0.3">
      <c r="B101" s="48"/>
      <c r="C101" s="60"/>
      <c r="D101" s="53"/>
      <c r="E101" s="61"/>
      <c r="F101" s="48"/>
      <c r="G101" s="48"/>
      <c r="H101" s="53"/>
      <c r="I101" s="52"/>
      <c r="J101" s="52"/>
      <c r="L101" s="57"/>
    </row>
    <row r="102" spans="2:12" ht="14.4" x14ac:dyDescent="0.3">
      <c r="B102" s="48"/>
      <c r="C102" s="60"/>
      <c r="D102" s="53"/>
      <c r="E102" s="61"/>
      <c r="F102" s="48"/>
      <c r="G102" s="48"/>
      <c r="H102" s="53"/>
      <c r="I102" s="52"/>
      <c r="J102" s="52"/>
      <c r="L102" s="57"/>
    </row>
    <row r="103" spans="2:12" ht="14.4" x14ac:dyDescent="0.3">
      <c r="B103" s="48"/>
      <c r="C103" s="60"/>
      <c r="D103" s="53"/>
      <c r="E103" s="61"/>
      <c r="F103" s="48"/>
      <c r="G103" s="48"/>
      <c r="H103" s="53"/>
      <c r="I103" s="52"/>
      <c r="J103" s="52"/>
      <c r="L103" s="57"/>
    </row>
    <row r="104" spans="2:12" ht="14.4" x14ac:dyDescent="0.3">
      <c r="B104" s="48"/>
      <c r="C104" s="60"/>
      <c r="D104" s="53"/>
      <c r="E104" s="61"/>
      <c r="F104" s="48"/>
      <c r="G104" s="48"/>
      <c r="H104" s="53"/>
      <c r="I104" s="52"/>
      <c r="J104" s="52"/>
      <c r="L104" s="57"/>
    </row>
    <row r="105" spans="2:12" ht="14.4" x14ac:dyDescent="0.3">
      <c r="B105" s="48"/>
      <c r="C105" s="60"/>
      <c r="D105" s="53"/>
      <c r="E105" s="61"/>
      <c r="F105" s="48"/>
      <c r="G105" s="48"/>
      <c r="H105" s="53"/>
      <c r="I105" s="52"/>
      <c r="J105" s="52"/>
      <c r="L105" s="57"/>
    </row>
    <row r="106" spans="2:12" ht="14.4" x14ac:dyDescent="0.3">
      <c r="B106" s="48"/>
      <c r="C106" s="60"/>
      <c r="D106" s="53"/>
      <c r="E106" s="61"/>
      <c r="F106" s="48"/>
      <c r="G106" s="48"/>
      <c r="H106" s="53"/>
      <c r="I106" s="52"/>
      <c r="J106" s="52"/>
      <c r="L106" s="57"/>
    </row>
    <row r="107" spans="2:12" ht="14.4" x14ac:dyDescent="0.3">
      <c r="B107" s="48"/>
      <c r="C107" s="60"/>
      <c r="D107" s="53"/>
      <c r="E107" s="61"/>
      <c r="F107" s="48"/>
      <c r="G107" s="48"/>
      <c r="H107" s="53"/>
      <c r="I107" s="52"/>
      <c r="J107" s="52"/>
      <c r="L107" s="57"/>
    </row>
    <row r="108" spans="2:12" ht="14.4" x14ac:dyDescent="0.3">
      <c r="B108" s="48"/>
      <c r="C108" s="60"/>
      <c r="D108" s="53"/>
      <c r="E108" s="61"/>
      <c r="F108" s="48"/>
      <c r="G108" s="48"/>
      <c r="H108" s="53"/>
      <c r="I108" s="52"/>
      <c r="J108" s="52"/>
      <c r="L108" s="57"/>
    </row>
    <row r="109" spans="2:12" ht="14.4" x14ac:dyDescent="0.3">
      <c r="B109" s="48"/>
      <c r="C109" s="60"/>
      <c r="D109" s="53"/>
      <c r="E109" s="61"/>
      <c r="F109" s="48"/>
      <c r="G109" s="48"/>
      <c r="H109" s="53"/>
      <c r="I109" s="52"/>
      <c r="J109" s="52"/>
      <c r="L109" s="57"/>
    </row>
    <row r="110" spans="2:12" ht="14.4" x14ac:dyDescent="0.3">
      <c r="B110" s="48"/>
      <c r="C110" s="60"/>
      <c r="D110" s="53"/>
      <c r="E110" s="61"/>
      <c r="F110" s="48"/>
      <c r="G110" s="48"/>
      <c r="H110" s="53"/>
      <c r="I110" s="52"/>
      <c r="J110" s="52"/>
      <c r="L110" s="57"/>
    </row>
    <row r="111" spans="2:12" ht="14.4" x14ac:dyDescent="0.3">
      <c r="B111" s="48"/>
      <c r="C111" s="60"/>
      <c r="D111" s="53"/>
      <c r="E111" s="61"/>
      <c r="F111" s="48"/>
      <c r="G111" s="48"/>
      <c r="H111" s="53"/>
      <c r="I111" s="52"/>
      <c r="J111" s="52"/>
      <c r="L111" s="57"/>
    </row>
    <row r="112" spans="2:12" ht="14.4" x14ac:dyDescent="0.3">
      <c r="B112" s="48"/>
      <c r="C112" s="60"/>
      <c r="D112" s="53"/>
      <c r="E112" s="61"/>
      <c r="F112" s="48"/>
      <c r="G112" s="48"/>
      <c r="H112" s="53"/>
      <c r="I112" s="52"/>
      <c r="J112" s="52"/>
      <c r="L112" s="57"/>
    </row>
    <row r="113" spans="2:12" ht="14.4" x14ac:dyDescent="0.3">
      <c r="B113" s="48"/>
      <c r="C113" s="60"/>
      <c r="D113" s="53"/>
      <c r="E113" s="61"/>
      <c r="F113" s="48"/>
      <c r="G113" s="48"/>
      <c r="H113" s="53"/>
      <c r="I113" s="52"/>
      <c r="J113" s="52"/>
      <c r="L113" s="57"/>
    </row>
    <row r="114" spans="2:12" ht="14.4" x14ac:dyDescent="0.3">
      <c r="B114" s="48"/>
      <c r="C114" s="60"/>
      <c r="D114" s="53"/>
      <c r="E114" s="61"/>
      <c r="F114" s="48"/>
      <c r="G114" s="48"/>
      <c r="H114" s="53"/>
      <c r="I114" s="52"/>
      <c r="J114" s="52"/>
      <c r="L114" s="57"/>
    </row>
    <row r="115" spans="2:12" ht="14.4" x14ac:dyDescent="0.3">
      <c r="B115" s="48"/>
      <c r="C115" s="60"/>
      <c r="D115" s="53"/>
      <c r="E115" s="61"/>
      <c r="F115" s="48"/>
      <c r="G115" s="48"/>
      <c r="H115" s="53"/>
      <c r="I115" s="52"/>
      <c r="J115" s="52"/>
      <c r="L115" s="57"/>
    </row>
    <row r="116" spans="2:12" ht="14.4" x14ac:dyDescent="0.3">
      <c r="B116" s="48"/>
      <c r="C116" s="60"/>
      <c r="D116" s="53"/>
      <c r="E116" s="61"/>
      <c r="F116" s="48"/>
      <c r="G116" s="48"/>
      <c r="H116" s="53"/>
      <c r="I116" s="52"/>
      <c r="J116" s="52"/>
      <c r="L116" s="57"/>
    </row>
    <row r="117" spans="2:12" ht="14.4" x14ac:dyDescent="0.3">
      <c r="B117" s="48"/>
      <c r="C117" s="60"/>
      <c r="D117" s="53"/>
      <c r="E117" s="61"/>
      <c r="F117" s="48"/>
      <c r="G117" s="48"/>
      <c r="H117" s="53"/>
      <c r="I117" s="52"/>
      <c r="J117" s="52"/>
      <c r="L117" s="57"/>
    </row>
    <row r="118" spans="2:12" ht="14.4" x14ac:dyDescent="0.3">
      <c r="B118" s="48"/>
      <c r="C118" s="60"/>
      <c r="D118" s="53"/>
      <c r="E118" s="61"/>
      <c r="F118" s="48"/>
      <c r="G118" s="48"/>
      <c r="H118" s="53"/>
      <c r="I118" s="52"/>
      <c r="J118" s="52"/>
      <c r="L118" s="57"/>
    </row>
    <row r="119" spans="2:12" ht="14.4" x14ac:dyDescent="0.3">
      <c r="B119" s="48"/>
      <c r="C119" s="60"/>
      <c r="D119" s="53"/>
      <c r="E119" s="61"/>
      <c r="F119" s="48"/>
      <c r="G119" s="48"/>
      <c r="H119" s="53"/>
      <c r="I119" s="52"/>
      <c r="J119" s="52"/>
      <c r="L119" s="57"/>
    </row>
    <row r="120" spans="2:12" ht="14.4" x14ac:dyDescent="0.3">
      <c r="B120" s="48"/>
      <c r="C120" s="60"/>
      <c r="D120" s="53"/>
      <c r="E120" s="61"/>
      <c r="F120" s="48"/>
      <c r="G120" s="48"/>
      <c r="H120" s="53"/>
      <c r="I120" s="52"/>
      <c r="J120" s="52"/>
      <c r="L120" s="57"/>
    </row>
    <row r="121" spans="2:12" ht="14.4" x14ac:dyDescent="0.3">
      <c r="B121" s="48"/>
      <c r="C121" s="60"/>
      <c r="D121" s="53"/>
      <c r="E121" s="61"/>
      <c r="F121" s="48"/>
      <c r="G121" s="48"/>
      <c r="H121" s="53"/>
      <c r="I121" s="52"/>
      <c r="J121" s="52"/>
      <c r="L121" s="57"/>
    </row>
    <row r="122" spans="2:12" ht="14.4" x14ac:dyDescent="0.3">
      <c r="B122" s="48"/>
      <c r="C122" s="60"/>
      <c r="D122" s="53"/>
      <c r="E122" s="61"/>
      <c r="F122" s="48"/>
      <c r="G122" s="48"/>
      <c r="H122" s="53"/>
      <c r="I122" s="52"/>
      <c r="J122" s="52"/>
      <c r="L122" s="57"/>
    </row>
    <row r="123" spans="2:12" ht="14.4" x14ac:dyDescent="0.3">
      <c r="B123" s="48"/>
      <c r="C123" s="60"/>
      <c r="D123" s="53"/>
      <c r="E123" s="61"/>
      <c r="F123" s="48"/>
      <c r="G123" s="48"/>
      <c r="H123" s="53"/>
      <c r="I123" s="52"/>
      <c r="J123" s="52"/>
      <c r="L123" s="57"/>
    </row>
    <row r="124" spans="2:12" ht="14.4" x14ac:dyDescent="0.3">
      <c r="B124" s="48"/>
      <c r="C124" s="60"/>
      <c r="D124" s="53"/>
      <c r="E124" s="61"/>
      <c r="F124" s="48"/>
      <c r="G124" s="48"/>
      <c r="H124" s="53"/>
      <c r="I124" s="52"/>
      <c r="J124" s="52"/>
      <c r="L124" s="57"/>
    </row>
    <row r="125" spans="2:12" ht="14.4" x14ac:dyDescent="0.3">
      <c r="B125" s="48"/>
      <c r="C125" s="60"/>
      <c r="D125" s="53"/>
      <c r="E125" s="61"/>
      <c r="F125" s="48"/>
      <c r="G125" s="48"/>
      <c r="H125" s="53"/>
      <c r="I125" s="52"/>
      <c r="J125" s="52"/>
      <c r="L125" s="57"/>
    </row>
    <row r="126" spans="2:12" ht="14.4" x14ac:dyDescent="0.3">
      <c r="B126" s="48"/>
      <c r="C126" s="60"/>
      <c r="D126" s="53"/>
      <c r="E126" s="61"/>
      <c r="F126" s="48"/>
      <c r="G126" s="48"/>
      <c r="H126" s="53"/>
      <c r="I126" s="52"/>
      <c r="J126" s="52"/>
      <c r="L126" s="57"/>
    </row>
    <row r="127" spans="2:12" ht="14.4" x14ac:dyDescent="0.3">
      <c r="B127" s="48"/>
      <c r="C127" s="60"/>
      <c r="D127" s="53"/>
      <c r="E127" s="61"/>
      <c r="F127" s="48"/>
      <c r="G127" s="48"/>
      <c r="H127" s="53"/>
      <c r="I127" s="52"/>
      <c r="J127" s="52"/>
      <c r="L127" s="57"/>
    </row>
    <row r="128" spans="2:12" ht="14.4" x14ac:dyDescent="0.3">
      <c r="B128" s="48"/>
      <c r="C128" s="60"/>
      <c r="D128" s="53"/>
      <c r="E128" s="61"/>
      <c r="F128" s="48"/>
      <c r="G128" s="48"/>
      <c r="H128" s="53"/>
      <c r="I128" s="52"/>
      <c r="J128" s="52"/>
      <c r="L128" s="57"/>
    </row>
    <row r="129" spans="2:12" ht="14.4" x14ac:dyDescent="0.3">
      <c r="B129" s="48"/>
      <c r="C129" s="60"/>
      <c r="D129" s="53"/>
      <c r="E129" s="61"/>
      <c r="F129" s="48"/>
      <c r="G129" s="48"/>
      <c r="H129" s="53"/>
      <c r="I129" s="52"/>
      <c r="J129" s="52"/>
      <c r="L129" s="57"/>
    </row>
    <row r="130" spans="2:12" ht="14.4" x14ac:dyDescent="0.3">
      <c r="B130" s="48"/>
      <c r="C130" s="60"/>
      <c r="D130" s="53"/>
      <c r="E130" s="61"/>
      <c r="F130" s="48"/>
      <c r="G130" s="48"/>
      <c r="H130" s="53"/>
      <c r="I130" s="52"/>
      <c r="J130" s="52"/>
      <c r="L130" s="57"/>
    </row>
    <row r="131" spans="2:12" ht="14.4" x14ac:dyDescent="0.3">
      <c r="B131" s="48"/>
      <c r="C131" s="60"/>
      <c r="D131" s="53"/>
      <c r="E131" s="61"/>
      <c r="F131" s="48"/>
      <c r="G131" s="48"/>
      <c r="H131" s="53"/>
      <c r="I131" s="52"/>
      <c r="J131" s="52"/>
      <c r="L131" s="57"/>
    </row>
    <row r="132" spans="2:12" ht="14.4" x14ac:dyDescent="0.3">
      <c r="B132" s="48"/>
      <c r="C132" s="60"/>
      <c r="D132" s="53"/>
      <c r="E132" s="61"/>
      <c r="F132" s="48"/>
      <c r="G132" s="48"/>
      <c r="H132" s="53"/>
      <c r="I132" s="52"/>
      <c r="J132" s="52"/>
      <c r="L132" s="57"/>
    </row>
    <row r="133" spans="2:12" ht="14.4" x14ac:dyDescent="0.3">
      <c r="B133" s="48"/>
      <c r="C133" s="60"/>
      <c r="D133" s="53"/>
      <c r="E133" s="61"/>
      <c r="F133" s="48"/>
      <c r="G133" s="48"/>
      <c r="H133" s="53"/>
      <c r="I133" s="52"/>
      <c r="J133" s="52"/>
      <c r="L133" s="57"/>
    </row>
    <row r="134" spans="2:12" ht="14.4" x14ac:dyDescent="0.3">
      <c r="B134" s="48"/>
      <c r="C134" s="60"/>
      <c r="D134" s="53"/>
      <c r="E134" s="61"/>
      <c r="F134" s="48"/>
      <c r="G134" s="48"/>
      <c r="H134" s="53"/>
      <c r="I134" s="52"/>
      <c r="J134" s="52"/>
      <c r="L134" s="57"/>
    </row>
    <row r="135" spans="2:12" ht="14.4" x14ac:dyDescent="0.3">
      <c r="B135" s="48"/>
      <c r="C135" s="60"/>
      <c r="D135" s="53"/>
      <c r="E135" s="61"/>
      <c r="F135" s="48"/>
      <c r="G135" s="48"/>
      <c r="H135" s="53"/>
      <c r="I135" s="52"/>
      <c r="J135" s="52"/>
      <c r="L135" s="57"/>
    </row>
    <row r="136" spans="2:12" ht="14.4" x14ac:dyDescent="0.3">
      <c r="B136" s="48"/>
      <c r="C136" s="60"/>
      <c r="D136" s="53"/>
      <c r="E136" s="61"/>
      <c r="F136" s="48"/>
      <c r="G136" s="48"/>
      <c r="H136" s="53"/>
      <c r="I136" s="52"/>
      <c r="J136" s="52"/>
      <c r="L136" s="57"/>
    </row>
    <row r="137" spans="2:12" ht="14.4" x14ac:dyDescent="0.3">
      <c r="B137" s="48"/>
      <c r="C137" s="60"/>
      <c r="D137" s="53"/>
      <c r="E137" s="61"/>
      <c r="F137" s="48"/>
      <c r="G137" s="48"/>
      <c r="H137" s="53"/>
      <c r="I137" s="52"/>
      <c r="J137" s="52"/>
      <c r="L137" s="57"/>
    </row>
    <row r="138" spans="2:12" ht="14.4" x14ac:dyDescent="0.3">
      <c r="B138" s="48"/>
      <c r="C138" s="60"/>
      <c r="D138" s="53"/>
      <c r="E138" s="61"/>
      <c r="F138" s="48"/>
      <c r="G138" s="48"/>
      <c r="H138" s="53"/>
      <c r="I138" s="52"/>
      <c r="J138" s="52"/>
      <c r="L138" s="57"/>
    </row>
    <row r="139" spans="2:12" ht="14.4" x14ac:dyDescent="0.3">
      <c r="B139" s="48"/>
      <c r="C139" s="60"/>
      <c r="D139" s="53"/>
      <c r="E139" s="61"/>
      <c r="F139" s="48"/>
      <c r="G139" s="48"/>
      <c r="H139" s="53"/>
      <c r="I139" s="52"/>
      <c r="J139" s="52"/>
      <c r="L139" s="57"/>
    </row>
    <row r="140" spans="2:12" ht="14.4" x14ac:dyDescent="0.3">
      <c r="B140" s="48"/>
      <c r="C140" s="60"/>
      <c r="D140" s="53"/>
      <c r="E140" s="61"/>
      <c r="F140" s="48"/>
      <c r="G140" s="48"/>
      <c r="H140" s="53"/>
      <c r="I140" s="52"/>
      <c r="J140" s="52"/>
      <c r="L140" s="57"/>
    </row>
    <row r="141" spans="2:12" ht="14.4" x14ac:dyDescent="0.3">
      <c r="B141" s="48"/>
      <c r="C141" s="60"/>
      <c r="D141" s="53"/>
      <c r="E141" s="61"/>
      <c r="F141" s="48"/>
      <c r="G141" s="48"/>
      <c r="H141" s="53"/>
      <c r="I141" s="52"/>
      <c r="J141" s="52"/>
      <c r="L141" s="57"/>
    </row>
    <row r="142" spans="2:12" ht="14.4" x14ac:dyDescent="0.3">
      <c r="B142" s="48"/>
      <c r="C142" s="60"/>
      <c r="D142" s="53"/>
      <c r="E142" s="61"/>
      <c r="F142" s="48"/>
      <c r="G142" s="48"/>
      <c r="H142" s="53"/>
      <c r="I142" s="52"/>
      <c r="J142" s="52"/>
      <c r="L142" s="57"/>
    </row>
    <row r="143" spans="2:12" ht="14.4" x14ac:dyDescent="0.3">
      <c r="B143" s="48"/>
      <c r="C143" s="60"/>
      <c r="D143" s="53"/>
      <c r="E143" s="61"/>
      <c r="F143" s="48"/>
      <c r="G143" s="48"/>
      <c r="H143" s="53"/>
      <c r="I143" s="52"/>
      <c r="J143" s="52"/>
      <c r="L143" s="57"/>
    </row>
    <row r="144" spans="2:12" ht="14.4" x14ac:dyDescent="0.3">
      <c r="B144" s="48"/>
      <c r="C144" s="60"/>
      <c r="D144" s="53"/>
      <c r="E144" s="61"/>
      <c r="F144" s="48"/>
      <c r="G144" s="48"/>
      <c r="H144" s="53"/>
      <c r="I144" s="52"/>
      <c r="J144" s="52"/>
      <c r="L144" s="57"/>
    </row>
    <row r="145" spans="2:12" ht="14.4" x14ac:dyDescent="0.3">
      <c r="B145" s="48"/>
      <c r="C145" s="60"/>
      <c r="D145" s="53"/>
      <c r="E145" s="61"/>
      <c r="F145" s="48"/>
      <c r="G145" s="48"/>
      <c r="H145" s="53"/>
      <c r="I145" s="52"/>
      <c r="J145" s="52"/>
      <c r="L145" s="57"/>
    </row>
    <row r="146" spans="2:12" ht="14.4" x14ac:dyDescent="0.3">
      <c r="B146" s="48"/>
      <c r="C146" s="60"/>
      <c r="D146" s="53"/>
      <c r="E146" s="61"/>
      <c r="F146" s="48"/>
      <c r="G146" s="48"/>
      <c r="H146" s="53"/>
      <c r="I146" s="52"/>
      <c r="J146" s="52"/>
      <c r="L146" s="57"/>
    </row>
    <row r="147" spans="2:12" ht="14.4" x14ac:dyDescent="0.3">
      <c r="B147" s="48"/>
      <c r="C147" s="60"/>
      <c r="D147" s="53"/>
      <c r="E147" s="61"/>
      <c r="F147" s="48"/>
      <c r="G147" s="48"/>
      <c r="H147" s="53"/>
      <c r="I147" s="52"/>
      <c r="J147" s="52"/>
      <c r="L147" s="57"/>
    </row>
    <row r="148" spans="2:12" ht="14.4" x14ac:dyDescent="0.3">
      <c r="B148" s="48"/>
      <c r="C148" s="60"/>
      <c r="D148" s="53"/>
      <c r="E148" s="61"/>
      <c r="F148" s="48"/>
      <c r="G148" s="48"/>
      <c r="H148" s="53"/>
      <c r="I148" s="52"/>
      <c r="J148" s="52"/>
      <c r="L148" s="57"/>
    </row>
    <row r="149" spans="2:12" ht="14.4" x14ac:dyDescent="0.3">
      <c r="B149" s="48"/>
      <c r="C149" s="60"/>
      <c r="D149" s="53"/>
      <c r="E149" s="61"/>
      <c r="F149" s="48"/>
      <c r="G149" s="48"/>
      <c r="H149" s="53"/>
      <c r="I149" s="52"/>
      <c r="J149" s="52"/>
      <c r="L149" s="57"/>
    </row>
    <row r="150" spans="2:12" ht="14.4" x14ac:dyDescent="0.3">
      <c r="B150" s="48"/>
      <c r="C150" s="60"/>
      <c r="D150" s="53"/>
      <c r="E150" s="61"/>
      <c r="F150" s="48"/>
      <c r="G150" s="48"/>
      <c r="H150" s="53"/>
      <c r="I150" s="52"/>
      <c r="J150" s="52"/>
      <c r="L150" s="57"/>
    </row>
    <row r="151" spans="2:12" ht="14.4" x14ac:dyDescent="0.3">
      <c r="B151" s="48"/>
      <c r="C151" s="60"/>
      <c r="D151" s="53"/>
      <c r="E151" s="61"/>
      <c r="F151" s="48"/>
      <c r="G151" s="48"/>
      <c r="H151" s="53"/>
      <c r="I151" s="52"/>
      <c r="J151" s="52"/>
      <c r="L151" s="57"/>
    </row>
    <row r="152" spans="2:12" ht="14.4" x14ac:dyDescent="0.3">
      <c r="B152" s="48"/>
      <c r="C152" s="60"/>
      <c r="D152" s="53"/>
      <c r="E152" s="61"/>
      <c r="F152" s="48"/>
      <c r="G152" s="48"/>
      <c r="H152" s="53"/>
      <c r="I152" s="52"/>
      <c r="J152" s="52"/>
      <c r="L152" s="57"/>
    </row>
    <row r="153" spans="2:12" ht="14.4" x14ac:dyDescent="0.3">
      <c r="B153" s="48"/>
      <c r="C153" s="60"/>
      <c r="D153" s="53"/>
      <c r="E153" s="61"/>
      <c r="F153" s="48"/>
      <c r="G153" s="48"/>
      <c r="H153" s="53"/>
      <c r="I153" s="52"/>
      <c r="J153" s="52"/>
      <c r="L153" s="57"/>
    </row>
    <row r="154" spans="2:12" ht="14.4" x14ac:dyDescent="0.3">
      <c r="B154" s="48"/>
      <c r="C154" s="60"/>
      <c r="D154" s="53"/>
      <c r="E154" s="61"/>
      <c r="F154" s="48"/>
      <c r="G154" s="48"/>
      <c r="H154" s="53"/>
      <c r="I154" s="52"/>
      <c r="J154" s="52"/>
      <c r="L154" s="57"/>
    </row>
    <row r="155" spans="2:12" ht="14.4" x14ac:dyDescent="0.3">
      <c r="B155" s="48"/>
      <c r="C155" s="60"/>
      <c r="D155" s="53"/>
      <c r="E155" s="61"/>
      <c r="F155" s="48"/>
      <c r="G155" s="48"/>
      <c r="H155" s="53"/>
      <c r="I155" s="52"/>
      <c r="J155" s="52"/>
      <c r="L155" s="57"/>
    </row>
    <row r="156" spans="2:12" ht="14.4" x14ac:dyDescent="0.3">
      <c r="B156" s="48"/>
      <c r="C156" s="60"/>
      <c r="D156" s="53"/>
      <c r="E156" s="61"/>
      <c r="F156" s="48"/>
      <c r="G156" s="48"/>
      <c r="H156" s="53"/>
      <c r="I156" s="52"/>
      <c r="J156" s="52"/>
      <c r="L156" s="57"/>
    </row>
    <row r="157" spans="2:12" ht="14.4" x14ac:dyDescent="0.3">
      <c r="B157" s="48"/>
      <c r="C157" s="60"/>
      <c r="D157" s="53"/>
      <c r="E157" s="61"/>
      <c r="F157" s="48"/>
      <c r="G157" s="48"/>
      <c r="H157" s="53"/>
      <c r="I157" s="52"/>
      <c r="J157" s="52"/>
      <c r="L157" s="57"/>
    </row>
    <row r="158" spans="2:12" ht="14.4" x14ac:dyDescent="0.3">
      <c r="B158" s="48"/>
      <c r="C158" s="60"/>
      <c r="D158" s="53"/>
      <c r="E158" s="61"/>
      <c r="F158" s="48"/>
      <c r="G158" s="48"/>
      <c r="H158" s="53"/>
      <c r="I158" s="52"/>
      <c r="J158" s="52"/>
      <c r="L158" s="57"/>
    </row>
    <row r="159" spans="2:12" ht="14.4" x14ac:dyDescent="0.3">
      <c r="B159" s="48"/>
      <c r="C159" s="60"/>
      <c r="D159" s="53"/>
      <c r="E159" s="61"/>
      <c r="F159" s="48"/>
      <c r="G159" s="48"/>
      <c r="H159" s="53"/>
      <c r="I159" s="52"/>
      <c r="J159" s="52"/>
      <c r="L159" s="57"/>
    </row>
    <row r="160" spans="2:12" ht="14.4" x14ac:dyDescent="0.3">
      <c r="B160" s="48"/>
      <c r="C160" s="60"/>
      <c r="D160" s="53"/>
      <c r="E160" s="61"/>
      <c r="F160" s="48"/>
      <c r="G160" s="48"/>
      <c r="H160" s="53"/>
      <c r="I160" s="52"/>
      <c r="J160" s="52"/>
      <c r="L160" s="57"/>
    </row>
    <row r="161" spans="2:12" ht="14.4" x14ac:dyDescent="0.3">
      <c r="B161" s="48"/>
      <c r="C161" s="60"/>
      <c r="D161" s="53"/>
      <c r="E161" s="61"/>
      <c r="F161" s="48"/>
      <c r="G161" s="48"/>
      <c r="H161" s="53"/>
      <c r="I161" s="52"/>
      <c r="J161" s="52"/>
      <c r="L161" s="57"/>
    </row>
    <row r="162" spans="2:12" ht="14.4" x14ac:dyDescent="0.3">
      <c r="B162" s="48"/>
      <c r="C162" s="60"/>
      <c r="D162" s="53"/>
      <c r="E162" s="61"/>
      <c r="F162" s="48"/>
      <c r="G162" s="48"/>
      <c r="H162" s="53"/>
      <c r="I162" s="52"/>
      <c r="J162" s="52"/>
      <c r="L162" s="57"/>
    </row>
    <row r="163" spans="2:12" ht="14.4" x14ac:dyDescent="0.3">
      <c r="B163" s="48"/>
      <c r="C163" s="60"/>
      <c r="D163" s="53"/>
      <c r="E163" s="61"/>
      <c r="F163" s="48"/>
      <c r="G163" s="48"/>
      <c r="H163" s="53"/>
      <c r="I163" s="52"/>
      <c r="J163" s="52"/>
      <c r="L163" s="57"/>
    </row>
    <row r="164" spans="2:12" ht="14.4" x14ac:dyDescent="0.3">
      <c r="B164" s="48"/>
      <c r="C164" s="60"/>
      <c r="D164" s="53"/>
      <c r="E164" s="61"/>
      <c r="F164" s="48"/>
      <c r="G164" s="48"/>
      <c r="H164" s="53"/>
      <c r="I164" s="52"/>
      <c r="J164" s="52"/>
      <c r="L164" s="57"/>
    </row>
    <row r="165" spans="2:12" ht="14.4" x14ac:dyDescent="0.3">
      <c r="B165" s="48"/>
      <c r="C165" s="60"/>
      <c r="D165" s="53"/>
      <c r="E165" s="61"/>
      <c r="F165" s="48"/>
      <c r="G165" s="48"/>
      <c r="H165" s="53"/>
      <c r="I165" s="52"/>
      <c r="J165" s="52"/>
      <c r="L165" s="57"/>
    </row>
    <row r="166" spans="2:12" ht="14.4" x14ac:dyDescent="0.3">
      <c r="B166" s="48"/>
      <c r="C166" s="60"/>
      <c r="D166" s="53"/>
      <c r="E166" s="61"/>
      <c r="F166" s="48"/>
      <c r="G166" s="48"/>
      <c r="H166" s="53"/>
      <c r="I166" s="52"/>
      <c r="J166" s="52"/>
      <c r="L166" s="57"/>
    </row>
    <row r="167" spans="2:12" ht="14.4" x14ac:dyDescent="0.3">
      <c r="B167" s="48"/>
      <c r="C167" s="60"/>
      <c r="D167" s="53"/>
      <c r="E167" s="61"/>
      <c r="F167" s="48"/>
      <c r="G167" s="48"/>
      <c r="H167" s="53"/>
      <c r="I167" s="52"/>
      <c r="J167" s="52"/>
      <c r="L167" s="57"/>
    </row>
    <row r="168" spans="2:12" ht="14.4" x14ac:dyDescent="0.3">
      <c r="B168" s="48"/>
      <c r="C168" s="60"/>
      <c r="D168" s="53"/>
      <c r="E168" s="61"/>
      <c r="F168" s="48"/>
      <c r="G168" s="48"/>
      <c r="H168" s="53"/>
      <c r="I168" s="52"/>
      <c r="J168" s="52"/>
      <c r="L168" s="57"/>
    </row>
    <row r="169" spans="2:12" ht="14.4" x14ac:dyDescent="0.3">
      <c r="B169" s="48"/>
      <c r="C169" s="60"/>
      <c r="D169" s="53"/>
      <c r="E169" s="61"/>
      <c r="F169" s="48"/>
      <c r="G169" s="48"/>
      <c r="H169" s="53"/>
      <c r="I169" s="52"/>
      <c r="J169" s="52"/>
      <c r="L169" s="57"/>
    </row>
    <row r="170" spans="2:12" ht="14.4" x14ac:dyDescent="0.3">
      <c r="B170" s="48"/>
      <c r="C170" s="60"/>
      <c r="D170" s="53"/>
      <c r="E170" s="61"/>
      <c r="F170" s="48"/>
      <c r="G170" s="48"/>
      <c r="H170" s="53"/>
      <c r="I170" s="52"/>
      <c r="J170" s="52"/>
      <c r="L170" s="57"/>
    </row>
    <row r="171" spans="2:12" ht="14.4" x14ac:dyDescent="0.3">
      <c r="B171" s="48"/>
      <c r="C171" s="60"/>
      <c r="D171" s="53"/>
      <c r="E171" s="61"/>
      <c r="F171" s="48"/>
      <c r="G171" s="48"/>
      <c r="H171" s="53"/>
      <c r="I171" s="52"/>
      <c r="J171" s="52"/>
      <c r="L171" s="57"/>
    </row>
    <row r="172" spans="2:12" ht="14.4" x14ac:dyDescent="0.3">
      <c r="B172" s="48"/>
      <c r="C172" s="60"/>
      <c r="D172" s="53"/>
      <c r="E172" s="61"/>
      <c r="F172" s="48"/>
      <c r="G172" s="48"/>
      <c r="H172" s="53"/>
      <c r="I172" s="52"/>
      <c r="J172" s="52"/>
      <c r="L172" s="57"/>
    </row>
    <row r="173" spans="2:12" ht="14.4" x14ac:dyDescent="0.3">
      <c r="B173" s="48"/>
      <c r="C173" s="60"/>
      <c r="D173" s="53"/>
      <c r="E173" s="61"/>
      <c r="F173" s="48"/>
      <c r="G173" s="48"/>
      <c r="H173" s="53"/>
      <c r="I173" s="52"/>
      <c r="J173" s="52"/>
      <c r="L173" s="57"/>
    </row>
    <row r="174" spans="2:12" ht="14.4" x14ac:dyDescent="0.3">
      <c r="B174" s="48"/>
      <c r="C174" s="60"/>
      <c r="D174" s="53"/>
      <c r="E174" s="61"/>
      <c r="F174" s="48"/>
      <c r="G174" s="48"/>
      <c r="H174" s="53"/>
      <c r="I174" s="52"/>
      <c r="J174" s="52"/>
      <c r="L174" s="57"/>
    </row>
    <row r="175" spans="2:12" ht="14.4" x14ac:dyDescent="0.3">
      <c r="B175" s="48"/>
      <c r="C175" s="60"/>
      <c r="D175" s="53"/>
      <c r="E175" s="61"/>
      <c r="F175" s="48"/>
      <c r="G175" s="48"/>
      <c r="H175" s="53"/>
      <c r="I175" s="52"/>
      <c r="J175" s="52"/>
      <c r="L175" s="57"/>
    </row>
    <row r="176" spans="2:12" ht="14.4" x14ac:dyDescent="0.3">
      <c r="B176" s="48"/>
      <c r="C176" s="60"/>
      <c r="D176" s="53"/>
      <c r="E176" s="61"/>
      <c r="F176" s="48"/>
      <c r="G176" s="48"/>
      <c r="H176" s="53"/>
      <c r="I176" s="52"/>
      <c r="J176" s="52"/>
      <c r="L176" s="57"/>
    </row>
    <row r="177" spans="2:12" ht="14.4" x14ac:dyDescent="0.3">
      <c r="B177" s="48"/>
      <c r="C177" s="60"/>
      <c r="D177" s="53"/>
      <c r="E177" s="61"/>
      <c r="F177" s="48"/>
      <c r="G177" s="48"/>
      <c r="H177" s="53"/>
      <c r="I177" s="52"/>
      <c r="J177" s="52"/>
      <c r="L177" s="57"/>
    </row>
    <row r="178" spans="2:12" ht="14.4" x14ac:dyDescent="0.3">
      <c r="B178" s="48"/>
      <c r="C178" s="60"/>
      <c r="D178" s="53"/>
      <c r="E178" s="61"/>
      <c r="F178" s="48"/>
      <c r="G178" s="48"/>
      <c r="H178" s="53"/>
      <c r="I178" s="52"/>
      <c r="J178" s="52"/>
      <c r="L178" s="57"/>
    </row>
    <row r="179" spans="2:12" ht="14.4" x14ac:dyDescent="0.3">
      <c r="B179" s="48"/>
      <c r="C179" s="60"/>
      <c r="D179" s="53"/>
      <c r="E179" s="61"/>
      <c r="F179" s="48"/>
      <c r="G179" s="48"/>
      <c r="H179" s="53"/>
      <c r="I179" s="52"/>
      <c r="J179" s="52"/>
      <c r="L179" s="57"/>
    </row>
    <row r="180" spans="2:12" ht="14.4" x14ac:dyDescent="0.3">
      <c r="B180" s="48"/>
      <c r="C180" s="60"/>
      <c r="D180" s="53"/>
      <c r="E180" s="61"/>
      <c r="F180" s="48"/>
      <c r="G180" s="48"/>
      <c r="H180" s="53"/>
      <c r="I180" s="52"/>
      <c r="J180" s="52"/>
      <c r="L180" s="57"/>
    </row>
    <row r="181" spans="2:12" ht="14.4" x14ac:dyDescent="0.3">
      <c r="B181" s="48"/>
      <c r="C181" s="60"/>
      <c r="D181" s="53"/>
      <c r="E181" s="61"/>
      <c r="F181" s="48"/>
      <c r="G181" s="48"/>
      <c r="H181" s="53"/>
      <c r="I181" s="52"/>
      <c r="J181" s="52"/>
      <c r="L181" s="57"/>
    </row>
    <row r="182" spans="2:12" ht="14.4" x14ac:dyDescent="0.3">
      <c r="B182" s="48"/>
      <c r="C182" s="60"/>
      <c r="D182" s="53"/>
      <c r="E182" s="61"/>
      <c r="F182" s="48"/>
      <c r="G182" s="48"/>
      <c r="H182" s="53"/>
      <c r="I182" s="52"/>
      <c r="J182" s="52"/>
      <c r="L182" s="57"/>
    </row>
    <row r="183" spans="2:12" ht="14.4" x14ac:dyDescent="0.3">
      <c r="B183" s="48"/>
      <c r="C183" s="60"/>
      <c r="D183" s="53"/>
      <c r="E183" s="61"/>
      <c r="F183" s="48"/>
      <c r="G183" s="48"/>
      <c r="H183" s="53"/>
      <c r="I183" s="52"/>
      <c r="J183" s="52"/>
      <c r="L183" s="57"/>
    </row>
    <row r="184" spans="2:12" ht="14.4" x14ac:dyDescent="0.3">
      <c r="B184" s="48"/>
      <c r="C184" s="60"/>
      <c r="D184" s="53"/>
      <c r="E184" s="61"/>
      <c r="F184" s="48"/>
      <c r="G184" s="48"/>
      <c r="H184" s="53"/>
      <c r="I184" s="52"/>
      <c r="J184" s="52"/>
      <c r="L184" s="57"/>
    </row>
    <row r="185" spans="2:12" ht="14.4" x14ac:dyDescent="0.3">
      <c r="B185" s="48"/>
      <c r="C185" s="60"/>
      <c r="D185" s="53"/>
      <c r="E185" s="61"/>
      <c r="F185" s="48"/>
      <c r="G185" s="48"/>
      <c r="H185" s="53"/>
      <c r="I185" s="52"/>
      <c r="J185" s="52"/>
      <c r="L185" s="57"/>
    </row>
    <row r="186" spans="2:12" ht="14.4" x14ac:dyDescent="0.3">
      <c r="B186" s="48"/>
      <c r="C186" s="60"/>
      <c r="D186" s="53"/>
      <c r="E186" s="61"/>
      <c r="F186" s="48"/>
      <c r="G186" s="48"/>
      <c r="H186" s="53"/>
      <c r="I186" s="52"/>
      <c r="J186" s="52"/>
      <c r="L186" s="57"/>
    </row>
    <row r="187" spans="2:12" ht="14.4" x14ac:dyDescent="0.3">
      <c r="B187" s="48"/>
      <c r="C187" s="60"/>
      <c r="D187" s="53"/>
      <c r="E187" s="61"/>
      <c r="F187" s="48"/>
      <c r="G187" s="48"/>
      <c r="H187" s="53"/>
      <c r="I187" s="52"/>
      <c r="J187" s="52"/>
      <c r="L187" s="57"/>
    </row>
    <row r="188" spans="2:12" ht="14.4" x14ac:dyDescent="0.3">
      <c r="B188" s="48"/>
      <c r="C188" s="60"/>
      <c r="D188" s="53"/>
      <c r="E188" s="61"/>
      <c r="F188" s="48"/>
      <c r="G188" s="48"/>
      <c r="H188" s="53"/>
      <c r="I188" s="52"/>
      <c r="J188" s="52"/>
      <c r="L188" s="57"/>
    </row>
    <row r="189" spans="2:12" ht="14.4" x14ac:dyDescent="0.3">
      <c r="B189" s="48"/>
      <c r="C189" s="60"/>
      <c r="D189" s="53"/>
      <c r="E189" s="61"/>
      <c r="F189" s="48"/>
      <c r="G189" s="48"/>
      <c r="H189" s="53"/>
      <c r="I189" s="52"/>
      <c r="J189" s="52"/>
      <c r="L189" s="57"/>
    </row>
    <row r="190" spans="2:12" ht="14.4" x14ac:dyDescent="0.3">
      <c r="B190" s="48"/>
      <c r="C190" s="60"/>
      <c r="D190" s="53"/>
      <c r="E190" s="61"/>
      <c r="F190" s="48"/>
      <c r="G190" s="48"/>
      <c r="H190" s="53"/>
      <c r="I190" s="52"/>
      <c r="J190" s="52"/>
      <c r="L190" s="57"/>
    </row>
    <row r="191" spans="2:12" ht="14.4" x14ac:dyDescent="0.3">
      <c r="B191" s="48"/>
      <c r="C191" s="60"/>
      <c r="D191" s="53"/>
      <c r="E191" s="61"/>
      <c r="F191" s="48"/>
      <c r="G191" s="48"/>
      <c r="H191" s="53"/>
      <c r="I191" s="52"/>
      <c r="J191" s="52"/>
      <c r="L191" s="57"/>
    </row>
    <row r="192" spans="2:12" ht="14.4" x14ac:dyDescent="0.3">
      <c r="B192" s="48"/>
      <c r="C192" s="60"/>
      <c r="D192" s="53"/>
      <c r="E192" s="61"/>
      <c r="F192" s="48"/>
      <c r="G192" s="48"/>
      <c r="H192" s="53"/>
      <c r="I192" s="52"/>
      <c r="J192" s="52"/>
      <c r="L192" s="57"/>
    </row>
    <row r="193" spans="2:12" ht="14.4" x14ac:dyDescent="0.3">
      <c r="B193" s="48"/>
      <c r="C193" s="60"/>
      <c r="D193" s="53"/>
      <c r="E193" s="61"/>
      <c r="F193" s="48"/>
      <c r="G193" s="48"/>
      <c r="H193" s="53"/>
      <c r="I193" s="52"/>
      <c r="J193" s="52"/>
      <c r="L193" s="57"/>
    </row>
    <row r="194" spans="2:12" ht="14.4" x14ac:dyDescent="0.3">
      <c r="B194" s="48"/>
      <c r="C194" s="60"/>
      <c r="D194" s="53"/>
      <c r="E194" s="61"/>
      <c r="F194" s="48"/>
      <c r="G194" s="48"/>
      <c r="H194" s="53"/>
      <c r="I194" s="52"/>
      <c r="J194" s="52"/>
      <c r="L194" s="57"/>
    </row>
    <row r="195" spans="2:12" ht="14.4" x14ac:dyDescent="0.3">
      <c r="B195" s="48"/>
      <c r="C195" s="60"/>
      <c r="D195" s="53"/>
      <c r="E195" s="61"/>
      <c r="F195" s="48"/>
      <c r="G195" s="48"/>
      <c r="H195" s="53"/>
      <c r="I195" s="52"/>
      <c r="J195" s="52"/>
      <c r="L195" s="57"/>
    </row>
    <row r="196" spans="2:12" ht="14.4" x14ac:dyDescent="0.3">
      <c r="B196" s="48"/>
      <c r="C196" s="60"/>
      <c r="D196" s="53"/>
      <c r="E196" s="61"/>
      <c r="F196" s="48"/>
      <c r="G196" s="48"/>
      <c r="H196" s="53"/>
      <c r="I196" s="52"/>
      <c r="J196" s="52"/>
      <c r="L196" s="57"/>
    </row>
    <row r="197" spans="2:12" ht="14.4" x14ac:dyDescent="0.3">
      <c r="B197" s="48"/>
      <c r="C197" s="60"/>
      <c r="D197" s="53"/>
      <c r="E197" s="61"/>
      <c r="F197" s="48"/>
      <c r="G197" s="48"/>
      <c r="H197" s="53"/>
      <c r="I197" s="52"/>
      <c r="J197" s="52"/>
      <c r="L197" s="57"/>
    </row>
    <row r="198" spans="2:12" ht="14.4" x14ac:dyDescent="0.3">
      <c r="B198" s="48"/>
      <c r="C198" s="60"/>
      <c r="D198" s="53"/>
      <c r="E198" s="61"/>
      <c r="F198" s="48"/>
      <c r="G198" s="48"/>
      <c r="H198" s="53"/>
      <c r="I198" s="52"/>
      <c r="J198" s="52"/>
      <c r="L198" s="57"/>
    </row>
    <row r="199" spans="2:12" ht="14.4" x14ac:dyDescent="0.3">
      <c r="B199" s="48"/>
      <c r="C199" s="60"/>
      <c r="D199" s="53"/>
      <c r="E199" s="61"/>
      <c r="F199" s="48"/>
      <c r="G199" s="48"/>
      <c r="H199" s="53"/>
      <c r="I199" s="52"/>
      <c r="J199" s="52"/>
      <c r="L199" s="57"/>
    </row>
    <row r="200" spans="2:12" ht="14.4" x14ac:dyDescent="0.3">
      <c r="B200" s="48"/>
      <c r="C200" s="60"/>
      <c r="D200" s="53"/>
      <c r="E200" s="61"/>
      <c r="F200" s="48"/>
      <c r="G200" s="48"/>
      <c r="H200" s="53"/>
      <c r="I200" s="52"/>
      <c r="J200" s="52"/>
      <c r="L200" s="57"/>
    </row>
    <row r="201" spans="2:12" ht="14.4" x14ac:dyDescent="0.3">
      <c r="B201" s="48"/>
      <c r="C201" s="60"/>
      <c r="D201" s="53"/>
      <c r="E201" s="61"/>
      <c r="F201" s="48"/>
      <c r="G201" s="48"/>
      <c r="H201" s="53"/>
      <c r="I201" s="52"/>
      <c r="J201" s="52"/>
      <c r="L201" s="57"/>
    </row>
    <row r="202" spans="2:12" ht="14.4" x14ac:dyDescent="0.3">
      <c r="B202" s="48"/>
      <c r="C202" s="60"/>
      <c r="D202" s="53"/>
      <c r="E202" s="61"/>
      <c r="F202" s="48"/>
      <c r="G202" s="48"/>
      <c r="H202" s="53"/>
      <c r="I202" s="52"/>
      <c r="J202" s="52"/>
      <c r="L202" s="57"/>
    </row>
    <row r="203" spans="2:12" ht="14.4" x14ac:dyDescent="0.3">
      <c r="B203" s="48"/>
      <c r="C203" s="60"/>
      <c r="D203" s="53"/>
      <c r="E203" s="61"/>
      <c r="F203" s="48"/>
      <c r="G203" s="48"/>
      <c r="H203" s="53"/>
      <c r="I203" s="52"/>
      <c r="J203" s="52"/>
      <c r="L203" s="57"/>
    </row>
    <row r="204" spans="2:12" ht="14.4" x14ac:dyDescent="0.3">
      <c r="B204" s="48"/>
      <c r="C204" s="60"/>
      <c r="D204" s="53"/>
      <c r="E204" s="61"/>
      <c r="F204" s="48"/>
      <c r="G204" s="48"/>
      <c r="H204" s="53"/>
      <c r="I204" s="52"/>
      <c r="J204" s="52"/>
      <c r="L204" s="57"/>
    </row>
    <row r="205" spans="2:12" ht="14.4" x14ac:dyDescent="0.3">
      <c r="B205" s="48"/>
      <c r="C205" s="60"/>
      <c r="D205" s="53"/>
      <c r="E205" s="61"/>
      <c r="F205" s="48"/>
      <c r="G205" s="48"/>
      <c r="H205" s="53"/>
      <c r="I205" s="52"/>
      <c r="J205" s="52"/>
      <c r="L205" s="57"/>
    </row>
    <row r="206" spans="2:12" ht="14.4" x14ac:dyDescent="0.3">
      <c r="B206" s="48"/>
      <c r="C206" s="60"/>
      <c r="D206" s="53"/>
      <c r="E206" s="61"/>
      <c r="F206" s="48"/>
      <c r="G206" s="48"/>
      <c r="H206" s="53"/>
      <c r="I206" s="52"/>
      <c r="J206" s="52"/>
      <c r="L206" s="57"/>
    </row>
    <row r="207" spans="2:12" ht="14.4" x14ac:dyDescent="0.3">
      <c r="B207" s="48"/>
      <c r="C207" s="60"/>
      <c r="D207" s="53"/>
      <c r="E207" s="61"/>
      <c r="F207" s="48"/>
      <c r="G207" s="48"/>
      <c r="H207" s="53"/>
      <c r="I207" s="52"/>
      <c r="J207" s="52"/>
      <c r="L207" s="57"/>
    </row>
    <row r="208" spans="2:12" ht="14.4" x14ac:dyDescent="0.3">
      <c r="B208" s="48"/>
      <c r="C208" s="60"/>
      <c r="D208" s="53"/>
      <c r="E208" s="61"/>
      <c r="F208" s="48"/>
      <c r="G208" s="48"/>
      <c r="H208" s="53"/>
      <c r="I208" s="52"/>
      <c r="J208" s="52"/>
      <c r="L208" s="57"/>
    </row>
    <row r="209" spans="2:12" ht="14.4" x14ac:dyDescent="0.3">
      <c r="B209" s="48"/>
      <c r="C209" s="60"/>
      <c r="D209" s="53"/>
      <c r="E209" s="61"/>
      <c r="F209" s="48"/>
      <c r="G209" s="48"/>
      <c r="H209" s="53"/>
      <c r="I209" s="52"/>
      <c r="J209" s="52"/>
      <c r="L209" s="57"/>
    </row>
    <row r="210" spans="2:12" ht="14.4" x14ac:dyDescent="0.3">
      <c r="B210" s="48"/>
      <c r="C210" s="60"/>
      <c r="D210" s="53"/>
      <c r="E210" s="61"/>
      <c r="F210" s="48"/>
      <c r="G210" s="48"/>
      <c r="H210" s="53"/>
      <c r="I210" s="52"/>
      <c r="J210" s="52"/>
      <c r="L210" s="57"/>
    </row>
    <row r="211" spans="2:12" ht="14.4" x14ac:dyDescent="0.3">
      <c r="B211" s="48"/>
      <c r="C211" s="60"/>
      <c r="D211" s="53"/>
      <c r="E211" s="61"/>
      <c r="F211" s="48"/>
      <c r="G211" s="48"/>
      <c r="H211" s="53"/>
      <c r="I211" s="52"/>
      <c r="J211" s="52"/>
      <c r="L211" s="57"/>
    </row>
    <row r="212" spans="2:12" ht="14.4" x14ac:dyDescent="0.3">
      <c r="B212" s="48"/>
      <c r="C212" s="60"/>
      <c r="D212" s="53"/>
      <c r="E212" s="61"/>
      <c r="F212" s="48"/>
      <c r="G212" s="48"/>
      <c r="H212" s="53"/>
      <c r="I212" s="52"/>
      <c r="J212" s="52"/>
      <c r="L212" s="57"/>
    </row>
    <row r="213" spans="2:12" ht="14.4" x14ac:dyDescent="0.3">
      <c r="B213" s="48"/>
      <c r="C213" s="60"/>
      <c r="D213" s="53"/>
      <c r="E213" s="61"/>
      <c r="F213" s="48"/>
      <c r="G213" s="48"/>
      <c r="H213" s="53"/>
      <c r="I213" s="52"/>
      <c r="J213" s="52"/>
      <c r="L213" s="57"/>
    </row>
    <row r="214" spans="2:12" ht="14.4" x14ac:dyDescent="0.3">
      <c r="B214" s="48"/>
      <c r="C214" s="60"/>
      <c r="D214" s="53"/>
      <c r="E214" s="61"/>
      <c r="F214" s="48"/>
      <c r="G214" s="48"/>
      <c r="H214" s="53"/>
      <c r="I214" s="52"/>
      <c r="J214" s="52"/>
      <c r="L214" s="57"/>
    </row>
    <row r="215" spans="2:12" ht="14.4" x14ac:dyDescent="0.3">
      <c r="B215" s="48"/>
      <c r="C215" s="60"/>
      <c r="D215" s="53"/>
      <c r="E215" s="61"/>
      <c r="F215" s="48"/>
      <c r="G215" s="48"/>
      <c r="H215" s="53"/>
      <c r="I215" s="52"/>
      <c r="J215" s="52"/>
      <c r="L215" s="57"/>
    </row>
    <row r="216" spans="2:12" ht="14.4" x14ac:dyDescent="0.3">
      <c r="B216" s="48"/>
      <c r="C216" s="60"/>
      <c r="D216" s="53"/>
      <c r="E216" s="61"/>
      <c r="F216" s="48"/>
      <c r="G216" s="48"/>
      <c r="H216" s="53"/>
      <c r="I216" s="52"/>
      <c r="J216" s="52"/>
      <c r="L216" s="57"/>
    </row>
    <row r="217" spans="2:12" ht="14.4" x14ac:dyDescent="0.3">
      <c r="B217" s="48"/>
      <c r="C217" s="60"/>
      <c r="D217" s="53"/>
      <c r="E217" s="61"/>
      <c r="F217" s="48"/>
      <c r="G217" s="48"/>
      <c r="H217" s="53"/>
      <c r="I217" s="52"/>
      <c r="J217" s="52"/>
      <c r="L217" s="57"/>
    </row>
    <row r="218" spans="2:12" ht="14.4" x14ac:dyDescent="0.3">
      <c r="B218" s="48"/>
      <c r="C218" s="60"/>
      <c r="D218" s="53"/>
      <c r="E218" s="61"/>
      <c r="F218" s="48"/>
      <c r="G218" s="48"/>
      <c r="H218" s="53"/>
      <c r="I218" s="52"/>
      <c r="J218" s="52"/>
      <c r="L218" s="57"/>
    </row>
    <row r="219" spans="2:12" ht="14.4" x14ac:dyDescent="0.3">
      <c r="B219" s="48"/>
      <c r="C219" s="60"/>
      <c r="D219" s="53"/>
      <c r="E219" s="61"/>
      <c r="F219" s="48"/>
      <c r="G219" s="48"/>
      <c r="H219" s="53"/>
      <c r="I219" s="52"/>
      <c r="J219" s="52"/>
      <c r="L219" s="57"/>
    </row>
    <row r="220" spans="2:12" ht="14.4" x14ac:dyDescent="0.3">
      <c r="B220" s="48"/>
      <c r="C220" s="60"/>
      <c r="D220" s="53"/>
      <c r="E220" s="61"/>
      <c r="F220" s="48"/>
      <c r="G220" s="48"/>
      <c r="H220" s="53"/>
      <c r="I220" s="52"/>
      <c r="J220" s="52"/>
      <c r="L220" s="57"/>
    </row>
    <row r="221" spans="2:12" ht="14.4" x14ac:dyDescent="0.3">
      <c r="B221" s="48"/>
      <c r="C221" s="60"/>
      <c r="D221" s="53"/>
      <c r="E221" s="61"/>
      <c r="F221" s="48"/>
      <c r="G221" s="48"/>
      <c r="H221" s="53"/>
      <c r="I221" s="52"/>
      <c r="J221" s="52"/>
      <c r="L221" s="57"/>
    </row>
    <row r="222" spans="2:12" ht="14.4" x14ac:dyDescent="0.3">
      <c r="B222" s="48"/>
      <c r="C222" s="60"/>
      <c r="D222" s="53"/>
      <c r="E222" s="61"/>
      <c r="F222" s="48"/>
      <c r="G222" s="48"/>
      <c r="H222" s="53"/>
      <c r="I222" s="52"/>
      <c r="J222" s="52"/>
      <c r="L222" s="57"/>
    </row>
    <row r="223" spans="2:12" ht="14.4" x14ac:dyDescent="0.3">
      <c r="B223" s="48"/>
      <c r="C223" s="60"/>
      <c r="D223" s="53"/>
      <c r="E223" s="61"/>
      <c r="F223" s="48"/>
      <c r="G223" s="48"/>
      <c r="H223" s="53"/>
      <c r="I223" s="52"/>
      <c r="J223" s="52"/>
      <c r="L223" s="57"/>
    </row>
    <row r="224" spans="2:12" ht="14.4" x14ac:dyDescent="0.3">
      <c r="B224" s="48"/>
      <c r="C224" s="60"/>
      <c r="D224" s="53"/>
      <c r="E224" s="61"/>
      <c r="F224" s="48"/>
      <c r="G224" s="48"/>
      <c r="H224" s="53"/>
      <c r="I224" s="52"/>
      <c r="J224" s="52"/>
      <c r="L224" s="57"/>
    </row>
    <row r="225" spans="2:12" ht="14.4" x14ac:dyDescent="0.3">
      <c r="B225" s="48"/>
      <c r="C225" s="60"/>
      <c r="D225" s="53"/>
      <c r="E225" s="61"/>
      <c r="F225" s="48"/>
      <c r="G225" s="48"/>
      <c r="H225" s="53"/>
      <c r="I225" s="52"/>
      <c r="J225" s="52"/>
      <c r="L225" s="57"/>
    </row>
    <row r="226" spans="2:12" ht="14.4" x14ac:dyDescent="0.3">
      <c r="B226" s="48"/>
      <c r="C226" s="60"/>
      <c r="D226" s="53"/>
      <c r="E226" s="61"/>
      <c r="F226" s="48"/>
      <c r="G226" s="48"/>
      <c r="H226" s="53"/>
      <c r="I226" s="52"/>
      <c r="J226" s="52"/>
      <c r="L226" s="57"/>
    </row>
    <row r="227" spans="2:12" ht="14.4" x14ac:dyDescent="0.3">
      <c r="B227" s="48"/>
      <c r="C227" s="60"/>
      <c r="D227" s="53"/>
      <c r="E227" s="61"/>
      <c r="F227" s="48"/>
      <c r="G227" s="48"/>
      <c r="H227" s="53"/>
      <c r="I227" s="52"/>
      <c r="J227" s="52"/>
      <c r="L227" s="57"/>
    </row>
    <row r="228" spans="2:12" ht="14.4" x14ac:dyDescent="0.3">
      <c r="B228" s="48"/>
      <c r="C228" s="60"/>
      <c r="D228" s="53"/>
      <c r="E228" s="61"/>
      <c r="F228" s="48"/>
      <c r="G228" s="48"/>
      <c r="H228" s="53"/>
      <c r="I228" s="52"/>
      <c r="J228" s="52"/>
      <c r="L228" s="57"/>
    </row>
    <row r="229" spans="2:12" ht="14.4" x14ac:dyDescent="0.3">
      <c r="B229" s="48"/>
      <c r="C229" s="60"/>
      <c r="D229" s="53"/>
      <c r="E229" s="61"/>
      <c r="F229" s="48"/>
      <c r="G229" s="48"/>
      <c r="H229" s="53"/>
      <c r="I229" s="52"/>
      <c r="J229" s="52"/>
      <c r="L229" s="57"/>
    </row>
    <row r="230" spans="2:12" ht="14.4" x14ac:dyDescent="0.3">
      <c r="B230" s="48"/>
      <c r="C230" s="60"/>
      <c r="D230" s="53"/>
      <c r="E230" s="61"/>
      <c r="F230" s="48"/>
      <c r="G230" s="48"/>
      <c r="H230" s="53"/>
      <c r="I230" s="52"/>
      <c r="J230" s="52"/>
      <c r="L230" s="57"/>
    </row>
    <row r="231" spans="2:12" ht="14.4" x14ac:dyDescent="0.3">
      <c r="B231" s="48"/>
      <c r="C231" s="60"/>
      <c r="D231" s="53"/>
      <c r="E231" s="61"/>
      <c r="F231" s="48"/>
      <c r="G231" s="48"/>
      <c r="H231" s="53"/>
      <c r="I231" s="52"/>
      <c r="J231" s="52"/>
      <c r="L231" s="57"/>
    </row>
    <row r="232" spans="2:12" ht="14.4" x14ac:dyDescent="0.3">
      <c r="B232" s="48"/>
      <c r="C232" s="60"/>
      <c r="D232" s="53"/>
      <c r="E232" s="61"/>
      <c r="F232" s="48"/>
      <c r="G232" s="48"/>
      <c r="H232" s="53"/>
      <c r="I232" s="52"/>
      <c r="J232" s="52"/>
      <c r="L232" s="57"/>
    </row>
    <row r="233" spans="2:12" ht="14.4" x14ac:dyDescent="0.3">
      <c r="B233" s="48"/>
      <c r="C233" s="60"/>
      <c r="D233" s="53"/>
      <c r="E233" s="61"/>
      <c r="F233" s="48"/>
      <c r="G233" s="48"/>
      <c r="H233" s="53"/>
      <c r="I233" s="52"/>
      <c r="J233" s="52"/>
      <c r="L233" s="57"/>
    </row>
    <row r="234" spans="2:12" ht="14.4" x14ac:dyDescent="0.3">
      <c r="B234" s="48"/>
      <c r="C234" s="60"/>
      <c r="D234" s="53"/>
      <c r="E234" s="61"/>
      <c r="F234" s="48"/>
      <c r="G234" s="48"/>
      <c r="H234" s="53"/>
      <c r="I234" s="52"/>
      <c r="J234" s="52"/>
      <c r="L234" s="57"/>
    </row>
    <row r="235" spans="2:12" ht="14.4" x14ac:dyDescent="0.3">
      <c r="B235" s="48"/>
      <c r="C235" s="60"/>
      <c r="D235" s="53"/>
      <c r="E235" s="61"/>
      <c r="F235" s="48"/>
      <c r="G235" s="48"/>
      <c r="H235" s="53"/>
      <c r="I235" s="52"/>
      <c r="J235" s="52"/>
      <c r="L235" s="57"/>
    </row>
    <row r="236" spans="2:12" ht="14.4" x14ac:dyDescent="0.3">
      <c r="B236" s="48"/>
      <c r="C236" s="60"/>
      <c r="D236" s="53"/>
      <c r="E236" s="61"/>
      <c r="F236" s="48"/>
      <c r="G236" s="48"/>
      <c r="H236" s="53"/>
      <c r="I236" s="52"/>
      <c r="J236" s="52"/>
      <c r="L236" s="57"/>
    </row>
    <row r="237" spans="2:12" ht="14.4" x14ac:dyDescent="0.3">
      <c r="B237" s="48"/>
      <c r="C237" s="60"/>
      <c r="D237" s="53"/>
      <c r="E237" s="61"/>
      <c r="F237" s="48"/>
      <c r="G237" s="48"/>
      <c r="H237" s="53"/>
      <c r="I237" s="52"/>
      <c r="J237" s="52"/>
      <c r="L237" s="57"/>
    </row>
    <row r="238" spans="2:12" ht="14.4" x14ac:dyDescent="0.3">
      <c r="B238" s="48"/>
      <c r="C238" s="60"/>
      <c r="D238" s="53"/>
      <c r="E238" s="61"/>
      <c r="F238" s="48"/>
      <c r="G238" s="48"/>
      <c r="H238" s="53"/>
      <c r="I238" s="52"/>
      <c r="J238" s="52"/>
      <c r="L238" s="57"/>
    </row>
    <row r="239" spans="2:12" ht="14.4" x14ac:dyDescent="0.3">
      <c r="B239" s="48"/>
      <c r="C239" s="60"/>
      <c r="D239" s="53"/>
      <c r="E239" s="61"/>
      <c r="F239" s="48"/>
      <c r="G239" s="48"/>
      <c r="H239" s="53"/>
      <c r="I239" s="52"/>
      <c r="J239" s="52"/>
      <c r="L239" s="57"/>
    </row>
    <row r="240" spans="2:12" ht="14.4" x14ac:dyDescent="0.3">
      <c r="B240" s="48"/>
      <c r="C240" s="60"/>
      <c r="D240" s="53"/>
      <c r="E240" s="61"/>
      <c r="F240" s="48"/>
      <c r="G240" s="48"/>
      <c r="H240" s="53"/>
      <c r="I240" s="52"/>
      <c r="J240" s="52"/>
      <c r="L240" s="57"/>
    </row>
    <row r="241" spans="2:12" ht="14.4" x14ac:dyDescent="0.3">
      <c r="B241" s="48"/>
      <c r="C241" s="60"/>
      <c r="D241" s="53"/>
      <c r="E241" s="61"/>
      <c r="F241" s="48"/>
      <c r="G241" s="48"/>
      <c r="H241" s="53"/>
      <c r="I241" s="52"/>
      <c r="J241" s="52"/>
      <c r="L241" s="57"/>
    </row>
    <row r="242" spans="2:12" ht="14.4" x14ac:dyDescent="0.3">
      <c r="B242" s="48"/>
      <c r="C242" s="60"/>
      <c r="D242" s="53"/>
      <c r="E242" s="61"/>
      <c r="F242" s="48"/>
      <c r="G242" s="48"/>
      <c r="H242" s="53"/>
      <c r="I242" s="52"/>
      <c r="J242" s="52"/>
      <c r="L242" s="57"/>
    </row>
    <row r="243" spans="2:12" ht="14.4" x14ac:dyDescent="0.3">
      <c r="B243" s="48"/>
      <c r="C243" s="60"/>
      <c r="D243" s="53"/>
      <c r="E243" s="61"/>
      <c r="F243" s="48"/>
      <c r="G243" s="48"/>
      <c r="H243" s="53"/>
      <c r="I243" s="52"/>
      <c r="J243" s="52"/>
      <c r="L243" s="57"/>
    </row>
    <row r="244" spans="2:12" ht="14.4" x14ac:dyDescent="0.3">
      <c r="B244" s="48"/>
      <c r="C244" s="60"/>
      <c r="D244" s="53"/>
      <c r="E244" s="61"/>
      <c r="F244" s="48"/>
      <c r="G244" s="48"/>
      <c r="H244" s="53"/>
      <c r="I244" s="52"/>
      <c r="J244" s="52"/>
      <c r="L244" s="57"/>
    </row>
    <row r="245" spans="2:12" ht="14.4" x14ac:dyDescent="0.3">
      <c r="B245" s="48"/>
      <c r="C245" s="60"/>
      <c r="D245" s="53"/>
      <c r="E245" s="61"/>
      <c r="F245" s="48"/>
      <c r="G245" s="48"/>
      <c r="H245" s="53"/>
      <c r="I245" s="52"/>
      <c r="J245" s="52"/>
      <c r="L245" s="57"/>
    </row>
    <row r="246" spans="2:12" ht="14.4" x14ac:dyDescent="0.3">
      <c r="B246" s="48"/>
      <c r="C246" s="60"/>
      <c r="D246" s="53"/>
      <c r="E246" s="61"/>
      <c r="F246" s="48"/>
      <c r="G246" s="48"/>
      <c r="H246" s="53"/>
      <c r="I246" s="52"/>
      <c r="J246" s="52"/>
      <c r="L246" s="57"/>
    </row>
    <row r="247" spans="2:12" ht="14.4" x14ac:dyDescent="0.3">
      <c r="B247" s="48"/>
      <c r="C247" s="60"/>
      <c r="D247" s="53"/>
      <c r="E247" s="61"/>
      <c r="F247" s="48"/>
      <c r="G247" s="48"/>
      <c r="H247" s="53"/>
      <c r="I247" s="52"/>
      <c r="J247" s="52"/>
      <c r="L247" s="57"/>
    </row>
    <row r="248" spans="2:12" ht="14.4" x14ac:dyDescent="0.3">
      <c r="B248" s="48"/>
      <c r="C248" s="60"/>
      <c r="D248" s="53"/>
      <c r="E248" s="61"/>
      <c r="F248" s="48"/>
      <c r="G248" s="48"/>
      <c r="H248" s="53"/>
      <c r="I248" s="52"/>
      <c r="J248" s="52"/>
      <c r="L248" s="57"/>
    </row>
    <row r="249" spans="2:12" ht="14.4" x14ac:dyDescent="0.3">
      <c r="B249" s="48"/>
      <c r="C249" s="60"/>
      <c r="D249" s="53"/>
      <c r="E249" s="61"/>
      <c r="F249" s="48"/>
      <c r="G249" s="48"/>
      <c r="H249" s="53"/>
      <c r="I249" s="52"/>
      <c r="J249" s="52"/>
      <c r="L249" s="57"/>
    </row>
    <row r="250" spans="2:12" ht="14.4" x14ac:dyDescent="0.3">
      <c r="B250" s="48"/>
      <c r="C250" s="60"/>
      <c r="D250" s="53"/>
      <c r="E250" s="61"/>
      <c r="F250" s="48"/>
      <c r="G250" s="48"/>
      <c r="H250" s="53"/>
      <c r="I250" s="52"/>
      <c r="J250" s="52"/>
      <c r="L250" s="57"/>
    </row>
    <row r="251" spans="2:12" ht="14.4" x14ac:dyDescent="0.3">
      <c r="B251" s="48"/>
      <c r="C251" s="60"/>
      <c r="D251" s="53"/>
      <c r="E251" s="61"/>
      <c r="F251" s="48"/>
      <c r="G251" s="48"/>
      <c r="H251" s="53"/>
      <c r="I251" s="52"/>
      <c r="J251" s="52"/>
      <c r="L251" s="57"/>
    </row>
    <row r="252" spans="2:12" ht="14.4" x14ac:dyDescent="0.3">
      <c r="B252" s="48"/>
      <c r="C252" s="60"/>
      <c r="D252" s="53"/>
      <c r="E252" s="61"/>
      <c r="F252" s="48"/>
      <c r="G252" s="48"/>
      <c r="H252" s="53"/>
      <c r="I252" s="52"/>
      <c r="J252" s="52"/>
      <c r="L252" s="57"/>
    </row>
    <row r="253" spans="2:12" ht="14.4" x14ac:dyDescent="0.3">
      <c r="B253" s="48"/>
      <c r="C253" s="60"/>
      <c r="D253" s="53"/>
      <c r="E253" s="61"/>
      <c r="F253" s="48"/>
      <c r="G253" s="48"/>
      <c r="H253" s="53"/>
      <c r="I253" s="52"/>
      <c r="J253" s="52"/>
      <c r="L253" s="57"/>
    </row>
    <row r="254" spans="2:12" ht="14.4" x14ac:dyDescent="0.3">
      <c r="B254" s="48"/>
      <c r="C254" s="60"/>
      <c r="D254" s="53"/>
      <c r="E254" s="61"/>
      <c r="F254" s="48"/>
      <c r="G254" s="48"/>
      <c r="H254" s="53"/>
      <c r="I254" s="52"/>
      <c r="J254" s="52"/>
      <c r="L254" s="57"/>
    </row>
    <row r="255" spans="2:12" ht="14.4" x14ac:dyDescent="0.3">
      <c r="B255" s="48"/>
      <c r="C255" s="60"/>
      <c r="D255" s="53"/>
      <c r="E255" s="61"/>
      <c r="F255" s="48"/>
      <c r="G255" s="48"/>
      <c r="H255" s="53"/>
      <c r="I255" s="52"/>
      <c r="J255" s="52"/>
      <c r="L255" s="57"/>
    </row>
    <row r="256" spans="2:12" ht="14.4" x14ac:dyDescent="0.3">
      <c r="B256" s="48"/>
      <c r="C256" s="60"/>
      <c r="D256" s="53"/>
      <c r="E256" s="61"/>
      <c r="F256" s="48"/>
      <c r="G256" s="48"/>
      <c r="H256" s="53"/>
      <c r="I256" s="52"/>
      <c r="J256" s="52"/>
      <c r="L256" s="57"/>
    </row>
    <row r="257" spans="2:12" ht="14.4" x14ac:dyDescent="0.3">
      <c r="B257" s="48"/>
      <c r="C257" s="60"/>
      <c r="D257" s="53"/>
      <c r="E257" s="61"/>
      <c r="F257" s="48"/>
      <c r="G257" s="48"/>
      <c r="H257" s="53"/>
      <c r="I257" s="52"/>
      <c r="J257" s="52"/>
      <c r="L257" s="57"/>
    </row>
    <row r="258" spans="2:12" ht="14.4" x14ac:dyDescent="0.3">
      <c r="B258" s="48"/>
      <c r="C258" s="60"/>
      <c r="D258" s="53"/>
      <c r="E258" s="61"/>
      <c r="F258" s="48"/>
      <c r="G258" s="48"/>
      <c r="H258" s="53"/>
      <c r="I258" s="52"/>
      <c r="J258" s="52"/>
      <c r="L258" s="57"/>
    </row>
    <row r="259" spans="2:12" ht="14.4" x14ac:dyDescent="0.3">
      <c r="B259" s="48"/>
      <c r="C259" s="60"/>
      <c r="D259" s="53"/>
      <c r="E259" s="61"/>
      <c r="F259" s="48"/>
      <c r="G259" s="48"/>
      <c r="H259" s="53"/>
      <c r="I259" s="52"/>
      <c r="J259" s="52"/>
      <c r="L259" s="57"/>
    </row>
    <row r="260" spans="2:12" ht="14.4" x14ac:dyDescent="0.3">
      <c r="B260" s="48"/>
      <c r="C260" s="60"/>
      <c r="D260" s="53"/>
      <c r="E260" s="61"/>
      <c r="F260" s="48"/>
      <c r="G260" s="48"/>
      <c r="H260" s="53"/>
      <c r="I260" s="52"/>
      <c r="J260" s="52"/>
      <c r="L260" s="57"/>
    </row>
    <row r="261" spans="2:12" ht="14.4" x14ac:dyDescent="0.3">
      <c r="B261" s="48"/>
      <c r="C261" s="60"/>
      <c r="D261" s="53"/>
      <c r="E261" s="61"/>
      <c r="F261" s="48"/>
      <c r="G261" s="48"/>
      <c r="H261" s="53"/>
      <c r="I261" s="52"/>
      <c r="J261" s="52"/>
      <c r="L261" s="57"/>
    </row>
    <row r="262" spans="2:12" ht="14.4" x14ac:dyDescent="0.3">
      <c r="B262" s="48"/>
      <c r="C262" s="60"/>
      <c r="D262" s="53"/>
      <c r="E262" s="61"/>
      <c r="F262" s="48"/>
      <c r="G262" s="48"/>
      <c r="H262" s="53"/>
      <c r="I262" s="52"/>
      <c r="J262" s="52"/>
      <c r="L262" s="57"/>
    </row>
    <row r="263" spans="2:12" ht="14.4" x14ac:dyDescent="0.3">
      <c r="B263" s="48"/>
      <c r="C263" s="60"/>
      <c r="D263" s="53"/>
      <c r="E263" s="61"/>
      <c r="F263" s="48"/>
      <c r="G263" s="48"/>
      <c r="H263" s="53"/>
      <c r="I263" s="52"/>
      <c r="J263" s="52"/>
      <c r="L263" s="57"/>
    </row>
    <row r="264" spans="2:12" ht="14.4" x14ac:dyDescent="0.3">
      <c r="B264" s="48"/>
      <c r="C264" s="60"/>
      <c r="D264" s="53"/>
      <c r="E264" s="61"/>
      <c r="F264" s="48"/>
      <c r="G264" s="48"/>
      <c r="H264" s="53"/>
      <c r="I264" s="52"/>
      <c r="J264" s="52"/>
      <c r="L264" s="57"/>
    </row>
    <row r="265" spans="2:12" ht="14.4" x14ac:dyDescent="0.3">
      <c r="B265" s="48"/>
      <c r="C265" s="60"/>
      <c r="D265" s="53"/>
      <c r="E265" s="61"/>
      <c r="F265" s="48"/>
      <c r="G265" s="48"/>
      <c r="H265" s="53"/>
      <c r="I265" s="52"/>
      <c r="J265" s="52"/>
      <c r="L265" s="57"/>
    </row>
    <row r="266" spans="2:12" ht="14.4" x14ac:dyDescent="0.3">
      <c r="B266" s="48"/>
      <c r="C266" s="60"/>
      <c r="D266" s="53"/>
      <c r="E266" s="61"/>
      <c r="F266" s="48"/>
      <c r="G266" s="48"/>
      <c r="H266" s="53"/>
      <c r="I266" s="52"/>
      <c r="J266" s="52"/>
      <c r="L266" s="57"/>
    </row>
    <row r="267" spans="2:12" ht="14.4" x14ac:dyDescent="0.3">
      <c r="B267" s="48"/>
      <c r="C267" s="60"/>
      <c r="D267" s="53"/>
      <c r="E267" s="61"/>
      <c r="F267" s="48"/>
      <c r="G267" s="48"/>
      <c r="H267" s="53"/>
      <c r="I267" s="52"/>
      <c r="J267" s="52"/>
      <c r="L267" s="57"/>
    </row>
    <row r="268" spans="2:12" ht="14.4" x14ac:dyDescent="0.3">
      <c r="B268" s="48"/>
      <c r="C268" s="60"/>
      <c r="D268" s="53"/>
      <c r="E268" s="61"/>
      <c r="F268" s="48"/>
      <c r="G268" s="48"/>
      <c r="H268" s="53"/>
      <c r="I268" s="52"/>
      <c r="J268" s="52"/>
      <c r="L268" s="57"/>
    </row>
    <row r="269" spans="2:12" ht="14.4" x14ac:dyDescent="0.3">
      <c r="B269" s="48"/>
      <c r="C269" s="60"/>
      <c r="D269" s="53"/>
      <c r="E269" s="61"/>
      <c r="F269" s="48"/>
      <c r="G269" s="48"/>
      <c r="H269" s="53"/>
      <c r="I269" s="52"/>
      <c r="J269" s="52"/>
      <c r="L269" s="57"/>
    </row>
    <row r="270" spans="2:12" ht="14.4" x14ac:dyDescent="0.3">
      <c r="B270" s="48"/>
      <c r="C270" s="60"/>
      <c r="D270" s="53"/>
      <c r="E270" s="61"/>
      <c r="F270" s="48"/>
      <c r="G270" s="48"/>
      <c r="H270" s="53"/>
      <c r="I270" s="52"/>
      <c r="J270" s="52"/>
      <c r="L270" s="57"/>
    </row>
    <row r="271" spans="2:12" ht="14.4" x14ac:dyDescent="0.3">
      <c r="B271" s="48"/>
      <c r="C271" s="60"/>
      <c r="D271" s="53"/>
      <c r="E271" s="61"/>
      <c r="F271" s="48"/>
      <c r="G271" s="48"/>
      <c r="H271" s="53"/>
      <c r="I271" s="52"/>
      <c r="J271" s="52"/>
      <c r="L271" s="57"/>
    </row>
    <row r="272" spans="2:12" ht="14.4" x14ac:dyDescent="0.3">
      <c r="B272" s="48"/>
      <c r="C272" s="60"/>
      <c r="D272" s="53"/>
      <c r="E272" s="61"/>
      <c r="F272" s="48"/>
      <c r="G272" s="48"/>
      <c r="H272" s="53"/>
      <c r="I272" s="52"/>
      <c r="J272" s="52"/>
      <c r="L272" s="57"/>
    </row>
    <row r="273" spans="2:12" ht="14.4" x14ac:dyDescent="0.3">
      <c r="B273" s="48"/>
      <c r="C273" s="60"/>
      <c r="D273" s="53"/>
      <c r="E273" s="61"/>
      <c r="F273" s="48"/>
      <c r="G273" s="48"/>
      <c r="H273" s="53"/>
      <c r="I273" s="52"/>
      <c r="J273" s="52"/>
      <c r="L273" s="57"/>
    </row>
    <row r="274" spans="2:12" ht="14.4" x14ac:dyDescent="0.3">
      <c r="B274" s="48"/>
      <c r="C274" s="60"/>
      <c r="D274" s="53"/>
      <c r="E274" s="61"/>
      <c r="F274" s="48"/>
      <c r="G274" s="48"/>
      <c r="H274" s="53"/>
      <c r="I274" s="52"/>
      <c r="J274" s="52"/>
      <c r="L274" s="57"/>
    </row>
    <row r="275" spans="2:12" ht="14.4" x14ac:dyDescent="0.3">
      <c r="B275" s="48"/>
      <c r="C275" s="60"/>
      <c r="D275" s="53"/>
      <c r="E275" s="61"/>
      <c r="F275" s="48"/>
      <c r="G275" s="48"/>
      <c r="H275" s="53"/>
      <c r="I275" s="52"/>
      <c r="L275" s="57"/>
    </row>
    <row r="276" spans="2:12" ht="14.4" x14ac:dyDescent="0.3">
      <c r="B276" s="48"/>
      <c r="C276" s="60"/>
      <c r="D276" s="53"/>
      <c r="E276" s="61"/>
      <c r="F276" s="48"/>
      <c r="G276" s="48"/>
      <c r="H276" s="53"/>
      <c r="I276" s="52"/>
      <c r="L276" s="57"/>
    </row>
    <row r="277" spans="2:12" ht="14.4" x14ac:dyDescent="0.3">
      <c r="B277" s="48"/>
      <c r="C277" s="60"/>
      <c r="D277" s="53"/>
      <c r="E277" s="61"/>
      <c r="F277" s="48"/>
      <c r="G277" s="48"/>
      <c r="H277" s="53"/>
      <c r="I277" s="52"/>
      <c r="L277" s="57"/>
    </row>
    <row r="278" spans="2:12" ht="14.4" x14ac:dyDescent="0.3">
      <c r="B278" s="48"/>
      <c r="C278" s="60"/>
      <c r="D278" s="53"/>
      <c r="E278" s="61"/>
      <c r="F278" s="48"/>
      <c r="G278" s="48"/>
      <c r="H278" s="53"/>
      <c r="I278" s="52"/>
      <c r="J278" s="52"/>
      <c r="L278" s="57"/>
    </row>
    <row r="279" spans="2:12" ht="14.4" x14ac:dyDescent="0.3">
      <c r="B279" s="48"/>
      <c r="C279" s="60"/>
      <c r="D279" s="53"/>
      <c r="E279" s="61"/>
      <c r="F279" s="48"/>
      <c r="G279" s="48"/>
      <c r="H279" s="53"/>
      <c r="I279" s="52"/>
      <c r="J279" s="52"/>
      <c r="L279" s="57"/>
    </row>
    <row r="280" spans="2:12" ht="14.4" x14ac:dyDescent="0.3">
      <c r="B280" s="48"/>
      <c r="C280" s="60"/>
      <c r="D280" s="53"/>
      <c r="E280" s="61"/>
      <c r="F280" s="48"/>
      <c r="G280" s="48"/>
      <c r="H280" s="53"/>
      <c r="I280" s="52"/>
      <c r="J280" s="52"/>
      <c r="L280" s="57"/>
    </row>
    <row r="281" spans="2:12" ht="14.4" x14ac:dyDescent="0.3">
      <c r="B281" s="48"/>
      <c r="C281" s="60"/>
      <c r="D281" s="53"/>
      <c r="E281" s="61"/>
      <c r="F281" s="48"/>
      <c r="G281" s="48"/>
      <c r="H281" s="53"/>
      <c r="I281" s="52"/>
      <c r="L281" s="57"/>
    </row>
    <row r="282" spans="2:12" ht="14.4" x14ac:dyDescent="0.3">
      <c r="B282" s="48"/>
      <c r="C282" s="60"/>
      <c r="D282" s="53"/>
      <c r="E282" s="61"/>
      <c r="F282" s="48"/>
      <c r="G282" s="48"/>
      <c r="H282" s="53"/>
      <c r="L282" s="57"/>
    </row>
    <row r="283" spans="2:12" ht="14.4" x14ac:dyDescent="0.3">
      <c r="B283" s="48"/>
      <c r="C283" s="60"/>
      <c r="D283" s="53"/>
      <c r="E283" s="61"/>
      <c r="F283" s="48"/>
      <c r="G283" s="48"/>
      <c r="H283" s="53"/>
      <c r="I283" s="52"/>
      <c r="L283" s="57"/>
    </row>
    <row r="284" spans="2:12" ht="14.4" x14ac:dyDescent="0.3">
      <c r="B284" s="48"/>
      <c r="C284" s="60"/>
      <c r="D284" s="53"/>
      <c r="E284" s="61"/>
      <c r="F284" s="48"/>
      <c r="G284" s="48"/>
      <c r="H284" s="53"/>
      <c r="I284" s="52"/>
      <c r="L284" s="57"/>
    </row>
    <row r="285" spans="2:12" ht="14.4" x14ac:dyDescent="0.3">
      <c r="B285" s="48"/>
      <c r="C285" s="60"/>
      <c r="D285" s="53"/>
      <c r="E285" s="61"/>
      <c r="F285" s="48"/>
      <c r="G285" s="48"/>
      <c r="H285" s="53"/>
      <c r="I285" s="52"/>
      <c r="L285" s="57"/>
    </row>
    <row r="286" spans="2:12" ht="14.4" x14ac:dyDescent="0.3">
      <c r="B286" s="48"/>
      <c r="C286" s="60"/>
      <c r="D286" s="53"/>
      <c r="E286" s="61"/>
      <c r="F286" s="48"/>
      <c r="G286" s="48"/>
      <c r="H286" s="53"/>
      <c r="I286" s="52"/>
      <c r="J286" s="52"/>
      <c r="L286" s="57"/>
    </row>
    <row r="287" spans="2:12" ht="14.4" x14ac:dyDescent="0.3">
      <c r="B287" s="48"/>
      <c r="C287" s="60"/>
      <c r="D287" s="53"/>
      <c r="E287" s="61"/>
      <c r="F287" s="48"/>
      <c r="G287" s="48"/>
      <c r="H287" s="53"/>
      <c r="I287" s="52"/>
      <c r="J287" s="52"/>
      <c r="L287" s="57"/>
    </row>
    <row r="288" spans="2:12" ht="14.4" x14ac:dyDescent="0.3">
      <c r="B288" s="48"/>
      <c r="C288" s="60"/>
      <c r="D288" s="53"/>
      <c r="E288" s="61"/>
      <c r="F288" s="48"/>
      <c r="G288" s="48"/>
      <c r="H288" s="53"/>
      <c r="I288" s="52"/>
      <c r="J288" s="52"/>
      <c r="L288" s="57"/>
    </row>
    <row r="289" spans="2:12" ht="14.4" x14ac:dyDescent="0.3">
      <c r="B289" s="48"/>
      <c r="C289" s="60"/>
      <c r="D289" s="53"/>
      <c r="E289" s="61"/>
      <c r="F289" s="48"/>
      <c r="G289" s="48"/>
      <c r="H289" s="53"/>
      <c r="I289" s="52"/>
      <c r="J289" s="52"/>
      <c r="L289" s="57"/>
    </row>
    <row r="290" spans="2:12" ht="14.4" x14ac:dyDescent="0.3">
      <c r="B290" s="48"/>
      <c r="C290" s="60"/>
      <c r="D290" s="53"/>
      <c r="E290" s="61"/>
      <c r="F290" s="48"/>
      <c r="G290" s="48"/>
      <c r="H290" s="53"/>
      <c r="I290" s="52"/>
      <c r="J290" s="52"/>
      <c r="L290" s="57"/>
    </row>
    <row r="291" spans="2:12" ht="14.4" x14ac:dyDescent="0.3">
      <c r="B291" s="48"/>
      <c r="C291" s="60"/>
      <c r="D291" s="53"/>
      <c r="E291" s="61"/>
      <c r="F291" s="48"/>
      <c r="G291" s="48"/>
      <c r="H291" s="53"/>
      <c r="I291" s="52"/>
      <c r="J291" s="52"/>
      <c r="L291" s="57"/>
    </row>
    <row r="292" spans="2:12" ht="14.4" x14ac:dyDescent="0.3">
      <c r="B292" s="48"/>
      <c r="C292" s="60"/>
      <c r="D292" s="53"/>
      <c r="E292" s="61"/>
      <c r="F292" s="48"/>
      <c r="G292" s="48"/>
      <c r="H292" s="53"/>
      <c r="I292" s="52"/>
      <c r="J292" s="52"/>
      <c r="L292" s="57"/>
    </row>
    <row r="293" spans="2:12" ht="14.4" x14ac:dyDescent="0.3">
      <c r="B293" s="48"/>
      <c r="C293" s="60"/>
      <c r="D293" s="53"/>
      <c r="E293" s="61"/>
      <c r="F293" s="48"/>
      <c r="G293" s="48"/>
      <c r="H293" s="53"/>
      <c r="I293" s="52"/>
      <c r="L293" s="57"/>
    </row>
    <row r="294" spans="2:12" ht="14.4" x14ac:dyDescent="0.3">
      <c r="B294" s="48"/>
      <c r="C294" s="60"/>
      <c r="D294" s="53"/>
      <c r="E294" s="61"/>
      <c r="F294" s="48"/>
      <c r="G294" s="48"/>
      <c r="H294" s="53"/>
      <c r="I294" s="52"/>
      <c r="L294" s="57"/>
    </row>
    <row r="295" spans="2:12" ht="14.4" x14ac:dyDescent="0.3">
      <c r="B295" s="48"/>
      <c r="C295" s="60"/>
      <c r="D295" s="53"/>
      <c r="E295" s="61"/>
      <c r="F295" s="48"/>
      <c r="G295" s="48"/>
      <c r="H295" s="53"/>
      <c r="I295" s="52"/>
      <c r="L295" s="57"/>
    </row>
    <row r="296" spans="2:12" ht="14.4" x14ac:dyDescent="0.3">
      <c r="B296" s="48"/>
      <c r="C296" s="60"/>
      <c r="D296" s="53"/>
      <c r="E296" s="61"/>
      <c r="F296" s="48"/>
      <c r="G296" s="48"/>
      <c r="H296" s="53"/>
      <c r="I296" s="52"/>
      <c r="J296" s="52"/>
      <c r="L296" s="57"/>
    </row>
    <row r="297" spans="2:12" ht="14.4" x14ac:dyDescent="0.3">
      <c r="B297" s="48"/>
      <c r="C297" s="60"/>
      <c r="D297" s="53"/>
      <c r="E297" s="61"/>
      <c r="F297" s="48"/>
      <c r="G297" s="48"/>
      <c r="H297" s="53"/>
      <c r="I297" s="52"/>
      <c r="J297" s="52"/>
      <c r="L297" s="57"/>
    </row>
    <row r="298" spans="2:12" ht="14.4" x14ac:dyDescent="0.3">
      <c r="B298" s="48"/>
      <c r="C298" s="60"/>
      <c r="D298" s="53"/>
      <c r="E298" s="61"/>
      <c r="F298" s="48"/>
      <c r="G298" s="48"/>
      <c r="H298" s="53"/>
      <c r="I298" s="52"/>
      <c r="J298" s="52"/>
      <c r="L298" s="57"/>
    </row>
    <row r="299" spans="2:12" ht="14.4" x14ac:dyDescent="0.3">
      <c r="B299" s="48"/>
      <c r="C299" s="60"/>
      <c r="D299" s="53"/>
      <c r="E299" s="61"/>
      <c r="F299" s="48"/>
      <c r="G299" s="48"/>
      <c r="H299" s="53"/>
      <c r="I299" s="52"/>
      <c r="J299" s="52"/>
      <c r="L299" s="57"/>
    </row>
    <row r="300" spans="2:12" ht="14.4" x14ac:dyDescent="0.3">
      <c r="B300" s="48"/>
      <c r="C300" s="60"/>
      <c r="D300" s="53"/>
      <c r="E300" s="61"/>
      <c r="F300" s="48"/>
      <c r="G300" s="48"/>
      <c r="H300" s="53"/>
      <c r="I300" s="52"/>
      <c r="J300" s="52"/>
      <c r="L300" s="57"/>
    </row>
    <row r="301" spans="2:12" ht="14.4" x14ac:dyDescent="0.3">
      <c r="B301" s="48"/>
      <c r="C301" s="60"/>
      <c r="D301" s="53"/>
      <c r="E301" s="61"/>
      <c r="F301" s="48"/>
      <c r="G301" s="48"/>
      <c r="H301" s="53"/>
      <c r="I301" s="52"/>
      <c r="J301" s="52"/>
      <c r="L301" s="57"/>
    </row>
    <row r="302" spans="2:12" ht="14.4" x14ac:dyDescent="0.3">
      <c r="B302" s="48"/>
      <c r="C302" s="60"/>
      <c r="D302" s="53"/>
      <c r="E302" s="61"/>
      <c r="F302" s="48"/>
      <c r="G302" s="48"/>
      <c r="H302" s="53"/>
      <c r="I302" s="52"/>
      <c r="J302" s="52"/>
      <c r="L302" s="57"/>
    </row>
    <row r="303" spans="2:12" ht="14.4" x14ac:dyDescent="0.3">
      <c r="B303" s="48"/>
      <c r="C303" s="60"/>
      <c r="D303" s="53"/>
      <c r="E303" s="61"/>
      <c r="F303" s="48"/>
      <c r="G303" s="48"/>
      <c r="H303" s="53"/>
      <c r="I303" s="52"/>
      <c r="J303" s="52"/>
      <c r="L303" s="57"/>
    </row>
    <row r="304" spans="2:12" ht="14.4" x14ac:dyDescent="0.3">
      <c r="B304" s="48"/>
      <c r="C304" s="60"/>
      <c r="D304" s="53"/>
      <c r="E304" s="61"/>
      <c r="F304" s="48"/>
      <c r="G304" s="48"/>
      <c r="H304" s="53"/>
      <c r="I304" s="52"/>
      <c r="J304" s="52"/>
      <c r="L304" s="57"/>
    </row>
    <row r="305" spans="2:12" ht="14.4" x14ac:dyDescent="0.3">
      <c r="B305" s="48"/>
      <c r="C305" s="60"/>
      <c r="D305" s="53"/>
      <c r="E305" s="61"/>
      <c r="F305" s="48"/>
      <c r="G305" s="48"/>
      <c r="H305" s="53"/>
      <c r="I305" s="52"/>
      <c r="J305" s="52"/>
      <c r="L305" s="57"/>
    </row>
    <row r="306" spans="2:12" ht="14.4" x14ac:dyDescent="0.3">
      <c r="B306" s="48"/>
      <c r="C306" s="60"/>
      <c r="D306" s="53"/>
      <c r="E306" s="61"/>
      <c r="F306" s="48"/>
      <c r="G306" s="48"/>
      <c r="H306" s="53"/>
      <c r="I306" s="52"/>
      <c r="J306" s="52"/>
      <c r="L306" s="57"/>
    </row>
    <row r="307" spans="2:12" ht="14.4" x14ac:dyDescent="0.3">
      <c r="B307" s="48"/>
      <c r="C307" s="60"/>
      <c r="D307" s="53"/>
      <c r="E307" s="61"/>
      <c r="F307" s="48"/>
      <c r="G307" s="48"/>
      <c r="H307" s="53"/>
      <c r="I307" s="52"/>
      <c r="J307" s="52"/>
      <c r="L307" s="57"/>
    </row>
    <row r="308" spans="2:12" ht="14.4" x14ac:dyDescent="0.3">
      <c r="B308" s="48"/>
      <c r="C308" s="60"/>
      <c r="D308" s="53"/>
      <c r="E308" s="61"/>
      <c r="F308" s="48"/>
      <c r="G308" s="48"/>
      <c r="H308" s="53"/>
      <c r="I308" s="52"/>
      <c r="J308" s="52"/>
      <c r="L308" s="57"/>
    </row>
    <row r="309" spans="2:12" ht="14.4" x14ac:dyDescent="0.3">
      <c r="B309" s="48"/>
      <c r="C309" s="60"/>
      <c r="D309" s="53"/>
      <c r="E309" s="61"/>
      <c r="F309" s="48"/>
      <c r="G309" s="48"/>
      <c r="H309" s="53"/>
      <c r="I309" s="52"/>
      <c r="J309" s="52"/>
      <c r="L309" s="57"/>
    </row>
    <row r="310" spans="2:12" ht="14.4" x14ac:dyDescent="0.3">
      <c r="B310" s="48"/>
      <c r="C310" s="60"/>
      <c r="D310" s="53"/>
      <c r="E310" s="61"/>
      <c r="F310" s="48"/>
      <c r="G310" s="48"/>
      <c r="H310" s="53"/>
      <c r="I310" s="52"/>
      <c r="J310" s="52"/>
      <c r="L310" s="57"/>
    </row>
    <row r="311" spans="2:12" ht="14.4" x14ac:dyDescent="0.3">
      <c r="B311" s="48"/>
      <c r="C311" s="60"/>
      <c r="D311" s="53"/>
      <c r="E311" s="61"/>
      <c r="F311" s="48"/>
      <c r="G311" s="48"/>
      <c r="H311" s="53"/>
      <c r="I311" s="52"/>
      <c r="J311" s="52"/>
      <c r="L311" s="57"/>
    </row>
    <row r="312" spans="2:12" ht="14.4" x14ac:dyDescent="0.3">
      <c r="B312" s="48"/>
      <c r="C312" s="60"/>
      <c r="D312" s="53"/>
      <c r="E312" s="61"/>
      <c r="F312" s="48"/>
      <c r="G312" s="48"/>
      <c r="H312" s="53"/>
      <c r="I312" s="52"/>
      <c r="J312" s="52"/>
      <c r="L312" s="57"/>
    </row>
    <row r="313" spans="2:12" ht="14.4" x14ac:dyDescent="0.3">
      <c r="B313" s="48"/>
      <c r="C313" s="60"/>
      <c r="D313" s="53"/>
      <c r="E313" s="61"/>
      <c r="F313" s="48"/>
      <c r="G313" s="48"/>
      <c r="H313" s="53"/>
      <c r="I313" s="52"/>
      <c r="J313" s="52"/>
      <c r="L313" s="57"/>
    </row>
    <row r="314" spans="2:12" ht="14.4" x14ac:dyDescent="0.3">
      <c r="B314" s="48"/>
      <c r="C314" s="60"/>
      <c r="D314" s="53"/>
      <c r="E314" s="61"/>
      <c r="F314" s="48"/>
      <c r="G314" s="48"/>
      <c r="H314" s="53"/>
      <c r="I314" s="52"/>
      <c r="J314" s="52"/>
      <c r="L314" s="57"/>
    </row>
    <row r="315" spans="2:12" ht="14.4" x14ac:dyDescent="0.3">
      <c r="B315" s="48"/>
      <c r="C315" s="60"/>
      <c r="D315" s="53"/>
      <c r="E315" s="61"/>
      <c r="F315" s="48"/>
      <c r="G315" s="48"/>
      <c r="H315" s="53"/>
      <c r="I315" s="52"/>
      <c r="J315" s="52"/>
      <c r="L315" s="57"/>
    </row>
    <row r="316" spans="2:12" ht="14.4" x14ac:dyDescent="0.3">
      <c r="B316" s="48"/>
      <c r="C316" s="60"/>
      <c r="D316" s="53"/>
      <c r="E316" s="61"/>
      <c r="F316" s="48"/>
      <c r="G316" s="48"/>
      <c r="H316" s="53"/>
      <c r="I316" s="52"/>
      <c r="J316" s="52"/>
      <c r="L316" s="57"/>
    </row>
    <row r="317" spans="2:12" ht="14.4" x14ac:dyDescent="0.3">
      <c r="B317" s="48"/>
      <c r="C317" s="60"/>
      <c r="D317" s="53"/>
      <c r="E317" s="61"/>
      <c r="F317" s="48"/>
      <c r="G317" s="48"/>
      <c r="H317" s="53"/>
      <c r="I317" s="52"/>
      <c r="J317" s="52"/>
      <c r="L317" s="57"/>
    </row>
    <row r="318" spans="2:12" ht="14.4" x14ac:dyDescent="0.3">
      <c r="B318" s="48"/>
      <c r="C318" s="60"/>
      <c r="D318" s="53"/>
      <c r="E318" s="61"/>
      <c r="F318" s="48"/>
      <c r="G318" s="48"/>
      <c r="H318" s="53"/>
      <c r="I318" s="52"/>
      <c r="J318" s="52"/>
      <c r="L318" s="57"/>
    </row>
    <row r="319" spans="2:12" ht="14.4" x14ac:dyDescent="0.3">
      <c r="B319" s="48"/>
      <c r="C319" s="60"/>
      <c r="D319" s="53"/>
      <c r="E319" s="61"/>
      <c r="F319" s="48"/>
      <c r="G319" s="48"/>
      <c r="H319" s="53"/>
      <c r="I319" s="52"/>
      <c r="J319" s="52"/>
      <c r="L319" s="57"/>
    </row>
    <row r="320" spans="2:12" ht="14.4" x14ac:dyDescent="0.3">
      <c r="B320" s="48"/>
      <c r="C320" s="60"/>
      <c r="D320" s="53"/>
      <c r="E320" s="61"/>
      <c r="F320" s="48"/>
      <c r="G320" s="48"/>
      <c r="H320" s="53"/>
      <c r="I320" s="52"/>
      <c r="J320" s="52"/>
      <c r="L320" s="57"/>
    </row>
    <row r="321" spans="2:12" ht="14.4" x14ac:dyDescent="0.3">
      <c r="B321" s="48"/>
      <c r="C321" s="60"/>
      <c r="D321" s="53"/>
      <c r="E321" s="61"/>
      <c r="F321" s="48"/>
      <c r="G321" s="48"/>
      <c r="H321" s="53"/>
      <c r="I321" s="52"/>
      <c r="J321" s="52"/>
      <c r="L321" s="57"/>
    </row>
    <row r="322" spans="2:12" ht="14.4" x14ac:dyDescent="0.3">
      <c r="B322" s="48"/>
      <c r="C322" s="60"/>
      <c r="D322" s="53"/>
      <c r="E322" s="61"/>
      <c r="F322" s="48"/>
      <c r="G322" s="48"/>
      <c r="H322" s="53"/>
      <c r="I322" s="52"/>
      <c r="J322" s="52"/>
      <c r="L322" s="57"/>
    </row>
    <row r="323" spans="2:12" ht="14.4" x14ac:dyDescent="0.3">
      <c r="B323" s="48"/>
      <c r="C323" s="60"/>
      <c r="D323" s="53"/>
      <c r="E323" s="61"/>
      <c r="F323" s="48"/>
      <c r="G323" s="48"/>
      <c r="H323" s="53"/>
      <c r="I323" s="52"/>
      <c r="L323" s="57"/>
    </row>
    <row r="324" spans="2:12" ht="14.4" x14ac:dyDescent="0.3">
      <c r="B324" s="48"/>
      <c r="C324" s="60"/>
      <c r="D324" s="53"/>
      <c r="E324" s="61"/>
      <c r="F324" s="48"/>
      <c r="G324" s="48"/>
      <c r="H324" s="53"/>
      <c r="I324" s="52"/>
      <c r="L324" s="57"/>
    </row>
    <row r="325" spans="2:12" ht="14.4" x14ac:dyDescent="0.3">
      <c r="B325" s="48"/>
      <c r="C325" s="60"/>
      <c r="D325" s="53"/>
      <c r="E325" s="61"/>
      <c r="F325" s="48"/>
      <c r="G325" s="48"/>
      <c r="H325" s="53"/>
      <c r="I325" s="52"/>
      <c r="L325" s="57"/>
    </row>
    <row r="326" spans="2:12" ht="14.4" x14ac:dyDescent="0.3">
      <c r="B326" s="48"/>
      <c r="C326" s="60"/>
      <c r="D326" s="53"/>
      <c r="E326" s="61"/>
      <c r="F326" s="48"/>
      <c r="G326" s="48"/>
      <c r="H326" s="53"/>
      <c r="L326" s="57"/>
    </row>
    <row r="327" spans="2:12" ht="14.4" x14ac:dyDescent="0.3">
      <c r="B327" s="48"/>
      <c r="C327" s="60"/>
      <c r="D327" s="53"/>
      <c r="E327" s="61"/>
      <c r="F327" s="48"/>
      <c r="G327" s="48"/>
      <c r="H327" s="53"/>
      <c r="I327" s="52"/>
      <c r="L327" s="57"/>
    </row>
    <row r="328" spans="2:12" ht="14.4" x14ac:dyDescent="0.3">
      <c r="B328" s="48"/>
      <c r="C328" s="60"/>
      <c r="D328" s="53"/>
      <c r="E328" s="61"/>
      <c r="F328" s="48"/>
      <c r="G328" s="48"/>
      <c r="H328" s="53"/>
      <c r="L328" s="57"/>
    </row>
    <row r="329" spans="2:12" ht="14.4" x14ac:dyDescent="0.3">
      <c r="B329" s="48"/>
      <c r="C329" s="60"/>
      <c r="D329" s="53"/>
      <c r="E329" s="61"/>
      <c r="F329" s="48"/>
      <c r="G329" s="48"/>
      <c r="H329" s="53"/>
      <c r="L329" s="57"/>
    </row>
    <row r="330" spans="2:12" ht="14.4" x14ac:dyDescent="0.3">
      <c r="B330" s="48"/>
      <c r="C330" s="60"/>
      <c r="D330" s="53"/>
      <c r="E330" s="61"/>
      <c r="F330" s="48"/>
      <c r="G330" s="48"/>
      <c r="H330" s="53"/>
      <c r="L330" s="57"/>
    </row>
    <row r="331" spans="2:12" ht="14.4" x14ac:dyDescent="0.3">
      <c r="B331" s="48"/>
      <c r="C331" s="60"/>
      <c r="D331" s="53"/>
      <c r="E331" s="61"/>
      <c r="F331" s="48"/>
      <c r="G331" s="48"/>
      <c r="H331" s="53"/>
      <c r="L331" s="57"/>
    </row>
    <row r="332" spans="2:12" ht="14.4" x14ac:dyDescent="0.3">
      <c r="B332" s="48"/>
      <c r="C332" s="60"/>
      <c r="D332" s="53"/>
      <c r="E332" s="61"/>
      <c r="F332" s="48"/>
      <c r="G332" s="48"/>
      <c r="H332" s="53"/>
      <c r="L332" s="57"/>
    </row>
    <row r="333" spans="2:12" ht="14.4" x14ac:dyDescent="0.3">
      <c r="B333" s="48"/>
      <c r="C333" s="60"/>
      <c r="D333" s="53"/>
      <c r="E333" s="61"/>
      <c r="F333" s="48"/>
      <c r="G333" s="48"/>
      <c r="H333" s="53"/>
      <c r="I333" s="52"/>
      <c r="L333" s="57"/>
    </row>
    <row r="334" spans="2:12" ht="14.4" x14ac:dyDescent="0.3">
      <c r="B334" s="48"/>
      <c r="C334" s="60"/>
      <c r="D334" s="53"/>
      <c r="E334" s="61"/>
      <c r="F334" s="48"/>
      <c r="G334" s="48"/>
      <c r="H334" s="53"/>
      <c r="I334" s="52"/>
      <c r="L334" s="57"/>
    </row>
    <row r="335" spans="2:12" ht="14.4" x14ac:dyDescent="0.3">
      <c r="B335" s="48"/>
      <c r="C335" s="60"/>
      <c r="D335" s="53"/>
      <c r="E335" s="61"/>
      <c r="F335" s="48"/>
      <c r="G335" s="48"/>
      <c r="H335" s="53"/>
      <c r="I335" s="52"/>
      <c r="J335" s="52"/>
      <c r="L335" s="57"/>
    </row>
    <row r="336" spans="2:12" ht="14.4" x14ac:dyDescent="0.3">
      <c r="B336" s="48"/>
      <c r="C336" s="60"/>
      <c r="D336" s="53"/>
      <c r="E336" s="61"/>
      <c r="F336" s="48"/>
      <c r="G336" s="48"/>
      <c r="H336" s="53"/>
      <c r="I336" s="52"/>
      <c r="J336" s="52"/>
      <c r="L336" s="57"/>
    </row>
    <row r="337" spans="2:12" ht="14.4" x14ac:dyDescent="0.3">
      <c r="B337" s="48"/>
      <c r="C337" s="60"/>
      <c r="D337" s="53"/>
      <c r="E337" s="61"/>
      <c r="F337" s="48"/>
      <c r="G337" s="48"/>
      <c r="H337" s="53"/>
      <c r="I337" s="52"/>
      <c r="J337" s="52"/>
      <c r="L337" s="57"/>
    </row>
    <row r="338" spans="2:12" ht="14.4" x14ac:dyDescent="0.3">
      <c r="B338" s="48"/>
      <c r="C338" s="60"/>
      <c r="D338" s="53"/>
      <c r="E338" s="61"/>
      <c r="F338" s="48"/>
      <c r="G338" s="48"/>
      <c r="H338" s="53"/>
      <c r="I338" s="52"/>
      <c r="L338" s="57"/>
    </row>
    <row r="339" spans="2:12" ht="14.4" x14ac:dyDescent="0.3">
      <c r="B339" s="48"/>
      <c r="C339" s="60"/>
      <c r="D339" s="53"/>
      <c r="E339" s="61"/>
      <c r="F339" s="48"/>
      <c r="G339" s="48"/>
      <c r="H339" s="53"/>
      <c r="I339" s="52"/>
      <c r="L339" s="57"/>
    </row>
    <row r="340" spans="2:12" ht="14.4" x14ac:dyDescent="0.3">
      <c r="B340" s="48"/>
      <c r="C340" s="60"/>
      <c r="D340" s="53"/>
      <c r="E340" s="61"/>
      <c r="F340" s="48"/>
      <c r="G340" s="48"/>
      <c r="H340" s="53"/>
      <c r="I340" s="52"/>
      <c r="L340" s="57"/>
    </row>
    <row r="341" spans="2:12" ht="14.4" x14ac:dyDescent="0.3">
      <c r="B341" s="48"/>
      <c r="C341" s="60"/>
      <c r="D341" s="53"/>
      <c r="E341" s="61"/>
      <c r="F341" s="48"/>
      <c r="G341" s="48"/>
      <c r="H341" s="53"/>
      <c r="I341" s="52"/>
      <c r="L341" s="57"/>
    </row>
    <row r="342" spans="2:12" ht="14.4" x14ac:dyDescent="0.3">
      <c r="B342" s="48"/>
      <c r="C342" s="60"/>
      <c r="D342" s="53"/>
      <c r="E342" s="61"/>
      <c r="F342" s="48"/>
      <c r="G342" s="48"/>
      <c r="H342" s="53"/>
      <c r="I342" s="52"/>
      <c r="J342" s="52"/>
      <c r="L342" s="57"/>
    </row>
    <row r="343" spans="2:12" ht="14.4" x14ac:dyDescent="0.3">
      <c r="B343" s="48"/>
      <c r="C343" s="60"/>
      <c r="D343" s="53"/>
      <c r="E343" s="61"/>
      <c r="F343" s="48"/>
      <c r="G343" s="48"/>
      <c r="H343" s="53"/>
      <c r="I343" s="52"/>
      <c r="J343" s="52"/>
      <c r="L343" s="57"/>
    </row>
    <row r="344" spans="2:12" ht="14.4" x14ac:dyDescent="0.3">
      <c r="B344" s="48"/>
      <c r="C344" s="60"/>
      <c r="D344" s="53"/>
      <c r="E344" s="61"/>
      <c r="F344" s="48"/>
      <c r="G344" s="48"/>
      <c r="H344" s="53"/>
      <c r="I344" s="52"/>
      <c r="J344" s="52"/>
      <c r="L344" s="57"/>
    </row>
    <row r="345" spans="2:12" ht="14.4" x14ac:dyDescent="0.3">
      <c r="B345" s="48"/>
      <c r="C345" s="60"/>
      <c r="D345" s="53"/>
      <c r="E345" s="61"/>
      <c r="F345" s="48"/>
      <c r="G345" s="48"/>
      <c r="H345" s="53"/>
      <c r="I345" s="52"/>
      <c r="J345" s="52"/>
      <c r="L345" s="57"/>
    </row>
    <row r="346" spans="2:12" ht="14.4" x14ac:dyDescent="0.3">
      <c r="B346" s="48"/>
      <c r="C346" s="60"/>
      <c r="D346" s="53"/>
      <c r="E346" s="61"/>
      <c r="F346" s="48"/>
      <c r="G346" s="48"/>
      <c r="H346" s="53"/>
      <c r="I346" s="52"/>
      <c r="J346" s="52"/>
      <c r="L346" s="57"/>
    </row>
    <row r="347" spans="2:12" ht="14.4" x14ac:dyDescent="0.3">
      <c r="B347" s="48"/>
      <c r="C347" s="60"/>
      <c r="D347" s="53"/>
      <c r="E347" s="61"/>
      <c r="F347" s="48"/>
      <c r="G347" s="48"/>
      <c r="H347" s="53"/>
      <c r="I347" s="52"/>
      <c r="J347" s="52"/>
      <c r="L347" s="57"/>
    </row>
    <row r="348" spans="2:12" ht="14.4" x14ac:dyDescent="0.3">
      <c r="B348" s="48"/>
      <c r="C348" s="60"/>
      <c r="D348" s="53"/>
      <c r="E348" s="61"/>
      <c r="F348" s="48"/>
      <c r="G348" s="48"/>
      <c r="H348" s="53"/>
      <c r="I348" s="52"/>
      <c r="L348" s="57"/>
    </row>
    <row r="349" spans="2:12" ht="14.4" x14ac:dyDescent="0.3">
      <c r="B349" s="48"/>
      <c r="C349" s="60"/>
      <c r="D349" s="53"/>
      <c r="E349" s="61"/>
      <c r="F349" s="48"/>
      <c r="G349" s="48"/>
      <c r="H349" s="53"/>
      <c r="I349" s="52"/>
      <c r="L349" s="57"/>
    </row>
    <row r="350" spans="2:12" ht="14.4" x14ac:dyDescent="0.3">
      <c r="B350" s="48"/>
      <c r="C350" s="60"/>
      <c r="D350" s="53"/>
      <c r="E350" s="61"/>
      <c r="F350" s="48"/>
      <c r="G350" s="48"/>
      <c r="H350" s="53"/>
      <c r="I350" s="52"/>
      <c r="L350" s="57"/>
    </row>
    <row r="351" spans="2:12" ht="14.4" x14ac:dyDescent="0.3">
      <c r="B351" s="48"/>
      <c r="C351" s="60"/>
      <c r="D351" s="53"/>
      <c r="E351" s="61"/>
      <c r="F351" s="48"/>
      <c r="G351" s="48"/>
      <c r="H351" s="53"/>
      <c r="I351" s="52"/>
      <c r="L351" s="57"/>
    </row>
    <row r="352" spans="2:12" ht="14.4" x14ac:dyDescent="0.3">
      <c r="B352" s="48"/>
      <c r="C352" s="60"/>
      <c r="D352" s="53"/>
      <c r="E352" s="61"/>
      <c r="F352" s="48"/>
      <c r="G352" s="48"/>
      <c r="H352" s="53"/>
      <c r="L352" s="57"/>
    </row>
    <row r="353" spans="2:12" ht="14.4" x14ac:dyDescent="0.3">
      <c r="B353" s="48"/>
      <c r="C353" s="60"/>
      <c r="D353" s="53"/>
      <c r="E353" s="61"/>
      <c r="F353" s="48"/>
      <c r="G353" s="48"/>
      <c r="H353" s="53"/>
      <c r="L353" s="57"/>
    </row>
    <row r="354" spans="2:12" ht="14.4" x14ac:dyDescent="0.3">
      <c r="B354" s="48"/>
      <c r="C354" s="60"/>
      <c r="D354" s="53"/>
      <c r="E354" s="61"/>
      <c r="F354" s="48"/>
      <c r="G354" s="48"/>
      <c r="H354" s="53"/>
      <c r="L354" s="57"/>
    </row>
    <row r="355" spans="2:12" ht="14.4" x14ac:dyDescent="0.3">
      <c r="B355" s="48"/>
      <c r="C355" s="60"/>
      <c r="D355" s="53"/>
      <c r="E355" s="61"/>
      <c r="F355" s="48"/>
      <c r="G355" s="48"/>
      <c r="H355" s="53"/>
      <c r="I355" s="52"/>
      <c r="L355" s="57"/>
    </row>
    <row r="356" spans="2:12" ht="14.4" x14ac:dyDescent="0.3">
      <c r="B356" s="48"/>
      <c r="C356" s="60"/>
      <c r="D356" s="53"/>
      <c r="E356" s="61"/>
      <c r="F356" s="48"/>
      <c r="G356" s="48"/>
      <c r="H356" s="53"/>
      <c r="I356" s="52"/>
      <c r="L356" s="57"/>
    </row>
    <row r="357" spans="2:12" ht="14.4" x14ac:dyDescent="0.3">
      <c r="B357" s="48"/>
      <c r="C357" s="60"/>
      <c r="D357" s="53"/>
      <c r="E357" s="61"/>
      <c r="F357" s="48"/>
      <c r="G357" s="48"/>
      <c r="H357" s="53"/>
      <c r="I357" s="52"/>
      <c r="L357" s="57"/>
    </row>
    <row r="358" spans="2:12" ht="14.4" x14ac:dyDescent="0.3">
      <c r="B358" s="48"/>
      <c r="C358" s="60"/>
      <c r="D358" s="53"/>
      <c r="E358" s="61"/>
      <c r="F358" s="48"/>
      <c r="G358" s="48"/>
      <c r="H358" s="53"/>
      <c r="I358" s="52"/>
      <c r="J358" s="52"/>
      <c r="L358" s="57"/>
    </row>
    <row r="359" spans="2:12" ht="14.4" x14ac:dyDescent="0.3">
      <c r="B359" s="48"/>
      <c r="C359" s="60"/>
      <c r="D359" s="53"/>
      <c r="E359" s="61"/>
      <c r="F359" s="48"/>
      <c r="G359" s="48"/>
      <c r="H359" s="53"/>
      <c r="I359" s="52"/>
      <c r="J359" s="52"/>
      <c r="L359" s="57"/>
    </row>
    <row r="360" spans="2:12" ht="14.4" x14ac:dyDescent="0.3">
      <c r="B360" s="48"/>
      <c r="C360" s="60"/>
      <c r="D360" s="53"/>
      <c r="E360" s="61"/>
      <c r="F360" s="48"/>
      <c r="G360" s="48"/>
      <c r="H360" s="53"/>
      <c r="I360" s="52"/>
      <c r="L360" s="57"/>
    </row>
    <row r="361" spans="2:12" ht="14.4" x14ac:dyDescent="0.3">
      <c r="B361" s="48"/>
      <c r="C361" s="60"/>
      <c r="D361" s="53"/>
      <c r="E361" s="61"/>
      <c r="F361" s="48"/>
      <c r="G361" s="48"/>
      <c r="H361" s="53"/>
      <c r="I361" s="52"/>
      <c r="L361" s="57"/>
    </row>
    <row r="362" spans="2:12" ht="14.4" x14ac:dyDescent="0.3">
      <c r="B362" s="48"/>
      <c r="C362" s="60"/>
      <c r="D362" s="53"/>
      <c r="E362" s="61"/>
      <c r="F362" s="48"/>
      <c r="G362" s="48"/>
      <c r="H362" s="53"/>
      <c r="I362" s="52"/>
      <c r="L362" s="57"/>
    </row>
    <row r="363" spans="2:12" ht="14.4" x14ac:dyDescent="0.3">
      <c r="B363" s="48"/>
      <c r="C363" s="60"/>
      <c r="D363" s="53"/>
      <c r="E363" s="61"/>
      <c r="F363" s="48"/>
      <c r="G363" s="48"/>
      <c r="H363" s="53"/>
      <c r="L363" s="57"/>
    </row>
    <row r="364" spans="2:12" ht="14.4" x14ac:dyDescent="0.3">
      <c r="B364" s="48"/>
      <c r="C364" s="60"/>
      <c r="D364" s="53"/>
      <c r="E364" s="61"/>
      <c r="F364" s="48"/>
      <c r="G364" s="48"/>
      <c r="H364" s="53"/>
      <c r="L364" s="57"/>
    </row>
    <row r="365" spans="2:12" ht="14.4" x14ac:dyDescent="0.3">
      <c r="B365" s="48"/>
      <c r="C365" s="60"/>
      <c r="D365" s="53"/>
      <c r="E365" s="61"/>
      <c r="F365" s="61"/>
      <c r="G365" s="61"/>
      <c r="H365" s="62"/>
    </row>
    <row r="366" spans="2:12" ht="14.4" x14ac:dyDescent="0.3">
      <c r="B366" s="48"/>
      <c r="C366" s="60"/>
      <c r="D366" s="53"/>
      <c r="E366" s="61"/>
      <c r="F366" s="61"/>
      <c r="G366" s="61"/>
      <c r="H366" s="62"/>
    </row>
    <row r="367" spans="2:12" ht="14.4" x14ac:dyDescent="0.3">
      <c r="B367" s="48"/>
      <c r="C367" s="60"/>
      <c r="D367" s="53"/>
      <c r="E367" s="61"/>
      <c r="F367" s="61"/>
      <c r="G367" s="61"/>
      <c r="H367" s="62"/>
    </row>
    <row r="368" spans="2:12" ht="14.4" x14ac:dyDescent="0.3">
      <c r="B368" s="48"/>
      <c r="C368" s="60"/>
      <c r="D368" s="53"/>
      <c r="E368" s="61"/>
      <c r="F368" s="61"/>
      <c r="G368" s="61"/>
      <c r="H368" s="63"/>
    </row>
    <row r="369" spans="2:8" ht="14.4" x14ac:dyDescent="0.3">
      <c r="B369" s="48"/>
      <c r="C369" s="60"/>
      <c r="D369" s="53"/>
      <c r="E369" s="61"/>
      <c r="F369" s="61"/>
      <c r="G369" s="61"/>
      <c r="H369" s="62"/>
    </row>
    <row r="370" spans="2:8" ht="14.4" x14ac:dyDescent="0.3">
      <c r="B370" s="48"/>
      <c r="C370" s="60"/>
      <c r="D370" s="53"/>
      <c r="E370" s="61"/>
      <c r="F370" s="61"/>
      <c r="G370" s="61"/>
      <c r="H370" s="62"/>
    </row>
    <row r="371" spans="2:8" ht="14.4" x14ac:dyDescent="0.3">
      <c r="B371" s="48"/>
      <c r="C371" s="60"/>
      <c r="D371" s="53"/>
      <c r="E371" s="61"/>
      <c r="F371" s="61"/>
      <c r="G371" s="61"/>
      <c r="H371" s="63"/>
    </row>
    <row r="372" spans="2:8" ht="14.4" x14ac:dyDescent="0.3">
      <c r="B372" s="48"/>
      <c r="C372" s="60"/>
      <c r="D372" s="53"/>
      <c r="E372" s="61"/>
      <c r="F372" s="61"/>
      <c r="G372" s="61"/>
      <c r="H372" s="62"/>
    </row>
    <row r="373" spans="2:8" ht="14.4" x14ac:dyDescent="0.3">
      <c r="B373" s="48"/>
      <c r="C373" s="60"/>
      <c r="D373" s="53"/>
      <c r="E373" s="61"/>
      <c r="F373" s="61"/>
      <c r="G373" s="61"/>
      <c r="H373" s="63"/>
    </row>
    <row r="374" spans="2:8" ht="14.4" x14ac:dyDescent="0.3">
      <c r="B374" s="48"/>
      <c r="C374" s="60"/>
      <c r="D374" s="53"/>
      <c r="E374" s="61"/>
      <c r="F374" s="61"/>
      <c r="G374" s="61"/>
      <c r="H374" s="63"/>
    </row>
    <row r="375" spans="2:8" ht="14.4" x14ac:dyDescent="0.3">
      <c r="B375" s="48"/>
      <c r="C375" s="60"/>
      <c r="D375" s="53"/>
      <c r="E375" s="61"/>
      <c r="F375" s="61"/>
      <c r="G375" s="61"/>
      <c r="H375" s="62"/>
    </row>
    <row r="376" spans="2:8" ht="14.4" x14ac:dyDescent="0.3">
      <c r="B376" s="48"/>
      <c r="C376" s="60"/>
      <c r="D376" s="53"/>
      <c r="E376" s="61"/>
      <c r="F376" s="61"/>
      <c r="G376" s="61"/>
      <c r="H376" s="62"/>
    </row>
  </sheetData>
  <mergeCells count="10">
    <mergeCell ref="J27:L28"/>
    <mergeCell ref="M27:O28"/>
    <mergeCell ref="B28:B29"/>
    <mergeCell ref="C28:C29"/>
    <mergeCell ref="B12:B13"/>
    <mergeCell ref="C12:C13"/>
    <mergeCell ref="D27:I28"/>
    <mergeCell ref="D11:I12"/>
    <mergeCell ref="J11:L12"/>
    <mergeCell ref="M11:O12"/>
  </mergeCells>
  <hyperlinks>
    <hyperlink ref="B6" location="Dashboard!A1" display="&lt;-Back to dashboard" xr:uid="{DC902E21-3FD9-407B-9323-161AA6B6745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8B1D-7580-4E01-BCDE-8F3643C36FBF}">
  <dimension ref="A2:Q347"/>
  <sheetViews>
    <sheetView showGridLines="0" topLeftCell="A2" zoomScale="85" zoomScaleNormal="85" workbookViewId="0">
      <selection activeCell="G34" sqref="G34"/>
    </sheetView>
  </sheetViews>
  <sheetFormatPr defaultRowHeight="13.8" x14ac:dyDescent="0.3"/>
  <cols>
    <col min="1" max="1" width="1.88671875" style="13" customWidth="1"/>
    <col min="2" max="2" width="30.6640625" style="13" customWidth="1"/>
    <col min="3" max="3" width="12.5546875" style="13" customWidth="1"/>
    <col min="4" max="9" width="13.88671875" style="13" customWidth="1"/>
    <col min="10" max="12" width="11.77734375" style="13" customWidth="1"/>
    <col min="13" max="15" width="14.33203125" style="13" customWidth="1"/>
    <col min="16" max="16384" width="8.88671875" style="13"/>
  </cols>
  <sheetData>
    <row r="2" spans="1:17" s="18" customFormat="1" ht="15.6" x14ac:dyDescent="0.3"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7" s="18" customFormat="1" ht="14.4" x14ac:dyDescent="0.3">
      <c r="B3" s="21" t="s">
        <v>340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7" s="18" customFormat="1" ht="14.4" x14ac:dyDescent="0.3">
      <c r="B4" s="7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6" spans="1:17" ht="14.4" x14ac:dyDescent="0.3">
      <c r="B6" s="34" t="s">
        <v>47</v>
      </c>
    </row>
    <row r="7" spans="1:17" ht="14.4" x14ac:dyDescent="0.3">
      <c r="B7" s="48"/>
      <c r="C7" s="49"/>
      <c r="D7" s="53"/>
      <c r="E7" s="51"/>
      <c r="F7" s="48"/>
      <c r="G7" s="48"/>
      <c r="H7" s="53"/>
      <c r="I7" s="52"/>
      <c r="J7" s="52"/>
      <c r="L7" s="57"/>
    </row>
    <row r="8" spans="1:17" ht="14.4" x14ac:dyDescent="0.3">
      <c r="B8" s="183" t="s">
        <v>305</v>
      </c>
      <c r="C8" s="49"/>
      <c r="D8" s="53"/>
      <c r="E8" s="51"/>
      <c r="F8" s="48"/>
      <c r="G8" s="48"/>
      <c r="H8" s="53"/>
      <c r="I8" s="52"/>
      <c r="J8" s="52"/>
      <c r="L8" s="57"/>
    </row>
    <row r="9" spans="1:17" ht="14.4" x14ac:dyDescent="0.3">
      <c r="B9" s="192" t="s">
        <v>339</v>
      </c>
      <c r="C9" s="49"/>
      <c r="D9" s="53"/>
      <c r="E9" s="51"/>
      <c r="F9" s="48"/>
      <c r="G9" s="48"/>
      <c r="H9" s="53"/>
      <c r="I9" s="52"/>
      <c r="J9" s="52"/>
      <c r="L9" s="57"/>
    </row>
    <row r="10" spans="1:17" ht="14.4" x14ac:dyDescent="0.3">
      <c r="B10" s="183"/>
      <c r="C10" s="49"/>
      <c r="D10" s="53"/>
      <c r="E10" s="51"/>
      <c r="F10" s="48"/>
      <c r="G10" s="48"/>
      <c r="H10" s="53"/>
      <c r="I10" s="52"/>
      <c r="J10" s="52"/>
      <c r="L10" s="57"/>
    </row>
    <row r="11" spans="1:17" ht="14.4" customHeight="1" x14ac:dyDescent="0.3">
      <c r="A11" s="39"/>
      <c r="B11" s="467" t="s">
        <v>537</v>
      </c>
      <c r="C11" s="469" t="s">
        <v>357</v>
      </c>
      <c r="D11" s="471" t="s">
        <v>535</v>
      </c>
      <c r="E11" s="469" t="s">
        <v>330</v>
      </c>
      <c r="F11" s="471" t="s">
        <v>536</v>
      </c>
      <c r="G11" s="469" t="s">
        <v>358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</row>
    <row r="12" spans="1:17" ht="14.4" customHeight="1" x14ac:dyDescent="0.3">
      <c r="A12" s="39"/>
      <c r="B12" s="468"/>
      <c r="C12" s="470"/>
      <c r="D12" s="472"/>
      <c r="E12" s="470"/>
      <c r="F12" s="472"/>
      <c r="G12" s="470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1:17" x14ac:dyDescent="0.3">
      <c r="A13" s="39"/>
      <c r="B13" s="104" t="s">
        <v>534</v>
      </c>
      <c r="C13" s="463"/>
      <c r="D13" s="463"/>
      <c r="E13" s="463"/>
      <c r="F13" s="463"/>
      <c r="G13" s="463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x14ac:dyDescent="0.3">
      <c r="A14" s="39"/>
      <c r="B14" s="102" t="s">
        <v>312</v>
      </c>
      <c r="C14" s="464">
        <v>265.86</v>
      </c>
      <c r="D14" s="464">
        <v>340.14</v>
      </c>
      <c r="E14" s="464">
        <v>542.46</v>
      </c>
      <c r="F14" s="464">
        <v>815.7</v>
      </c>
      <c r="G14" s="464">
        <v>4955.4799999999996</v>
      </c>
      <c r="M14" s="39"/>
      <c r="N14" s="39"/>
      <c r="O14" s="39"/>
      <c r="P14" s="39"/>
      <c r="Q14" s="39"/>
    </row>
    <row r="15" spans="1:17" x14ac:dyDescent="0.3">
      <c r="A15" s="39"/>
      <c r="B15" s="102" t="s">
        <v>313</v>
      </c>
      <c r="C15" s="464">
        <v>279.06</v>
      </c>
      <c r="D15" s="464">
        <v>408.13</v>
      </c>
      <c r="E15" s="464">
        <v>751.93</v>
      </c>
      <c r="F15" s="464">
        <v>851.11</v>
      </c>
      <c r="G15" s="464">
        <v>5563.11</v>
      </c>
      <c r="M15" s="39"/>
      <c r="N15" s="39"/>
      <c r="O15" s="39"/>
      <c r="P15" s="39"/>
      <c r="Q15" s="39"/>
    </row>
    <row r="16" spans="1:17" x14ac:dyDescent="0.3">
      <c r="A16" s="39"/>
      <c r="B16" s="102" t="s">
        <v>314</v>
      </c>
      <c r="C16" s="464">
        <v>66.34</v>
      </c>
      <c r="D16" s="464">
        <v>215.37</v>
      </c>
      <c r="E16" s="464">
        <v>655.32000000000005</v>
      </c>
      <c r="F16" s="464">
        <v>1005.97</v>
      </c>
      <c r="G16" s="464">
        <v>7490.76</v>
      </c>
      <c r="M16" s="39"/>
      <c r="N16" s="39"/>
      <c r="O16" s="39"/>
      <c r="P16" s="39"/>
      <c r="Q16" s="39"/>
    </row>
    <row r="17" spans="1:17" x14ac:dyDescent="0.3">
      <c r="A17" s="39"/>
      <c r="B17" s="104" t="s">
        <v>361</v>
      </c>
      <c r="C17" s="464">
        <v>619.48706486037895</v>
      </c>
      <c r="D17" s="464">
        <v>619.48706486037895</v>
      </c>
      <c r="E17" s="464">
        <v>619.48706486037895</v>
      </c>
      <c r="F17" s="464">
        <v>619.48706486037895</v>
      </c>
      <c r="G17" s="464">
        <v>619.48706486037895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x14ac:dyDescent="0.3">
      <c r="A18" s="39"/>
      <c r="B18" s="104" t="s">
        <v>362</v>
      </c>
      <c r="C18" s="464">
        <v>365.74</v>
      </c>
      <c r="D18" s="464">
        <v>485.36</v>
      </c>
      <c r="E18" s="465">
        <v>487.7</v>
      </c>
      <c r="F18" s="464">
        <v>487.7</v>
      </c>
      <c r="G18" s="464">
        <v>651.73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 spans="1:17" x14ac:dyDescent="0.3">
      <c r="A19" s="39"/>
      <c r="B19" s="466" t="s">
        <v>538</v>
      </c>
      <c r="C19" s="464">
        <v>616.41295207909661</v>
      </c>
      <c r="D19" s="464">
        <v>599.66414034940544</v>
      </c>
      <c r="E19" s="464">
        <v>583.54886414579687</v>
      </c>
      <c r="F19" s="464">
        <v>568.03753542554705</v>
      </c>
      <c r="G19" s="464">
        <v>553.10220372251581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x14ac:dyDescent="0.3">
      <c r="A20" s="39"/>
      <c r="B20" s="466"/>
      <c r="C20" s="462"/>
      <c r="D20" s="462"/>
      <c r="E20" s="462"/>
      <c r="F20" s="462"/>
      <c r="G20" s="462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spans="1:17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spans="1:17" x14ac:dyDescent="0.3">
      <c r="A22" s="39"/>
      <c r="B22" s="104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17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spans="1:17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spans="1:17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spans="1:17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spans="1:17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spans="1:17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1:17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</row>
    <row r="30" spans="1:17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  <row r="31" spans="1:17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</row>
    <row r="32" spans="1:17" x14ac:dyDescent="0.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</row>
    <row r="33" spans="1:17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</row>
    <row r="34" spans="1:17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1:17" x14ac:dyDescent="0.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  <row r="37" spans="1:17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</row>
    <row r="38" spans="1:17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</row>
    <row r="39" spans="1:17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1:17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1:17" x14ac:dyDescent="0.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2" spans="1:17" x14ac:dyDescent="0.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spans="1:17" x14ac:dyDescent="0.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4" spans="1:17" x14ac:dyDescent="0.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pans="1:17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spans="1:17" ht="14.4" x14ac:dyDescent="0.3">
      <c r="B46" s="48"/>
      <c r="C46" s="60"/>
      <c r="D46" s="53"/>
      <c r="E46" s="61"/>
      <c r="F46" s="48"/>
      <c r="G46" s="48"/>
      <c r="H46" s="53"/>
      <c r="I46" s="52"/>
      <c r="J46" s="52"/>
      <c r="L46" s="57"/>
    </row>
    <row r="47" spans="1:17" ht="14.4" x14ac:dyDescent="0.3">
      <c r="B47" s="48"/>
      <c r="C47" s="60"/>
      <c r="D47" s="53"/>
      <c r="E47" s="61"/>
      <c r="F47" s="48"/>
      <c r="G47" s="48"/>
      <c r="H47" s="53"/>
      <c r="I47" s="52"/>
      <c r="J47" s="52"/>
      <c r="L47" s="57"/>
    </row>
    <row r="48" spans="1:17" ht="14.4" x14ac:dyDescent="0.3">
      <c r="B48" s="48"/>
      <c r="C48" s="60"/>
      <c r="D48" s="53"/>
      <c r="E48" s="61"/>
      <c r="F48" s="48"/>
      <c r="G48" s="48"/>
      <c r="H48" s="53"/>
      <c r="I48" s="52"/>
      <c r="J48" s="52"/>
      <c r="L48" s="57"/>
    </row>
    <row r="49" spans="2:12" ht="14.4" x14ac:dyDescent="0.3">
      <c r="B49" s="48"/>
      <c r="C49" s="60"/>
      <c r="D49" s="53"/>
      <c r="E49" s="61"/>
      <c r="F49" s="48"/>
      <c r="G49" s="48"/>
      <c r="H49" s="53"/>
      <c r="I49" s="52"/>
      <c r="J49" s="52"/>
      <c r="L49" s="57"/>
    </row>
    <row r="50" spans="2:12" ht="14.4" x14ac:dyDescent="0.3">
      <c r="B50" s="48"/>
      <c r="C50" s="60"/>
      <c r="D50" s="53"/>
      <c r="E50" s="61"/>
      <c r="F50" s="48"/>
      <c r="G50" s="48"/>
      <c r="H50" s="53"/>
      <c r="I50" s="52"/>
      <c r="J50" s="52"/>
      <c r="L50" s="57"/>
    </row>
    <row r="51" spans="2:12" ht="14.4" x14ac:dyDescent="0.3">
      <c r="B51" s="48"/>
      <c r="C51" s="60"/>
      <c r="D51" s="53"/>
      <c r="E51" s="61"/>
      <c r="F51" s="48"/>
      <c r="G51" s="48"/>
      <c r="H51" s="53"/>
      <c r="I51" s="52"/>
      <c r="J51" s="52"/>
      <c r="L51" s="57"/>
    </row>
    <row r="52" spans="2:12" ht="14.4" x14ac:dyDescent="0.3">
      <c r="B52" s="48"/>
      <c r="C52" s="60"/>
      <c r="D52" s="53"/>
      <c r="E52" s="61"/>
      <c r="F52" s="48"/>
      <c r="G52" s="48"/>
      <c r="H52" s="53"/>
      <c r="I52" s="52"/>
      <c r="J52" s="52"/>
      <c r="L52" s="57"/>
    </row>
    <row r="53" spans="2:12" ht="14.4" x14ac:dyDescent="0.3">
      <c r="B53" s="48"/>
      <c r="C53" s="60"/>
      <c r="D53" s="53"/>
      <c r="E53" s="61"/>
      <c r="F53" s="48"/>
      <c r="G53" s="48"/>
      <c r="H53" s="53"/>
      <c r="I53" s="52"/>
      <c r="J53" s="52"/>
      <c r="L53" s="57"/>
    </row>
    <row r="54" spans="2:12" ht="14.4" x14ac:dyDescent="0.3">
      <c r="B54" s="48"/>
      <c r="C54" s="60"/>
      <c r="D54" s="53"/>
      <c r="E54" s="61"/>
      <c r="F54" s="48"/>
      <c r="G54" s="48"/>
      <c r="H54" s="53"/>
      <c r="I54" s="52"/>
      <c r="J54" s="52"/>
      <c r="L54" s="57"/>
    </row>
    <row r="55" spans="2:12" ht="14.4" x14ac:dyDescent="0.3">
      <c r="B55" s="48"/>
      <c r="C55" s="60"/>
      <c r="D55" s="53"/>
      <c r="E55" s="61"/>
      <c r="F55" s="48"/>
      <c r="G55" s="48"/>
      <c r="H55" s="53"/>
      <c r="I55" s="52"/>
      <c r="J55" s="52"/>
      <c r="L55" s="57"/>
    </row>
    <row r="56" spans="2:12" ht="14.4" x14ac:dyDescent="0.3">
      <c r="B56" s="48"/>
      <c r="C56" s="60"/>
      <c r="D56" s="53"/>
      <c r="E56" s="61"/>
      <c r="F56" s="48"/>
      <c r="G56" s="48"/>
      <c r="H56" s="53"/>
      <c r="I56" s="52"/>
      <c r="J56" s="52"/>
      <c r="L56" s="57"/>
    </row>
    <row r="57" spans="2:12" ht="14.4" x14ac:dyDescent="0.3">
      <c r="B57" s="48"/>
      <c r="C57" s="60"/>
      <c r="D57" s="53"/>
      <c r="E57" s="61"/>
      <c r="F57" s="48"/>
      <c r="G57" s="48"/>
      <c r="H57" s="53"/>
      <c r="I57" s="52"/>
      <c r="J57" s="52"/>
      <c r="L57" s="57"/>
    </row>
    <row r="58" spans="2:12" ht="14.4" x14ac:dyDescent="0.3">
      <c r="B58" s="48"/>
      <c r="C58" s="60"/>
      <c r="D58" s="53"/>
      <c r="E58" s="61"/>
      <c r="F58" s="48"/>
      <c r="G58" s="48"/>
      <c r="H58" s="53"/>
      <c r="I58" s="52"/>
      <c r="J58" s="52"/>
      <c r="L58" s="57"/>
    </row>
    <row r="59" spans="2:12" ht="14.4" x14ac:dyDescent="0.3">
      <c r="B59" s="48"/>
      <c r="C59" s="60"/>
      <c r="D59" s="53"/>
      <c r="E59" s="61"/>
      <c r="F59" s="48"/>
      <c r="G59" s="48"/>
      <c r="H59" s="53"/>
      <c r="I59" s="52"/>
      <c r="J59" s="52"/>
      <c r="L59" s="57"/>
    </row>
    <row r="60" spans="2:12" ht="14.4" x14ac:dyDescent="0.3">
      <c r="B60" s="48"/>
      <c r="C60" s="60"/>
      <c r="D60" s="53"/>
      <c r="E60" s="61"/>
      <c r="F60" s="48"/>
      <c r="G60" s="48"/>
      <c r="H60" s="53"/>
      <c r="I60" s="52"/>
      <c r="J60" s="52"/>
      <c r="L60" s="57"/>
    </row>
    <row r="61" spans="2:12" ht="14.4" x14ac:dyDescent="0.3">
      <c r="B61" s="48"/>
      <c r="C61" s="60"/>
      <c r="D61" s="53"/>
      <c r="E61" s="61"/>
      <c r="F61" s="48"/>
      <c r="G61" s="48"/>
      <c r="H61" s="53"/>
      <c r="I61" s="52"/>
      <c r="J61" s="52"/>
      <c r="L61" s="57"/>
    </row>
    <row r="62" spans="2:12" ht="14.4" x14ac:dyDescent="0.3">
      <c r="B62" s="48"/>
      <c r="C62" s="60"/>
      <c r="D62" s="53"/>
      <c r="E62" s="61"/>
      <c r="F62" s="48"/>
      <c r="G62" s="48"/>
      <c r="H62" s="53"/>
      <c r="I62" s="52"/>
      <c r="J62" s="52"/>
      <c r="L62" s="57"/>
    </row>
    <row r="63" spans="2:12" ht="14.4" x14ac:dyDescent="0.3">
      <c r="B63" s="48"/>
      <c r="C63" s="60"/>
      <c r="D63" s="53"/>
      <c r="E63" s="61"/>
      <c r="F63" s="48"/>
      <c r="G63" s="48"/>
      <c r="H63" s="53"/>
      <c r="I63" s="52"/>
      <c r="J63" s="52"/>
      <c r="L63" s="57"/>
    </row>
    <row r="64" spans="2:12" ht="14.4" x14ac:dyDescent="0.3">
      <c r="B64" s="48"/>
      <c r="C64" s="60"/>
      <c r="D64" s="53"/>
      <c r="E64" s="61"/>
      <c r="F64" s="48"/>
      <c r="G64" s="48"/>
      <c r="H64" s="53"/>
      <c r="I64" s="52"/>
      <c r="J64" s="52"/>
      <c r="L64" s="57"/>
    </row>
    <row r="65" spans="2:12" ht="14.4" x14ac:dyDescent="0.3">
      <c r="B65" s="48"/>
      <c r="C65" s="60"/>
      <c r="D65" s="53"/>
      <c r="E65" s="61"/>
      <c r="F65" s="48"/>
      <c r="G65" s="48"/>
      <c r="H65" s="53"/>
      <c r="I65" s="52"/>
      <c r="J65" s="52"/>
      <c r="L65" s="57"/>
    </row>
    <row r="66" spans="2:12" ht="14.4" x14ac:dyDescent="0.3">
      <c r="B66" s="48"/>
      <c r="C66" s="60"/>
      <c r="D66" s="53"/>
      <c r="E66" s="61"/>
      <c r="F66" s="48"/>
      <c r="G66" s="48"/>
      <c r="H66" s="53"/>
      <c r="I66" s="52"/>
      <c r="J66" s="52"/>
      <c r="L66" s="57"/>
    </row>
    <row r="67" spans="2:12" ht="14.4" x14ac:dyDescent="0.3">
      <c r="B67" s="48"/>
      <c r="C67" s="60"/>
      <c r="D67" s="53"/>
      <c r="E67" s="61"/>
      <c r="F67" s="48"/>
      <c r="G67" s="48"/>
      <c r="H67" s="53"/>
      <c r="I67" s="52"/>
      <c r="J67" s="52"/>
      <c r="L67" s="57"/>
    </row>
    <row r="68" spans="2:12" ht="14.4" x14ac:dyDescent="0.3">
      <c r="B68" s="48"/>
      <c r="C68" s="60"/>
      <c r="D68" s="53"/>
      <c r="E68" s="61"/>
      <c r="F68" s="48"/>
      <c r="G68" s="48"/>
      <c r="H68" s="53"/>
      <c r="I68" s="52"/>
      <c r="J68" s="52"/>
      <c r="L68" s="57"/>
    </row>
    <row r="69" spans="2:12" ht="14.4" x14ac:dyDescent="0.3">
      <c r="B69" s="48"/>
      <c r="C69" s="60"/>
      <c r="D69" s="53"/>
      <c r="E69" s="61"/>
      <c r="F69" s="48"/>
      <c r="G69" s="48"/>
      <c r="H69" s="53"/>
      <c r="I69" s="52"/>
      <c r="J69" s="52"/>
      <c r="L69" s="57"/>
    </row>
    <row r="70" spans="2:12" ht="14.4" x14ac:dyDescent="0.3">
      <c r="B70" s="48"/>
      <c r="C70" s="60"/>
      <c r="D70" s="53"/>
      <c r="E70" s="61"/>
      <c r="F70" s="48"/>
      <c r="G70" s="48"/>
      <c r="H70" s="53"/>
      <c r="I70" s="52"/>
      <c r="J70" s="52"/>
      <c r="L70" s="57"/>
    </row>
    <row r="71" spans="2:12" ht="14.4" x14ac:dyDescent="0.3">
      <c r="B71" s="48"/>
      <c r="C71" s="60"/>
      <c r="D71" s="53"/>
      <c r="E71" s="61"/>
      <c r="F71" s="48"/>
      <c r="G71" s="48"/>
      <c r="H71" s="53"/>
      <c r="I71" s="52"/>
      <c r="J71" s="52"/>
      <c r="L71" s="57"/>
    </row>
    <row r="72" spans="2:12" ht="14.4" x14ac:dyDescent="0.3">
      <c r="B72" s="48"/>
      <c r="C72" s="60"/>
      <c r="D72" s="53"/>
      <c r="E72" s="61"/>
      <c r="F72" s="48"/>
      <c r="G72" s="48"/>
      <c r="H72" s="53"/>
      <c r="I72" s="52"/>
      <c r="J72" s="52"/>
      <c r="L72" s="57"/>
    </row>
    <row r="73" spans="2:12" ht="14.4" x14ac:dyDescent="0.3">
      <c r="B73" s="48"/>
      <c r="C73" s="60"/>
      <c r="D73" s="53"/>
      <c r="E73" s="61"/>
      <c r="F73" s="48"/>
      <c r="G73" s="48"/>
      <c r="H73" s="53"/>
      <c r="I73" s="52"/>
      <c r="J73" s="52"/>
      <c r="L73" s="57"/>
    </row>
    <row r="74" spans="2:12" ht="14.4" x14ac:dyDescent="0.3">
      <c r="B74" s="48"/>
      <c r="C74" s="60"/>
      <c r="D74" s="53"/>
      <c r="E74" s="61"/>
      <c r="F74" s="48"/>
      <c r="G74" s="48"/>
      <c r="H74" s="53"/>
      <c r="I74" s="52"/>
      <c r="J74" s="52"/>
      <c r="L74" s="57"/>
    </row>
    <row r="75" spans="2:12" ht="14.4" x14ac:dyDescent="0.3">
      <c r="B75" s="48"/>
      <c r="C75" s="60"/>
      <c r="D75" s="53"/>
      <c r="E75" s="61"/>
      <c r="F75" s="48"/>
      <c r="G75" s="48"/>
      <c r="H75" s="53"/>
      <c r="I75" s="52"/>
      <c r="J75" s="52"/>
      <c r="L75" s="57"/>
    </row>
    <row r="76" spans="2:12" ht="14.4" x14ac:dyDescent="0.3">
      <c r="B76" s="48"/>
      <c r="C76" s="60"/>
      <c r="D76" s="53"/>
      <c r="E76" s="61"/>
      <c r="F76" s="48"/>
      <c r="G76" s="48"/>
      <c r="H76" s="53"/>
      <c r="I76" s="52"/>
      <c r="J76" s="52"/>
      <c r="L76" s="57"/>
    </row>
    <row r="77" spans="2:12" ht="14.4" x14ac:dyDescent="0.3">
      <c r="B77" s="48"/>
      <c r="C77" s="60"/>
      <c r="D77" s="53"/>
      <c r="E77" s="61"/>
      <c r="F77" s="48"/>
      <c r="G77" s="48"/>
      <c r="H77" s="53"/>
      <c r="I77" s="52"/>
      <c r="J77" s="52"/>
      <c r="L77" s="57"/>
    </row>
    <row r="78" spans="2:12" ht="14.4" x14ac:dyDescent="0.3">
      <c r="B78" s="48"/>
      <c r="C78" s="60"/>
      <c r="D78" s="53"/>
      <c r="E78" s="61"/>
      <c r="F78" s="48"/>
      <c r="G78" s="48"/>
      <c r="H78" s="53"/>
      <c r="I78" s="52"/>
      <c r="J78" s="52"/>
      <c r="L78" s="57"/>
    </row>
    <row r="79" spans="2:12" ht="14.4" x14ac:dyDescent="0.3">
      <c r="B79" s="48"/>
      <c r="C79" s="60"/>
      <c r="D79" s="53"/>
      <c r="E79" s="61"/>
      <c r="F79" s="48"/>
      <c r="G79" s="48"/>
      <c r="H79" s="53"/>
      <c r="I79" s="52"/>
      <c r="J79" s="52"/>
      <c r="L79" s="57"/>
    </row>
    <row r="80" spans="2:12" ht="14.4" x14ac:dyDescent="0.3">
      <c r="B80" s="48"/>
      <c r="C80" s="60"/>
      <c r="D80" s="53"/>
      <c r="E80" s="61"/>
      <c r="F80" s="48"/>
      <c r="G80" s="48"/>
      <c r="H80" s="53"/>
      <c r="I80" s="52"/>
      <c r="J80" s="52"/>
      <c r="L80" s="57"/>
    </row>
    <row r="81" spans="2:12" ht="14.4" x14ac:dyDescent="0.3">
      <c r="B81" s="48"/>
      <c r="C81" s="60"/>
      <c r="D81" s="53"/>
      <c r="E81" s="61"/>
      <c r="F81" s="48"/>
      <c r="G81" s="48"/>
      <c r="H81" s="53"/>
      <c r="I81" s="52"/>
      <c r="J81" s="52"/>
      <c r="L81" s="57"/>
    </row>
    <row r="82" spans="2:12" ht="14.4" x14ac:dyDescent="0.3">
      <c r="B82" s="48"/>
      <c r="C82" s="60"/>
      <c r="D82" s="53"/>
      <c r="E82" s="61"/>
      <c r="F82" s="48"/>
      <c r="G82" s="48"/>
      <c r="H82" s="53"/>
      <c r="I82" s="52"/>
      <c r="J82" s="52"/>
      <c r="L82" s="57"/>
    </row>
    <row r="83" spans="2:12" ht="14.4" x14ac:dyDescent="0.3">
      <c r="B83" s="48"/>
      <c r="C83" s="60"/>
      <c r="D83" s="53"/>
      <c r="E83" s="61"/>
      <c r="F83" s="48"/>
      <c r="G83" s="48"/>
      <c r="H83" s="53"/>
      <c r="I83" s="52"/>
      <c r="J83" s="52"/>
      <c r="L83" s="57"/>
    </row>
    <row r="84" spans="2:12" ht="14.4" x14ac:dyDescent="0.3">
      <c r="B84" s="48"/>
      <c r="C84" s="60"/>
      <c r="D84" s="53"/>
      <c r="E84" s="61"/>
      <c r="F84" s="48"/>
      <c r="G84" s="48"/>
      <c r="H84" s="53"/>
      <c r="I84" s="52"/>
      <c r="J84" s="52"/>
      <c r="L84" s="57"/>
    </row>
    <row r="85" spans="2:12" ht="14.4" x14ac:dyDescent="0.3">
      <c r="B85" s="48"/>
      <c r="C85" s="60"/>
      <c r="D85" s="53"/>
      <c r="E85" s="61"/>
      <c r="F85" s="48"/>
      <c r="G85" s="48"/>
      <c r="H85" s="53"/>
      <c r="I85" s="52"/>
      <c r="J85" s="52"/>
      <c r="L85" s="57"/>
    </row>
    <row r="86" spans="2:12" ht="14.4" x14ac:dyDescent="0.3">
      <c r="B86" s="48"/>
      <c r="C86" s="60"/>
      <c r="D86" s="53"/>
      <c r="E86" s="61"/>
      <c r="F86" s="48"/>
      <c r="G86" s="48"/>
      <c r="H86" s="53"/>
      <c r="I86" s="52"/>
      <c r="J86" s="52"/>
      <c r="L86" s="57"/>
    </row>
    <row r="87" spans="2:12" ht="14.4" x14ac:dyDescent="0.3">
      <c r="B87" s="48"/>
      <c r="C87" s="60"/>
      <c r="D87" s="53"/>
      <c r="E87" s="61"/>
      <c r="F87" s="48"/>
      <c r="G87" s="48"/>
      <c r="H87" s="53"/>
      <c r="I87" s="52"/>
      <c r="J87" s="52"/>
      <c r="L87" s="57"/>
    </row>
    <row r="88" spans="2:12" ht="14.4" x14ac:dyDescent="0.3">
      <c r="B88" s="48"/>
      <c r="C88" s="60"/>
      <c r="D88" s="53"/>
      <c r="E88" s="61"/>
      <c r="F88" s="48"/>
      <c r="G88" s="48"/>
      <c r="H88" s="53"/>
      <c r="I88" s="52"/>
      <c r="J88" s="52"/>
      <c r="L88" s="57"/>
    </row>
    <row r="89" spans="2:12" ht="14.4" x14ac:dyDescent="0.3">
      <c r="B89" s="48"/>
      <c r="C89" s="60"/>
      <c r="D89" s="53"/>
      <c r="E89" s="61"/>
      <c r="F89" s="48"/>
      <c r="G89" s="48"/>
      <c r="H89" s="53"/>
      <c r="I89" s="52"/>
      <c r="J89" s="52"/>
      <c r="L89" s="57"/>
    </row>
    <row r="90" spans="2:12" ht="14.4" x14ac:dyDescent="0.3">
      <c r="B90" s="48"/>
      <c r="C90" s="60"/>
      <c r="D90" s="53"/>
      <c r="E90" s="61"/>
      <c r="F90" s="48"/>
      <c r="G90" s="48"/>
      <c r="H90" s="53"/>
      <c r="I90" s="52"/>
      <c r="J90" s="52"/>
      <c r="L90" s="57"/>
    </row>
    <row r="91" spans="2:12" ht="14.4" x14ac:dyDescent="0.3">
      <c r="B91" s="48"/>
      <c r="C91" s="60"/>
      <c r="D91" s="53"/>
      <c r="E91" s="61"/>
      <c r="F91" s="48"/>
      <c r="G91" s="48"/>
      <c r="H91" s="53"/>
      <c r="I91" s="52"/>
      <c r="J91" s="52"/>
      <c r="L91" s="57"/>
    </row>
    <row r="92" spans="2:12" ht="14.4" x14ac:dyDescent="0.3">
      <c r="B92" s="48"/>
      <c r="C92" s="60"/>
      <c r="D92" s="53"/>
      <c r="E92" s="61"/>
      <c r="F92" s="48"/>
      <c r="G92" s="48"/>
      <c r="H92" s="53"/>
      <c r="I92" s="52"/>
      <c r="J92" s="52"/>
      <c r="L92" s="57"/>
    </row>
    <row r="93" spans="2:12" ht="14.4" x14ac:dyDescent="0.3">
      <c r="B93" s="48"/>
      <c r="C93" s="60"/>
      <c r="D93" s="53"/>
      <c r="E93" s="61"/>
      <c r="F93" s="48"/>
      <c r="G93" s="48"/>
      <c r="H93" s="53"/>
      <c r="I93" s="52"/>
      <c r="J93" s="52"/>
      <c r="L93" s="57"/>
    </row>
    <row r="94" spans="2:12" ht="14.4" x14ac:dyDescent="0.3">
      <c r="B94" s="48"/>
      <c r="C94" s="60"/>
      <c r="D94" s="53"/>
      <c r="E94" s="61"/>
      <c r="F94" s="48"/>
      <c r="G94" s="48"/>
      <c r="H94" s="53"/>
      <c r="I94" s="52"/>
      <c r="J94" s="52"/>
      <c r="L94" s="57"/>
    </row>
    <row r="95" spans="2:12" ht="14.4" x14ac:dyDescent="0.3">
      <c r="B95" s="48"/>
      <c r="C95" s="60"/>
      <c r="D95" s="53"/>
      <c r="E95" s="61"/>
      <c r="F95" s="48"/>
      <c r="G95" s="48"/>
      <c r="H95" s="53"/>
      <c r="I95" s="52"/>
      <c r="J95" s="52"/>
      <c r="L95" s="57"/>
    </row>
    <row r="96" spans="2:12" ht="14.4" x14ac:dyDescent="0.3">
      <c r="B96" s="48"/>
      <c r="C96" s="60"/>
      <c r="D96" s="53"/>
      <c r="E96" s="61"/>
      <c r="F96" s="48"/>
      <c r="G96" s="48"/>
      <c r="H96" s="53"/>
      <c r="I96" s="52"/>
      <c r="J96" s="52"/>
      <c r="L96" s="57"/>
    </row>
    <row r="97" spans="2:12" ht="14.4" x14ac:dyDescent="0.3">
      <c r="B97" s="48"/>
      <c r="C97" s="60"/>
      <c r="D97" s="53"/>
      <c r="E97" s="61"/>
      <c r="F97" s="48"/>
      <c r="G97" s="48"/>
      <c r="H97" s="53"/>
      <c r="I97" s="52"/>
      <c r="J97" s="52"/>
      <c r="L97" s="57"/>
    </row>
    <row r="98" spans="2:12" ht="14.4" x14ac:dyDescent="0.3">
      <c r="B98" s="48"/>
      <c r="C98" s="60"/>
      <c r="D98" s="53"/>
      <c r="E98" s="61"/>
      <c r="F98" s="48"/>
      <c r="G98" s="48"/>
      <c r="H98" s="53"/>
      <c r="I98" s="52"/>
      <c r="J98" s="52"/>
      <c r="L98" s="57"/>
    </row>
    <row r="99" spans="2:12" ht="14.4" x14ac:dyDescent="0.3">
      <c r="B99" s="48"/>
      <c r="C99" s="60"/>
      <c r="D99" s="53"/>
      <c r="E99" s="61"/>
      <c r="F99" s="48"/>
      <c r="G99" s="48"/>
      <c r="H99" s="53"/>
      <c r="I99" s="52"/>
      <c r="J99" s="52"/>
      <c r="L99" s="57"/>
    </row>
    <row r="100" spans="2:12" ht="14.4" x14ac:dyDescent="0.3">
      <c r="B100" s="48"/>
      <c r="C100" s="60"/>
      <c r="D100" s="53"/>
      <c r="E100" s="61"/>
      <c r="F100" s="48"/>
      <c r="G100" s="48"/>
      <c r="H100" s="53"/>
      <c r="I100" s="52"/>
      <c r="J100" s="52"/>
      <c r="L100" s="57"/>
    </row>
    <row r="101" spans="2:12" ht="14.4" x14ac:dyDescent="0.3">
      <c r="B101" s="48"/>
      <c r="C101" s="60"/>
      <c r="D101" s="53"/>
      <c r="E101" s="61"/>
      <c r="F101" s="48"/>
      <c r="G101" s="48"/>
      <c r="H101" s="53"/>
      <c r="I101" s="52"/>
      <c r="J101" s="52"/>
      <c r="L101" s="57"/>
    </row>
    <row r="102" spans="2:12" ht="14.4" x14ac:dyDescent="0.3">
      <c r="B102" s="48"/>
      <c r="C102" s="60"/>
      <c r="D102" s="53"/>
      <c r="E102" s="61"/>
      <c r="F102" s="48"/>
      <c r="G102" s="48"/>
      <c r="H102" s="53"/>
      <c r="I102" s="52"/>
      <c r="J102" s="52"/>
      <c r="L102" s="57"/>
    </row>
    <row r="103" spans="2:12" ht="14.4" x14ac:dyDescent="0.3">
      <c r="B103" s="48"/>
      <c r="C103" s="60"/>
      <c r="D103" s="53"/>
      <c r="E103" s="61"/>
      <c r="F103" s="48"/>
      <c r="G103" s="48"/>
      <c r="H103" s="53"/>
      <c r="I103" s="52"/>
      <c r="J103" s="52"/>
      <c r="L103" s="57"/>
    </row>
    <row r="104" spans="2:12" ht="14.4" x14ac:dyDescent="0.3">
      <c r="B104" s="48"/>
      <c r="C104" s="60"/>
      <c r="D104" s="53"/>
      <c r="E104" s="61"/>
      <c r="F104" s="48"/>
      <c r="G104" s="48"/>
      <c r="H104" s="53"/>
      <c r="I104" s="52"/>
      <c r="J104" s="52"/>
      <c r="L104" s="57"/>
    </row>
    <row r="105" spans="2:12" ht="14.4" x14ac:dyDescent="0.3">
      <c r="B105" s="48"/>
      <c r="C105" s="60"/>
      <c r="D105" s="53"/>
      <c r="E105" s="61"/>
      <c r="F105" s="48"/>
      <c r="G105" s="48"/>
      <c r="H105" s="53"/>
      <c r="I105" s="52"/>
      <c r="J105" s="52"/>
      <c r="L105" s="57"/>
    </row>
    <row r="106" spans="2:12" ht="14.4" x14ac:dyDescent="0.3">
      <c r="B106" s="48"/>
      <c r="C106" s="60"/>
      <c r="D106" s="53"/>
      <c r="E106" s="61"/>
      <c r="F106" s="48"/>
      <c r="G106" s="48"/>
      <c r="H106" s="53"/>
      <c r="I106" s="52"/>
      <c r="J106" s="52"/>
      <c r="L106" s="57"/>
    </row>
    <row r="107" spans="2:12" ht="14.4" x14ac:dyDescent="0.3">
      <c r="B107" s="48"/>
      <c r="C107" s="60"/>
      <c r="D107" s="53"/>
      <c r="E107" s="61"/>
      <c r="F107" s="48"/>
      <c r="G107" s="48"/>
      <c r="H107" s="53"/>
      <c r="I107" s="52"/>
      <c r="J107" s="52"/>
      <c r="L107" s="57"/>
    </row>
    <row r="108" spans="2:12" ht="14.4" x14ac:dyDescent="0.3">
      <c r="B108" s="48"/>
      <c r="C108" s="60"/>
      <c r="D108" s="53"/>
      <c r="E108" s="61"/>
      <c r="F108" s="48"/>
      <c r="G108" s="48"/>
      <c r="H108" s="53"/>
      <c r="I108" s="52"/>
      <c r="J108" s="52"/>
      <c r="L108" s="57"/>
    </row>
    <row r="109" spans="2:12" ht="14.4" x14ac:dyDescent="0.3">
      <c r="B109" s="48"/>
      <c r="C109" s="60"/>
      <c r="D109" s="53"/>
      <c r="E109" s="61"/>
      <c r="F109" s="48"/>
      <c r="G109" s="48"/>
      <c r="H109" s="53"/>
      <c r="I109" s="52"/>
      <c r="J109" s="52"/>
      <c r="L109" s="57"/>
    </row>
    <row r="110" spans="2:12" ht="14.4" x14ac:dyDescent="0.3">
      <c r="B110" s="48"/>
      <c r="C110" s="60"/>
      <c r="D110" s="53"/>
      <c r="E110" s="61"/>
      <c r="F110" s="48"/>
      <c r="G110" s="48"/>
      <c r="H110" s="53"/>
      <c r="I110" s="52"/>
      <c r="J110" s="52"/>
      <c r="L110" s="57"/>
    </row>
    <row r="111" spans="2:12" ht="14.4" x14ac:dyDescent="0.3">
      <c r="B111" s="48"/>
      <c r="C111" s="60"/>
      <c r="D111" s="53"/>
      <c r="E111" s="61"/>
      <c r="F111" s="48"/>
      <c r="G111" s="48"/>
      <c r="H111" s="53"/>
      <c r="I111" s="52"/>
      <c r="J111" s="52"/>
      <c r="L111" s="57"/>
    </row>
    <row r="112" spans="2:12" ht="14.4" x14ac:dyDescent="0.3">
      <c r="B112" s="48"/>
      <c r="C112" s="60"/>
      <c r="D112" s="53"/>
      <c r="E112" s="61"/>
      <c r="F112" s="48"/>
      <c r="G112" s="48"/>
      <c r="H112" s="53"/>
      <c r="I112" s="52"/>
      <c r="J112" s="52"/>
      <c r="L112" s="57"/>
    </row>
    <row r="113" spans="2:12" ht="14.4" x14ac:dyDescent="0.3">
      <c r="B113" s="48"/>
      <c r="C113" s="60"/>
      <c r="D113" s="53"/>
      <c r="E113" s="61"/>
      <c r="F113" s="48"/>
      <c r="G113" s="48"/>
      <c r="H113" s="53"/>
      <c r="I113" s="52"/>
      <c r="J113" s="52"/>
      <c r="L113" s="57"/>
    </row>
    <row r="114" spans="2:12" ht="14.4" x14ac:dyDescent="0.3">
      <c r="B114" s="48"/>
      <c r="C114" s="60"/>
      <c r="D114" s="53"/>
      <c r="E114" s="61"/>
      <c r="F114" s="48"/>
      <c r="G114" s="48"/>
      <c r="H114" s="53"/>
      <c r="I114" s="52"/>
      <c r="J114" s="52"/>
      <c r="L114" s="57"/>
    </row>
    <row r="115" spans="2:12" ht="14.4" x14ac:dyDescent="0.3">
      <c r="B115" s="48"/>
      <c r="C115" s="60"/>
      <c r="D115" s="53"/>
      <c r="E115" s="61"/>
      <c r="F115" s="48"/>
      <c r="G115" s="48"/>
      <c r="H115" s="53"/>
      <c r="I115" s="52"/>
      <c r="J115" s="52"/>
      <c r="L115" s="57"/>
    </row>
    <row r="116" spans="2:12" ht="14.4" x14ac:dyDescent="0.3">
      <c r="B116" s="48"/>
      <c r="C116" s="60"/>
      <c r="D116" s="53"/>
      <c r="E116" s="61"/>
      <c r="F116" s="48"/>
      <c r="G116" s="48"/>
      <c r="H116" s="53"/>
      <c r="I116" s="52"/>
      <c r="J116" s="52"/>
      <c r="L116" s="57"/>
    </row>
    <row r="117" spans="2:12" ht="14.4" x14ac:dyDescent="0.3">
      <c r="B117" s="48"/>
      <c r="C117" s="60"/>
      <c r="D117" s="53"/>
      <c r="E117" s="61"/>
      <c r="F117" s="48"/>
      <c r="G117" s="48"/>
      <c r="H117" s="53"/>
      <c r="I117" s="52"/>
      <c r="J117" s="52"/>
      <c r="L117" s="57"/>
    </row>
    <row r="118" spans="2:12" ht="14.4" x14ac:dyDescent="0.3">
      <c r="B118" s="48"/>
      <c r="C118" s="60"/>
      <c r="D118" s="53"/>
      <c r="E118" s="61"/>
      <c r="F118" s="48"/>
      <c r="G118" s="48"/>
      <c r="H118" s="53"/>
      <c r="I118" s="52"/>
      <c r="J118" s="52"/>
      <c r="L118" s="57"/>
    </row>
    <row r="119" spans="2:12" ht="14.4" x14ac:dyDescent="0.3">
      <c r="B119" s="48"/>
      <c r="C119" s="60"/>
      <c r="D119" s="53"/>
      <c r="E119" s="61"/>
      <c r="F119" s="48"/>
      <c r="G119" s="48"/>
      <c r="H119" s="53"/>
      <c r="I119" s="52"/>
      <c r="J119" s="52"/>
      <c r="L119" s="57"/>
    </row>
    <row r="120" spans="2:12" ht="14.4" x14ac:dyDescent="0.3">
      <c r="B120" s="48"/>
      <c r="C120" s="60"/>
      <c r="D120" s="53"/>
      <c r="E120" s="61"/>
      <c r="F120" s="48"/>
      <c r="G120" s="48"/>
      <c r="H120" s="53"/>
      <c r="I120" s="52"/>
      <c r="J120" s="52"/>
      <c r="L120" s="57"/>
    </row>
    <row r="121" spans="2:12" ht="14.4" x14ac:dyDescent="0.3">
      <c r="B121" s="48"/>
      <c r="C121" s="60"/>
      <c r="D121" s="53"/>
      <c r="E121" s="61"/>
      <c r="F121" s="48"/>
      <c r="G121" s="48"/>
      <c r="H121" s="53"/>
      <c r="I121" s="52"/>
      <c r="J121" s="52"/>
      <c r="L121" s="57"/>
    </row>
    <row r="122" spans="2:12" ht="14.4" x14ac:dyDescent="0.3">
      <c r="B122" s="48"/>
      <c r="C122" s="60"/>
      <c r="D122" s="53"/>
      <c r="E122" s="61"/>
      <c r="F122" s="48"/>
      <c r="G122" s="48"/>
      <c r="H122" s="53"/>
      <c r="I122" s="52"/>
      <c r="J122" s="52"/>
      <c r="L122" s="57"/>
    </row>
    <row r="123" spans="2:12" ht="14.4" x14ac:dyDescent="0.3">
      <c r="B123" s="48"/>
      <c r="C123" s="60"/>
      <c r="D123" s="53"/>
      <c r="E123" s="61"/>
      <c r="F123" s="48"/>
      <c r="G123" s="48"/>
      <c r="H123" s="53"/>
      <c r="I123" s="52"/>
      <c r="J123" s="52"/>
      <c r="L123" s="57"/>
    </row>
    <row r="124" spans="2:12" ht="14.4" x14ac:dyDescent="0.3">
      <c r="B124" s="48"/>
      <c r="C124" s="60"/>
      <c r="D124" s="53"/>
      <c r="E124" s="61"/>
      <c r="F124" s="48"/>
      <c r="G124" s="48"/>
      <c r="H124" s="53"/>
      <c r="I124" s="52"/>
      <c r="J124" s="52"/>
      <c r="L124" s="57"/>
    </row>
    <row r="125" spans="2:12" ht="14.4" x14ac:dyDescent="0.3">
      <c r="B125" s="48"/>
      <c r="C125" s="60"/>
      <c r="D125" s="53"/>
      <c r="E125" s="61"/>
      <c r="F125" s="48"/>
      <c r="G125" s="48"/>
      <c r="H125" s="53"/>
      <c r="I125" s="52"/>
      <c r="J125" s="52"/>
      <c r="L125" s="57"/>
    </row>
    <row r="126" spans="2:12" ht="14.4" x14ac:dyDescent="0.3">
      <c r="B126" s="48"/>
      <c r="C126" s="60"/>
      <c r="D126" s="53"/>
      <c r="E126" s="61"/>
      <c r="F126" s="48"/>
      <c r="G126" s="48"/>
      <c r="H126" s="53"/>
      <c r="I126" s="52"/>
      <c r="J126" s="52"/>
      <c r="L126" s="57"/>
    </row>
    <row r="127" spans="2:12" ht="14.4" x14ac:dyDescent="0.3">
      <c r="B127" s="48"/>
      <c r="C127" s="60"/>
      <c r="D127" s="53"/>
      <c r="E127" s="61"/>
      <c r="F127" s="48"/>
      <c r="G127" s="48"/>
      <c r="H127" s="53"/>
      <c r="I127" s="52"/>
      <c r="J127" s="52"/>
      <c r="L127" s="57"/>
    </row>
    <row r="128" spans="2:12" ht="14.4" x14ac:dyDescent="0.3">
      <c r="B128" s="48"/>
      <c r="C128" s="60"/>
      <c r="D128" s="53"/>
      <c r="E128" s="61"/>
      <c r="F128" s="48"/>
      <c r="G128" s="48"/>
      <c r="H128" s="53"/>
      <c r="I128" s="52"/>
      <c r="J128" s="52"/>
      <c r="L128" s="57"/>
    </row>
    <row r="129" spans="2:12" ht="14.4" x14ac:dyDescent="0.3">
      <c r="B129" s="48"/>
      <c r="C129" s="60"/>
      <c r="D129" s="53"/>
      <c r="E129" s="61"/>
      <c r="F129" s="48"/>
      <c r="G129" s="48"/>
      <c r="H129" s="53"/>
      <c r="I129" s="52"/>
      <c r="J129" s="52"/>
      <c r="L129" s="57"/>
    </row>
    <row r="130" spans="2:12" ht="14.4" x14ac:dyDescent="0.3">
      <c r="B130" s="48"/>
      <c r="C130" s="60"/>
      <c r="D130" s="53"/>
      <c r="E130" s="61"/>
      <c r="F130" s="48"/>
      <c r="G130" s="48"/>
      <c r="H130" s="53"/>
      <c r="I130" s="52"/>
      <c r="J130" s="52"/>
      <c r="L130" s="57"/>
    </row>
    <row r="131" spans="2:12" ht="14.4" x14ac:dyDescent="0.3">
      <c r="B131" s="48"/>
      <c r="C131" s="60"/>
      <c r="D131" s="53"/>
      <c r="E131" s="61"/>
      <c r="F131" s="48"/>
      <c r="G131" s="48"/>
      <c r="H131" s="53"/>
      <c r="I131" s="52"/>
      <c r="J131" s="52"/>
      <c r="L131" s="57"/>
    </row>
    <row r="132" spans="2:12" ht="14.4" x14ac:dyDescent="0.3">
      <c r="B132" s="48"/>
      <c r="C132" s="60"/>
      <c r="D132" s="53"/>
      <c r="E132" s="61"/>
      <c r="F132" s="48"/>
      <c r="G132" s="48"/>
      <c r="H132" s="53"/>
      <c r="I132" s="52"/>
      <c r="J132" s="52"/>
      <c r="L132" s="57"/>
    </row>
    <row r="133" spans="2:12" ht="14.4" x14ac:dyDescent="0.3">
      <c r="B133" s="48"/>
      <c r="C133" s="60"/>
      <c r="D133" s="53"/>
      <c r="E133" s="61"/>
      <c r="F133" s="48"/>
      <c r="G133" s="48"/>
      <c r="H133" s="53"/>
      <c r="I133" s="52"/>
      <c r="J133" s="52"/>
      <c r="L133" s="57"/>
    </row>
    <row r="134" spans="2:12" ht="14.4" x14ac:dyDescent="0.3">
      <c r="B134" s="48"/>
      <c r="C134" s="60"/>
      <c r="D134" s="53"/>
      <c r="E134" s="61"/>
      <c r="F134" s="48"/>
      <c r="G134" s="48"/>
      <c r="H134" s="53"/>
      <c r="I134" s="52"/>
      <c r="J134" s="52"/>
      <c r="L134" s="57"/>
    </row>
    <row r="135" spans="2:12" ht="14.4" x14ac:dyDescent="0.3">
      <c r="B135" s="48"/>
      <c r="C135" s="60"/>
      <c r="D135" s="53"/>
      <c r="E135" s="61"/>
      <c r="F135" s="48"/>
      <c r="G135" s="48"/>
      <c r="H135" s="53"/>
      <c r="I135" s="52"/>
      <c r="J135" s="52"/>
      <c r="L135" s="57"/>
    </row>
    <row r="136" spans="2:12" ht="14.4" x14ac:dyDescent="0.3">
      <c r="B136" s="48"/>
      <c r="C136" s="60"/>
      <c r="D136" s="53"/>
      <c r="E136" s="61"/>
      <c r="F136" s="48"/>
      <c r="G136" s="48"/>
      <c r="H136" s="53"/>
      <c r="I136" s="52"/>
      <c r="J136" s="52"/>
      <c r="L136" s="57"/>
    </row>
    <row r="137" spans="2:12" ht="14.4" x14ac:dyDescent="0.3">
      <c r="B137" s="48"/>
      <c r="C137" s="60"/>
      <c r="D137" s="53"/>
      <c r="E137" s="61"/>
      <c r="F137" s="48"/>
      <c r="G137" s="48"/>
      <c r="H137" s="53"/>
      <c r="I137" s="52"/>
      <c r="J137" s="52"/>
      <c r="L137" s="57"/>
    </row>
    <row r="138" spans="2:12" ht="14.4" x14ac:dyDescent="0.3">
      <c r="B138" s="48"/>
      <c r="C138" s="60"/>
      <c r="D138" s="53"/>
      <c r="E138" s="61"/>
      <c r="F138" s="48"/>
      <c r="G138" s="48"/>
      <c r="H138" s="53"/>
      <c r="I138" s="52"/>
      <c r="J138" s="52"/>
      <c r="L138" s="57"/>
    </row>
    <row r="139" spans="2:12" ht="14.4" x14ac:dyDescent="0.3">
      <c r="B139" s="48"/>
      <c r="C139" s="60"/>
      <c r="D139" s="53"/>
      <c r="E139" s="61"/>
      <c r="F139" s="48"/>
      <c r="G139" s="48"/>
      <c r="H139" s="53"/>
      <c r="I139" s="52"/>
      <c r="J139" s="52"/>
      <c r="L139" s="57"/>
    </row>
    <row r="140" spans="2:12" ht="14.4" x14ac:dyDescent="0.3">
      <c r="B140" s="48"/>
      <c r="C140" s="60"/>
      <c r="D140" s="53"/>
      <c r="E140" s="61"/>
      <c r="F140" s="48"/>
      <c r="G140" s="48"/>
      <c r="H140" s="53"/>
      <c r="I140" s="52"/>
      <c r="J140" s="52"/>
      <c r="L140" s="57"/>
    </row>
    <row r="141" spans="2:12" ht="14.4" x14ac:dyDescent="0.3">
      <c r="B141" s="48"/>
      <c r="C141" s="60"/>
      <c r="D141" s="53"/>
      <c r="E141" s="61"/>
      <c r="F141" s="48"/>
      <c r="G141" s="48"/>
      <c r="H141" s="53"/>
      <c r="I141" s="52"/>
      <c r="J141" s="52"/>
      <c r="L141" s="57"/>
    </row>
    <row r="142" spans="2:12" ht="14.4" x14ac:dyDescent="0.3">
      <c r="B142" s="48"/>
      <c r="C142" s="60"/>
      <c r="D142" s="53"/>
      <c r="E142" s="61"/>
      <c r="F142" s="48"/>
      <c r="G142" s="48"/>
      <c r="H142" s="53"/>
      <c r="I142" s="52"/>
      <c r="J142" s="52"/>
      <c r="L142" s="57"/>
    </row>
    <row r="143" spans="2:12" ht="14.4" x14ac:dyDescent="0.3">
      <c r="B143" s="48"/>
      <c r="C143" s="60"/>
      <c r="D143" s="53"/>
      <c r="E143" s="61"/>
      <c r="F143" s="48"/>
      <c r="G143" s="48"/>
      <c r="H143" s="53"/>
      <c r="I143" s="52"/>
      <c r="J143" s="52"/>
      <c r="L143" s="57"/>
    </row>
    <row r="144" spans="2:12" ht="14.4" x14ac:dyDescent="0.3">
      <c r="B144" s="48"/>
      <c r="C144" s="60"/>
      <c r="D144" s="53"/>
      <c r="E144" s="61"/>
      <c r="F144" s="48"/>
      <c r="G144" s="48"/>
      <c r="H144" s="53"/>
      <c r="I144" s="52"/>
      <c r="J144" s="52"/>
      <c r="L144" s="57"/>
    </row>
    <row r="145" spans="2:12" ht="14.4" x14ac:dyDescent="0.3">
      <c r="B145" s="48"/>
      <c r="C145" s="60"/>
      <c r="D145" s="53"/>
      <c r="E145" s="61"/>
      <c r="F145" s="48"/>
      <c r="G145" s="48"/>
      <c r="H145" s="53"/>
      <c r="I145" s="52"/>
      <c r="J145" s="52"/>
      <c r="L145" s="57"/>
    </row>
    <row r="146" spans="2:12" ht="14.4" x14ac:dyDescent="0.3">
      <c r="B146" s="48"/>
      <c r="C146" s="60"/>
      <c r="D146" s="53"/>
      <c r="E146" s="61"/>
      <c r="F146" s="48"/>
      <c r="G146" s="48"/>
      <c r="H146" s="53"/>
      <c r="I146" s="52"/>
      <c r="J146" s="52"/>
      <c r="L146" s="57"/>
    </row>
    <row r="147" spans="2:12" ht="14.4" x14ac:dyDescent="0.3">
      <c r="B147" s="48"/>
      <c r="C147" s="60"/>
      <c r="D147" s="53"/>
      <c r="E147" s="61"/>
      <c r="F147" s="48"/>
      <c r="G147" s="48"/>
      <c r="H147" s="53"/>
      <c r="I147" s="52"/>
      <c r="J147" s="52"/>
      <c r="L147" s="57"/>
    </row>
    <row r="148" spans="2:12" ht="14.4" x14ac:dyDescent="0.3">
      <c r="B148" s="48"/>
      <c r="C148" s="60"/>
      <c r="D148" s="53"/>
      <c r="E148" s="61"/>
      <c r="F148" s="48"/>
      <c r="G148" s="48"/>
      <c r="H148" s="53"/>
      <c r="I148" s="52"/>
      <c r="J148" s="52"/>
      <c r="L148" s="57"/>
    </row>
    <row r="149" spans="2:12" ht="14.4" x14ac:dyDescent="0.3">
      <c r="B149" s="48"/>
      <c r="C149" s="60"/>
      <c r="D149" s="53"/>
      <c r="E149" s="61"/>
      <c r="F149" s="48"/>
      <c r="G149" s="48"/>
      <c r="H149" s="53"/>
      <c r="I149" s="52"/>
      <c r="J149" s="52"/>
      <c r="L149" s="57"/>
    </row>
    <row r="150" spans="2:12" ht="14.4" x14ac:dyDescent="0.3">
      <c r="B150" s="48"/>
      <c r="C150" s="60"/>
      <c r="D150" s="53"/>
      <c r="E150" s="61"/>
      <c r="F150" s="48"/>
      <c r="G150" s="48"/>
      <c r="H150" s="53"/>
      <c r="I150" s="52"/>
      <c r="J150" s="52"/>
      <c r="L150" s="57"/>
    </row>
    <row r="151" spans="2:12" ht="14.4" x14ac:dyDescent="0.3">
      <c r="B151" s="48"/>
      <c r="C151" s="60"/>
      <c r="D151" s="53"/>
      <c r="E151" s="61"/>
      <c r="F151" s="48"/>
      <c r="G151" s="48"/>
      <c r="H151" s="53"/>
      <c r="I151" s="52"/>
      <c r="J151" s="52"/>
      <c r="L151" s="57"/>
    </row>
    <row r="152" spans="2:12" ht="14.4" x14ac:dyDescent="0.3">
      <c r="B152" s="48"/>
      <c r="C152" s="60"/>
      <c r="D152" s="53"/>
      <c r="E152" s="61"/>
      <c r="F152" s="48"/>
      <c r="G152" s="48"/>
      <c r="H152" s="53"/>
      <c r="I152" s="52"/>
      <c r="J152" s="52"/>
      <c r="L152" s="57"/>
    </row>
    <row r="153" spans="2:12" ht="14.4" x14ac:dyDescent="0.3">
      <c r="B153" s="48"/>
      <c r="C153" s="60"/>
      <c r="D153" s="53"/>
      <c r="E153" s="61"/>
      <c r="F153" s="48"/>
      <c r="G153" s="48"/>
      <c r="H153" s="53"/>
      <c r="I153" s="52"/>
      <c r="J153" s="52"/>
      <c r="L153" s="57"/>
    </row>
    <row r="154" spans="2:12" ht="14.4" x14ac:dyDescent="0.3">
      <c r="B154" s="48"/>
      <c r="C154" s="60"/>
      <c r="D154" s="53"/>
      <c r="E154" s="61"/>
      <c r="F154" s="48"/>
      <c r="G154" s="48"/>
      <c r="H154" s="53"/>
      <c r="I154" s="52"/>
      <c r="J154" s="52"/>
      <c r="L154" s="57"/>
    </row>
    <row r="155" spans="2:12" ht="14.4" x14ac:dyDescent="0.3">
      <c r="B155" s="48"/>
      <c r="C155" s="60"/>
      <c r="D155" s="53"/>
      <c r="E155" s="61"/>
      <c r="F155" s="48"/>
      <c r="G155" s="48"/>
      <c r="H155" s="53"/>
      <c r="I155" s="52"/>
      <c r="J155" s="52"/>
      <c r="L155" s="57"/>
    </row>
    <row r="156" spans="2:12" ht="14.4" x14ac:dyDescent="0.3">
      <c r="B156" s="48"/>
      <c r="C156" s="60"/>
      <c r="D156" s="53"/>
      <c r="E156" s="61"/>
      <c r="F156" s="48"/>
      <c r="G156" s="48"/>
      <c r="H156" s="53"/>
      <c r="I156" s="52"/>
      <c r="J156" s="52"/>
      <c r="L156" s="57"/>
    </row>
    <row r="157" spans="2:12" ht="14.4" x14ac:dyDescent="0.3">
      <c r="B157" s="48"/>
      <c r="C157" s="60"/>
      <c r="D157" s="53"/>
      <c r="E157" s="61"/>
      <c r="F157" s="48"/>
      <c r="G157" s="48"/>
      <c r="H157" s="53"/>
      <c r="I157" s="52"/>
      <c r="J157" s="52"/>
      <c r="L157" s="57"/>
    </row>
    <row r="158" spans="2:12" ht="14.4" x14ac:dyDescent="0.3">
      <c r="B158" s="48"/>
      <c r="C158" s="60"/>
      <c r="D158" s="53"/>
      <c r="E158" s="61"/>
      <c r="F158" s="48"/>
      <c r="G158" s="48"/>
      <c r="H158" s="53"/>
      <c r="I158" s="52"/>
      <c r="J158" s="52"/>
      <c r="L158" s="57"/>
    </row>
    <row r="159" spans="2:12" ht="14.4" x14ac:dyDescent="0.3">
      <c r="B159" s="48"/>
      <c r="C159" s="60"/>
      <c r="D159" s="53"/>
      <c r="E159" s="61"/>
      <c r="F159" s="48"/>
      <c r="G159" s="48"/>
      <c r="H159" s="53"/>
      <c r="I159" s="52"/>
      <c r="J159" s="52"/>
      <c r="L159" s="57"/>
    </row>
    <row r="160" spans="2:12" ht="14.4" x14ac:dyDescent="0.3">
      <c r="B160" s="48"/>
      <c r="C160" s="60"/>
      <c r="D160" s="53"/>
      <c r="E160" s="61"/>
      <c r="F160" s="48"/>
      <c r="G160" s="48"/>
      <c r="H160" s="53"/>
      <c r="I160" s="52"/>
      <c r="J160" s="52"/>
      <c r="L160" s="57"/>
    </row>
    <row r="161" spans="2:12" ht="14.4" x14ac:dyDescent="0.3">
      <c r="B161" s="48"/>
      <c r="C161" s="60"/>
      <c r="D161" s="53"/>
      <c r="E161" s="61"/>
      <c r="F161" s="48"/>
      <c r="G161" s="48"/>
      <c r="H161" s="53"/>
      <c r="I161" s="52"/>
      <c r="J161" s="52"/>
      <c r="L161" s="57"/>
    </row>
    <row r="162" spans="2:12" ht="14.4" x14ac:dyDescent="0.3">
      <c r="B162" s="48"/>
      <c r="C162" s="60"/>
      <c r="D162" s="53"/>
      <c r="E162" s="61"/>
      <c r="F162" s="48"/>
      <c r="G162" s="48"/>
      <c r="H162" s="53"/>
      <c r="I162" s="52"/>
      <c r="J162" s="52"/>
      <c r="L162" s="57"/>
    </row>
    <row r="163" spans="2:12" ht="14.4" x14ac:dyDescent="0.3">
      <c r="B163" s="48"/>
      <c r="C163" s="60"/>
      <c r="D163" s="53"/>
      <c r="E163" s="61"/>
      <c r="F163" s="48"/>
      <c r="G163" s="48"/>
      <c r="H163" s="53"/>
      <c r="I163" s="52"/>
      <c r="J163" s="52"/>
      <c r="L163" s="57"/>
    </row>
    <row r="164" spans="2:12" ht="14.4" x14ac:dyDescent="0.3">
      <c r="B164" s="48"/>
      <c r="C164" s="60"/>
      <c r="D164" s="53"/>
      <c r="E164" s="61"/>
      <c r="F164" s="48"/>
      <c r="G164" s="48"/>
      <c r="H164" s="53"/>
      <c r="I164" s="52"/>
      <c r="J164" s="52"/>
      <c r="L164" s="57"/>
    </row>
    <row r="165" spans="2:12" ht="14.4" x14ac:dyDescent="0.3">
      <c r="B165" s="48"/>
      <c r="C165" s="60"/>
      <c r="D165" s="53"/>
      <c r="E165" s="61"/>
      <c r="F165" s="48"/>
      <c r="G165" s="48"/>
      <c r="H165" s="53"/>
      <c r="I165" s="52"/>
      <c r="J165" s="52"/>
      <c r="L165" s="57"/>
    </row>
    <row r="166" spans="2:12" ht="14.4" x14ac:dyDescent="0.3">
      <c r="B166" s="48"/>
      <c r="C166" s="60"/>
      <c r="D166" s="53"/>
      <c r="E166" s="61"/>
      <c r="F166" s="48"/>
      <c r="G166" s="48"/>
      <c r="H166" s="53"/>
      <c r="I166" s="52"/>
      <c r="J166" s="52"/>
      <c r="L166" s="57"/>
    </row>
    <row r="167" spans="2:12" ht="14.4" x14ac:dyDescent="0.3">
      <c r="B167" s="48"/>
      <c r="C167" s="60"/>
      <c r="D167" s="53"/>
      <c r="E167" s="61"/>
      <c r="F167" s="48"/>
      <c r="G167" s="48"/>
      <c r="H167" s="53"/>
      <c r="I167" s="52"/>
      <c r="J167" s="52"/>
      <c r="L167" s="57"/>
    </row>
    <row r="168" spans="2:12" ht="14.4" x14ac:dyDescent="0.3">
      <c r="B168" s="48"/>
      <c r="C168" s="60"/>
      <c r="D168" s="53"/>
      <c r="E168" s="61"/>
      <c r="F168" s="48"/>
      <c r="G168" s="48"/>
      <c r="H168" s="53"/>
      <c r="I168" s="52"/>
      <c r="J168" s="52"/>
      <c r="L168" s="57"/>
    </row>
    <row r="169" spans="2:12" ht="14.4" x14ac:dyDescent="0.3">
      <c r="B169" s="48"/>
      <c r="C169" s="60"/>
      <c r="D169" s="53"/>
      <c r="E169" s="61"/>
      <c r="F169" s="48"/>
      <c r="G169" s="48"/>
      <c r="H169" s="53"/>
      <c r="I169" s="52"/>
      <c r="J169" s="52"/>
      <c r="L169" s="57"/>
    </row>
    <row r="170" spans="2:12" ht="14.4" x14ac:dyDescent="0.3">
      <c r="B170" s="48"/>
      <c r="C170" s="60"/>
      <c r="D170" s="53"/>
      <c r="E170" s="61"/>
      <c r="F170" s="48"/>
      <c r="G170" s="48"/>
      <c r="H170" s="53"/>
      <c r="I170" s="52"/>
      <c r="J170" s="52"/>
      <c r="L170" s="57"/>
    </row>
    <row r="171" spans="2:12" ht="14.4" x14ac:dyDescent="0.3">
      <c r="B171" s="48"/>
      <c r="C171" s="60"/>
      <c r="D171" s="53"/>
      <c r="E171" s="61"/>
      <c r="F171" s="48"/>
      <c r="G171" s="48"/>
      <c r="H171" s="53"/>
      <c r="I171" s="52"/>
      <c r="J171" s="52"/>
      <c r="L171" s="57"/>
    </row>
    <row r="172" spans="2:12" ht="14.4" x14ac:dyDescent="0.3">
      <c r="B172" s="48"/>
      <c r="C172" s="60"/>
      <c r="D172" s="53"/>
      <c r="E172" s="61"/>
      <c r="F172" s="48"/>
      <c r="G172" s="48"/>
      <c r="H172" s="53"/>
      <c r="I172" s="52"/>
      <c r="J172" s="52"/>
      <c r="L172" s="57"/>
    </row>
    <row r="173" spans="2:12" ht="14.4" x14ac:dyDescent="0.3">
      <c r="B173" s="48"/>
      <c r="C173" s="60"/>
      <c r="D173" s="53"/>
      <c r="E173" s="61"/>
      <c r="F173" s="48"/>
      <c r="G173" s="48"/>
      <c r="H173" s="53"/>
      <c r="I173" s="52"/>
      <c r="J173" s="52"/>
      <c r="L173" s="57"/>
    </row>
    <row r="174" spans="2:12" ht="14.4" x14ac:dyDescent="0.3">
      <c r="B174" s="48"/>
      <c r="C174" s="60"/>
      <c r="D174" s="53"/>
      <c r="E174" s="61"/>
      <c r="F174" s="48"/>
      <c r="G174" s="48"/>
      <c r="H174" s="53"/>
      <c r="I174" s="52"/>
      <c r="J174" s="52"/>
      <c r="L174" s="57"/>
    </row>
    <row r="175" spans="2:12" ht="14.4" x14ac:dyDescent="0.3">
      <c r="B175" s="48"/>
      <c r="C175" s="60"/>
      <c r="D175" s="53"/>
      <c r="E175" s="61"/>
      <c r="F175" s="48"/>
      <c r="G175" s="48"/>
      <c r="H175" s="53"/>
      <c r="I175" s="52"/>
      <c r="J175" s="52"/>
      <c r="L175" s="57"/>
    </row>
    <row r="176" spans="2:12" ht="14.4" x14ac:dyDescent="0.3">
      <c r="B176" s="48"/>
      <c r="C176" s="60"/>
      <c r="D176" s="53"/>
      <c r="E176" s="61"/>
      <c r="F176" s="48"/>
      <c r="G176" s="48"/>
      <c r="H176" s="53"/>
      <c r="I176" s="52"/>
      <c r="J176" s="52"/>
      <c r="L176" s="57"/>
    </row>
    <row r="177" spans="2:12" ht="14.4" x14ac:dyDescent="0.3">
      <c r="B177" s="48"/>
      <c r="C177" s="60"/>
      <c r="D177" s="53"/>
      <c r="E177" s="61"/>
      <c r="F177" s="48"/>
      <c r="G177" s="48"/>
      <c r="H177" s="53"/>
      <c r="I177" s="52"/>
      <c r="J177" s="52"/>
      <c r="L177" s="57"/>
    </row>
    <row r="178" spans="2:12" ht="14.4" x14ac:dyDescent="0.3">
      <c r="B178" s="48"/>
      <c r="C178" s="60"/>
      <c r="D178" s="53"/>
      <c r="E178" s="61"/>
      <c r="F178" s="48"/>
      <c r="G178" s="48"/>
      <c r="H178" s="53"/>
      <c r="I178" s="52"/>
      <c r="J178" s="52"/>
      <c r="L178" s="57"/>
    </row>
    <row r="179" spans="2:12" ht="14.4" x14ac:dyDescent="0.3">
      <c r="B179" s="48"/>
      <c r="C179" s="60"/>
      <c r="D179" s="53"/>
      <c r="E179" s="61"/>
      <c r="F179" s="48"/>
      <c r="G179" s="48"/>
      <c r="H179" s="53"/>
      <c r="I179" s="52"/>
      <c r="J179" s="52"/>
      <c r="L179" s="57"/>
    </row>
    <row r="180" spans="2:12" ht="14.4" x14ac:dyDescent="0.3">
      <c r="B180" s="48"/>
      <c r="C180" s="60"/>
      <c r="D180" s="53"/>
      <c r="E180" s="61"/>
      <c r="F180" s="48"/>
      <c r="G180" s="48"/>
      <c r="H180" s="53"/>
      <c r="I180" s="52"/>
      <c r="J180" s="52"/>
      <c r="L180" s="57"/>
    </row>
    <row r="181" spans="2:12" ht="14.4" x14ac:dyDescent="0.3">
      <c r="B181" s="48"/>
      <c r="C181" s="60"/>
      <c r="D181" s="53"/>
      <c r="E181" s="61"/>
      <c r="F181" s="48"/>
      <c r="G181" s="48"/>
      <c r="H181" s="53"/>
      <c r="I181" s="52"/>
      <c r="J181" s="52"/>
      <c r="L181" s="57"/>
    </row>
    <row r="182" spans="2:12" ht="14.4" x14ac:dyDescent="0.3">
      <c r="B182" s="48"/>
      <c r="C182" s="60"/>
      <c r="D182" s="53"/>
      <c r="E182" s="61"/>
      <c r="F182" s="48"/>
      <c r="G182" s="48"/>
      <c r="H182" s="53"/>
      <c r="I182" s="52"/>
      <c r="J182" s="52"/>
      <c r="L182" s="57"/>
    </row>
    <row r="183" spans="2:12" ht="14.4" x14ac:dyDescent="0.3">
      <c r="B183" s="48"/>
      <c r="C183" s="60"/>
      <c r="D183" s="53"/>
      <c r="E183" s="61"/>
      <c r="F183" s="48"/>
      <c r="G183" s="48"/>
      <c r="H183" s="53"/>
      <c r="I183" s="52"/>
      <c r="J183" s="52"/>
      <c r="L183" s="57"/>
    </row>
    <row r="184" spans="2:12" ht="14.4" x14ac:dyDescent="0.3">
      <c r="B184" s="48"/>
      <c r="C184" s="60"/>
      <c r="D184" s="53"/>
      <c r="E184" s="61"/>
      <c r="F184" s="48"/>
      <c r="G184" s="48"/>
      <c r="H184" s="53"/>
      <c r="I184" s="52"/>
      <c r="J184" s="52"/>
      <c r="L184" s="57"/>
    </row>
    <row r="185" spans="2:12" ht="14.4" x14ac:dyDescent="0.3">
      <c r="B185" s="48"/>
      <c r="C185" s="60"/>
      <c r="D185" s="53"/>
      <c r="E185" s="61"/>
      <c r="F185" s="48"/>
      <c r="G185" s="48"/>
      <c r="H185" s="53"/>
      <c r="I185" s="52"/>
      <c r="J185" s="52"/>
      <c r="L185" s="57"/>
    </row>
    <row r="186" spans="2:12" ht="14.4" x14ac:dyDescent="0.3">
      <c r="B186" s="48"/>
      <c r="C186" s="60"/>
      <c r="D186" s="53"/>
      <c r="E186" s="61"/>
      <c r="F186" s="48"/>
      <c r="G186" s="48"/>
      <c r="H186" s="53"/>
      <c r="I186" s="52"/>
      <c r="J186" s="52"/>
      <c r="L186" s="57"/>
    </row>
    <row r="187" spans="2:12" ht="14.4" x14ac:dyDescent="0.3">
      <c r="B187" s="48"/>
      <c r="C187" s="60"/>
      <c r="D187" s="53"/>
      <c r="E187" s="61"/>
      <c r="F187" s="48"/>
      <c r="G187" s="48"/>
      <c r="H187" s="53"/>
      <c r="I187" s="52"/>
      <c r="J187" s="52"/>
      <c r="L187" s="57"/>
    </row>
    <row r="188" spans="2:12" ht="14.4" x14ac:dyDescent="0.3">
      <c r="B188" s="48"/>
      <c r="C188" s="60"/>
      <c r="D188" s="53"/>
      <c r="E188" s="61"/>
      <c r="F188" s="48"/>
      <c r="G188" s="48"/>
      <c r="H188" s="53"/>
      <c r="I188" s="52"/>
      <c r="J188" s="52"/>
      <c r="L188" s="57"/>
    </row>
    <row r="189" spans="2:12" ht="14.4" x14ac:dyDescent="0.3">
      <c r="B189" s="48"/>
      <c r="C189" s="60"/>
      <c r="D189" s="53"/>
      <c r="E189" s="61"/>
      <c r="F189" s="48"/>
      <c r="G189" s="48"/>
      <c r="H189" s="53"/>
      <c r="I189" s="52"/>
      <c r="J189" s="52"/>
      <c r="L189" s="57"/>
    </row>
    <row r="190" spans="2:12" ht="14.4" x14ac:dyDescent="0.3">
      <c r="B190" s="48"/>
      <c r="C190" s="60"/>
      <c r="D190" s="53"/>
      <c r="E190" s="61"/>
      <c r="F190" s="48"/>
      <c r="G190" s="48"/>
      <c r="H190" s="53"/>
      <c r="I190" s="52"/>
      <c r="J190" s="52"/>
      <c r="L190" s="57"/>
    </row>
    <row r="191" spans="2:12" ht="14.4" x14ac:dyDescent="0.3">
      <c r="B191" s="48"/>
      <c r="C191" s="60"/>
      <c r="D191" s="53"/>
      <c r="E191" s="61"/>
      <c r="F191" s="48"/>
      <c r="G191" s="48"/>
      <c r="H191" s="53"/>
      <c r="I191" s="52"/>
      <c r="J191" s="52"/>
      <c r="L191" s="57"/>
    </row>
    <row r="192" spans="2:12" ht="14.4" x14ac:dyDescent="0.3">
      <c r="B192" s="48"/>
      <c r="C192" s="60"/>
      <c r="D192" s="53"/>
      <c r="E192" s="61"/>
      <c r="F192" s="48"/>
      <c r="G192" s="48"/>
      <c r="H192" s="53"/>
      <c r="I192" s="52"/>
      <c r="J192" s="52"/>
      <c r="L192" s="57"/>
    </row>
    <row r="193" spans="2:12" ht="14.4" x14ac:dyDescent="0.3">
      <c r="B193" s="48"/>
      <c r="C193" s="60"/>
      <c r="D193" s="53"/>
      <c r="E193" s="61"/>
      <c r="F193" s="48"/>
      <c r="G193" s="48"/>
      <c r="H193" s="53"/>
      <c r="I193" s="52"/>
      <c r="J193" s="52"/>
      <c r="L193" s="57"/>
    </row>
    <row r="194" spans="2:12" ht="14.4" x14ac:dyDescent="0.3">
      <c r="B194" s="48"/>
      <c r="C194" s="60"/>
      <c r="D194" s="53"/>
      <c r="E194" s="61"/>
      <c r="F194" s="48"/>
      <c r="G194" s="48"/>
      <c r="H194" s="53"/>
      <c r="I194" s="52"/>
      <c r="J194" s="52"/>
      <c r="L194" s="57"/>
    </row>
    <row r="195" spans="2:12" ht="14.4" x14ac:dyDescent="0.3">
      <c r="B195" s="48"/>
      <c r="C195" s="60"/>
      <c r="D195" s="53"/>
      <c r="E195" s="61"/>
      <c r="F195" s="48"/>
      <c r="G195" s="48"/>
      <c r="H195" s="53"/>
      <c r="I195" s="52"/>
      <c r="J195" s="52"/>
      <c r="L195" s="57"/>
    </row>
    <row r="196" spans="2:12" ht="14.4" x14ac:dyDescent="0.3">
      <c r="B196" s="48"/>
      <c r="C196" s="60"/>
      <c r="D196" s="53"/>
      <c r="E196" s="61"/>
      <c r="F196" s="48"/>
      <c r="G196" s="48"/>
      <c r="H196" s="53"/>
      <c r="I196" s="52"/>
      <c r="J196" s="52"/>
      <c r="L196" s="57"/>
    </row>
    <row r="197" spans="2:12" ht="14.4" x14ac:dyDescent="0.3">
      <c r="B197" s="48"/>
      <c r="C197" s="60"/>
      <c r="D197" s="53"/>
      <c r="E197" s="61"/>
      <c r="F197" s="48"/>
      <c r="G197" s="48"/>
      <c r="H197" s="53"/>
      <c r="I197" s="52"/>
      <c r="J197" s="52"/>
      <c r="L197" s="57"/>
    </row>
    <row r="198" spans="2:12" ht="14.4" x14ac:dyDescent="0.3">
      <c r="B198" s="48"/>
      <c r="C198" s="60"/>
      <c r="D198" s="53"/>
      <c r="E198" s="61"/>
      <c r="F198" s="48"/>
      <c r="G198" s="48"/>
      <c r="H198" s="53"/>
      <c r="I198" s="52"/>
      <c r="J198" s="52"/>
      <c r="L198" s="57"/>
    </row>
    <row r="199" spans="2:12" ht="14.4" x14ac:dyDescent="0.3">
      <c r="B199" s="48"/>
      <c r="C199" s="60"/>
      <c r="D199" s="53"/>
      <c r="E199" s="61"/>
      <c r="F199" s="48"/>
      <c r="G199" s="48"/>
      <c r="H199" s="53"/>
      <c r="I199" s="52"/>
      <c r="J199" s="52"/>
      <c r="L199" s="57"/>
    </row>
    <row r="200" spans="2:12" ht="14.4" x14ac:dyDescent="0.3">
      <c r="B200" s="48"/>
      <c r="C200" s="60"/>
      <c r="D200" s="53"/>
      <c r="E200" s="61"/>
      <c r="F200" s="48"/>
      <c r="G200" s="48"/>
      <c r="H200" s="53"/>
      <c r="I200" s="52"/>
      <c r="J200" s="52"/>
      <c r="L200" s="57"/>
    </row>
    <row r="201" spans="2:12" ht="14.4" x14ac:dyDescent="0.3">
      <c r="B201" s="48"/>
      <c r="C201" s="60"/>
      <c r="D201" s="53"/>
      <c r="E201" s="61"/>
      <c r="F201" s="48"/>
      <c r="G201" s="48"/>
      <c r="H201" s="53"/>
      <c r="I201" s="52"/>
      <c r="J201" s="52"/>
      <c r="L201" s="57"/>
    </row>
    <row r="202" spans="2:12" ht="14.4" x14ac:dyDescent="0.3">
      <c r="B202" s="48"/>
      <c r="C202" s="60"/>
      <c r="D202" s="53"/>
      <c r="E202" s="61"/>
      <c r="F202" s="48"/>
      <c r="G202" s="48"/>
      <c r="H202" s="53"/>
      <c r="I202" s="52"/>
      <c r="J202" s="52"/>
      <c r="L202" s="57"/>
    </row>
    <row r="203" spans="2:12" ht="14.4" x14ac:dyDescent="0.3">
      <c r="B203" s="48"/>
      <c r="C203" s="60"/>
      <c r="D203" s="53"/>
      <c r="E203" s="61"/>
      <c r="F203" s="48"/>
      <c r="G203" s="48"/>
      <c r="H203" s="53"/>
      <c r="I203" s="52"/>
      <c r="J203" s="52"/>
      <c r="L203" s="57"/>
    </row>
    <row r="204" spans="2:12" ht="14.4" x14ac:dyDescent="0.3">
      <c r="B204" s="48"/>
      <c r="C204" s="60"/>
      <c r="D204" s="53"/>
      <c r="E204" s="61"/>
      <c r="F204" s="48"/>
      <c r="G204" s="48"/>
      <c r="H204" s="53"/>
      <c r="I204" s="52"/>
      <c r="J204" s="52"/>
      <c r="L204" s="57"/>
    </row>
    <row r="205" spans="2:12" ht="14.4" x14ac:dyDescent="0.3">
      <c r="B205" s="48"/>
      <c r="C205" s="60"/>
      <c r="D205" s="53"/>
      <c r="E205" s="61"/>
      <c r="F205" s="48"/>
      <c r="G205" s="48"/>
      <c r="H205" s="53"/>
      <c r="I205" s="52"/>
      <c r="J205" s="52"/>
      <c r="L205" s="57"/>
    </row>
    <row r="206" spans="2:12" ht="14.4" x14ac:dyDescent="0.3">
      <c r="B206" s="48"/>
      <c r="C206" s="60"/>
      <c r="D206" s="53"/>
      <c r="E206" s="61"/>
      <c r="F206" s="48"/>
      <c r="G206" s="48"/>
      <c r="H206" s="53"/>
      <c r="I206" s="52"/>
      <c r="J206" s="52"/>
      <c r="L206" s="57"/>
    </row>
    <row r="207" spans="2:12" ht="14.4" x14ac:dyDescent="0.3">
      <c r="B207" s="48"/>
      <c r="C207" s="60"/>
      <c r="D207" s="53"/>
      <c r="E207" s="61"/>
      <c r="F207" s="48"/>
      <c r="G207" s="48"/>
      <c r="H207" s="53"/>
      <c r="I207" s="52"/>
      <c r="J207" s="52"/>
      <c r="L207" s="57"/>
    </row>
    <row r="208" spans="2:12" ht="14.4" x14ac:dyDescent="0.3">
      <c r="B208" s="48"/>
      <c r="C208" s="60"/>
      <c r="D208" s="53"/>
      <c r="E208" s="61"/>
      <c r="F208" s="48"/>
      <c r="G208" s="48"/>
      <c r="H208" s="53"/>
      <c r="I208" s="52"/>
      <c r="J208" s="52"/>
      <c r="L208" s="57"/>
    </row>
    <row r="209" spans="2:12" ht="14.4" x14ac:dyDescent="0.3">
      <c r="B209" s="48"/>
      <c r="C209" s="60"/>
      <c r="D209" s="53"/>
      <c r="E209" s="61"/>
      <c r="F209" s="48"/>
      <c r="G209" s="48"/>
      <c r="H209" s="53"/>
      <c r="I209" s="52"/>
      <c r="J209" s="52"/>
      <c r="L209" s="57"/>
    </row>
    <row r="210" spans="2:12" ht="14.4" x14ac:dyDescent="0.3">
      <c r="B210" s="48"/>
      <c r="C210" s="60"/>
      <c r="D210" s="53"/>
      <c r="E210" s="61"/>
      <c r="F210" s="48"/>
      <c r="G210" s="48"/>
      <c r="H210" s="53"/>
      <c r="I210" s="52"/>
      <c r="J210" s="52"/>
      <c r="L210" s="57"/>
    </row>
    <row r="211" spans="2:12" ht="14.4" x14ac:dyDescent="0.3">
      <c r="B211" s="48"/>
      <c r="C211" s="60"/>
      <c r="D211" s="53"/>
      <c r="E211" s="61"/>
      <c r="F211" s="48"/>
      <c r="G211" s="48"/>
      <c r="H211" s="53"/>
      <c r="I211" s="52"/>
      <c r="J211" s="52"/>
      <c r="L211" s="57"/>
    </row>
    <row r="212" spans="2:12" ht="14.4" x14ac:dyDescent="0.3">
      <c r="B212" s="48"/>
      <c r="C212" s="60"/>
      <c r="D212" s="53"/>
      <c r="E212" s="61"/>
      <c r="F212" s="48"/>
      <c r="G212" s="48"/>
      <c r="H212" s="53"/>
      <c r="I212" s="52"/>
      <c r="J212" s="52"/>
      <c r="L212" s="57"/>
    </row>
    <row r="213" spans="2:12" ht="14.4" x14ac:dyDescent="0.3">
      <c r="B213" s="48"/>
      <c r="C213" s="60"/>
      <c r="D213" s="53"/>
      <c r="E213" s="61"/>
      <c r="F213" s="48"/>
      <c r="G213" s="48"/>
      <c r="H213" s="53"/>
      <c r="I213" s="52"/>
      <c r="J213" s="52"/>
      <c r="L213" s="57"/>
    </row>
    <row r="214" spans="2:12" ht="14.4" x14ac:dyDescent="0.3">
      <c r="B214" s="48"/>
      <c r="C214" s="60"/>
      <c r="D214" s="53"/>
      <c r="E214" s="61"/>
      <c r="F214" s="48"/>
      <c r="G214" s="48"/>
      <c r="H214" s="53"/>
      <c r="I214" s="52"/>
      <c r="J214" s="52"/>
      <c r="L214" s="57"/>
    </row>
    <row r="215" spans="2:12" ht="14.4" x14ac:dyDescent="0.3">
      <c r="B215" s="48"/>
      <c r="C215" s="60"/>
      <c r="D215" s="53"/>
      <c r="E215" s="61"/>
      <c r="F215" s="48"/>
      <c r="G215" s="48"/>
      <c r="H215" s="53"/>
      <c r="I215" s="52"/>
      <c r="J215" s="52"/>
      <c r="L215" s="57"/>
    </row>
    <row r="216" spans="2:12" ht="14.4" x14ac:dyDescent="0.3">
      <c r="B216" s="48"/>
      <c r="C216" s="60"/>
      <c r="D216" s="53"/>
      <c r="E216" s="61"/>
      <c r="F216" s="48"/>
      <c r="G216" s="48"/>
      <c r="H216" s="53"/>
      <c r="I216" s="52"/>
      <c r="J216" s="52"/>
      <c r="L216" s="57"/>
    </row>
    <row r="217" spans="2:12" ht="14.4" x14ac:dyDescent="0.3">
      <c r="B217" s="48"/>
      <c r="C217" s="60"/>
      <c r="D217" s="53"/>
      <c r="E217" s="61"/>
      <c r="F217" s="48"/>
      <c r="G217" s="48"/>
      <c r="H217" s="53"/>
      <c r="I217" s="52"/>
      <c r="J217" s="52"/>
      <c r="L217" s="57"/>
    </row>
    <row r="218" spans="2:12" ht="14.4" x14ac:dyDescent="0.3">
      <c r="B218" s="48"/>
      <c r="C218" s="60"/>
      <c r="D218" s="53"/>
      <c r="E218" s="61"/>
      <c r="F218" s="48"/>
      <c r="G218" s="48"/>
      <c r="H218" s="53"/>
      <c r="I218" s="52"/>
      <c r="J218" s="52"/>
      <c r="L218" s="57"/>
    </row>
    <row r="219" spans="2:12" ht="14.4" x14ac:dyDescent="0.3">
      <c r="B219" s="48"/>
      <c r="C219" s="60"/>
      <c r="D219" s="53"/>
      <c r="E219" s="61"/>
      <c r="F219" s="48"/>
      <c r="G219" s="48"/>
      <c r="H219" s="53"/>
      <c r="I219" s="52"/>
      <c r="J219" s="52"/>
      <c r="L219" s="57"/>
    </row>
    <row r="220" spans="2:12" ht="14.4" x14ac:dyDescent="0.3">
      <c r="B220" s="48"/>
      <c r="C220" s="60"/>
      <c r="D220" s="53"/>
      <c r="E220" s="61"/>
      <c r="F220" s="48"/>
      <c r="G220" s="48"/>
      <c r="H220" s="53"/>
      <c r="I220" s="52"/>
      <c r="J220" s="52"/>
      <c r="L220" s="57"/>
    </row>
    <row r="221" spans="2:12" ht="14.4" x14ac:dyDescent="0.3">
      <c r="B221" s="48"/>
      <c r="C221" s="60"/>
      <c r="D221" s="53"/>
      <c r="E221" s="61"/>
      <c r="F221" s="48"/>
      <c r="G221" s="48"/>
      <c r="H221" s="53"/>
      <c r="I221" s="52"/>
      <c r="J221" s="52"/>
      <c r="L221" s="57"/>
    </row>
    <row r="222" spans="2:12" ht="14.4" x14ac:dyDescent="0.3">
      <c r="B222" s="48"/>
      <c r="C222" s="60"/>
      <c r="D222" s="53"/>
      <c r="E222" s="61"/>
      <c r="F222" s="48"/>
      <c r="G222" s="48"/>
      <c r="H222" s="53"/>
      <c r="I222" s="52"/>
      <c r="J222" s="52"/>
      <c r="L222" s="57"/>
    </row>
    <row r="223" spans="2:12" ht="14.4" x14ac:dyDescent="0.3">
      <c r="B223" s="48"/>
      <c r="C223" s="60"/>
      <c r="D223" s="53"/>
      <c r="E223" s="61"/>
      <c r="F223" s="48"/>
      <c r="G223" s="48"/>
      <c r="H223" s="53"/>
      <c r="I223" s="52"/>
      <c r="J223" s="52"/>
      <c r="L223" s="57"/>
    </row>
    <row r="224" spans="2:12" ht="14.4" x14ac:dyDescent="0.3">
      <c r="B224" s="48"/>
      <c r="C224" s="60"/>
      <c r="D224" s="53"/>
      <c r="E224" s="61"/>
      <c r="F224" s="48"/>
      <c r="G224" s="48"/>
      <c r="H224" s="53"/>
      <c r="I224" s="52"/>
      <c r="J224" s="52"/>
      <c r="L224" s="57"/>
    </row>
    <row r="225" spans="2:12" ht="14.4" x14ac:dyDescent="0.3">
      <c r="B225" s="48"/>
      <c r="C225" s="60"/>
      <c r="D225" s="53"/>
      <c r="E225" s="61"/>
      <c r="F225" s="48"/>
      <c r="G225" s="48"/>
      <c r="H225" s="53"/>
      <c r="I225" s="52"/>
      <c r="J225" s="52"/>
      <c r="L225" s="57"/>
    </row>
    <row r="226" spans="2:12" ht="14.4" x14ac:dyDescent="0.3">
      <c r="B226" s="48"/>
      <c r="C226" s="60"/>
      <c r="D226" s="53"/>
      <c r="E226" s="61"/>
      <c r="F226" s="48"/>
      <c r="G226" s="48"/>
      <c r="H226" s="53"/>
      <c r="I226" s="52"/>
      <c r="J226" s="52"/>
      <c r="L226" s="57"/>
    </row>
    <row r="227" spans="2:12" ht="14.4" x14ac:dyDescent="0.3">
      <c r="B227" s="48"/>
      <c r="C227" s="60"/>
      <c r="D227" s="53"/>
      <c r="E227" s="61"/>
      <c r="F227" s="48"/>
      <c r="G227" s="48"/>
      <c r="H227" s="53"/>
      <c r="I227" s="52"/>
      <c r="J227" s="52"/>
      <c r="L227" s="57"/>
    </row>
    <row r="228" spans="2:12" ht="14.4" x14ac:dyDescent="0.3">
      <c r="B228" s="48"/>
      <c r="C228" s="60"/>
      <c r="D228" s="53"/>
      <c r="E228" s="61"/>
      <c r="F228" s="48"/>
      <c r="G228" s="48"/>
      <c r="H228" s="53"/>
      <c r="I228" s="52"/>
      <c r="J228" s="52"/>
      <c r="L228" s="57"/>
    </row>
    <row r="229" spans="2:12" ht="14.4" x14ac:dyDescent="0.3">
      <c r="B229" s="48"/>
      <c r="C229" s="60"/>
      <c r="D229" s="53"/>
      <c r="E229" s="61"/>
      <c r="F229" s="48"/>
      <c r="G229" s="48"/>
      <c r="H229" s="53"/>
      <c r="I229" s="52"/>
      <c r="J229" s="52"/>
      <c r="L229" s="57"/>
    </row>
    <row r="230" spans="2:12" ht="14.4" x14ac:dyDescent="0.3">
      <c r="B230" s="48"/>
      <c r="C230" s="60"/>
      <c r="D230" s="53"/>
      <c r="E230" s="61"/>
      <c r="F230" s="48"/>
      <c r="G230" s="48"/>
      <c r="H230" s="53"/>
      <c r="I230" s="52"/>
      <c r="J230" s="52"/>
      <c r="L230" s="57"/>
    </row>
    <row r="231" spans="2:12" ht="14.4" x14ac:dyDescent="0.3">
      <c r="B231" s="48"/>
      <c r="C231" s="60"/>
      <c r="D231" s="53"/>
      <c r="E231" s="61"/>
      <c r="F231" s="48"/>
      <c r="G231" s="48"/>
      <c r="H231" s="53"/>
      <c r="I231" s="52"/>
      <c r="J231" s="52"/>
      <c r="L231" s="57"/>
    </row>
    <row r="232" spans="2:12" ht="14.4" x14ac:dyDescent="0.3">
      <c r="B232" s="48"/>
      <c r="C232" s="60"/>
      <c r="D232" s="53"/>
      <c r="E232" s="61"/>
      <c r="F232" s="48"/>
      <c r="G232" s="48"/>
      <c r="H232" s="53"/>
      <c r="I232" s="52"/>
      <c r="J232" s="52"/>
      <c r="L232" s="57"/>
    </row>
    <row r="233" spans="2:12" ht="14.4" x14ac:dyDescent="0.3">
      <c r="B233" s="48"/>
      <c r="C233" s="60"/>
      <c r="D233" s="53"/>
      <c r="E233" s="61"/>
      <c r="F233" s="48"/>
      <c r="G233" s="48"/>
      <c r="H233" s="53"/>
      <c r="I233" s="52"/>
      <c r="J233" s="52"/>
      <c r="L233" s="57"/>
    </row>
    <row r="234" spans="2:12" ht="14.4" x14ac:dyDescent="0.3">
      <c r="B234" s="48"/>
      <c r="C234" s="60"/>
      <c r="D234" s="53"/>
      <c r="E234" s="61"/>
      <c r="F234" s="48"/>
      <c r="G234" s="48"/>
      <c r="H234" s="53"/>
      <c r="I234" s="52"/>
      <c r="J234" s="52"/>
      <c r="L234" s="57"/>
    </row>
    <row r="235" spans="2:12" ht="14.4" x14ac:dyDescent="0.3">
      <c r="B235" s="48"/>
      <c r="C235" s="60"/>
      <c r="D235" s="53"/>
      <c r="E235" s="61"/>
      <c r="F235" s="48"/>
      <c r="G235" s="48"/>
      <c r="H235" s="53"/>
      <c r="I235" s="52"/>
      <c r="J235" s="52"/>
      <c r="L235" s="57"/>
    </row>
    <row r="236" spans="2:12" ht="14.4" x14ac:dyDescent="0.3">
      <c r="B236" s="48"/>
      <c r="C236" s="60"/>
      <c r="D236" s="53"/>
      <c r="E236" s="61"/>
      <c r="F236" s="48"/>
      <c r="G236" s="48"/>
      <c r="H236" s="53"/>
      <c r="I236" s="52"/>
      <c r="J236" s="52"/>
      <c r="L236" s="57"/>
    </row>
    <row r="237" spans="2:12" ht="14.4" x14ac:dyDescent="0.3">
      <c r="B237" s="48"/>
      <c r="C237" s="60"/>
      <c r="D237" s="53"/>
      <c r="E237" s="61"/>
      <c r="F237" s="48"/>
      <c r="G237" s="48"/>
      <c r="H237" s="53"/>
      <c r="I237" s="52"/>
      <c r="J237" s="52"/>
      <c r="L237" s="57"/>
    </row>
    <row r="238" spans="2:12" ht="14.4" x14ac:dyDescent="0.3">
      <c r="B238" s="48"/>
      <c r="C238" s="60"/>
      <c r="D238" s="53"/>
      <c r="E238" s="61"/>
      <c r="F238" s="48"/>
      <c r="G238" s="48"/>
      <c r="H238" s="53"/>
      <c r="I238" s="52"/>
      <c r="J238" s="52"/>
      <c r="L238" s="57"/>
    </row>
    <row r="239" spans="2:12" ht="14.4" x14ac:dyDescent="0.3">
      <c r="B239" s="48"/>
      <c r="C239" s="60"/>
      <c r="D239" s="53"/>
      <c r="E239" s="61"/>
      <c r="F239" s="48"/>
      <c r="G239" s="48"/>
      <c r="H239" s="53"/>
      <c r="I239" s="52"/>
      <c r="J239" s="52"/>
      <c r="L239" s="57"/>
    </row>
    <row r="240" spans="2:12" ht="14.4" x14ac:dyDescent="0.3">
      <c r="B240" s="48"/>
      <c r="C240" s="60"/>
      <c r="D240" s="53"/>
      <c r="E240" s="61"/>
      <c r="F240" s="48"/>
      <c r="G240" s="48"/>
      <c r="H240" s="53"/>
      <c r="I240" s="52"/>
      <c r="J240" s="52"/>
      <c r="L240" s="57"/>
    </row>
    <row r="241" spans="2:12" ht="14.4" x14ac:dyDescent="0.3">
      <c r="B241" s="48"/>
      <c r="C241" s="60"/>
      <c r="D241" s="53"/>
      <c r="E241" s="61"/>
      <c r="F241" s="48"/>
      <c r="G241" s="48"/>
      <c r="H241" s="53"/>
      <c r="I241" s="52"/>
      <c r="J241" s="52"/>
      <c r="L241" s="57"/>
    </row>
    <row r="242" spans="2:12" ht="14.4" x14ac:dyDescent="0.3">
      <c r="B242" s="48"/>
      <c r="C242" s="60"/>
      <c r="D242" s="53"/>
      <c r="E242" s="61"/>
      <c r="F242" s="48"/>
      <c r="G242" s="48"/>
      <c r="H242" s="53"/>
      <c r="I242" s="52"/>
      <c r="J242" s="52"/>
      <c r="L242" s="57"/>
    </row>
    <row r="243" spans="2:12" ht="14.4" x14ac:dyDescent="0.3">
      <c r="B243" s="48"/>
      <c r="C243" s="60"/>
      <c r="D243" s="53"/>
      <c r="E243" s="61"/>
      <c r="F243" s="48"/>
      <c r="G243" s="48"/>
      <c r="H243" s="53"/>
      <c r="I243" s="52"/>
      <c r="J243" s="52"/>
      <c r="L243" s="57"/>
    </row>
    <row r="244" spans="2:12" ht="14.4" x14ac:dyDescent="0.3">
      <c r="B244" s="48"/>
      <c r="C244" s="60"/>
      <c r="D244" s="53"/>
      <c r="E244" s="61"/>
      <c r="F244" s="48"/>
      <c r="G244" s="48"/>
      <c r="H244" s="53"/>
      <c r="I244" s="52"/>
      <c r="J244" s="52"/>
      <c r="L244" s="57"/>
    </row>
    <row r="245" spans="2:12" ht="14.4" x14ac:dyDescent="0.3">
      <c r="B245" s="48"/>
      <c r="C245" s="60"/>
      <c r="D245" s="53"/>
      <c r="E245" s="61"/>
      <c r="F245" s="48"/>
      <c r="G245" s="48"/>
      <c r="H245" s="53"/>
      <c r="I245" s="52"/>
      <c r="J245" s="52"/>
      <c r="L245" s="57"/>
    </row>
    <row r="246" spans="2:12" ht="14.4" x14ac:dyDescent="0.3">
      <c r="B246" s="48"/>
      <c r="C246" s="60"/>
      <c r="D246" s="53"/>
      <c r="E246" s="61"/>
      <c r="F246" s="48"/>
      <c r="G246" s="48"/>
      <c r="H246" s="53"/>
      <c r="I246" s="52"/>
      <c r="L246" s="57"/>
    </row>
    <row r="247" spans="2:12" ht="14.4" x14ac:dyDescent="0.3">
      <c r="B247" s="48"/>
      <c r="C247" s="60"/>
      <c r="D247" s="53"/>
      <c r="E247" s="61"/>
      <c r="F247" s="48"/>
      <c r="G247" s="48"/>
      <c r="H247" s="53"/>
      <c r="I247" s="52"/>
      <c r="L247" s="57"/>
    </row>
    <row r="248" spans="2:12" ht="14.4" x14ac:dyDescent="0.3">
      <c r="B248" s="48"/>
      <c r="C248" s="60"/>
      <c r="D248" s="53"/>
      <c r="E248" s="61"/>
      <c r="F248" s="48"/>
      <c r="G248" s="48"/>
      <c r="H248" s="53"/>
      <c r="I248" s="52"/>
      <c r="L248" s="57"/>
    </row>
    <row r="249" spans="2:12" ht="14.4" x14ac:dyDescent="0.3">
      <c r="B249" s="48"/>
      <c r="C249" s="60"/>
      <c r="D249" s="53"/>
      <c r="E249" s="61"/>
      <c r="F249" s="48"/>
      <c r="G249" s="48"/>
      <c r="H249" s="53"/>
      <c r="I249" s="52"/>
      <c r="J249" s="52"/>
      <c r="L249" s="57"/>
    </row>
    <row r="250" spans="2:12" ht="14.4" x14ac:dyDescent="0.3">
      <c r="B250" s="48"/>
      <c r="C250" s="60"/>
      <c r="D250" s="53"/>
      <c r="E250" s="61"/>
      <c r="F250" s="48"/>
      <c r="G250" s="48"/>
      <c r="H250" s="53"/>
      <c r="I250" s="52"/>
      <c r="J250" s="52"/>
      <c r="L250" s="57"/>
    </row>
    <row r="251" spans="2:12" ht="14.4" x14ac:dyDescent="0.3">
      <c r="B251" s="48"/>
      <c r="C251" s="60"/>
      <c r="D251" s="53"/>
      <c r="E251" s="61"/>
      <c r="F251" s="48"/>
      <c r="G251" s="48"/>
      <c r="H251" s="53"/>
      <c r="I251" s="52"/>
      <c r="J251" s="52"/>
      <c r="L251" s="57"/>
    </row>
    <row r="252" spans="2:12" ht="14.4" x14ac:dyDescent="0.3">
      <c r="B252" s="48"/>
      <c r="C252" s="60"/>
      <c r="D252" s="53"/>
      <c r="E252" s="61"/>
      <c r="F252" s="48"/>
      <c r="G252" s="48"/>
      <c r="H252" s="53"/>
      <c r="I252" s="52"/>
      <c r="L252" s="57"/>
    </row>
    <row r="253" spans="2:12" ht="14.4" x14ac:dyDescent="0.3">
      <c r="B253" s="48"/>
      <c r="C253" s="60"/>
      <c r="D253" s="53"/>
      <c r="E253" s="61"/>
      <c r="F253" s="48"/>
      <c r="G253" s="48"/>
      <c r="H253" s="53"/>
      <c r="L253" s="57"/>
    </row>
    <row r="254" spans="2:12" ht="14.4" x14ac:dyDescent="0.3">
      <c r="B254" s="48"/>
      <c r="C254" s="60"/>
      <c r="D254" s="53"/>
      <c r="E254" s="61"/>
      <c r="F254" s="48"/>
      <c r="G254" s="48"/>
      <c r="H254" s="53"/>
      <c r="I254" s="52"/>
      <c r="L254" s="57"/>
    </row>
    <row r="255" spans="2:12" ht="14.4" x14ac:dyDescent="0.3">
      <c r="B255" s="48"/>
      <c r="C255" s="60"/>
      <c r="D255" s="53"/>
      <c r="E255" s="61"/>
      <c r="F255" s="48"/>
      <c r="G255" s="48"/>
      <c r="H255" s="53"/>
      <c r="I255" s="52"/>
      <c r="L255" s="57"/>
    </row>
    <row r="256" spans="2:12" ht="14.4" x14ac:dyDescent="0.3">
      <c r="B256" s="48"/>
      <c r="C256" s="60"/>
      <c r="D256" s="53"/>
      <c r="E256" s="61"/>
      <c r="F256" s="48"/>
      <c r="G256" s="48"/>
      <c r="H256" s="53"/>
      <c r="I256" s="52"/>
      <c r="L256" s="57"/>
    </row>
    <row r="257" spans="2:12" ht="14.4" x14ac:dyDescent="0.3">
      <c r="B257" s="48"/>
      <c r="C257" s="60"/>
      <c r="D257" s="53"/>
      <c r="E257" s="61"/>
      <c r="F257" s="48"/>
      <c r="G257" s="48"/>
      <c r="H257" s="53"/>
      <c r="I257" s="52"/>
      <c r="J257" s="52"/>
      <c r="L257" s="57"/>
    </row>
    <row r="258" spans="2:12" ht="14.4" x14ac:dyDescent="0.3">
      <c r="B258" s="48"/>
      <c r="C258" s="60"/>
      <c r="D258" s="53"/>
      <c r="E258" s="61"/>
      <c r="F258" s="48"/>
      <c r="G258" s="48"/>
      <c r="H258" s="53"/>
      <c r="I258" s="52"/>
      <c r="J258" s="52"/>
      <c r="L258" s="57"/>
    </row>
    <row r="259" spans="2:12" ht="14.4" x14ac:dyDescent="0.3">
      <c r="B259" s="48"/>
      <c r="C259" s="60"/>
      <c r="D259" s="53"/>
      <c r="E259" s="61"/>
      <c r="F259" s="48"/>
      <c r="G259" s="48"/>
      <c r="H259" s="53"/>
      <c r="I259" s="52"/>
      <c r="J259" s="52"/>
      <c r="L259" s="57"/>
    </row>
    <row r="260" spans="2:12" ht="14.4" x14ac:dyDescent="0.3">
      <c r="B260" s="48"/>
      <c r="C260" s="60"/>
      <c r="D260" s="53"/>
      <c r="E260" s="61"/>
      <c r="F260" s="48"/>
      <c r="G260" s="48"/>
      <c r="H260" s="53"/>
      <c r="I260" s="52"/>
      <c r="J260" s="52"/>
      <c r="L260" s="57"/>
    </row>
    <row r="261" spans="2:12" ht="14.4" x14ac:dyDescent="0.3">
      <c r="B261" s="48"/>
      <c r="C261" s="60"/>
      <c r="D261" s="53"/>
      <c r="E261" s="61"/>
      <c r="F261" s="48"/>
      <c r="G261" s="48"/>
      <c r="H261" s="53"/>
      <c r="I261" s="52"/>
      <c r="J261" s="52"/>
      <c r="L261" s="57"/>
    </row>
    <row r="262" spans="2:12" ht="14.4" x14ac:dyDescent="0.3">
      <c r="B262" s="48"/>
      <c r="C262" s="60"/>
      <c r="D262" s="53"/>
      <c r="E262" s="61"/>
      <c r="F262" s="48"/>
      <c r="G262" s="48"/>
      <c r="H262" s="53"/>
      <c r="I262" s="52"/>
      <c r="J262" s="52"/>
      <c r="L262" s="57"/>
    </row>
    <row r="263" spans="2:12" ht="14.4" x14ac:dyDescent="0.3">
      <c r="B263" s="48"/>
      <c r="C263" s="60"/>
      <c r="D263" s="53"/>
      <c r="E263" s="61"/>
      <c r="F263" s="48"/>
      <c r="G263" s="48"/>
      <c r="H263" s="53"/>
      <c r="I263" s="52"/>
      <c r="J263" s="52"/>
      <c r="L263" s="57"/>
    </row>
    <row r="264" spans="2:12" ht="14.4" x14ac:dyDescent="0.3">
      <c r="B264" s="48"/>
      <c r="C264" s="60"/>
      <c r="D264" s="53"/>
      <c r="E264" s="61"/>
      <c r="F264" s="48"/>
      <c r="G264" s="48"/>
      <c r="H264" s="53"/>
      <c r="I264" s="52"/>
      <c r="L264" s="57"/>
    </row>
    <row r="265" spans="2:12" ht="14.4" x14ac:dyDescent="0.3">
      <c r="B265" s="48"/>
      <c r="C265" s="60"/>
      <c r="D265" s="53"/>
      <c r="E265" s="61"/>
      <c r="F265" s="48"/>
      <c r="G265" s="48"/>
      <c r="H265" s="53"/>
      <c r="I265" s="52"/>
      <c r="L265" s="57"/>
    </row>
    <row r="266" spans="2:12" ht="14.4" x14ac:dyDescent="0.3">
      <c r="B266" s="48"/>
      <c r="C266" s="60"/>
      <c r="D266" s="53"/>
      <c r="E266" s="61"/>
      <c r="F266" s="48"/>
      <c r="G266" s="48"/>
      <c r="H266" s="53"/>
      <c r="I266" s="52"/>
      <c r="L266" s="57"/>
    </row>
    <row r="267" spans="2:12" ht="14.4" x14ac:dyDescent="0.3">
      <c r="B267" s="48"/>
      <c r="C267" s="60"/>
      <c r="D267" s="53"/>
      <c r="E267" s="61"/>
      <c r="F267" s="48"/>
      <c r="G267" s="48"/>
      <c r="H267" s="53"/>
      <c r="I267" s="52"/>
      <c r="J267" s="52"/>
      <c r="L267" s="57"/>
    </row>
    <row r="268" spans="2:12" ht="14.4" x14ac:dyDescent="0.3">
      <c r="B268" s="48"/>
      <c r="C268" s="60"/>
      <c r="D268" s="53"/>
      <c r="E268" s="61"/>
      <c r="F268" s="48"/>
      <c r="G268" s="48"/>
      <c r="H268" s="53"/>
      <c r="I268" s="52"/>
      <c r="J268" s="52"/>
      <c r="L268" s="57"/>
    </row>
    <row r="269" spans="2:12" ht="14.4" x14ac:dyDescent="0.3">
      <c r="B269" s="48"/>
      <c r="C269" s="60"/>
      <c r="D269" s="53"/>
      <c r="E269" s="61"/>
      <c r="F269" s="48"/>
      <c r="G269" s="48"/>
      <c r="H269" s="53"/>
      <c r="I269" s="52"/>
      <c r="J269" s="52"/>
      <c r="L269" s="57"/>
    </row>
    <row r="270" spans="2:12" ht="14.4" x14ac:dyDescent="0.3">
      <c r="B270" s="48"/>
      <c r="C270" s="60"/>
      <c r="D270" s="53"/>
      <c r="E270" s="61"/>
      <c r="F270" s="48"/>
      <c r="G270" s="48"/>
      <c r="H270" s="53"/>
      <c r="I270" s="52"/>
      <c r="J270" s="52"/>
      <c r="L270" s="57"/>
    </row>
    <row r="271" spans="2:12" ht="14.4" x14ac:dyDescent="0.3">
      <c r="B271" s="48"/>
      <c r="C271" s="60"/>
      <c r="D271" s="53"/>
      <c r="E271" s="61"/>
      <c r="F271" s="48"/>
      <c r="G271" s="48"/>
      <c r="H271" s="53"/>
      <c r="I271" s="52"/>
      <c r="J271" s="52"/>
      <c r="L271" s="57"/>
    </row>
    <row r="272" spans="2:12" ht="14.4" x14ac:dyDescent="0.3">
      <c r="B272" s="48"/>
      <c r="C272" s="60"/>
      <c r="D272" s="53"/>
      <c r="E272" s="61"/>
      <c r="F272" s="48"/>
      <c r="G272" s="48"/>
      <c r="H272" s="53"/>
      <c r="I272" s="52"/>
      <c r="J272" s="52"/>
      <c r="L272" s="57"/>
    </row>
    <row r="273" spans="2:12" ht="14.4" x14ac:dyDescent="0.3">
      <c r="B273" s="48"/>
      <c r="C273" s="60"/>
      <c r="D273" s="53"/>
      <c r="E273" s="61"/>
      <c r="F273" s="48"/>
      <c r="G273" s="48"/>
      <c r="H273" s="53"/>
      <c r="I273" s="52"/>
      <c r="J273" s="52"/>
      <c r="L273" s="57"/>
    </row>
    <row r="274" spans="2:12" ht="14.4" x14ac:dyDescent="0.3">
      <c r="B274" s="48"/>
      <c r="C274" s="60"/>
      <c r="D274" s="53"/>
      <c r="E274" s="61"/>
      <c r="F274" s="48"/>
      <c r="G274" s="48"/>
      <c r="H274" s="53"/>
      <c r="I274" s="52"/>
      <c r="J274" s="52"/>
      <c r="L274" s="57"/>
    </row>
    <row r="275" spans="2:12" ht="14.4" x14ac:dyDescent="0.3">
      <c r="B275" s="48"/>
      <c r="C275" s="60"/>
      <c r="D275" s="53"/>
      <c r="E275" s="61"/>
      <c r="F275" s="48"/>
      <c r="G275" s="48"/>
      <c r="H275" s="53"/>
      <c r="I275" s="52"/>
      <c r="J275" s="52"/>
      <c r="L275" s="57"/>
    </row>
    <row r="276" spans="2:12" ht="14.4" x14ac:dyDescent="0.3">
      <c r="B276" s="48"/>
      <c r="C276" s="60"/>
      <c r="D276" s="53"/>
      <c r="E276" s="61"/>
      <c r="F276" s="48"/>
      <c r="G276" s="48"/>
      <c r="H276" s="53"/>
      <c r="I276" s="52"/>
      <c r="J276" s="52"/>
      <c r="L276" s="57"/>
    </row>
    <row r="277" spans="2:12" ht="14.4" x14ac:dyDescent="0.3">
      <c r="B277" s="48"/>
      <c r="C277" s="60"/>
      <c r="D277" s="53"/>
      <c r="E277" s="61"/>
      <c r="F277" s="48"/>
      <c r="G277" s="48"/>
      <c r="H277" s="53"/>
      <c r="I277" s="52"/>
      <c r="J277" s="52"/>
      <c r="L277" s="57"/>
    </row>
    <row r="278" spans="2:12" ht="14.4" x14ac:dyDescent="0.3">
      <c r="B278" s="48"/>
      <c r="C278" s="60"/>
      <c r="D278" s="53"/>
      <c r="E278" s="61"/>
      <c r="F278" s="48"/>
      <c r="G278" s="48"/>
      <c r="H278" s="53"/>
      <c r="I278" s="52"/>
      <c r="J278" s="52"/>
      <c r="L278" s="57"/>
    </row>
    <row r="279" spans="2:12" ht="14.4" x14ac:dyDescent="0.3">
      <c r="B279" s="48"/>
      <c r="C279" s="60"/>
      <c r="D279" s="53"/>
      <c r="E279" s="61"/>
      <c r="F279" s="48"/>
      <c r="G279" s="48"/>
      <c r="H279" s="53"/>
      <c r="I279" s="52"/>
      <c r="J279" s="52"/>
      <c r="L279" s="57"/>
    </row>
    <row r="280" spans="2:12" ht="14.4" x14ac:dyDescent="0.3">
      <c r="B280" s="48"/>
      <c r="C280" s="60"/>
      <c r="D280" s="53"/>
      <c r="E280" s="61"/>
      <c r="F280" s="48"/>
      <c r="G280" s="48"/>
      <c r="H280" s="53"/>
      <c r="I280" s="52"/>
      <c r="J280" s="52"/>
      <c r="L280" s="57"/>
    </row>
    <row r="281" spans="2:12" ht="14.4" x14ac:dyDescent="0.3">
      <c r="B281" s="48"/>
      <c r="C281" s="60"/>
      <c r="D281" s="53"/>
      <c r="E281" s="61"/>
      <c r="F281" s="48"/>
      <c r="G281" s="48"/>
      <c r="H281" s="53"/>
      <c r="I281" s="52"/>
      <c r="J281" s="52"/>
      <c r="L281" s="57"/>
    </row>
    <row r="282" spans="2:12" ht="14.4" x14ac:dyDescent="0.3">
      <c r="B282" s="48"/>
      <c r="C282" s="60"/>
      <c r="D282" s="53"/>
      <c r="E282" s="61"/>
      <c r="F282" s="48"/>
      <c r="G282" s="48"/>
      <c r="H282" s="53"/>
      <c r="I282" s="52"/>
      <c r="J282" s="52"/>
      <c r="L282" s="57"/>
    </row>
    <row r="283" spans="2:12" ht="14.4" x14ac:dyDescent="0.3">
      <c r="B283" s="48"/>
      <c r="C283" s="60"/>
      <c r="D283" s="53"/>
      <c r="E283" s="61"/>
      <c r="F283" s="48"/>
      <c r="G283" s="48"/>
      <c r="H283" s="53"/>
      <c r="I283" s="52"/>
      <c r="J283" s="52"/>
      <c r="L283" s="57"/>
    </row>
    <row r="284" spans="2:12" ht="14.4" x14ac:dyDescent="0.3">
      <c r="B284" s="48"/>
      <c r="C284" s="60"/>
      <c r="D284" s="53"/>
      <c r="E284" s="61"/>
      <c r="F284" s="48"/>
      <c r="G284" s="48"/>
      <c r="H284" s="53"/>
      <c r="I284" s="52"/>
      <c r="J284" s="52"/>
      <c r="L284" s="57"/>
    </row>
    <row r="285" spans="2:12" ht="14.4" x14ac:dyDescent="0.3">
      <c r="B285" s="48"/>
      <c r="C285" s="60"/>
      <c r="D285" s="53"/>
      <c r="E285" s="61"/>
      <c r="F285" s="48"/>
      <c r="G285" s="48"/>
      <c r="H285" s="53"/>
      <c r="I285" s="52"/>
      <c r="J285" s="52"/>
      <c r="L285" s="57"/>
    </row>
    <row r="286" spans="2:12" ht="14.4" x14ac:dyDescent="0.3">
      <c r="B286" s="48"/>
      <c r="C286" s="60"/>
      <c r="D286" s="53"/>
      <c r="E286" s="61"/>
      <c r="F286" s="48"/>
      <c r="G286" s="48"/>
      <c r="H286" s="53"/>
      <c r="I286" s="52"/>
      <c r="J286" s="52"/>
      <c r="L286" s="57"/>
    </row>
    <row r="287" spans="2:12" ht="14.4" x14ac:dyDescent="0.3">
      <c r="B287" s="48"/>
      <c r="C287" s="60"/>
      <c r="D287" s="53"/>
      <c r="E287" s="61"/>
      <c r="F287" s="48"/>
      <c r="G287" s="48"/>
      <c r="H287" s="53"/>
      <c r="I287" s="52"/>
      <c r="J287" s="52"/>
      <c r="L287" s="57"/>
    </row>
    <row r="288" spans="2:12" ht="14.4" x14ac:dyDescent="0.3">
      <c r="B288" s="48"/>
      <c r="C288" s="60"/>
      <c r="D288" s="53"/>
      <c r="E288" s="61"/>
      <c r="F288" s="48"/>
      <c r="G288" s="48"/>
      <c r="H288" s="53"/>
      <c r="I288" s="52"/>
      <c r="J288" s="52"/>
      <c r="L288" s="57"/>
    </row>
    <row r="289" spans="2:12" ht="14.4" x14ac:dyDescent="0.3">
      <c r="B289" s="48"/>
      <c r="C289" s="60"/>
      <c r="D289" s="53"/>
      <c r="E289" s="61"/>
      <c r="F289" s="48"/>
      <c r="G289" s="48"/>
      <c r="H289" s="53"/>
      <c r="I289" s="52"/>
      <c r="J289" s="52"/>
      <c r="L289" s="57"/>
    </row>
    <row r="290" spans="2:12" ht="14.4" x14ac:dyDescent="0.3">
      <c r="B290" s="48"/>
      <c r="C290" s="60"/>
      <c r="D290" s="53"/>
      <c r="E290" s="61"/>
      <c r="F290" s="48"/>
      <c r="G290" s="48"/>
      <c r="H290" s="53"/>
      <c r="I290" s="52"/>
      <c r="J290" s="52"/>
      <c r="L290" s="57"/>
    </row>
    <row r="291" spans="2:12" ht="14.4" x14ac:dyDescent="0.3">
      <c r="B291" s="48"/>
      <c r="C291" s="60"/>
      <c r="D291" s="53"/>
      <c r="E291" s="61"/>
      <c r="F291" s="48"/>
      <c r="G291" s="48"/>
      <c r="H291" s="53"/>
      <c r="I291" s="52"/>
      <c r="J291" s="52"/>
      <c r="L291" s="57"/>
    </row>
    <row r="292" spans="2:12" ht="14.4" x14ac:dyDescent="0.3">
      <c r="B292" s="48"/>
      <c r="C292" s="60"/>
      <c r="D292" s="53"/>
      <c r="E292" s="61"/>
      <c r="F292" s="48"/>
      <c r="G292" s="48"/>
      <c r="H292" s="53"/>
      <c r="I292" s="52"/>
      <c r="J292" s="52"/>
      <c r="L292" s="57"/>
    </row>
    <row r="293" spans="2:12" ht="14.4" x14ac:dyDescent="0.3">
      <c r="B293" s="48"/>
      <c r="C293" s="60"/>
      <c r="D293" s="53"/>
      <c r="E293" s="61"/>
      <c r="F293" s="48"/>
      <c r="G293" s="48"/>
      <c r="H293" s="53"/>
      <c r="I293" s="52"/>
      <c r="J293" s="52"/>
      <c r="L293" s="57"/>
    </row>
    <row r="294" spans="2:12" ht="14.4" x14ac:dyDescent="0.3">
      <c r="B294" s="48"/>
      <c r="C294" s="60"/>
      <c r="D294" s="53"/>
      <c r="E294" s="61"/>
      <c r="F294" s="48"/>
      <c r="G294" s="48"/>
      <c r="H294" s="53"/>
      <c r="I294" s="52"/>
      <c r="L294" s="57"/>
    </row>
    <row r="295" spans="2:12" ht="14.4" x14ac:dyDescent="0.3">
      <c r="B295" s="48"/>
      <c r="C295" s="60"/>
      <c r="D295" s="53"/>
      <c r="E295" s="61"/>
      <c r="F295" s="48"/>
      <c r="G295" s="48"/>
      <c r="H295" s="53"/>
      <c r="I295" s="52"/>
      <c r="L295" s="57"/>
    </row>
    <row r="296" spans="2:12" ht="14.4" x14ac:dyDescent="0.3">
      <c r="B296" s="48"/>
      <c r="C296" s="60"/>
      <c r="D296" s="53"/>
      <c r="E296" s="61"/>
      <c r="F296" s="48"/>
      <c r="G296" s="48"/>
      <c r="H296" s="53"/>
      <c r="I296" s="52"/>
      <c r="L296" s="57"/>
    </row>
    <row r="297" spans="2:12" ht="14.4" x14ac:dyDescent="0.3">
      <c r="B297" s="48"/>
      <c r="C297" s="60"/>
      <c r="D297" s="53"/>
      <c r="E297" s="61"/>
      <c r="F297" s="48"/>
      <c r="G297" s="48"/>
      <c r="H297" s="53"/>
      <c r="L297" s="57"/>
    </row>
    <row r="298" spans="2:12" ht="14.4" x14ac:dyDescent="0.3">
      <c r="B298" s="48"/>
      <c r="C298" s="60"/>
      <c r="D298" s="53"/>
      <c r="E298" s="61"/>
      <c r="F298" s="48"/>
      <c r="G298" s="48"/>
      <c r="H298" s="53"/>
      <c r="I298" s="52"/>
      <c r="L298" s="57"/>
    </row>
    <row r="299" spans="2:12" ht="14.4" x14ac:dyDescent="0.3">
      <c r="B299" s="48"/>
      <c r="C299" s="60"/>
      <c r="D299" s="53"/>
      <c r="E299" s="61"/>
      <c r="F299" s="48"/>
      <c r="G299" s="48"/>
      <c r="H299" s="53"/>
      <c r="L299" s="57"/>
    </row>
    <row r="300" spans="2:12" ht="14.4" x14ac:dyDescent="0.3">
      <c r="B300" s="48"/>
      <c r="C300" s="60"/>
      <c r="D300" s="53"/>
      <c r="E300" s="61"/>
      <c r="F300" s="48"/>
      <c r="G300" s="48"/>
      <c r="H300" s="53"/>
      <c r="L300" s="57"/>
    </row>
    <row r="301" spans="2:12" ht="14.4" x14ac:dyDescent="0.3">
      <c r="B301" s="48"/>
      <c r="C301" s="60"/>
      <c r="D301" s="53"/>
      <c r="E301" s="61"/>
      <c r="F301" s="48"/>
      <c r="G301" s="48"/>
      <c r="H301" s="53"/>
      <c r="L301" s="57"/>
    </row>
    <row r="302" spans="2:12" ht="14.4" x14ac:dyDescent="0.3">
      <c r="B302" s="48"/>
      <c r="C302" s="60"/>
      <c r="D302" s="53"/>
      <c r="E302" s="61"/>
      <c r="F302" s="48"/>
      <c r="G302" s="48"/>
      <c r="H302" s="53"/>
      <c r="L302" s="57"/>
    </row>
    <row r="303" spans="2:12" ht="14.4" x14ac:dyDescent="0.3">
      <c r="B303" s="48"/>
      <c r="C303" s="60"/>
      <c r="D303" s="53"/>
      <c r="E303" s="61"/>
      <c r="F303" s="48"/>
      <c r="G303" s="48"/>
      <c r="H303" s="53"/>
      <c r="L303" s="57"/>
    </row>
    <row r="304" spans="2:12" ht="14.4" x14ac:dyDescent="0.3">
      <c r="B304" s="48"/>
      <c r="C304" s="60"/>
      <c r="D304" s="53"/>
      <c r="E304" s="61"/>
      <c r="F304" s="48"/>
      <c r="G304" s="48"/>
      <c r="H304" s="53"/>
      <c r="I304" s="52"/>
      <c r="L304" s="57"/>
    </row>
    <row r="305" spans="2:12" ht="14.4" x14ac:dyDescent="0.3">
      <c r="B305" s="48"/>
      <c r="C305" s="60"/>
      <c r="D305" s="53"/>
      <c r="E305" s="61"/>
      <c r="F305" s="48"/>
      <c r="G305" s="48"/>
      <c r="H305" s="53"/>
      <c r="I305" s="52"/>
      <c r="L305" s="57"/>
    </row>
    <row r="306" spans="2:12" ht="14.4" x14ac:dyDescent="0.3">
      <c r="B306" s="48"/>
      <c r="C306" s="60"/>
      <c r="D306" s="53"/>
      <c r="E306" s="61"/>
      <c r="F306" s="48"/>
      <c r="G306" s="48"/>
      <c r="H306" s="53"/>
      <c r="I306" s="52"/>
      <c r="J306" s="52"/>
      <c r="L306" s="57"/>
    </row>
    <row r="307" spans="2:12" ht="14.4" x14ac:dyDescent="0.3">
      <c r="B307" s="48"/>
      <c r="C307" s="60"/>
      <c r="D307" s="53"/>
      <c r="E307" s="61"/>
      <c r="F307" s="48"/>
      <c r="G307" s="48"/>
      <c r="H307" s="53"/>
      <c r="I307" s="52"/>
      <c r="J307" s="52"/>
      <c r="L307" s="57"/>
    </row>
    <row r="308" spans="2:12" ht="14.4" x14ac:dyDescent="0.3">
      <c r="B308" s="48"/>
      <c r="C308" s="60"/>
      <c r="D308" s="53"/>
      <c r="E308" s="61"/>
      <c r="F308" s="48"/>
      <c r="G308" s="48"/>
      <c r="H308" s="53"/>
      <c r="I308" s="52"/>
      <c r="J308" s="52"/>
      <c r="L308" s="57"/>
    </row>
    <row r="309" spans="2:12" ht="14.4" x14ac:dyDescent="0.3">
      <c r="B309" s="48"/>
      <c r="C309" s="60"/>
      <c r="D309" s="53"/>
      <c r="E309" s="61"/>
      <c r="F309" s="48"/>
      <c r="G309" s="48"/>
      <c r="H309" s="53"/>
      <c r="I309" s="52"/>
      <c r="L309" s="57"/>
    </row>
    <row r="310" spans="2:12" ht="14.4" x14ac:dyDescent="0.3">
      <c r="B310" s="48"/>
      <c r="C310" s="60"/>
      <c r="D310" s="53"/>
      <c r="E310" s="61"/>
      <c r="F310" s="48"/>
      <c r="G310" s="48"/>
      <c r="H310" s="53"/>
      <c r="I310" s="52"/>
      <c r="L310" s="57"/>
    </row>
    <row r="311" spans="2:12" ht="14.4" x14ac:dyDescent="0.3">
      <c r="B311" s="48"/>
      <c r="C311" s="60"/>
      <c r="D311" s="53"/>
      <c r="E311" s="61"/>
      <c r="F311" s="48"/>
      <c r="G311" s="48"/>
      <c r="H311" s="53"/>
      <c r="I311" s="52"/>
      <c r="L311" s="57"/>
    </row>
    <row r="312" spans="2:12" ht="14.4" x14ac:dyDescent="0.3">
      <c r="B312" s="48"/>
      <c r="C312" s="60"/>
      <c r="D312" s="53"/>
      <c r="E312" s="61"/>
      <c r="F312" s="48"/>
      <c r="G312" s="48"/>
      <c r="H312" s="53"/>
      <c r="I312" s="52"/>
      <c r="L312" s="57"/>
    </row>
    <row r="313" spans="2:12" ht="14.4" x14ac:dyDescent="0.3">
      <c r="B313" s="48"/>
      <c r="C313" s="60"/>
      <c r="D313" s="53"/>
      <c r="E313" s="61"/>
      <c r="F313" s="48"/>
      <c r="G313" s="48"/>
      <c r="H313" s="53"/>
      <c r="I313" s="52"/>
      <c r="J313" s="52"/>
      <c r="L313" s="57"/>
    </row>
    <row r="314" spans="2:12" ht="14.4" x14ac:dyDescent="0.3">
      <c r="B314" s="48"/>
      <c r="C314" s="60"/>
      <c r="D314" s="53"/>
      <c r="E314" s="61"/>
      <c r="F314" s="48"/>
      <c r="G314" s="48"/>
      <c r="H314" s="53"/>
      <c r="I314" s="52"/>
      <c r="J314" s="52"/>
      <c r="L314" s="57"/>
    </row>
    <row r="315" spans="2:12" ht="14.4" x14ac:dyDescent="0.3">
      <c r="B315" s="48"/>
      <c r="C315" s="60"/>
      <c r="D315" s="53"/>
      <c r="E315" s="61"/>
      <c r="F315" s="48"/>
      <c r="G315" s="48"/>
      <c r="H315" s="53"/>
      <c r="I315" s="52"/>
      <c r="J315" s="52"/>
      <c r="L315" s="57"/>
    </row>
    <row r="316" spans="2:12" ht="14.4" x14ac:dyDescent="0.3">
      <c r="B316" s="48"/>
      <c r="C316" s="60"/>
      <c r="D316" s="53"/>
      <c r="E316" s="61"/>
      <c r="F316" s="48"/>
      <c r="G316" s="48"/>
      <c r="H316" s="53"/>
      <c r="I316" s="52"/>
      <c r="J316" s="52"/>
      <c r="L316" s="57"/>
    </row>
    <row r="317" spans="2:12" ht="14.4" x14ac:dyDescent="0.3">
      <c r="B317" s="48"/>
      <c r="C317" s="60"/>
      <c r="D317" s="53"/>
      <c r="E317" s="61"/>
      <c r="F317" s="48"/>
      <c r="G317" s="48"/>
      <c r="H317" s="53"/>
      <c r="I317" s="52"/>
      <c r="J317" s="52"/>
      <c r="L317" s="57"/>
    </row>
    <row r="318" spans="2:12" ht="14.4" x14ac:dyDescent="0.3">
      <c r="B318" s="48"/>
      <c r="C318" s="60"/>
      <c r="D318" s="53"/>
      <c r="E318" s="61"/>
      <c r="F318" s="48"/>
      <c r="G318" s="48"/>
      <c r="H318" s="53"/>
      <c r="I318" s="52"/>
      <c r="J318" s="52"/>
      <c r="L318" s="57"/>
    </row>
    <row r="319" spans="2:12" ht="14.4" x14ac:dyDescent="0.3">
      <c r="B319" s="48"/>
      <c r="C319" s="60"/>
      <c r="D319" s="53"/>
      <c r="E319" s="61"/>
      <c r="F319" s="48"/>
      <c r="G319" s="48"/>
      <c r="H319" s="53"/>
      <c r="I319" s="52"/>
      <c r="L319" s="57"/>
    </row>
    <row r="320" spans="2:12" ht="14.4" x14ac:dyDescent="0.3">
      <c r="B320" s="48"/>
      <c r="C320" s="60"/>
      <c r="D320" s="53"/>
      <c r="E320" s="61"/>
      <c r="F320" s="48"/>
      <c r="G320" s="48"/>
      <c r="H320" s="53"/>
      <c r="I320" s="52"/>
      <c r="L320" s="57"/>
    </row>
    <row r="321" spans="2:12" ht="14.4" x14ac:dyDescent="0.3">
      <c r="B321" s="48"/>
      <c r="C321" s="60"/>
      <c r="D321" s="53"/>
      <c r="E321" s="61"/>
      <c r="F321" s="48"/>
      <c r="G321" s="48"/>
      <c r="H321" s="53"/>
      <c r="I321" s="52"/>
      <c r="L321" s="57"/>
    </row>
    <row r="322" spans="2:12" ht="14.4" x14ac:dyDescent="0.3">
      <c r="B322" s="48"/>
      <c r="C322" s="60"/>
      <c r="D322" s="53"/>
      <c r="E322" s="61"/>
      <c r="F322" s="48"/>
      <c r="G322" s="48"/>
      <c r="H322" s="53"/>
      <c r="I322" s="52"/>
      <c r="L322" s="57"/>
    </row>
    <row r="323" spans="2:12" ht="14.4" x14ac:dyDescent="0.3">
      <c r="B323" s="48"/>
      <c r="C323" s="60"/>
      <c r="D323" s="53"/>
      <c r="E323" s="61"/>
      <c r="F323" s="48"/>
      <c r="G323" s="48"/>
      <c r="H323" s="53"/>
      <c r="L323" s="57"/>
    </row>
    <row r="324" spans="2:12" ht="14.4" x14ac:dyDescent="0.3">
      <c r="B324" s="48"/>
      <c r="C324" s="60"/>
      <c r="D324" s="53"/>
      <c r="E324" s="61"/>
      <c r="F324" s="48"/>
      <c r="G324" s="48"/>
      <c r="H324" s="53"/>
      <c r="L324" s="57"/>
    </row>
    <row r="325" spans="2:12" ht="14.4" x14ac:dyDescent="0.3">
      <c r="B325" s="48"/>
      <c r="C325" s="60"/>
      <c r="D325" s="53"/>
      <c r="E325" s="61"/>
      <c r="F325" s="48"/>
      <c r="G325" s="48"/>
      <c r="H325" s="53"/>
      <c r="L325" s="57"/>
    </row>
    <row r="326" spans="2:12" ht="14.4" x14ac:dyDescent="0.3">
      <c r="B326" s="48"/>
      <c r="C326" s="60"/>
      <c r="D326" s="53"/>
      <c r="E326" s="61"/>
      <c r="F326" s="48"/>
      <c r="G326" s="48"/>
      <c r="H326" s="53"/>
      <c r="I326" s="52"/>
      <c r="L326" s="57"/>
    </row>
    <row r="327" spans="2:12" ht="14.4" x14ac:dyDescent="0.3">
      <c r="B327" s="48"/>
      <c r="C327" s="60"/>
      <c r="D327" s="53"/>
      <c r="E327" s="61"/>
      <c r="F327" s="48"/>
      <c r="G327" s="48"/>
      <c r="H327" s="53"/>
      <c r="I327" s="52"/>
      <c r="L327" s="57"/>
    </row>
    <row r="328" spans="2:12" ht="14.4" x14ac:dyDescent="0.3">
      <c r="B328" s="48"/>
      <c r="C328" s="60"/>
      <c r="D328" s="53"/>
      <c r="E328" s="61"/>
      <c r="F328" s="48"/>
      <c r="G328" s="48"/>
      <c r="H328" s="53"/>
      <c r="I328" s="52"/>
      <c r="L328" s="57"/>
    </row>
    <row r="329" spans="2:12" ht="14.4" x14ac:dyDescent="0.3">
      <c r="B329" s="48"/>
      <c r="C329" s="60"/>
      <c r="D329" s="53"/>
      <c r="E329" s="61"/>
      <c r="F329" s="48"/>
      <c r="G329" s="48"/>
      <c r="H329" s="53"/>
      <c r="I329" s="52"/>
      <c r="J329" s="52"/>
      <c r="L329" s="57"/>
    </row>
    <row r="330" spans="2:12" ht="14.4" x14ac:dyDescent="0.3">
      <c r="B330" s="48"/>
      <c r="C330" s="60"/>
      <c r="D330" s="53"/>
      <c r="E330" s="61"/>
      <c r="F330" s="48"/>
      <c r="G330" s="48"/>
      <c r="H330" s="53"/>
      <c r="I330" s="52"/>
      <c r="J330" s="52"/>
      <c r="L330" s="57"/>
    </row>
    <row r="331" spans="2:12" ht="14.4" x14ac:dyDescent="0.3">
      <c r="B331" s="48"/>
      <c r="C331" s="60"/>
      <c r="D331" s="53"/>
      <c r="E331" s="61"/>
      <c r="F331" s="48"/>
      <c r="G331" s="48"/>
      <c r="H331" s="53"/>
      <c r="I331" s="52"/>
      <c r="L331" s="57"/>
    </row>
    <row r="332" spans="2:12" ht="14.4" x14ac:dyDescent="0.3">
      <c r="B332" s="48"/>
      <c r="C332" s="60"/>
      <c r="D332" s="53"/>
      <c r="E332" s="61"/>
      <c r="F332" s="48"/>
      <c r="G332" s="48"/>
      <c r="H332" s="53"/>
      <c r="I332" s="52"/>
      <c r="L332" s="57"/>
    </row>
    <row r="333" spans="2:12" ht="14.4" x14ac:dyDescent="0.3">
      <c r="B333" s="48"/>
      <c r="C333" s="60"/>
      <c r="D333" s="53"/>
      <c r="E333" s="61"/>
      <c r="F333" s="48"/>
      <c r="G333" s="48"/>
      <c r="H333" s="53"/>
      <c r="I333" s="52"/>
      <c r="L333" s="57"/>
    </row>
    <row r="334" spans="2:12" ht="14.4" x14ac:dyDescent="0.3">
      <c r="B334" s="48"/>
      <c r="C334" s="60"/>
      <c r="D334" s="53"/>
      <c r="E334" s="61"/>
      <c r="F334" s="48"/>
      <c r="G334" s="48"/>
      <c r="H334" s="53"/>
      <c r="L334" s="57"/>
    </row>
    <row r="335" spans="2:12" ht="14.4" x14ac:dyDescent="0.3">
      <c r="B335" s="48"/>
      <c r="C335" s="60"/>
      <c r="D335" s="53"/>
      <c r="E335" s="61"/>
      <c r="F335" s="48"/>
      <c r="G335" s="48"/>
      <c r="H335" s="53"/>
      <c r="L335" s="57"/>
    </row>
    <row r="336" spans="2:12" ht="14.4" x14ac:dyDescent="0.3">
      <c r="B336" s="48"/>
      <c r="C336" s="60"/>
      <c r="D336" s="53"/>
      <c r="E336" s="61"/>
      <c r="F336" s="61"/>
      <c r="G336" s="61"/>
      <c r="H336" s="62"/>
    </row>
    <row r="337" spans="2:8" ht="14.4" x14ac:dyDescent="0.3">
      <c r="B337" s="48"/>
      <c r="C337" s="60"/>
      <c r="D337" s="53"/>
      <c r="E337" s="61"/>
      <c r="F337" s="61"/>
      <c r="G337" s="61"/>
      <c r="H337" s="62"/>
    </row>
    <row r="338" spans="2:8" ht="14.4" x14ac:dyDescent="0.3">
      <c r="B338" s="48"/>
      <c r="C338" s="60"/>
      <c r="D338" s="53"/>
      <c r="E338" s="61"/>
      <c r="F338" s="61"/>
      <c r="G338" s="61"/>
      <c r="H338" s="62"/>
    </row>
    <row r="339" spans="2:8" ht="14.4" x14ac:dyDescent="0.3">
      <c r="B339" s="48"/>
      <c r="C339" s="60"/>
      <c r="D339" s="53"/>
      <c r="E339" s="61"/>
      <c r="F339" s="61"/>
      <c r="G339" s="61"/>
      <c r="H339" s="63"/>
    </row>
    <row r="340" spans="2:8" ht="14.4" x14ac:dyDescent="0.3">
      <c r="B340" s="48"/>
      <c r="C340" s="60"/>
      <c r="D340" s="53"/>
      <c r="E340" s="61"/>
      <c r="F340" s="61"/>
      <c r="G340" s="61"/>
      <c r="H340" s="62"/>
    </row>
    <row r="341" spans="2:8" ht="14.4" x14ac:dyDescent="0.3">
      <c r="B341" s="48"/>
      <c r="C341" s="60"/>
      <c r="D341" s="53"/>
      <c r="E341" s="61"/>
      <c r="F341" s="61"/>
      <c r="G341" s="61"/>
      <c r="H341" s="62"/>
    </row>
    <row r="342" spans="2:8" ht="14.4" x14ac:dyDescent="0.3">
      <c r="B342" s="48"/>
      <c r="C342" s="60"/>
      <c r="D342" s="53"/>
      <c r="E342" s="61"/>
      <c r="F342" s="61"/>
      <c r="G342" s="61"/>
      <c r="H342" s="63"/>
    </row>
    <row r="343" spans="2:8" ht="14.4" x14ac:dyDescent="0.3">
      <c r="B343" s="48"/>
      <c r="C343" s="60"/>
      <c r="D343" s="53"/>
      <c r="E343" s="61"/>
      <c r="F343" s="61"/>
      <c r="G343" s="61"/>
      <c r="H343" s="62"/>
    </row>
    <row r="344" spans="2:8" ht="14.4" x14ac:dyDescent="0.3">
      <c r="B344" s="48"/>
      <c r="C344" s="60"/>
      <c r="D344" s="53"/>
      <c r="E344" s="61"/>
      <c r="F344" s="61"/>
      <c r="G344" s="61"/>
      <c r="H344" s="63"/>
    </row>
    <row r="345" spans="2:8" ht="14.4" x14ac:dyDescent="0.3">
      <c r="B345" s="48"/>
      <c r="C345" s="60"/>
      <c r="D345" s="53"/>
      <c r="E345" s="61"/>
      <c r="F345" s="61"/>
      <c r="G345" s="61"/>
      <c r="H345" s="63"/>
    </row>
    <row r="346" spans="2:8" ht="14.4" x14ac:dyDescent="0.3">
      <c r="B346" s="48"/>
      <c r="C346" s="60"/>
      <c r="D346" s="53"/>
      <c r="E346" s="61"/>
      <c r="F346" s="61"/>
      <c r="G346" s="61"/>
      <c r="H346" s="62"/>
    </row>
    <row r="347" spans="2:8" ht="14.4" x14ac:dyDescent="0.3">
      <c r="B347" s="48"/>
      <c r="C347" s="60"/>
      <c r="D347" s="53"/>
      <c r="E347" s="61"/>
      <c r="F347" s="61"/>
      <c r="G347" s="61"/>
      <c r="H347" s="62"/>
    </row>
  </sheetData>
  <mergeCells count="7">
    <mergeCell ref="F11:F12"/>
    <mergeCell ref="G11:G12"/>
    <mergeCell ref="B19:B20"/>
    <mergeCell ref="B11:B12"/>
    <mergeCell ref="C11:C12"/>
    <mergeCell ref="D11:D12"/>
    <mergeCell ref="E11:E12"/>
  </mergeCells>
  <hyperlinks>
    <hyperlink ref="B6" location="Dashboard!A1" display="&lt;-Back to dashboard" xr:uid="{1C30C52A-BEA6-4EE0-9BBF-1918FB704098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361-FA02-4A62-B221-08144689E8B7}">
  <dimension ref="A1:N60"/>
  <sheetViews>
    <sheetView showGridLines="0" topLeftCell="A37" workbookViewId="0">
      <selection activeCell="O51" sqref="O51"/>
    </sheetView>
  </sheetViews>
  <sheetFormatPr defaultRowHeight="13.8" x14ac:dyDescent="0.3"/>
  <cols>
    <col min="1" max="1" width="1.88671875" style="13" customWidth="1"/>
    <col min="2" max="3" width="8.88671875" style="13"/>
    <col min="4" max="4" width="16.109375" style="13" customWidth="1"/>
    <col min="5" max="12" width="12.109375" style="13" customWidth="1"/>
    <col min="13" max="16384" width="8.88671875" style="13"/>
  </cols>
  <sheetData>
    <row r="1" spans="1:14" s="18" customFormat="1" ht="14.4" x14ac:dyDescent="0.3"/>
    <row r="2" spans="1:14" s="18" customFormat="1" ht="15.6" x14ac:dyDescent="0.3"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13"/>
      <c r="N2" s="13"/>
    </row>
    <row r="3" spans="1:14" s="18" customFormat="1" ht="14.4" x14ac:dyDescent="0.3">
      <c r="B3" s="10" t="s">
        <v>104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13"/>
      <c r="N3" s="13"/>
    </row>
    <row r="4" spans="1:14" s="18" customFormat="1" ht="14.4" x14ac:dyDescent="0.3">
      <c r="B4" s="2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13"/>
      <c r="N4" s="13"/>
    </row>
    <row r="5" spans="1:14" s="18" customFormat="1" ht="14.4" x14ac:dyDescent="0.3">
      <c r="B5" s="23" t="s">
        <v>1</v>
      </c>
      <c r="C5" s="44"/>
      <c r="D5" s="44"/>
      <c r="E5" s="27">
        <f>Statements!G7</f>
        <v>44865</v>
      </c>
      <c r="F5" s="27">
        <f t="shared" ref="F5:L5" si="0">EDATE(E5,12)</f>
        <v>45230</v>
      </c>
      <c r="G5" s="27">
        <f t="shared" si="0"/>
        <v>45596</v>
      </c>
      <c r="H5" s="28">
        <f t="shared" si="0"/>
        <v>45961</v>
      </c>
      <c r="I5" s="28">
        <f t="shared" si="0"/>
        <v>46326</v>
      </c>
      <c r="J5" s="29">
        <f t="shared" si="0"/>
        <v>46691</v>
      </c>
      <c r="K5" s="28">
        <f t="shared" si="0"/>
        <v>47057</v>
      </c>
      <c r="L5" s="29">
        <f t="shared" si="0"/>
        <v>47422</v>
      </c>
      <c r="M5" s="13"/>
      <c r="N5" s="13"/>
    </row>
    <row r="7" spans="1:14" x14ac:dyDescent="0.3">
      <c r="B7" s="73" t="s">
        <v>47</v>
      </c>
    </row>
    <row r="9" spans="1:14" x14ac:dyDescent="0.3">
      <c r="B9" s="73" t="s">
        <v>53</v>
      </c>
      <c r="C9" s="73" t="s">
        <v>105</v>
      </c>
    </row>
    <row r="11" spans="1:14" ht="14.4" x14ac:dyDescent="0.3">
      <c r="A11" s="13" t="s">
        <v>33</v>
      </c>
      <c r="B11" s="11" t="s">
        <v>104</v>
      </c>
      <c r="C11" s="41"/>
      <c r="D11" s="41"/>
      <c r="E11" s="112">
        <v>44865</v>
      </c>
      <c r="F11" s="112">
        <v>45230</v>
      </c>
      <c r="G11" s="112">
        <v>45596</v>
      </c>
      <c r="H11" s="113">
        <v>45961</v>
      </c>
      <c r="I11" s="113">
        <v>46326</v>
      </c>
      <c r="J11" s="113">
        <v>46691</v>
      </c>
      <c r="K11" s="113">
        <v>47057</v>
      </c>
      <c r="L11" s="113">
        <v>47422</v>
      </c>
    </row>
    <row r="13" spans="1:14" x14ac:dyDescent="0.3">
      <c r="B13" s="457" t="s">
        <v>509</v>
      </c>
      <c r="C13" s="275"/>
      <c r="D13" s="275"/>
      <c r="E13" s="458"/>
      <c r="F13" s="458"/>
      <c r="G13" s="458"/>
      <c r="H13" s="458"/>
      <c r="I13" s="458"/>
      <c r="J13" s="458"/>
      <c r="K13" s="458"/>
      <c r="L13" s="458"/>
    </row>
    <row r="14" spans="1:14" x14ac:dyDescent="0.3">
      <c r="B14" s="453" t="s">
        <v>503</v>
      </c>
      <c r="C14" s="205"/>
      <c r="D14" s="205"/>
      <c r="E14" s="455">
        <v>44865</v>
      </c>
      <c r="F14" s="455">
        <v>45230</v>
      </c>
      <c r="G14" s="455">
        <v>45596</v>
      </c>
      <c r="H14" s="456">
        <v>45961</v>
      </c>
      <c r="I14" s="456">
        <v>46326</v>
      </c>
      <c r="J14" s="456">
        <v>46691</v>
      </c>
      <c r="K14" s="456">
        <v>47057</v>
      </c>
      <c r="L14" s="456">
        <v>47422</v>
      </c>
    </row>
    <row r="15" spans="1:14" x14ac:dyDescent="0.3">
      <c r="B15" s="13" t="s">
        <v>106</v>
      </c>
      <c r="E15" s="106">
        <f>Statements!G41+Assumptions!G22+Schedule!G26</f>
        <v>1836148</v>
      </c>
      <c r="F15" s="106">
        <f>Statements!H41+Assumptions!H22+Schedule!H26</f>
        <v>2083651</v>
      </c>
      <c r="G15" s="106">
        <f>Statements!I41+Assumptions!I22+Schedule!I26</f>
        <v>2343092</v>
      </c>
      <c r="H15" s="106">
        <f>Statements!J41+Assumptions!J22+Schedule!J26</f>
        <v>2405372.4923938094</v>
      </c>
      <c r="I15" s="106">
        <f>Statements!K41+Assumptions!K22+Schedule!K26</f>
        <v>2853524.0766555956</v>
      </c>
      <c r="J15" s="106">
        <f>Statements!L41+Assumptions!L22+Schedule!L26</f>
        <v>3610151.6938224263</v>
      </c>
      <c r="K15" s="106">
        <f>Statements!M41+Assumptions!M22+Schedule!M26</f>
        <v>4704124.5953400675</v>
      </c>
      <c r="L15" s="106">
        <f>Statements!N41+Assumptions!N22+Schedule!N26</f>
        <v>6138831.1192978108</v>
      </c>
    </row>
    <row r="16" spans="1:14" x14ac:dyDescent="0.3">
      <c r="B16" s="13" t="s">
        <v>83</v>
      </c>
      <c r="E16" s="106">
        <f>Statements!G41</f>
        <v>1148714</v>
      </c>
      <c r="F16" s="106">
        <f>Statements!H41</f>
        <v>1273239</v>
      </c>
      <c r="G16" s="106">
        <f>Statements!I41</f>
        <v>1355711</v>
      </c>
      <c r="H16" s="106">
        <f>Statements!J41</f>
        <v>1546239.5739999996</v>
      </c>
      <c r="I16" s="106">
        <f>Statements!K41</f>
        <v>1951158.4897520607</v>
      </c>
      <c r="J16" s="106">
        <f>Statements!L41</f>
        <v>2525464.9766349318</v>
      </c>
      <c r="K16" s="106">
        <f>Statements!M41</f>
        <v>3309998.6249066871</v>
      </c>
      <c r="L16" s="106">
        <f>Statements!N41</f>
        <v>4381271.248812424</v>
      </c>
    </row>
    <row r="17" spans="2:12" x14ac:dyDescent="0.3">
      <c r="B17" s="13" t="s">
        <v>502</v>
      </c>
      <c r="E17" s="446">
        <f>Statements!G45/Statements!G44</f>
        <v>0.12631722992934899</v>
      </c>
      <c r="F17" s="446">
        <f>Statements!H45/Statements!H44</f>
        <v>6.9084697465280703E-2</v>
      </c>
      <c r="G17" s="446">
        <f>Statements!I45/Statements!I44</f>
        <v>6.5870114634265564E-2</v>
      </c>
      <c r="H17" s="446">
        <f>Statements!J45/Statements!J44</f>
        <v>3.5344974819921257E-2</v>
      </c>
      <c r="I17" s="446">
        <f>Statements!K45/Statements!K44</f>
        <v>0.16</v>
      </c>
      <c r="J17" s="446">
        <f>Statements!L45/Statements!L44</f>
        <v>0.16</v>
      </c>
      <c r="K17" s="446">
        <f>Statements!M45/Statements!M44</f>
        <v>0.16000000000000003</v>
      </c>
      <c r="L17" s="446">
        <f>Statements!N45/Statements!N44</f>
        <v>0.16</v>
      </c>
    </row>
    <row r="18" spans="2:12" x14ac:dyDescent="0.3">
      <c r="B18" s="13" t="s">
        <v>85</v>
      </c>
      <c r="E18" s="106">
        <f>E16*(1-E17)</f>
        <v>1003611.6295389378</v>
      </c>
      <c r="F18" s="106">
        <f t="shared" ref="F18:L18" si="1">F16*(1-F17)</f>
        <v>1185277.6688840035</v>
      </c>
      <c r="G18" s="106">
        <f t="shared" si="1"/>
        <v>1266410.1610190652</v>
      </c>
      <c r="H18" s="106">
        <f t="shared" si="1"/>
        <v>1491587.7751914037</v>
      </c>
      <c r="I18" s="106">
        <f t="shared" si="1"/>
        <v>1638973.1313917309</v>
      </c>
      <c r="J18" s="106">
        <f t="shared" si="1"/>
        <v>2121390.5803733426</v>
      </c>
      <c r="K18" s="106">
        <f t="shared" si="1"/>
        <v>2780398.8449216168</v>
      </c>
      <c r="L18" s="106">
        <f t="shared" si="1"/>
        <v>3680267.8490024363</v>
      </c>
    </row>
    <row r="19" spans="2:12" x14ac:dyDescent="0.3">
      <c r="B19" s="13" t="s">
        <v>107</v>
      </c>
      <c r="E19" s="106">
        <f>Statements!G48</f>
        <v>978436</v>
      </c>
      <c r="F19" s="106">
        <f>Statements!H48</f>
        <v>1218125</v>
      </c>
      <c r="G19" s="106">
        <f>Statements!I48</f>
        <v>2235810</v>
      </c>
      <c r="H19" s="106">
        <f>Statements!J48</f>
        <v>1528138.0108499995</v>
      </c>
      <c r="I19" s="106">
        <f>Statements!K48</f>
        <v>1681027.421207916</v>
      </c>
      <c r="J19" s="106">
        <f>Statements!L48</f>
        <v>2178181.8794434229</v>
      </c>
      <c r="K19" s="106">
        <f>Statements!M48</f>
        <v>2857823.3009794224</v>
      </c>
      <c r="L19" s="106">
        <f>Statements!N48</f>
        <v>3786622.9275235068</v>
      </c>
    </row>
    <row r="21" spans="2:12" x14ac:dyDescent="0.3">
      <c r="B21" s="453" t="s">
        <v>524</v>
      </c>
      <c r="C21" s="205"/>
      <c r="D21" s="205"/>
      <c r="E21" s="455">
        <v>44865</v>
      </c>
      <c r="F21" s="455">
        <v>45230</v>
      </c>
      <c r="G21" s="455">
        <v>45596</v>
      </c>
      <c r="H21" s="456">
        <v>45961</v>
      </c>
      <c r="I21" s="456">
        <v>46326</v>
      </c>
      <c r="J21" s="456">
        <v>46691</v>
      </c>
      <c r="K21" s="456">
        <v>47057</v>
      </c>
      <c r="L21" s="456">
        <v>47422</v>
      </c>
    </row>
    <row r="22" spans="2:12" x14ac:dyDescent="0.3">
      <c r="B22" s="13" t="s">
        <v>504</v>
      </c>
      <c r="E22" s="114">
        <f>Statements!G33/Statements!G27</f>
        <v>0.80544440145121643</v>
      </c>
      <c r="F22" s="114">
        <f>Statements!H33/Statements!H27</f>
        <v>0.80616015678033193</v>
      </c>
      <c r="G22" s="114">
        <f>Statements!I33/Statements!I27</f>
        <v>0.79676833833923355</v>
      </c>
      <c r="H22" s="114">
        <f>Statements!J33/Statements!J27</f>
        <v>0.76984575665655164</v>
      </c>
      <c r="I22" s="114">
        <f>Statements!K33/Statements!K27</f>
        <v>0.77471466464562677</v>
      </c>
      <c r="J22" s="114">
        <f>Statements!L33/Statements!L27</f>
        <v>0.78205070326802395</v>
      </c>
      <c r="K22" s="114">
        <f>Statements!M33/Statements!M27</f>
        <v>0.78978851418124874</v>
      </c>
      <c r="L22" s="114">
        <f>Statements!N33/Statements!N27</f>
        <v>0.79836630777973816</v>
      </c>
    </row>
    <row r="23" spans="2:12" x14ac:dyDescent="0.3">
      <c r="B23" s="13" t="s">
        <v>505</v>
      </c>
      <c r="E23" s="114">
        <f>E15/Statements!G$27</f>
        <v>0.3978036767442697</v>
      </c>
      <c r="F23" s="114">
        <f>F15/Statements!H$27</f>
        <v>0.39180998771345843</v>
      </c>
      <c r="G23" s="114">
        <f>G15/Statements!I$27</f>
        <v>0.38239354927574926</v>
      </c>
      <c r="H23" s="114">
        <f>H15/Statements!J$27</f>
        <v>0.34098551133722588</v>
      </c>
      <c r="I23" s="114">
        <f>I15/Statements!K$27</f>
        <v>0.35481851636298389</v>
      </c>
      <c r="J23" s="114">
        <f>J15/Statements!L$27</f>
        <v>0.3899186479572706</v>
      </c>
      <c r="K23" s="114">
        <f>K15/Statements!M$27</f>
        <v>0.43674572989364391</v>
      </c>
      <c r="L23" s="114">
        <f>L15/Statements!N$27</f>
        <v>0.48482390960415572</v>
      </c>
    </row>
    <row r="24" spans="2:12" x14ac:dyDescent="0.3">
      <c r="B24" s="13" t="s">
        <v>506</v>
      </c>
      <c r="E24" s="114">
        <f>E16/Statements!G$27</f>
        <v>0.24887027229156747</v>
      </c>
      <c r="F24" s="114">
        <f>F16/Statements!H$27</f>
        <v>0.23942001657009554</v>
      </c>
      <c r="G24" s="114">
        <f>G16/Statements!I$27</f>
        <v>0.2212525761182981</v>
      </c>
      <c r="H24" s="114">
        <f>H16/Statements!J$27</f>
        <v>0.21919486210866801</v>
      </c>
      <c r="I24" s="114">
        <f>I16/Statements!K$27</f>
        <v>0.24261479557385354</v>
      </c>
      <c r="J24" s="114">
        <f>J16/Statements!L$27</f>
        <v>0.27276579287179631</v>
      </c>
      <c r="K24" s="114">
        <f>K16/Statements!M$27</f>
        <v>0.30731068790437133</v>
      </c>
      <c r="L24" s="114">
        <f>L16/Statements!N$27</f>
        <v>0.3460178354162789</v>
      </c>
    </row>
    <row r="25" spans="2:12" x14ac:dyDescent="0.3">
      <c r="B25" s="13" t="s">
        <v>507</v>
      </c>
      <c r="E25" s="114">
        <f>E19/Statements!G$27</f>
        <v>0.2119793384078823</v>
      </c>
      <c r="F25" s="114">
        <f>F19/Statements!H$27</f>
        <v>0.22905637330025833</v>
      </c>
      <c r="G25" s="114">
        <f>G19/Statements!I$27</f>
        <v>0.36488508407105352</v>
      </c>
      <c r="H25" s="114">
        <f>H19/Statements!J$27</f>
        <v>0.21662878521778151</v>
      </c>
      <c r="I25" s="114">
        <f>I19/Statements!K$27</f>
        <v>0.2090256256949308</v>
      </c>
      <c r="J25" s="114">
        <f>J19/Statements!L$27</f>
        <v>0.2352570765629943</v>
      </c>
      <c r="K25" s="114">
        <f>K19/Statements!M$27</f>
        <v>0.26532930797150595</v>
      </c>
      <c r="L25" s="114">
        <f>L19/Statements!N$27</f>
        <v>0.2990545425085212</v>
      </c>
    </row>
    <row r="26" spans="2:12" x14ac:dyDescent="0.3">
      <c r="E26" s="39"/>
      <c r="F26" s="39"/>
      <c r="G26" s="39"/>
      <c r="H26" s="39"/>
      <c r="I26" s="39"/>
      <c r="J26" s="39"/>
      <c r="K26" s="39"/>
      <c r="L26" s="39"/>
    </row>
    <row r="27" spans="2:12" x14ac:dyDescent="0.3">
      <c r="B27" s="453" t="s">
        <v>508</v>
      </c>
      <c r="C27" s="454"/>
      <c r="D27" s="205"/>
      <c r="E27" s="455">
        <v>44865</v>
      </c>
      <c r="F27" s="455">
        <v>45230</v>
      </c>
      <c r="G27" s="455">
        <v>45596</v>
      </c>
      <c r="H27" s="456">
        <v>45961</v>
      </c>
      <c r="I27" s="456">
        <v>46326</v>
      </c>
      <c r="J27" s="456">
        <v>46691</v>
      </c>
      <c r="K27" s="456">
        <v>47057</v>
      </c>
      <c r="L27" s="456">
        <v>47422</v>
      </c>
    </row>
    <row r="28" spans="2:12" x14ac:dyDescent="0.3">
      <c r="B28" s="13" t="s">
        <v>521</v>
      </c>
      <c r="E28" s="114">
        <f>Statements!G48/Statements!G100</f>
        <v>0.17739027960966147</v>
      </c>
      <c r="F28" s="114">
        <f>Statements!H48/Statements!H100</f>
        <v>0.19815584317558191</v>
      </c>
      <c r="G28" s="114">
        <f>Statements!I48/Statements!I100</f>
        <v>0.24868024766030505</v>
      </c>
      <c r="H28" s="114">
        <f>Statements!J48/Statements!J100</f>
        <v>0.13686250606795164</v>
      </c>
      <c r="I28" s="114">
        <f>Statements!K48/Statements!K100</f>
        <v>0.12427352487501427</v>
      </c>
      <c r="J28" s="114">
        <f>Statements!L48/Statements!L100</f>
        <v>0.13173640569921408</v>
      </c>
      <c r="K28" s="114">
        <f>Statements!M48/Statements!M100</f>
        <v>0.13913015359342817</v>
      </c>
      <c r="L28" s="114">
        <f>Statements!N48/Statements!N100</f>
        <v>0.14664174721918771</v>
      </c>
    </row>
    <row r="29" spans="2:12" x14ac:dyDescent="0.3">
      <c r="B29" s="13" t="s">
        <v>522</v>
      </c>
      <c r="E29" s="114">
        <f>Statements!G48/Statements!G77</f>
        <v>0.10388903818790376</v>
      </c>
      <c r="F29" s="114">
        <f>Statements!H48/Statements!H77</f>
        <v>0.1178853727877833</v>
      </c>
      <c r="G29" s="114">
        <f>Statements!I48/Statements!I77</f>
        <v>0.17101767452647371</v>
      </c>
      <c r="H29" s="114">
        <f>Statements!J48/Statements!J77</f>
        <v>9.6760854188832693E-2</v>
      </c>
      <c r="I29" s="114">
        <f>Statements!K48/Statements!K77</f>
        <v>9.0616473335365572E-2</v>
      </c>
      <c r="J29" s="114">
        <f>Statements!L48/Statements!L77</f>
        <v>9.8959235484128369E-2</v>
      </c>
      <c r="K29" s="114">
        <f>Statements!M48/Statements!M77</f>
        <v>0.1076561127459634</v>
      </c>
      <c r="L29" s="114">
        <f>Statements!N48/Statements!N77</f>
        <v>0.11671291000020666</v>
      </c>
    </row>
    <row r="30" spans="2:12" x14ac:dyDescent="0.3">
      <c r="B30" s="13" t="s">
        <v>523</v>
      </c>
      <c r="E30" s="114">
        <f>Statements!G41/(Statements!G77-Statements!G85)</f>
        <v>0.17290566483051026</v>
      </c>
      <c r="F30" s="114">
        <f>Statements!H41/(Statements!H77-Statements!H85)</f>
        <v>0.17328449252008798</v>
      </c>
      <c r="G30" s="114">
        <f>Statements!I41/(Statements!I77-Statements!I85)</f>
        <v>0.13006367091251345</v>
      </c>
      <c r="H30" s="114">
        <f>Statements!J41/(Statements!J77-Statements!J85)</f>
        <v>0.1221530278792316</v>
      </c>
      <c r="I30" s="114">
        <f>Statements!K41/(Statements!K77-Statements!K85)</f>
        <v>0.12930438541161415</v>
      </c>
      <c r="J30" s="114">
        <f>Statements!L41/(Statements!L77-Statements!L85)</f>
        <v>0.13890652694623007</v>
      </c>
      <c r="K30" s="114">
        <f>Statements!M41/(Statements!M77-Statements!M85)</f>
        <v>0.14854922373402679</v>
      </c>
      <c r="L30" s="114">
        <f>Statements!N41/(Statements!N77-Statements!N85)</f>
        <v>0.158324362806296</v>
      </c>
    </row>
    <row r="31" spans="2:12" x14ac:dyDescent="0.3">
      <c r="E31" s="39"/>
      <c r="F31" s="39"/>
      <c r="G31" s="39"/>
      <c r="H31" s="39"/>
      <c r="I31" s="39"/>
      <c r="J31" s="39"/>
      <c r="K31" s="39"/>
      <c r="L31" s="39"/>
    </row>
    <row r="32" spans="2:12" x14ac:dyDescent="0.3">
      <c r="B32" s="453" t="s">
        <v>525</v>
      </c>
      <c r="C32" s="205"/>
      <c r="D32" s="205"/>
      <c r="E32" s="455">
        <v>44865</v>
      </c>
      <c r="F32" s="455">
        <v>45230</v>
      </c>
      <c r="G32" s="455">
        <v>45596</v>
      </c>
      <c r="H32" s="456">
        <v>45961</v>
      </c>
      <c r="I32" s="456">
        <v>46326</v>
      </c>
      <c r="J32" s="456">
        <v>46691</v>
      </c>
      <c r="K32" s="456">
        <v>47057</v>
      </c>
      <c r="L32" s="456">
        <v>47422</v>
      </c>
    </row>
    <row r="33" spans="2:13" x14ac:dyDescent="0.3">
      <c r="B33" s="13" t="s">
        <v>109</v>
      </c>
      <c r="E33" s="115">
        <f>E25</f>
        <v>0.2119793384078823</v>
      </c>
      <c r="F33" s="115">
        <f t="shared" ref="F33:L33" si="2">F25</f>
        <v>0.22905637330025833</v>
      </c>
      <c r="G33" s="115">
        <f t="shared" si="2"/>
        <v>0.36488508407105352</v>
      </c>
      <c r="H33" s="115">
        <f t="shared" si="2"/>
        <v>0.21662878521778151</v>
      </c>
      <c r="I33" s="115">
        <f t="shared" si="2"/>
        <v>0.2090256256949308</v>
      </c>
      <c r="J33" s="115">
        <f t="shared" si="2"/>
        <v>0.2352570765629943</v>
      </c>
      <c r="K33" s="115">
        <f t="shared" si="2"/>
        <v>0.26532930797150595</v>
      </c>
      <c r="L33" s="115">
        <f t="shared" si="2"/>
        <v>0.2990545425085212</v>
      </c>
    </row>
    <row r="34" spans="2:13" x14ac:dyDescent="0.3">
      <c r="B34" s="13" t="s">
        <v>110</v>
      </c>
      <c r="C34" s="17"/>
      <c r="E34" s="394">
        <f>E49</f>
        <v>0.49009039733865273</v>
      </c>
      <c r="F34" s="394">
        <f t="shared" ref="F34:L34" si="3">F49</f>
        <v>0.5146565934371683</v>
      </c>
      <c r="G34" s="394">
        <f t="shared" si="3"/>
        <v>0.46868913527079575</v>
      </c>
      <c r="H34" s="394">
        <f t="shared" si="3"/>
        <v>0.4466666518558785</v>
      </c>
      <c r="I34" s="394">
        <f t="shared" si="3"/>
        <v>0.43351848862597697</v>
      </c>
      <c r="J34" s="394">
        <f t="shared" si="3"/>
        <v>0.42064297036195747</v>
      </c>
      <c r="K34" s="394">
        <f t="shared" si="3"/>
        <v>0.4057452739353043</v>
      </c>
      <c r="L34" s="394">
        <f t="shared" si="3"/>
        <v>0.39027298840271274</v>
      </c>
    </row>
    <row r="35" spans="2:13" x14ac:dyDescent="0.3">
      <c r="B35" s="13" t="s">
        <v>520</v>
      </c>
      <c r="E35" s="394">
        <f>Statements!G77/Statements!G100</f>
        <v>1.7074975637835461</v>
      </c>
      <c r="F35" s="394">
        <f>Statements!H77/Statements!H100</f>
        <v>1.6809196806146691</v>
      </c>
      <c r="G35" s="394">
        <f>Statements!I77/Statements!I100</f>
        <v>1.4541201565795419</v>
      </c>
      <c r="H35" s="394">
        <f>Statements!J77/Statements!J100</f>
        <v>1.4144408626329297</v>
      </c>
      <c r="I35" s="394">
        <f>Statements!K77/Statements!K100</f>
        <v>1.3714231011295945</v>
      </c>
      <c r="J35" s="394">
        <f>Statements!L77/Statements!L100</f>
        <v>1.3312189110468897</v>
      </c>
      <c r="K35" s="394">
        <f>Statements!M77/Statements!M100</f>
        <v>1.2923572107952124</v>
      </c>
      <c r="L35" s="394">
        <f>Statements!N77/Statements!N100</f>
        <v>1.2564312484276852</v>
      </c>
    </row>
    <row r="36" spans="2:13" x14ac:dyDescent="0.3">
      <c r="B36" s="449" t="s">
        <v>111</v>
      </c>
      <c r="C36" s="450"/>
      <c r="D36" s="450"/>
      <c r="E36" s="451">
        <f>E33*E34*E35</f>
        <v>0.17739027960966147</v>
      </c>
      <c r="F36" s="451">
        <f t="shared" ref="F36:L36" si="4">F33*F34*F35</f>
        <v>0.19815584317558191</v>
      </c>
      <c r="G36" s="451">
        <f t="shared" si="4"/>
        <v>0.24868024766030503</v>
      </c>
      <c r="H36" s="451">
        <f t="shared" si="4"/>
        <v>0.13686250606795164</v>
      </c>
      <c r="I36" s="451">
        <f t="shared" si="4"/>
        <v>0.12427352487501427</v>
      </c>
      <c r="J36" s="451">
        <f t="shared" si="4"/>
        <v>0.1317364056992141</v>
      </c>
      <c r="K36" s="451">
        <f t="shared" si="4"/>
        <v>0.13913015359342817</v>
      </c>
      <c r="L36" s="451">
        <f t="shared" si="4"/>
        <v>0.14664174721918771</v>
      </c>
    </row>
    <row r="38" spans="2:13" x14ac:dyDescent="0.3">
      <c r="B38" s="274" t="s">
        <v>510</v>
      </c>
      <c r="C38" s="457"/>
      <c r="D38" s="275"/>
      <c r="E38" s="458"/>
      <c r="F38" s="458"/>
      <c r="G38" s="458"/>
      <c r="H38" s="458"/>
      <c r="I38" s="458"/>
      <c r="J38" s="458"/>
      <c r="K38" s="458"/>
      <c r="L38" s="458"/>
      <c r="M38" s="39"/>
    </row>
    <row r="39" spans="2:13" x14ac:dyDescent="0.3">
      <c r="B39" s="453" t="s">
        <v>526</v>
      </c>
      <c r="C39" s="205"/>
      <c r="D39" s="205"/>
      <c r="E39" s="455">
        <v>44865</v>
      </c>
      <c r="F39" s="455">
        <v>45230</v>
      </c>
      <c r="G39" s="455">
        <v>45596</v>
      </c>
      <c r="H39" s="456">
        <v>45961</v>
      </c>
      <c r="I39" s="456">
        <v>46326</v>
      </c>
      <c r="J39" s="456">
        <v>46691</v>
      </c>
      <c r="K39" s="456">
        <v>47057</v>
      </c>
      <c r="L39" s="456">
        <v>47422</v>
      </c>
      <c r="M39" s="39"/>
    </row>
    <row r="40" spans="2:13" x14ac:dyDescent="0.3">
      <c r="B40" s="13" t="s">
        <v>511</v>
      </c>
      <c r="E40" s="448">
        <f>Statements!G89/Statements!G100</f>
        <v>3.7753876416971475E-3</v>
      </c>
      <c r="F40" s="448">
        <f>Statements!H89/Statements!H100</f>
        <v>2.9407994523781792E-3</v>
      </c>
      <c r="G40" s="448">
        <f>Statements!I89/Statements!I100</f>
        <v>1.7352371372113102E-3</v>
      </c>
      <c r="H40" s="448">
        <f>Statements!J89/Statements!J100</f>
        <v>1.2181275066869141E-3</v>
      </c>
      <c r="I40" s="448">
        <f>Statements!K89/Statements!K100</f>
        <v>8.6871764992206655E-4</v>
      </c>
      <c r="J40" s="448">
        <f>Statements!L89/Statements!L100</f>
        <v>6.2300431746055765E-4</v>
      </c>
      <c r="K40" s="448">
        <f>Statements!M89/Statements!M100</f>
        <v>4.4063851664396012E-4</v>
      </c>
      <c r="L40" s="448">
        <f>Statements!N89/Statements!N100</f>
        <v>3.0403987390706356E-4</v>
      </c>
      <c r="M40" s="39"/>
    </row>
    <row r="41" spans="2:13" x14ac:dyDescent="0.3">
      <c r="B41" s="13" t="s">
        <v>512</v>
      </c>
      <c r="E41" s="448">
        <f>Statements!G89/Statements!G77</f>
        <v>2.2110647310860476E-3</v>
      </c>
      <c r="F41" s="448">
        <f>Statements!H89/Statements!H77</f>
        <v>1.749518127661403E-3</v>
      </c>
      <c r="G41" s="448">
        <f>Statements!I89/Statements!I77</f>
        <v>1.1933244507751179E-3</v>
      </c>
      <c r="H41" s="448">
        <f>Statements!J89/Statements!J77</f>
        <v>8.6120780222611389E-4</v>
      </c>
      <c r="I41" s="448">
        <f>Statements!K89/Statements!K77</f>
        <v>6.3344247971799028E-4</v>
      </c>
      <c r="J41" s="448">
        <f>Statements!L89/Statements!L77</f>
        <v>4.6799539301212157E-4</v>
      </c>
      <c r="K41" s="448">
        <f>Statements!M89/Statements!M77</f>
        <v>3.4095721597964912E-4</v>
      </c>
      <c r="L41" s="448">
        <f>Statements!N89/Statements!N77</f>
        <v>2.4198687694813631E-4</v>
      </c>
      <c r="M41" s="39"/>
    </row>
    <row r="42" spans="2:13" x14ac:dyDescent="0.3">
      <c r="B42" s="13" t="s">
        <v>513</v>
      </c>
      <c r="E42" s="448">
        <f>Statements!G89/Ratio_Analysis!E15</f>
        <v>1.1341133721246871E-2</v>
      </c>
      <c r="F42" s="448">
        <f>Statements!H89/Ratio_Analysis!F15</f>
        <v>8.676117065669826E-3</v>
      </c>
      <c r="G42" s="448">
        <f>Statements!I89/Ratio_Analysis!G15</f>
        <v>6.6582959610634153E-3</v>
      </c>
      <c r="H42" s="448">
        <f>Statements!J89/Ratio_Analysis!H15</f>
        <v>5.6544256837594339E-3</v>
      </c>
      <c r="I42" s="448">
        <f>Statements!K89/Ratio_Analysis!I15</f>
        <v>4.1180658316969515E-3</v>
      </c>
      <c r="J42" s="448">
        <f>Statements!L89/Ratio_Analysis!J15</f>
        <v>2.8533427051352814E-3</v>
      </c>
      <c r="K42" s="448">
        <f>Statements!M89/Ratio_Analysis!K15</f>
        <v>1.9240561801798302E-3</v>
      </c>
      <c r="L42" s="448">
        <f>Statements!N89/Ratio_Analysis!L15</f>
        <v>1.278907962677109E-3</v>
      </c>
      <c r="M42" s="39"/>
    </row>
    <row r="43" spans="2:13" x14ac:dyDescent="0.3">
      <c r="E43" s="39"/>
      <c r="F43" s="39"/>
      <c r="G43" s="39"/>
      <c r="H43" s="39"/>
      <c r="I43" s="39"/>
      <c r="J43" s="39"/>
      <c r="K43" s="39"/>
      <c r="L43" s="39"/>
      <c r="M43" s="39"/>
    </row>
    <row r="44" spans="2:13" x14ac:dyDescent="0.3">
      <c r="B44" s="274" t="s">
        <v>514</v>
      </c>
      <c r="C44" s="275"/>
      <c r="D44" s="275"/>
      <c r="E44" s="459">
        <v>44865</v>
      </c>
      <c r="F44" s="459">
        <v>45230</v>
      </c>
      <c r="G44" s="459">
        <v>45596</v>
      </c>
      <c r="H44" s="460">
        <v>45961</v>
      </c>
      <c r="I44" s="460">
        <v>46326</v>
      </c>
      <c r="J44" s="460">
        <v>46691</v>
      </c>
      <c r="K44" s="460">
        <v>47057</v>
      </c>
      <c r="L44" s="460">
        <v>47422</v>
      </c>
      <c r="M44" s="39"/>
    </row>
    <row r="45" spans="2:13" x14ac:dyDescent="0.3">
      <c r="B45" s="13" t="s">
        <v>515</v>
      </c>
      <c r="E45" s="447">
        <f>Statements!G$27/Statements!G64</f>
        <v>5.7979728448129677</v>
      </c>
      <c r="F45" s="447">
        <f>Statements!H$27/Statements!H64</f>
        <v>6.2078467536712347</v>
      </c>
      <c r="G45" s="447">
        <f>Statements!I$27/Statements!I64</f>
        <v>6.5571243592624695</v>
      </c>
      <c r="H45" s="447">
        <f>Statements!J$27/Statements!J64</f>
        <v>6.8987308528036353</v>
      </c>
      <c r="I45" s="447">
        <f>Statements!K$27/Statements!K64</f>
        <v>7.1565758919188651</v>
      </c>
      <c r="J45" s="447">
        <f>Statements!L$27/Statements!L64</f>
        <v>7.4556160710139183</v>
      </c>
      <c r="K45" s="447">
        <f>Statements!M$27/Statements!M64</f>
        <v>7.8125791223440615</v>
      </c>
      <c r="L45" s="447">
        <f>Statements!N$27/Statements!N64</f>
        <v>8.2321073281131945</v>
      </c>
      <c r="M45" s="39"/>
    </row>
    <row r="46" spans="2:13" x14ac:dyDescent="0.3">
      <c r="B46" s="13" t="s">
        <v>516</v>
      </c>
      <c r="E46" s="447">
        <f>Statements!G$27/Statements!G65</f>
        <v>21.779735474951281</v>
      </c>
      <c r="F46" s="447">
        <f>Statements!H$27/Statements!H65</f>
        <v>16.333468472618939</v>
      </c>
      <c r="G46" s="447">
        <f>Statements!I$27/Statements!I65</f>
        <v>16.933682281835793</v>
      </c>
      <c r="H46" s="447">
        <f>Statements!J$27/Statements!J65</f>
        <v>17.815876290992691</v>
      </c>
      <c r="I46" s="447">
        <f>Statements!K$27/Statements!K65</f>
        <v>18.481757511341531</v>
      </c>
      <c r="J46" s="447">
        <f>Statements!L$27/Statements!L65</f>
        <v>19.254024606618717</v>
      </c>
      <c r="K46" s="447">
        <f>Statements!M$27/Statements!M65</f>
        <v>20.175876712266319</v>
      </c>
      <c r="L46" s="447">
        <f>Statements!N$27/Statements!N65</f>
        <v>21.259302457383985</v>
      </c>
      <c r="M46" s="39"/>
    </row>
    <row r="47" spans="2:13" x14ac:dyDescent="0.3">
      <c r="B47" s="13" t="s">
        <v>517</v>
      </c>
      <c r="E47" s="447">
        <f>Statements!G32/Statements!G81</f>
        <v>1.109475749410368</v>
      </c>
      <c r="F47" s="447">
        <f>Statements!H32/Statements!H81</f>
        <v>0.97257230303590669</v>
      </c>
      <c r="G47" s="447">
        <f>Statements!I32/Statements!I81</f>
        <v>1.070211036170754</v>
      </c>
      <c r="H47" s="447">
        <f>Statements!J32/Statements!J81</f>
        <v>1.070211036170754</v>
      </c>
      <c r="I47" s="447">
        <f>Statements!K32/Statements!K81</f>
        <v>1.070211036170754</v>
      </c>
      <c r="J47" s="447">
        <f>Statements!L32/Statements!L81</f>
        <v>1.070211036170754</v>
      </c>
      <c r="K47" s="447">
        <f>Statements!M32/Statements!M81</f>
        <v>1.070211036170754</v>
      </c>
      <c r="L47" s="447">
        <f>Statements!N32/Statements!N81</f>
        <v>1.070211036170754</v>
      </c>
    </row>
    <row r="49" spans="2:12" x14ac:dyDescent="0.3">
      <c r="B49" s="13" t="s">
        <v>518</v>
      </c>
      <c r="E49" s="447">
        <f>Statements!G27/Statements!G77</f>
        <v>0.49009039733865273</v>
      </c>
      <c r="F49" s="447">
        <f>Statements!H27/Statements!H77</f>
        <v>0.5146565934371683</v>
      </c>
      <c r="G49" s="447">
        <f>Statements!I27/Statements!I77</f>
        <v>0.46868913527079575</v>
      </c>
      <c r="H49" s="447">
        <f>Statements!J27/Statements!J77</f>
        <v>0.4466666518558785</v>
      </c>
      <c r="I49" s="447">
        <f>Statements!K27/Statements!K77</f>
        <v>0.43351848862597697</v>
      </c>
      <c r="J49" s="447">
        <f>Statements!L27/Statements!L77</f>
        <v>0.42064297036195747</v>
      </c>
      <c r="K49" s="447">
        <f>Statements!M27/Statements!M77</f>
        <v>0.4057452739353043</v>
      </c>
      <c r="L49" s="447">
        <f>Statements!N27/Statements!N77</f>
        <v>0.39027298840271274</v>
      </c>
    </row>
    <row r="50" spans="2:12" x14ac:dyDescent="0.3">
      <c r="B50" s="13" t="s">
        <v>108</v>
      </c>
      <c r="E50" s="447">
        <f>Statements!G27/Statements!G70</f>
        <v>9.5504117525346572</v>
      </c>
      <c r="F50" s="447">
        <f>Statements!H27/Statements!H70</f>
        <v>9.6719827876261508</v>
      </c>
      <c r="G50" s="447">
        <f>Statements!I27/Statements!I70</f>
        <v>10.883429306259613</v>
      </c>
      <c r="H50" s="447">
        <f>Statements!J27/Statements!J70</f>
        <v>12.373185143602418</v>
      </c>
      <c r="I50" s="447">
        <f>Statements!K27/Statements!K70</f>
        <v>14.118919565077345</v>
      </c>
      <c r="J50" s="447">
        <f>Statements!L27/Statements!L70</f>
        <v>16.639174218956139</v>
      </c>
      <c r="K50" s="447">
        <f>Statements!M27/Statements!M70</f>
        <v>19.424351029890172</v>
      </c>
      <c r="L50" s="447">
        <f>Statements!N27/Statements!N70</f>
        <v>23.087579362121303</v>
      </c>
    </row>
    <row r="52" spans="2:12" x14ac:dyDescent="0.3">
      <c r="B52" s="274" t="s">
        <v>519</v>
      </c>
      <c r="C52" s="275"/>
      <c r="D52" s="275"/>
      <c r="E52" s="275"/>
      <c r="F52" s="275"/>
      <c r="G52" s="275"/>
      <c r="H52" s="275"/>
      <c r="I52" s="275"/>
      <c r="J52" s="275"/>
      <c r="K52" s="275"/>
      <c r="L52" s="275"/>
    </row>
    <row r="53" spans="2:12" x14ac:dyDescent="0.3">
      <c r="B53" s="453" t="s">
        <v>527</v>
      </c>
      <c r="C53" s="205"/>
      <c r="D53" s="205"/>
      <c r="E53" s="455">
        <v>44865</v>
      </c>
      <c r="F53" s="455">
        <v>45230</v>
      </c>
      <c r="G53" s="455">
        <v>45596</v>
      </c>
      <c r="H53" s="456">
        <v>45961</v>
      </c>
      <c r="I53" s="456">
        <v>46326</v>
      </c>
      <c r="J53" s="456">
        <v>46691</v>
      </c>
      <c r="K53" s="456">
        <v>47057</v>
      </c>
      <c r="L53" s="456">
        <v>47422</v>
      </c>
    </row>
    <row r="54" spans="2:12" x14ac:dyDescent="0.3">
      <c r="B54" s="13" t="s">
        <v>528</v>
      </c>
      <c r="E54" s="452">
        <f>Statements!G52</f>
        <v>6.291938524459213</v>
      </c>
      <c r="F54" s="452">
        <f>Statements!H52</f>
        <v>7.9247913914752406</v>
      </c>
      <c r="G54" s="452">
        <f>Statements!I52</f>
        <v>14.514056327912584</v>
      </c>
      <c r="H54" s="452">
        <f>Statements!J52</f>
        <v>9.8916534400042018</v>
      </c>
      <c r="I54" s="452">
        <f>Statements!K52</f>
        <v>10.881308203624599</v>
      </c>
      <c r="J54" s="452">
        <f>Statements!L52</f>
        <v>14.07778454474091</v>
      </c>
      <c r="K54" s="452">
        <f>Statements!M52</f>
        <v>18.470510337314945</v>
      </c>
      <c r="L54" s="452">
        <f>Statements!N52</f>
        <v>24.462514423993309</v>
      </c>
    </row>
    <row r="55" spans="2:12" x14ac:dyDescent="0.3">
      <c r="B55" s="13" t="s">
        <v>529</v>
      </c>
      <c r="F55" s="114">
        <f>F54/E54-1</f>
        <v>0.25951507006441554</v>
      </c>
      <c r="G55" s="114">
        <f t="shared" ref="G55:L55" si="5">G54/F54-1</f>
        <v>0.83147487560687927</v>
      </c>
      <c r="H55" s="114">
        <f t="shared" si="5"/>
        <v>-0.31847767319318221</v>
      </c>
      <c r="I55" s="114">
        <f t="shared" si="5"/>
        <v>0.10004947803953557</v>
      </c>
      <c r="J55" s="114">
        <f t="shared" si="5"/>
        <v>0.29375846003990169</v>
      </c>
      <c r="K55" s="114">
        <f t="shared" si="5"/>
        <v>0.31203246353241298</v>
      </c>
      <c r="L55" s="114">
        <f t="shared" si="5"/>
        <v>0.32440923273100108</v>
      </c>
    </row>
    <row r="56" spans="2:12" x14ac:dyDescent="0.3">
      <c r="B56" s="13" t="s">
        <v>530</v>
      </c>
      <c r="E56" s="452">
        <f>Statements!G100/Statements!G54</f>
        <v>35.247627568137524</v>
      </c>
      <c r="F56" s="452">
        <f>Statements!H100/Statements!H54</f>
        <v>39.61021940139824</v>
      </c>
      <c r="G56" s="452">
        <f>Statements!I100/Statements!I54</f>
        <v>57.65340122095111</v>
      </c>
      <c r="H56" s="452">
        <f>Statements!J100/Statements!J54</f>
        <v>71.599406217983855</v>
      </c>
      <c r="I56" s="452">
        <f>Statements!K100/Statements!K54</f>
        <v>86.741616482543421</v>
      </c>
      <c r="J56" s="452">
        <f>Statements!L100/Statements!L54</f>
        <v>106.02777822905026</v>
      </c>
      <c r="K56" s="452">
        <f>Statements!M100/Statements!M54</f>
        <v>131.71809424797615</v>
      </c>
      <c r="L56" s="452">
        <f>Statements!N100/Statements!N54</f>
        <v>165.58681923032691</v>
      </c>
    </row>
    <row r="58" spans="2:12" x14ac:dyDescent="0.3">
      <c r="B58" s="13" t="s">
        <v>531</v>
      </c>
    </row>
    <row r="59" spans="2:12" x14ac:dyDescent="0.3">
      <c r="B59" s="13" t="s">
        <v>532</v>
      </c>
    </row>
    <row r="60" spans="2:12" x14ac:dyDescent="0.3">
      <c r="B60" s="13" t="s">
        <v>533</v>
      </c>
    </row>
  </sheetData>
  <hyperlinks>
    <hyperlink ref="B7" location="Dashboard!A1" display="&lt;-Back to dashboard" xr:uid="{FE2960E9-D482-4CEC-A8E9-322A3F6BA0C8}"/>
    <hyperlink ref="C9" location="'Stock Report'!A1" display="Stock Report" xr:uid="{62D371BE-1404-420F-B5EC-5F41B45E93E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D9C-784B-44D0-AEAD-61050EBCCBD0}">
  <sheetPr>
    <tabColor rgb="FF00004D"/>
  </sheetPr>
  <dimension ref="A1"/>
  <sheetViews>
    <sheetView showGridLines="0" workbookViewId="0">
      <selection activeCell="E8" sqref="E8"/>
    </sheetView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717B-26AB-4DB0-8D98-551EBCD14097}">
  <dimension ref="A1:P121"/>
  <sheetViews>
    <sheetView showGridLines="0" tabSelected="1" zoomScaleNormal="100" workbookViewId="0">
      <selection activeCell="E77" sqref="E77:F77"/>
    </sheetView>
  </sheetViews>
  <sheetFormatPr defaultRowHeight="13.8" x14ac:dyDescent="0.3"/>
  <cols>
    <col min="1" max="1" width="1.88671875" style="13" customWidth="1"/>
    <col min="2" max="3" width="8.88671875" style="13"/>
    <col min="4" max="4" width="11" style="13" customWidth="1"/>
    <col min="5" max="5" width="10" style="13" customWidth="1"/>
    <col min="6" max="6" width="11.88671875" style="13" customWidth="1"/>
    <col min="7" max="14" width="12.109375" style="13" customWidth="1"/>
    <col min="15" max="15" width="9.109375" style="13" bestFit="1" customWidth="1"/>
    <col min="16" max="16384" width="8.88671875" style="13"/>
  </cols>
  <sheetData>
    <row r="1" spans="1:16" s="18" customFormat="1" ht="14.4" x14ac:dyDescent="0.3"/>
    <row r="2" spans="1:16" s="18" customFormat="1" ht="15.6" x14ac:dyDescent="0.3"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s="18" customFormat="1" ht="14.4" x14ac:dyDescent="0.3">
      <c r="B3" s="64" t="s">
        <v>365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 s="18" customFormat="1" ht="14.4" x14ac:dyDescent="0.3">
      <c r="B4" s="7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6" spans="1:16" x14ac:dyDescent="0.3">
      <c r="B6" s="73" t="s">
        <v>47</v>
      </c>
    </row>
    <row r="8" spans="1:16" ht="14.4" x14ac:dyDescent="0.3">
      <c r="B8" s="350" t="s">
        <v>366</v>
      </c>
    </row>
    <row r="10" spans="1:16" x14ac:dyDescent="0.3">
      <c r="A10" s="13" t="s">
        <v>33</v>
      </c>
      <c r="B10" s="389" t="s">
        <v>367</v>
      </c>
      <c r="C10" s="308"/>
      <c r="D10" s="308"/>
      <c r="E10" s="308"/>
      <c r="F10" s="308"/>
      <c r="G10" s="308"/>
      <c r="H10" s="308"/>
      <c r="I10" s="308"/>
      <c r="J10" s="308"/>
      <c r="K10" s="308"/>
      <c r="L10" s="390"/>
    </row>
    <row r="12" spans="1:16" x14ac:dyDescent="0.3">
      <c r="B12" s="37" t="s">
        <v>368</v>
      </c>
      <c r="C12" s="37"/>
      <c r="D12" s="37"/>
      <c r="E12" s="37"/>
      <c r="F12" s="415">
        <v>393.3</v>
      </c>
      <c r="H12" s="37" t="s">
        <v>375</v>
      </c>
      <c r="I12" s="37"/>
      <c r="J12" s="37"/>
      <c r="K12" s="288">
        <v>35000</v>
      </c>
    </row>
    <row r="13" spans="1:16" x14ac:dyDescent="0.3">
      <c r="B13" s="13" t="s">
        <v>369</v>
      </c>
      <c r="F13" s="410">
        <f>K13/K12</f>
        <v>0.3914285714285714</v>
      </c>
      <c r="H13" s="13" t="s">
        <v>376</v>
      </c>
      <c r="K13" s="286">
        <v>13700</v>
      </c>
      <c r="N13" s="286"/>
      <c r="O13" s="286"/>
    </row>
    <row r="14" spans="1:16" x14ac:dyDescent="0.3">
      <c r="B14" s="13" t="s">
        <v>370</v>
      </c>
      <c r="F14" s="410">
        <f>K14/K12</f>
        <v>0.12285714285714286</v>
      </c>
      <c r="H14" s="13" t="s">
        <v>377</v>
      </c>
      <c r="K14" s="286">
        <f>L17+L18</f>
        <v>4300</v>
      </c>
    </row>
    <row r="15" spans="1:16" x14ac:dyDescent="0.3">
      <c r="B15" s="13" t="s">
        <v>371</v>
      </c>
      <c r="F15" s="410">
        <f>100%-F14-F13</f>
        <v>0.48571428571428571</v>
      </c>
      <c r="H15" s="13" t="s">
        <v>378</v>
      </c>
      <c r="K15" s="352">
        <f>F15*K12/F40*units</f>
        <v>2987.7502240812669</v>
      </c>
      <c r="L15" s="411">
        <f>K12*F15</f>
        <v>17000</v>
      </c>
      <c r="M15" s="411"/>
      <c r="N15" s="286"/>
    </row>
    <row r="16" spans="1:16" x14ac:dyDescent="0.3">
      <c r="B16" s="13" t="s">
        <v>372</v>
      </c>
      <c r="F16" s="57">
        <v>3.7999999999999999E-2</v>
      </c>
      <c r="H16" s="13" t="s">
        <v>483</v>
      </c>
      <c r="M16" s="394"/>
    </row>
    <row r="17" spans="1:14" x14ac:dyDescent="0.3">
      <c r="H17" s="13" t="s">
        <v>476</v>
      </c>
      <c r="K17" s="13" t="s">
        <v>471</v>
      </c>
      <c r="L17" s="352">
        <f>Merger_BS!D77</f>
        <v>1450</v>
      </c>
      <c r="M17" s="394"/>
      <c r="N17" s="395"/>
    </row>
    <row r="18" spans="1:14" x14ac:dyDescent="0.3">
      <c r="B18" s="13" t="s">
        <v>373</v>
      </c>
      <c r="F18" s="351">
        <v>0.1</v>
      </c>
      <c r="H18" s="13" t="s">
        <v>477</v>
      </c>
      <c r="K18" s="13" t="s">
        <v>472</v>
      </c>
      <c r="L18" s="352">
        <f>Merger_BS!F77</f>
        <v>2850</v>
      </c>
    </row>
    <row r="19" spans="1:14" x14ac:dyDescent="0.3">
      <c r="B19" s="13" t="s">
        <v>374</v>
      </c>
      <c r="F19" s="351">
        <v>0.5</v>
      </c>
      <c r="H19" s="13" t="s">
        <v>481</v>
      </c>
      <c r="K19" s="57">
        <v>4.2999999999999997E-2</v>
      </c>
    </row>
    <row r="20" spans="1:14" x14ac:dyDescent="0.3">
      <c r="B20" s="13" t="s">
        <v>379</v>
      </c>
      <c r="F20" s="416">
        <v>0.25</v>
      </c>
      <c r="H20" s="65" t="s">
        <v>482</v>
      </c>
    </row>
    <row r="22" spans="1:14" x14ac:dyDescent="0.3">
      <c r="A22" s="13" t="s">
        <v>33</v>
      </c>
      <c r="B22" s="389" t="s">
        <v>424</v>
      </c>
      <c r="C22" s="308"/>
      <c r="D22" s="308"/>
      <c r="E22" s="308"/>
      <c r="F22" s="308"/>
      <c r="G22" s="308"/>
      <c r="H22" s="308"/>
      <c r="I22" s="308"/>
      <c r="J22" s="308"/>
      <c r="K22" s="308"/>
      <c r="L22" s="390"/>
    </row>
    <row r="24" spans="1:14" x14ac:dyDescent="0.3">
      <c r="B24" s="37" t="s">
        <v>492</v>
      </c>
      <c r="H24" s="37" t="s">
        <v>493</v>
      </c>
    </row>
    <row r="25" spans="1:14" x14ac:dyDescent="0.3">
      <c r="B25" s="13" t="s">
        <v>425</v>
      </c>
      <c r="F25" s="286">
        <f>K12</f>
        <v>35000</v>
      </c>
      <c r="H25" s="13" t="s">
        <v>432</v>
      </c>
      <c r="K25" s="351">
        <v>0.1</v>
      </c>
    </row>
    <row r="26" spans="1:14" x14ac:dyDescent="0.3">
      <c r="B26" s="13" t="s">
        <v>426</v>
      </c>
      <c r="F26" s="43">
        <f>-Merger_BS!I68</f>
        <v>-60864.399999999994</v>
      </c>
      <c r="H26" s="13" t="s">
        <v>433</v>
      </c>
      <c r="K26" s="286">
        <f>K25*Merger_BS!I40</f>
        <v>89.646000000000015</v>
      </c>
    </row>
    <row r="27" spans="1:14" x14ac:dyDescent="0.3">
      <c r="B27" s="13" t="s">
        <v>427</v>
      </c>
      <c r="F27" s="43">
        <f>Merger_BS!I42</f>
        <v>37781.279999999999</v>
      </c>
      <c r="H27" s="13" t="s">
        <v>434</v>
      </c>
      <c r="K27" s="13">
        <v>8</v>
      </c>
    </row>
    <row r="28" spans="1:14" x14ac:dyDescent="0.3">
      <c r="B28" s="353" t="s">
        <v>490</v>
      </c>
      <c r="C28" s="354"/>
      <c r="D28" s="354"/>
      <c r="E28" s="354"/>
      <c r="F28" s="355">
        <f>SUM(F25:F27)</f>
        <v>11916.880000000005</v>
      </c>
    </row>
    <row r="29" spans="1:14" x14ac:dyDescent="0.3">
      <c r="H29" s="37" t="s">
        <v>494</v>
      </c>
    </row>
    <row r="30" spans="1:14" x14ac:dyDescent="0.3">
      <c r="B30" s="13" t="s">
        <v>428</v>
      </c>
      <c r="F30" s="43">
        <f>-K26</f>
        <v>-89.646000000000015</v>
      </c>
      <c r="H30" s="13" t="s">
        <v>435</v>
      </c>
      <c r="K30" s="286">
        <f>F28</f>
        <v>11916.880000000005</v>
      </c>
    </row>
    <row r="31" spans="1:14" x14ac:dyDescent="0.3">
      <c r="B31" s="13" t="s">
        <v>429</v>
      </c>
      <c r="F31" s="43">
        <f>-K32</f>
        <v>-2383.3760000000011</v>
      </c>
      <c r="H31" s="13" t="s">
        <v>436</v>
      </c>
      <c r="K31" s="351">
        <v>0.2</v>
      </c>
    </row>
    <row r="32" spans="1:14" x14ac:dyDescent="0.3">
      <c r="B32" s="13" t="s">
        <v>430</v>
      </c>
      <c r="F32" s="43">
        <f>-Merger_BS!I57</f>
        <v>-558.63</v>
      </c>
      <c r="H32" s="13" t="s">
        <v>437</v>
      </c>
      <c r="K32" s="286">
        <f>K30*K31</f>
        <v>2383.3760000000011</v>
      </c>
    </row>
    <row r="33" spans="1:12" x14ac:dyDescent="0.3">
      <c r="B33" s="13" t="s">
        <v>431</v>
      </c>
      <c r="F33" s="43">
        <f>K35</f>
        <v>445.14396000000022</v>
      </c>
      <c r="H33" s="13" t="s">
        <v>438</v>
      </c>
      <c r="K33" s="13">
        <v>5</v>
      </c>
    </row>
    <row r="34" spans="1:12" x14ac:dyDescent="0.3">
      <c r="B34" s="353" t="s">
        <v>491</v>
      </c>
      <c r="C34" s="354"/>
      <c r="D34" s="354"/>
      <c r="E34" s="354"/>
      <c r="F34" s="355">
        <f>F28+F30+F31+F32+F33</f>
        <v>9330.371960000004</v>
      </c>
    </row>
    <row r="35" spans="1:12" x14ac:dyDescent="0.3">
      <c r="H35" s="13" t="s">
        <v>439</v>
      </c>
      <c r="K35" s="285">
        <f>(K26+K32)*F44</f>
        <v>445.14396000000022</v>
      </c>
    </row>
    <row r="37" spans="1:12" x14ac:dyDescent="0.3">
      <c r="A37" s="13" t="s">
        <v>33</v>
      </c>
      <c r="B37" s="389" t="s">
        <v>440</v>
      </c>
      <c r="C37" s="307"/>
      <c r="D37" s="307"/>
      <c r="E37" s="307"/>
      <c r="F37" s="307"/>
      <c r="G37" s="422" t="s">
        <v>33</v>
      </c>
      <c r="H37" s="307" t="s">
        <v>442</v>
      </c>
      <c r="I37" s="307"/>
      <c r="J37" s="307"/>
      <c r="K37" s="307"/>
      <c r="L37" s="37"/>
    </row>
    <row r="39" spans="1:12" x14ac:dyDescent="0.3">
      <c r="B39" s="13" t="s">
        <v>441</v>
      </c>
      <c r="F39" s="37" t="s">
        <v>334</v>
      </c>
      <c r="H39" s="13" t="s">
        <v>443</v>
      </c>
      <c r="K39" s="37" t="str">
        <f>Merger_BS!E12</f>
        <v>ANSYS, INC.</v>
      </c>
    </row>
    <row r="40" spans="1:12" x14ac:dyDescent="0.3">
      <c r="B40" s="13" t="s">
        <v>382</v>
      </c>
      <c r="F40" s="285">
        <v>568.99</v>
      </c>
      <c r="H40" s="13" t="s">
        <v>382</v>
      </c>
      <c r="K40" s="285">
        <f>Seller_share_price</f>
        <v>344.5</v>
      </c>
    </row>
    <row r="41" spans="1:12" x14ac:dyDescent="0.3">
      <c r="B41" s="13" t="s">
        <v>386</v>
      </c>
      <c r="F41" s="352">
        <v>165700</v>
      </c>
      <c r="H41" s="13" t="s">
        <v>386</v>
      </c>
      <c r="K41" s="352">
        <f>Merger_BS!F19</f>
        <v>87522.539912917273</v>
      </c>
    </row>
    <row r="42" spans="1:12" x14ac:dyDescent="0.3">
      <c r="B42" s="13" t="s">
        <v>387</v>
      </c>
      <c r="F42" s="286">
        <f>F41/units*F40</f>
        <v>942816.43</v>
      </c>
      <c r="H42" s="13" t="s">
        <v>387</v>
      </c>
      <c r="K42" s="393">
        <f>Merger_BS!F20</f>
        <v>301515.15000000002</v>
      </c>
    </row>
    <row r="43" spans="1:12" x14ac:dyDescent="0.3">
      <c r="B43" s="13" t="s">
        <v>393</v>
      </c>
      <c r="F43" s="393">
        <f>Public_Comps!I31</f>
        <v>4720251.9000000004</v>
      </c>
      <c r="H43" s="13" t="s">
        <v>393</v>
      </c>
      <c r="K43" s="393">
        <f>Merger_BS!F26</f>
        <v>302236.15000000002</v>
      </c>
    </row>
    <row r="44" spans="1:12" x14ac:dyDescent="0.3">
      <c r="B44" s="13" t="s">
        <v>396</v>
      </c>
      <c r="F44" s="351">
        <v>0.18</v>
      </c>
      <c r="H44" s="13" t="s">
        <v>396</v>
      </c>
      <c r="K44" s="351">
        <f>Merger_BS!I14</f>
        <v>0.21</v>
      </c>
    </row>
    <row r="47" spans="1:12" x14ac:dyDescent="0.3">
      <c r="A47" s="13" t="s">
        <v>33</v>
      </c>
      <c r="B47" s="389" t="s">
        <v>444</v>
      </c>
      <c r="C47" s="308"/>
      <c r="D47" s="308"/>
      <c r="E47" s="308"/>
      <c r="F47" s="308"/>
      <c r="H47" s="307" t="s">
        <v>445</v>
      </c>
      <c r="I47" s="308"/>
      <c r="J47" s="308"/>
      <c r="K47" s="308"/>
    </row>
    <row r="48" spans="1:12" x14ac:dyDescent="0.3">
      <c r="E48" s="362" t="s">
        <v>458</v>
      </c>
      <c r="F48" s="362" t="s">
        <v>478</v>
      </c>
      <c r="J48" s="362" t="s">
        <v>458</v>
      </c>
      <c r="K48" s="362" t="s">
        <v>478</v>
      </c>
    </row>
    <row r="49" spans="2:11" x14ac:dyDescent="0.3">
      <c r="B49" s="37" t="s">
        <v>446</v>
      </c>
      <c r="E49" s="363">
        <f>Statements!I27</f>
        <v>6127436</v>
      </c>
      <c r="F49" s="363">
        <f>Statements!J27</f>
        <v>7054178</v>
      </c>
      <c r="H49" s="37" t="s">
        <v>446</v>
      </c>
      <c r="J49" s="363">
        <v>2544809</v>
      </c>
      <c r="K49" s="363">
        <v>2840000</v>
      </c>
    </row>
    <row r="50" spans="2:11" x14ac:dyDescent="0.3">
      <c r="B50" s="13" t="s">
        <v>447</v>
      </c>
      <c r="E50" s="352">
        <f>Statements!I32</f>
        <v>1245289</v>
      </c>
      <c r="F50" s="352">
        <f>Statements!J32</f>
        <v>1623549</v>
      </c>
      <c r="H50" s="13" t="s">
        <v>447</v>
      </c>
      <c r="J50" s="352">
        <v>279819</v>
      </c>
      <c r="K50" s="352">
        <f>J50*(1+0.08)</f>
        <v>302204.52</v>
      </c>
    </row>
    <row r="51" spans="2:11" x14ac:dyDescent="0.3">
      <c r="B51" s="37" t="s">
        <v>448</v>
      </c>
      <c r="E51" s="363">
        <f>E49-E50</f>
        <v>4882147</v>
      </c>
      <c r="F51" s="363">
        <f>F49-F50</f>
        <v>5430629</v>
      </c>
      <c r="H51" s="37" t="s">
        <v>448</v>
      </c>
      <c r="J51" s="363">
        <f>J49-J50</f>
        <v>2264990</v>
      </c>
      <c r="K51" s="363">
        <f>K49-K50</f>
        <v>2537795.48</v>
      </c>
    </row>
    <row r="52" spans="2:11" x14ac:dyDescent="0.3">
      <c r="E52" s="352"/>
      <c r="F52" s="352"/>
      <c r="J52" s="352"/>
      <c r="K52" s="352"/>
    </row>
    <row r="53" spans="2:11" x14ac:dyDescent="0.3">
      <c r="B53" s="37" t="s">
        <v>449</v>
      </c>
      <c r="E53" s="363">
        <f>Statements!I40</f>
        <v>3526436</v>
      </c>
      <c r="F53" s="363">
        <f>Statements!J40</f>
        <v>3884389.4260000004</v>
      </c>
      <c r="H53" s="37" t="s">
        <v>449</v>
      </c>
      <c r="J53" s="363">
        <v>1547102</v>
      </c>
      <c r="K53" s="363">
        <f>J53*(1+0.1)</f>
        <v>1701812.2000000002</v>
      </c>
    </row>
    <row r="54" spans="2:11" x14ac:dyDescent="0.3">
      <c r="E54" s="352"/>
      <c r="F54" s="352"/>
      <c r="J54" s="352"/>
      <c r="K54" s="352"/>
    </row>
    <row r="55" spans="2:11" x14ac:dyDescent="0.3">
      <c r="B55" s="13" t="s">
        <v>237</v>
      </c>
      <c r="E55" s="352">
        <f>Schedule!I28+Schedule!I49</f>
        <v>246565</v>
      </c>
      <c r="F55" s="352">
        <f>Schedule!J28+Schedule!J49</f>
        <v>180445.11918455022</v>
      </c>
      <c r="H55" s="13" t="s">
        <v>237</v>
      </c>
      <c r="J55" s="352">
        <v>30929</v>
      </c>
      <c r="K55" s="352">
        <f>J55*(1+0.05)</f>
        <v>32475.45</v>
      </c>
    </row>
    <row r="56" spans="2:11" x14ac:dyDescent="0.3">
      <c r="B56" s="13" t="s">
        <v>450</v>
      </c>
      <c r="E56" s="352">
        <f>Schedule!I39</f>
        <v>48500</v>
      </c>
      <c r="F56" s="352">
        <f>Schedule!J39</f>
        <v>46436</v>
      </c>
      <c r="H56" s="13" t="s">
        <v>450</v>
      </c>
      <c r="J56" s="352">
        <v>112308</v>
      </c>
      <c r="K56" s="352">
        <f>J56*(1+0.05)</f>
        <v>117923.40000000001</v>
      </c>
    </row>
    <row r="57" spans="2:11" x14ac:dyDescent="0.3">
      <c r="B57" s="13" t="s">
        <v>268</v>
      </c>
      <c r="E57" s="352">
        <f>Assumptions!I22</f>
        <v>692316</v>
      </c>
      <c r="F57" s="352">
        <f>Assumptions!J22</f>
        <v>632251.79920925957</v>
      </c>
      <c r="H57" s="13" t="s">
        <v>268</v>
      </c>
      <c r="J57" s="352">
        <v>270900</v>
      </c>
      <c r="K57" s="352">
        <f>J57*(1+0.05)</f>
        <v>284445</v>
      </c>
    </row>
    <row r="58" spans="2:11" x14ac:dyDescent="0.3">
      <c r="E58" s="352"/>
      <c r="F58" s="352"/>
      <c r="J58" s="352"/>
      <c r="K58" s="352"/>
    </row>
    <row r="59" spans="2:11" x14ac:dyDescent="0.3">
      <c r="B59" s="37" t="s">
        <v>451</v>
      </c>
      <c r="E59" s="363">
        <f>E51-E53-E55-E56-E57</f>
        <v>368330</v>
      </c>
      <c r="F59" s="363">
        <f>F51-F53-F55-F56-F57</f>
        <v>687106.65560618986</v>
      </c>
      <c r="H59" s="37" t="s">
        <v>451</v>
      </c>
      <c r="J59" s="363">
        <f t="shared" ref="J59:K59" si="0">J51-J53-J55-J56-J57</f>
        <v>303751</v>
      </c>
      <c r="K59" s="363">
        <f t="shared" si="0"/>
        <v>401139.42999999982</v>
      </c>
    </row>
    <row r="60" spans="2:11" x14ac:dyDescent="0.3">
      <c r="B60" s="13" t="s">
        <v>452</v>
      </c>
      <c r="E60" s="352">
        <f>Statements!I42+Statements!I43</f>
        <v>158147</v>
      </c>
      <c r="F60" s="352">
        <f>Statements!J42+Statements!J43</f>
        <v>37889.436849999991</v>
      </c>
      <c r="H60" s="13" t="s">
        <v>452</v>
      </c>
      <c r="J60" s="352">
        <f>51131-47849-3132</f>
        <v>150</v>
      </c>
      <c r="K60" s="352">
        <f>J60*(1+0.05)</f>
        <v>157.5</v>
      </c>
    </row>
    <row r="61" spans="2:11" x14ac:dyDescent="0.3">
      <c r="B61" s="37" t="s">
        <v>453</v>
      </c>
      <c r="E61" s="363">
        <f>E59+E60</f>
        <v>526477</v>
      </c>
      <c r="F61" s="363">
        <f>F59+F60</f>
        <v>724996.0924561898</v>
      </c>
      <c r="H61" s="37" t="s">
        <v>453</v>
      </c>
      <c r="J61" s="363">
        <f>J59+J60</f>
        <v>303901</v>
      </c>
      <c r="K61" s="363">
        <f>K59+K60</f>
        <v>401296.92999999982</v>
      </c>
    </row>
    <row r="62" spans="2:11" x14ac:dyDescent="0.3">
      <c r="B62" s="13" t="s">
        <v>454</v>
      </c>
      <c r="E62" s="352">
        <f>E61*$F$44</f>
        <v>94765.86</v>
      </c>
      <c r="F62" s="352">
        <f>F61*$F$44</f>
        <v>130499.29664211416</v>
      </c>
      <c r="H62" s="13" t="s">
        <v>454</v>
      </c>
      <c r="J62" s="352">
        <f>J61*$K$44</f>
        <v>63819.21</v>
      </c>
      <c r="K62" s="352">
        <f>K61*$K$44</f>
        <v>84272.355299999952</v>
      </c>
    </row>
    <row r="63" spans="2:11" x14ac:dyDescent="0.3">
      <c r="E63" s="352"/>
      <c r="F63" s="352"/>
      <c r="J63" s="352"/>
      <c r="K63" s="352"/>
    </row>
    <row r="64" spans="2:11" x14ac:dyDescent="0.3">
      <c r="B64" s="37" t="s">
        <v>455</v>
      </c>
      <c r="E64" s="363">
        <f>E61-E62</f>
        <v>431711.14</v>
      </c>
      <c r="F64" s="363">
        <f>F61-F62</f>
        <v>594496.79581407562</v>
      </c>
      <c r="H64" s="37" t="s">
        <v>455</v>
      </c>
      <c r="J64" s="363">
        <f>J61-J62</f>
        <v>240081.79</v>
      </c>
      <c r="K64" s="363">
        <f>K61-K62</f>
        <v>317024.57469999988</v>
      </c>
    </row>
    <row r="65" spans="1:11" x14ac:dyDescent="0.3">
      <c r="E65" s="352"/>
      <c r="F65" s="352"/>
      <c r="J65" s="352"/>
      <c r="K65" s="352"/>
    </row>
    <row r="66" spans="1:11" x14ac:dyDescent="0.3">
      <c r="B66" s="37" t="s">
        <v>456</v>
      </c>
      <c r="E66" s="415">
        <f>E64/E67</f>
        <v>2.6053780325890163</v>
      </c>
      <c r="F66" s="415">
        <f>F64/F67</f>
        <v>3.5877899566329248</v>
      </c>
      <c r="H66" s="37" t="s">
        <v>456</v>
      </c>
      <c r="J66" s="415">
        <f t="shared" ref="J66:K66" si="1">J64/J67</f>
        <v>2.7453606632361351</v>
      </c>
      <c r="K66" s="415">
        <f t="shared" si="1"/>
        <v>3.625209544882789</v>
      </c>
    </row>
    <row r="67" spans="1:11" x14ac:dyDescent="0.3">
      <c r="B67" s="13" t="s">
        <v>457</v>
      </c>
      <c r="E67" s="352">
        <f>F41</f>
        <v>165700</v>
      </c>
      <c r="F67" s="352">
        <f>F41</f>
        <v>165700</v>
      </c>
      <c r="H67" s="13" t="s">
        <v>457</v>
      </c>
      <c r="J67" s="352">
        <v>87450</v>
      </c>
      <c r="K67" s="352">
        <v>87450</v>
      </c>
    </row>
    <row r="69" spans="1:11" x14ac:dyDescent="0.3">
      <c r="A69" s="13" t="s">
        <v>33</v>
      </c>
      <c r="B69" s="389" t="s">
        <v>459</v>
      </c>
      <c r="C69" s="308"/>
      <c r="D69" s="308"/>
      <c r="E69" s="308"/>
      <c r="F69" s="308"/>
    </row>
    <row r="70" spans="1:11" x14ac:dyDescent="0.3">
      <c r="E70" s="362" t="s">
        <v>458</v>
      </c>
      <c r="F70" s="362" t="s">
        <v>478</v>
      </c>
    </row>
    <row r="71" spans="1:11" x14ac:dyDescent="0.3">
      <c r="B71" s="13" t="s">
        <v>446</v>
      </c>
      <c r="E71" s="363">
        <f>E49+J49</f>
        <v>8672245</v>
      </c>
      <c r="F71" s="363">
        <f>F49+K49</f>
        <v>9894178</v>
      </c>
    </row>
    <row r="72" spans="1:11" ht="14.4" x14ac:dyDescent="0.3">
      <c r="B72" s="424" t="s">
        <v>486</v>
      </c>
      <c r="C72" s="424"/>
      <c r="D72" s="424"/>
      <c r="E72" s="426">
        <f>J49*$F$18</f>
        <v>254480.90000000002</v>
      </c>
      <c r="F72" s="426">
        <f>K49*$F$18</f>
        <v>284000</v>
      </c>
    </row>
    <row r="73" spans="1:11" x14ac:dyDescent="0.3">
      <c r="B73" s="13" t="s">
        <v>447</v>
      </c>
      <c r="E73" s="352">
        <f>E50+J50</f>
        <v>1525108</v>
      </c>
      <c r="F73" s="352">
        <f>F50+K50</f>
        <v>1925753.52</v>
      </c>
    </row>
    <row r="74" spans="1:11" ht="14.4" x14ac:dyDescent="0.3">
      <c r="B74" s="424" t="s">
        <v>487</v>
      </c>
      <c r="C74" s="424"/>
      <c r="D74" s="424"/>
      <c r="E74" s="426">
        <f>J50*$F$20</f>
        <v>69954.75</v>
      </c>
      <c r="F74" s="426">
        <f>K50*$F$20</f>
        <v>75551.13</v>
      </c>
    </row>
    <row r="75" spans="1:11" x14ac:dyDescent="0.3">
      <c r="B75" s="37" t="s">
        <v>448</v>
      </c>
      <c r="E75" s="363">
        <f>E71+E72-E73-E74</f>
        <v>7331663.1500000004</v>
      </c>
      <c r="F75" s="363">
        <f>F71+F72-F73-F74</f>
        <v>8176873.3500000006</v>
      </c>
    </row>
    <row r="76" spans="1:11" x14ac:dyDescent="0.3">
      <c r="E76" s="352"/>
      <c r="F76" s="352"/>
    </row>
    <row r="77" spans="1:11" x14ac:dyDescent="0.3">
      <c r="B77" s="37" t="s">
        <v>449</v>
      </c>
      <c r="E77" s="363">
        <f>E53+J53</f>
        <v>5073538</v>
      </c>
      <c r="F77" s="363">
        <f>F53+K53</f>
        <v>5586201.6260000002</v>
      </c>
    </row>
    <row r="78" spans="1:11" x14ac:dyDescent="0.3">
      <c r="B78" s="424" t="s">
        <v>488</v>
      </c>
      <c r="C78" s="424"/>
      <c r="D78" s="424"/>
      <c r="E78" s="425">
        <f>J53*$F$19</f>
        <v>773551</v>
      </c>
      <c r="F78" s="425">
        <f>K53*$F$19</f>
        <v>850906.10000000009</v>
      </c>
    </row>
    <row r="79" spans="1:11" x14ac:dyDescent="0.3">
      <c r="E79" s="352"/>
      <c r="F79" s="352"/>
    </row>
    <row r="80" spans="1:11" x14ac:dyDescent="0.3">
      <c r="B80" s="13" t="s">
        <v>237</v>
      </c>
      <c r="E80" s="352">
        <f>E55+J55</f>
        <v>277494</v>
      </c>
      <c r="F80" s="352">
        <f>F55+K55</f>
        <v>212920.56918455023</v>
      </c>
    </row>
    <row r="81" spans="2:6" ht="14.4" x14ac:dyDescent="0.3">
      <c r="B81" s="424" t="s">
        <v>496</v>
      </c>
      <c r="C81" s="424"/>
      <c r="D81" s="424"/>
      <c r="E81" s="426">
        <f>$K$26/$K$27</f>
        <v>11.205750000000002</v>
      </c>
      <c r="F81" s="426">
        <f>$K$26/$K$27</f>
        <v>11.205750000000002</v>
      </c>
    </row>
    <row r="82" spans="2:6" x14ac:dyDescent="0.3">
      <c r="B82" s="13" t="s">
        <v>450</v>
      </c>
      <c r="E82" s="352">
        <f>E56+J56</f>
        <v>160808</v>
      </c>
      <c r="F82" s="352">
        <f>F56+K56</f>
        <v>164359.40000000002</v>
      </c>
    </row>
    <row r="83" spans="2:6" ht="14.4" x14ac:dyDescent="0.3">
      <c r="B83" s="424" t="s">
        <v>495</v>
      </c>
      <c r="C83" s="424"/>
      <c r="D83" s="424"/>
      <c r="E83" s="426">
        <f>$K$32/$K$33</f>
        <v>476.67520000000025</v>
      </c>
      <c r="F83" s="426">
        <f>$K$32/$K$33</f>
        <v>476.67520000000025</v>
      </c>
    </row>
    <row r="84" spans="2:6" x14ac:dyDescent="0.3">
      <c r="B84" s="13" t="s">
        <v>268</v>
      </c>
      <c r="E84" s="352">
        <f>E57+J57</f>
        <v>963216</v>
      </c>
      <c r="F84" s="352">
        <f>F57+K57</f>
        <v>916696.79920925957</v>
      </c>
    </row>
    <row r="85" spans="2:6" x14ac:dyDescent="0.3">
      <c r="E85" s="352"/>
      <c r="F85" s="352"/>
    </row>
    <row r="86" spans="2:6" x14ac:dyDescent="0.3">
      <c r="B86" s="37" t="s">
        <v>451</v>
      </c>
      <c r="E86" s="363">
        <f>E75-E77-E78-E80-E82-E84-E81-E83</f>
        <v>82568.269050000381</v>
      </c>
      <c r="F86" s="363">
        <f>F75-F77-F78-F80-F82-F84-F81-F83</f>
        <v>445300.97465619026</v>
      </c>
    </row>
    <row r="87" spans="2:6" x14ac:dyDescent="0.3">
      <c r="B87" s="13" t="s">
        <v>452</v>
      </c>
      <c r="E87" s="352">
        <f>E60+J60</f>
        <v>158297</v>
      </c>
      <c r="F87" s="352">
        <f>F60+K60</f>
        <v>38046.936849999991</v>
      </c>
    </row>
    <row r="88" spans="2:6" ht="14.4" x14ac:dyDescent="0.3">
      <c r="B88" s="424" t="s">
        <v>479</v>
      </c>
      <c r="C88" s="424"/>
      <c r="D88" s="424"/>
      <c r="E88" s="427">
        <f>-$K$13*$F$16</f>
        <v>-520.6</v>
      </c>
      <c r="F88" s="427">
        <f>-$K$13*$F$16</f>
        <v>-520.6</v>
      </c>
    </row>
    <row r="89" spans="2:6" ht="14.4" x14ac:dyDescent="0.3">
      <c r="B89" s="424" t="s">
        <v>480</v>
      </c>
      <c r="C89" s="424"/>
      <c r="D89" s="424"/>
      <c r="E89" s="427">
        <f>-(($L$17*($K$19+0.875%))+($L$18*($K$19+1%)))</f>
        <v>-226.08749999999998</v>
      </c>
      <c r="F89" s="427">
        <f>-(($L$17*($K$19+0.875%))+($L$18*($K$19+1%)))</f>
        <v>-226.08749999999998</v>
      </c>
    </row>
    <row r="90" spans="2:6" x14ac:dyDescent="0.3">
      <c r="B90" s="37" t="s">
        <v>453</v>
      </c>
      <c r="E90" s="363">
        <f>E86+E87+E88+E89</f>
        <v>240118.58155000038</v>
      </c>
      <c r="F90" s="363">
        <f>F86+F87+F88+F89</f>
        <v>482601.22400619026</v>
      </c>
    </row>
    <row r="91" spans="2:6" x14ac:dyDescent="0.3">
      <c r="B91" s="13" t="s">
        <v>454</v>
      </c>
      <c r="E91" s="352">
        <f>E90*$F$44</f>
        <v>43221.344679000067</v>
      </c>
      <c r="F91" s="352">
        <f>F90*$F$44</f>
        <v>86868.220321114248</v>
      </c>
    </row>
    <row r="92" spans="2:6" x14ac:dyDescent="0.3">
      <c r="E92" s="352"/>
      <c r="F92" s="352"/>
    </row>
    <row r="93" spans="2:6" x14ac:dyDescent="0.3">
      <c r="B93" s="37" t="s">
        <v>455</v>
      </c>
      <c r="E93" s="363">
        <f>E90-E91</f>
        <v>196897.23687100032</v>
      </c>
      <c r="F93" s="363">
        <f t="shared" ref="F93" si="2">F90-F91</f>
        <v>395733.00368507602</v>
      </c>
    </row>
    <row r="94" spans="2:6" x14ac:dyDescent="0.3">
      <c r="E94" s="352"/>
      <c r="F94" s="352"/>
    </row>
    <row r="95" spans="2:6" x14ac:dyDescent="0.3">
      <c r="B95" s="37" t="s">
        <v>456</v>
      </c>
      <c r="E95" s="415">
        <f t="shared" ref="E95:F95" si="3">E93/E96</f>
        <v>1.1672290169822417</v>
      </c>
      <c r="F95" s="415">
        <f t="shared" si="3"/>
        <v>2.3459498580032787</v>
      </c>
    </row>
    <row r="96" spans="2:6" x14ac:dyDescent="0.3">
      <c r="B96" s="13" t="s">
        <v>457</v>
      </c>
      <c r="E96" s="352">
        <f>E67+$K$15</f>
        <v>168687.75022408128</v>
      </c>
      <c r="F96" s="352">
        <f>F67+$K$15</f>
        <v>168687.75022408128</v>
      </c>
    </row>
    <row r="98" spans="2:10" x14ac:dyDescent="0.3">
      <c r="B98" s="37" t="s">
        <v>484</v>
      </c>
      <c r="E98" s="415">
        <f>E95-E66</f>
        <v>-1.4381490156067747</v>
      </c>
      <c r="F98" s="415">
        <f>F95-F66</f>
        <v>-1.2418400986296461</v>
      </c>
    </row>
    <row r="99" spans="2:10" x14ac:dyDescent="0.3">
      <c r="B99" s="37" t="s">
        <v>485</v>
      </c>
      <c r="E99" s="394">
        <f>E98/E66</f>
        <v>-0.5519924546909829</v>
      </c>
      <c r="F99" s="394">
        <f>F98/F66</f>
        <v>-0.34612954315616912</v>
      </c>
    </row>
    <row r="102" spans="2:10" ht="13.8" customHeight="1" x14ac:dyDescent="0.3">
      <c r="B102" s="310" t="s">
        <v>497</v>
      </c>
      <c r="C102" s="310"/>
      <c r="D102" s="310"/>
      <c r="E102" s="310"/>
      <c r="F102" s="310"/>
      <c r="G102" s="310"/>
      <c r="H102" s="310"/>
      <c r="I102" s="310"/>
      <c r="J102" s="311"/>
    </row>
    <row r="103" spans="2:10" x14ac:dyDescent="0.3">
      <c r="B103" s="364"/>
      <c r="C103" s="365"/>
      <c r="D103" s="366"/>
      <c r="E103" s="517" t="s">
        <v>499</v>
      </c>
      <c r="F103" s="517"/>
      <c r="G103" s="517"/>
      <c r="H103" s="517"/>
      <c r="I103" s="517"/>
      <c r="J103" s="367"/>
    </row>
    <row r="104" spans="2:10" x14ac:dyDescent="0.3">
      <c r="B104" s="364"/>
      <c r="C104" s="445">
        <f>E98</f>
        <v>-1.4381490156067747</v>
      </c>
      <c r="D104" s="370">
        <v>0.45</v>
      </c>
      <c r="E104" s="370">
        <f>D104+2%</f>
        <v>0.47000000000000003</v>
      </c>
      <c r="F104" s="370">
        <f t="shared" ref="F104:J104" si="4">E104+2%</f>
        <v>0.49000000000000005</v>
      </c>
      <c r="G104" s="370">
        <f t="shared" si="4"/>
        <v>0.51</v>
      </c>
      <c r="H104" s="370">
        <f t="shared" si="4"/>
        <v>0.53</v>
      </c>
      <c r="I104" s="370">
        <f t="shared" si="4"/>
        <v>0.55000000000000004</v>
      </c>
      <c r="J104" s="370">
        <f t="shared" si="4"/>
        <v>0.57000000000000006</v>
      </c>
    </row>
    <row r="105" spans="2:10" x14ac:dyDescent="0.3">
      <c r="B105" s="501" t="s">
        <v>498</v>
      </c>
      <c r="C105" s="429">
        <f t="shared" ref="C105:C108" si="5">C106+5</f>
        <v>405</v>
      </c>
      <c r="D105" s="430">
        <f t="dataTable" ref="D105:J110" dt2D="1" dtr="1" r1="F19" r2="F12" ca="1"/>
        <v>-1.062121817925026</v>
      </c>
      <c r="E105" s="431">
        <v>-1.2125326969977255</v>
      </c>
      <c r="F105" s="431">
        <v>-1.3629435760704249</v>
      </c>
      <c r="G105" s="432">
        <v>-1.5133544551431244</v>
      </c>
      <c r="H105" s="431">
        <v>-1.6637653342158238</v>
      </c>
      <c r="I105" s="431">
        <v>-1.8141762132885235</v>
      </c>
      <c r="J105" s="433">
        <v>-1.964587092361223</v>
      </c>
    </row>
    <row r="106" spans="2:10" x14ac:dyDescent="0.3">
      <c r="B106" s="502"/>
      <c r="C106" s="429">
        <f t="shared" si="5"/>
        <v>400</v>
      </c>
      <c r="D106" s="434">
        <v>-1.062121817925026</v>
      </c>
      <c r="E106" s="435">
        <v>-1.2125326969977255</v>
      </c>
      <c r="F106" s="435">
        <v>-1.3629435760704249</v>
      </c>
      <c r="G106" s="436">
        <v>-1.5133544551431244</v>
      </c>
      <c r="H106" s="435">
        <v>-1.6637653342158238</v>
      </c>
      <c r="I106" s="435">
        <v>-1.8141762132885235</v>
      </c>
      <c r="J106" s="437">
        <v>-1.964587092361223</v>
      </c>
    </row>
    <row r="107" spans="2:10" x14ac:dyDescent="0.3">
      <c r="B107" s="502"/>
      <c r="C107" s="444">
        <f t="shared" si="5"/>
        <v>395</v>
      </c>
      <c r="D107" s="438">
        <v>-1.062121817925026</v>
      </c>
      <c r="E107" s="436">
        <v>-1.2125326969977255</v>
      </c>
      <c r="F107" s="436">
        <v>-1.3629435760704249</v>
      </c>
      <c r="G107" s="436">
        <v>-1.5133544551431244</v>
      </c>
      <c r="H107" s="436">
        <v>-1.6637653342158238</v>
      </c>
      <c r="I107" s="436">
        <v>-1.8141762132885235</v>
      </c>
      <c r="J107" s="439">
        <v>-1.964587092361223</v>
      </c>
    </row>
    <row r="108" spans="2:10" x14ac:dyDescent="0.3">
      <c r="B108" s="502"/>
      <c r="C108" s="429">
        <f t="shared" si="5"/>
        <v>390</v>
      </c>
      <c r="D108" s="434">
        <v>-1.062121817925026</v>
      </c>
      <c r="E108" s="435">
        <v>-1.2125326969977255</v>
      </c>
      <c r="F108" s="435">
        <v>-1.3629435760704249</v>
      </c>
      <c r="G108" s="436">
        <v>-1.5133544551431244</v>
      </c>
      <c r="H108" s="435">
        <v>-1.6637653342158238</v>
      </c>
      <c r="I108" s="435">
        <v>-1.8141762132885235</v>
      </c>
      <c r="J108" s="437">
        <v>-1.964587092361223</v>
      </c>
    </row>
    <row r="109" spans="2:10" x14ac:dyDescent="0.3">
      <c r="B109" s="502"/>
      <c r="C109" s="429">
        <f>C110+5</f>
        <v>385</v>
      </c>
      <c r="D109" s="434">
        <v>-1.062121817925026</v>
      </c>
      <c r="E109" s="435">
        <v>-1.2125326969977255</v>
      </c>
      <c r="F109" s="435">
        <v>-1.3629435760704249</v>
      </c>
      <c r="G109" s="436">
        <v>-1.5133544551431244</v>
      </c>
      <c r="H109" s="435">
        <v>-1.6637653342158238</v>
      </c>
      <c r="I109" s="435">
        <v>-1.8141762132885235</v>
      </c>
      <c r="J109" s="437">
        <v>-1.964587092361223</v>
      </c>
    </row>
    <row r="110" spans="2:10" x14ac:dyDescent="0.3">
      <c r="B110" s="503"/>
      <c r="C110" s="428">
        <v>380</v>
      </c>
      <c r="D110" s="440">
        <v>-1.062121817925026</v>
      </c>
      <c r="E110" s="441">
        <v>-1.2125326969977255</v>
      </c>
      <c r="F110" s="441">
        <v>-1.3629435760704249</v>
      </c>
      <c r="G110" s="442">
        <v>-1.5133544551431244</v>
      </c>
      <c r="H110" s="441">
        <v>-1.6637653342158238</v>
      </c>
      <c r="I110" s="441">
        <v>-1.8141762132885235</v>
      </c>
      <c r="J110" s="443">
        <v>-1.964587092361223</v>
      </c>
    </row>
    <row r="113" spans="2:10" ht="14.4" x14ac:dyDescent="0.3">
      <c r="B113" s="310" t="s">
        <v>501</v>
      </c>
      <c r="C113" s="310"/>
      <c r="D113" s="310"/>
      <c r="E113" s="310"/>
      <c r="F113" s="310"/>
      <c r="G113" s="310"/>
      <c r="H113" s="310"/>
      <c r="I113" s="310"/>
      <c r="J113" s="311"/>
    </row>
    <row r="114" spans="2:10" x14ac:dyDescent="0.3">
      <c r="B114" s="364"/>
      <c r="C114" s="365"/>
      <c r="D114" s="366"/>
      <c r="E114" s="517" t="s">
        <v>500</v>
      </c>
      <c r="F114" s="517"/>
      <c r="G114" s="517"/>
      <c r="H114" s="517"/>
      <c r="I114" s="517"/>
      <c r="J114" s="367"/>
    </row>
    <row r="115" spans="2:10" x14ac:dyDescent="0.3">
      <c r="B115" s="364"/>
      <c r="C115" s="373">
        <f>E98</f>
        <v>-1.4381490156067747</v>
      </c>
      <c r="D115" s="370">
        <v>7.0000000000000007E-2</v>
      </c>
      <c r="E115" s="370">
        <v>0.08</v>
      </c>
      <c r="F115" s="370">
        <v>0.09</v>
      </c>
      <c r="G115" s="371">
        <v>0.1</v>
      </c>
      <c r="H115" s="370">
        <v>0.11</v>
      </c>
      <c r="I115" s="370">
        <v>0.12</v>
      </c>
      <c r="J115" s="372">
        <v>0.13</v>
      </c>
    </row>
    <row r="116" spans="2:10" ht="13.8" customHeight="1" x14ac:dyDescent="0.3">
      <c r="B116" s="501" t="s">
        <v>498</v>
      </c>
      <c r="C116" s="429">
        <f t="shared" ref="C116:C119" si="6">C117+5</f>
        <v>405</v>
      </c>
      <c r="D116" s="313">
        <f t="dataTable" ref="D116:J121" dt2D="1" dtr="1" r1="F18" r2="F12"/>
        <v>-1.8092625156495463</v>
      </c>
      <c r="E116" s="314">
        <v>-1.685558015635289</v>
      </c>
      <c r="F116" s="314">
        <v>-1.5618535156210318</v>
      </c>
      <c r="G116" s="315">
        <v>-1.4381490156067747</v>
      </c>
      <c r="H116" s="314">
        <v>-1.3144445155925175</v>
      </c>
      <c r="I116" s="314">
        <v>-1.1907400155782604</v>
      </c>
      <c r="J116" s="316">
        <v>-1.0670355155640032</v>
      </c>
    </row>
    <row r="117" spans="2:10" x14ac:dyDescent="0.3">
      <c r="B117" s="502"/>
      <c r="C117" s="429">
        <f t="shared" si="6"/>
        <v>400</v>
      </c>
      <c r="D117" s="317">
        <v>-1.8092625156495463</v>
      </c>
      <c r="E117" s="325">
        <v>-1.685558015635289</v>
      </c>
      <c r="F117" s="325">
        <v>-1.5618535156210318</v>
      </c>
      <c r="G117" s="326">
        <v>-1.4381490156067747</v>
      </c>
      <c r="H117" s="325">
        <v>-1.3144445155925175</v>
      </c>
      <c r="I117" s="325">
        <v>-1.1907400155782604</v>
      </c>
      <c r="J117" s="318">
        <v>-1.0670355155640032</v>
      </c>
    </row>
    <row r="118" spans="2:10" x14ac:dyDescent="0.3">
      <c r="B118" s="502"/>
      <c r="C118" s="444">
        <f t="shared" si="6"/>
        <v>395</v>
      </c>
      <c r="D118" s="319">
        <v>-1.8092625156495463</v>
      </c>
      <c r="E118" s="326">
        <v>-1.685558015635289</v>
      </c>
      <c r="F118" s="326">
        <v>-1.5618535156210318</v>
      </c>
      <c r="G118" s="326">
        <v>-1.4381490156067747</v>
      </c>
      <c r="H118" s="326">
        <v>-1.3144445155925175</v>
      </c>
      <c r="I118" s="326">
        <v>-1.1907400155782604</v>
      </c>
      <c r="J118" s="320">
        <v>-1.0670355155640032</v>
      </c>
    </row>
    <row r="119" spans="2:10" x14ac:dyDescent="0.3">
      <c r="B119" s="502"/>
      <c r="C119" s="429">
        <f t="shared" si="6"/>
        <v>390</v>
      </c>
      <c r="D119" s="317">
        <v>-1.8092625156495463</v>
      </c>
      <c r="E119" s="325">
        <v>-1.685558015635289</v>
      </c>
      <c r="F119" s="325">
        <v>-1.5618535156210318</v>
      </c>
      <c r="G119" s="326">
        <v>-1.4381490156067747</v>
      </c>
      <c r="H119" s="325">
        <v>-1.3144445155925175</v>
      </c>
      <c r="I119" s="325">
        <v>-1.1907400155782604</v>
      </c>
      <c r="J119" s="318">
        <v>-1.0670355155640032</v>
      </c>
    </row>
    <row r="120" spans="2:10" x14ac:dyDescent="0.3">
      <c r="B120" s="502"/>
      <c r="C120" s="429">
        <f>C121+5</f>
        <v>385</v>
      </c>
      <c r="D120" s="317">
        <v>-1.8092625156495463</v>
      </c>
      <c r="E120" s="325">
        <v>-1.685558015635289</v>
      </c>
      <c r="F120" s="325">
        <v>-1.5618535156210318</v>
      </c>
      <c r="G120" s="326">
        <v>-1.4381490156067747</v>
      </c>
      <c r="H120" s="325">
        <v>-1.3144445155925175</v>
      </c>
      <c r="I120" s="325">
        <v>-1.1907400155782604</v>
      </c>
      <c r="J120" s="318">
        <v>-1.0670355155640032</v>
      </c>
    </row>
    <row r="121" spans="2:10" x14ac:dyDescent="0.3">
      <c r="B121" s="503"/>
      <c r="C121" s="428">
        <f>C110</f>
        <v>380</v>
      </c>
      <c r="D121" s="321">
        <v>-1.8092625156495463</v>
      </c>
      <c r="E121" s="322">
        <v>-1.685558015635289</v>
      </c>
      <c r="F121" s="322">
        <v>-1.5618535156210318</v>
      </c>
      <c r="G121" s="323">
        <v>-1.4381490156067747</v>
      </c>
      <c r="H121" s="322">
        <v>-1.3144445155925175</v>
      </c>
      <c r="I121" s="322">
        <v>-1.1907400155782604</v>
      </c>
      <c r="J121" s="324">
        <v>-1.0670355155640032</v>
      </c>
    </row>
  </sheetData>
  <mergeCells count="4">
    <mergeCell ref="B105:B110"/>
    <mergeCell ref="B116:B121"/>
    <mergeCell ref="E103:I103"/>
    <mergeCell ref="E114:I114"/>
  </mergeCells>
  <hyperlinks>
    <hyperlink ref="B6" location="Dashboard!A1" display="&lt;-Back to dashboard" xr:uid="{96A60CD4-7726-40B6-B7F4-013A8F019FE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E6BD-1572-4023-977C-239D9B584B92}">
  <dimension ref="B1:P82"/>
  <sheetViews>
    <sheetView showGridLines="0" topLeftCell="A52" zoomScale="85" zoomScaleNormal="85" workbookViewId="0">
      <selection activeCell="Q20" sqref="Q20"/>
    </sheetView>
  </sheetViews>
  <sheetFormatPr defaultRowHeight="13.8" x14ac:dyDescent="0.3"/>
  <cols>
    <col min="1" max="1" width="1.88671875" style="13" customWidth="1"/>
    <col min="2" max="4" width="8.88671875" style="13"/>
    <col min="5" max="5" width="10.33203125" style="13" customWidth="1"/>
    <col min="6" max="6" width="12.21875" style="13" customWidth="1"/>
    <col min="7" max="7" width="12.109375" style="13" customWidth="1"/>
    <col min="8" max="10" width="11.109375" style="13" customWidth="1"/>
    <col min="11" max="11" width="11.6640625" style="13" customWidth="1"/>
    <col min="12" max="12" width="12.109375" style="13" customWidth="1"/>
    <col min="13" max="14" width="12.44140625" style="13" customWidth="1"/>
    <col min="15" max="15" width="13.109375" style="13" customWidth="1"/>
    <col min="16" max="16" width="12.44140625" style="13" customWidth="1"/>
    <col min="17" max="16384" width="8.88671875" style="13"/>
  </cols>
  <sheetData>
    <row r="1" spans="2:16" s="18" customFormat="1" ht="14.4" x14ac:dyDescent="0.3"/>
    <row r="2" spans="2:16" s="18" customFormat="1" ht="15.6" x14ac:dyDescent="0.3">
      <c r="B2" s="20" t="str">
        <f>Dashboard!B2</f>
        <v>Synopsys, INC.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2:16" s="18" customFormat="1" ht="14.4" x14ac:dyDescent="0.3">
      <c r="B3" s="64" t="s">
        <v>489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2:16" s="18" customFormat="1" ht="14.4" x14ac:dyDescent="0.3">
      <c r="B4" s="72" t="str">
        <f>Dashboard!B4</f>
        <v>($ in Millions, Except Per Share Amounts in Dollars and Share Counts in Thousands)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6" spans="2:16" x14ac:dyDescent="0.3">
      <c r="B6" s="73" t="s">
        <v>47</v>
      </c>
    </row>
    <row r="8" spans="2:16" ht="14.4" x14ac:dyDescent="0.3">
      <c r="B8" s="350" t="s">
        <v>395</v>
      </c>
    </row>
    <row r="10" spans="2:16" x14ac:dyDescent="0.3">
      <c r="B10" s="274" t="s">
        <v>380</v>
      </c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</row>
    <row r="12" spans="2:16" x14ac:dyDescent="0.3">
      <c r="B12" s="37" t="s">
        <v>381</v>
      </c>
      <c r="E12" s="13" t="s">
        <v>394</v>
      </c>
      <c r="J12" s="286"/>
      <c r="M12" s="37" t="s">
        <v>401</v>
      </c>
    </row>
    <row r="13" spans="2:16" x14ac:dyDescent="0.3">
      <c r="B13" s="37" t="s">
        <v>382</v>
      </c>
      <c r="E13" s="285">
        <v>344.5</v>
      </c>
    </row>
    <row r="14" spans="2:16" x14ac:dyDescent="0.3">
      <c r="B14" s="37" t="s">
        <v>383</v>
      </c>
      <c r="E14" s="285">
        <f>Merger_Model!F12</f>
        <v>393.3</v>
      </c>
      <c r="H14" s="37" t="s">
        <v>396</v>
      </c>
      <c r="I14" s="351">
        <v>0.21</v>
      </c>
      <c r="M14" s="360" t="s">
        <v>402</v>
      </c>
      <c r="N14" s="360" t="s">
        <v>403</v>
      </c>
      <c r="O14" s="360" t="s">
        <v>404</v>
      </c>
      <c r="P14" s="360" t="s">
        <v>405</v>
      </c>
    </row>
    <row r="15" spans="2:16" x14ac:dyDescent="0.3">
      <c r="E15" s="351"/>
      <c r="M15" s="359" t="s">
        <v>406</v>
      </c>
      <c r="N15" s="356">
        <v>100</v>
      </c>
      <c r="O15" s="357">
        <v>94.6</v>
      </c>
      <c r="P15" s="358">
        <f>IF(O15&gt;Seller_share_price,0,N15-N15*O15/Seller_share_price)</f>
        <v>72.539912917271408</v>
      </c>
    </row>
    <row r="16" spans="2:16" x14ac:dyDescent="0.3">
      <c r="B16" s="518" t="s">
        <v>100</v>
      </c>
      <c r="C16" s="518"/>
      <c r="D16" s="518"/>
      <c r="E16" s="518"/>
      <c r="F16" s="518"/>
      <c r="H16" s="518" t="s">
        <v>397</v>
      </c>
      <c r="I16" s="518"/>
      <c r="J16" s="518"/>
      <c r="K16" s="518"/>
    </row>
    <row r="17" spans="2:16" x14ac:dyDescent="0.3">
      <c r="B17" s="37" t="s">
        <v>384</v>
      </c>
      <c r="F17" s="352">
        <v>87450</v>
      </c>
      <c r="H17" s="37" t="s">
        <v>398</v>
      </c>
      <c r="K17" s="352">
        <f>F17</f>
        <v>87450</v>
      </c>
      <c r="M17" s="37" t="s">
        <v>407</v>
      </c>
    </row>
    <row r="18" spans="2:16" x14ac:dyDescent="0.3">
      <c r="B18" s="37" t="s">
        <v>385</v>
      </c>
      <c r="F18" s="286">
        <f>F17/units*Seller_share_price</f>
        <v>301265.25</v>
      </c>
      <c r="H18" s="37" t="s">
        <v>385</v>
      </c>
      <c r="K18" s="286">
        <f>K17/units*E14</f>
        <v>343940.85000000003</v>
      </c>
    </row>
    <row r="19" spans="2:16" x14ac:dyDescent="0.3">
      <c r="B19" s="37" t="s">
        <v>386</v>
      </c>
      <c r="F19" s="352">
        <f>F17+P15</f>
        <v>87522.539912917273</v>
      </c>
      <c r="H19" s="37" t="s">
        <v>386</v>
      </c>
      <c r="K19" s="352">
        <f>K17+P20</f>
        <v>87525.94711416222</v>
      </c>
      <c r="M19" s="360" t="s">
        <v>402</v>
      </c>
      <c r="N19" s="360" t="s">
        <v>403</v>
      </c>
      <c r="O19" s="360" t="s">
        <v>404</v>
      </c>
      <c r="P19" s="360" t="s">
        <v>405</v>
      </c>
    </row>
    <row r="20" spans="2:16" x14ac:dyDescent="0.3">
      <c r="B20" s="37" t="s">
        <v>387</v>
      </c>
      <c r="F20" s="286">
        <f>F19/units*Seller_share_price</f>
        <v>301515.15000000002</v>
      </c>
      <c r="H20" s="37" t="s">
        <v>387</v>
      </c>
      <c r="K20" s="286">
        <f>K19/units*E14</f>
        <v>344239.55</v>
      </c>
      <c r="M20" s="359" t="s">
        <v>406</v>
      </c>
      <c r="N20" s="356">
        <v>100</v>
      </c>
      <c r="O20" s="357">
        <v>94.6</v>
      </c>
      <c r="P20" s="358">
        <f>IF(O15&gt;O20,0,N20-N20*O20/E14)</f>
        <v>75.947114162217133</v>
      </c>
    </row>
    <row r="21" spans="2:16" x14ac:dyDescent="0.3">
      <c r="B21" s="13" t="s">
        <v>388</v>
      </c>
      <c r="F21" s="352">
        <v>86020.1</v>
      </c>
      <c r="H21" s="13" t="s">
        <v>388</v>
      </c>
      <c r="K21" s="352">
        <v>86020.1</v>
      </c>
    </row>
    <row r="22" spans="2:16" x14ac:dyDescent="0.3">
      <c r="B22" s="13" t="s">
        <v>389</v>
      </c>
      <c r="F22" s="352">
        <v>75389.100000000006</v>
      </c>
      <c r="H22" s="13" t="s">
        <v>389</v>
      </c>
      <c r="K22" s="352">
        <v>75389.100000000006</v>
      </c>
    </row>
    <row r="23" spans="2:16" x14ac:dyDescent="0.3">
      <c r="B23" s="13" t="s">
        <v>390</v>
      </c>
      <c r="F23" s="352">
        <v>0</v>
      </c>
      <c r="H23" s="13" t="s">
        <v>399</v>
      </c>
      <c r="K23" s="352">
        <v>0</v>
      </c>
    </row>
    <row r="24" spans="2:16" x14ac:dyDescent="0.3">
      <c r="B24" s="13" t="s">
        <v>391</v>
      </c>
      <c r="F24" s="352">
        <v>0</v>
      </c>
      <c r="H24" s="13" t="s">
        <v>391</v>
      </c>
      <c r="K24" s="352">
        <v>0</v>
      </c>
    </row>
    <row r="25" spans="2:16" x14ac:dyDescent="0.3">
      <c r="B25" s="13" t="s">
        <v>392</v>
      </c>
      <c r="F25" s="352">
        <v>11352</v>
      </c>
      <c r="H25" s="13" t="s">
        <v>400</v>
      </c>
      <c r="K25" s="352">
        <v>11352</v>
      </c>
    </row>
    <row r="26" spans="2:16" x14ac:dyDescent="0.3">
      <c r="B26" s="353" t="s">
        <v>393</v>
      </c>
      <c r="C26" s="354"/>
      <c r="D26" s="354"/>
      <c r="E26" s="354"/>
      <c r="F26" s="355">
        <f>F20-F21+F22+F23+F24+F25</f>
        <v>302236.15000000002</v>
      </c>
      <c r="H26" s="353" t="s">
        <v>393</v>
      </c>
      <c r="I26" s="354"/>
      <c r="J26" s="354"/>
      <c r="K26" s="355">
        <f>K20-K21+K22+K23+K24+K25</f>
        <v>344960.55</v>
      </c>
    </row>
    <row r="29" spans="2:16" x14ac:dyDescent="0.3">
      <c r="B29" s="274" t="s">
        <v>408</v>
      </c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</row>
    <row r="30" spans="2:16" x14ac:dyDescent="0.3">
      <c r="B30" s="65" t="s">
        <v>423</v>
      </c>
    </row>
    <row r="31" spans="2:16" x14ac:dyDescent="0.3">
      <c r="G31" s="391" t="s">
        <v>415</v>
      </c>
      <c r="H31" s="391"/>
      <c r="I31" s="391" t="s">
        <v>416</v>
      </c>
      <c r="J31" s="391"/>
      <c r="K31" s="391" t="s">
        <v>417</v>
      </c>
      <c r="L31" s="391"/>
      <c r="M31" s="391" t="s">
        <v>475</v>
      </c>
      <c r="N31" s="392"/>
    </row>
    <row r="32" spans="2:16" x14ac:dyDescent="0.3">
      <c r="B32" s="37" t="s">
        <v>175</v>
      </c>
    </row>
    <row r="33" spans="2:14" x14ac:dyDescent="0.3">
      <c r="B33" s="37" t="s">
        <v>409</v>
      </c>
    </row>
    <row r="34" spans="2:14" ht="14.4" x14ac:dyDescent="0.3">
      <c r="B34" s="13" t="s">
        <v>410</v>
      </c>
      <c r="G34" s="385">
        <v>40504.01</v>
      </c>
      <c r="I34" s="387">
        <v>14975.17</v>
      </c>
      <c r="K34" s="417">
        <f>-Merger_Model!K13</f>
        <v>-13700</v>
      </c>
      <c r="M34" s="122">
        <f>G34+I34+K34</f>
        <v>41779.18</v>
      </c>
    </row>
    <row r="35" spans="2:14" x14ac:dyDescent="0.3">
      <c r="B35" s="13" t="s">
        <v>179</v>
      </c>
      <c r="G35" s="385">
        <v>9344.7000000000007</v>
      </c>
      <c r="I35" s="387">
        <v>10228.5</v>
      </c>
      <c r="K35" s="387">
        <v>0</v>
      </c>
      <c r="M35" s="122">
        <f t="shared" ref="M35:M37" si="0">G35+I35+K35</f>
        <v>19573.2</v>
      </c>
    </row>
    <row r="36" spans="2:14" x14ac:dyDescent="0.3">
      <c r="B36" s="13" t="s">
        <v>180</v>
      </c>
      <c r="G36" s="385">
        <v>3618.49</v>
      </c>
      <c r="I36" s="387">
        <v>0</v>
      </c>
      <c r="K36" s="387">
        <v>0</v>
      </c>
      <c r="M36" s="122">
        <f t="shared" si="0"/>
        <v>3618.49</v>
      </c>
    </row>
    <row r="37" spans="2:14" x14ac:dyDescent="0.3">
      <c r="B37" s="13" t="s">
        <v>411</v>
      </c>
      <c r="G37" s="385">
        <v>11229.46</v>
      </c>
      <c r="I37" s="387">
        <v>3111.26</v>
      </c>
      <c r="K37" s="387">
        <v>0</v>
      </c>
      <c r="M37" s="122">
        <f t="shared" si="0"/>
        <v>14340.72</v>
      </c>
    </row>
    <row r="38" spans="2:14" ht="14.4" x14ac:dyDescent="0.3">
      <c r="B38" s="37" t="s">
        <v>182</v>
      </c>
      <c r="G38" s="123">
        <v>64696.66</v>
      </c>
      <c r="H38" s="354"/>
      <c r="I38" s="123">
        <v>28314.93</v>
      </c>
      <c r="J38" s="354"/>
      <c r="K38" s="419">
        <f>SUM(K34:K37)</f>
        <v>-13700</v>
      </c>
      <c r="L38" s="354"/>
      <c r="M38" s="123">
        <f>SUM(M34:M37)</f>
        <v>79311.59</v>
      </c>
      <c r="N38" s="414"/>
    </row>
    <row r="39" spans="2:14" x14ac:dyDescent="0.3">
      <c r="G39" s="122"/>
      <c r="I39" s="122"/>
      <c r="K39" s="122"/>
    </row>
    <row r="40" spans="2:14" x14ac:dyDescent="0.3">
      <c r="B40" s="13" t="s">
        <v>183</v>
      </c>
      <c r="G40" s="385">
        <v>5630.06</v>
      </c>
      <c r="I40" s="387">
        <v>896.46</v>
      </c>
      <c r="K40" s="122">
        <f>Merger_Model!K26</f>
        <v>89.646000000000015</v>
      </c>
      <c r="M40" s="122">
        <f>G40+I40+K40</f>
        <v>6616.1660000000002</v>
      </c>
    </row>
    <row r="41" spans="2:14" x14ac:dyDescent="0.3">
      <c r="B41" s="13" t="s">
        <v>184</v>
      </c>
      <c r="G41" s="385">
        <v>5659.17</v>
      </c>
      <c r="I41" s="387">
        <v>1051.22</v>
      </c>
      <c r="K41" s="122">
        <v>0</v>
      </c>
      <c r="M41" s="122">
        <f t="shared" ref="M41:M45" si="1">G41+I41+K41</f>
        <v>6710.39</v>
      </c>
    </row>
    <row r="42" spans="2:14" x14ac:dyDescent="0.3">
      <c r="B42" s="13" t="s">
        <v>185</v>
      </c>
      <c r="G42" s="385">
        <v>34488.5</v>
      </c>
      <c r="I42" s="387">
        <v>37781.279999999999</v>
      </c>
      <c r="K42" s="122">
        <f>-Merger_Model!F27+Merger_Model!F34</f>
        <v>-28450.908039999995</v>
      </c>
      <c r="M42" s="122">
        <f t="shared" si="1"/>
        <v>43818.871960000004</v>
      </c>
    </row>
    <row r="43" spans="2:14" x14ac:dyDescent="0.3">
      <c r="B43" s="13" t="s">
        <v>186</v>
      </c>
      <c r="G43" s="385">
        <v>1951.64</v>
      </c>
      <c r="I43" s="387">
        <v>7162.44</v>
      </c>
      <c r="K43" s="122">
        <f>Merger_Model!K32</f>
        <v>2383.3760000000011</v>
      </c>
      <c r="M43" s="122">
        <f t="shared" si="1"/>
        <v>11497.456000000002</v>
      </c>
    </row>
    <row r="44" spans="2:14" x14ac:dyDescent="0.3">
      <c r="B44" s="13" t="s">
        <v>187</v>
      </c>
      <c r="G44" s="385">
        <v>12472.58</v>
      </c>
      <c r="I44" s="387">
        <v>2224.65</v>
      </c>
      <c r="K44" s="122">
        <v>0</v>
      </c>
      <c r="M44" s="122">
        <f t="shared" si="1"/>
        <v>14697.23</v>
      </c>
    </row>
    <row r="45" spans="2:14" x14ac:dyDescent="0.3">
      <c r="B45" s="13" t="s">
        <v>188</v>
      </c>
      <c r="G45" s="385">
        <v>5837</v>
      </c>
      <c r="I45" s="387">
        <v>3083.33</v>
      </c>
      <c r="K45" s="122">
        <v>0</v>
      </c>
      <c r="M45" s="122">
        <f t="shared" si="1"/>
        <v>8920.33</v>
      </c>
    </row>
    <row r="46" spans="2:14" ht="14.4" x14ac:dyDescent="0.3">
      <c r="B46" s="37" t="s">
        <v>412</v>
      </c>
      <c r="G46" s="123">
        <v>130735.61</v>
      </c>
      <c r="H46" s="354"/>
      <c r="I46" s="123">
        <v>80514.31</v>
      </c>
      <c r="J46" s="354"/>
      <c r="K46" s="418">
        <f>SUM(K40:K45)+K38</f>
        <v>-39677.886039999998</v>
      </c>
      <c r="L46" s="354"/>
      <c r="M46" s="123">
        <f>SUM(M40:M45)+M38</f>
        <v>171572.03396</v>
      </c>
      <c r="N46" s="414"/>
    </row>
    <row r="47" spans="2:14" x14ac:dyDescent="0.3">
      <c r="G47" s="122"/>
      <c r="I47" s="122"/>
      <c r="K47" s="122"/>
    </row>
    <row r="48" spans="2:14" x14ac:dyDescent="0.3">
      <c r="B48" s="37" t="s">
        <v>413</v>
      </c>
      <c r="G48" s="122"/>
      <c r="I48" s="122"/>
      <c r="K48" s="122"/>
    </row>
    <row r="49" spans="2:14" x14ac:dyDescent="0.3">
      <c r="B49" s="37" t="s">
        <v>191</v>
      </c>
      <c r="G49" s="122"/>
      <c r="I49" s="387"/>
      <c r="K49" s="122"/>
    </row>
    <row r="50" spans="2:14" x14ac:dyDescent="0.3">
      <c r="B50" s="13" t="s">
        <v>192</v>
      </c>
      <c r="G50" s="385">
        <v>11635.92</v>
      </c>
      <c r="I50" s="387">
        <v>4366.57</v>
      </c>
      <c r="K50" s="122">
        <v>0</v>
      </c>
      <c r="M50" s="122">
        <f t="shared" ref="M50:M52" si="2">G50+I50+K50</f>
        <v>16002.49</v>
      </c>
    </row>
    <row r="51" spans="2:14" x14ac:dyDescent="0.3">
      <c r="B51" s="13" t="s">
        <v>193</v>
      </c>
      <c r="G51" s="385">
        <v>947.91</v>
      </c>
      <c r="I51" s="387">
        <v>0</v>
      </c>
      <c r="K51" s="122">
        <v>0</v>
      </c>
      <c r="M51" s="122">
        <f t="shared" si="2"/>
        <v>947.91</v>
      </c>
    </row>
    <row r="52" spans="2:14" x14ac:dyDescent="0.3">
      <c r="B52" s="13" t="s">
        <v>194</v>
      </c>
      <c r="G52" s="385">
        <v>13917.37</v>
      </c>
      <c r="I52" s="387">
        <v>5045.2700000000004</v>
      </c>
      <c r="K52" s="122">
        <v>0</v>
      </c>
      <c r="M52" s="122">
        <f t="shared" si="2"/>
        <v>18962.64</v>
      </c>
    </row>
    <row r="53" spans="2:14" x14ac:dyDescent="0.3">
      <c r="B53" s="37" t="s">
        <v>414</v>
      </c>
      <c r="G53" s="123">
        <v>26501.200000000001</v>
      </c>
      <c r="H53" s="354"/>
      <c r="I53" s="123">
        <v>9411.84</v>
      </c>
      <c r="J53" s="354"/>
      <c r="K53" s="414">
        <f>SUM(K50:K52)</f>
        <v>0</v>
      </c>
      <c r="L53" s="354"/>
      <c r="M53" s="123">
        <f>SUM(M50:M52)</f>
        <v>35913.040000000001</v>
      </c>
      <c r="N53" s="354"/>
    </row>
    <row r="54" spans="2:14" x14ac:dyDescent="0.3">
      <c r="G54" s="122"/>
      <c r="I54" s="122"/>
      <c r="K54" s="122"/>
    </row>
    <row r="55" spans="2:14" x14ac:dyDescent="0.3">
      <c r="B55" s="13" t="s">
        <v>196</v>
      </c>
      <c r="G55" s="385">
        <v>5740.65</v>
      </c>
      <c r="I55" s="387">
        <v>869.36</v>
      </c>
      <c r="K55" s="122">
        <v>0</v>
      </c>
      <c r="M55" s="122">
        <f t="shared" ref="M55:M59" si="3">G55+I55+K55</f>
        <v>6610.0099999999993</v>
      </c>
    </row>
    <row r="56" spans="2:14" x14ac:dyDescent="0.3">
      <c r="B56" s="13" t="s">
        <v>197</v>
      </c>
      <c r="G56" s="385">
        <v>3408.31</v>
      </c>
      <c r="I56" s="387">
        <v>0</v>
      </c>
      <c r="K56" s="122">
        <v>0</v>
      </c>
      <c r="M56" s="122">
        <f t="shared" si="3"/>
        <v>3408.31</v>
      </c>
    </row>
    <row r="57" spans="2:14" x14ac:dyDescent="0.3">
      <c r="B57" s="13" t="s">
        <v>187</v>
      </c>
      <c r="G57" s="385">
        <v>0</v>
      </c>
      <c r="I57" s="387">
        <v>558.63</v>
      </c>
      <c r="K57" s="122">
        <f>-I57+Merger_Model!F33</f>
        <v>-113.48603999999978</v>
      </c>
      <c r="M57" s="122">
        <f t="shared" si="3"/>
        <v>445.14396000000022</v>
      </c>
    </row>
    <row r="58" spans="2:14" ht="14.4" x14ac:dyDescent="0.3">
      <c r="B58" s="13" t="s">
        <v>198</v>
      </c>
      <c r="G58" s="385">
        <v>156.01</v>
      </c>
      <c r="I58" s="387">
        <v>7542.08</v>
      </c>
      <c r="K58" s="417">
        <f>Merger_Model!K14</f>
        <v>4300</v>
      </c>
      <c r="M58" s="122">
        <f t="shared" si="3"/>
        <v>11998.09</v>
      </c>
    </row>
    <row r="59" spans="2:14" ht="14.4" x14ac:dyDescent="0.3">
      <c r="B59" s="13" t="s">
        <v>199</v>
      </c>
      <c r="G59" s="385">
        <v>4697.38</v>
      </c>
      <c r="I59" s="387">
        <v>1268</v>
      </c>
      <c r="K59" s="423">
        <v>0</v>
      </c>
      <c r="M59" s="122">
        <f t="shared" si="3"/>
        <v>5965.38</v>
      </c>
    </row>
    <row r="60" spans="2:14" ht="14.4" x14ac:dyDescent="0.3">
      <c r="B60" s="37" t="s">
        <v>418</v>
      </c>
      <c r="G60" s="123">
        <v>40503.550000000003</v>
      </c>
      <c r="H60" s="354"/>
      <c r="I60" s="123">
        <v>19649.91</v>
      </c>
      <c r="J60" s="354"/>
      <c r="K60" s="418">
        <f>SUM(K55:K59)+K53</f>
        <v>4186.5139600000002</v>
      </c>
      <c r="L60" s="354"/>
      <c r="M60" s="123">
        <f>SUM(M55:M59)+M53</f>
        <v>64339.973960000003</v>
      </c>
      <c r="N60" s="354"/>
    </row>
    <row r="61" spans="2:14" x14ac:dyDescent="0.3">
      <c r="B61" s="102" t="s">
        <v>201</v>
      </c>
      <c r="G61" s="385">
        <v>300</v>
      </c>
      <c r="I61" s="387">
        <v>0</v>
      </c>
      <c r="K61" s="122"/>
      <c r="M61" s="122">
        <f>G61+I61+K61</f>
        <v>300</v>
      </c>
    </row>
    <row r="62" spans="2:14" x14ac:dyDescent="0.3">
      <c r="B62" s="37" t="s">
        <v>419</v>
      </c>
      <c r="G62" s="122"/>
      <c r="I62" s="122"/>
      <c r="K62" s="122"/>
    </row>
    <row r="63" spans="2:14" ht="14.4" x14ac:dyDescent="0.3">
      <c r="B63" s="13" t="s">
        <v>202</v>
      </c>
      <c r="G63" s="385">
        <v>15.41</v>
      </c>
      <c r="I63" s="387">
        <v>9.5299999999999994</v>
      </c>
      <c r="K63" s="417">
        <f>-I63</f>
        <v>-9.5299999999999994</v>
      </c>
      <c r="M63" s="122">
        <f t="shared" ref="M63:M67" si="4">G63+I63+K63</f>
        <v>15.409999999999998</v>
      </c>
    </row>
    <row r="64" spans="2:14" ht="14.4" x14ac:dyDescent="0.3">
      <c r="B64" s="13" t="s">
        <v>203</v>
      </c>
      <c r="G64" s="385">
        <v>12112.06</v>
      </c>
      <c r="I64" s="387">
        <v>17906.88</v>
      </c>
      <c r="K64" s="417">
        <f>-I64+Merger_Model!L15</f>
        <v>-906.88000000000102</v>
      </c>
      <c r="M64" s="122">
        <f t="shared" si="4"/>
        <v>29112.06</v>
      </c>
    </row>
    <row r="65" spans="2:16" ht="14.4" x14ac:dyDescent="0.3">
      <c r="B65" s="13" t="s">
        <v>204</v>
      </c>
      <c r="G65" s="385">
        <v>89841.05</v>
      </c>
      <c r="I65" s="387">
        <v>58590.34</v>
      </c>
      <c r="K65" s="417">
        <f t="shared" ref="K65:K67" si="5">-I65</f>
        <v>-58590.34</v>
      </c>
      <c r="M65" s="122">
        <f t="shared" si="4"/>
        <v>89841.050000000017</v>
      </c>
    </row>
    <row r="66" spans="2:16" ht="14.4" x14ac:dyDescent="0.3">
      <c r="B66" s="13" t="s">
        <v>205</v>
      </c>
      <c r="G66" s="385">
        <v>-10257.700000000001</v>
      </c>
      <c r="I66" s="387">
        <v>-14166.55</v>
      </c>
      <c r="K66" s="417">
        <f t="shared" si="5"/>
        <v>14166.55</v>
      </c>
      <c r="M66" s="122">
        <f t="shared" si="4"/>
        <v>-10257.700000000001</v>
      </c>
    </row>
    <row r="67" spans="2:16" ht="14.4" x14ac:dyDescent="0.3">
      <c r="B67" s="13" t="s">
        <v>206</v>
      </c>
      <c r="G67" s="385">
        <v>-1803.8</v>
      </c>
      <c r="I67" s="387">
        <v>-1475.8</v>
      </c>
      <c r="K67" s="417">
        <f t="shared" si="5"/>
        <v>1475.8</v>
      </c>
      <c r="M67" s="122">
        <f t="shared" si="4"/>
        <v>-1803.8</v>
      </c>
    </row>
    <row r="68" spans="2:16" ht="14.4" x14ac:dyDescent="0.3">
      <c r="B68" s="37" t="s">
        <v>420</v>
      </c>
      <c r="G68" s="123">
        <v>89907.02</v>
      </c>
      <c r="H68" s="354"/>
      <c r="I68" s="123">
        <v>60864.399999999994</v>
      </c>
      <c r="J68" s="354"/>
      <c r="K68" s="418">
        <f>SUM(K63:K67)</f>
        <v>-43864.399999999994</v>
      </c>
      <c r="L68" s="354"/>
      <c r="M68" s="123">
        <f>SUM(M63:M67)</f>
        <v>106907.02000000002</v>
      </c>
      <c r="N68" s="354"/>
    </row>
    <row r="69" spans="2:16" x14ac:dyDescent="0.3">
      <c r="B69" s="13" t="s">
        <v>421</v>
      </c>
      <c r="G69" s="385">
        <v>25.04</v>
      </c>
      <c r="I69" s="122">
        <v>0</v>
      </c>
      <c r="K69" s="122">
        <f>I69</f>
        <v>0</v>
      </c>
      <c r="M69" s="122">
        <f t="shared" ref="M69" si="6">G69+I69+K69</f>
        <v>25.04</v>
      </c>
    </row>
    <row r="70" spans="2:16" x14ac:dyDescent="0.3">
      <c r="B70" s="37" t="s">
        <v>422</v>
      </c>
      <c r="G70" s="123">
        <v>130735.61</v>
      </c>
      <c r="H70" s="354"/>
      <c r="I70" s="123">
        <v>80514.31</v>
      </c>
      <c r="J70" s="354"/>
      <c r="K70" s="123">
        <f>K60+K68+K69</f>
        <v>-39677.886039999998</v>
      </c>
      <c r="L70" s="354"/>
      <c r="M70" s="123">
        <f>M68+M69+M60+M61</f>
        <v>171572.03396000003</v>
      </c>
      <c r="N70" s="354"/>
    </row>
    <row r="72" spans="2:16" ht="14.4" x14ac:dyDescent="0.3">
      <c r="B72" s="420" t="s">
        <v>260</v>
      </c>
      <c r="C72" s="361"/>
      <c r="D72" s="361"/>
      <c r="E72" s="361"/>
      <c r="F72" s="361"/>
      <c r="G72" s="420" t="str">
        <f>IF(G70=G46,"TRUE",G46-G70)</f>
        <v>TRUE</v>
      </c>
      <c r="H72" s="421"/>
      <c r="I72" s="420" t="str">
        <f>IF(I70=I46,"TRUE",I46-I70)</f>
        <v>TRUE</v>
      </c>
      <c r="J72" s="421"/>
      <c r="K72" s="421"/>
      <c r="L72" s="421"/>
      <c r="M72" s="420" t="str">
        <f>IF(M70=M46,"TRUE",M46-M70)</f>
        <v>TRUE</v>
      </c>
      <c r="N72" s="421"/>
    </row>
    <row r="74" spans="2:16" x14ac:dyDescent="0.3">
      <c r="B74" s="274" t="s">
        <v>462</v>
      </c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</row>
    <row r="76" spans="2:16" x14ac:dyDescent="0.3">
      <c r="B76" s="397" t="s">
        <v>469</v>
      </c>
      <c r="C76" s="281"/>
      <c r="D76" s="409" t="s">
        <v>467</v>
      </c>
      <c r="E76" s="399"/>
      <c r="F76" s="398" t="s">
        <v>468</v>
      </c>
      <c r="G76" s="399"/>
      <c r="H76" s="398" t="s">
        <v>470</v>
      </c>
      <c r="I76" s="400"/>
    </row>
    <row r="77" spans="2:16" x14ac:dyDescent="0.3">
      <c r="B77" s="298" t="s">
        <v>463</v>
      </c>
      <c r="D77" s="401">
        <v>1450</v>
      </c>
      <c r="E77" s="402"/>
      <c r="F77" s="402">
        <v>2850</v>
      </c>
      <c r="G77" s="402"/>
      <c r="H77" s="402">
        <v>11700</v>
      </c>
      <c r="I77" s="403"/>
      <c r="J77" s="352"/>
    </row>
    <row r="78" spans="2:16" x14ac:dyDescent="0.3">
      <c r="B78" s="298" t="s">
        <v>464</v>
      </c>
      <c r="D78" s="404" t="s">
        <v>474</v>
      </c>
      <c r="E78" s="405"/>
      <c r="F78" s="405" t="s">
        <v>474</v>
      </c>
      <c r="G78" s="405"/>
      <c r="H78" s="405" t="s">
        <v>474</v>
      </c>
      <c r="I78" s="403"/>
    </row>
    <row r="79" spans="2:16" x14ac:dyDescent="0.3">
      <c r="B79" s="298" t="s">
        <v>465</v>
      </c>
      <c r="D79" s="404" t="s">
        <v>471</v>
      </c>
      <c r="E79" s="405"/>
      <c r="F79" s="405" t="s">
        <v>472</v>
      </c>
      <c r="G79" s="405"/>
      <c r="H79" s="405" t="s">
        <v>474</v>
      </c>
      <c r="I79" s="403"/>
    </row>
    <row r="80" spans="2:16" x14ac:dyDescent="0.3">
      <c r="B80" s="396" t="s">
        <v>466</v>
      </c>
      <c r="C80" s="171"/>
      <c r="D80" s="406" t="s">
        <v>473</v>
      </c>
      <c r="E80" s="407"/>
      <c r="F80" s="407" t="s">
        <v>473</v>
      </c>
      <c r="G80" s="407"/>
      <c r="H80" s="407" t="s">
        <v>473</v>
      </c>
      <c r="I80" s="408"/>
    </row>
    <row r="81" spans="2:4" x14ac:dyDescent="0.3">
      <c r="B81" s="13" t="s">
        <v>481</v>
      </c>
      <c r="D81" s="57">
        <v>4.2999999999999997E-2</v>
      </c>
    </row>
    <row r="82" spans="2:4" x14ac:dyDescent="0.3">
      <c r="B82" s="413" t="s">
        <v>482</v>
      </c>
      <c r="C82" s="171"/>
      <c r="D82" s="171"/>
    </row>
  </sheetData>
  <mergeCells count="2">
    <mergeCell ref="H16:K16"/>
    <mergeCell ref="B16:F16"/>
  </mergeCells>
  <hyperlinks>
    <hyperlink ref="B6" location="Dashboard!A1" display="&lt;-Back to dashboard" xr:uid="{040CD3DD-172C-41BF-843A-36402000544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FE36-D8AB-488B-9FCF-1086F7F0960C}">
  <sheetPr>
    <tabColor rgb="FF00004D"/>
  </sheetPr>
  <dimension ref="A1"/>
  <sheetViews>
    <sheetView showGridLines="0" workbookViewId="0"/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1017-92C3-47EE-BC03-2E86C95B2A19}">
  <dimension ref="B1:R37"/>
  <sheetViews>
    <sheetView showGridLines="0" zoomScale="115" zoomScaleNormal="115" workbookViewId="0">
      <selection activeCell="H1" sqref="H1:K6"/>
    </sheetView>
  </sheetViews>
  <sheetFormatPr defaultRowHeight="13.8" x14ac:dyDescent="0.3"/>
  <cols>
    <col min="1" max="1" width="1.88671875" style="13" customWidth="1"/>
    <col min="2" max="2" width="13.33203125" style="13" bestFit="1" customWidth="1"/>
    <col min="3" max="6" width="8.88671875" style="13"/>
    <col min="7" max="7" width="17.21875" style="13" customWidth="1"/>
    <col min="8" max="8" width="1.88671875" style="13" customWidth="1"/>
    <col min="9" max="16384" width="8.88671875" style="13"/>
  </cols>
  <sheetData>
    <row r="1" spans="2:12" ht="7.8" customHeight="1" x14ac:dyDescent="0.3">
      <c r="B1" s="6"/>
      <c r="C1" s="6"/>
      <c r="D1" s="6"/>
      <c r="E1" s="6"/>
      <c r="F1" s="6"/>
      <c r="G1" s="6"/>
      <c r="H1" s="519" t="s">
        <v>139</v>
      </c>
      <c r="I1" s="519"/>
      <c r="J1" s="519"/>
      <c r="K1" s="519"/>
      <c r="L1" s="74"/>
    </row>
    <row r="2" spans="2:12" ht="13.8" customHeight="1" x14ac:dyDescent="0.3">
      <c r="B2" s="7" t="s">
        <v>1</v>
      </c>
      <c r="C2" s="6"/>
      <c r="D2" s="6"/>
      <c r="E2" s="5" t="s">
        <v>128</v>
      </c>
      <c r="F2" s="6"/>
      <c r="G2" s="6"/>
      <c r="H2" s="519"/>
      <c r="I2" s="519"/>
      <c r="J2" s="519"/>
      <c r="K2" s="519"/>
      <c r="L2" s="74"/>
    </row>
    <row r="3" spans="2:12" ht="4.8" customHeight="1" x14ac:dyDescent="0.3">
      <c r="B3" s="6"/>
      <c r="C3" s="6"/>
      <c r="D3" s="6"/>
      <c r="E3" s="6"/>
      <c r="F3" s="75"/>
      <c r="G3" s="75"/>
      <c r="H3" s="519"/>
      <c r="I3" s="519"/>
      <c r="J3" s="519"/>
      <c r="K3" s="519"/>
      <c r="L3" s="74"/>
    </row>
    <row r="4" spans="2:12" ht="23.4" x14ac:dyDescent="0.45">
      <c r="B4" s="76" t="s">
        <v>0</v>
      </c>
      <c r="C4" s="6"/>
      <c r="D4" s="6"/>
      <c r="E4" s="6"/>
      <c r="F4" s="75"/>
      <c r="G4" s="75"/>
      <c r="H4" s="519"/>
      <c r="I4" s="519"/>
      <c r="J4" s="519"/>
      <c r="K4" s="519"/>
      <c r="L4" s="77"/>
    </row>
    <row r="5" spans="2:12" ht="14.4" customHeight="1" x14ac:dyDescent="0.3">
      <c r="B5" s="6" t="s">
        <v>127</v>
      </c>
      <c r="C5" s="6"/>
      <c r="D5" s="6"/>
      <c r="E5" s="6"/>
      <c r="F5" s="75" t="s">
        <v>41</v>
      </c>
      <c r="G5" s="75"/>
      <c r="H5" s="519"/>
      <c r="I5" s="519"/>
      <c r="J5" s="519"/>
      <c r="K5" s="519"/>
      <c r="L5" s="77"/>
    </row>
    <row r="6" spans="2:12" ht="7.8" customHeight="1" thickBot="1" x14ac:dyDescent="0.35">
      <c r="B6" s="6"/>
      <c r="C6" s="6"/>
      <c r="D6" s="6"/>
      <c r="E6" s="6"/>
      <c r="F6" s="75"/>
      <c r="G6" s="75"/>
      <c r="H6" s="520"/>
      <c r="I6" s="520"/>
      <c r="J6" s="520"/>
      <c r="K6" s="520"/>
      <c r="L6" s="77"/>
    </row>
    <row r="7" spans="2:12" ht="6.6" customHeight="1" thickTop="1" x14ac:dyDescent="0.3">
      <c r="B7" s="78"/>
      <c r="C7" s="78"/>
      <c r="D7" s="78"/>
      <c r="E7" s="78"/>
      <c r="F7" s="78"/>
      <c r="G7" s="78"/>
      <c r="H7" s="79"/>
      <c r="I7" s="78"/>
      <c r="J7" s="78"/>
      <c r="K7" s="78"/>
      <c r="L7" s="77"/>
    </row>
    <row r="8" spans="2:12" x14ac:dyDescent="0.3">
      <c r="B8" s="8" t="s">
        <v>129</v>
      </c>
      <c r="H8" s="80"/>
      <c r="I8" s="81" t="s">
        <v>114</v>
      </c>
      <c r="L8" s="74"/>
    </row>
    <row r="9" spans="2:12" x14ac:dyDescent="0.3">
      <c r="H9" s="80"/>
      <c r="I9" s="82" t="s">
        <v>125</v>
      </c>
      <c r="L9" s="74"/>
    </row>
    <row r="10" spans="2:12" x14ac:dyDescent="0.3">
      <c r="B10" s="83"/>
      <c r="H10" s="80"/>
      <c r="L10" s="74"/>
    </row>
    <row r="11" spans="2:12" x14ac:dyDescent="0.3">
      <c r="B11" s="84"/>
      <c r="C11" s="84"/>
      <c r="D11" s="84"/>
      <c r="E11" s="84"/>
      <c r="F11" s="84"/>
      <c r="H11" s="80"/>
      <c r="L11" s="74"/>
    </row>
    <row r="12" spans="2:12" x14ac:dyDescent="0.3">
      <c r="H12" s="80"/>
      <c r="L12" s="74"/>
    </row>
    <row r="13" spans="2:12" x14ac:dyDescent="0.3">
      <c r="H13" s="80"/>
      <c r="J13" s="85"/>
      <c r="K13" s="85"/>
      <c r="L13" s="74"/>
    </row>
    <row r="14" spans="2:12" x14ac:dyDescent="0.3">
      <c r="H14" s="80"/>
      <c r="I14" s="86" t="s">
        <v>115</v>
      </c>
      <c r="J14" s="87"/>
      <c r="K14" s="87"/>
      <c r="L14" s="74"/>
    </row>
    <row r="15" spans="2:12" x14ac:dyDescent="0.3">
      <c r="H15" s="80"/>
      <c r="I15" s="88" t="s">
        <v>116</v>
      </c>
      <c r="J15" s="88"/>
      <c r="K15" s="89"/>
      <c r="L15" s="74"/>
    </row>
    <row r="16" spans="2:12" x14ac:dyDescent="0.3">
      <c r="H16" s="80"/>
      <c r="I16" s="88" t="s">
        <v>118</v>
      </c>
      <c r="J16" s="88"/>
      <c r="K16" s="90"/>
      <c r="L16" s="74"/>
    </row>
    <row r="17" spans="2:18" x14ac:dyDescent="0.3">
      <c r="H17" s="80"/>
      <c r="I17" s="88" t="s">
        <v>50</v>
      </c>
      <c r="J17" s="88"/>
      <c r="K17" s="91"/>
      <c r="L17" s="74"/>
    </row>
    <row r="18" spans="2:18" x14ac:dyDescent="0.3">
      <c r="H18" s="80"/>
      <c r="I18" s="88" t="s">
        <v>126</v>
      </c>
      <c r="J18" s="88"/>
      <c r="K18" s="91"/>
      <c r="L18" s="74"/>
    </row>
    <row r="19" spans="2:18" x14ac:dyDescent="0.3">
      <c r="E19" s="92"/>
      <c r="G19" s="57"/>
      <c r="H19" s="80"/>
      <c r="I19" s="88" t="s">
        <v>117</v>
      </c>
      <c r="J19" s="88"/>
      <c r="K19" s="93"/>
      <c r="L19" s="74"/>
    </row>
    <row r="20" spans="2:18" x14ac:dyDescent="0.3">
      <c r="H20" s="80"/>
      <c r="L20" s="74"/>
    </row>
    <row r="21" spans="2:18" x14ac:dyDescent="0.3">
      <c r="H21" s="80"/>
      <c r="I21" s="86" t="s">
        <v>124</v>
      </c>
      <c r="J21" s="94"/>
      <c r="K21" s="94"/>
      <c r="L21" s="74"/>
    </row>
    <row r="22" spans="2:18" x14ac:dyDescent="0.3">
      <c r="H22" s="80"/>
      <c r="I22" s="95" t="s">
        <v>113</v>
      </c>
      <c r="J22" s="95"/>
      <c r="K22" s="90"/>
      <c r="L22" s="74"/>
    </row>
    <row r="23" spans="2:18" x14ac:dyDescent="0.3">
      <c r="H23" s="80"/>
      <c r="I23" s="95" t="s">
        <v>79</v>
      </c>
      <c r="J23" s="95"/>
      <c r="K23" s="96"/>
      <c r="L23" s="74"/>
    </row>
    <row r="24" spans="2:18" ht="14.4" x14ac:dyDescent="0.3">
      <c r="B24" s="97"/>
      <c r="H24" s="80"/>
      <c r="I24" s="95" t="s">
        <v>119</v>
      </c>
      <c r="J24" s="95"/>
      <c r="K24" s="98"/>
      <c r="L24" s="74"/>
      <c r="R24" s="18"/>
    </row>
    <row r="25" spans="2:18" x14ac:dyDescent="0.3">
      <c r="H25" s="80"/>
      <c r="I25" s="95" t="s">
        <v>120</v>
      </c>
      <c r="J25" s="95"/>
      <c r="K25" s="99"/>
      <c r="L25" s="74"/>
    </row>
    <row r="26" spans="2:18" x14ac:dyDescent="0.3">
      <c r="H26" s="80"/>
      <c r="I26" s="95" t="s">
        <v>121</v>
      </c>
      <c r="J26" s="95"/>
      <c r="K26" s="99"/>
      <c r="L26" s="74"/>
    </row>
    <row r="27" spans="2:18" x14ac:dyDescent="0.3">
      <c r="H27" s="80"/>
      <c r="I27" s="95" t="s">
        <v>122</v>
      </c>
      <c r="J27" s="95"/>
      <c r="K27" s="99"/>
      <c r="L27" s="74"/>
    </row>
    <row r="28" spans="2:18" x14ac:dyDescent="0.3">
      <c r="H28" s="80"/>
      <c r="I28" s="95" t="s">
        <v>123</v>
      </c>
      <c r="J28" s="95"/>
      <c r="K28" s="99"/>
      <c r="L28" s="74"/>
    </row>
    <row r="29" spans="2:18" x14ac:dyDescent="0.3">
      <c r="I29" s="84"/>
      <c r="J29" s="84"/>
      <c r="K29" s="84"/>
    </row>
    <row r="37" spans="2:2" ht="14.4" x14ac:dyDescent="0.3">
      <c r="B37" s="18"/>
    </row>
  </sheetData>
  <mergeCells count="1">
    <mergeCell ref="H1:K6"/>
  </mergeCells>
  <hyperlinks>
    <hyperlink ref="I9" r:id="rId1" xr:uid="{CA32FC82-4CBB-430F-834E-DE611C9382EE}"/>
  </hyperlinks>
  <pageMargins left="0.25" right="0.25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Dashboard</vt:lpstr>
      <vt:lpstr>Financials-&gt;</vt:lpstr>
      <vt:lpstr>Statements</vt:lpstr>
      <vt:lpstr>Scenario</vt:lpstr>
      <vt:lpstr>Assumptions</vt:lpstr>
      <vt:lpstr>Schedule</vt:lpstr>
      <vt:lpstr>Valuation-&gt;</vt:lpstr>
      <vt:lpstr>Beta</vt:lpstr>
      <vt:lpstr>WACC</vt:lpstr>
      <vt:lpstr>FCFF</vt:lpstr>
      <vt:lpstr>Public_Comps</vt:lpstr>
      <vt:lpstr>Val_Sum</vt:lpstr>
      <vt:lpstr>Ratio_Analysis</vt:lpstr>
      <vt:lpstr>M&amp;A</vt:lpstr>
      <vt:lpstr>Merger_Model</vt:lpstr>
      <vt:lpstr>Merger_BS</vt:lpstr>
      <vt:lpstr>Report</vt:lpstr>
      <vt:lpstr>Equity Report</vt:lpstr>
      <vt:lpstr>BS</vt:lpstr>
      <vt:lpstr>CF</vt:lpstr>
      <vt:lpstr>days</vt:lpstr>
      <vt:lpstr>Debt</vt:lpstr>
      <vt:lpstr>EF</vt:lpstr>
      <vt:lpstr>Equity</vt:lpstr>
      <vt:lpstr>IS</vt:lpstr>
      <vt:lpstr>OpEx</vt:lpstr>
      <vt:lpstr>PPE</vt:lpstr>
      <vt:lpstr>RE</vt:lpstr>
      <vt:lpstr>RF</vt:lpstr>
      <vt:lpstr>Seller_share_price</vt:lpstr>
      <vt:lpstr>units</vt:lpstr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2026-03-04T07:13:53Z</cp:lastPrinted>
  <dcterms:created xsi:type="dcterms:W3CDTF">2026-02-20T09:32:09Z</dcterms:created>
  <dcterms:modified xsi:type="dcterms:W3CDTF">2026-03-17T05:36:56Z</dcterms:modified>
</cp:coreProperties>
</file>