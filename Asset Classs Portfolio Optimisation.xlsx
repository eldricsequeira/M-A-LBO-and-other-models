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Resume projects\"/>
    </mc:Choice>
  </mc:AlternateContent>
  <xr:revisionPtr revIDLastSave="0" documentId="13_ncr:1_{D63851AD-CEFB-43D7-ADC7-EDD809B47E82}" xr6:coauthVersionLast="47" xr6:coauthVersionMax="47" xr10:uidLastSave="{00000000-0000-0000-0000-000000000000}"/>
  <bookViews>
    <workbookView xWindow="-108" yWindow="-108" windowWidth="23256" windowHeight="13176" activeTab="1" xr2:uid="{9C98FA95-C8BC-4B3A-8EDC-9B549DA57A4A}"/>
  </bookViews>
  <sheets>
    <sheet name="Summary" sheetId="3" r:id="rId1"/>
    <sheet name="Optimisation" sheetId="1" r:id="rId2"/>
    <sheet name="Worksheet" sheetId="2" r:id="rId3"/>
  </sheets>
  <definedNames>
    <definedName name="n">Optimisation!$AC$9</definedName>
    <definedName name="solver_adj" localSheetId="1" hidden="1">Optimisation!$AC$51:$AI$51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Optimisation!$AJ$51</definedName>
    <definedName name="solver_lhs2" localSheetId="1" hidden="1">Optimisation!$AJ$51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</definedName>
    <definedName name="solver_nwt" localSheetId="1" hidden="1">1</definedName>
    <definedName name="solver_opt" localSheetId="1" hidden="1">Optimisation!$AC$53</definedName>
    <definedName name="solver_pre" localSheetId="1" hidden="1">0.000001</definedName>
    <definedName name="solver_rbv" localSheetId="1" hidden="1">1</definedName>
    <definedName name="solver_rel1" localSheetId="1" hidden="1">2</definedName>
    <definedName name="solver_rel2" localSheetId="1" hidden="1">2</definedName>
    <definedName name="solver_rhs1" localSheetId="1" hidden="1">1</definedName>
    <definedName name="solver_rhs2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  <definedName name="var">Optimisation!$AC$18:$AI$24</definedName>
    <definedName name="varcovar">Optimisation!$AC$18:$AI$24</definedName>
    <definedName name="x">Optimisation!$T$9:$Z$257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57" i="1" l="1" a="1"/>
  <c r="AC57" i="1" s="1"/>
  <c r="AE46" i="1"/>
  <c r="AE40" i="1"/>
  <c r="AC40" i="1"/>
  <c r="AC46" i="1"/>
  <c r="AJ10" i="1"/>
  <c r="AC18" i="1" a="1"/>
  <c r="AC18" i="1" s="1"/>
  <c r="AC39" i="1" a="1"/>
  <c r="AC39" i="1" s="1"/>
  <c r="AB18" i="1" a="1"/>
  <c r="AB19" i="1" s="1"/>
  <c r="AB18" i="1"/>
  <c r="AI57" i="1" l="1"/>
  <c r="AH57" i="1"/>
  <c r="AG57" i="1"/>
  <c r="AF57" i="1"/>
  <c r="AE57" i="1"/>
  <c r="AD57" i="1"/>
  <c r="AI18" i="1"/>
  <c r="AH24" i="1"/>
  <c r="AC23" i="1"/>
  <c r="AE21" i="1"/>
  <c r="AG19" i="1"/>
  <c r="AG24" i="1"/>
  <c r="AI22" i="1"/>
  <c r="AD21" i="1"/>
  <c r="AF19" i="1"/>
  <c r="AF24" i="1"/>
  <c r="AH22" i="1"/>
  <c r="AC21" i="1"/>
  <c r="AE19" i="1"/>
  <c r="AE24" i="1"/>
  <c r="AG22" i="1"/>
  <c r="AI20" i="1"/>
  <c r="AD19" i="1"/>
  <c r="AD24" i="1"/>
  <c r="AF22" i="1"/>
  <c r="AH20" i="1"/>
  <c r="AC19" i="1"/>
  <c r="AC24" i="1"/>
  <c r="AE22" i="1"/>
  <c r="AG20" i="1"/>
  <c r="AI23" i="1"/>
  <c r="AD22" i="1"/>
  <c r="AF20" i="1"/>
  <c r="AH18" i="1"/>
  <c r="AH23" i="1"/>
  <c r="AC22" i="1"/>
  <c r="AE20" i="1"/>
  <c r="AG18" i="1"/>
  <c r="AG23" i="1"/>
  <c r="AI21" i="1"/>
  <c r="AD20" i="1"/>
  <c r="AF18" i="1"/>
  <c r="AF23" i="1"/>
  <c r="AH21" i="1"/>
  <c r="AC20" i="1"/>
  <c r="AE18" i="1"/>
  <c r="AE23" i="1"/>
  <c r="AG21" i="1"/>
  <c r="AI19" i="1"/>
  <c r="AD18" i="1"/>
  <c r="AI24" i="1"/>
  <c r="AD23" i="1"/>
  <c r="AF21" i="1"/>
  <c r="AH19" i="1"/>
  <c r="AH39" i="1"/>
  <c r="AD39" i="1"/>
  <c r="AI39" i="1"/>
  <c r="AG39" i="1"/>
  <c r="AF39" i="1"/>
  <c r="AE39" i="1"/>
  <c r="AB24" i="1"/>
  <c r="AB23" i="1"/>
  <c r="AB22" i="1"/>
  <c r="AB21" i="1"/>
  <c r="AB20" i="1"/>
  <c r="AJ57" i="1" l="1"/>
  <c r="AC58" i="1" s="1"/>
  <c r="AC53" i="1" a="1"/>
  <c r="AC53" i="1" s="1"/>
  <c r="AC52" i="1"/>
  <c r="AE52" i="1" s="1"/>
  <c r="AJ51" i="1"/>
  <c r="AC47" i="1" a="1"/>
  <c r="AC47" i="1" s="1"/>
  <c r="AC41" i="1" a="1"/>
  <c r="AC41" i="1" s="1"/>
  <c r="AC42" i="1" s="1"/>
  <c r="AJ45" i="1"/>
  <c r="AC48" i="1"/>
  <c r="AI58" i="1" l="1"/>
  <c r="AH58" i="1"/>
  <c r="AG58" i="1"/>
  <c r="AF58" i="1"/>
  <c r="AE58" i="1"/>
  <c r="AD58" i="1"/>
  <c r="AC54" i="1"/>
  <c r="T10" i="1"/>
  <c r="U10" i="1"/>
  <c r="V10" i="1"/>
  <c r="W10" i="1"/>
  <c r="X10" i="1"/>
  <c r="Y10" i="1"/>
  <c r="Z10" i="1"/>
  <c r="T11" i="1"/>
  <c r="U11" i="1"/>
  <c r="V11" i="1"/>
  <c r="W11" i="1"/>
  <c r="X11" i="1"/>
  <c r="Y11" i="1"/>
  <c r="Z11" i="1"/>
  <c r="T12" i="1"/>
  <c r="U12" i="1"/>
  <c r="V12" i="1"/>
  <c r="W12" i="1"/>
  <c r="X12" i="1"/>
  <c r="Y12" i="1"/>
  <c r="Z12" i="1"/>
  <c r="T13" i="1"/>
  <c r="U13" i="1"/>
  <c r="V13" i="1"/>
  <c r="W13" i="1"/>
  <c r="X13" i="1"/>
  <c r="Y13" i="1"/>
  <c r="Z13" i="1"/>
  <c r="T14" i="1"/>
  <c r="U14" i="1"/>
  <c r="V14" i="1"/>
  <c r="W14" i="1"/>
  <c r="X14" i="1"/>
  <c r="Y14" i="1"/>
  <c r="Z14" i="1"/>
  <c r="T15" i="1"/>
  <c r="U15" i="1"/>
  <c r="V15" i="1"/>
  <c r="W15" i="1"/>
  <c r="X15" i="1"/>
  <c r="Y15" i="1"/>
  <c r="Z15" i="1"/>
  <c r="T16" i="1"/>
  <c r="U16" i="1"/>
  <c r="V16" i="1"/>
  <c r="W16" i="1"/>
  <c r="X16" i="1"/>
  <c r="Y16" i="1"/>
  <c r="Z16" i="1"/>
  <c r="T17" i="1"/>
  <c r="U17" i="1"/>
  <c r="V17" i="1"/>
  <c r="W17" i="1"/>
  <c r="X17" i="1"/>
  <c r="Y17" i="1"/>
  <c r="Z17" i="1"/>
  <c r="T18" i="1"/>
  <c r="U18" i="1"/>
  <c r="V18" i="1"/>
  <c r="W18" i="1"/>
  <c r="X18" i="1"/>
  <c r="Y18" i="1"/>
  <c r="Z18" i="1"/>
  <c r="T19" i="1"/>
  <c r="U19" i="1"/>
  <c r="V19" i="1"/>
  <c r="W19" i="1"/>
  <c r="X19" i="1"/>
  <c r="Y19" i="1"/>
  <c r="Z19" i="1"/>
  <c r="T20" i="1"/>
  <c r="U20" i="1"/>
  <c r="V20" i="1"/>
  <c r="W20" i="1"/>
  <c r="X20" i="1"/>
  <c r="Y20" i="1"/>
  <c r="Z20" i="1"/>
  <c r="T21" i="1"/>
  <c r="U21" i="1"/>
  <c r="V21" i="1"/>
  <c r="W21" i="1"/>
  <c r="X21" i="1"/>
  <c r="Y21" i="1"/>
  <c r="Z21" i="1"/>
  <c r="T22" i="1"/>
  <c r="U22" i="1"/>
  <c r="V22" i="1"/>
  <c r="W22" i="1"/>
  <c r="X22" i="1"/>
  <c r="Y22" i="1"/>
  <c r="Z22" i="1"/>
  <c r="T23" i="1"/>
  <c r="U23" i="1"/>
  <c r="V23" i="1"/>
  <c r="W23" i="1"/>
  <c r="X23" i="1"/>
  <c r="Y23" i="1"/>
  <c r="Z23" i="1"/>
  <c r="T24" i="1"/>
  <c r="U24" i="1"/>
  <c r="V24" i="1"/>
  <c r="W24" i="1"/>
  <c r="X24" i="1"/>
  <c r="Y24" i="1"/>
  <c r="Z24" i="1"/>
  <c r="T25" i="1"/>
  <c r="U25" i="1"/>
  <c r="V25" i="1"/>
  <c r="W25" i="1"/>
  <c r="X25" i="1"/>
  <c r="Y25" i="1"/>
  <c r="Z25" i="1"/>
  <c r="T26" i="1"/>
  <c r="U26" i="1"/>
  <c r="V26" i="1"/>
  <c r="W26" i="1"/>
  <c r="X26" i="1"/>
  <c r="Y26" i="1"/>
  <c r="Z26" i="1"/>
  <c r="T27" i="1"/>
  <c r="U27" i="1"/>
  <c r="V27" i="1"/>
  <c r="W27" i="1"/>
  <c r="X27" i="1"/>
  <c r="Y27" i="1"/>
  <c r="Z27" i="1"/>
  <c r="T28" i="1"/>
  <c r="U28" i="1"/>
  <c r="V28" i="1"/>
  <c r="W28" i="1"/>
  <c r="X28" i="1"/>
  <c r="Y28" i="1"/>
  <c r="Z28" i="1"/>
  <c r="T29" i="1"/>
  <c r="U29" i="1"/>
  <c r="V29" i="1"/>
  <c r="W29" i="1"/>
  <c r="X29" i="1"/>
  <c r="Y29" i="1"/>
  <c r="Z29" i="1"/>
  <c r="T30" i="1"/>
  <c r="U30" i="1"/>
  <c r="V30" i="1"/>
  <c r="W30" i="1"/>
  <c r="X30" i="1"/>
  <c r="Y30" i="1"/>
  <c r="Z30" i="1"/>
  <c r="T31" i="1"/>
  <c r="U31" i="1"/>
  <c r="V31" i="1"/>
  <c r="W31" i="1"/>
  <c r="X31" i="1"/>
  <c r="Y31" i="1"/>
  <c r="Z31" i="1"/>
  <c r="T32" i="1"/>
  <c r="U32" i="1"/>
  <c r="V32" i="1"/>
  <c r="W32" i="1"/>
  <c r="X32" i="1"/>
  <c r="Y32" i="1"/>
  <c r="Z32" i="1"/>
  <c r="T33" i="1"/>
  <c r="U33" i="1"/>
  <c r="V33" i="1"/>
  <c r="W33" i="1"/>
  <c r="X33" i="1"/>
  <c r="Y33" i="1"/>
  <c r="Z33" i="1"/>
  <c r="T34" i="1"/>
  <c r="U34" i="1"/>
  <c r="V34" i="1"/>
  <c r="W34" i="1"/>
  <c r="X34" i="1"/>
  <c r="Y34" i="1"/>
  <c r="Z34" i="1"/>
  <c r="T35" i="1"/>
  <c r="U35" i="1"/>
  <c r="V35" i="1"/>
  <c r="W35" i="1"/>
  <c r="X35" i="1"/>
  <c r="Y35" i="1"/>
  <c r="Z35" i="1"/>
  <c r="T36" i="1"/>
  <c r="U36" i="1"/>
  <c r="V36" i="1"/>
  <c r="W36" i="1"/>
  <c r="X36" i="1"/>
  <c r="Y36" i="1"/>
  <c r="Z36" i="1"/>
  <c r="T37" i="1"/>
  <c r="U37" i="1"/>
  <c r="V37" i="1"/>
  <c r="W37" i="1"/>
  <c r="X37" i="1"/>
  <c r="Y37" i="1"/>
  <c r="Z37" i="1"/>
  <c r="T38" i="1"/>
  <c r="U38" i="1"/>
  <c r="V38" i="1"/>
  <c r="W38" i="1"/>
  <c r="X38" i="1"/>
  <c r="Y38" i="1"/>
  <c r="Z38" i="1"/>
  <c r="T39" i="1"/>
  <c r="U39" i="1"/>
  <c r="V39" i="1"/>
  <c r="W39" i="1"/>
  <c r="X39" i="1"/>
  <c r="Y39" i="1"/>
  <c r="Z39" i="1"/>
  <c r="T40" i="1"/>
  <c r="U40" i="1"/>
  <c r="V40" i="1"/>
  <c r="W40" i="1"/>
  <c r="X40" i="1"/>
  <c r="Y40" i="1"/>
  <c r="Z40" i="1"/>
  <c r="T41" i="1"/>
  <c r="U41" i="1"/>
  <c r="V41" i="1"/>
  <c r="W41" i="1"/>
  <c r="X41" i="1"/>
  <c r="Y41" i="1"/>
  <c r="Z41" i="1"/>
  <c r="T42" i="1"/>
  <c r="U42" i="1"/>
  <c r="V42" i="1"/>
  <c r="W42" i="1"/>
  <c r="X42" i="1"/>
  <c r="Y42" i="1"/>
  <c r="Z42" i="1"/>
  <c r="T43" i="1"/>
  <c r="U43" i="1"/>
  <c r="V43" i="1"/>
  <c r="W43" i="1"/>
  <c r="X43" i="1"/>
  <c r="Y43" i="1"/>
  <c r="Z43" i="1"/>
  <c r="T44" i="1"/>
  <c r="U44" i="1"/>
  <c r="V44" i="1"/>
  <c r="W44" i="1"/>
  <c r="X44" i="1"/>
  <c r="Y44" i="1"/>
  <c r="Z44" i="1"/>
  <c r="T45" i="1"/>
  <c r="U45" i="1"/>
  <c r="V45" i="1"/>
  <c r="W45" i="1"/>
  <c r="X45" i="1"/>
  <c r="Y45" i="1"/>
  <c r="Z45" i="1"/>
  <c r="T46" i="1"/>
  <c r="U46" i="1"/>
  <c r="V46" i="1"/>
  <c r="W46" i="1"/>
  <c r="X46" i="1"/>
  <c r="Y46" i="1"/>
  <c r="Z46" i="1"/>
  <c r="T47" i="1"/>
  <c r="U47" i="1"/>
  <c r="V47" i="1"/>
  <c r="W47" i="1"/>
  <c r="X47" i="1"/>
  <c r="Y47" i="1"/>
  <c r="Z47" i="1"/>
  <c r="T48" i="1"/>
  <c r="U48" i="1"/>
  <c r="V48" i="1"/>
  <c r="W48" i="1"/>
  <c r="X48" i="1"/>
  <c r="Y48" i="1"/>
  <c r="Z48" i="1"/>
  <c r="T49" i="1"/>
  <c r="U49" i="1"/>
  <c r="V49" i="1"/>
  <c r="W49" i="1"/>
  <c r="X49" i="1"/>
  <c r="Y49" i="1"/>
  <c r="Z49" i="1"/>
  <c r="T50" i="1"/>
  <c r="U50" i="1"/>
  <c r="V50" i="1"/>
  <c r="W50" i="1"/>
  <c r="X50" i="1"/>
  <c r="Y50" i="1"/>
  <c r="Z50" i="1"/>
  <c r="T51" i="1"/>
  <c r="U51" i="1"/>
  <c r="V51" i="1"/>
  <c r="W51" i="1"/>
  <c r="X51" i="1"/>
  <c r="Y51" i="1"/>
  <c r="Z51" i="1"/>
  <c r="T52" i="1"/>
  <c r="U52" i="1"/>
  <c r="V52" i="1"/>
  <c r="W52" i="1"/>
  <c r="X52" i="1"/>
  <c r="Y52" i="1"/>
  <c r="Z52" i="1"/>
  <c r="T53" i="1"/>
  <c r="U53" i="1"/>
  <c r="V53" i="1"/>
  <c r="W53" i="1"/>
  <c r="X53" i="1"/>
  <c r="Y53" i="1"/>
  <c r="Z53" i="1"/>
  <c r="T54" i="1"/>
  <c r="U54" i="1"/>
  <c r="V54" i="1"/>
  <c r="W54" i="1"/>
  <c r="X54" i="1"/>
  <c r="Y54" i="1"/>
  <c r="Z54" i="1"/>
  <c r="T55" i="1"/>
  <c r="U55" i="1"/>
  <c r="V55" i="1"/>
  <c r="W55" i="1"/>
  <c r="X55" i="1"/>
  <c r="Y55" i="1"/>
  <c r="Z55" i="1"/>
  <c r="T56" i="1"/>
  <c r="U56" i="1"/>
  <c r="V56" i="1"/>
  <c r="W56" i="1"/>
  <c r="X56" i="1"/>
  <c r="Y56" i="1"/>
  <c r="Z56" i="1"/>
  <c r="T57" i="1"/>
  <c r="U57" i="1"/>
  <c r="V57" i="1"/>
  <c r="W57" i="1"/>
  <c r="X57" i="1"/>
  <c r="Y57" i="1"/>
  <c r="Z57" i="1"/>
  <c r="T58" i="1"/>
  <c r="U58" i="1"/>
  <c r="V58" i="1"/>
  <c r="W58" i="1"/>
  <c r="X58" i="1"/>
  <c r="Y58" i="1"/>
  <c r="Z58" i="1"/>
  <c r="T59" i="1"/>
  <c r="U59" i="1"/>
  <c r="V59" i="1"/>
  <c r="W59" i="1"/>
  <c r="X59" i="1"/>
  <c r="Y59" i="1"/>
  <c r="Z59" i="1"/>
  <c r="T60" i="1"/>
  <c r="U60" i="1"/>
  <c r="V60" i="1"/>
  <c r="W60" i="1"/>
  <c r="X60" i="1"/>
  <c r="Y60" i="1"/>
  <c r="Z60" i="1"/>
  <c r="T61" i="1"/>
  <c r="U61" i="1"/>
  <c r="V61" i="1"/>
  <c r="W61" i="1"/>
  <c r="X61" i="1"/>
  <c r="Y61" i="1"/>
  <c r="Z61" i="1"/>
  <c r="T62" i="1"/>
  <c r="U62" i="1"/>
  <c r="V62" i="1"/>
  <c r="W62" i="1"/>
  <c r="X62" i="1"/>
  <c r="Y62" i="1"/>
  <c r="Z62" i="1"/>
  <c r="T63" i="1"/>
  <c r="U63" i="1"/>
  <c r="V63" i="1"/>
  <c r="W63" i="1"/>
  <c r="X63" i="1"/>
  <c r="Y63" i="1"/>
  <c r="Z63" i="1"/>
  <c r="T64" i="1"/>
  <c r="U64" i="1"/>
  <c r="V64" i="1"/>
  <c r="W64" i="1"/>
  <c r="X64" i="1"/>
  <c r="Y64" i="1"/>
  <c r="Z64" i="1"/>
  <c r="T65" i="1"/>
  <c r="U65" i="1"/>
  <c r="V65" i="1"/>
  <c r="W65" i="1"/>
  <c r="X65" i="1"/>
  <c r="Y65" i="1"/>
  <c r="Z65" i="1"/>
  <c r="T66" i="1"/>
  <c r="U66" i="1"/>
  <c r="V66" i="1"/>
  <c r="W66" i="1"/>
  <c r="X66" i="1"/>
  <c r="Y66" i="1"/>
  <c r="Z66" i="1"/>
  <c r="T67" i="1"/>
  <c r="U67" i="1"/>
  <c r="V67" i="1"/>
  <c r="W67" i="1"/>
  <c r="X67" i="1"/>
  <c r="Y67" i="1"/>
  <c r="Z67" i="1"/>
  <c r="T68" i="1"/>
  <c r="U68" i="1"/>
  <c r="V68" i="1"/>
  <c r="W68" i="1"/>
  <c r="X68" i="1"/>
  <c r="Y68" i="1"/>
  <c r="Z68" i="1"/>
  <c r="T69" i="1"/>
  <c r="U69" i="1"/>
  <c r="V69" i="1"/>
  <c r="W69" i="1"/>
  <c r="X69" i="1"/>
  <c r="Y69" i="1"/>
  <c r="Z69" i="1"/>
  <c r="T70" i="1"/>
  <c r="U70" i="1"/>
  <c r="V70" i="1"/>
  <c r="W70" i="1"/>
  <c r="X70" i="1"/>
  <c r="Y70" i="1"/>
  <c r="Z70" i="1"/>
  <c r="T71" i="1"/>
  <c r="U71" i="1"/>
  <c r="V71" i="1"/>
  <c r="W71" i="1"/>
  <c r="X71" i="1"/>
  <c r="Y71" i="1"/>
  <c r="Z71" i="1"/>
  <c r="T72" i="1"/>
  <c r="U72" i="1"/>
  <c r="V72" i="1"/>
  <c r="W72" i="1"/>
  <c r="X72" i="1"/>
  <c r="Y72" i="1"/>
  <c r="Z72" i="1"/>
  <c r="T73" i="1"/>
  <c r="U73" i="1"/>
  <c r="V73" i="1"/>
  <c r="W73" i="1"/>
  <c r="X73" i="1"/>
  <c r="Y73" i="1"/>
  <c r="Z73" i="1"/>
  <c r="T74" i="1"/>
  <c r="U74" i="1"/>
  <c r="V74" i="1"/>
  <c r="W74" i="1"/>
  <c r="X74" i="1"/>
  <c r="Y74" i="1"/>
  <c r="Z74" i="1"/>
  <c r="T75" i="1"/>
  <c r="U75" i="1"/>
  <c r="V75" i="1"/>
  <c r="W75" i="1"/>
  <c r="X75" i="1"/>
  <c r="Y75" i="1"/>
  <c r="Z75" i="1"/>
  <c r="T76" i="1"/>
  <c r="U76" i="1"/>
  <c r="V76" i="1"/>
  <c r="W76" i="1"/>
  <c r="X76" i="1"/>
  <c r="Y76" i="1"/>
  <c r="Z76" i="1"/>
  <c r="T77" i="1"/>
  <c r="U77" i="1"/>
  <c r="V77" i="1"/>
  <c r="W77" i="1"/>
  <c r="X77" i="1"/>
  <c r="Y77" i="1"/>
  <c r="Z77" i="1"/>
  <c r="T78" i="1"/>
  <c r="U78" i="1"/>
  <c r="V78" i="1"/>
  <c r="W78" i="1"/>
  <c r="X78" i="1"/>
  <c r="Y78" i="1"/>
  <c r="Z78" i="1"/>
  <c r="T79" i="1"/>
  <c r="U79" i="1"/>
  <c r="V79" i="1"/>
  <c r="W79" i="1"/>
  <c r="X79" i="1"/>
  <c r="Y79" i="1"/>
  <c r="Z79" i="1"/>
  <c r="T80" i="1"/>
  <c r="U80" i="1"/>
  <c r="V80" i="1"/>
  <c r="W80" i="1"/>
  <c r="X80" i="1"/>
  <c r="Y80" i="1"/>
  <c r="Z80" i="1"/>
  <c r="T81" i="1"/>
  <c r="U81" i="1"/>
  <c r="V81" i="1"/>
  <c r="W81" i="1"/>
  <c r="X81" i="1"/>
  <c r="Y81" i="1"/>
  <c r="Z81" i="1"/>
  <c r="T82" i="1"/>
  <c r="U82" i="1"/>
  <c r="V82" i="1"/>
  <c r="W82" i="1"/>
  <c r="X82" i="1"/>
  <c r="Y82" i="1"/>
  <c r="Z82" i="1"/>
  <c r="T83" i="1"/>
  <c r="U83" i="1"/>
  <c r="V83" i="1"/>
  <c r="W83" i="1"/>
  <c r="X83" i="1"/>
  <c r="Y83" i="1"/>
  <c r="Z83" i="1"/>
  <c r="T84" i="1"/>
  <c r="U84" i="1"/>
  <c r="V84" i="1"/>
  <c r="W84" i="1"/>
  <c r="X84" i="1"/>
  <c r="Y84" i="1"/>
  <c r="Z84" i="1"/>
  <c r="T85" i="1"/>
  <c r="U85" i="1"/>
  <c r="V85" i="1"/>
  <c r="W85" i="1"/>
  <c r="X85" i="1"/>
  <c r="Y85" i="1"/>
  <c r="Z85" i="1"/>
  <c r="T86" i="1"/>
  <c r="U86" i="1"/>
  <c r="V86" i="1"/>
  <c r="W86" i="1"/>
  <c r="X86" i="1"/>
  <c r="Y86" i="1"/>
  <c r="Z86" i="1"/>
  <c r="T87" i="1"/>
  <c r="U87" i="1"/>
  <c r="V87" i="1"/>
  <c r="W87" i="1"/>
  <c r="X87" i="1"/>
  <c r="Y87" i="1"/>
  <c r="Z87" i="1"/>
  <c r="T88" i="1"/>
  <c r="U88" i="1"/>
  <c r="V88" i="1"/>
  <c r="W88" i="1"/>
  <c r="X88" i="1"/>
  <c r="Y88" i="1"/>
  <c r="Z88" i="1"/>
  <c r="T89" i="1"/>
  <c r="U89" i="1"/>
  <c r="V89" i="1"/>
  <c r="W89" i="1"/>
  <c r="X89" i="1"/>
  <c r="Y89" i="1"/>
  <c r="Z89" i="1"/>
  <c r="T90" i="1"/>
  <c r="U90" i="1"/>
  <c r="V90" i="1"/>
  <c r="W90" i="1"/>
  <c r="X90" i="1"/>
  <c r="Y90" i="1"/>
  <c r="Z90" i="1"/>
  <c r="T91" i="1"/>
  <c r="U91" i="1"/>
  <c r="V91" i="1"/>
  <c r="W91" i="1"/>
  <c r="X91" i="1"/>
  <c r="Y91" i="1"/>
  <c r="Z91" i="1"/>
  <c r="T92" i="1"/>
  <c r="U92" i="1"/>
  <c r="V92" i="1"/>
  <c r="W92" i="1"/>
  <c r="X92" i="1"/>
  <c r="Y92" i="1"/>
  <c r="Z92" i="1"/>
  <c r="T93" i="1"/>
  <c r="U93" i="1"/>
  <c r="V93" i="1"/>
  <c r="W93" i="1"/>
  <c r="X93" i="1"/>
  <c r="Y93" i="1"/>
  <c r="Z93" i="1"/>
  <c r="T94" i="1"/>
  <c r="U94" i="1"/>
  <c r="V94" i="1"/>
  <c r="W94" i="1"/>
  <c r="X94" i="1"/>
  <c r="Y94" i="1"/>
  <c r="Z94" i="1"/>
  <c r="T95" i="1"/>
  <c r="U95" i="1"/>
  <c r="V95" i="1"/>
  <c r="W95" i="1"/>
  <c r="X95" i="1"/>
  <c r="Y95" i="1"/>
  <c r="Z95" i="1"/>
  <c r="T96" i="1"/>
  <c r="U96" i="1"/>
  <c r="V96" i="1"/>
  <c r="W96" i="1"/>
  <c r="X96" i="1"/>
  <c r="Y96" i="1"/>
  <c r="Z96" i="1"/>
  <c r="T97" i="1"/>
  <c r="U97" i="1"/>
  <c r="V97" i="1"/>
  <c r="W97" i="1"/>
  <c r="X97" i="1"/>
  <c r="Y97" i="1"/>
  <c r="Z97" i="1"/>
  <c r="T98" i="1"/>
  <c r="U98" i="1"/>
  <c r="V98" i="1"/>
  <c r="W98" i="1"/>
  <c r="X98" i="1"/>
  <c r="Y98" i="1"/>
  <c r="Z98" i="1"/>
  <c r="T99" i="1"/>
  <c r="U99" i="1"/>
  <c r="V99" i="1"/>
  <c r="W99" i="1"/>
  <c r="X99" i="1"/>
  <c r="Y99" i="1"/>
  <c r="Z99" i="1"/>
  <c r="T100" i="1"/>
  <c r="U100" i="1"/>
  <c r="V100" i="1"/>
  <c r="W100" i="1"/>
  <c r="X100" i="1"/>
  <c r="Y100" i="1"/>
  <c r="Z100" i="1"/>
  <c r="T101" i="1"/>
  <c r="U101" i="1"/>
  <c r="V101" i="1"/>
  <c r="W101" i="1"/>
  <c r="X101" i="1"/>
  <c r="Y101" i="1"/>
  <c r="Z101" i="1"/>
  <c r="T102" i="1"/>
  <c r="U102" i="1"/>
  <c r="V102" i="1"/>
  <c r="W102" i="1"/>
  <c r="X102" i="1"/>
  <c r="Y102" i="1"/>
  <c r="Z102" i="1"/>
  <c r="T103" i="1"/>
  <c r="U103" i="1"/>
  <c r="V103" i="1"/>
  <c r="W103" i="1"/>
  <c r="X103" i="1"/>
  <c r="Y103" i="1"/>
  <c r="Z103" i="1"/>
  <c r="T104" i="1"/>
  <c r="U104" i="1"/>
  <c r="V104" i="1"/>
  <c r="W104" i="1"/>
  <c r="X104" i="1"/>
  <c r="Y104" i="1"/>
  <c r="Z104" i="1"/>
  <c r="T105" i="1"/>
  <c r="U105" i="1"/>
  <c r="V105" i="1"/>
  <c r="W105" i="1"/>
  <c r="X105" i="1"/>
  <c r="Y105" i="1"/>
  <c r="Z105" i="1"/>
  <c r="T106" i="1"/>
  <c r="U106" i="1"/>
  <c r="V106" i="1"/>
  <c r="W106" i="1"/>
  <c r="X106" i="1"/>
  <c r="Y106" i="1"/>
  <c r="Z106" i="1"/>
  <c r="T107" i="1"/>
  <c r="U107" i="1"/>
  <c r="V107" i="1"/>
  <c r="W107" i="1"/>
  <c r="X107" i="1"/>
  <c r="Y107" i="1"/>
  <c r="Z107" i="1"/>
  <c r="T108" i="1"/>
  <c r="U108" i="1"/>
  <c r="V108" i="1"/>
  <c r="W108" i="1"/>
  <c r="X108" i="1"/>
  <c r="Y108" i="1"/>
  <c r="Z108" i="1"/>
  <c r="T109" i="1"/>
  <c r="U109" i="1"/>
  <c r="V109" i="1"/>
  <c r="W109" i="1"/>
  <c r="X109" i="1"/>
  <c r="Y109" i="1"/>
  <c r="Z109" i="1"/>
  <c r="T110" i="1"/>
  <c r="U110" i="1"/>
  <c r="V110" i="1"/>
  <c r="W110" i="1"/>
  <c r="X110" i="1"/>
  <c r="Y110" i="1"/>
  <c r="Z110" i="1"/>
  <c r="T111" i="1"/>
  <c r="U111" i="1"/>
  <c r="V111" i="1"/>
  <c r="W111" i="1"/>
  <c r="X111" i="1"/>
  <c r="Y111" i="1"/>
  <c r="Z111" i="1"/>
  <c r="T112" i="1"/>
  <c r="U112" i="1"/>
  <c r="V112" i="1"/>
  <c r="W112" i="1"/>
  <c r="X112" i="1"/>
  <c r="Y112" i="1"/>
  <c r="Z112" i="1"/>
  <c r="T113" i="1"/>
  <c r="U113" i="1"/>
  <c r="V113" i="1"/>
  <c r="W113" i="1"/>
  <c r="X113" i="1"/>
  <c r="Y113" i="1"/>
  <c r="Z113" i="1"/>
  <c r="T114" i="1"/>
  <c r="U114" i="1"/>
  <c r="V114" i="1"/>
  <c r="W114" i="1"/>
  <c r="X114" i="1"/>
  <c r="Y114" i="1"/>
  <c r="Z114" i="1"/>
  <c r="T115" i="1"/>
  <c r="U115" i="1"/>
  <c r="V115" i="1"/>
  <c r="W115" i="1"/>
  <c r="X115" i="1"/>
  <c r="Y115" i="1"/>
  <c r="Z115" i="1"/>
  <c r="T116" i="1"/>
  <c r="U116" i="1"/>
  <c r="V116" i="1"/>
  <c r="W116" i="1"/>
  <c r="X116" i="1"/>
  <c r="Y116" i="1"/>
  <c r="Z116" i="1"/>
  <c r="T117" i="1"/>
  <c r="U117" i="1"/>
  <c r="V117" i="1"/>
  <c r="W117" i="1"/>
  <c r="X117" i="1"/>
  <c r="Y117" i="1"/>
  <c r="Z117" i="1"/>
  <c r="T118" i="1"/>
  <c r="U118" i="1"/>
  <c r="V118" i="1"/>
  <c r="W118" i="1"/>
  <c r="X118" i="1"/>
  <c r="Y118" i="1"/>
  <c r="Z118" i="1"/>
  <c r="T119" i="1"/>
  <c r="U119" i="1"/>
  <c r="V119" i="1"/>
  <c r="W119" i="1"/>
  <c r="X119" i="1"/>
  <c r="Y119" i="1"/>
  <c r="Z119" i="1"/>
  <c r="T120" i="1"/>
  <c r="U120" i="1"/>
  <c r="V120" i="1"/>
  <c r="W120" i="1"/>
  <c r="X120" i="1"/>
  <c r="Y120" i="1"/>
  <c r="Z120" i="1"/>
  <c r="T121" i="1"/>
  <c r="U121" i="1"/>
  <c r="V121" i="1"/>
  <c r="W121" i="1"/>
  <c r="X121" i="1"/>
  <c r="Y121" i="1"/>
  <c r="Z121" i="1"/>
  <c r="T122" i="1"/>
  <c r="U122" i="1"/>
  <c r="V122" i="1"/>
  <c r="W122" i="1"/>
  <c r="X122" i="1"/>
  <c r="Y122" i="1"/>
  <c r="Z122" i="1"/>
  <c r="T123" i="1"/>
  <c r="U123" i="1"/>
  <c r="V123" i="1"/>
  <c r="W123" i="1"/>
  <c r="X123" i="1"/>
  <c r="Y123" i="1"/>
  <c r="Z123" i="1"/>
  <c r="T124" i="1"/>
  <c r="U124" i="1"/>
  <c r="V124" i="1"/>
  <c r="W124" i="1"/>
  <c r="X124" i="1"/>
  <c r="Y124" i="1"/>
  <c r="Z124" i="1"/>
  <c r="T125" i="1"/>
  <c r="U125" i="1"/>
  <c r="V125" i="1"/>
  <c r="W125" i="1"/>
  <c r="X125" i="1"/>
  <c r="Y125" i="1"/>
  <c r="Z125" i="1"/>
  <c r="T126" i="1"/>
  <c r="U126" i="1"/>
  <c r="V126" i="1"/>
  <c r="W126" i="1"/>
  <c r="X126" i="1"/>
  <c r="Y126" i="1"/>
  <c r="Z126" i="1"/>
  <c r="T127" i="1"/>
  <c r="U127" i="1"/>
  <c r="V127" i="1"/>
  <c r="W127" i="1"/>
  <c r="X127" i="1"/>
  <c r="Y127" i="1"/>
  <c r="Z127" i="1"/>
  <c r="T128" i="1"/>
  <c r="U128" i="1"/>
  <c r="V128" i="1"/>
  <c r="W128" i="1"/>
  <c r="X128" i="1"/>
  <c r="Y128" i="1"/>
  <c r="Z128" i="1"/>
  <c r="T129" i="1"/>
  <c r="U129" i="1"/>
  <c r="V129" i="1"/>
  <c r="W129" i="1"/>
  <c r="X129" i="1"/>
  <c r="Y129" i="1"/>
  <c r="Z129" i="1"/>
  <c r="T130" i="1"/>
  <c r="U130" i="1"/>
  <c r="V130" i="1"/>
  <c r="W130" i="1"/>
  <c r="X130" i="1"/>
  <c r="Y130" i="1"/>
  <c r="Z130" i="1"/>
  <c r="T131" i="1"/>
  <c r="U131" i="1"/>
  <c r="V131" i="1"/>
  <c r="W131" i="1"/>
  <c r="X131" i="1"/>
  <c r="Y131" i="1"/>
  <c r="Z131" i="1"/>
  <c r="T132" i="1"/>
  <c r="U132" i="1"/>
  <c r="V132" i="1"/>
  <c r="W132" i="1"/>
  <c r="X132" i="1"/>
  <c r="Y132" i="1"/>
  <c r="Z132" i="1"/>
  <c r="T133" i="1"/>
  <c r="U133" i="1"/>
  <c r="V133" i="1"/>
  <c r="W133" i="1"/>
  <c r="X133" i="1"/>
  <c r="Y133" i="1"/>
  <c r="Z133" i="1"/>
  <c r="T134" i="1"/>
  <c r="U134" i="1"/>
  <c r="V134" i="1"/>
  <c r="W134" i="1"/>
  <c r="X134" i="1"/>
  <c r="Y134" i="1"/>
  <c r="Z134" i="1"/>
  <c r="T135" i="1"/>
  <c r="U135" i="1"/>
  <c r="V135" i="1"/>
  <c r="W135" i="1"/>
  <c r="X135" i="1"/>
  <c r="Y135" i="1"/>
  <c r="Z135" i="1"/>
  <c r="T136" i="1"/>
  <c r="U136" i="1"/>
  <c r="V136" i="1"/>
  <c r="W136" i="1"/>
  <c r="X136" i="1"/>
  <c r="Y136" i="1"/>
  <c r="Z136" i="1"/>
  <c r="T137" i="1"/>
  <c r="U137" i="1"/>
  <c r="V137" i="1"/>
  <c r="W137" i="1"/>
  <c r="X137" i="1"/>
  <c r="Y137" i="1"/>
  <c r="Z137" i="1"/>
  <c r="T138" i="1"/>
  <c r="U138" i="1"/>
  <c r="V138" i="1"/>
  <c r="W138" i="1"/>
  <c r="X138" i="1"/>
  <c r="Y138" i="1"/>
  <c r="Z138" i="1"/>
  <c r="T139" i="1"/>
  <c r="U139" i="1"/>
  <c r="V139" i="1"/>
  <c r="W139" i="1"/>
  <c r="X139" i="1"/>
  <c r="Y139" i="1"/>
  <c r="Z139" i="1"/>
  <c r="T140" i="1"/>
  <c r="U140" i="1"/>
  <c r="V140" i="1"/>
  <c r="W140" i="1"/>
  <c r="X140" i="1"/>
  <c r="Y140" i="1"/>
  <c r="Z140" i="1"/>
  <c r="T141" i="1"/>
  <c r="U141" i="1"/>
  <c r="V141" i="1"/>
  <c r="W141" i="1"/>
  <c r="X141" i="1"/>
  <c r="Y141" i="1"/>
  <c r="Z141" i="1"/>
  <c r="T142" i="1"/>
  <c r="U142" i="1"/>
  <c r="V142" i="1"/>
  <c r="W142" i="1"/>
  <c r="X142" i="1"/>
  <c r="Y142" i="1"/>
  <c r="Z142" i="1"/>
  <c r="T143" i="1"/>
  <c r="U143" i="1"/>
  <c r="V143" i="1"/>
  <c r="W143" i="1"/>
  <c r="X143" i="1"/>
  <c r="Y143" i="1"/>
  <c r="Z143" i="1"/>
  <c r="T144" i="1"/>
  <c r="U144" i="1"/>
  <c r="V144" i="1"/>
  <c r="W144" i="1"/>
  <c r="X144" i="1"/>
  <c r="Y144" i="1"/>
  <c r="Z144" i="1"/>
  <c r="T145" i="1"/>
  <c r="U145" i="1"/>
  <c r="V145" i="1"/>
  <c r="W145" i="1"/>
  <c r="X145" i="1"/>
  <c r="Y145" i="1"/>
  <c r="Z145" i="1"/>
  <c r="T146" i="1"/>
  <c r="U146" i="1"/>
  <c r="V146" i="1"/>
  <c r="W146" i="1"/>
  <c r="X146" i="1"/>
  <c r="Y146" i="1"/>
  <c r="Z146" i="1"/>
  <c r="T147" i="1"/>
  <c r="U147" i="1"/>
  <c r="V147" i="1"/>
  <c r="W147" i="1"/>
  <c r="X147" i="1"/>
  <c r="Y147" i="1"/>
  <c r="Z147" i="1"/>
  <c r="T148" i="1"/>
  <c r="U148" i="1"/>
  <c r="V148" i="1"/>
  <c r="W148" i="1"/>
  <c r="X148" i="1"/>
  <c r="Y148" i="1"/>
  <c r="Z148" i="1"/>
  <c r="T149" i="1"/>
  <c r="U149" i="1"/>
  <c r="V149" i="1"/>
  <c r="W149" i="1"/>
  <c r="X149" i="1"/>
  <c r="Y149" i="1"/>
  <c r="Z149" i="1"/>
  <c r="T150" i="1"/>
  <c r="U150" i="1"/>
  <c r="V150" i="1"/>
  <c r="W150" i="1"/>
  <c r="X150" i="1"/>
  <c r="Y150" i="1"/>
  <c r="Z150" i="1"/>
  <c r="T151" i="1"/>
  <c r="U151" i="1"/>
  <c r="V151" i="1"/>
  <c r="W151" i="1"/>
  <c r="X151" i="1"/>
  <c r="Y151" i="1"/>
  <c r="Z151" i="1"/>
  <c r="T152" i="1"/>
  <c r="U152" i="1"/>
  <c r="V152" i="1"/>
  <c r="W152" i="1"/>
  <c r="X152" i="1"/>
  <c r="Y152" i="1"/>
  <c r="Z152" i="1"/>
  <c r="T153" i="1"/>
  <c r="U153" i="1"/>
  <c r="V153" i="1"/>
  <c r="W153" i="1"/>
  <c r="X153" i="1"/>
  <c r="Y153" i="1"/>
  <c r="Z153" i="1"/>
  <c r="T154" i="1"/>
  <c r="U154" i="1"/>
  <c r="V154" i="1"/>
  <c r="W154" i="1"/>
  <c r="X154" i="1"/>
  <c r="Y154" i="1"/>
  <c r="Z154" i="1"/>
  <c r="T155" i="1"/>
  <c r="U155" i="1"/>
  <c r="V155" i="1"/>
  <c r="W155" i="1"/>
  <c r="X155" i="1"/>
  <c r="Y155" i="1"/>
  <c r="Z155" i="1"/>
  <c r="T156" i="1"/>
  <c r="U156" i="1"/>
  <c r="V156" i="1"/>
  <c r="W156" i="1"/>
  <c r="X156" i="1"/>
  <c r="Y156" i="1"/>
  <c r="Z156" i="1"/>
  <c r="T157" i="1"/>
  <c r="U157" i="1"/>
  <c r="V157" i="1"/>
  <c r="W157" i="1"/>
  <c r="X157" i="1"/>
  <c r="Y157" i="1"/>
  <c r="Z157" i="1"/>
  <c r="T158" i="1"/>
  <c r="U158" i="1"/>
  <c r="V158" i="1"/>
  <c r="W158" i="1"/>
  <c r="X158" i="1"/>
  <c r="Y158" i="1"/>
  <c r="Z158" i="1"/>
  <c r="T159" i="1"/>
  <c r="U159" i="1"/>
  <c r="V159" i="1"/>
  <c r="W159" i="1"/>
  <c r="X159" i="1"/>
  <c r="Y159" i="1"/>
  <c r="Z159" i="1"/>
  <c r="T160" i="1"/>
  <c r="U160" i="1"/>
  <c r="V160" i="1"/>
  <c r="W160" i="1"/>
  <c r="X160" i="1"/>
  <c r="Y160" i="1"/>
  <c r="Z160" i="1"/>
  <c r="T161" i="1"/>
  <c r="U161" i="1"/>
  <c r="V161" i="1"/>
  <c r="W161" i="1"/>
  <c r="X161" i="1"/>
  <c r="Y161" i="1"/>
  <c r="Z161" i="1"/>
  <c r="T162" i="1"/>
  <c r="U162" i="1"/>
  <c r="V162" i="1"/>
  <c r="W162" i="1"/>
  <c r="X162" i="1"/>
  <c r="Y162" i="1"/>
  <c r="Z162" i="1"/>
  <c r="T163" i="1"/>
  <c r="U163" i="1"/>
  <c r="V163" i="1"/>
  <c r="W163" i="1"/>
  <c r="X163" i="1"/>
  <c r="Y163" i="1"/>
  <c r="Z163" i="1"/>
  <c r="T164" i="1"/>
  <c r="U164" i="1"/>
  <c r="V164" i="1"/>
  <c r="W164" i="1"/>
  <c r="X164" i="1"/>
  <c r="Y164" i="1"/>
  <c r="Z164" i="1"/>
  <c r="T165" i="1"/>
  <c r="U165" i="1"/>
  <c r="V165" i="1"/>
  <c r="W165" i="1"/>
  <c r="X165" i="1"/>
  <c r="Y165" i="1"/>
  <c r="Z165" i="1"/>
  <c r="T166" i="1"/>
  <c r="U166" i="1"/>
  <c r="V166" i="1"/>
  <c r="W166" i="1"/>
  <c r="X166" i="1"/>
  <c r="Y166" i="1"/>
  <c r="Z166" i="1"/>
  <c r="T167" i="1"/>
  <c r="U167" i="1"/>
  <c r="V167" i="1"/>
  <c r="W167" i="1"/>
  <c r="X167" i="1"/>
  <c r="Y167" i="1"/>
  <c r="Z167" i="1"/>
  <c r="T168" i="1"/>
  <c r="U168" i="1"/>
  <c r="V168" i="1"/>
  <c r="W168" i="1"/>
  <c r="X168" i="1"/>
  <c r="Y168" i="1"/>
  <c r="Z168" i="1"/>
  <c r="T169" i="1"/>
  <c r="U169" i="1"/>
  <c r="V169" i="1"/>
  <c r="W169" i="1"/>
  <c r="X169" i="1"/>
  <c r="Y169" i="1"/>
  <c r="Z169" i="1"/>
  <c r="T170" i="1"/>
  <c r="U170" i="1"/>
  <c r="V170" i="1"/>
  <c r="W170" i="1"/>
  <c r="X170" i="1"/>
  <c r="Y170" i="1"/>
  <c r="Z170" i="1"/>
  <c r="T171" i="1"/>
  <c r="U171" i="1"/>
  <c r="V171" i="1"/>
  <c r="W171" i="1"/>
  <c r="X171" i="1"/>
  <c r="Y171" i="1"/>
  <c r="Z171" i="1"/>
  <c r="T172" i="1"/>
  <c r="U172" i="1"/>
  <c r="V172" i="1"/>
  <c r="W172" i="1"/>
  <c r="X172" i="1"/>
  <c r="Y172" i="1"/>
  <c r="Z172" i="1"/>
  <c r="T173" i="1"/>
  <c r="U173" i="1"/>
  <c r="V173" i="1"/>
  <c r="W173" i="1"/>
  <c r="X173" i="1"/>
  <c r="Y173" i="1"/>
  <c r="Z173" i="1"/>
  <c r="T174" i="1"/>
  <c r="U174" i="1"/>
  <c r="V174" i="1"/>
  <c r="W174" i="1"/>
  <c r="X174" i="1"/>
  <c r="Y174" i="1"/>
  <c r="Z174" i="1"/>
  <c r="T175" i="1"/>
  <c r="U175" i="1"/>
  <c r="V175" i="1"/>
  <c r="W175" i="1"/>
  <c r="X175" i="1"/>
  <c r="Y175" i="1"/>
  <c r="Z175" i="1"/>
  <c r="T176" i="1"/>
  <c r="U176" i="1"/>
  <c r="V176" i="1"/>
  <c r="W176" i="1"/>
  <c r="X176" i="1"/>
  <c r="Y176" i="1"/>
  <c r="Z176" i="1"/>
  <c r="T177" i="1"/>
  <c r="U177" i="1"/>
  <c r="V177" i="1"/>
  <c r="W177" i="1"/>
  <c r="X177" i="1"/>
  <c r="Y177" i="1"/>
  <c r="Z177" i="1"/>
  <c r="T178" i="1"/>
  <c r="U178" i="1"/>
  <c r="V178" i="1"/>
  <c r="W178" i="1"/>
  <c r="X178" i="1"/>
  <c r="Y178" i="1"/>
  <c r="Z178" i="1"/>
  <c r="T179" i="1"/>
  <c r="U179" i="1"/>
  <c r="V179" i="1"/>
  <c r="W179" i="1"/>
  <c r="X179" i="1"/>
  <c r="Y179" i="1"/>
  <c r="Z179" i="1"/>
  <c r="T180" i="1"/>
  <c r="U180" i="1"/>
  <c r="V180" i="1"/>
  <c r="W180" i="1"/>
  <c r="X180" i="1"/>
  <c r="Y180" i="1"/>
  <c r="Z180" i="1"/>
  <c r="T181" i="1"/>
  <c r="U181" i="1"/>
  <c r="V181" i="1"/>
  <c r="W181" i="1"/>
  <c r="X181" i="1"/>
  <c r="Y181" i="1"/>
  <c r="Z181" i="1"/>
  <c r="T182" i="1"/>
  <c r="U182" i="1"/>
  <c r="V182" i="1"/>
  <c r="W182" i="1"/>
  <c r="X182" i="1"/>
  <c r="Y182" i="1"/>
  <c r="Z182" i="1"/>
  <c r="T183" i="1"/>
  <c r="U183" i="1"/>
  <c r="V183" i="1"/>
  <c r="W183" i="1"/>
  <c r="X183" i="1"/>
  <c r="Y183" i="1"/>
  <c r="Z183" i="1"/>
  <c r="T184" i="1"/>
  <c r="U184" i="1"/>
  <c r="V184" i="1"/>
  <c r="W184" i="1"/>
  <c r="X184" i="1"/>
  <c r="Y184" i="1"/>
  <c r="Z184" i="1"/>
  <c r="T185" i="1"/>
  <c r="U185" i="1"/>
  <c r="V185" i="1"/>
  <c r="W185" i="1"/>
  <c r="X185" i="1"/>
  <c r="Y185" i="1"/>
  <c r="Z185" i="1"/>
  <c r="T186" i="1"/>
  <c r="U186" i="1"/>
  <c r="V186" i="1"/>
  <c r="W186" i="1"/>
  <c r="X186" i="1"/>
  <c r="Y186" i="1"/>
  <c r="Z186" i="1"/>
  <c r="T187" i="1"/>
  <c r="U187" i="1"/>
  <c r="V187" i="1"/>
  <c r="W187" i="1"/>
  <c r="X187" i="1"/>
  <c r="Y187" i="1"/>
  <c r="Z187" i="1"/>
  <c r="T188" i="1"/>
  <c r="U188" i="1"/>
  <c r="V188" i="1"/>
  <c r="W188" i="1"/>
  <c r="X188" i="1"/>
  <c r="Y188" i="1"/>
  <c r="Z188" i="1"/>
  <c r="T189" i="1"/>
  <c r="U189" i="1"/>
  <c r="V189" i="1"/>
  <c r="W189" i="1"/>
  <c r="X189" i="1"/>
  <c r="Y189" i="1"/>
  <c r="Z189" i="1"/>
  <c r="T190" i="1"/>
  <c r="U190" i="1"/>
  <c r="V190" i="1"/>
  <c r="W190" i="1"/>
  <c r="X190" i="1"/>
  <c r="Y190" i="1"/>
  <c r="Z190" i="1"/>
  <c r="T191" i="1"/>
  <c r="U191" i="1"/>
  <c r="V191" i="1"/>
  <c r="W191" i="1"/>
  <c r="X191" i="1"/>
  <c r="Y191" i="1"/>
  <c r="Z191" i="1"/>
  <c r="T192" i="1"/>
  <c r="U192" i="1"/>
  <c r="V192" i="1"/>
  <c r="W192" i="1"/>
  <c r="X192" i="1"/>
  <c r="Y192" i="1"/>
  <c r="Z192" i="1"/>
  <c r="T193" i="1"/>
  <c r="U193" i="1"/>
  <c r="V193" i="1"/>
  <c r="W193" i="1"/>
  <c r="X193" i="1"/>
  <c r="Y193" i="1"/>
  <c r="Z193" i="1"/>
  <c r="T194" i="1"/>
  <c r="U194" i="1"/>
  <c r="V194" i="1"/>
  <c r="W194" i="1"/>
  <c r="X194" i="1"/>
  <c r="Y194" i="1"/>
  <c r="Z194" i="1"/>
  <c r="T195" i="1"/>
  <c r="U195" i="1"/>
  <c r="V195" i="1"/>
  <c r="W195" i="1"/>
  <c r="X195" i="1"/>
  <c r="Y195" i="1"/>
  <c r="Z195" i="1"/>
  <c r="T196" i="1"/>
  <c r="U196" i="1"/>
  <c r="V196" i="1"/>
  <c r="W196" i="1"/>
  <c r="X196" i="1"/>
  <c r="Y196" i="1"/>
  <c r="Z196" i="1"/>
  <c r="T197" i="1"/>
  <c r="U197" i="1"/>
  <c r="V197" i="1"/>
  <c r="W197" i="1"/>
  <c r="X197" i="1"/>
  <c r="Y197" i="1"/>
  <c r="Z197" i="1"/>
  <c r="T198" i="1"/>
  <c r="U198" i="1"/>
  <c r="V198" i="1"/>
  <c r="W198" i="1"/>
  <c r="X198" i="1"/>
  <c r="Y198" i="1"/>
  <c r="Z198" i="1"/>
  <c r="T199" i="1"/>
  <c r="U199" i="1"/>
  <c r="V199" i="1"/>
  <c r="W199" i="1"/>
  <c r="X199" i="1"/>
  <c r="Y199" i="1"/>
  <c r="Z199" i="1"/>
  <c r="T200" i="1"/>
  <c r="U200" i="1"/>
  <c r="V200" i="1"/>
  <c r="W200" i="1"/>
  <c r="X200" i="1"/>
  <c r="Y200" i="1"/>
  <c r="Z200" i="1"/>
  <c r="T201" i="1"/>
  <c r="U201" i="1"/>
  <c r="V201" i="1"/>
  <c r="W201" i="1"/>
  <c r="X201" i="1"/>
  <c r="Y201" i="1"/>
  <c r="Z201" i="1"/>
  <c r="T202" i="1"/>
  <c r="U202" i="1"/>
  <c r="V202" i="1"/>
  <c r="W202" i="1"/>
  <c r="X202" i="1"/>
  <c r="Y202" i="1"/>
  <c r="Z202" i="1"/>
  <c r="T203" i="1"/>
  <c r="U203" i="1"/>
  <c r="V203" i="1"/>
  <c r="W203" i="1"/>
  <c r="X203" i="1"/>
  <c r="Y203" i="1"/>
  <c r="Z203" i="1"/>
  <c r="T204" i="1"/>
  <c r="U204" i="1"/>
  <c r="V204" i="1"/>
  <c r="W204" i="1"/>
  <c r="X204" i="1"/>
  <c r="Y204" i="1"/>
  <c r="Z204" i="1"/>
  <c r="T205" i="1"/>
  <c r="U205" i="1"/>
  <c r="V205" i="1"/>
  <c r="W205" i="1"/>
  <c r="X205" i="1"/>
  <c r="Y205" i="1"/>
  <c r="Z205" i="1"/>
  <c r="T206" i="1"/>
  <c r="U206" i="1"/>
  <c r="V206" i="1"/>
  <c r="W206" i="1"/>
  <c r="X206" i="1"/>
  <c r="Y206" i="1"/>
  <c r="Z206" i="1"/>
  <c r="T207" i="1"/>
  <c r="U207" i="1"/>
  <c r="V207" i="1"/>
  <c r="W207" i="1"/>
  <c r="X207" i="1"/>
  <c r="Y207" i="1"/>
  <c r="Z207" i="1"/>
  <c r="T208" i="1"/>
  <c r="U208" i="1"/>
  <c r="V208" i="1"/>
  <c r="W208" i="1"/>
  <c r="X208" i="1"/>
  <c r="Y208" i="1"/>
  <c r="Z208" i="1"/>
  <c r="T209" i="1"/>
  <c r="U209" i="1"/>
  <c r="V209" i="1"/>
  <c r="W209" i="1"/>
  <c r="X209" i="1"/>
  <c r="Y209" i="1"/>
  <c r="Z209" i="1"/>
  <c r="T210" i="1"/>
  <c r="U210" i="1"/>
  <c r="V210" i="1"/>
  <c r="W210" i="1"/>
  <c r="X210" i="1"/>
  <c r="Y210" i="1"/>
  <c r="Z210" i="1"/>
  <c r="T211" i="1"/>
  <c r="U211" i="1"/>
  <c r="V211" i="1"/>
  <c r="W211" i="1"/>
  <c r="X211" i="1"/>
  <c r="Y211" i="1"/>
  <c r="Z211" i="1"/>
  <c r="T212" i="1"/>
  <c r="U212" i="1"/>
  <c r="V212" i="1"/>
  <c r="W212" i="1"/>
  <c r="X212" i="1"/>
  <c r="Y212" i="1"/>
  <c r="Z212" i="1"/>
  <c r="T213" i="1"/>
  <c r="U213" i="1"/>
  <c r="V213" i="1"/>
  <c r="W213" i="1"/>
  <c r="X213" i="1"/>
  <c r="Y213" i="1"/>
  <c r="Z213" i="1"/>
  <c r="T214" i="1"/>
  <c r="U214" i="1"/>
  <c r="V214" i="1"/>
  <c r="W214" i="1"/>
  <c r="X214" i="1"/>
  <c r="Y214" i="1"/>
  <c r="Z214" i="1"/>
  <c r="T215" i="1"/>
  <c r="U215" i="1"/>
  <c r="V215" i="1"/>
  <c r="W215" i="1"/>
  <c r="X215" i="1"/>
  <c r="Y215" i="1"/>
  <c r="Z215" i="1"/>
  <c r="T216" i="1"/>
  <c r="U216" i="1"/>
  <c r="V216" i="1"/>
  <c r="W216" i="1"/>
  <c r="X216" i="1"/>
  <c r="Y216" i="1"/>
  <c r="Z216" i="1"/>
  <c r="T217" i="1"/>
  <c r="U217" i="1"/>
  <c r="V217" i="1"/>
  <c r="W217" i="1"/>
  <c r="X217" i="1"/>
  <c r="Y217" i="1"/>
  <c r="Z217" i="1"/>
  <c r="T218" i="1"/>
  <c r="U218" i="1"/>
  <c r="V218" i="1"/>
  <c r="W218" i="1"/>
  <c r="X218" i="1"/>
  <c r="Y218" i="1"/>
  <c r="Z218" i="1"/>
  <c r="T219" i="1"/>
  <c r="U219" i="1"/>
  <c r="V219" i="1"/>
  <c r="W219" i="1"/>
  <c r="X219" i="1"/>
  <c r="Y219" i="1"/>
  <c r="Z219" i="1"/>
  <c r="T220" i="1"/>
  <c r="U220" i="1"/>
  <c r="V220" i="1"/>
  <c r="W220" i="1"/>
  <c r="X220" i="1"/>
  <c r="Y220" i="1"/>
  <c r="Z220" i="1"/>
  <c r="T221" i="1"/>
  <c r="U221" i="1"/>
  <c r="V221" i="1"/>
  <c r="W221" i="1"/>
  <c r="X221" i="1"/>
  <c r="Y221" i="1"/>
  <c r="Z221" i="1"/>
  <c r="T222" i="1"/>
  <c r="U222" i="1"/>
  <c r="V222" i="1"/>
  <c r="W222" i="1"/>
  <c r="X222" i="1"/>
  <c r="Y222" i="1"/>
  <c r="Z222" i="1"/>
  <c r="T223" i="1"/>
  <c r="U223" i="1"/>
  <c r="V223" i="1"/>
  <c r="W223" i="1"/>
  <c r="X223" i="1"/>
  <c r="Y223" i="1"/>
  <c r="Z223" i="1"/>
  <c r="T224" i="1"/>
  <c r="U224" i="1"/>
  <c r="V224" i="1"/>
  <c r="W224" i="1"/>
  <c r="X224" i="1"/>
  <c r="Y224" i="1"/>
  <c r="Z224" i="1"/>
  <c r="T225" i="1"/>
  <c r="U225" i="1"/>
  <c r="V225" i="1"/>
  <c r="W225" i="1"/>
  <c r="X225" i="1"/>
  <c r="Y225" i="1"/>
  <c r="Z225" i="1"/>
  <c r="T226" i="1"/>
  <c r="U226" i="1"/>
  <c r="V226" i="1"/>
  <c r="W226" i="1"/>
  <c r="X226" i="1"/>
  <c r="Y226" i="1"/>
  <c r="Z226" i="1"/>
  <c r="T227" i="1"/>
  <c r="U227" i="1"/>
  <c r="V227" i="1"/>
  <c r="W227" i="1"/>
  <c r="X227" i="1"/>
  <c r="Y227" i="1"/>
  <c r="Z227" i="1"/>
  <c r="T228" i="1"/>
  <c r="U228" i="1"/>
  <c r="V228" i="1"/>
  <c r="W228" i="1"/>
  <c r="X228" i="1"/>
  <c r="Y228" i="1"/>
  <c r="Z228" i="1"/>
  <c r="T229" i="1"/>
  <c r="U229" i="1"/>
  <c r="V229" i="1"/>
  <c r="W229" i="1"/>
  <c r="X229" i="1"/>
  <c r="Y229" i="1"/>
  <c r="Z229" i="1"/>
  <c r="T230" i="1"/>
  <c r="U230" i="1"/>
  <c r="V230" i="1"/>
  <c r="W230" i="1"/>
  <c r="X230" i="1"/>
  <c r="Y230" i="1"/>
  <c r="Z230" i="1"/>
  <c r="T231" i="1"/>
  <c r="U231" i="1"/>
  <c r="V231" i="1"/>
  <c r="W231" i="1"/>
  <c r="X231" i="1"/>
  <c r="Y231" i="1"/>
  <c r="Z231" i="1"/>
  <c r="T232" i="1"/>
  <c r="U232" i="1"/>
  <c r="V232" i="1"/>
  <c r="W232" i="1"/>
  <c r="X232" i="1"/>
  <c r="Y232" i="1"/>
  <c r="Z232" i="1"/>
  <c r="T233" i="1"/>
  <c r="U233" i="1"/>
  <c r="V233" i="1"/>
  <c r="W233" i="1"/>
  <c r="X233" i="1"/>
  <c r="Y233" i="1"/>
  <c r="Z233" i="1"/>
  <c r="T234" i="1"/>
  <c r="U234" i="1"/>
  <c r="V234" i="1"/>
  <c r="W234" i="1"/>
  <c r="X234" i="1"/>
  <c r="Y234" i="1"/>
  <c r="Z234" i="1"/>
  <c r="T235" i="1"/>
  <c r="U235" i="1"/>
  <c r="V235" i="1"/>
  <c r="W235" i="1"/>
  <c r="X235" i="1"/>
  <c r="Y235" i="1"/>
  <c r="Z235" i="1"/>
  <c r="T236" i="1"/>
  <c r="U236" i="1"/>
  <c r="V236" i="1"/>
  <c r="W236" i="1"/>
  <c r="X236" i="1"/>
  <c r="Y236" i="1"/>
  <c r="Z236" i="1"/>
  <c r="T237" i="1"/>
  <c r="U237" i="1"/>
  <c r="V237" i="1"/>
  <c r="W237" i="1"/>
  <c r="X237" i="1"/>
  <c r="Y237" i="1"/>
  <c r="Z237" i="1"/>
  <c r="T238" i="1"/>
  <c r="U238" i="1"/>
  <c r="V238" i="1"/>
  <c r="W238" i="1"/>
  <c r="X238" i="1"/>
  <c r="Y238" i="1"/>
  <c r="Z238" i="1"/>
  <c r="T239" i="1"/>
  <c r="U239" i="1"/>
  <c r="V239" i="1"/>
  <c r="W239" i="1"/>
  <c r="X239" i="1"/>
  <c r="Y239" i="1"/>
  <c r="Z239" i="1"/>
  <c r="T240" i="1"/>
  <c r="U240" i="1"/>
  <c r="V240" i="1"/>
  <c r="W240" i="1"/>
  <c r="X240" i="1"/>
  <c r="Y240" i="1"/>
  <c r="Z240" i="1"/>
  <c r="T241" i="1"/>
  <c r="U241" i="1"/>
  <c r="V241" i="1"/>
  <c r="W241" i="1"/>
  <c r="X241" i="1"/>
  <c r="Y241" i="1"/>
  <c r="Z241" i="1"/>
  <c r="T242" i="1"/>
  <c r="U242" i="1"/>
  <c r="V242" i="1"/>
  <c r="W242" i="1"/>
  <c r="X242" i="1"/>
  <c r="Y242" i="1"/>
  <c r="Z242" i="1"/>
  <c r="T243" i="1"/>
  <c r="U243" i="1"/>
  <c r="V243" i="1"/>
  <c r="W243" i="1"/>
  <c r="X243" i="1"/>
  <c r="Y243" i="1"/>
  <c r="Z243" i="1"/>
  <c r="T244" i="1"/>
  <c r="U244" i="1"/>
  <c r="V244" i="1"/>
  <c r="W244" i="1"/>
  <c r="X244" i="1"/>
  <c r="Y244" i="1"/>
  <c r="Z244" i="1"/>
  <c r="T245" i="1"/>
  <c r="U245" i="1"/>
  <c r="V245" i="1"/>
  <c r="W245" i="1"/>
  <c r="X245" i="1"/>
  <c r="Y245" i="1"/>
  <c r="Z245" i="1"/>
  <c r="T246" i="1"/>
  <c r="U246" i="1"/>
  <c r="V246" i="1"/>
  <c r="W246" i="1"/>
  <c r="X246" i="1"/>
  <c r="Y246" i="1"/>
  <c r="Z246" i="1"/>
  <c r="T247" i="1"/>
  <c r="U247" i="1"/>
  <c r="V247" i="1"/>
  <c r="W247" i="1"/>
  <c r="X247" i="1"/>
  <c r="Y247" i="1"/>
  <c r="Z247" i="1"/>
  <c r="T248" i="1"/>
  <c r="U248" i="1"/>
  <c r="V248" i="1"/>
  <c r="W248" i="1"/>
  <c r="X248" i="1"/>
  <c r="Y248" i="1"/>
  <c r="Z248" i="1"/>
  <c r="T249" i="1"/>
  <c r="U249" i="1"/>
  <c r="V249" i="1"/>
  <c r="W249" i="1"/>
  <c r="X249" i="1"/>
  <c r="Y249" i="1"/>
  <c r="Z249" i="1"/>
  <c r="T250" i="1"/>
  <c r="U250" i="1"/>
  <c r="V250" i="1"/>
  <c r="W250" i="1"/>
  <c r="X250" i="1"/>
  <c r="Y250" i="1"/>
  <c r="Z250" i="1"/>
  <c r="T251" i="1"/>
  <c r="U251" i="1"/>
  <c r="V251" i="1"/>
  <c r="W251" i="1"/>
  <c r="X251" i="1"/>
  <c r="Y251" i="1"/>
  <c r="Z251" i="1"/>
  <c r="T252" i="1"/>
  <c r="U252" i="1"/>
  <c r="V252" i="1"/>
  <c r="W252" i="1"/>
  <c r="X252" i="1"/>
  <c r="Y252" i="1"/>
  <c r="Z252" i="1"/>
  <c r="T253" i="1"/>
  <c r="U253" i="1"/>
  <c r="V253" i="1"/>
  <c r="W253" i="1"/>
  <c r="X253" i="1"/>
  <c r="Y253" i="1"/>
  <c r="Z253" i="1"/>
  <c r="T254" i="1"/>
  <c r="U254" i="1"/>
  <c r="V254" i="1"/>
  <c r="W254" i="1"/>
  <c r="X254" i="1"/>
  <c r="Y254" i="1"/>
  <c r="Z254" i="1"/>
  <c r="T255" i="1"/>
  <c r="U255" i="1"/>
  <c r="V255" i="1"/>
  <c r="W255" i="1"/>
  <c r="X255" i="1"/>
  <c r="Y255" i="1"/>
  <c r="Z255" i="1"/>
  <c r="T256" i="1"/>
  <c r="U256" i="1"/>
  <c r="V256" i="1"/>
  <c r="W256" i="1"/>
  <c r="X256" i="1"/>
  <c r="Y256" i="1"/>
  <c r="Z256" i="1"/>
  <c r="T257" i="1"/>
  <c r="U257" i="1"/>
  <c r="V257" i="1"/>
  <c r="W257" i="1"/>
  <c r="X257" i="1"/>
  <c r="Y257" i="1"/>
  <c r="Z257" i="1"/>
  <c r="U9" i="1"/>
  <c r="V9" i="1"/>
  <c r="W9" i="1"/>
  <c r="X9" i="1"/>
  <c r="Y9" i="1"/>
  <c r="Z9" i="1"/>
  <c r="T9" i="1"/>
  <c r="AD11" i="1"/>
  <c r="AD12" i="1" s="1"/>
  <c r="AE11" i="1"/>
  <c r="AE12" i="1" s="1"/>
  <c r="AF11" i="1"/>
  <c r="AF12" i="1" s="1"/>
  <c r="AG11" i="1"/>
  <c r="AG12" i="1" s="1"/>
  <c r="AH11" i="1"/>
  <c r="AH12" i="1" s="1"/>
  <c r="AI11" i="1"/>
  <c r="AI12" i="1" s="1"/>
  <c r="AC11" i="1"/>
  <c r="AC12" i="1" s="1"/>
  <c r="AD10" i="1"/>
  <c r="AE10" i="1"/>
  <c r="AF10" i="1"/>
  <c r="AG10" i="1"/>
  <c r="AH10" i="1"/>
  <c r="AI10" i="1"/>
  <c r="AC10" i="1"/>
  <c r="AC9" i="1"/>
  <c r="AD8" i="1"/>
  <c r="AE8" i="1"/>
  <c r="AF8" i="1"/>
  <c r="AG8" i="1"/>
  <c r="AH8" i="1"/>
  <c r="AI8" i="1"/>
  <c r="AC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9" i="1"/>
  <c r="D2" i="1"/>
  <c r="D3" i="1"/>
  <c r="D249" i="2"/>
  <c r="D250" i="2"/>
  <c r="D251" i="2"/>
  <c r="D252" i="2"/>
  <c r="D253" i="2"/>
  <c r="D244" i="2"/>
  <c r="D245" i="2"/>
  <c r="D246" i="2"/>
  <c r="D247" i="2"/>
  <c r="D248" i="2"/>
  <c r="D239" i="2"/>
  <c r="D240" i="2"/>
  <c r="D241" i="2"/>
  <c r="D242" i="2"/>
  <c r="D243" i="2"/>
  <c r="D235" i="2"/>
  <c r="D236" i="2"/>
  <c r="D237" i="2"/>
  <c r="D238" i="2"/>
  <c r="D230" i="2"/>
  <c r="D231" i="2"/>
  <c r="D232" i="2"/>
  <c r="D233" i="2"/>
  <c r="D234" i="2"/>
  <c r="D225" i="2"/>
  <c r="D226" i="2"/>
  <c r="D227" i="2"/>
  <c r="D228" i="2"/>
  <c r="D229" i="2"/>
  <c r="D220" i="2"/>
  <c r="D221" i="2"/>
  <c r="D222" i="2"/>
  <c r="D223" i="2"/>
  <c r="D224" i="2"/>
  <c r="D215" i="2"/>
  <c r="D216" i="2"/>
  <c r="D217" i="2"/>
  <c r="D218" i="2"/>
  <c r="D219" i="2"/>
  <c r="D210" i="2"/>
  <c r="D211" i="2"/>
  <c r="D212" i="2"/>
  <c r="D213" i="2"/>
  <c r="D214" i="2"/>
  <c r="D206" i="2"/>
  <c r="D207" i="2"/>
  <c r="D208" i="2"/>
  <c r="D209" i="2"/>
  <c r="D201" i="2"/>
  <c r="D202" i="2"/>
  <c r="D203" i="2"/>
  <c r="D204" i="2"/>
  <c r="D205" i="2"/>
  <c r="D196" i="2"/>
  <c r="D197" i="2"/>
  <c r="D198" i="2"/>
  <c r="D199" i="2"/>
  <c r="D200" i="2"/>
  <c r="D193" i="2"/>
  <c r="D194" i="2"/>
  <c r="D195" i="2"/>
  <c r="D192" i="2"/>
  <c r="D187" i="2"/>
  <c r="D188" i="2"/>
  <c r="D189" i="2"/>
  <c r="D190" i="2"/>
  <c r="D191" i="2"/>
  <c r="D183" i="2"/>
  <c r="D184" i="2"/>
  <c r="D185" i="2"/>
  <c r="D186" i="2"/>
  <c r="D178" i="2"/>
  <c r="D179" i="2"/>
  <c r="D180" i="2"/>
  <c r="D181" i="2"/>
  <c r="D182" i="2"/>
  <c r="D173" i="2"/>
  <c r="D174" i="2"/>
  <c r="D175" i="2"/>
  <c r="D176" i="2"/>
  <c r="D177" i="2"/>
  <c r="D168" i="2"/>
  <c r="D169" i="2"/>
  <c r="D170" i="2"/>
  <c r="D171" i="2"/>
  <c r="D172" i="2"/>
  <c r="D163" i="2"/>
  <c r="D164" i="2"/>
  <c r="D165" i="2"/>
  <c r="D166" i="2"/>
  <c r="D167" i="2"/>
  <c r="D158" i="2"/>
  <c r="D159" i="2"/>
  <c r="D160" i="2"/>
  <c r="D161" i="2"/>
  <c r="D162" i="2"/>
  <c r="D153" i="2"/>
  <c r="D154" i="2"/>
  <c r="D155" i="2"/>
  <c r="D156" i="2"/>
  <c r="D157" i="2"/>
  <c r="D148" i="2"/>
  <c r="D149" i="2"/>
  <c r="D150" i="2"/>
  <c r="D151" i="2"/>
  <c r="D152" i="2"/>
  <c r="D143" i="2"/>
  <c r="D144" i="2"/>
  <c r="D145" i="2"/>
  <c r="D146" i="2"/>
  <c r="D147" i="2"/>
  <c r="D139" i="2"/>
  <c r="D140" i="2"/>
  <c r="D141" i="2"/>
  <c r="D142" i="2"/>
  <c r="D134" i="2"/>
  <c r="D135" i="2"/>
  <c r="D136" i="2"/>
  <c r="D137" i="2"/>
  <c r="D138" i="2"/>
  <c r="D129" i="2"/>
  <c r="D130" i="2"/>
  <c r="D131" i="2"/>
  <c r="D132" i="2"/>
  <c r="D133" i="2"/>
  <c r="D124" i="2"/>
  <c r="D125" i="2"/>
  <c r="D126" i="2"/>
  <c r="D127" i="2"/>
  <c r="D128" i="2"/>
  <c r="D119" i="2"/>
  <c r="D120" i="2"/>
  <c r="D121" i="2"/>
  <c r="D122" i="2"/>
  <c r="D123" i="2"/>
  <c r="D114" i="2"/>
  <c r="D115" i="2"/>
  <c r="D116" i="2"/>
  <c r="D117" i="2"/>
  <c r="D118" i="2"/>
  <c r="D109" i="2"/>
  <c r="D110" i="2"/>
  <c r="D111" i="2"/>
  <c r="D112" i="2"/>
  <c r="D113" i="2"/>
  <c r="D104" i="2"/>
  <c r="D105" i="2"/>
  <c r="D106" i="2"/>
  <c r="D107" i="2"/>
  <c r="D108" i="2"/>
  <c r="D99" i="2"/>
  <c r="D100" i="2"/>
  <c r="D101" i="2"/>
  <c r="D102" i="2"/>
  <c r="D103" i="2"/>
  <c r="D94" i="2"/>
  <c r="D95" i="2"/>
  <c r="D96" i="2"/>
  <c r="D97" i="2"/>
  <c r="D98" i="2"/>
  <c r="D89" i="2"/>
  <c r="D90" i="2"/>
  <c r="D91" i="2"/>
  <c r="D92" i="2"/>
  <c r="D93" i="2"/>
  <c r="D84" i="2"/>
  <c r="D85" i="2"/>
  <c r="D86" i="2"/>
  <c r="D87" i="2"/>
  <c r="D88" i="2"/>
  <c r="D81" i="2"/>
  <c r="D82" i="2"/>
  <c r="D83" i="2"/>
  <c r="D80" i="2"/>
  <c r="D75" i="2"/>
  <c r="D76" i="2"/>
  <c r="D77" i="2"/>
  <c r="D78" i="2"/>
  <c r="D79" i="2"/>
  <c r="D70" i="2"/>
  <c r="D71" i="2"/>
  <c r="D72" i="2"/>
  <c r="D73" i="2"/>
  <c r="D74" i="2"/>
  <c r="D65" i="2"/>
  <c r="D66" i="2"/>
  <c r="D67" i="2"/>
  <c r="D68" i="2"/>
  <c r="D69" i="2"/>
  <c r="D62" i="2"/>
  <c r="D63" i="2"/>
  <c r="D64" i="2"/>
  <c r="D61" i="2"/>
  <c r="D58" i="2"/>
  <c r="D59" i="2"/>
  <c r="D60" i="2"/>
  <c r="D57" i="2"/>
  <c r="D52" i="2"/>
  <c r="D53" i="2"/>
  <c r="D54" i="2"/>
  <c r="D55" i="2"/>
  <c r="D56" i="2"/>
  <c r="D47" i="2"/>
  <c r="D48" i="2"/>
  <c r="D49" i="2"/>
  <c r="D50" i="2"/>
  <c r="D51" i="2"/>
  <c r="D43" i="2"/>
  <c r="D44" i="2"/>
  <c r="D45" i="2"/>
  <c r="D46" i="2"/>
  <c r="D38" i="2"/>
  <c r="D39" i="2"/>
  <c r="D40" i="2"/>
  <c r="D41" i="2"/>
  <c r="D42" i="2"/>
  <c r="D33" i="2"/>
  <c r="D34" i="2"/>
  <c r="D35" i="2"/>
  <c r="D36" i="2"/>
  <c r="D37" i="2"/>
  <c r="D28" i="2"/>
  <c r="D29" i="2"/>
  <c r="D30" i="2"/>
  <c r="D31" i="2"/>
  <c r="D32" i="2"/>
  <c r="D24" i="2"/>
  <c r="D25" i="2"/>
  <c r="D26" i="2"/>
  <c r="D27" i="2"/>
  <c r="D19" i="2"/>
  <c r="D20" i="2"/>
  <c r="D21" i="2"/>
  <c r="D22" i="2"/>
  <c r="D23" i="2"/>
  <c r="D14" i="2"/>
  <c r="D15" i="2"/>
  <c r="D16" i="2"/>
  <c r="D17" i="2"/>
  <c r="D18" i="2"/>
  <c r="D9" i="2"/>
  <c r="D10" i="2"/>
  <c r="D11" i="2"/>
  <c r="D12" i="2"/>
  <c r="D13" i="2"/>
  <c r="D5" i="2"/>
  <c r="D6" i="2"/>
  <c r="D7" i="2"/>
  <c r="D8" i="2"/>
  <c r="D4" i="2"/>
  <c r="AC60" i="1" l="1" a="1"/>
  <c r="AC60" i="1" s="1"/>
  <c r="AN3" i="1" s="1"/>
  <c r="AC59" i="1"/>
  <c r="AO3" i="1" s="1"/>
  <c r="AJ58" i="1"/>
  <c r="AE59" i="1" l="1"/>
  <c r="AC6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<sst xmlns="http://schemas.openxmlformats.org/spreadsheetml/2006/main" count="417" uniqueCount="314">
  <si>
    <t>Date</t>
  </si>
  <si>
    <t>Open</t>
  </si>
  <si>
    <t>High</t>
  </si>
  <si>
    <t>Low</t>
  </si>
  <si>
    <t>Vol.</t>
  </si>
  <si>
    <t>Change %</t>
  </si>
  <si>
    <t>FTFRUR</t>
  </si>
  <si>
    <t>FTSE RAFI US 100 Real Estate</t>
  </si>
  <si>
    <t>DJI</t>
  </si>
  <si>
    <t>Dow Jones Industrial Average</t>
  </si>
  <si>
    <t>United States 10-Year Bond Yield</t>
  </si>
  <si>
    <t>US-10Yr Bond</t>
  </si>
  <si>
    <t>Micro Silver Fut</t>
  </si>
  <si>
    <t>Gold Fut</t>
  </si>
  <si>
    <t>SPY</t>
  </si>
  <si>
    <t>Bitcoin</t>
  </si>
  <si>
    <t>58.03K</t>
  </si>
  <si>
    <t>70.63K</t>
  </si>
  <si>
    <t>72.98K</t>
  </si>
  <si>
    <t>79.48K</t>
  </si>
  <si>
    <t>89.61K</t>
  </si>
  <si>
    <t>99.06K</t>
  </si>
  <si>
    <t>67.11K</t>
  </si>
  <si>
    <t>77.24K</t>
  </si>
  <si>
    <t>93.01K</t>
  </si>
  <si>
    <t>90.37K</t>
  </si>
  <si>
    <t>76.77K</t>
  </si>
  <si>
    <t>89.38K</t>
  </si>
  <si>
    <t>136.55K</t>
  </si>
  <si>
    <t>80.59K</t>
  </si>
  <si>
    <t>108.80K</t>
  </si>
  <si>
    <t>71.35K</t>
  </si>
  <si>
    <t>75.21K</t>
  </si>
  <si>
    <t>72.07K</t>
  </si>
  <si>
    <t>105.59K</t>
  </si>
  <si>
    <t>79.66K</t>
  </si>
  <si>
    <t>108.84K</t>
  </si>
  <si>
    <t>90.38K</t>
  </si>
  <si>
    <t>53.72K</t>
  </si>
  <si>
    <t>56.70K</t>
  </si>
  <si>
    <t>54.94K</t>
  </si>
  <si>
    <t>70.10K</t>
  </si>
  <si>
    <t>79.76K</t>
  </si>
  <si>
    <t>89.97K</t>
  </si>
  <si>
    <t>70.29K</t>
  </si>
  <si>
    <t>89.05K</t>
  </si>
  <si>
    <t>234.06K</t>
  </si>
  <si>
    <t>259.10K</t>
  </si>
  <si>
    <t>113.35K</t>
  </si>
  <si>
    <t>112.17K</t>
  </si>
  <si>
    <t>124.03K</t>
  </si>
  <si>
    <t>109.59K</t>
  </si>
  <si>
    <t>95.05K</t>
  </si>
  <si>
    <t>50.90K</t>
  </si>
  <si>
    <t>49.57K</t>
  </si>
  <si>
    <t>65.76K</t>
  </si>
  <si>
    <t>49.44K</t>
  </si>
  <si>
    <t>41.98K</t>
  </si>
  <si>
    <t>73.67K</t>
  </si>
  <si>
    <t>72.37K</t>
  </si>
  <si>
    <t>43.13K</t>
  </si>
  <si>
    <t>74.07K</t>
  </si>
  <si>
    <t>93.40K</t>
  </si>
  <si>
    <t>84.97K</t>
  </si>
  <si>
    <t>57.93K</t>
  </si>
  <si>
    <t>52.89K</t>
  </si>
  <si>
    <t>58.38K</t>
  </si>
  <si>
    <t>54.26K</t>
  </si>
  <si>
    <t>64.90K</t>
  </si>
  <si>
    <t>73.27K</t>
  </si>
  <si>
    <t>62.70K</t>
  </si>
  <si>
    <t>45.91K</t>
  </si>
  <si>
    <t>49.16K</t>
  </si>
  <si>
    <t>75.31K</t>
  </si>
  <si>
    <t>66.26K</t>
  </si>
  <si>
    <t>35.44K</t>
  </si>
  <si>
    <t>49.12K</t>
  </si>
  <si>
    <t>53.40K</t>
  </si>
  <si>
    <t>64.26K</t>
  </si>
  <si>
    <t>73.95K</t>
  </si>
  <si>
    <t>61.48K</t>
  </si>
  <si>
    <t>59.23K</t>
  </si>
  <si>
    <t>61.65K</t>
  </si>
  <si>
    <t>49.84K</t>
  </si>
  <si>
    <t>65.64K</t>
  </si>
  <si>
    <t>61.84K</t>
  </si>
  <si>
    <t>68.38K</t>
  </si>
  <si>
    <t>51.82K</t>
  </si>
  <si>
    <t>61.14K</t>
  </si>
  <si>
    <t>60.28K</t>
  </si>
  <si>
    <t>79.02K</t>
  </si>
  <si>
    <t>87.36K</t>
  </si>
  <si>
    <t>105.96K</t>
  </si>
  <si>
    <t>60.08K</t>
  </si>
  <si>
    <t>70.68K</t>
  </si>
  <si>
    <t>70.67K</t>
  </si>
  <si>
    <t>81.64K</t>
  </si>
  <si>
    <t>177.95K</t>
  </si>
  <si>
    <t>114.40K</t>
  </si>
  <si>
    <t>95.86K</t>
  </si>
  <si>
    <t>115.10K</t>
  </si>
  <si>
    <t>109.89K</t>
  </si>
  <si>
    <t>131.30K</t>
  </si>
  <si>
    <t>100.44K</t>
  </si>
  <si>
    <t>63.52K</t>
  </si>
  <si>
    <t>73.04K</t>
  </si>
  <si>
    <t>70.75K</t>
  </si>
  <si>
    <t>41.41K</t>
  </si>
  <si>
    <t>94.27K</t>
  </si>
  <si>
    <t>78.43K</t>
  </si>
  <si>
    <t>98.50K</t>
  </si>
  <si>
    <t>134.18K</t>
  </si>
  <si>
    <t>85.37K</t>
  </si>
  <si>
    <t>68.61K</t>
  </si>
  <si>
    <t>80.07K</t>
  </si>
  <si>
    <t>66.99K</t>
  </si>
  <si>
    <t>52.49K</t>
  </si>
  <si>
    <t>70.79K</t>
  </si>
  <si>
    <t>51.79K</t>
  </si>
  <si>
    <t>59.44K</t>
  </si>
  <si>
    <t>86.97K</t>
  </si>
  <si>
    <t>108.22K</t>
  </si>
  <si>
    <t>64.94K</t>
  </si>
  <si>
    <t>40.28K</t>
  </si>
  <si>
    <t>106.66K</t>
  </si>
  <si>
    <t>92.62K</t>
  </si>
  <si>
    <t>72.25K</t>
  </si>
  <si>
    <t>95.33K</t>
  </si>
  <si>
    <t>153.63K</t>
  </si>
  <si>
    <t>67.35K</t>
  </si>
  <si>
    <t>57.67K</t>
  </si>
  <si>
    <t>70.42K</t>
  </si>
  <si>
    <t>68.95K</t>
  </si>
  <si>
    <t>81.43K</t>
  </si>
  <si>
    <t>69.08K</t>
  </si>
  <si>
    <t>69.15K</t>
  </si>
  <si>
    <t>53.07K</t>
  </si>
  <si>
    <t>55.53K</t>
  </si>
  <si>
    <t>69.14K</t>
  </si>
  <si>
    <t>43.29K</t>
  </si>
  <si>
    <t>44.21K</t>
  </si>
  <si>
    <t>67.57K</t>
  </si>
  <si>
    <t>36.98K</t>
  </si>
  <si>
    <t>46.50K</t>
  </si>
  <si>
    <t>56.85K</t>
  </si>
  <si>
    <t>43.05K</t>
  </si>
  <si>
    <t>48.68K</t>
  </si>
  <si>
    <t>56.48K</t>
  </si>
  <si>
    <t>47.81K</t>
  </si>
  <si>
    <t>62.24K</t>
  </si>
  <si>
    <t>53.76K</t>
  </si>
  <si>
    <t>41.95K</t>
  </si>
  <si>
    <t>63.56K</t>
  </si>
  <si>
    <t>43.30K</t>
  </si>
  <si>
    <t>60.02K</t>
  </si>
  <si>
    <t>69.98K</t>
  </si>
  <si>
    <t>41.38K</t>
  </si>
  <si>
    <t>44.41K</t>
  </si>
  <si>
    <t>62.08K</t>
  </si>
  <si>
    <t>76.94K</t>
  </si>
  <si>
    <t>72.83K</t>
  </si>
  <si>
    <t>43.00K</t>
  </si>
  <si>
    <t>54.63K</t>
  </si>
  <si>
    <t>62.15K</t>
  </si>
  <si>
    <t>58.82K</t>
  </si>
  <si>
    <t>45.23K</t>
  </si>
  <si>
    <t>86.59K</t>
  </si>
  <si>
    <t>76.09K</t>
  </si>
  <si>
    <t>56.86K</t>
  </si>
  <si>
    <t>81.13K</t>
  </si>
  <si>
    <t>39.88K</t>
  </si>
  <si>
    <t>47.52K</t>
  </si>
  <si>
    <t>34.73K</t>
  </si>
  <si>
    <t>36.55K</t>
  </si>
  <si>
    <t>77.85K</t>
  </si>
  <si>
    <t>56.43K</t>
  </si>
  <si>
    <t>48.17K</t>
  </si>
  <si>
    <t>51.88K</t>
  </si>
  <si>
    <t>61.81K</t>
  </si>
  <si>
    <t>131.51K</t>
  </si>
  <si>
    <t>55.00K</t>
  </si>
  <si>
    <t>50.19K</t>
  </si>
  <si>
    <t>70.23K</t>
  </si>
  <si>
    <t>54.78K</t>
  </si>
  <si>
    <t>66.90K</t>
  </si>
  <si>
    <t>55.75K</t>
  </si>
  <si>
    <t>60.71K</t>
  </si>
  <si>
    <t>113.79K</t>
  </si>
  <si>
    <t>89.94K</t>
  </si>
  <si>
    <t>89.27K</t>
  </si>
  <si>
    <t>82.26K</t>
  </si>
  <si>
    <t>56.81K</t>
  </si>
  <si>
    <t>32.36K</t>
  </si>
  <si>
    <t>35.34K</t>
  </si>
  <si>
    <t>45.39K</t>
  </si>
  <si>
    <t>62.51K</t>
  </si>
  <si>
    <t>37.46K</t>
  </si>
  <si>
    <t>46.24K</t>
  </si>
  <si>
    <t>38.70K</t>
  </si>
  <si>
    <t>58.14K</t>
  </si>
  <si>
    <t>52.81K</t>
  </si>
  <si>
    <t>83.16K</t>
  </si>
  <si>
    <t>51.48K</t>
  </si>
  <si>
    <t>45.60K</t>
  </si>
  <si>
    <t>60.73K</t>
  </si>
  <si>
    <t>50.95K</t>
  </si>
  <si>
    <t>73.84K</t>
  </si>
  <si>
    <t>59.87K</t>
  </si>
  <si>
    <t>44.80K</t>
  </si>
  <si>
    <t>58.28K</t>
  </si>
  <si>
    <t>64.28K</t>
  </si>
  <si>
    <t>61.97K</t>
  </si>
  <si>
    <t>73.53K</t>
  </si>
  <si>
    <t>50.06K</t>
  </si>
  <si>
    <t>49.47K</t>
  </si>
  <si>
    <t>46.44K</t>
  </si>
  <si>
    <t>71.98K</t>
  </si>
  <si>
    <t>70.02K</t>
  </si>
  <si>
    <t>51.84K</t>
  </si>
  <si>
    <t>65.02K</t>
  </si>
  <si>
    <t>87.57K</t>
  </si>
  <si>
    <t>96.35K</t>
  </si>
  <si>
    <t>124.17K</t>
  </si>
  <si>
    <t>76.08K</t>
  </si>
  <si>
    <t>90.49K</t>
  </si>
  <si>
    <t>53.27K</t>
  </si>
  <si>
    <t>59.68K</t>
  </si>
  <si>
    <t>55.58K</t>
  </si>
  <si>
    <t>71.91K</t>
  </si>
  <si>
    <t>90.21K</t>
  </si>
  <si>
    <t>87.34K</t>
  </si>
  <si>
    <t>110.60K</t>
  </si>
  <si>
    <t>59.98K</t>
  </si>
  <si>
    <t>55.76K</t>
  </si>
  <si>
    <t>59.21K</t>
  </si>
  <si>
    <t>51.94K</t>
  </si>
  <si>
    <t>74.56K</t>
  </si>
  <si>
    <t>57.10K</t>
  </si>
  <si>
    <t>59.86K</t>
  </si>
  <si>
    <t>73.63K</t>
  </si>
  <si>
    <t>92.04K</t>
  </si>
  <si>
    <t>66.68K</t>
  </si>
  <si>
    <t>90.35K</t>
  </si>
  <si>
    <t>130.17K</t>
  </si>
  <si>
    <t>49.28K</t>
  </si>
  <si>
    <t>63.97K</t>
  </si>
  <si>
    <t>62.45K</t>
  </si>
  <si>
    <t>78.03K</t>
  </si>
  <si>
    <t>94.62K</t>
  </si>
  <si>
    <t>92.83K</t>
  </si>
  <si>
    <t>172.18K</t>
  </si>
  <si>
    <t>93.88K</t>
  </si>
  <si>
    <t>170.57K</t>
  </si>
  <si>
    <t>91.54K</t>
  </si>
  <si>
    <t>83.15K</t>
  </si>
  <si>
    <t>104.05K</t>
  </si>
  <si>
    <t>66.72K</t>
  </si>
  <si>
    <t>61.76K</t>
  </si>
  <si>
    <t>85.25K</t>
  </si>
  <si>
    <t>56.49K</t>
  </si>
  <si>
    <t>62.04K</t>
  </si>
  <si>
    <t>75.24K</t>
  </si>
  <si>
    <t>95.71K</t>
  </si>
  <si>
    <t>(Figures in '$)</t>
  </si>
  <si>
    <t>This workbook builds a portfolio optimisation model across seven asset classes covering equities, fixed income, commodities, real estate, and digital assets:</t>
  </si>
  <si>
    <t>Gold Futures (GCc4 — Jun 2026)</t>
  </si>
  <si>
    <t>Micro Silver Futures (SILc1 — Mar 2026)</t>
  </si>
  <si>
    <t>SPDR S&amp;P 500 ETF Trust (SPY)</t>
  </si>
  <si>
    <t>What the project covers</t>
  </si>
  <si>
    <t>We then evaluate and compare three portfolio scenarios:</t>
  </si>
  <si>
    <t>Scenario</t>
  </si>
  <si>
    <t>Objective</t>
  </si>
  <si>
    <t>Equal Weight</t>
  </si>
  <si>
    <t>Each asset receives an identical allocation — serves as the baseline</t>
  </si>
  <si>
    <t>Minimum Variance</t>
  </si>
  <si>
    <t>Lowest possible portfolio risk regardless of return</t>
  </si>
  <si>
    <t>Maximum Sharpe Ratio</t>
  </si>
  <si>
    <t>Highest return per unit of risk taken (the most efficient portfolio)</t>
  </si>
  <si>
    <t>The outcome</t>
  </si>
  <si>
    <t>Start Date:</t>
  </si>
  <si>
    <t>End Date:</t>
  </si>
  <si>
    <t>Portfolio Optimisation - Multi-Asset Class Study</t>
  </si>
  <si>
    <t>#</t>
  </si>
  <si>
    <t>Using Modern Portfolio Theory, we calculate individual asset returns, variances, and the cross-asset covariance matrix to construct the efficient frontier</t>
  </si>
  <si>
    <t>,the set of portfolios that offer the best possible return for a given level of risk.</t>
  </si>
  <si>
    <t>By the end of the project, we will have a working frontier model, a clear understanding of how diversification across uncorrelated asset classes reduces risk,</t>
  </si>
  <si>
    <t xml:space="preserve"> and a practical framework for making data-driven allocation decisions.</t>
  </si>
  <si>
    <t>End</t>
  </si>
  <si>
    <t>Asset</t>
  </si>
  <si>
    <t>Close</t>
  </si>
  <si>
    <t>Daily Returns</t>
  </si>
  <si>
    <t>Expected Returns (E(r))</t>
  </si>
  <si>
    <t>No of observations (N)</t>
  </si>
  <si>
    <t>Variance (σ^2)</t>
  </si>
  <si>
    <t>Std Dev (σ)</t>
  </si>
  <si>
    <t>Sharpe Ratio E(r)/σ</t>
  </si>
  <si>
    <t>Var-Covariance</t>
  </si>
  <si>
    <t>{=-MMULT(TRANSPOSE(x),x/(n-1))}</t>
  </si>
  <si>
    <t>Correlation Matrix</t>
  </si>
  <si>
    <t>Equaly Weighted</t>
  </si>
  <si>
    <t>E(Rp)</t>
  </si>
  <si>
    <t>σp</t>
  </si>
  <si>
    <t>E(Rp)/σp</t>
  </si>
  <si>
    <t>Min-Variance</t>
  </si>
  <si>
    <t>Daily Returns - Avg(daily Returns)</t>
  </si>
  <si>
    <t>X</t>
  </si>
  <si>
    <r>
      <t>(</t>
    </r>
    <r>
      <rPr>
        <i/>
        <sz val="10"/>
        <color theme="1"/>
        <rFont val="Calibri"/>
        <family val="2"/>
      </rPr>
      <t>∑</t>
    </r>
    <r>
      <rPr>
        <i/>
        <sz val="10"/>
        <color theme="1"/>
        <rFont val="Arial"/>
        <family val="2"/>
      </rPr>
      <t>σTσ)^1/2)</t>
    </r>
  </si>
  <si>
    <t>Max-Variance</t>
  </si>
  <si>
    <t>/day</t>
  </si>
  <si>
    <t>/year</t>
  </si>
  <si>
    <t>Rand Array</t>
  </si>
  <si>
    <t>Trails</t>
  </si>
  <si>
    <t>Overview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</si>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</sst>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8" formatCode="0.0%"/>
    <numFmt numFmtId="170" formatCode="0.0000"/>
    <numFmt numFmtId="171" formatCode="0.000%"/>
    <numFmt numFmtId="174" formatCode="0.000000"/>
  </numFmts>
  <fonts count="1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theme="1"/>
      <name val="Arial"/>
      <family val="2"/>
    </font>
    <font>
      <i/>
      <sz val="10"/>
      <color theme="0"/>
      <name val="Arial"/>
      <family val="2"/>
    </font>
    <font>
      <b/>
      <u/>
      <sz val="10"/>
      <color theme="1"/>
      <name val="Arial"/>
      <family val="2"/>
    </font>
    <font>
      <i/>
      <sz val="11"/>
      <color theme="1"/>
      <name val="Calibri"/>
      <family val="2"/>
    </font>
    <font>
      <i/>
      <sz val="10"/>
      <color theme="1"/>
      <name val="Arial"/>
      <family val="2"/>
    </font>
    <font>
      <i/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1440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7">
    <xf numFmtId="0" fontId="0" fillId="0" borderId="0" xfId="0"/>
    <xf numFmtId="0" fontId="3" fillId="2" borderId="0" xfId="0" applyFont="1" applyFill="1"/>
    <xf numFmtId="0" fontId="4" fillId="0" borderId="0" xfId="0" applyFont="1"/>
    <xf numFmtId="0" fontId="5" fillId="2" borderId="0" xfId="0" applyFont="1" applyFill="1"/>
    <xf numFmtId="0" fontId="6" fillId="2" borderId="0" xfId="0" applyFont="1" applyFill="1"/>
    <xf numFmtId="14" fontId="4" fillId="0" borderId="0" xfId="0" applyNumberFormat="1" applyFont="1"/>
    <xf numFmtId="4" fontId="4" fillId="0" borderId="0" xfId="0" applyNumberFormat="1" applyFont="1"/>
    <xf numFmtId="10" fontId="4" fillId="0" borderId="0" xfId="0" applyNumberFormat="1" applyFont="1"/>
    <xf numFmtId="15" fontId="4" fillId="0" borderId="0" xfId="0" applyNumberFormat="1" applyFont="1"/>
    <xf numFmtId="4" fontId="0" fillId="0" borderId="0" xfId="0" applyNumberFormat="1"/>
    <xf numFmtId="10" fontId="0" fillId="0" borderId="0" xfId="0" applyNumberFormat="1"/>
    <xf numFmtId="14" fontId="0" fillId="0" borderId="0" xfId="0" applyNumberFormat="1"/>
    <xf numFmtId="0" fontId="7" fillId="0" borderId="0" xfId="0" applyFont="1"/>
    <xf numFmtId="0" fontId="7" fillId="0" borderId="0" xfId="0" applyFont="1" applyAlignment="1">
      <alignment horizontal="center"/>
    </xf>
    <xf numFmtId="0" fontId="4" fillId="0" borderId="0" xfId="0" applyFont="1" applyAlignment="1"/>
    <xf numFmtId="0" fontId="8" fillId="2" borderId="0" xfId="0" applyFont="1" applyFill="1"/>
    <xf numFmtId="0" fontId="4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4" fillId="0" borderId="1" xfId="0" applyFont="1" applyBorder="1"/>
    <xf numFmtId="0" fontId="7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7" fillId="0" borderId="1" xfId="0" applyFont="1" applyBorder="1"/>
    <xf numFmtId="0" fontId="4" fillId="0" borderId="1" xfId="0" applyFont="1" applyBorder="1" applyAlignment="1"/>
    <xf numFmtId="14" fontId="4" fillId="0" borderId="0" xfId="0" applyNumberFormat="1" applyFont="1" applyAlignment="1">
      <alignment horizontal="left"/>
    </xf>
    <xf numFmtId="4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Border="1"/>
    <xf numFmtId="0" fontId="9" fillId="0" borderId="0" xfId="0" applyFont="1"/>
    <xf numFmtId="10" fontId="4" fillId="0" borderId="0" xfId="1" applyNumberFormat="1" applyFont="1"/>
    <xf numFmtId="170" fontId="4" fillId="0" borderId="0" xfId="0" applyNumberFormat="1" applyFont="1"/>
    <xf numFmtId="171" fontId="4" fillId="0" borderId="0" xfId="1" applyNumberFormat="1" applyFont="1"/>
    <xf numFmtId="0" fontId="0" fillId="0" borderId="0" xfId="0" applyFill="1" applyBorder="1" applyAlignment="1"/>
    <xf numFmtId="0" fontId="0" fillId="0" borderId="6" xfId="0" applyFill="1" applyBorder="1" applyAlignment="1"/>
    <xf numFmtId="0" fontId="10" fillId="0" borderId="7" xfId="0" applyFont="1" applyFill="1" applyBorder="1" applyAlignment="1">
      <alignment horizontal="center"/>
    </xf>
    <xf numFmtId="0" fontId="10" fillId="0" borderId="7" xfId="0" applyFont="1" applyFill="1" applyBorder="1" applyAlignment="1">
      <alignment horizontal="left"/>
    </xf>
    <xf numFmtId="168" fontId="0" fillId="0" borderId="0" xfId="1" applyNumberFormat="1" applyFont="1" applyFill="1" applyBorder="1" applyAlignment="1"/>
    <xf numFmtId="174" fontId="10" fillId="0" borderId="0" xfId="1" applyNumberFormat="1" applyFont="1" applyFill="1" applyBorder="1" applyAlignment="1"/>
    <xf numFmtId="174" fontId="10" fillId="0" borderId="6" xfId="1" applyNumberFormat="1" applyFont="1" applyFill="1" applyBorder="1" applyAlignment="1"/>
    <xf numFmtId="174" fontId="10" fillId="0" borderId="0" xfId="0" applyNumberFormat="1" applyFont="1" applyFill="1" applyBorder="1" applyAlignment="1"/>
    <xf numFmtId="174" fontId="10" fillId="0" borderId="6" xfId="0" applyNumberFormat="1" applyFont="1" applyFill="1" applyBorder="1" applyAlignment="1"/>
    <xf numFmtId="0" fontId="4" fillId="0" borderId="0" xfId="0" applyFont="1" applyAlignment="1">
      <alignment horizontal="right"/>
    </xf>
    <xf numFmtId="0" fontId="11" fillId="0" borderId="0" xfId="0" applyFont="1"/>
    <xf numFmtId="10" fontId="0" fillId="3" borderId="0" xfId="1" applyNumberFormat="1" applyFont="1" applyFill="1" applyBorder="1" applyAlignment="1"/>
    <xf numFmtId="168" fontId="0" fillId="0" borderId="8" xfId="1" applyNumberFormat="1" applyFont="1" applyFill="1" applyBorder="1" applyAlignment="1"/>
    <xf numFmtId="171" fontId="4" fillId="0" borderId="0" xfId="0" applyNumberFormat="1" applyFont="1"/>
    <xf numFmtId="0" fontId="4" fillId="0" borderId="9" xfId="0" applyFont="1" applyBorder="1"/>
    <xf numFmtId="0" fontId="2" fillId="0" borderId="10" xfId="0" applyFont="1" applyFill="1" applyBorder="1" applyAlignment="1"/>
    <xf numFmtId="0" fontId="2" fillId="0" borderId="11" xfId="0" applyFont="1" applyFill="1" applyBorder="1" applyAlignment="1"/>
    <xf numFmtId="0" fontId="7" fillId="0" borderId="2" xfId="0" applyFont="1" applyBorder="1" applyAlignment="1">
      <alignment horizontal="right"/>
    </xf>
    <xf numFmtId="10" fontId="0" fillId="3" borderId="4" xfId="1" applyNumberFormat="1" applyFont="1" applyFill="1" applyBorder="1" applyAlignment="1"/>
    <xf numFmtId="0" fontId="4" fillId="0" borderId="2" xfId="0" applyFont="1" applyBorder="1" applyAlignment="1">
      <alignment horizontal="right"/>
    </xf>
    <xf numFmtId="0" fontId="0" fillId="0" borderId="4" xfId="0" applyFill="1" applyBorder="1" applyAlignment="1"/>
    <xf numFmtId="0" fontId="4" fillId="0" borderId="3" xfId="0" applyFont="1" applyBorder="1" applyAlignment="1">
      <alignment horizontal="right"/>
    </xf>
    <xf numFmtId="0" fontId="0" fillId="0" borderId="1" xfId="0" applyFill="1" applyBorder="1" applyAlignment="1"/>
    <xf numFmtId="0" fontId="0" fillId="0" borderId="5" xfId="0" applyFill="1" applyBorder="1" applyAlignment="1"/>
    <xf numFmtId="10" fontId="0" fillId="3" borderId="9" xfId="1" applyNumberFormat="1" applyFont="1" applyFill="1" applyBorder="1" applyAlignment="1"/>
    <xf numFmtId="10" fontId="0" fillId="3" borderId="10" xfId="1" applyNumberFormat="1" applyFont="1" applyFill="1" applyBorder="1" applyAlignment="1"/>
    <xf numFmtId="10" fontId="0" fillId="3" borderId="11" xfId="1" applyNumberFormat="1" applyFont="1" applyFill="1" applyBorder="1" applyAlignment="1"/>
    <xf numFmtId="171" fontId="0" fillId="3" borderId="2" xfId="1" applyNumberFormat="1" applyFont="1" applyFill="1" applyBorder="1" applyAlignment="1"/>
    <xf numFmtId="170" fontId="0" fillId="3" borderId="3" xfId="0" applyNumberFormat="1" applyFill="1" applyBorder="1" applyAlignment="1"/>
    <xf numFmtId="170" fontId="4" fillId="3" borderId="9" xfId="0" applyNumberFormat="1" applyFont="1" applyFill="1" applyBorder="1"/>
    <xf numFmtId="170" fontId="4" fillId="3" borderId="10" xfId="0" applyNumberFormat="1" applyFont="1" applyFill="1" applyBorder="1"/>
    <xf numFmtId="170" fontId="4" fillId="3" borderId="11" xfId="0" applyNumberFormat="1" applyFont="1" applyFill="1" applyBorder="1"/>
    <xf numFmtId="10" fontId="0" fillId="3" borderId="2" xfId="1" applyNumberFormat="1" applyFont="1" applyFill="1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14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Efficient</a:t>
            </a:r>
            <a:r>
              <a:rPr lang="en-IN" baseline="0"/>
              <a:t> Frontier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star"/>
            <c:size val="2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Optimisation!$AN$3:$AN$10003</c:f>
              <c:numCache>
                <c:formatCode>0.000%</c:formatCode>
                <c:ptCount val="10001"/>
                <c:pt idx="0">
                  <c:v>9.7891573588845902E-3</c:v>
                </c:pt>
                <c:pt idx="1">
                  <c:v>9.9520378092222694E-3</c:v>
                </c:pt>
                <c:pt idx="2">
                  <c:v>1.1278292406993535E-2</c:v>
                </c:pt>
                <c:pt idx="3">
                  <c:v>9.9151873752033638E-3</c:v>
                </c:pt>
                <c:pt idx="4">
                  <c:v>1.2678678809797912E-2</c:v>
                </c:pt>
                <c:pt idx="5">
                  <c:v>1.3691179659263671E-2</c:v>
                </c:pt>
                <c:pt idx="6">
                  <c:v>1.0508963235347535E-2</c:v>
                </c:pt>
                <c:pt idx="7">
                  <c:v>1.219272497427722E-2</c:v>
                </c:pt>
                <c:pt idx="8">
                  <c:v>1.1779998441740358E-2</c:v>
                </c:pt>
                <c:pt idx="9">
                  <c:v>1.2622383045601412E-2</c:v>
                </c:pt>
                <c:pt idx="10">
                  <c:v>1.1799013297653147E-2</c:v>
                </c:pt>
                <c:pt idx="11">
                  <c:v>1.1861951157547731E-2</c:v>
                </c:pt>
                <c:pt idx="12">
                  <c:v>1.0007412084401332E-2</c:v>
                </c:pt>
                <c:pt idx="13">
                  <c:v>1.0756265768030992E-2</c:v>
                </c:pt>
                <c:pt idx="14">
                  <c:v>1.1453266583533541E-2</c:v>
                </c:pt>
                <c:pt idx="15">
                  <c:v>8.0510302647223662E-3</c:v>
                </c:pt>
                <c:pt idx="16">
                  <c:v>1.241124706557506E-2</c:v>
                </c:pt>
                <c:pt idx="17">
                  <c:v>7.3662590882942053E-3</c:v>
                </c:pt>
                <c:pt idx="18">
                  <c:v>1.0452726606674812E-2</c:v>
                </c:pt>
                <c:pt idx="19">
                  <c:v>1.0376457508082975E-2</c:v>
                </c:pt>
                <c:pt idx="20">
                  <c:v>1.1068068623708136E-2</c:v>
                </c:pt>
                <c:pt idx="21">
                  <c:v>1.027466364992944E-2</c:v>
                </c:pt>
                <c:pt idx="22">
                  <c:v>1.3048487790052752E-2</c:v>
                </c:pt>
                <c:pt idx="23">
                  <c:v>1.5171899064595533E-2</c:v>
                </c:pt>
                <c:pt idx="24">
                  <c:v>1.0183782832159895E-2</c:v>
                </c:pt>
                <c:pt idx="25">
                  <c:v>9.775475131810072E-3</c:v>
                </c:pt>
                <c:pt idx="26">
                  <c:v>1.0520238293948927E-2</c:v>
                </c:pt>
                <c:pt idx="27">
                  <c:v>1.130327064039453E-2</c:v>
                </c:pt>
                <c:pt idx="28">
                  <c:v>1.499268901868304E-2</c:v>
                </c:pt>
                <c:pt idx="29">
                  <c:v>1.0175563304326436E-2</c:v>
                </c:pt>
                <c:pt idx="30">
                  <c:v>1.1971739733497473E-2</c:v>
                </c:pt>
                <c:pt idx="31">
                  <c:v>1.4112899480892529E-2</c:v>
                </c:pt>
                <c:pt idx="32">
                  <c:v>1.5438211782936868E-2</c:v>
                </c:pt>
                <c:pt idx="33">
                  <c:v>1.0803551856363206E-2</c:v>
                </c:pt>
                <c:pt idx="34">
                  <c:v>8.4029460170419856E-3</c:v>
                </c:pt>
                <c:pt idx="35">
                  <c:v>1.0143721822935922E-2</c:v>
                </c:pt>
                <c:pt idx="36">
                  <c:v>1.0563192313952566E-2</c:v>
                </c:pt>
                <c:pt idx="37">
                  <c:v>1.0899170091758044E-2</c:v>
                </c:pt>
                <c:pt idx="38">
                  <c:v>1.0311746546187238E-2</c:v>
                </c:pt>
                <c:pt idx="39">
                  <c:v>1.0678030136204514E-2</c:v>
                </c:pt>
                <c:pt idx="40">
                  <c:v>9.0414987718286377E-3</c:v>
                </c:pt>
                <c:pt idx="41">
                  <c:v>9.2183588717834296E-3</c:v>
                </c:pt>
                <c:pt idx="42">
                  <c:v>1.0845648671791176E-2</c:v>
                </c:pt>
                <c:pt idx="43">
                  <c:v>1.0002984136296135E-2</c:v>
                </c:pt>
                <c:pt idx="44">
                  <c:v>1.0236578029527014E-2</c:v>
                </c:pt>
                <c:pt idx="45">
                  <c:v>1.5582466223602568E-2</c:v>
                </c:pt>
                <c:pt idx="46">
                  <c:v>1.3914037510111721E-2</c:v>
                </c:pt>
                <c:pt idx="47">
                  <c:v>1.3119407564932064E-2</c:v>
                </c:pt>
                <c:pt idx="48">
                  <c:v>8.2346274632917969E-3</c:v>
                </c:pt>
                <c:pt idx="49">
                  <c:v>1.1151462257847435E-2</c:v>
                </c:pt>
                <c:pt idx="50">
                  <c:v>1.307833918314231E-2</c:v>
                </c:pt>
                <c:pt idx="51">
                  <c:v>1.3007456290215462E-2</c:v>
                </c:pt>
                <c:pt idx="52">
                  <c:v>1.4197892201786588E-2</c:v>
                </c:pt>
                <c:pt idx="53">
                  <c:v>1.1655186658026092E-2</c:v>
                </c:pt>
                <c:pt idx="54">
                  <c:v>1.7299795004028527E-2</c:v>
                </c:pt>
                <c:pt idx="55">
                  <c:v>1.1142124503793207E-2</c:v>
                </c:pt>
                <c:pt idx="56">
                  <c:v>8.8233108409590116E-3</c:v>
                </c:pt>
                <c:pt idx="57">
                  <c:v>1.0240034031238281E-2</c:v>
                </c:pt>
                <c:pt idx="58">
                  <c:v>1.1916415050826357E-2</c:v>
                </c:pt>
                <c:pt idx="59">
                  <c:v>1.2218608465130832E-2</c:v>
                </c:pt>
                <c:pt idx="60">
                  <c:v>1.023380272947221E-2</c:v>
                </c:pt>
                <c:pt idx="61">
                  <c:v>1.5349156166647978E-2</c:v>
                </c:pt>
                <c:pt idx="62">
                  <c:v>1.5426345351834982E-2</c:v>
                </c:pt>
                <c:pt idx="63">
                  <c:v>1.3234066170436484E-2</c:v>
                </c:pt>
                <c:pt idx="64">
                  <c:v>9.6706536186486596E-3</c:v>
                </c:pt>
                <c:pt idx="65">
                  <c:v>1.3220179862370326E-2</c:v>
                </c:pt>
                <c:pt idx="66">
                  <c:v>1.1075600221999618E-2</c:v>
                </c:pt>
                <c:pt idx="67">
                  <c:v>9.9536553891091516E-3</c:v>
                </c:pt>
                <c:pt idx="68">
                  <c:v>9.9835452313227057E-3</c:v>
                </c:pt>
                <c:pt idx="69">
                  <c:v>9.5807820728542863E-3</c:v>
                </c:pt>
                <c:pt idx="70">
                  <c:v>1.1980555661056186E-2</c:v>
                </c:pt>
                <c:pt idx="71">
                  <c:v>1.3403576592028765E-2</c:v>
                </c:pt>
                <c:pt idx="72">
                  <c:v>1.189165888913293E-2</c:v>
                </c:pt>
                <c:pt idx="73">
                  <c:v>1.0427972457947863E-2</c:v>
                </c:pt>
                <c:pt idx="74">
                  <c:v>1.3800611680231218E-2</c:v>
                </c:pt>
                <c:pt idx="75">
                  <c:v>1.1381684138637474E-2</c:v>
                </c:pt>
                <c:pt idx="76">
                  <c:v>9.5577128956815267E-3</c:v>
                </c:pt>
                <c:pt idx="77">
                  <c:v>1.3028819082388484E-2</c:v>
                </c:pt>
                <c:pt idx="78">
                  <c:v>1.1388527474719959E-2</c:v>
                </c:pt>
                <c:pt idx="79">
                  <c:v>9.8316118653221495E-3</c:v>
                </c:pt>
                <c:pt idx="80">
                  <c:v>1.0845306611497523E-2</c:v>
                </c:pt>
                <c:pt idx="81">
                  <c:v>1.4285267380220122E-2</c:v>
                </c:pt>
                <c:pt idx="82">
                  <c:v>1.1145248129138649E-2</c:v>
                </c:pt>
                <c:pt idx="83">
                  <c:v>1.1306829718106154E-2</c:v>
                </c:pt>
                <c:pt idx="84">
                  <c:v>1.4811665888267395E-2</c:v>
                </c:pt>
                <c:pt idx="85">
                  <c:v>1.3883207104044346E-2</c:v>
                </c:pt>
                <c:pt idx="86">
                  <c:v>1.0814762240325132E-2</c:v>
                </c:pt>
                <c:pt idx="87">
                  <c:v>1.001721308758511E-2</c:v>
                </c:pt>
                <c:pt idx="88">
                  <c:v>1.3139448110347752E-2</c:v>
                </c:pt>
                <c:pt idx="89">
                  <c:v>7.800241588713808E-3</c:v>
                </c:pt>
                <c:pt idx="90">
                  <c:v>1.2968725202059635E-2</c:v>
                </c:pt>
                <c:pt idx="91">
                  <c:v>1.2073613406141721E-2</c:v>
                </c:pt>
                <c:pt idx="92">
                  <c:v>1.3222663176081673E-2</c:v>
                </c:pt>
                <c:pt idx="93">
                  <c:v>1.3153162262658408E-2</c:v>
                </c:pt>
                <c:pt idx="94">
                  <c:v>1.3633874006431785E-2</c:v>
                </c:pt>
                <c:pt idx="95">
                  <c:v>9.6227221521786293E-3</c:v>
                </c:pt>
                <c:pt idx="96">
                  <c:v>9.5494731047982579E-3</c:v>
                </c:pt>
                <c:pt idx="97">
                  <c:v>1.502150145984109E-2</c:v>
                </c:pt>
                <c:pt idx="98">
                  <c:v>1.0930203271678905E-2</c:v>
                </c:pt>
                <c:pt idx="99">
                  <c:v>1.3275505506804765E-2</c:v>
                </c:pt>
                <c:pt idx="100">
                  <c:v>1.4044449212510506E-2</c:v>
                </c:pt>
                <c:pt idx="101">
                  <c:v>9.4718622271185767E-3</c:v>
                </c:pt>
                <c:pt idx="102">
                  <c:v>7.3050306359728557E-3</c:v>
                </c:pt>
                <c:pt idx="103">
                  <c:v>1.0974330297214833E-2</c:v>
                </c:pt>
                <c:pt idx="104">
                  <c:v>9.7783050149925239E-3</c:v>
                </c:pt>
                <c:pt idx="105">
                  <c:v>1.3950906233178685E-2</c:v>
                </c:pt>
                <c:pt idx="106">
                  <c:v>1.2408317736064623E-2</c:v>
                </c:pt>
                <c:pt idx="107">
                  <c:v>8.1882895963542972E-3</c:v>
                </c:pt>
                <c:pt idx="108">
                  <c:v>1.0721370934499585E-2</c:v>
                </c:pt>
                <c:pt idx="109">
                  <c:v>1.015008952856093E-2</c:v>
                </c:pt>
                <c:pt idx="110">
                  <c:v>1.5404075147548496E-2</c:v>
                </c:pt>
                <c:pt idx="111">
                  <c:v>9.7906541568420994E-3</c:v>
                </c:pt>
                <c:pt idx="112">
                  <c:v>9.5395026057079821E-3</c:v>
                </c:pt>
                <c:pt idx="113">
                  <c:v>1.1766142419719509E-2</c:v>
                </c:pt>
                <c:pt idx="114">
                  <c:v>1.4582451606413051E-2</c:v>
                </c:pt>
                <c:pt idx="115">
                  <c:v>1.3629794280320403E-2</c:v>
                </c:pt>
                <c:pt idx="116">
                  <c:v>1.2880083949561364E-2</c:v>
                </c:pt>
                <c:pt idx="117">
                  <c:v>1.3034369523587285E-2</c:v>
                </c:pt>
                <c:pt idx="118">
                  <c:v>1.1091384656249979E-2</c:v>
                </c:pt>
                <c:pt idx="119">
                  <c:v>1.4673185797832536E-2</c:v>
                </c:pt>
                <c:pt idx="120">
                  <c:v>1.1143326345993257E-2</c:v>
                </c:pt>
                <c:pt idx="121">
                  <c:v>1.4408448416386744E-2</c:v>
                </c:pt>
                <c:pt idx="122">
                  <c:v>1.7443832375729034E-2</c:v>
                </c:pt>
                <c:pt idx="123">
                  <c:v>1.0395480871694451E-2</c:v>
                </c:pt>
                <c:pt idx="124">
                  <c:v>1.356282191016899E-2</c:v>
                </c:pt>
                <c:pt idx="125">
                  <c:v>1.1534995197545497E-2</c:v>
                </c:pt>
                <c:pt idx="126">
                  <c:v>7.7055344549082647E-3</c:v>
                </c:pt>
                <c:pt idx="127">
                  <c:v>1.0684474838892243E-2</c:v>
                </c:pt>
                <c:pt idx="128">
                  <c:v>1.324591279020728E-2</c:v>
                </c:pt>
                <c:pt idx="129">
                  <c:v>1.0978407630418144E-2</c:v>
                </c:pt>
                <c:pt idx="130">
                  <c:v>1.0299396403826643E-2</c:v>
                </c:pt>
                <c:pt idx="131">
                  <c:v>8.1706703985555216E-3</c:v>
                </c:pt>
                <c:pt idx="132">
                  <c:v>1.1499286287085785E-2</c:v>
                </c:pt>
                <c:pt idx="133">
                  <c:v>1.200144941343456E-2</c:v>
                </c:pt>
                <c:pt idx="134">
                  <c:v>1.1328590953873539E-2</c:v>
                </c:pt>
                <c:pt idx="135">
                  <c:v>1.080219253410737E-2</c:v>
                </c:pt>
                <c:pt idx="136">
                  <c:v>1.0980226803715519E-2</c:v>
                </c:pt>
                <c:pt idx="137">
                  <c:v>1.15598570056838E-2</c:v>
                </c:pt>
                <c:pt idx="138">
                  <c:v>1.1146221950603833E-2</c:v>
                </c:pt>
                <c:pt idx="139">
                  <c:v>1.219948436834804E-2</c:v>
                </c:pt>
                <c:pt idx="140">
                  <c:v>9.0862132717550882E-3</c:v>
                </c:pt>
                <c:pt idx="141">
                  <c:v>1.2428837255259013E-2</c:v>
                </c:pt>
                <c:pt idx="142">
                  <c:v>7.7347083171934658E-3</c:v>
                </c:pt>
                <c:pt idx="143">
                  <c:v>1.791833240966963E-2</c:v>
                </c:pt>
                <c:pt idx="144">
                  <c:v>1.5049530850127942E-2</c:v>
                </c:pt>
                <c:pt idx="145">
                  <c:v>1.0896297248089088E-2</c:v>
                </c:pt>
                <c:pt idx="146">
                  <c:v>1.163780626347386E-2</c:v>
                </c:pt>
                <c:pt idx="147">
                  <c:v>1.4694060352277476E-2</c:v>
                </c:pt>
                <c:pt idx="148">
                  <c:v>1.2505788823678306E-2</c:v>
                </c:pt>
                <c:pt idx="149">
                  <c:v>1.2566820645403773E-2</c:v>
                </c:pt>
                <c:pt idx="150">
                  <c:v>1.3277361056262448E-2</c:v>
                </c:pt>
                <c:pt idx="151">
                  <c:v>9.9504785442984089E-3</c:v>
                </c:pt>
                <c:pt idx="152">
                  <c:v>9.2412659266069459E-3</c:v>
                </c:pt>
                <c:pt idx="153">
                  <c:v>1.6755044672148028E-2</c:v>
                </c:pt>
                <c:pt idx="154">
                  <c:v>1.3887413462306864E-2</c:v>
                </c:pt>
                <c:pt idx="155">
                  <c:v>1.0384984930429907E-2</c:v>
                </c:pt>
                <c:pt idx="156">
                  <c:v>1.206879804058637E-2</c:v>
                </c:pt>
                <c:pt idx="157">
                  <c:v>1.1373704036104043E-2</c:v>
                </c:pt>
                <c:pt idx="158">
                  <c:v>1.3176527752510955E-2</c:v>
                </c:pt>
                <c:pt idx="159">
                  <c:v>9.148405373647377E-3</c:v>
                </c:pt>
                <c:pt idx="160">
                  <c:v>9.3286154769217904E-3</c:v>
                </c:pt>
                <c:pt idx="161">
                  <c:v>9.8494929221876349E-3</c:v>
                </c:pt>
                <c:pt idx="162">
                  <c:v>1.5235710618262153E-2</c:v>
                </c:pt>
                <c:pt idx="163">
                  <c:v>1.4680693343835451E-2</c:v>
                </c:pt>
                <c:pt idx="164">
                  <c:v>1.1054327115081312E-2</c:v>
                </c:pt>
                <c:pt idx="165">
                  <c:v>8.8160127720606288E-3</c:v>
                </c:pt>
                <c:pt idx="166">
                  <c:v>8.8226771421419225E-3</c:v>
                </c:pt>
                <c:pt idx="167">
                  <c:v>1.055902217453341E-2</c:v>
                </c:pt>
                <c:pt idx="168">
                  <c:v>1.0878575256037859E-2</c:v>
                </c:pt>
                <c:pt idx="169">
                  <c:v>1.4881946319832886E-2</c:v>
                </c:pt>
                <c:pt idx="170">
                  <c:v>1.2767820230381107E-2</c:v>
                </c:pt>
                <c:pt idx="171">
                  <c:v>1.0124407120329552E-2</c:v>
                </c:pt>
                <c:pt idx="172">
                  <c:v>9.5814962460004111E-3</c:v>
                </c:pt>
                <c:pt idx="173">
                  <c:v>1.4391630285868137E-2</c:v>
                </c:pt>
                <c:pt idx="174">
                  <c:v>1.1667757976265437E-2</c:v>
                </c:pt>
                <c:pt idx="175">
                  <c:v>1.0906316350490587E-2</c:v>
                </c:pt>
                <c:pt idx="176">
                  <c:v>1.2806687524710484E-2</c:v>
                </c:pt>
                <c:pt idx="177">
                  <c:v>1.3358165980293119E-2</c:v>
                </c:pt>
                <c:pt idx="178">
                  <c:v>1.3003681797865081E-2</c:v>
                </c:pt>
                <c:pt idx="179">
                  <c:v>1.2833379236072808E-2</c:v>
                </c:pt>
                <c:pt idx="180">
                  <c:v>9.8859376640880389E-3</c:v>
                </c:pt>
                <c:pt idx="181">
                  <c:v>1.6037863311390611E-2</c:v>
                </c:pt>
                <c:pt idx="182">
                  <c:v>1.3203499176108639E-2</c:v>
                </c:pt>
                <c:pt idx="183">
                  <c:v>1.0720094335814594E-2</c:v>
                </c:pt>
                <c:pt idx="184">
                  <c:v>9.3527689314464452E-3</c:v>
                </c:pt>
                <c:pt idx="185">
                  <c:v>1.1081101726414947E-2</c:v>
                </c:pt>
                <c:pt idx="186">
                  <c:v>1.2018491927138846E-2</c:v>
                </c:pt>
                <c:pt idx="187">
                  <c:v>1.0909466809749403E-2</c:v>
                </c:pt>
                <c:pt idx="188">
                  <c:v>1.0565054984474145E-2</c:v>
                </c:pt>
                <c:pt idx="189">
                  <c:v>9.7089156909010588E-3</c:v>
                </c:pt>
                <c:pt idx="190">
                  <c:v>9.3842664968047627E-3</c:v>
                </c:pt>
                <c:pt idx="191">
                  <c:v>1.0002648712872977E-2</c:v>
                </c:pt>
                <c:pt idx="192">
                  <c:v>1.2474277527491027E-2</c:v>
                </c:pt>
                <c:pt idx="193">
                  <c:v>1.4646450078172802E-2</c:v>
                </c:pt>
                <c:pt idx="194">
                  <c:v>1.4900017420975112E-2</c:v>
                </c:pt>
                <c:pt idx="195">
                  <c:v>1.2976974363020246E-2</c:v>
                </c:pt>
                <c:pt idx="196">
                  <c:v>1.0427343311208365E-2</c:v>
                </c:pt>
                <c:pt idx="197">
                  <c:v>1.0534573130693005E-2</c:v>
                </c:pt>
                <c:pt idx="198">
                  <c:v>1.1629483079013193E-2</c:v>
                </c:pt>
                <c:pt idx="199">
                  <c:v>1.0903126752974876E-2</c:v>
                </c:pt>
                <c:pt idx="200">
                  <c:v>1.1803343356623374E-2</c:v>
                </c:pt>
                <c:pt idx="201">
                  <c:v>1.6907255789783835E-2</c:v>
                </c:pt>
                <c:pt idx="202">
                  <c:v>1.2726642775661422E-2</c:v>
                </c:pt>
                <c:pt idx="203">
                  <c:v>1.441008001567122E-2</c:v>
                </c:pt>
                <c:pt idx="204">
                  <c:v>1.0713397507718693E-2</c:v>
                </c:pt>
                <c:pt idx="205">
                  <c:v>1.0089196989473095E-2</c:v>
                </c:pt>
                <c:pt idx="206">
                  <c:v>1.1531226775361118E-2</c:v>
                </c:pt>
                <c:pt idx="207">
                  <c:v>1.0241924203721327E-2</c:v>
                </c:pt>
                <c:pt idx="208">
                  <c:v>8.6004137731264356E-3</c:v>
                </c:pt>
                <c:pt idx="209">
                  <c:v>8.9686555177873172E-3</c:v>
                </c:pt>
                <c:pt idx="210">
                  <c:v>1.2349926856123327E-2</c:v>
                </c:pt>
                <c:pt idx="211">
                  <c:v>1.0984162907867879E-2</c:v>
                </c:pt>
                <c:pt idx="212">
                  <c:v>1.2211751201238477E-2</c:v>
                </c:pt>
                <c:pt idx="213">
                  <c:v>1.2551685842772255E-2</c:v>
                </c:pt>
                <c:pt idx="214">
                  <c:v>1.1815112557463351E-2</c:v>
                </c:pt>
                <c:pt idx="215">
                  <c:v>1.3938276967091802E-2</c:v>
                </c:pt>
                <c:pt idx="216">
                  <c:v>9.1351329505117464E-3</c:v>
                </c:pt>
                <c:pt idx="217">
                  <c:v>9.7640186577758956E-3</c:v>
                </c:pt>
                <c:pt idx="218">
                  <c:v>1.6178072019934698E-2</c:v>
                </c:pt>
                <c:pt idx="219">
                  <c:v>1.5313792460427021E-2</c:v>
                </c:pt>
                <c:pt idx="220">
                  <c:v>9.3129207923287102E-3</c:v>
                </c:pt>
                <c:pt idx="221">
                  <c:v>1.1311318461939113E-2</c:v>
                </c:pt>
                <c:pt idx="222">
                  <c:v>1.3156366796468432E-2</c:v>
                </c:pt>
                <c:pt idx="223">
                  <c:v>1.4913574427107685E-2</c:v>
                </c:pt>
                <c:pt idx="224">
                  <c:v>1.2328223650509134E-2</c:v>
                </c:pt>
                <c:pt idx="225">
                  <c:v>1.2232576830157878E-2</c:v>
                </c:pt>
                <c:pt idx="226">
                  <c:v>8.5602694340701762E-3</c:v>
                </c:pt>
                <c:pt idx="227">
                  <c:v>1.4689841358125857E-2</c:v>
                </c:pt>
                <c:pt idx="228">
                  <c:v>1.042142776157221E-2</c:v>
                </c:pt>
                <c:pt idx="229">
                  <c:v>1.1757821765505145E-2</c:v>
                </c:pt>
                <c:pt idx="230">
                  <c:v>1.3161259606524997E-2</c:v>
                </c:pt>
                <c:pt idx="231">
                  <c:v>1.3685177318927324E-2</c:v>
                </c:pt>
                <c:pt idx="232">
                  <c:v>1.4334543623909997E-2</c:v>
                </c:pt>
                <c:pt idx="233">
                  <c:v>1.3378164759632888E-2</c:v>
                </c:pt>
                <c:pt idx="234">
                  <c:v>1.1760821588049114E-2</c:v>
                </c:pt>
                <c:pt idx="235">
                  <c:v>1.1876030728882174E-2</c:v>
                </c:pt>
                <c:pt idx="236">
                  <c:v>1.2750994865939306E-2</c:v>
                </c:pt>
                <c:pt idx="237">
                  <c:v>1.0393389283468866E-2</c:v>
                </c:pt>
                <c:pt idx="238">
                  <c:v>1.404450140966561E-2</c:v>
                </c:pt>
                <c:pt idx="239">
                  <c:v>1.2873218659893201E-2</c:v>
                </c:pt>
                <c:pt idx="240">
                  <c:v>1.2829033370239121E-2</c:v>
                </c:pt>
                <c:pt idx="241">
                  <c:v>1.1429464556911489E-2</c:v>
                </c:pt>
                <c:pt idx="242">
                  <c:v>1.1748371178676689E-2</c:v>
                </c:pt>
                <c:pt idx="243">
                  <c:v>1.0605493608963651E-2</c:v>
                </c:pt>
                <c:pt idx="244">
                  <c:v>1.4000793999595484E-2</c:v>
                </c:pt>
                <c:pt idx="245">
                  <c:v>1.184761592136086E-2</c:v>
                </c:pt>
                <c:pt idx="246">
                  <c:v>1.3446471512733729E-2</c:v>
                </c:pt>
                <c:pt idx="247">
                  <c:v>9.9118737412839299E-3</c:v>
                </c:pt>
                <c:pt idx="248">
                  <c:v>1.0418752821810625E-2</c:v>
                </c:pt>
                <c:pt idx="249">
                  <c:v>1.2018287469233013E-2</c:v>
                </c:pt>
                <c:pt idx="250">
                  <c:v>1.1792430433853751E-2</c:v>
                </c:pt>
                <c:pt idx="251">
                  <c:v>1.1539631219946082E-2</c:v>
                </c:pt>
                <c:pt idx="252">
                  <c:v>1.0460898934490873E-2</c:v>
                </c:pt>
                <c:pt idx="253">
                  <c:v>2.016500732598555E-2</c:v>
                </c:pt>
                <c:pt idx="254">
                  <c:v>1.2229891289981351E-2</c:v>
                </c:pt>
                <c:pt idx="255">
                  <c:v>1.264378662476536E-2</c:v>
                </c:pt>
                <c:pt idx="256">
                  <c:v>9.0981402835137084E-3</c:v>
                </c:pt>
                <c:pt idx="257">
                  <c:v>9.6204704739329631E-3</c:v>
                </c:pt>
                <c:pt idx="258">
                  <c:v>9.8645694806211177E-3</c:v>
                </c:pt>
                <c:pt idx="259">
                  <c:v>1.3886861849509177E-2</c:v>
                </c:pt>
                <c:pt idx="260">
                  <c:v>1.2284929469573767E-2</c:v>
                </c:pt>
                <c:pt idx="261">
                  <c:v>8.8305522486246801E-3</c:v>
                </c:pt>
                <c:pt idx="262">
                  <c:v>1.2070504625973422E-2</c:v>
                </c:pt>
                <c:pt idx="263">
                  <c:v>1.5087283662672778E-2</c:v>
                </c:pt>
                <c:pt idx="264">
                  <c:v>1.2145548410230883E-2</c:v>
                </c:pt>
                <c:pt idx="265">
                  <c:v>9.0442589958522075E-3</c:v>
                </c:pt>
                <c:pt idx="266">
                  <c:v>1.519449573454416E-2</c:v>
                </c:pt>
                <c:pt idx="267">
                  <c:v>8.8395987787281329E-3</c:v>
                </c:pt>
                <c:pt idx="268">
                  <c:v>1.113520000509916E-2</c:v>
                </c:pt>
                <c:pt idx="269">
                  <c:v>1.3423742106135086E-2</c:v>
                </c:pt>
                <c:pt idx="270">
                  <c:v>1.6313534660436883E-2</c:v>
                </c:pt>
                <c:pt idx="271">
                  <c:v>1.3241394048631784E-2</c:v>
                </c:pt>
                <c:pt idx="272">
                  <c:v>1.3544001746108453E-2</c:v>
                </c:pt>
                <c:pt idx="273">
                  <c:v>1.0905716341932676E-2</c:v>
                </c:pt>
                <c:pt idx="274">
                  <c:v>1.3244154061327498E-2</c:v>
                </c:pt>
                <c:pt idx="275">
                  <c:v>8.7318208811519547E-3</c:v>
                </c:pt>
                <c:pt idx="276">
                  <c:v>8.9047801881618552E-3</c:v>
                </c:pt>
                <c:pt idx="277">
                  <c:v>1.4949641952867441E-2</c:v>
                </c:pt>
                <c:pt idx="278">
                  <c:v>1.151539680214788E-2</c:v>
                </c:pt>
                <c:pt idx="279">
                  <c:v>9.6760423594341952E-3</c:v>
                </c:pt>
                <c:pt idx="280">
                  <c:v>1.1436542974796906E-2</c:v>
                </c:pt>
                <c:pt idx="281">
                  <c:v>1.080113774169102E-2</c:v>
                </c:pt>
                <c:pt idx="282">
                  <c:v>1.8420599949580386E-2</c:v>
                </c:pt>
                <c:pt idx="283">
                  <c:v>1.1957526195409521E-2</c:v>
                </c:pt>
                <c:pt idx="284">
                  <c:v>8.557975474162231E-3</c:v>
                </c:pt>
                <c:pt idx="285">
                  <c:v>1.263918969405672E-2</c:v>
                </c:pt>
                <c:pt idx="286">
                  <c:v>1.5180137129417418E-2</c:v>
                </c:pt>
                <c:pt idx="287">
                  <c:v>1.5364227278212473E-2</c:v>
                </c:pt>
                <c:pt idx="288">
                  <c:v>1.1405926427649423E-2</c:v>
                </c:pt>
                <c:pt idx="289">
                  <c:v>1.2136058833573866E-2</c:v>
                </c:pt>
                <c:pt idx="290">
                  <c:v>1.3151616018151693E-2</c:v>
                </c:pt>
                <c:pt idx="291">
                  <c:v>9.6778597167859731E-3</c:v>
                </c:pt>
                <c:pt idx="292">
                  <c:v>1.0311584994072909E-2</c:v>
                </c:pt>
                <c:pt idx="293">
                  <c:v>1.4007909321453998E-2</c:v>
                </c:pt>
                <c:pt idx="294">
                  <c:v>9.8034212369536734E-3</c:v>
                </c:pt>
                <c:pt idx="295">
                  <c:v>1.0643975122168156E-2</c:v>
                </c:pt>
                <c:pt idx="296">
                  <c:v>9.7169531795497904E-3</c:v>
                </c:pt>
                <c:pt idx="297">
                  <c:v>1.0148447329670922E-2</c:v>
                </c:pt>
                <c:pt idx="298">
                  <c:v>1.300394390444113E-2</c:v>
                </c:pt>
                <c:pt idx="299">
                  <c:v>1.208421997253405E-2</c:v>
                </c:pt>
                <c:pt idx="300">
                  <c:v>1.2077533206328197E-2</c:v>
                </c:pt>
                <c:pt idx="301">
                  <c:v>1.2213660018724228E-2</c:v>
                </c:pt>
                <c:pt idx="302">
                  <c:v>1.1896646103974274E-2</c:v>
                </c:pt>
                <c:pt idx="303">
                  <c:v>1.1605634028061012E-2</c:v>
                </c:pt>
                <c:pt idx="304">
                  <c:v>1.1054248898680997E-2</c:v>
                </c:pt>
                <c:pt idx="305">
                  <c:v>1.0577427187438763E-2</c:v>
                </c:pt>
                <c:pt idx="306">
                  <c:v>8.0879698537410245E-3</c:v>
                </c:pt>
                <c:pt idx="307">
                  <c:v>9.158455772668354E-3</c:v>
                </c:pt>
                <c:pt idx="308">
                  <c:v>1.1754001355519959E-2</c:v>
                </c:pt>
                <c:pt idx="309">
                  <c:v>8.8923298874535837E-3</c:v>
                </c:pt>
                <c:pt idx="310">
                  <c:v>1.6528120344296602E-2</c:v>
                </c:pt>
                <c:pt idx="311">
                  <c:v>1.0306648095274287E-2</c:v>
                </c:pt>
                <c:pt idx="312">
                  <c:v>1.2423675706446778E-2</c:v>
                </c:pt>
                <c:pt idx="313">
                  <c:v>1.216198303280437E-2</c:v>
                </c:pt>
                <c:pt idx="314">
                  <c:v>9.471001869870389E-3</c:v>
                </c:pt>
                <c:pt idx="315">
                  <c:v>9.5414988540610569E-3</c:v>
                </c:pt>
                <c:pt idx="316">
                  <c:v>1.4242366365295177E-2</c:v>
                </c:pt>
                <c:pt idx="317">
                  <c:v>1.0659598899479331E-2</c:v>
                </c:pt>
                <c:pt idx="318">
                  <c:v>1.1303979695798943E-2</c:v>
                </c:pt>
                <c:pt idx="319">
                  <c:v>1.2968479353240053E-2</c:v>
                </c:pt>
                <c:pt idx="320">
                  <c:v>1.3045734420712454E-2</c:v>
                </c:pt>
                <c:pt idx="321">
                  <c:v>1.1731467868560771E-2</c:v>
                </c:pt>
                <c:pt idx="322">
                  <c:v>9.9622091948512164E-3</c:v>
                </c:pt>
                <c:pt idx="323">
                  <c:v>1.059315070038973E-2</c:v>
                </c:pt>
                <c:pt idx="324">
                  <c:v>1.2223549293658476E-2</c:v>
                </c:pt>
                <c:pt idx="325">
                  <c:v>1.2167107435341924E-2</c:v>
                </c:pt>
                <c:pt idx="326">
                  <c:v>7.9463071439768249E-3</c:v>
                </c:pt>
                <c:pt idx="327">
                  <c:v>7.4953336255132045E-3</c:v>
                </c:pt>
                <c:pt idx="328">
                  <c:v>9.3175895694248331E-3</c:v>
                </c:pt>
                <c:pt idx="329">
                  <c:v>1.7364346962230555E-2</c:v>
                </c:pt>
                <c:pt idx="330">
                  <c:v>1.3867577419906449E-2</c:v>
                </c:pt>
                <c:pt idx="331">
                  <c:v>1.0721171914538873E-2</c:v>
                </c:pt>
                <c:pt idx="332">
                  <c:v>1.5762970786890401E-2</c:v>
                </c:pt>
                <c:pt idx="333">
                  <c:v>1.3096746973727194E-2</c:v>
                </c:pt>
                <c:pt idx="334">
                  <c:v>1.1945138230770053E-2</c:v>
                </c:pt>
                <c:pt idx="335">
                  <c:v>1.2447070014919071E-2</c:v>
                </c:pt>
                <c:pt idx="336">
                  <c:v>9.935108511960002E-3</c:v>
                </c:pt>
                <c:pt idx="337">
                  <c:v>1.0551179611577503E-2</c:v>
                </c:pt>
                <c:pt idx="338">
                  <c:v>1.223212551614053E-2</c:v>
                </c:pt>
                <c:pt idx="339">
                  <c:v>1.2051229215898103E-2</c:v>
                </c:pt>
                <c:pt idx="340">
                  <c:v>1.0528501308669143E-2</c:v>
                </c:pt>
                <c:pt idx="341">
                  <c:v>8.6211972169469471E-3</c:v>
                </c:pt>
                <c:pt idx="342">
                  <c:v>1.0398079505030773E-2</c:v>
                </c:pt>
                <c:pt idx="343">
                  <c:v>1.4232664041461025E-2</c:v>
                </c:pt>
                <c:pt idx="344">
                  <c:v>7.6029918279593243E-3</c:v>
                </c:pt>
                <c:pt idx="345">
                  <c:v>1.2267278624487864E-2</c:v>
                </c:pt>
                <c:pt idx="346">
                  <c:v>9.9711593429691568E-3</c:v>
                </c:pt>
                <c:pt idx="347">
                  <c:v>9.7171751330606231E-3</c:v>
                </c:pt>
                <c:pt idx="348">
                  <c:v>1.0574860764186064E-2</c:v>
                </c:pt>
                <c:pt idx="349">
                  <c:v>1.2212980783520296E-2</c:v>
                </c:pt>
                <c:pt idx="350">
                  <c:v>9.7461683515129259E-3</c:v>
                </c:pt>
                <c:pt idx="351">
                  <c:v>1.2460673595150478E-2</c:v>
                </c:pt>
                <c:pt idx="352">
                  <c:v>9.8631942777076525E-3</c:v>
                </c:pt>
                <c:pt idx="353">
                  <c:v>1.1029417256974183E-2</c:v>
                </c:pt>
                <c:pt idx="354">
                  <c:v>1.2445726913332688E-2</c:v>
                </c:pt>
                <c:pt idx="355">
                  <c:v>1.0538623045157982E-2</c:v>
                </c:pt>
                <c:pt idx="356">
                  <c:v>1.0935013542536164E-2</c:v>
                </c:pt>
                <c:pt idx="357">
                  <c:v>1.1516451485893605E-2</c:v>
                </c:pt>
                <c:pt idx="358">
                  <c:v>1.1275330703916678E-2</c:v>
                </c:pt>
                <c:pt idx="359">
                  <c:v>1.0525745200912503E-2</c:v>
                </c:pt>
                <c:pt idx="360">
                  <c:v>1.0686184228692962E-2</c:v>
                </c:pt>
                <c:pt idx="361">
                  <c:v>9.7935256667755991E-3</c:v>
                </c:pt>
                <c:pt idx="362">
                  <c:v>1.0268344001187252E-2</c:v>
                </c:pt>
                <c:pt idx="363">
                  <c:v>1.0263926950439513E-2</c:v>
                </c:pt>
                <c:pt idx="364">
                  <c:v>1.3868075111156631E-2</c:v>
                </c:pt>
                <c:pt idx="365">
                  <c:v>1.0228509420033163E-2</c:v>
                </c:pt>
                <c:pt idx="366">
                  <c:v>1.3170700045183859E-2</c:v>
                </c:pt>
                <c:pt idx="367">
                  <c:v>1.2557085953124384E-2</c:v>
                </c:pt>
                <c:pt idx="368">
                  <c:v>1.1339492433901623E-2</c:v>
                </c:pt>
                <c:pt idx="369">
                  <c:v>1.2107323412210857E-2</c:v>
                </c:pt>
                <c:pt idx="370">
                  <c:v>1.2707484125453769E-2</c:v>
                </c:pt>
                <c:pt idx="371">
                  <c:v>1.3664701500835361E-2</c:v>
                </c:pt>
                <c:pt idx="372">
                  <c:v>1.6329393266763987E-2</c:v>
                </c:pt>
                <c:pt idx="373">
                  <c:v>1.1240005951640833E-2</c:v>
                </c:pt>
                <c:pt idx="374">
                  <c:v>9.5395164483628204E-3</c:v>
                </c:pt>
                <c:pt idx="375">
                  <c:v>1.0684689917134983E-2</c:v>
                </c:pt>
                <c:pt idx="376">
                  <c:v>1.3313478289790209E-2</c:v>
                </c:pt>
                <c:pt idx="377">
                  <c:v>1.3319682108025777E-2</c:v>
                </c:pt>
                <c:pt idx="378">
                  <c:v>1.1174751189603812E-2</c:v>
                </c:pt>
                <c:pt idx="379">
                  <c:v>1.0646275347318105E-2</c:v>
                </c:pt>
                <c:pt idx="380">
                  <c:v>9.349423506810452E-3</c:v>
                </c:pt>
                <c:pt idx="381">
                  <c:v>8.3920337446530754E-3</c:v>
                </c:pt>
                <c:pt idx="382">
                  <c:v>9.9588789608172131E-3</c:v>
                </c:pt>
                <c:pt idx="383">
                  <c:v>1.1893510763499707E-2</c:v>
                </c:pt>
                <c:pt idx="384">
                  <c:v>1.3779160604872364E-2</c:v>
                </c:pt>
                <c:pt idx="385">
                  <c:v>8.8787556664897908E-3</c:v>
                </c:pt>
                <c:pt idx="386">
                  <c:v>1.4295246435698149E-2</c:v>
                </c:pt>
                <c:pt idx="387">
                  <c:v>1.7222308461938774E-2</c:v>
                </c:pt>
                <c:pt idx="388">
                  <c:v>1.1888834015800112E-2</c:v>
                </c:pt>
                <c:pt idx="389">
                  <c:v>1.3368463499138578E-2</c:v>
                </c:pt>
                <c:pt idx="390">
                  <c:v>1.0514798102037783E-2</c:v>
                </c:pt>
                <c:pt idx="391">
                  <c:v>1.1911668920246475E-2</c:v>
                </c:pt>
                <c:pt idx="392">
                  <c:v>1.3370954701983516E-2</c:v>
                </c:pt>
                <c:pt idx="393">
                  <c:v>1.3224468249325867E-2</c:v>
                </c:pt>
                <c:pt idx="394">
                  <c:v>1.2077335636414695E-2</c:v>
                </c:pt>
                <c:pt idx="395">
                  <c:v>1.1577291943721127E-2</c:v>
                </c:pt>
                <c:pt idx="396">
                  <c:v>9.5818594218070163E-3</c:v>
                </c:pt>
                <c:pt idx="397">
                  <c:v>1.0650105310704778E-2</c:v>
                </c:pt>
                <c:pt idx="398">
                  <c:v>1.4090059977297014E-2</c:v>
                </c:pt>
                <c:pt idx="399">
                  <c:v>1.2825214274484961E-2</c:v>
                </c:pt>
                <c:pt idx="400">
                  <c:v>1.6197145630729538E-2</c:v>
                </c:pt>
                <c:pt idx="401">
                  <c:v>1.3584144310539378E-2</c:v>
                </c:pt>
                <c:pt idx="402">
                  <c:v>1.3055630723274415E-2</c:v>
                </c:pt>
                <c:pt idx="403">
                  <c:v>7.712958528826132E-3</c:v>
                </c:pt>
                <c:pt idx="404">
                  <c:v>1.2402244980641196E-2</c:v>
                </c:pt>
                <c:pt idx="405">
                  <c:v>8.028568565510593E-3</c:v>
                </c:pt>
                <c:pt idx="406">
                  <c:v>1.4058792455225668E-2</c:v>
                </c:pt>
                <c:pt idx="407">
                  <c:v>1.0648455397362954E-2</c:v>
                </c:pt>
                <c:pt idx="408">
                  <c:v>9.4642270384120118E-3</c:v>
                </c:pt>
                <c:pt idx="409">
                  <c:v>9.7796644437202814E-3</c:v>
                </c:pt>
                <c:pt idx="410">
                  <c:v>8.2172355015903559E-3</c:v>
                </c:pt>
                <c:pt idx="411">
                  <c:v>1.1947580929529642E-2</c:v>
                </c:pt>
                <c:pt idx="412">
                  <c:v>1.1927815120359991E-2</c:v>
                </c:pt>
                <c:pt idx="413">
                  <c:v>1.1315851665448075E-2</c:v>
                </c:pt>
                <c:pt idx="414">
                  <c:v>1.657391837395765E-2</c:v>
                </c:pt>
                <c:pt idx="415">
                  <c:v>1.0613814908806604E-2</c:v>
                </c:pt>
                <c:pt idx="416">
                  <c:v>7.5126280829441849E-3</c:v>
                </c:pt>
                <c:pt idx="417">
                  <c:v>1.1921321022003117E-2</c:v>
                </c:pt>
                <c:pt idx="418">
                  <c:v>1.1031232269256735E-2</c:v>
                </c:pt>
                <c:pt idx="419">
                  <c:v>1.325424279098765E-2</c:v>
                </c:pt>
                <c:pt idx="420">
                  <c:v>1.3766962405739687E-2</c:v>
                </c:pt>
                <c:pt idx="421">
                  <c:v>1.6052701380157006E-2</c:v>
                </c:pt>
                <c:pt idx="422">
                  <c:v>1.0677895054965705E-2</c:v>
                </c:pt>
                <c:pt idx="423">
                  <c:v>1.3541852629587035E-2</c:v>
                </c:pt>
                <c:pt idx="424">
                  <c:v>1.2665732226830236E-2</c:v>
                </c:pt>
                <c:pt idx="425">
                  <c:v>1.4600388903125544E-2</c:v>
                </c:pt>
                <c:pt idx="426">
                  <c:v>8.9334944568383486E-3</c:v>
                </c:pt>
                <c:pt idx="427">
                  <c:v>1.3412032614640086E-2</c:v>
                </c:pt>
                <c:pt idx="428">
                  <c:v>1.0127867594492794E-2</c:v>
                </c:pt>
                <c:pt idx="429">
                  <c:v>1.3196500673765375E-2</c:v>
                </c:pt>
                <c:pt idx="430">
                  <c:v>1.1387321232156021E-2</c:v>
                </c:pt>
                <c:pt idx="431">
                  <c:v>1.1438571387023293E-2</c:v>
                </c:pt>
                <c:pt idx="432">
                  <c:v>1.4593567718258496E-2</c:v>
                </c:pt>
                <c:pt idx="433">
                  <c:v>1.5027514208741842E-2</c:v>
                </c:pt>
                <c:pt idx="434">
                  <c:v>1.1421186962672742E-2</c:v>
                </c:pt>
                <c:pt idx="435">
                  <c:v>1.0218251876089206E-2</c:v>
                </c:pt>
                <c:pt idx="436">
                  <c:v>1.0149619449195828E-2</c:v>
                </c:pt>
                <c:pt idx="437">
                  <c:v>1.1127126724211102E-2</c:v>
                </c:pt>
                <c:pt idx="438">
                  <c:v>1.4210556890959366E-2</c:v>
                </c:pt>
                <c:pt idx="439">
                  <c:v>1.4480879730149379E-2</c:v>
                </c:pt>
                <c:pt idx="440">
                  <c:v>1.3147483230637231E-2</c:v>
                </c:pt>
                <c:pt idx="441">
                  <c:v>1.4015710351139854E-2</c:v>
                </c:pt>
                <c:pt idx="442">
                  <c:v>1.0009680173993165E-2</c:v>
                </c:pt>
                <c:pt idx="443">
                  <c:v>1.1923990781041947E-2</c:v>
                </c:pt>
                <c:pt idx="444">
                  <c:v>1.0560611532132065E-2</c:v>
                </c:pt>
                <c:pt idx="445">
                  <c:v>1.0372610288247984E-2</c:v>
                </c:pt>
                <c:pt idx="446">
                  <c:v>1.2377152122619464E-2</c:v>
                </c:pt>
                <c:pt idx="447">
                  <c:v>1.2301281315256617E-2</c:v>
                </c:pt>
                <c:pt idx="448">
                  <c:v>1.0137744998468437E-2</c:v>
                </c:pt>
                <c:pt idx="449">
                  <c:v>1.0962918140042299E-2</c:v>
                </c:pt>
                <c:pt idx="450">
                  <c:v>1.3261686803500568E-2</c:v>
                </c:pt>
                <c:pt idx="451">
                  <c:v>1.1862520019375374E-2</c:v>
                </c:pt>
                <c:pt idx="452">
                  <c:v>1.0420205133199942E-2</c:v>
                </c:pt>
                <c:pt idx="453">
                  <c:v>6.8284875219230086E-3</c:v>
                </c:pt>
                <c:pt idx="454">
                  <c:v>1.0644226439504143E-2</c:v>
                </c:pt>
                <c:pt idx="455">
                  <c:v>1.4492031254079383E-2</c:v>
                </c:pt>
                <c:pt idx="456">
                  <c:v>1.5427894335184822E-2</c:v>
                </c:pt>
                <c:pt idx="457">
                  <c:v>1.2401056264368859E-2</c:v>
                </c:pt>
                <c:pt idx="458">
                  <c:v>1.4237267360122319E-2</c:v>
                </c:pt>
                <c:pt idx="459">
                  <c:v>8.6133736017680925E-3</c:v>
                </c:pt>
                <c:pt idx="460">
                  <c:v>1.1699402544144652E-2</c:v>
                </c:pt>
                <c:pt idx="461">
                  <c:v>1.2100912693287107E-2</c:v>
                </c:pt>
                <c:pt idx="462">
                  <c:v>1.35075485661131E-2</c:v>
                </c:pt>
                <c:pt idx="463">
                  <c:v>8.8309341108432447E-3</c:v>
                </c:pt>
                <c:pt idx="464">
                  <c:v>1.3373585879348877E-2</c:v>
                </c:pt>
                <c:pt idx="465">
                  <c:v>1.3552491911110992E-2</c:v>
                </c:pt>
                <c:pt idx="466">
                  <c:v>1.3686271660455255E-2</c:v>
                </c:pt>
                <c:pt idx="467">
                  <c:v>9.4927781225701974E-3</c:v>
                </c:pt>
                <c:pt idx="468">
                  <c:v>9.4407519996632886E-3</c:v>
                </c:pt>
                <c:pt idx="469">
                  <c:v>1.1962586441707172E-2</c:v>
                </c:pt>
                <c:pt idx="470">
                  <c:v>1.7990651165758598E-2</c:v>
                </c:pt>
                <c:pt idx="471">
                  <c:v>1.1191756882686071E-2</c:v>
                </c:pt>
                <c:pt idx="472">
                  <c:v>1.4935291365192803E-2</c:v>
                </c:pt>
                <c:pt idx="473">
                  <c:v>1.0220247112400277E-2</c:v>
                </c:pt>
                <c:pt idx="474">
                  <c:v>1.090852147960026E-2</c:v>
                </c:pt>
                <c:pt idx="475">
                  <c:v>1.5959690215306712E-2</c:v>
                </c:pt>
                <c:pt idx="476">
                  <c:v>1.1274621604450013E-2</c:v>
                </c:pt>
                <c:pt idx="477">
                  <c:v>1.1324126795117928E-2</c:v>
                </c:pt>
                <c:pt idx="478">
                  <c:v>1.2670645235318096E-2</c:v>
                </c:pt>
                <c:pt idx="479">
                  <c:v>1.2125244060150156E-2</c:v>
                </c:pt>
                <c:pt idx="480">
                  <c:v>1.6946685014137177E-2</c:v>
                </c:pt>
                <c:pt idx="481">
                  <c:v>1.0493805500832936E-2</c:v>
                </c:pt>
                <c:pt idx="482">
                  <c:v>9.5530493342377235E-3</c:v>
                </c:pt>
                <c:pt idx="483">
                  <c:v>1.3432248419911034E-2</c:v>
                </c:pt>
                <c:pt idx="484">
                  <c:v>1.4069393296343763E-2</c:v>
                </c:pt>
                <c:pt idx="485">
                  <c:v>1.2400907554872904E-2</c:v>
                </c:pt>
                <c:pt idx="486">
                  <c:v>1.1346565186270996E-2</c:v>
                </c:pt>
                <c:pt idx="487">
                  <c:v>1.5141005111028985E-2</c:v>
                </c:pt>
                <c:pt idx="488">
                  <c:v>1.2755476735091847E-2</c:v>
                </c:pt>
                <c:pt idx="489">
                  <c:v>1.2481873459525648E-2</c:v>
                </c:pt>
                <c:pt idx="490">
                  <c:v>1.1922837558154068E-2</c:v>
                </c:pt>
                <c:pt idx="491">
                  <c:v>1.0347638355726538E-2</c:v>
                </c:pt>
                <c:pt idx="492">
                  <c:v>1.1837586969560292E-2</c:v>
                </c:pt>
                <c:pt idx="493">
                  <c:v>1.0726124954229716E-2</c:v>
                </c:pt>
                <c:pt idx="494">
                  <c:v>1.0058822922130072E-2</c:v>
                </c:pt>
                <c:pt idx="495">
                  <c:v>1.1587337319330602E-2</c:v>
                </c:pt>
                <c:pt idx="496">
                  <c:v>1.3292887908305641E-2</c:v>
                </c:pt>
                <c:pt idx="497">
                  <c:v>1.1124246659884891E-2</c:v>
                </c:pt>
                <c:pt idx="498">
                  <c:v>1.1800258812357339E-2</c:v>
                </c:pt>
                <c:pt idx="499">
                  <c:v>1.3514041032543505E-2</c:v>
                </c:pt>
                <c:pt idx="500">
                  <c:v>1.112896588319503E-2</c:v>
                </c:pt>
                <c:pt idx="501">
                  <c:v>1.2882579636789182E-2</c:v>
                </c:pt>
                <c:pt idx="502">
                  <c:v>1.0082370390295843E-2</c:v>
                </c:pt>
                <c:pt idx="503">
                  <c:v>1.25657806108809E-2</c:v>
                </c:pt>
                <c:pt idx="504">
                  <c:v>1.2183391118844662E-2</c:v>
                </c:pt>
                <c:pt idx="505">
                  <c:v>1.0710977034725738E-2</c:v>
                </c:pt>
                <c:pt idx="506">
                  <c:v>1.4519649530293378E-2</c:v>
                </c:pt>
                <c:pt idx="507">
                  <c:v>1.1997910877496222E-2</c:v>
                </c:pt>
                <c:pt idx="508">
                  <c:v>8.0741091491803446E-3</c:v>
                </c:pt>
                <c:pt idx="509">
                  <c:v>1.0238021689551836E-2</c:v>
                </c:pt>
                <c:pt idx="510">
                  <c:v>9.3869223550985242E-3</c:v>
                </c:pt>
                <c:pt idx="511">
                  <c:v>1.2494495874290332E-2</c:v>
                </c:pt>
                <c:pt idx="512">
                  <c:v>1.6225415909407011E-2</c:v>
                </c:pt>
                <c:pt idx="513">
                  <c:v>1.4584279048187642E-2</c:v>
                </c:pt>
                <c:pt idx="514">
                  <c:v>1.3070716105852014E-2</c:v>
                </c:pt>
                <c:pt idx="515">
                  <c:v>1.5231345348289575E-2</c:v>
                </c:pt>
                <c:pt idx="516">
                  <c:v>1.0734264824432601E-2</c:v>
                </c:pt>
                <c:pt idx="517">
                  <c:v>1.63500449715527E-2</c:v>
                </c:pt>
                <c:pt idx="518">
                  <c:v>1.2185414308216277E-2</c:v>
                </c:pt>
                <c:pt idx="519">
                  <c:v>1.0096785347408214E-2</c:v>
                </c:pt>
                <c:pt idx="520">
                  <c:v>1.2835834813760071E-2</c:v>
                </c:pt>
                <c:pt idx="521">
                  <c:v>8.6678519563035666E-3</c:v>
                </c:pt>
                <c:pt idx="522">
                  <c:v>1.3468940577153837E-2</c:v>
                </c:pt>
                <c:pt idx="523">
                  <c:v>1.2754229489401719E-2</c:v>
                </c:pt>
                <c:pt idx="524">
                  <c:v>1.3261593164532777E-2</c:v>
                </c:pt>
                <c:pt idx="525">
                  <c:v>8.9793049992053908E-3</c:v>
                </c:pt>
                <c:pt idx="526">
                  <c:v>1.139480346935845E-2</c:v>
                </c:pt>
                <c:pt idx="527">
                  <c:v>8.0270633761525961E-3</c:v>
                </c:pt>
                <c:pt idx="528">
                  <c:v>1.0998446928652253E-2</c:v>
                </c:pt>
                <c:pt idx="529">
                  <c:v>1.1673700091641519E-2</c:v>
                </c:pt>
                <c:pt idx="530">
                  <c:v>1.1653537570591586E-2</c:v>
                </c:pt>
                <c:pt idx="531">
                  <c:v>9.2823722012289681E-3</c:v>
                </c:pt>
                <c:pt idx="532">
                  <c:v>1.3859518511388998E-2</c:v>
                </c:pt>
                <c:pt idx="533">
                  <c:v>1.0026254138236742E-2</c:v>
                </c:pt>
                <c:pt idx="534">
                  <c:v>1.2032879126349313E-2</c:v>
                </c:pt>
                <c:pt idx="535">
                  <c:v>8.6624985171537463E-3</c:v>
                </c:pt>
                <c:pt idx="536">
                  <c:v>9.6724391230533294E-3</c:v>
                </c:pt>
                <c:pt idx="537">
                  <c:v>1.1573550496678502E-2</c:v>
                </c:pt>
                <c:pt idx="538">
                  <c:v>1.3680246189134035E-2</c:v>
                </c:pt>
                <c:pt idx="539">
                  <c:v>1.2969971768296836E-2</c:v>
                </c:pt>
                <c:pt idx="540">
                  <c:v>1.0710727485989075E-2</c:v>
                </c:pt>
                <c:pt idx="541">
                  <c:v>1.3336656393822359E-2</c:v>
                </c:pt>
                <c:pt idx="542">
                  <c:v>9.8490959140515033E-3</c:v>
                </c:pt>
                <c:pt idx="543">
                  <c:v>1.5695534639649938E-2</c:v>
                </c:pt>
                <c:pt idx="544">
                  <c:v>1.5500034002268277E-2</c:v>
                </c:pt>
                <c:pt idx="545">
                  <c:v>1.0562405511415431E-2</c:v>
                </c:pt>
                <c:pt idx="546">
                  <c:v>1.2672241275794771E-2</c:v>
                </c:pt>
                <c:pt idx="547">
                  <c:v>1.2620475755020576E-2</c:v>
                </c:pt>
                <c:pt idx="548">
                  <c:v>1.2852750155698046E-2</c:v>
                </c:pt>
                <c:pt idx="549">
                  <c:v>1.0537353564782916E-2</c:v>
                </c:pt>
                <c:pt idx="550">
                  <c:v>1.3231137812885688E-2</c:v>
                </c:pt>
                <c:pt idx="551">
                  <c:v>1.0042297933462703E-2</c:v>
                </c:pt>
                <c:pt idx="552">
                  <c:v>1.2746554377601572E-2</c:v>
                </c:pt>
                <c:pt idx="553">
                  <c:v>1.0607665572672021E-2</c:v>
                </c:pt>
                <c:pt idx="554">
                  <c:v>1.233270257170797E-2</c:v>
                </c:pt>
                <c:pt idx="555">
                  <c:v>9.7401650234329694E-3</c:v>
                </c:pt>
                <c:pt idx="556">
                  <c:v>1.1262350628845586E-2</c:v>
                </c:pt>
                <c:pt idx="557">
                  <c:v>1.1869772236080281E-2</c:v>
                </c:pt>
                <c:pt idx="558">
                  <c:v>1.3028029361088392E-2</c:v>
                </c:pt>
                <c:pt idx="559">
                  <c:v>1.2807774512619738E-2</c:v>
                </c:pt>
                <c:pt idx="560">
                  <c:v>9.5430029566912957E-3</c:v>
                </c:pt>
                <c:pt idx="561">
                  <c:v>8.4229328138166505E-3</c:v>
                </c:pt>
                <c:pt idx="562">
                  <c:v>1.2370590131158894E-2</c:v>
                </c:pt>
                <c:pt idx="563">
                  <c:v>1.1572754926846581E-2</c:v>
                </c:pt>
                <c:pt idx="564">
                  <c:v>1.2180510350592354E-2</c:v>
                </c:pt>
                <c:pt idx="565">
                  <c:v>1.4335122374264684E-2</c:v>
                </c:pt>
                <c:pt idx="566">
                  <c:v>1.1737843639260104E-2</c:v>
                </c:pt>
                <c:pt idx="567">
                  <c:v>1.3694818052130121E-2</c:v>
                </c:pt>
                <c:pt idx="568">
                  <c:v>1.0719116756284772E-2</c:v>
                </c:pt>
                <c:pt idx="569">
                  <c:v>1.0408090102240759E-2</c:v>
                </c:pt>
                <c:pt idx="570">
                  <c:v>1.3504517320590067E-2</c:v>
                </c:pt>
                <c:pt idx="571">
                  <c:v>1.1210155450691549E-2</c:v>
                </c:pt>
                <c:pt idx="572">
                  <c:v>1.8203834192613809E-2</c:v>
                </c:pt>
                <c:pt idx="573">
                  <c:v>1.3669245901001726E-2</c:v>
                </c:pt>
                <c:pt idx="574">
                  <c:v>9.0619953744439461E-3</c:v>
                </c:pt>
                <c:pt idx="575">
                  <c:v>1.3172763308111388E-2</c:v>
                </c:pt>
                <c:pt idx="576">
                  <c:v>1.2238492861361467E-2</c:v>
                </c:pt>
                <c:pt idx="577">
                  <c:v>1.2970084664634901E-2</c:v>
                </c:pt>
                <c:pt idx="578">
                  <c:v>9.8339450402954946E-3</c:v>
                </c:pt>
                <c:pt idx="579">
                  <c:v>1.0772653984960414E-2</c:v>
                </c:pt>
                <c:pt idx="580">
                  <c:v>1.1360659037450507E-2</c:v>
                </c:pt>
                <c:pt idx="581">
                  <c:v>1.2603193107269772E-2</c:v>
                </c:pt>
                <c:pt idx="582">
                  <c:v>9.9771518301896376E-3</c:v>
                </c:pt>
                <c:pt idx="583">
                  <c:v>8.8597277717566095E-3</c:v>
                </c:pt>
                <c:pt idx="584">
                  <c:v>1.2251792944964493E-2</c:v>
                </c:pt>
                <c:pt idx="585">
                  <c:v>9.9101146364165092E-3</c:v>
                </c:pt>
                <c:pt idx="586">
                  <c:v>1.0868806844910544E-2</c:v>
                </c:pt>
                <c:pt idx="587">
                  <c:v>8.7121197941339764E-3</c:v>
                </c:pt>
                <c:pt idx="588">
                  <c:v>1.2932748388345823E-2</c:v>
                </c:pt>
                <c:pt idx="589">
                  <c:v>9.8520393485994427E-3</c:v>
                </c:pt>
                <c:pt idx="590">
                  <c:v>1.4176698816418276E-2</c:v>
                </c:pt>
                <c:pt idx="591">
                  <c:v>9.8185534935893021E-3</c:v>
                </c:pt>
                <c:pt idx="592">
                  <c:v>1.1771128649031872E-2</c:v>
                </c:pt>
                <c:pt idx="593">
                  <c:v>7.9847654355887261E-3</c:v>
                </c:pt>
                <c:pt idx="594">
                  <c:v>1.3727702151571377E-2</c:v>
                </c:pt>
                <c:pt idx="595">
                  <c:v>1.03111445180328E-2</c:v>
                </c:pt>
                <c:pt idx="596">
                  <c:v>1.7715355007591648E-2</c:v>
                </c:pt>
                <c:pt idx="597">
                  <c:v>1.3311046585635049E-2</c:v>
                </c:pt>
                <c:pt idx="598">
                  <c:v>7.7952281697235152E-3</c:v>
                </c:pt>
                <c:pt idx="599">
                  <c:v>1.2060818176181614E-2</c:v>
                </c:pt>
                <c:pt idx="600">
                  <c:v>9.7686086551335288E-3</c:v>
                </c:pt>
                <c:pt idx="601">
                  <c:v>1.0528537999172888E-2</c:v>
                </c:pt>
                <c:pt idx="602">
                  <c:v>1.206421635510318E-2</c:v>
                </c:pt>
                <c:pt idx="603">
                  <c:v>1.0996971335625164E-2</c:v>
                </c:pt>
                <c:pt idx="604">
                  <c:v>1.3822457525852039E-2</c:v>
                </c:pt>
                <c:pt idx="605">
                  <c:v>1.4609656628868867E-2</c:v>
                </c:pt>
                <c:pt idx="606">
                  <c:v>1.4181236151694365E-2</c:v>
                </c:pt>
                <c:pt idx="607">
                  <c:v>1.1798898533507952E-2</c:v>
                </c:pt>
                <c:pt idx="608">
                  <c:v>9.805700072082207E-3</c:v>
                </c:pt>
                <c:pt idx="609">
                  <c:v>1.1934843635303451E-2</c:v>
                </c:pt>
                <c:pt idx="610">
                  <c:v>1.0143899419195874E-2</c:v>
                </c:pt>
                <c:pt idx="611">
                  <c:v>1.1332021427079505E-2</c:v>
                </c:pt>
                <c:pt idx="612">
                  <c:v>9.4510798836662784E-3</c:v>
                </c:pt>
                <c:pt idx="613">
                  <c:v>8.580750782682502E-3</c:v>
                </c:pt>
                <c:pt idx="614">
                  <c:v>1.1714809209838861E-2</c:v>
                </c:pt>
                <c:pt idx="615">
                  <c:v>9.4200215083103615E-3</c:v>
                </c:pt>
                <c:pt idx="616">
                  <c:v>1.4641643831532851E-2</c:v>
                </c:pt>
                <c:pt idx="617">
                  <c:v>8.9185992111542184E-3</c:v>
                </c:pt>
                <c:pt idx="618">
                  <c:v>8.0631117213287445E-3</c:v>
                </c:pt>
                <c:pt idx="619">
                  <c:v>1.1559329233330723E-2</c:v>
                </c:pt>
                <c:pt idx="620">
                  <c:v>1.057485085662598E-2</c:v>
                </c:pt>
                <c:pt idx="621">
                  <c:v>1.2942277702167646E-2</c:v>
                </c:pt>
                <c:pt idx="622">
                  <c:v>1.3388284013751783E-2</c:v>
                </c:pt>
                <c:pt idx="623">
                  <c:v>1.0466051337139022E-2</c:v>
                </c:pt>
                <c:pt idx="624">
                  <c:v>9.8251556977931639E-3</c:v>
                </c:pt>
                <c:pt idx="625">
                  <c:v>1.1540181115674139E-2</c:v>
                </c:pt>
                <c:pt idx="626">
                  <c:v>1.0528075284979177E-2</c:v>
                </c:pt>
                <c:pt idx="627">
                  <c:v>1.2433352545909385E-2</c:v>
                </c:pt>
                <c:pt idx="628">
                  <c:v>1.1132757163770223E-2</c:v>
                </c:pt>
                <c:pt idx="629">
                  <c:v>1.3467426814366211E-2</c:v>
                </c:pt>
                <c:pt idx="630">
                  <c:v>1.2953784581244653E-2</c:v>
                </c:pt>
                <c:pt idx="631">
                  <c:v>1.3415874033187888E-2</c:v>
                </c:pt>
                <c:pt idx="632">
                  <c:v>1.2505684613888981E-2</c:v>
                </c:pt>
                <c:pt idx="633">
                  <c:v>9.7487656767338889E-3</c:v>
                </c:pt>
                <c:pt idx="634">
                  <c:v>1.2350853795636657E-2</c:v>
                </c:pt>
                <c:pt idx="635">
                  <c:v>1.0062665824313524E-2</c:v>
                </c:pt>
                <c:pt idx="636">
                  <c:v>9.3738803236070329E-3</c:v>
                </c:pt>
                <c:pt idx="637">
                  <c:v>1.1788883228573332E-2</c:v>
                </c:pt>
                <c:pt idx="638">
                  <c:v>8.4831559125922232E-3</c:v>
                </c:pt>
                <c:pt idx="639">
                  <c:v>1.4421455106179678E-2</c:v>
                </c:pt>
                <c:pt idx="640">
                  <c:v>9.7319400726995787E-3</c:v>
                </c:pt>
                <c:pt idx="641">
                  <c:v>1.2312682534318952E-2</c:v>
                </c:pt>
                <c:pt idx="642">
                  <c:v>1.3197152332991261E-2</c:v>
                </c:pt>
                <c:pt idx="643">
                  <c:v>8.8082530774112096E-3</c:v>
                </c:pt>
                <c:pt idx="644">
                  <c:v>9.4183357802719251E-3</c:v>
                </c:pt>
                <c:pt idx="645">
                  <c:v>9.6533590405729116E-3</c:v>
                </c:pt>
                <c:pt idx="646">
                  <c:v>1.0111131094196455E-2</c:v>
                </c:pt>
                <c:pt idx="647">
                  <c:v>9.4659942475496806E-3</c:v>
                </c:pt>
                <c:pt idx="648">
                  <c:v>1.0427598195285031E-2</c:v>
                </c:pt>
                <c:pt idx="649">
                  <c:v>1.190288160694709E-2</c:v>
                </c:pt>
                <c:pt idx="650">
                  <c:v>1.0469565774964574E-2</c:v>
                </c:pt>
                <c:pt idx="651">
                  <c:v>1.1262406036276413E-2</c:v>
                </c:pt>
                <c:pt idx="652">
                  <c:v>9.8853113357975E-3</c:v>
                </c:pt>
                <c:pt idx="653">
                  <c:v>1.4112486548423684E-2</c:v>
                </c:pt>
                <c:pt idx="654">
                  <c:v>1.3877969322025986E-2</c:v>
                </c:pt>
                <c:pt idx="655">
                  <c:v>8.9287409609012623E-3</c:v>
                </c:pt>
                <c:pt idx="656">
                  <c:v>1.0053931350245428E-2</c:v>
                </c:pt>
                <c:pt idx="657">
                  <c:v>1.0698642177705005E-2</c:v>
                </c:pt>
                <c:pt idx="658">
                  <c:v>1.2286462486084547E-2</c:v>
                </c:pt>
                <c:pt idx="659">
                  <c:v>9.4198321434540988E-3</c:v>
                </c:pt>
                <c:pt idx="660">
                  <c:v>1.091450501771471E-2</c:v>
                </c:pt>
                <c:pt idx="661">
                  <c:v>1.7077798285123388E-2</c:v>
                </c:pt>
                <c:pt idx="662">
                  <c:v>9.2867783893162241E-3</c:v>
                </c:pt>
                <c:pt idx="663">
                  <c:v>1.7121875867558686E-2</c:v>
                </c:pt>
                <c:pt idx="664">
                  <c:v>1.1978489486890068E-2</c:v>
                </c:pt>
                <c:pt idx="665">
                  <c:v>1.1216483989229769E-2</c:v>
                </c:pt>
                <c:pt idx="666">
                  <c:v>1.1953335351614372E-2</c:v>
                </c:pt>
                <c:pt idx="667">
                  <c:v>7.9291817996420648E-3</c:v>
                </c:pt>
                <c:pt idx="668">
                  <c:v>1.2898234520829147E-2</c:v>
                </c:pt>
                <c:pt idx="669">
                  <c:v>1.1364260959987335E-2</c:v>
                </c:pt>
                <c:pt idx="670">
                  <c:v>1.4383413533369692E-2</c:v>
                </c:pt>
                <c:pt idx="671">
                  <c:v>1.1618386343225654E-2</c:v>
                </c:pt>
                <c:pt idx="672">
                  <c:v>1.2943359895655475E-2</c:v>
                </c:pt>
                <c:pt idx="673">
                  <c:v>1.2473263590098184E-2</c:v>
                </c:pt>
                <c:pt idx="674">
                  <c:v>1.1434399387806786E-2</c:v>
                </c:pt>
                <c:pt idx="675">
                  <c:v>1.0293544487029155E-2</c:v>
                </c:pt>
                <c:pt idx="676">
                  <c:v>8.3041369732875063E-3</c:v>
                </c:pt>
                <c:pt idx="677">
                  <c:v>9.5807350342347261E-3</c:v>
                </c:pt>
                <c:pt idx="678">
                  <c:v>1.0428159838903758E-2</c:v>
                </c:pt>
                <c:pt idx="679">
                  <c:v>1.446987430041405E-2</c:v>
                </c:pt>
                <c:pt idx="680">
                  <c:v>1.0066760804162297E-2</c:v>
                </c:pt>
                <c:pt idx="681">
                  <c:v>1.2180974412879417E-2</c:v>
                </c:pt>
                <c:pt idx="682">
                  <c:v>9.4163590061574279E-3</c:v>
                </c:pt>
                <c:pt idx="683">
                  <c:v>1.2034688599858805E-2</c:v>
                </c:pt>
                <c:pt idx="684">
                  <c:v>9.7078277120246931E-3</c:v>
                </c:pt>
                <c:pt idx="685">
                  <c:v>1.5943044198887063E-2</c:v>
                </c:pt>
                <c:pt idx="686">
                  <c:v>1.1026858618086697E-2</c:v>
                </c:pt>
                <c:pt idx="687">
                  <c:v>1.3065774922255635E-2</c:v>
                </c:pt>
                <c:pt idx="688">
                  <c:v>1.1235931746294479E-2</c:v>
                </c:pt>
                <c:pt idx="689">
                  <c:v>9.961216355315659E-3</c:v>
                </c:pt>
                <c:pt idx="690">
                  <c:v>9.3558640526766081E-3</c:v>
                </c:pt>
                <c:pt idx="691">
                  <c:v>1.3054353629580026E-2</c:v>
                </c:pt>
                <c:pt idx="692">
                  <c:v>1.1461345981477512E-2</c:v>
                </c:pt>
                <c:pt idx="693">
                  <c:v>9.2708984173491583E-3</c:v>
                </c:pt>
                <c:pt idx="694">
                  <c:v>1.1745018791676316E-2</c:v>
                </c:pt>
                <c:pt idx="695">
                  <c:v>1.1173664520379227E-2</c:v>
                </c:pt>
                <c:pt idx="696">
                  <c:v>9.1296494829967781E-3</c:v>
                </c:pt>
                <c:pt idx="697">
                  <c:v>9.5194154354273069E-3</c:v>
                </c:pt>
                <c:pt idx="698">
                  <c:v>1.1604598490693389E-2</c:v>
                </c:pt>
                <c:pt idx="699">
                  <c:v>1.1095026372365487E-2</c:v>
                </c:pt>
                <c:pt idx="700">
                  <c:v>1.0832999736171807E-2</c:v>
                </c:pt>
                <c:pt idx="701">
                  <c:v>1.16284707703535E-2</c:v>
                </c:pt>
                <c:pt idx="702">
                  <c:v>1.2152935693475062E-2</c:v>
                </c:pt>
                <c:pt idx="703">
                  <c:v>1.2892130322332091E-2</c:v>
                </c:pt>
                <c:pt idx="704">
                  <c:v>8.838362382896519E-3</c:v>
                </c:pt>
                <c:pt idx="705">
                  <c:v>1.0956195864491326E-2</c:v>
                </c:pt>
                <c:pt idx="706">
                  <c:v>1.1983878111949623E-2</c:v>
                </c:pt>
                <c:pt idx="707">
                  <c:v>1.1345906131981293E-2</c:v>
                </c:pt>
                <c:pt idx="708">
                  <c:v>1.1221346981140405E-2</c:v>
                </c:pt>
                <c:pt idx="709">
                  <c:v>1.5044919996551801E-2</c:v>
                </c:pt>
                <c:pt idx="710">
                  <c:v>1.0699272784806061E-2</c:v>
                </c:pt>
                <c:pt idx="711">
                  <c:v>6.9491219609766472E-3</c:v>
                </c:pt>
                <c:pt idx="712">
                  <c:v>8.4269636925872575E-3</c:v>
                </c:pt>
                <c:pt idx="713">
                  <c:v>1.3753584512805735E-2</c:v>
                </c:pt>
                <c:pt idx="714">
                  <c:v>1.2473788997949344E-2</c:v>
                </c:pt>
                <c:pt idx="715">
                  <c:v>1.2289922048344157E-2</c:v>
                </c:pt>
                <c:pt idx="716">
                  <c:v>1.4262249243142018E-2</c:v>
                </c:pt>
                <c:pt idx="717">
                  <c:v>1.1315461228288477E-2</c:v>
                </c:pt>
                <c:pt idx="718">
                  <c:v>1.0676101777629262E-2</c:v>
                </c:pt>
                <c:pt idx="719">
                  <c:v>1.0781964835935392E-2</c:v>
                </c:pt>
                <c:pt idx="720">
                  <c:v>1.1737229924413966E-2</c:v>
                </c:pt>
                <c:pt idx="721">
                  <c:v>1.1618229188163659E-2</c:v>
                </c:pt>
                <c:pt idx="722">
                  <c:v>1.1453290300884288E-2</c:v>
                </c:pt>
                <c:pt idx="723">
                  <c:v>8.3630264013982662E-3</c:v>
                </c:pt>
                <c:pt idx="724">
                  <c:v>1.1516139683379127E-2</c:v>
                </c:pt>
                <c:pt idx="725">
                  <c:v>1.386316420337718E-2</c:v>
                </c:pt>
                <c:pt idx="726">
                  <c:v>8.6953314033896192E-3</c:v>
                </c:pt>
                <c:pt idx="727">
                  <c:v>1.1274215902586525E-2</c:v>
                </c:pt>
                <c:pt idx="728">
                  <c:v>1.3861436787022162E-2</c:v>
                </c:pt>
                <c:pt idx="729">
                  <c:v>1.3060299559053291E-2</c:v>
                </c:pt>
                <c:pt idx="730">
                  <c:v>1.0133594676370331E-2</c:v>
                </c:pt>
                <c:pt idx="731">
                  <c:v>9.2540272147048803E-3</c:v>
                </c:pt>
                <c:pt idx="732">
                  <c:v>1.3366643677765902E-2</c:v>
                </c:pt>
                <c:pt idx="733">
                  <c:v>1.3610199408789679E-2</c:v>
                </c:pt>
                <c:pt idx="734">
                  <c:v>9.4655560804099443E-3</c:v>
                </c:pt>
                <c:pt idx="735">
                  <c:v>1.4303006910043325E-2</c:v>
                </c:pt>
                <c:pt idx="736">
                  <c:v>1.0108610307131205E-2</c:v>
                </c:pt>
                <c:pt idx="737">
                  <c:v>1.0186263886710314E-2</c:v>
                </c:pt>
                <c:pt idx="738">
                  <c:v>1.1551354957863339E-2</c:v>
                </c:pt>
                <c:pt idx="739">
                  <c:v>9.8486823180796278E-3</c:v>
                </c:pt>
                <c:pt idx="740">
                  <c:v>8.9679558103735301E-3</c:v>
                </c:pt>
                <c:pt idx="741">
                  <c:v>1.0286949746965183E-2</c:v>
                </c:pt>
                <c:pt idx="742">
                  <c:v>1.0365841989403478E-2</c:v>
                </c:pt>
                <c:pt idx="743">
                  <c:v>1.5443381927342252E-2</c:v>
                </c:pt>
                <c:pt idx="744">
                  <c:v>1.1613317384856863E-2</c:v>
                </c:pt>
                <c:pt idx="745">
                  <c:v>9.2558694281772314E-3</c:v>
                </c:pt>
                <c:pt idx="746">
                  <c:v>8.6615447781596168E-3</c:v>
                </c:pt>
                <c:pt idx="747">
                  <c:v>9.5088003509851103E-3</c:v>
                </c:pt>
                <c:pt idx="748">
                  <c:v>1.2816376616593256E-2</c:v>
                </c:pt>
                <c:pt idx="749">
                  <c:v>8.4813522152117696E-3</c:v>
                </c:pt>
                <c:pt idx="750">
                  <c:v>1.1699096655960859E-2</c:v>
                </c:pt>
                <c:pt idx="751">
                  <c:v>1.7149307142548722E-2</c:v>
                </c:pt>
                <c:pt idx="752">
                  <c:v>1.3622659092836864E-2</c:v>
                </c:pt>
                <c:pt idx="753">
                  <c:v>9.2250714343109341E-3</c:v>
                </c:pt>
                <c:pt idx="754">
                  <c:v>1.1712185599391085E-2</c:v>
                </c:pt>
                <c:pt idx="755">
                  <c:v>1.0815667311109355E-2</c:v>
                </c:pt>
                <c:pt idx="756">
                  <c:v>1.4971378910310043E-2</c:v>
                </c:pt>
                <c:pt idx="757">
                  <c:v>1.1558896364876699E-2</c:v>
                </c:pt>
                <c:pt idx="758">
                  <c:v>1.1692639402153633E-2</c:v>
                </c:pt>
                <c:pt idx="759">
                  <c:v>8.4691081677011632E-3</c:v>
                </c:pt>
                <c:pt idx="760">
                  <c:v>1.1715811757816608E-2</c:v>
                </c:pt>
                <c:pt idx="761">
                  <c:v>1.3551823699258206E-2</c:v>
                </c:pt>
                <c:pt idx="762">
                  <c:v>1.0257280931012807E-2</c:v>
                </c:pt>
                <c:pt idx="763">
                  <c:v>1.1396114409248929E-2</c:v>
                </c:pt>
                <c:pt idx="764">
                  <c:v>1.150412157939658E-2</c:v>
                </c:pt>
                <c:pt idx="765">
                  <c:v>1.1592537963724992E-2</c:v>
                </c:pt>
                <c:pt idx="766">
                  <c:v>1.2411969209514564E-2</c:v>
                </c:pt>
                <c:pt idx="767">
                  <c:v>1.0897611023476824E-2</c:v>
                </c:pt>
                <c:pt idx="768">
                  <c:v>1.1234043672605767E-2</c:v>
                </c:pt>
                <c:pt idx="769">
                  <c:v>1.1882160154842874E-2</c:v>
                </c:pt>
                <c:pt idx="770">
                  <c:v>1.0181317411965374E-2</c:v>
                </c:pt>
                <c:pt idx="771">
                  <c:v>1.3856700702307961E-2</c:v>
                </c:pt>
                <c:pt idx="772">
                  <c:v>1.6130805511531173E-2</c:v>
                </c:pt>
                <c:pt idx="773">
                  <c:v>9.3790488210631941E-3</c:v>
                </c:pt>
                <c:pt idx="774">
                  <c:v>1.1398983707663915E-2</c:v>
                </c:pt>
                <c:pt idx="775">
                  <c:v>1.3642389683687299E-2</c:v>
                </c:pt>
                <c:pt idx="776">
                  <c:v>1.1054743116147419E-2</c:v>
                </c:pt>
                <c:pt idx="777">
                  <c:v>1.1280171446710445E-2</c:v>
                </c:pt>
                <c:pt idx="778">
                  <c:v>1.1333292770901782E-2</c:v>
                </c:pt>
                <c:pt idx="779">
                  <c:v>1.5542054545480742E-2</c:v>
                </c:pt>
                <c:pt idx="780">
                  <c:v>1.09096228069332E-2</c:v>
                </c:pt>
                <c:pt idx="781">
                  <c:v>1.3842613356018075E-2</c:v>
                </c:pt>
                <c:pt idx="782">
                  <c:v>1.2715678354782359E-2</c:v>
                </c:pt>
                <c:pt idx="783">
                  <c:v>1.1031814335090814E-2</c:v>
                </c:pt>
                <c:pt idx="784">
                  <c:v>1.0552850290524822E-2</c:v>
                </c:pt>
                <c:pt idx="785">
                  <c:v>1.0644734703769015E-2</c:v>
                </c:pt>
                <c:pt idx="786">
                  <c:v>1.1673401764349381E-2</c:v>
                </c:pt>
                <c:pt idx="787">
                  <c:v>1.1233281523012256E-2</c:v>
                </c:pt>
                <c:pt idx="788">
                  <c:v>1.3301869752486588E-2</c:v>
                </c:pt>
                <c:pt idx="789">
                  <c:v>1.0656827055491364E-2</c:v>
                </c:pt>
                <c:pt idx="790">
                  <c:v>1.4018608647231827E-2</c:v>
                </c:pt>
                <c:pt idx="791">
                  <c:v>1.1791195592584533E-2</c:v>
                </c:pt>
                <c:pt idx="792">
                  <c:v>1.4226053728884707E-2</c:v>
                </c:pt>
                <c:pt idx="793">
                  <c:v>1.3150656897351691E-2</c:v>
                </c:pt>
                <c:pt idx="794">
                  <c:v>1.7149987666071842E-2</c:v>
                </c:pt>
                <c:pt idx="795">
                  <c:v>1.088288472666611E-2</c:v>
                </c:pt>
                <c:pt idx="796">
                  <c:v>1.2303691727693838E-2</c:v>
                </c:pt>
                <c:pt idx="797">
                  <c:v>1.4357194386023698E-2</c:v>
                </c:pt>
                <c:pt idx="798">
                  <c:v>1.126767098434696E-2</c:v>
                </c:pt>
                <c:pt idx="799">
                  <c:v>9.4946743610712023E-3</c:v>
                </c:pt>
                <c:pt idx="800">
                  <c:v>1.2366212636584434E-2</c:v>
                </c:pt>
                <c:pt idx="801">
                  <c:v>1.4983852021431123E-2</c:v>
                </c:pt>
                <c:pt idx="802">
                  <c:v>1.2140701760798314E-2</c:v>
                </c:pt>
                <c:pt idx="803">
                  <c:v>1.6019308051897638E-2</c:v>
                </c:pt>
                <c:pt idx="804">
                  <c:v>1.4595939529200956E-2</c:v>
                </c:pt>
                <c:pt idx="805">
                  <c:v>1.2558054176569433E-2</c:v>
                </c:pt>
                <c:pt idx="806">
                  <c:v>1.1703316252688887E-2</c:v>
                </c:pt>
                <c:pt idx="807">
                  <c:v>1.3317890860436285E-2</c:v>
                </c:pt>
                <c:pt idx="808">
                  <c:v>9.9645251632556834E-3</c:v>
                </c:pt>
                <c:pt idx="809">
                  <c:v>1.0271665523147178E-2</c:v>
                </c:pt>
                <c:pt idx="810">
                  <c:v>1.3519709667260998E-2</c:v>
                </c:pt>
                <c:pt idx="811">
                  <c:v>1.1101709489709068E-2</c:v>
                </c:pt>
                <c:pt idx="812">
                  <c:v>1.329338924207153E-2</c:v>
                </c:pt>
                <c:pt idx="813">
                  <c:v>1.125307424191152E-2</c:v>
                </c:pt>
                <c:pt idx="814">
                  <c:v>1.3710198660206143E-2</c:v>
                </c:pt>
                <c:pt idx="815">
                  <c:v>8.2620789000643919E-3</c:v>
                </c:pt>
                <c:pt idx="816">
                  <c:v>1.2748991553784212E-2</c:v>
                </c:pt>
                <c:pt idx="817">
                  <c:v>1.2079225568664137E-2</c:v>
                </c:pt>
                <c:pt idx="818">
                  <c:v>1.4495684459338904E-2</c:v>
                </c:pt>
                <c:pt idx="819">
                  <c:v>7.9880489436351659E-3</c:v>
                </c:pt>
                <c:pt idx="820">
                  <c:v>1.0861447841287508E-2</c:v>
                </c:pt>
                <c:pt idx="821">
                  <c:v>1.1660878240163174E-2</c:v>
                </c:pt>
                <c:pt idx="822">
                  <c:v>1.1660833434132142E-2</c:v>
                </c:pt>
                <c:pt idx="823">
                  <c:v>1.0780912968010528E-2</c:v>
                </c:pt>
                <c:pt idx="824">
                  <c:v>1.050733763005624E-2</c:v>
                </c:pt>
                <c:pt idx="825">
                  <c:v>1.0714624855124439E-2</c:v>
                </c:pt>
                <c:pt idx="826">
                  <c:v>9.5170114673227557E-3</c:v>
                </c:pt>
                <c:pt idx="827">
                  <c:v>1.0406875086061357E-2</c:v>
                </c:pt>
                <c:pt idx="828">
                  <c:v>1.6381678605157799E-2</c:v>
                </c:pt>
                <c:pt idx="829">
                  <c:v>1.2870165438235354E-2</c:v>
                </c:pt>
                <c:pt idx="830">
                  <c:v>9.9312539166938624E-3</c:v>
                </c:pt>
                <c:pt idx="831">
                  <c:v>1.2975178210170095E-2</c:v>
                </c:pt>
                <c:pt idx="832">
                  <c:v>1.451786318212161E-2</c:v>
                </c:pt>
                <c:pt idx="833">
                  <c:v>1.2600302764037034E-2</c:v>
                </c:pt>
                <c:pt idx="834">
                  <c:v>1.025826981133445E-2</c:v>
                </c:pt>
                <c:pt idx="835">
                  <c:v>1.6183158659135187E-2</c:v>
                </c:pt>
                <c:pt idx="836">
                  <c:v>1.3410948050496816E-2</c:v>
                </c:pt>
                <c:pt idx="837">
                  <c:v>1.497153711075767E-2</c:v>
                </c:pt>
                <c:pt idx="838">
                  <c:v>1.183982660007581E-2</c:v>
                </c:pt>
                <c:pt idx="839">
                  <c:v>1.5945205468789379E-2</c:v>
                </c:pt>
                <c:pt idx="840">
                  <c:v>1.0117161147403192E-2</c:v>
                </c:pt>
                <c:pt idx="841">
                  <c:v>1.227631922389287E-2</c:v>
                </c:pt>
                <c:pt idx="842">
                  <c:v>1.3206297906096027E-2</c:v>
                </c:pt>
                <c:pt idx="843">
                  <c:v>1.2376044824137476E-2</c:v>
                </c:pt>
                <c:pt idx="844">
                  <c:v>1.0047833149665262E-2</c:v>
                </c:pt>
                <c:pt idx="845">
                  <c:v>1.2296498748159034E-2</c:v>
                </c:pt>
                <c:pt idx="846">
                  <c:v>1.0346112718840573E-2</c:v>
                </c:pt>
                <c:pt idx="847">
                  <c:v>1.0918558754841115E-2</c:v>
                </c:pt>
                <c:pt idx="848">
                  <c:v>1.3468087326489875E-2</c:v>
                </c:pt>
                <c:pt idx="849">
                  <c:v>1.3149584751628012E-2</c:v>
                </c:pt>
                <c:pt idx="850">
                  <c:v>1.3441122345735438E-2</c:v>
                </c:pt>
                <c:pt idx="851">
                  <c:v>2.1178275627160074E-2</c:v>
                </c:pt>
                <c:pt idx="852">
                  <c:v>1.0301794094841159E-2</c:v>
                </c:pt>
                <c:pt idx="853">
                  <c:v>1.3834443037678123E-2</c:v>
                </c:pt>
                <c:pt idx="854">
                  <c:v>1.0699278658744378E-2</c:v>
                </c:pt>
                <c:pt idx="855">
                  <c:v>1.0594675297368784E-2</c:v>
                </c:pt>
                <c:pt idx="856">
                  <c:v>1.1407079899085487E-2</c:v>
                </c:pt>
                <c:pt idx="857">
                  <c:v>1.2123236978532587E-2</c:v>
                </c:pt>
                <c:pt idx="858">
                  <c:v>1.190897380142303E-2</c:v>
                </c:pt>
                <c:pt idx="859">
                  <c:v>1.3759578691568118E-2</c:v>
                </c:pt>
                <c:pt idx="860">
                  <c:v>1.3575059042999812E-2</c:v>
                </c:pt>
                <c:pt idx="861">
                  <c:v>1.3183353238158868E-2</c:v>
                </c:pt>
                <c:pt idx="862">
                  <c:v>1.3050465805055166E-2</c:v>
                </c:pt>
                <c:pt idx="863">
                  <c:v>1.0050125655834321E-2</c:v>
                </c:pt>
                <c:pt idx="864">
                  <c:v>1.7373713489022186E-2</c:v>
                </c:pt>
                <c:pt idx="865">
                  <c:v>1.4396399397646174E-2</c:v>
                </c:pt>
                <c:pt idx="866">
                  <c:v>1.0600208897344879E-2</c:v>
                </c:pt>
                <c:pt idx="867">
                  <c:v>1.4417369333720936E-2</c:v>
                </c:pt>
                <c:pt idx="868">
                  <c:v>1.2541796762856192E-2</c:v>
                </c:pt>
                <c:pt idx="869">
                  <c:v>1.5136712971134005E-2</c:v>
                </c:pt>
                <c:pt idx="870">
                  <c:v>9.175431215682919E-3</c:v>
                </c:pt>
                <c:pt idx="871">
                  <c:v>9.5029093450054777E-3</c:v>
                </c:pt>
                <c:pt idx="872">
                  <c:v>1.0816083780598016E-2</c:v>
                </c:pt>
                <c:pt idx="873">
                  <c:v>1.3180876187861032E-2</c:v>
                </c:pt>
                <c:pt idx="874">
                  <c:v>1.3059289943794877E-2</c:v>
                </c:pt>
                <c:pt idx="875">
                  <c:v>1.3847691358705597E-2</c:v>
                </c:pt>
                <c:pt idx="876">
                  <c:v>1.328554039288002E-2</c:v>
                </c:pt>
                <c:pt idx="877">
                  <c:v>1.0969503994903663E-2</c:v>
                </c:pt>
                <c:pt idx="878">
                  <c:v>1.3141623526092477E-2</c:v>
                </c:pt>
                <c:pt idx="879">
                  <c:v>1.2459595918533921E-2</c:v>
                </c:pt>
                <c:pt idx="880">
                  <c:v>1.3162672932226312E-2</c:v>
                </c:pt>
                <c:pt idx="881">
                  <c:v>1.0028025899711216E-2</c:v>
                </c:pt>
                <c:pt idx="882">
                  <c:v>1.227133209015694E-2</c:v>
                </c:pt>
                <c:pt idx="883">
                  <c:v>1.2256194565800006E-2</c:v>
                </c:pt>
                <c:pt idx="884">
                  <c:v>1.2444589576410205E-2</c:v>
                </c:pt>
                <c:pt idx="885">
                  <c:v>1.5570594283169387E-2</c:v>
                </c:pt>
                <c:pt idx="886">
                  <c:v>1.0500262688860468E-2</c:v>
                </c:pt>
                <c:pt idx="887">
                  <c:v>1.5962299190590435E-2</c:v>
                </c:pt>
                <c:pt idx="888">
                  <c:v>1.2348937915241665E-2</c:v>
                </c:pt>
                <c:pt idx="889">
                  <c:v>1.2671624087450539E-2</c:v>
                </c:pt>
                <c:pt idx="890">
                  <c:v>1.213501865752273E-2</c:v>
                </c:pt>
                <c:pt idx="891">
                  <c:v>1.4230606660566223E-2</c:v>
                </c:pt>
                <c:pt idx="892">
                  <c:v>1.1828345574974659E-2</c:v>
                </c:pt>
                <c:pt idx="893">
                  <c:v>1.1959973256442994E-2</c:v>
                </c:pt>
                <c:pt idx="894">
                  <c:v>1.4399191916105898E-2</c:v>
                </c:pt>
                <c:pt idx="895">
                  <c:v>1.1157838000319479E-2</c:v>
                </c:pt>
                <c:pt idx="896">
                  <c:v>1.2955579717161395E-2</c:v>
                </c:pt>
                <c:pt idx="897">
                  <c:v>1.2261969565558747E-2</c:v>
                </c:pt>
                <c:pt idx="898">
                  <c:v>7.9484928799904379E-3</c:v>
                </c:pt>
                <c:pt idx="899">
                  <c:v>1.4513417442120893E-2</c:v>
                </c:pt>
                <c:pt idx="900">
                  <c:v>1.2921400175499401E-2</c:v>
                </c:pt>
                <c:pt idx="901">
                  <c:v>1.5148435007374578E-2</c:v>
                </c:pt>
                <c:pt idx="902">
                  <c:v>1.4270152440852312E-2</c:v>
                </c:pt>
                <c:pt idx="903">
                  <c:v>1.4523770894797757E-2</c:v>
                </c:pt>
                <c:pt idx="904">
                  <c:v>1.0395154610131756E-2</c:v>
                </c:pt>
                <c:pt idx="905">
                  <c:v>9.2616234777177699E-3</c:v>
                </c:pt>
                <c:pt idx="906">
                  <c:v>1.4316909715402708E-2</c:v>
                </c:pt>
                <c:pt idx="907">
                  <c:v>1.0065836453656555E-2</c:v>
                </c:pt>
                <c:pt idx="908">
                  <c:v>1.1486634769746059E-2</c:v>
                </c:pt>
                <c:pt idx="909">
                  <c:v>7.8219441560170265E-3</c:v>
                </c:pt>
                <c:pt idx="910">
                  <c:v>1.3321162500387208E-2</c:v>
                </c:pt>
                <c:pt idx="911">
                  <c:v>8.5589120231993054E-3</c:v>
                </c:pt>
                <c:pt idx="912">
                  <c:v>1.5572187052545506E-2</c:v>
                </c:pt>
                <c:pt idx="913">
                  <c:v>1.1704054659495301E-2</c:v>
                </c:pt>
                <c:pt idx="914">
                  <c:v>1.3598485446059924E-2</c:v>
                </c:pt>
                <c:pt idx="915">
                  <c:v>1.1902450576200334E-2</c:v>
                </c:pt>
                <c:pt idx="916">
                  <c:v>1.4411223792221961E-2</c:v>
                </c:pt>
                <c:pt idx="917">
                  <c:v>8.1903268069055159E-3</c:v>
                </c:pt>
                <c:pt idx="918">
                  <c:v>1.0162119053600191E-2</c:v>
                </c:pt>
                <c:pt idx="919">
                  <c:v>1.3366753521747297E-2</c:v>
                </c:pt>
                <c:pt idx="920">
                  <c:v>1.0189140614104976E-2</c:v>
                </c:pt>
                <c:pt idx="921">
                  <c:v>7.3789484311724378E-3</c:v>
                </c:pt>
                <c:pt idx="922">
                  <c:v>1.5185286498302518E-2</c:v>
                </c:pt>
                <c:pt idx="923">
                  <c:v>1.0456532947839485E-2</c:v>
                </c:pt>
                <c:pt idx="924">
                  <c:v>1.3880188972973549E-2</c:v>
                </c:pt>
                <c:pt idx="925">
                  <c:v>1.3300682316372197E-2</c:v>
                </c:pt>
                <c:pt idx="926">
                  <c:v>1.0063728328631959E-2</c:v>
                </c:pt>
                <c:pt idx="927">
                  <c:v>1.7272104514194486E-2</c:v>
                </c:pt>
                <c:pt idx="928">
                  <c:v>9.8628071173985313E-3</c:v>
                </c:pt>
                <c:pt idx="929">
                  <c:v>1.2229735617822146E-2</c:v>
                </c:pt>
                <c:pt idx="930">
                  <c:v>1.0201845476098998E-2</c:v>
                </c:pt>
                <c:pt idx="931">
                  <c:v>1.3492142837902985E-2</c:v>
                </c:pt>
                <c:pt idx="932">
                  <c:v>9.7494822185535106E-3</c:v>
                </c:pt>
                <c:pt idx="933">
                  <c:v>1.2606337028300879E-2</c:v>
                </c:pt>
                <c:pt idx="934">
                  <c:v>1.2210837616681167E-2</c:v>
                </c:pt>
                <c:pt idx="935">
                  <c:v>1.2285546819832828E-2</c:v>
                </c:pt>
                <c:pt idx="936">
                  <c:v>1.2706998200692337E-2</c:v>
                </c:pt>
                <c:pt idx="937">
                  <c:v>1.0873359074385559E-2</c:v>
                </c:pt>
                <c:pt idx="938">
                  <c:v>1.3869731759696075E-2</c:v>
                </c:pt>
                <c:pt idx="939">
                  <c:v>1.0917376781703439E-2</c:v>
                </c:pt>
                <c:pt idx="940">
                  <c:v>1.1593139573873118E-2</c:v>
                </c:pt>
                <c:pt idx="941">
                  <c:v>8.6047085249917107E-3</c:v>
                </c:pt>
                <c:pt idx="942">
                  <c:v>1.0999990432094991E-2</c:v>
                </c:pt>
                <c:pt idx="943">
                  <c:v>1.1102103674670401E-2</c:v>
                </c:pt>
                <c:pt idx="944">
                  <c:v>1.5010633783065913E-2</c:v>
                </c:pt>
                <c:pt idx="945">
                  <c:v>1.0767026421973566E-2</c:v>
                </c:pt>
                <c:pt idx="946">
                  <c:v>1.4955765906371382E-2</c:v>
                </c:pt>
                <c:pt idx="947">
                  <c:v>8.3977567344739081E-3</c:v>
                </c:pt>
                <c:pt idx="948">
                  <c:v>1.2152041382556659E-2</c:v>
                </c:pt>
                <c:pt idx="949">
                  <c:v>1.5599506951872011E-2</c:v>
                </c:pt>
                <c:pt idx="950">
                  <c:v>1.166641178738667E-2</c:v>
                </c:pt>
                <c:pt idx="951">
                  <c:v>1.2124957845657151E-2</c:v>
                </c:pt>
                <c:pt idx="952">
                  <c:v>1.0532911506611649E-2</c:v>
                </c:pt>
                <c:pt idx="953">
                  <c:v>1.4506334573159764E-2</c:v>
                </c:pt>
                <c:pt idx="954">
                  <c:v>1.379849464437439E-2</c:v>
                </c:pt>
                <c:pt idx="955">
                  <c:v>1.2067936718468517E-2</c:v>
                </c:pt>
                <c:pt idx="956">
                  <c:v>9.9909850661072577E-3</c:v>
                </c:pt>
                <c:pt idx="957">
                  <c:v>1.3120184016127577E-2</c:v>
                </c:pt>
                <c:pt idx="958">
                  <c:v>1.1454627980140285E-2</c:v>
                </c:pt>
                <c:pt idx="959">
                  <c:v>1.5092348454497672E-2</c:v>
                </c:pt>
                <c:pt idx="960">
                  <c:v>9.5925025019956787E-3</c:v>
                </c:pt>
                <c:pt idx="961">
                  <c:v>1.5465754127544903E-2</c:v>
                </c:pt>
                <c:pt idx="962">
                  <c:v>1.5148150315678437E-2</c:v>
                </c:pt>
                <c:pt idx="963">
                  <c:v>9.7464066539857484E-3</c:v>
                </c:pt>
                <c:pt idx="964">
                  <c:v>1.011198403399133E-2</c:v>
                </c:pt>
                <c:pt idx="965">
                  <c:v>1.2195215858786841E-2</c:v>
                </c:pt>
                <c:pt idx="966">
                  <c:v>1.2681998687874386E-2</c:v>
                </c:pt>
                <c:pt idx="967">
                  <c:v>1.0745283786017377E-2</c:v>
                </c:pt>
                <c:pt idx="968">
                  <c:v>1.3248729703086357E-2</c:v>
                </c:pt>
                <c:pt idx="969">
                  <c:v>1.069373447480464E-2</c:v>
                </c:pt>
                <c:pt idx="970">
                  <c:v>1.1992751611385773E-2</c:v>
                </c:pt>
                <c:pt idx="971">
                  <c:v>1.3008532347822774E-2</c:v>
                </c:pt>
                <c:pt idx="972">
                  <c:v>1.1347013741497897E-2</c:v>
                </c:pt>
                <c:pt idx="973">
                  <c:v>1.0064281357526472E-2</c:v>
                </c:pt>
                <c:pt idx="974">
                  <c:v>1.0977543022907328E-2</c:v>
                </c:pt>
                <c:pt idx="975">
                  <c:v>1.2240707261723759E-2</c:v>
                </c:pt>
                <c:pt idx="976">
                  <c:v>1.3015584193077079E-2</c:v>
                </c:pt>
                <c:pt idx="977">
                  <c:v>1.0912338407039254E-2</c:v>
                </c:pt>
                <c:pt idx="978">
                  <c:v>1.2687948154116153E-2</c:v>
                </c:pt>
                <c:pt idx="979">
                  <c:v>9.435475824261989E-3</c:v>
                </c:pt>
                <c:pt idx="980">
                  <c:v>1.2342850499439952E-2</c:v>
                </c:pt>
                <c:pt idx="981">
                  <c:v>9.4406377147623951E-3</c:v>
                </c:pt>
                <c:pt idx="982">
                  <c:v>8.6955624738119398E-3</c:v>
                </c:pt>
                <c:pt idx="983">
                  <c:v>1.2911310289212949E-2</c:v>
                </c:pt>
                <c:pt idx="984">
                  <c:v>8.7006945070353722E-3</c:v>
                </c:pt>
                <c:pt idx="985">
                  <c:v>1.1332827753971889E-2</c:v>
                </c:pt>
                <c:pt idx="986">
                  <c:v>1.0860862205451178E-2</c:v>
                </c:pt>
                <c:pt idx="987">
                  <c:v>1.2389133358513387E-2</c:v>
                </c:pt>
                <c:pt idx="988">
                  <c:v>1.0493348398310207E-2</c:v>
                </c:pt>
                <c:pt idx="989">
                  <c:v>1.2766812687406101E-2</c:v>
                </c:pt>
                <c:pt idx="990">
                  <c:v>1.2234905020291663E-2</c:v>
                </c:pt>
                <c:pt idx="991">
                  <c:v>9.9688698106943918E-3</c:v>
                </c:pt>
                <c:pt idx="992">
                  <c:v>1.0855865903017297E-2</c:v>
                </c:pt>
                <c:pt idx="993">
                  <c:v>1.0581394689351469E-2</c:v>
                </c:pt>
                <c:pt idx="994">
                  <c:v>1.2785018775545063E-2</c:v>
                </c:pt>
                <c:pt idx="995">
                  <c:v>1.5213624655102944E-2</c:v>
                </c:pt>
                <c:pt idx="996">
                  <c:v>1.2869443103927044E-2</c:v>
                </c:pt>
                <c:pt idx="997">
                  <c:v>9.4706989687792439E-3</c:v>
                </c:pt>
                <c:pt idx="998">
                  <c:v>1.0537588895020522E-2</c:v>
                </c:pt>
                <c:pt idx="999">
                  <c:v>1.4078774910116073E-2</c:v>
                </c:pt>
                <c:pt idx="1000">
                  <c:v>1.6041094074925495E-2</c:v>
                </c:pt>
                <c:pt idx="1001">
                  <c:v>7.5750384286906005E-3</c:v>
                </c:pt>
                <c:pt idx="1002">
                  <c:v>1.1356698450123373E-2</c:v>
                </c:pt>
                <c:pt idx="1003">
                  <c:v>1.261392906018855E-2</c:v>
                </c:pt>
                <c:pt idx="1004">
                  <c:v>9.5992155560719362E-3</c:v>
                </c:pt>
                <c:pt idx="1005">
                  <c:v>1.0019120883887409E-2</c:v>
                </c:pt>
                <c:pt idx="1006">
                  <c:v>1.1391424678377164E-2</c:v>
                </c:pt>
                <c:pt idx="1007">
                  <c:v>9.4755559971094108E-3</c:v>
                </c:pt>
                <c:pt idx="1008">
                  <c:v>1.7888338911543636E-2</c:v>
                </c:pt>
                <c:pt idx="1009">
                  <c:v>1.2334539762265007E-2</c:v>
                </c:pt>
                <c:pt idx="1010">
                  <c:v>1.0368421863222645E-2</c:v>
                </c:pt>
                <c:pt idx="1011">
                  <c:v>1.0250487091853569E-2</c:v>
                </c:pt>
                <c:pt idx="1012">
                  <c:v>1.2517326353625837E-2</c:v>
                </c:pt>
                <c:pt idx="1013">
                  <c:v>1.1864527661079993E-2</c:v>
                </c:pt>
                <c:pt idx="1014">
                  <c:v>1.0941328093549156E-2</c:v>
                </c:pt>
                <c:pt idx="1015">
                  <c:v>1.0562063013110055E-2</c:v>
                </c:pt>
                <c:pt idx="1016">
                  <c:v>1.1045783637589028E-2</c:v>
                </c:pt>
                <c:pt idx="1017">
                  <c:v>1.1272530440100886E-2</c:v>
                </c:pt>
                <c:pt idx="1018">
                  <c:v>1.0716048502434466E-2</c:v>
                </c:pt>
                <c:pt idx="1019">
                  <c:v>1.2109134877022521E-2</c:v>
                </c:pt>
                <c:pt idx="1020">
                  <c:v>1.0389330476684814E-2</c:v>
                </c:pt>
                <c:pt idx="1021">
                  <c:v>1.3800695805875571E-2</c:v>
                </c:pt>
                <c:pt idx="1022">
                  <c:v>1.6537738493634171E-2</c:v>
                </c:pt>
                <c:pt idx="1023">
                  <c:v>1.2071136235797968E-2</c:v>
                </c:pt>
                <c:pt idx="1024">
                  <c:v>1.4363861561450718E-2</c:v>
                </c:pt>
                <c:pt idx="1025">
                  <c:v>1.1359927252286593E-2</c:v>
                </c:pt>
                <c:pt idx="1026">
                  <c:v>1.1357952282795005E-2</c:v>
                </c:pt>
                <c:pt idx="1027">
                  <c:v>1.3243479986219709E-2</c:v>
                </c:pt>
                <c:pt idx="1028">
                  <c:v>9.9164862751010205E-3</c:v>
                </c:pt>
                <c:pt idx="1029">
                  <c:v>1.2022920720488668E-2</c:v>
                </c:pt>
                <c:pt idx="1030">
                  <c:v>1.2665322763411162E-2</c:v>
                </c:pt>
                <c:pt idx="1031">
                  <c:v>1.0072081893465477E-2</c:v>
                </c:pt>
                <c:pt idx="1032">
                  <c:v>1.5366781200970122E-2</c:v>
                </c:pt>
                <c:pt idx="1033">
                  <c:v>1.3048166509311846E-2</c:v>
                </c:pt>
                <c:pt idx="1034">
                  <c:v>1.3816935187712149E-2</c:v>
                </c:pt>
                <c:pt idx="1035">
                  <c:v>1.3981411689317134E-2</c:v>
                </c:pt>
                <c:pt idx="1036">
                  <c:v>1.224335782980447E-2</c:v>
                </c:pt>
                <c:pt idx="1037">
                  <c:v>1.344173413744707E-2</c:v>
                </c:pt>
                <c:pt idx="1038">
                  <c:v>1.5397997805262853E-2</c:v>
                </c:pt>
                <c:pt idx="1039">
                  <c:v>9.0931019054857135E-3</c:v>
                </c:pt>
                <c:pt idx="1040">
                  <c:v>1.2380654220030199E-2</c:v>
                </c:pt>
                <c:pt idx="1041">
                  <c:v>8.1480090236758628E-3</c:v>
                </c:pt>
                <c:pt idx="1042">
                  <c:v>1.2840975670504007E-2</c:v>
                </c:pt>
                <c:pt idx="1043">
                  <c:v>9.182560372114559E-3</c:v>
                </c:pt>
                <c:pt idx="1044">
                  <c:v>1.1466064319711455E-2</c:v>
                </c:pt>
                <c:pt idx="1045">
                  <c:v>1.1114736320303849E-2</c:v>
                </c:pt>
                <c:pt idx="1046">
                  <c:v>1.2064300628285759E-2</c:v>
                </c:pt>
                <c:pt idx="1047">
                  <c:v>1.1876411434040033E-2</c:v>
                </c:pt>
                <c:pt idx="1048">
                  <c:v>1.2379179687700468E-2</c:v>
                </c:pt>
                <c:pt idx="1049">
                  <c:v>1.0291549884457542E-2</c:v>
                </c:pt>
                <c:pt idx="1050">
                  <c:v>1.2202367574843822E-2</c:v>
                </c:pt>
                <c:pt idx="1051">
                  <c:v>1.0280722664561292E-2</c:v>
                </c:pt>
                <c:pt idx="1052">
                  <c:v>1.4365770523790913E-2</c:v>
                </c:pt>
                <c:pt idx="1053">
                  <c:v>1.1408057059694868E-2</c:v>
                </c:pt>
                <c:pt idx="1054">
                  <c:v>1.2627541340004555E-2</c:v>
                </c:pt>
                <c:pt idx="1055">
                  <c:v>1.1089373931732344E-2</c:v>
                </c:pt>
                <c:pt idx="1056">
                  <c:v>1.0436091271917105E-2</c:v>
                </c:pt>
                <c:pt idx="1057">
                  <c:v>1.1089111356182542E-2</c:v>
                </c:pt>
                <c:pt idx="1058">
                  <c:v>1.2040179161431699E-2</c:v>
                </c:pt>
                <c:pt idx="1059">
                  <c:v>1.3581209241116757E-2</c:v>
                </c:pt>
                <c:pt idx="1060">
                  <c:v>1.0307241236220824E-2</c:v>
                </c:pt>
                <c:pt idx="1061">
                  <c:v>1.0992411156836307E-2</c:v>
                </c:pt>
                <c:pt idx="1062">
                  <c:v>1.1225013437458535E-2</c:v>
                </c:pt>
                <c:pt idx="1063">
                  <c:v>1.458891880070992E-2</c:v>
                </c:pt>
                <c:pt idx="1064">
                  <c:v>1.130323947341723E-2</c:v>
                </c:pt>
                <c:pt idx="1065">
                  <c:v>1.0341340932158371E-2</c:v>
                </c:pt>
                <c:pt idx="1066">
                  <c:v>1.45392753802199E-2</c:v>
                </c:pt>
                <c:pt idx="1067">
                  <c:v>1.4797252857918988E-2</c:v>
                </c:pt>
                <c:pt idx="1068">
                  <c:v>1.2374290943768721E-2</c:v>
                </c:pt>
                <c:pt idx="1069">
                  <c:v>1.3442248639084229E-2</c:v>
                </c:pt>
                <c:pt idx="1070">
                  <c:v>8.9057245042344132E-3</c:v>
                </c:pt>
                <c:pt idx="1071">
                  <c:v>1.1660848592663926E-2</c:v>
                </c:pt>
                <c:pt idx="1072">
                  <c:v>1.3495665407654211E-2</c:v>
                </c:pt>
                <c:pt idx="1073">
                  <c:v>1.2607467047235818E-2</c:v>
                </c:pt>
                <c:pt idx="1074">
                  <c:v>9.5957029055180627E-3</c:v>
                </c:pt>
                <c:pt idx="1075">
                  <c:v>1.3490744454385748E-2</c:v>
                </c:pt>
                <c:pt idx="1076">
                  <c:v>1.219079225713667E-2</c:v>
                </c:pt>
                <c:pt idx="1077">
                  <c:v>1.1485687397547031E-2</c:v>
                </c:pt>
                <c:pt idx="1078">
                  <c:v>1.0770327932105323E-2</c:v>
                </c:pt>
                <c:pt idx="1079">
                  <c:v>1.0801966293860802E-2</c:v>
                </c:pt>
                <c:pt idx="1080">
                  <c:v>1.3987334706434214E-2</c:v>
                </c:pt>
                <c:pt idx="1081">
                  <c:v>1.1360827445642045E-2</c:v>
                </c:pt>
                <c:pt idx="1082">
                  <c:v>1.2304077186064076E-2</c:v>
                </c:pt>
                <c:pt idx="1083">
                  <c:v>1.1184060535998974E-2</c:v>
                </c:pt>
                <c:pt idx="1084">
                  <c:v>1.1267117206452404E-2</c:v>
                </c:pt>
                <c:pt idx="1085">
                  <c:v>1.1348796069433481E-2</c:v>
                </c:pt>
                <c:pt idx="1086">
                  <c:v>1.5589634502559535E-2</c:v>
                </c:pt>
                <c:pt idx="1087">
                  <c:v>9.4355937430703404E-3</c:v>
                </c:pt>
                <c:pt idx="1088">
                  <c:v>1.3406486984701494E-2</c:v>
                </c:pt>
                <c:pt idx="1089">
                  <c:v>1.1593502564573416E-2</c:v>
                </c:pt>
                <c:pt idx="1090">
                  <c:v>1.2628081944871338E-2</c:v>
                </c:pt>
                <c:pt idx="1091">
                  <c:v>1.0607899388642766E-2</c:v>
                </c:pt>
                <c:pt idx="1092">
                  <c:v>1.2414575000860188E-2</c:v>
                </c:pt>
                <c:pt idx="1093">
                  <c:v>1.2136473117320343E-2</c:v>
                </c:pt>
                <c:pt idx="1094">
                  <c:v>9.4828101248603525E-3</c:v>
                </c:pt>
                <c:pt idx="1095">
                  <c:v>1.2284423273749952E-2</c:v>
                </c:pt>
                <c:pt idx="1096">
                  <c:v>8.1734298146562169E-3</c:v>
                </c:pt>
                <c:pt idx="1097">
                  <c:v>1.2445250826351279E-2</c:v>
                </c:pt>
                <c:pt idx="1098">
                  <c:v>1.0967724380013151E-2</c:v>
                </c:pt>
                <c:pt idx="1099">
                  <c:v>1.121551956555363E-2</c:v>
                </c:pt>
                <c:pt idx="1100">
                  <c:v>9.4603374160483755E-3</c:v>
                </c:pt>
                <c:pt idx="1101">
                  <c:v>1.069420671106561E-2</c:v>
                </c:pt>
                <c:pt idx="1102">
                  <c:v>1.1773742867964213E-2</c:v>
                </c:pt>
                <c:pt idx="1103">
                  <c:v>9.3255303128913902E-3</c:v>
                </c:pt>
                <c:pt idx="1104">
                  <c:v>1.2178132054930027E-2</c:v>
                </c:pt>
                <c:pt idx="1105">
                  <c:v>1.2261262952317588E-2</c:v>
                </c:pt>
                <c:pt idx="1106">
                  <c:v>1.08647608095795E-2</c:v>
                </c:pt>
                <c:pt idx="1107">
                  <c:v>1.1875778376341999E-2</c:v>
                </c:pt>
                <c:pt idx="1108">
                  <c:v>1.0571168697530803E-2</c:v>
                </c:pt>
                <c:pt idx="1109">
                  <c:v>9.4802161723909675E-3</c:v>
                </c:pt>
                <c:pt idx="1110">
                  <c:v>1.251572403478677E-2</c:v>
                </c:pt>
                <c:pt idx="1111">
                  <c:v>1.1234646724958944E-2</c:v>
                </c:pt>
                <c:pt idx="1112">
                  <c:v>1.2531397232771491E-2</c:v>
                </c:pt>
                <c:pt idx="1113">
                  <c:v>1.0347389846724203E-2</c:v>
                </c:pt>
                <c:pt idx="1114">
                  <c:v>9.9265200762162636E-3</c:v>
                </c:pt>
                <c:pt idx="1115">
                  <c:v>1.1802792234714119E-2</c:v>
                </c:pt>
                <c:pt idx="1116">
                  <c:v>1.1687046738385472E-2</c:v>
                </c:pt>
                <c:pt idx="1117">
                  <c:v>1.3590330628366716E-2</c:v>
                </c:pt>
                <c:pt idx="1118">
                  <c:v>1.0987481290693345E-2</c:v>
                </c:pt>
                <c:pt idx="1119">
                  <c:v>1.5912356797827449E-2</c:v>
                </c:pt>
                <c:pt idx="1120">
                  <c:v>1.4683349927034422E-2</c:v>
                </c:pt>
                <c:pt idx="1121">
                  <c:v>1.318742242595956E-2</c:v>
                </c:pt>
                <c:pt idx="1122">
                  <c:v>1.5105961465251642E-2</c:v>
                </c:pt>
                <c:pt idx="1123">
                  <c:v>8.2817859183285329E-3</c:v>
                </c:pt>
                <c:pt idx="1124">
                  <c:v>1.0389437759188103E-2</c:v>
                </c:pt>
                <c:pt idx="1125">
                  <c:v>9.6928354778086697E-3</c:v>
                </c:pt>
                <c:pt idx="1126">
                  <c:v>7.5322289824230858E-3</c:v>
                </c:pt>
                <c:pt idx="1127">
                  <c:v>1.951641049010264E-2</c:v>
                </c:pt>
                <c:pt idx="1128">
                  <c:v>1.3256104232544294E-2</c:v>
                </c:pt>
                <c:pt idx="1129">
                  <c:v>9.1929135046035539E-3</c:v>
                </c:pt>
                <c:pt idx="1130">
                  <c:v>1.3414673987755966E-2</c:v>
                </c:pt>
                <c:pt idx="1131">
                  <c:v>1.2652198827269218E-2</c:v>
                </c:pt>
                <c:pt idx="1132">
                  <c:v>1.1697728659360487E-2</c:v>
                </c:pt>
                <c:pt idx="1133">
                  <c:v>1.2311407462204957E-2</c:v>
                </c:pt>
                <c:pt idx="1134">
                  <c:v>1.2547383155277368E-2</c:v>
                </c:pt>
                <c:pt idx="1135">
                  <c:v>1.1177286697866778E-2</c:v>
                </c:pt>
                <c:pt idx="1136">
                  <c:v>1.2152456923185274E-2</c:v>
                </c:pt>
                <c:pt idx="1137">
                  <c:v>1.3479848628339652E-2</c:v>
                </c:pt>
                <c:pt idx="1138">
                  <c:v>1.5908590631228889E-2</c:v>
                </c:pt>
                <c:pt idx="1139">
                  <c:v>1.317120310110808E-2</c:v>
                </c:pt>
                <c:pt idx="1140">
                  <c:v>1.00361970582449E-2</c:v>
                </c:pt>
                <c:pt idx="1141">
                  <c:v>9.5847520728268801E-3</c:v>
                </c:pt>
                <c:pt idx="1142">
                  <c:v>1.1129704728444028E-2</c:v>
                </c:pt>
                <c:pt idx="1143">
                  <c:v>9.3324443395668907E-3</c:v>
                </c:pt>
                <c:pt idx="1144">
                  <c:v>1.5839415188953595E-2</c:v>
                </c:pt>
                <c:pt idx="1145">
                  <c:v>1.3159581942671023E-2</c:v>
                </c:pt>
                <c:pt idx="1146">
                  <c:v>9.0977298174853283E-3</c:v>
                </c:pt>
                <c:pt idx="1147">
                  <c:v>9.8853955584702474E-3</c:v>
                </c:pt>
                <c:pt idx="1148">
                  <c:v>1.3070597971367129E-2</c:v>
                </c:pt>
                <c:pt idx="1149">
                  <c:v>9.8392636273987675E-3</c:v>
                </c:pt>
                <c:pt idx="1150">
                  <c:v>1.151973048104173E-2</c:v>
                </c:pt>
                <c:pt idx="1151">
                  <c:v>1.4034323210320632E-2</c:v>
                </c:pt>
                <c:pt idx="1152">
                  <c:v>1.3093285702553852E-2</c:v>
                </c:pt>
                <c:pt idx="1153">
                  <c:v>8.5575103545755624E-3</c:v>
                </c:pt>
                <c:pt idx="1154">
                  <c:v>1.1085494976749398E-2</c:v>
                </c:pt>
                <c:pt idx="1155">
                  <c:v>1.1232320867041807E-2</c:v>
                </c:pt>
                <c:pt idx="1156">
                  <c:v>1.2364830542856284E-2</c:v>
                </c:pt>
                <c:pt idx="1157">
                  <c:v>1.2353371371445159E-2</c:v>
                </c:pt>
                <c:pt idx="1158">
                  <c:v>9.793013563929448E-3</c:v>
                </c:pt>
                <c:pt idx="1159">
                  <c:v>9.2753345946766427E-3</c:v>
                </c:pt>
                <c:pt idx="1160">
                  <c:v>1.0205568098004101E-2</c:v>
                </c:pt>
                <c:pt idx="1161">
                  <c:v>1.0049393825770954E-2</c:v>
                </c:pt>
                <c:pt idx="1162">
                  <c:v>1.4999037183150453E-2</c:v>
                </c:pt>
                <c:pt idx="1163">
                  <c:v>1.0491646986518426E-2</c:v>
                </c:pt>
                <c:pt idx="1164">
                  <c:v>8.0932179007493152E-3</c:v>
                </c:pt>
                <c:pt idx="1165">
                  <c:v>1.2952156005033041E-2</c:v>
                </c:pt>
                <c:pt idx="1166">
                  <c:v>1.5169090723487729E-2</c:v>
                </c:pt>
                <c:pt idx="1167">
                  <c:v>1.2678919548502574E-2</c:v>
                </c:pt>
                <c:pt idx="1168">
                  <c:v>1.3683778359622121E-2</c:v>
                </c:pt>
                <c:pt idx="1169">
                  <c:v>1.1883965844564956E-2</c:v>
                </c:pt>
                <c:pt idx="1170">
                  <c:v>1.5012658500489821E-2</c:v>
                </c:pt>
                <c:pt idx="1171">
                  <c:v>1.3980696767766325E-2</c:v>
                </c:pt>
                <c:pt idx="1172">
                  <c:v>1.1957984374387007E-2</c:v>
                </c:pt>
                <c:pt idx="1173">
                  <c:v>1.006201845919372E-2</c:v>
                </c:pt>
                <c:pt idx="1174">
                  <c:v>1.2209875543542584E-2</c:v>
                </c:pt>
                <c:pt idx="1175">
                  <c:v>1.2559690840340244E-2</c:v>
                </c:pt>
                <c:pt idx="1176">
                  <c:v>1.1155994344966029E-2</c:v>
                </c:pt>
                <c:pt idx="1177">
                  <c:v>1.5967902024762608E-2</c:v>
                </c:pt>
                <c:pt idx="1178">
                  <c:v>1.0505046178845378E-2</c:v>
                </c:pt>
                <c:pt idx="1179">
                  <c:v>1.2256651951324733E-2</c:v>
                </c:pt>
                <c:pt idx="1180">
                  <c:v>1.009052647026693E-2</c:v>
                </c:pt>
                <c:pt idx="1181">
                  <c:v>1.438166139083921E-2</c:v>
                </c:pt>
                <c:pt idx="1182">
                  <c:v>9.5408257005799493E-3</c:v>
                </c:pt>
                <c:pt idx="1183">
                  <c:v>1.5754772904825069E-2</c:v>
                </c:pt>
                <c:pt idx="1184">
                  <c:v>2.1299557053774218E-2</c:v>
                </c:pt>
                <c:pt idx="1185">
                  <c:v>1.2167190370263776E-2</c:v>
                </c:pt>
                <c:pt idx="1186">
                  <c:v>1.2889469018096031E-2</c:v>
                </c:pt>
                <c:pt idx="1187">
                  <c:v>9.148231258372887E-3</c:v>
                </c:pt>
                <c:pt idx="1188">
                  <c:v>1.0899421475553115E-2</c:v>
                </c:pt>
                <c:pt idx="1189">
                  <c:v>9.243469458785316E-3</c:v>
                </c:pt>
                <c:pt idx="1190">
                  <c:v>1.0806148630452365E-2</c:v>
                </c:pt>
                <c:pt idx="1191">
                  <c:v>1.3465779891390863E-2</c:v>
                </c:pt>
                <c:pt idx="1192">
                  <c:v>1.4269454127364911E-2</c:v>
                </c:pt>
                <c:pt idx="1193">
                  <c:v>1.3764883684387228E-2</c:v>
                </c:pt>
                <c:pt idx="1194">
                  <c:v>1.0382030314362583E-2</c:v>
                </c:pt>
                <c:pt idx="1195">
                  <c:v>1.3516505311510656E-2</c:v>
                </c:pt>
                <c:pt idx="1196">
                  <c:v>1.4725585127532128E-2</c:v>
                </c:pt>
                <c:pt idx="1197">
                  <c:v>1.3668181232859124E-2</c:v>
                </c:pt>
                <c:pt idx="1198">
                  <c:v>1.3887571601961066E-2</c:v>
                </c:pt>
                <c:pt idx="1199">
                  <c:v>1.1869365537788239E-2</c:v>
                </c:pt>
                <c:pt idx="1200">
                  <c:v>1.0173876668808764E-2</c:v>
                </c:pt>
                <c:pt idx="1201">
                  <c:v>9.7497225354543308E-3</c:v>
                </c:pt>
                <c:pt idx="1202">
                  <c:v>9.7290438803408798E-3</c:v>
                </c:pt>
                <c:pt idx="1203">
                  <c:v>1.1817443357081141E-2</c:v>
                </c:pt>
                <c:pt idx="1204">
                  <c:v>1.1926618072529942E-2</c:v>
                </c:pt>
                <c:pt idx="1205">
                  <c:v>1.3890433869187375E-2</c:v>
                </c:pt>
                <c:pt idx="1206">
                  <c:v>1.2979404323545498E-2</c:v>
                </c:pt>
                <c:pt idx="1207">
                  <c:v>1.1367786951970214E-2</c:v>
                </c:pt>
                <c:pt idx="1208">
                  <c:v>1.0618219042318227E-2</c:v>
                </c:pt>
                <c:pt idx="1209">
                  <c:v>1.3316817370243889E-2</c:v>
                </c:pt>
                <c:pt idx="1210">
                  <c:v>1.0347717765292879E-2</c:v>
                </c:pt>
                <c:pt idx="1211">
                  <c:v>1.097921339725064E-2</c:v>
                </c:pt>
                <c:pt idx="1212">
                  <c:v>1.0008555736436308E-2</c:v>
                </c:pt>
                <c:pt idx="1213">
                  <c:v>1.0246871656842866E-2</c:v>
                </c:pt>
                <c:pt idx="1214">
                  <c:v>1.4126710504965624E-2</c:v>
                </c:pt>
                <c:pt idx="1215">
                  <c:v>1.3610498124264786E-2</c:v>
                </c:pt>
                <c:pt idx="1216">
                  <c:v>1.1373425914228416E-2</c:v>
                </c:pt>
                <c:pt idx="1217">
                  <c:v>1.5576947563848862E-2</c:v>
                </c:pt>
                <c:pt idx="1218">
                  <c:v>1.0118625350609319E-2</c:v>
                </c:pt>
                <c:pt idx="1219">
                  <c:v>1.0132346768722735E-2</c:v>
                </c:pt>
                <c:pt idx="1220">
                  <c:v>1.2940873906747393E-2</c:v>
                </c:pt>
                <c:pt idx="1221">
                  <c:v>1.2463387139237881E-2</c:v>
                </c:pt>
                <c:pt idx="1222">
                  <c:v>1.0766753486107327E-2</c:v>
                </c:pt>
                <c:pt idx="1223">
                  <c:v>1.4740710595686492E-2</c:v>
                </c:pt>
                <c:pt idx="1224">
                  <c:v>1.24256112107979E-2</c:v>
                </c:pt>
                <c:pt idx="1225">
                  <c:v>1.2564311053738828E-2</c:v>
                </c:pt>
                <c:pt idx="1226">
                  <c:v>1.2078521226569104E-2</c:v>
                </c:pt>
                <c:pt idx="1227">
                  <c:v>9.6039718230122289E-3</c:v>
                </c:pt>
                <c:pt idx="1228">
                  <c:v>1.4222421056856943E-2</c:v>
                </c:pt>
                <c:pt idx="1229">
                  <c:v>1.3900560711636369E-2</c:v>
                </c:pt>
                <c:pt idx="1230">
                  <c:v>1.2500718694716948E-2</c:v>
                </c:pt>
                <c:pt idx="1231">
                  <c:v>9.7333492831559697E-3</c:v>
                </c:pt>
                <c:pt idx="1232">
                  <c:v>8.7983585824943124E-3</c:v>
                </c:pt>
                <c:pt idx="1233">
                  <c:v>9.3624673976870649E-3</c:v>
                </c:pt>
                <c:pt idx="1234">
                  <c:v>1.3146627014647732E-2</c:v>
                </c:pt>
                <c:pt idx="1235">
                  <c:v>1.6928385744070257E-2</c:v>
                </c:pt>
                <c:pt idx="1236">
                  <c:v>1.1899315783352234E-2</c:v>
                </c:pt>
                <c:pt idx="1237">
                  <c:v>1.0840313720952637E-2</c:v>
                </c:pt>
                <c:pt idx="1238">
                  <c:v>9.2722652482465813E-3</c:v>
                </c:pt>
                <c:pt idx="1239">
                  <c:v>1.5920709950906043E-2</c:v>
                </c:pt>
                <c:pt idx="1240">
                  <c:v>1.0164181787763148E-2</c:v>
                </c:pt>
                <c:pt idx="1241">
                  <c:v>1.4833136458367919E-2</c:v>
                </c:pt>
                <c:pt idx="1242">
                  <c:v>1.2273812999059852E-2</c:v>
                </c:pt>
                <c:pt idx="1243">
                  <c:v>1.1095401992623559E-2</c:v>
                </c:pt>
                <c:pt idx="1244">
                  <c:v>1.4497585867498233E-2</c:v>
                </c:pt>
                <c:pt idx="1245">
                  <c:v>1.4299911414968405E-2</c:v>
                </c:pt>
                <c:pt idx="1246">
                  <c:v>1.6277931125835341E-2</c:v>
                </c:pt>
                <c:pt idx="1247">
                  <c:v>1.1390066112769458E-2</c:v>
                </c:pt>
                <c:pt idx="1248">
                  <c:v>1.3127565949390617E-2</c:v>
                </c:pt>
                <c:pt idx="1249">
                  <c:v>8.8222972990398517E-3</c:v>
                </c:pt>
                <c:pt idx="1250">
                  <c:v>1.3774146375471894E-2</c:v>
                </c:pt>
                <c:pt idx="1251">
                  <c:v>1.1444050989672742E-2</c:v>
                </c:pt>
                <c:pt idx="1252">
                  <c:v>9.3753239568575928E-3</c:v>
                </c:pt>
                <c:pt idx="1253">
                  <c:v>1.0646177168057221E-2</c:v>
                </c:pt>
                <c:pt idx="1254">
                  <c:v>9.5324940846696106E-3</c:v>
                </c:pt>
                <c:pt idx="1255">
                  <c:v>8.3492327710942213E-3</c:v>
                </c:pt>
                <c:pt idx="1256">
                  <c:v>9.739449089962474E-3</c:v>
                </c:pt>
                <c:pt idx="1257">
                  <c:v>1.0072446776131585E-2</c:v>
                </c:pt>
                <c:pt idx="1258">
                  <c:v>1.1787796213088316E-2</c:v>
                </c:pt>
                <c:pt idx="1259">
                  <c:v>1.752433603569235E-2</c:v>
                </c:pt>
                <c:pt idx="1260">
                  <c:v>1.0154769966408541E-2</c:v>
                </c:pt>
                <c:pt idx="1261">
                  <c:v>1.2270833121570479E-2</c:v>
                </c:pt>
                <c:pt idx="1262">
                  <c:v>1.1192141407726645E-2</c:v>
                </c:pt>
                <c:pt idx="1263">
                  <c:v>9.5294155272220016E-3</c:v>
                </c:pt>
                <c:pt idx="1264">
                  <c:v>1.085892040680555E-2</c:v>
                </c:pt>
                <c:pt idx="1265">
                  <c:v>1.3210522299520563E-2</c:v>
                </c:pt>
                <c:pt idx="1266">
                  <c:v>9.9076243044497435E-3</c:v>
                </c:pt>
                <c:pt idx="1267">
                  <c:v>8.8128741126194121E-3</c:v>
                </c:pt>
                <c:pt idx="1268">
                  <c:v>8.5655826714762674E-3</c:v>
                </c:pt>
                <c:pt idx="1269">
                  <c:v>1.0545657261083835E-2</c:v>
                </c:pt>
                <c:pt idx="1270">
                  <c:v>8.8440270195795593E-3</c:v>
                </c:pt>
                <c:pt idx="1271">
                  <c:v>1.2240588615241728E-2</c:v>
                </c:pt>
                <c:pt idx="1272">
                  <c:v>1.1033770716054008E-2</c:v>
                </c:pt>
                <c:pt idx="1273">
                  <c:v>1.4803137207912301E-2</c:v>
                </c:pt>
                <c:pt idx="1274">
                  <c:v>1.1806538564701626E-2</c:v>
                </c:pt>
                <c:pt idx="1275">
                  <c:v>1.0979822104013168E-2</c:v>
                </c:pt>
                <c:pt idx="1276">
                  <c:v>9.075938610894391E-3</c:v>
                </c:pt>
                <c:pt idx="1277">
                  <c:v>1.1837022976903942E-2</c:v>
                </c:pt>
                <c:pt idx="1278">
                  <c:v>7.6792408195755137E-3</c:v>
                </c:pt>
                <c:pt idx="1279">
                  <c:v>1.1345618901474175E-2</c:v>
                </c:pt>
                <c:pt idx="1280">
                  <c:v>1.1888100218583377E-2</c:v>
                </c:pt>
                <c:pt idx="1281">
                  <c:v>1.0560355826319378E-2</c:v>
                </c:pt>
                <c:pt idx="1282">
                  <c:v>9.0226812535781336E-3</c:v>
                </c:pt>
                <c:pt idx="1283">
                  <c:v>8.4483009048344614E-3</c:v>
                </c:pt>
                <c:pt idx="1284">
                  <c:v>1.6188728821443645E-2</c:v>
                </c:pt>
                <c:pt idx="1285">
                  <c:v>1.1229118089853015E-2</c:v>
                </c:pt>
                <c:pt idx="1286">
                  <c:v>1.5322052498616182E-2</c:v>
                </c:pt>
                <c:pt idx="1287">
                  <c:v>1.3450043104848403E-2</c:v>
                </c:pt>
                <c:pt idx="1288">
                  <c:v>9.9465816963234515E-3</c:v>
                </c:pt>
                <c:pt idx="1289">
                  <c:v>1.2933130995786558E-2</c:v>
                </c:pt>
                <c:pt idx="1290">
                  <c:v>9.3189152389833024E-3</c:v>
                </c:pt>
                <c:pt idx="1291">
                  <c:v>9.1085598695197952E-3</c:v>
                </c:pt>
                <c:pt idx="1292">
                  <c:v>1.0545940816624402E-2</c:v>
                </c:pt>
                <c:pt idx="1293">
                  <c:v>1.1553026743949134E-2</c:v>
                </c:pt>
                <c:pt idx="1294">
                  <c:v>1.1105261796852332E-2</c:v>
                </c:pt>
                <c:pt idx="1295">
                  <c:v>1.1636158037903082E-2</c:v>
                </c:pt>
                <c:pt idx="1296">
                  <c:v>9.8079705994305894E-3</c:v>
                </c:pt>
                <c:pt idx="1297">
                  <c:v>1.4037335317581723E-2</c:v>
                </c:pt>
                <c:pt idx="1298">
                  <c:v>1.0896231715491192E-2</c:v>
                </c:pt>
                <c:pt idx="1299">
                  <c:v>9.9862049875791645E-3</c:v>
                </c:pt>
                <c:pt idx="1300">
                  <c:v>9.5277152942513602E-3</c:v>
                </c:pt>
                <c:pt idx="1301">
                  <c:v>1.1015555951694232E-2</c:v>
                </c:pt>
                <c:pt idx="1302">
                  <c:v>1.2323888099629724E-2</c:v>
                </c:pt>
                <c:pt idx="1303">
                  <c:v>1.1464404534395392E-2</c:v>
                </c:pt>
                <c:pt idx="1304">
                  <c:v>1.5054028074470982E-2</c:v>
                </c:pt>
                <c:pt idx="1305">
                  <c:v>1.4076718117837946E-2</c:v>
                </c:pt>
                <c:pt idx="1306">
                  <c:v>1.0789939473864696E-2</c:v>
                </c:pt>
                <c:pt idx="1307">
                  <c:v>1.1742022089768104E-2</c:v>
                </c:pt>
                <c:pt idx="1308">
                  <c:v>1.3460957870395364E-2</c:v>
                </c:pt>
                <c:pt idx="1309">
                  <c:v>1.0672193511108327E-2</c:v>
                </c:pt>
                <c:pt idx="1310">
                  <c:v>1.5191548602341702E-2</c:v>
                </c:pt>
                <c:pt idx="1311">
                  <c:v>1.1080080367149048E-2</c:v>
                </c:pt>
                <c:pt idx="1312">
                  <c:v>8.8547714815850227E-3</c:v>
                </c:pt>
                <c:pt idx="1313">
                  <c:v>1.2283117465821149E-2</c:v>
                </c:pt>
                <c:pt idx="1314">
                  <c:v>1.8488222424347542E-2</c:v>
                </c:pt>
                <c:pt idx="1315">
                  <c:v>8.4644496234479484E-3</c:v>
                </c:pt>
                <c:pt idx="1316">
                  <c:v>8.4850605482783281E-3</c:v>
                </c:pt>
                <c:pt idx="1317">
                  <c:v>9.7232933719580052E-3</c:v>
                </c:pt>
                <c:pt idx="1318">
                  <c:v>1.0176387826139603E-2</c:v>
                </c:pt>
                <c:pt idx="1319">
                  <c:v>1.3246208474606705E-2</c:v>
                </c:pt>
                <c:pt idx="1320">
                  <c:v>1.1745101421184801E-2</c:v>
                </c:pt>
                <c:pt idx="1321">
                  <c:v>1.6518080656679507E-2</c:v>
                </c:pt>
                <c:pt idx="1322">
                  <c:v>1.1790429031840731E-2</c:v>
                </c:pt>
                <c:pt idx="1323">
                  <c:v>1.2656925988839669E-2</c:v>
                </c:pt>
                <c:pt idx="1324">
                  <c:v>1.0600157265365588E-2</c:v>
                </c:pt>
                <c:pt idx="1325">
                  <c:v>1.258482393969685E-2</c:v>
                </c:pt>
                <c:pt idx="1326">
                  <c:v>1.0321006327946084E-2</c:v>
                </c:pt>
                <c:pt idx="1327">
                  <c:v>1.4032398821255919E-2</c:v>
                </c:pt>
                <c:pt idx="1328">
                  <c:v>1.2091665996087681E-2</c:v>
                </c:pt>
                <c:pt idx="1329">
                  <c:v>9.6579309874398386E-3</c:v>
                </c:pt>
                <c:pt idx="1330">
                  <c:v>1.0332814643013447E-2</c:v>
                </c:pt>
                <c:pt idx="1331">
                  <c:v>1.2584102591401575E-2</c:v>
                </c:pt>
                <c:pt idx="1332">
                  <c:v>1.123424436431591E-2</c:v>
                </c:pt>
                <c:pt idx="1333">
                  <c:v>1.1595175028903747E-2</c:v>
                </c:pt>
                <c:pt idx="1334">
                  <c:v>1.0173716588147677E-2</c:v>
                </c:pt>
                <c:pt idx="1335">
                  <c:v>1.3183193202857236E-2</c:v>
                </c:pt>
                <c:pt idx="1336">
                  <c:v>1.1342122417751109E-2</c:v>
                </c:pt>
                <c:pt idx="1337">
                  <c:v>7.7738457306285886E-3</c:v>
                </c:pt>
                <c:pt idx="1338">
                  <c:v>9.0898277468253585E-3</c:v>
                </c:pt>
                <c:pt idx="1339">
                  <c:v>1.4315002743520999E-2</c:v>
                </c:pt>
                <c:pt idx="1340">
                  <c:v>9.0734480625503169E-3</c:v>
                </c:pt>
                <c:pt idx="1341">
                  <c:v>1.2677328102240138E-2</c:v>
                </c:pt>
                <c:pt idx="1342">
                  <c:v>1.1171976495982E-2</c:v>
                </c:pt>
                <c:pt idx="1343">
                  <c:v>1.3538893266681508E-2</c:v>
                </c:pt>
                <c:pt idx="1344">
                  <c:v>9.3670725143641231E-3</c:v>
                </c:pt>
                <c:pt idx="1345">
                  <c:v>1.7776966809977979E-2</c:v>
                </c:pt>
                <c:pt idx="1346">
                  <c:v>1.0837482325149481E-2</c:v>
                </c:pt>
                <c:pt idx="1347">
                  <c:v>1.1022628357672253E-2</c:v>
                </c:pt>
                <c:pt idx="1348">
                  <c:v>9.8941397850681664E-3</c:v>
                </c:pt>
                <c:pt idx="1349">
                  <c:v>1.3028880009987382E-2</c:v>
                </c:pt>
                <c:pt idx="1350">
                  <c:v>1.0574983353617241E-2</c:v>
                </c:pt>
                <c:pt idx="1351">
                  <c:v>1.6556369703707958E-2</c:v>
                </c:pt>
                <c:pt idx="1352">
                  <c:v>1.3235575944942584E-2</c:v>
                </c:pt>
                <c:pt idx="1353">
                  <c:v>1.2784952203234093E-2</c:v>
                </c:pt>
                <c:pt idx="1354">
                  <c:v>1.4121002581862517E-2</c:v>
                </c:pt>
                <c:pt idx="1355">
                  <c:v>1.2613570990909978E-2</c:v>
                </c:pt>
                <c:pt idx="1356">
                  <c:v>1.334110642623668E-2</c:v>
                </c:pt>
                <c:pt idx="1357">
                  <c:v>1.3202067913522951E-2</c:v>
                </c:pt>
                <c:pt idx="1358">
                  <c:v>1.0305589477006759E-2</c:v>
                </c:pt>
                <c:pt idx="1359">
                  <c:v>1.1502141558806724E-2</c:v>
                </c:pt>
                <c:pt idx="1360">
                  <c:v>1.0345280843389199E-2</c:v>
                </c:pt>
                <c:pt idx="1361">
                  <c:v>1.2925111663533915E-2</c:v>
                </c:pt>
                <c:pt idx="1362">
                  <c:v>1.1526510715545175E-2</c:v>
                </c:pt>
                <c:pt idx="1363">
                  <c:v>1.2091748540850746E-2</c:v>
                </c:pt>
                <c:pt idx="1364">
                  <c:v>1.109088811043972E-2</c:v>
                </c:pt>
                <c:pt idx="1365">
                  <c:v>1.0283675255303186E-2</c:v>
                </c:pt>
                <c:pt idx="1366">
                  <c:v>1.7309853633232009E-2</c:v>
                </c:pt>
                <c:pt idx="1367">
                  <c:v>1.4523949967665793E-2</c:v>
                </c:pt>
                <c:pt idx="1368">
                  <c:v>1.1668443108496849E-2</c:v>
                </c:pt>
                <c:pt idx="1369">
                  <c:v>1.2146257367015292E-2</c:v>
                </c:pt>
                <c:pt idx="1370">
                  <c:v>1.2016928792484361E-2</c:v>
                </c:pt>
                <c:pt idx="1371">
                  <c:v>1.6663498284521485E-2</c:v>
                </c:pt>
                <c:pt idx="1372">
                  <c:v>1.1914532879653512E-2</c:v>
                </c:pt>
                <c:pt idx="1373">
                  <c:v>8.0783995879229742E-3</c:v>
                </c:pt>
                <c:pt idx="1374">
                  <c:v>1.1977023971662695E-2</c:v>
                </c:pt>
                <c:pt idx="1375">
                  <c:v>1.139571852970369E-2</c:v>
                </c:pt>
                <c:pt idx="1376">
                  <c:v>1.195432488083863E-2</c:v>
                </c:pt>
                <c:pt idx="1377">
                  <c:v>1.2840853054290972E-2</c:v>
                </c:pt>
                <c:pt idx="1378">
                  <c:v>9.7320302744006333E-3</c:v>
                </c:pt>
                <c:pt idx="1379">
                  <c:v>1.1891711051671906E-2</c:v>
                </c:pt>
                <c:pt idx="1380">
                  <c:v>9.9066890015224729E-3</c:v>
                </c:pt>
                <c:pt idx="1381">
                  <c:v>1.0084094919901067E-2</c:v>
                </c:pt>
                <c:pt idx="1382">
                  <c:v>1.0902863698857247E-2</c:v>
                </c:pt>
                <c:pt idx="1383">
                  <c:v>1.0831362582803209E-2</c:v>
                </c:pt>
                <c:pt idx="1384">
                  <c:v>9.5240024515478097E-3</c:v>
                </c:pt>
                <c:pt idx="1385">
                  <c:v>9.8929896647227036E-3</c:v>
                </c:pt>
                <c:pt idx="1386">
                  <c:v>1.3273648331526861E-2</c:v>
                </c:pt>
                <c:pt idx="1387">
                  <c:v>1.2498664552964538E-2</c:v>
                </c:pt>
                <c:pt idx="1388">
                  <c:v>1.6205174959871314E-2</c:v>
                </c:pt>
                <c:pt idx="1389">
                  <c:v>1.1200385343351597E-2</c:v>
                </c:pt>
                <c:pt idx="1390">
                  <c:v>1.3694447494697778E-2</c:v>
                </c:pt>
                <c:pt idx="1391">
                  <c:v>1.1068047515401514E-2</c:v>
                </c:pt>
                <c:pt idx="1392">
                  <c:v>1.1865349304105365E-2</c:v>
                </c:pt>
                <c:pt idx="1393">
                  <c:v>1.0018771892006393E-2</c:v>
                </c:pt>
                <c:pt idx="1394">
                  <c:v>1.0838203259247199E-2</c:v>
                </c:pt>
                <c:pt idx="1395">
                  <c:v>1.1053812464889822E-2</c:v>
                </c:pt>
                <c:pt idx="1396">
                  <c:v>1.2227772986806312E-2</c:v>
                </c:pt>
                <c:pt idx="1397">
                  <c:v>1.0198234856465142E-2</c:v>
                </c:pt>
                <c:pt idx="1398">
                  <c:v>9.1613033231894483E-3</c:v>
                </c:pt>
                <c:pt idx="1399">
                  <c:v>8.5698984538896041E-3</c:v>
                </c:pt>
                <c:pt idx="1400">
                  <c:v>1.0704682071669079E-2</c:v>
                </c:pt>
                <c:pt idx="1401">
                  <c:v>1.3166362631050929E-2</c:v>
                </c:pt>
                <c:pt idx="1402">
                  <c:v>1.1624361663604124E-2</c:v>
                </c:pt>
                <c:pt idx="1403">
                  <c:v>1.2871067789865446E-2</c:v>
                </c:pt>
                <c:pt idx="1404">
                  <c:v>1.0567661531065578E-2</c:v>
                </c:pt>
                <c:pt idx="1405">
                  <c:v>1.2314848760500194E-2</c:v>
                </c:pt>
                <c:pt idx="1406">
                  <c:v>1.0175746171328793E-2</c:v>
                </c:pt>
                <c:pt idx="1407">
                  <c:v>1.2562007356640497E-2</c:v>
                </c:pt>
                <c:pt idx="1408">
                  <c:v>1.0295816320854507E-2</c:v>
                </c:pt>
                <c:pt idx="1409">
                  <c:v>1.1046431617415513E-2</c:v>
                </c:pt>
                <c:pt idx="1410">
                  <c:v>1.1749186635350309E-2</c:v>
                </c:pt>
                <c:pt idx="1411">
                  <c:v>1.5640101564953591E-2</c:v>
                </c:pt>
                <c:pt idx="1412">
                  <c:v>1.1276387466495421E-2</c:v>
                </c:pt>
                <c:pt idx="1413">
                  <c:v>9.9760500763752882E-3</c:v>
                </c:pt>
                <c:pt idx="1414">
                  <c:v>1.1629977155522822E-2</c:v>
                </c:pt>
                <c:pt idx="1415">
                  <c:v>1.597809999952823E-2</c:v>
                </c:pt>
                <c:pt idx="1416">
                  <c:v>1.015100900956317E-2</c:v>
                </c:pt>
                <c:pt idx="1417">
                  <c:v>7.9401816555154225E-3</c:v>
                </c:pt>
                <c:pt idx="1418">
                  <c:v>9.2388380027564696E-3</c:v>
                </c:pt>
                <c:pt idx="1419">
                  <c:v>1.1652091496756122E-2</c:v>
                </c:pt>
                <c:pt idx="1420">
                  <c:v>1.0413624234306218E-2</c:v>
                </c:pt>
                <c:pt idx="1421">
                  <c:v>1.383358479761034E-2</c:v>
                </c:pt>
                <c:pt idx="1422">
                  <c:v>1.2326482874621571E-2</c:v>
                </c:pt>
                <c:pt idx="1423">
                  <c:v>1.4937982560865372E-2</c:v>
                </c:pt>
                <c:pt idx="1424">
                  <c:v>1.2906837129286803E-2</c:v>
                </c:pt>
                <c:pt idx="1425">
                  <c:v>1.1970302516361261E-2</c:v>
                </c:pt>
                <c:pt idx="1426">
                  <c:v>1.1372752635638811E-2</c:v>
                </c:pt>
                <c:pt idx="1427">
                  <c:v>1.4597731901453899E-2</c:v>
                </c:pt>
                <c:pt idx="1428">
                  <c:v>1.2653819543081096E-2</c:v>
                </c:pt>
                <c:pt idx="1429">
                  <c:v>1.1446430763106891E-2</c:v>
                </c:pt>
                <c:pt idx="1430">
                  <c:v>9.9443739102221401E-3</c:v>
                </c:pt>
                <c:pt idx="1431">
                  <c:v>1.2625729938108676E-2</c:v>
                </c:pt>
                <c:pt idx="1432">
                  <c:v>1.4643183134979854E-2</c:v>
                </c:pt>
                <c:pt idx="1433">
                  <c:v>1.3691966463616282E-2</c:v>
                </c:pt>
                <c:pt idx="1434">
                  <c:v>1.0807902317765532E-2</c:v>
                </c:pt>
                <c:pt idx="1435">
                  <c:v>1.318886822355839E-2</c:v>
                </c:pt>
                <c:pt idx="1436">
                  <c:v>1.0493242302096232E-2</c:v>
                </c:pt>
                <c:pt idx="1437">
                  <c:v>1.5538513533944623E-2</c:v>
                </c:pt>
                <c:pt idx="1438">
                  <c:v>1.2288868334995928E-2</c:v>
                </c:pt>
                <c:pt idx="1439">
                  <c:v>1.4301668323147651E-2</c:v>
                </c:pt>
                <c:pt idx="1440">
                  <c:v>1.1120366561481377E-2</c:v>
                </c:pt>
                <c:pt idx="1441">
                  <c:v>1.1424725335044022E-2</c:v>
                </c:pt>
                <c:pt idx="1442">
                  <c:v>1.0527579576081733E-2</c:v>
                </c:pt>
                <c:pt idx="1443">
                  <c:v>1.1198968108377417E-2</c:v>
                </c:pt>
                <c:pt idx="1444">
                  <c:v>1.4231425601156098E-2</c:v>
                </c:pt>
                <c:pt idx="1445">
                  <c:v>8.0015865273750965E-3</c:v>
                </c:pt>
                <c:pt idx="1446">
                  <c:v>8.9163229806321857E-3</c:v>
                </c:pt>
                <c:pt idx="1447">
                  <c:v>1.0618205951174258E-2</c:v>
                </c:pt>
                <c:pt idx="1448">
                  <c:v>1.1378780497545534E-2</c:v>
                </c:pt>
                <c:pt idx="1449">
                  <c:v>1.091220824972961E-2</c:v>
                </c:pt>
                <c:pt idx="1450">
                  <c:v>1.4226323420420907E-2</c:v>
                </c:pt>
                <c:pt idx="1451">
                  <c:v>1.4161087962912247E-2</c:v>
                </c:pt>
                <c:pt idx="1452">
                  <c:v>1.1961868708067964E-2</c:v>
                </c:pt>
                <c:pt idx="1453">
                  <c:v>1.1931088557173933E-2</c:v>
                </c:pt>
                <c:pt idx="1454">
                  <c:v>1.2396121331456922E-2</c:v>
                </c:pt>
                <c:pt idx="1455">
                  <c:v>9.1531136197342648E-3</c:v>
                </c:pt>
                <c:pt idx="1456">
                  <c:v>1.1991206414483768E-2</c:v>
                </c:pt>
                <c:pt idx="1457">
                  <c:v>1.0414354018876058E-2</c:v>
                </c:pt>
                <c:pt idx="1458">
                  <c:v>7.957327967871625E-3</c:v>
                </c:pt>
                <c:pt idx="1459">
                  <c:v>1.1739141023592442E-2</c:v>
                </c:pt>
                <c:pt idx="1460">
                  <c:v>1.098827037413087E-2</c:v>
                </c:pt>
                <c:pt idx="1461">
                  <c:v>1.2350491275590163E-2</c:v>
                </c:pt>
                <c:pt idx="1462">
                  <c:v>8.3714723283621565E-3</c:v>
                </c:pt>
                <c:pt idx="1463">
                  <c:v>1.5231884389542255E-2</c:v>
                </c:pt>
                <c:pt idx="1464">
                  <c:v>1.3284778161279485E-2</c:v>
                </c:pt>
                <c:pt idx="1465">
                  <c:v>1.2152903047289505E-2</c:v>
                </c:pt>
                <c:pt idx="1466">
                  <c:v>1.2372645351194049E-2</c:v>
                </c:pt>
                <c:pt idx="1467">
                  <c:v>1.0010050733263847E-2</c:v>
                </c:pt>
                <c:pt idx="1468">
                  <c:v>9.1431470978320557E-3</c:v>
                </c:pt>
                <c:pt idx="1469">
                  <c:v>8.9917035914037977E-3</c:v>
                </c:pt>
                <c:pt idx="1470">
                  <c:v>1.3964601236476502E-2</c:v>
                </c:pt>
                <c:pt idx="1471">
                  <c:v>9.4420816106439917E-3</c:v>
                </c:pt>
                <c:pt idx="1472">
                  <c:v>1.4405221959586479E-2</c:v>
                </c:pt>
                <c:pt idx="1473">
                  <c:v>1.0148783200465004E-2</c:v>
                </c:pt>
                <c:pt idx="1474">
                  <c:v>1.0216083540752841E-2</c:v>
                </c:pt>
                <c:pt idx="1475">
                  <c:v>9.5375210989686997E-3</c:v>
                </c:pt>
                <c:pt idx="1476">
                  <c:v>1.1819476427072808E-2</c:v>
                </c:pt>
                <c:pt idx="1477">
                  <c:v>1.1882144728498014E-2</c:v>
                </c:pt>
                <c:pt idx="1478">
                  <c:v>1.0834112010577287E-2</c:v>
                </c:pt>
                <c:pt idx="1479">
                  <c:v>1.248249564635006E-2</c:v>
                </c:pt>
                <c:pt idx="1480">
                  <c:v>9.9120873115187118E-3</c:v>
                </c:pt>
                <c:pt idx="1481">
                  <c:v>1.3609257123198916E-2</c:v>
                </c:pt>
                <c:pt idx="1482">
                  <c:v>1.0466475719554115E-2</c:v>
                </c:pt>
                <c:pt idx="1483">
                  <c:v>1.015259622907558E-2</c:v>
                </c:pt>
                <c:pt idx="1484">
                  <c:v>8.4542489262415324E-3</c:v>
                </c:pt>
                <c:pt idx="1485">
                  <c:v>1.174017254867109E-2</c:v>
                </c:pt>
                <c:pt idx="1486">
                  <c:v>1.2105691194036225E-2</c:v>
                </c:pt>
                <c:pt idx="1487">
                  <c:v>1.4133386711942642E-2</c:v>
                </c:pt>
                <c:pt idx="1488">
                  <c:v>1.1194901473194154E-2</c:v>
                </c:pt>
                <c:pt idx="1489">
                  <c:v>1.2820974494631548E-2</c:v>
                </c:pt>
                <c:pt idx="1490">
                  <c:v>1.0681267314698768E-2</c:v>
                </c:pt>
                <c:pt idx="1491">
                  <c:v>1.3021778635988749E-2</c:v>
                </c:pt>
                <c:pt idx="1492">
                  <c:v>1.0558488716798325E-2</c:v>
                </c:pt>
                <c:pt idx="1493">
                  <c:v>1.1728535518963554E-2</c:v>
                </c:pt>
                <c:pt idx="1494">
                  <c:v>1.4051785643234657E-2</c:v>
                </c:pt>
                <c:pt idx="1495">
                  <c:v>1.1236655407465282E-2</c:v>
                </c:pt>
                <c:pt idx="1496">
                  <c:v>1.0756766912565611E-2</c:v>
                </c:pt>
                <c:pt idx="1497">
                  <c:v>1.2463239571512078E-2</c:v>
                </c:pt>
                <c:pt idx="1498">
                  <c:v>1.0037189935212038E-2</c:v>
                </c:pt>
                <c:pt idx="1499">
                  <c:v>1.073310794364834E-2</c:v>
                </c:pt>
                <c:pt idx="1500">
                  <c:v>1.0048904085436241E-2</c:v>
                </c:pt>
                <c:pt idx="1501">
                  <c:v>1.1686830994516496E-2</c:v>
                </c:pt>
                <c:pt idx="1502">
                  <c:v>8.9983553005063312E-3</c:v>
                </c:pt>
                <c:pt idx="1503">
                  <c:v>8.6994046110120214E-3</c:v>
                </c:pt>
                <c:pt idx="1504">
                  <c:v>8.8644182454644758E-3</c:v>
                </c:pt>
                <c:pt idx="1505">
                  <c:v>1.0684693537320747E-2</c:v>
                </c:pt>
                <c:pt idx="1506">
                  <c:v>1.2766817399964485E-2</c:v>
                </c:pt>
                <c:pt idx="1507">
                  <c:v>1.178642504107804E-2</c:v>
                </c:pt>
                <c:pt idx="1508">
                  <c:v>1.1850098925269895E-2</c:v>
                </c:pt>
                <c:pt idx="1509">
                  <c:v>1.1201137542087427E-2</c:v>
                </c:pt>
                <c:pt idx="1510">
                  <c:v>1.4546103909317661E-2</c:v>
                </c:pt>
                <c:pt idx="1511">
                  <c:v>1.1613427206869757E-2</c:v>
                </c:pt>
                <c:pt idx="1512">
                  <c:v>1.3975509392741024E-2</c:v>
                </c:pt>
                <c:pt idx="1513">
                  <c:v>1.2813767856281669E-2</c:v>
                </c:pt>
                <c:pt idx="1514">
                  <c:v>1.2036411575008453E-2</c:v>
                </c:pt>
                <c:pt idx="1515">
                  <c:v>1.2592026683947988E-2</c:v>
                </c:pt>
                <c:pt idx="1516">
                  <c:v>1.0110859962182493E-2</c:v>
                </c:pt>
                <c:pt idx="1517">
                  <c:v>1.1294473404800782E-2</c:v>
                </c:pt>
                <c:pt idx="1518">
                  <c:v>1.1073680508969645E-2</c:v>
                </c:pt>
                <c:pt idx="1519">
                  <c:v>1.0729388940714298E-2</c:v>
                </c:pt>
                <c:pt idx="1520">
                  <c:v>1.134785583735385E-2</c:v>
                </c:pt>
                <c:pt idx="1521">
                  <c:v>1.0300450181382263E-2</c:v>
                </c:pt>
                <c:pt idx="1522">
                  <c:v>1.2204136512484426E-2</c:v>
                </c:pt>
                <c:pt idx="1523">
                  <c:v>1.2968343632835612E-2</c:v>
                </c:pt>
                <c:pt idx="1524">
                  <c:v>1.3374460436583134E-2</c:v>
                </c:pt>
                <c:pt idx="1525">
                  <c:v>1.0580010794066752E-2</c:v>
                </c:pt>
                <c:pt idx="1526">
                  <c:v>1.3957142560534447E-2</c:v>
                </c:pt>
                <c:pt idx="1527">
                  <c:v>1.0602915402101796E-2</c:v>
                </c:pt>
                <c:pt idx="1528">
                  <c:v>8.4893647944341063E-3</c:v>
                </c:pt>
                <c:pt idx="1529">
                  <c:v>1.1093802445284408E-2</c:v>
                </c:pt>
                <c:pt idx="1530">
                  <c:v>1.232105241451961E-2</c:v>
                </c:pt>
                <c:pt idx="1531">
                  <c:v>1.5813229378699129E-2</c:v>
                </c:pt>
                <c:pt idx="1532">
                  <c:v>1.7479551546419152E-2</c:v>
                </c:pt>
                <c:pt idx="1533">
                  <c:v>1.9301911021562049E-2</c:v>
                </c:pt>
                <c:pt idx="1534">
                  <c:v>1.1535362540375311E-2</c:v>
                </c:pt>
                <c:pt idx="1535">
                  <c:v>1.0263138224756406E-2</c:v>
                </c:pt>
                <c:pt idx="1536">
                  <c:v>1.0183202394240106E-2</c:v>
                </c:pt>
                <c:pt idx="1537">
                  <c:v>1.2788863758643704E-2</c:v>
                </c:pt>
                <c:pt idx="1538">
                  <c:v>1.1901450721195639E-2</c:v>
                </c:pt>
                <c:pt idx="1539">
                  <c:v>1.18609731640032E-2</c:v>
                </c:pt>
                <c:pt idx="1540">
                  <c:v>1.1038375129102671E-2</c:v>
                </c:pt>
                <c:pt idx="1541">
                  <c:v>1.1102278661578849E-2</c:v>
                </c:pt>
                <c:pt idx="1542">
                  <c:v>1.2822757971879678E-2</c:v>
                </c:pt>
                <c:pt idx="1543">
                  <c:v>1.0326488328684649E-2</c:v>
                </c:pt>
                <c:pt idx="1544">
                  <c:v>1.1338258281862489E-2</c:v>
                </c:pt>
                <c:pt idx="1545">
                  <c:v>9.1340053096686767E-3</c:v>
                </c:pt>
                <c:pt idx="1546">
                  <c:v>1.0945385787861063E-2</c:v>
                </c:pt>
                <c:pt idx="1547">
                  <c:v>1.3842424350716748E-2</c:v>
                </c:pt>
                <c:pt idx="1548">
                  <c:v>1.395200220887005E-2</c:v>
                </c:pt>
                <c:pt idx="1549">
                  <c:v>9.4572568605766748E-3</c:v>
                </c:pt>
                <c:pt idx="1550">
                  <c:v>9.4501939024818644E-3</c:v>
                </c:pt>
                <c:pt idx="1551">
                  <c:v>1.2123763127351321E-2</c:v>
                </c:pt>
                <c:pt idx="1552">
                  <c:v>9.6879917387877202E-3</c:v>
                </c:pt>
                <c:pt idx="1553">
                  <c:v>9.6177509185462542E-3</c:v>
                </c:pt>
                <c:pt idx="1554">
                  <c:v>1.2629068083845476E-2</c:v>
                </c:pt>
                <c:pt idx="1555">
                  <c:v>1.2170633261887366E-2</c:v>
                </c:pt>
                <c:pt idx="1556">
                  <c:v>9.3558588410545401E-3</c:v>
                </c:pt>
                <c:pt idx="1557">
                  <c:v>1.3533599490724354E-2</c:v>
                </c:pt>
                <c:pt idx="1558">
                  <c:v>1.0174198626217452E-2</c:v>
                </c:pt>
                <c:pt idx="1559">
                  <c:v>8.5647319806788341E-3</c:v>
                </c:pt>
                <c:pt idx="1560">
                  <c:v>9.0159365582719118E-3</c:v>
                </c:pt>
                <c:pt idx="1561">
                  <c:v>1.5895466585401478E-2</c:v>
                </c:pt>
                <c:pt idx="1562">
                  <c:v>1.0438484802626116E-2</c:v>
                </c:pt>
                <c:pt idx="1563">
                  <c:v>1.1073005977616509E-2</c:v>
                </c:pt>
                <c:pt idx="1564">
                  <c:v>1.4396895300448112E-2</c:v>
                </c:pt>
                <c:pt idx="1565">
                  <c:v>9.9477073111420983E-3</c:v>
                </c:pt>
                <c:pt idx="1566">
                  <c:v>9.8439821105409681E-3</c:v>
                </c:pt>
                <c:pt idx="1567">
                  <c:v>1.0270586844316738E-2</c:v>
                </c:pt>
                <c:pt idx="1568">
                  <c:v>1.2606689337733712E-2</c:v>
                </c:pt>
                <c:pt idx="1569">
                  <c:v>1.113103518572385E-2</c:v>
                </c:pt>
                <c:pt idx="1570">
                  <c:v>1.2169596491187588E-2</c:v>
                </c:pt>
                <c:pt idx="1571">
                  <c:v>9.2175856588086053E-3</c:v>
                </c:pt>
                <c:pt idx="1572">
                  <c:v>1.2317646832071228E-2</c:v>
                </c:pt>
                <c:pt idx="1573">
                  <c:v>8.710555880379835E-3</c:v>
                </c:pt>
                <c:pt idx="1574">
                  <c:v>1.1508611465236733E-2</c:v>
                </c:pt>
                <c:pt idx="1575">
                  <c:v>1.0841569918897568E-2</c:v>
                </c:pt>
                <c:pt idx="1576">
                  <c:v>9.0648199249676754E-3</c:v>
                </c:pt>
                <c:pt idx="1577">
                  <c:v>1.8418266370624704E-2</c:v>
                </c:pt>
                <c:pt idx="1578">
                  <c:v>8.0616481644393886E-3</c:v>
                </c:pt>
                <c:pt idx="1579">
                  <c:v>1.2204470085172607E-2</c:v>
                </c:pt>
                <c:pt idx="1580">
                  <c:v>1.0554439043090167E-2</c:v>
                </c:pt>
                <c:pt idx="1581">
                  <c:v>8.2911381959508128E-3</c:v>
                </c:pt>
                <c:pt idx="1582">
                  <c:v>8.9131148038545695E-3</c:v>
                </c:pt>
                <c:pt idx="1583">
                  <c:v>1.3489594954267665E-2</c:v>
                </c:pt>
                <c:pt idx="1584">
                  <c:v>1.7356348092606212E-2</c:v>
                </c:pt>
                <c:pt idx="1585">
                  <c:v>1.0572149556006728E-2</c:v>
                </c:pt>
                <c:pt idx="1586">
                  <c:v>9.7920437097934292E-3</c:v>
                </c:pt>
                <c:pt idx="1587">
                  <c:v>1.1196949435131482E-2</c:v>
                </c:pt>
                <c:pt idx="1588">
                  <c:v>1.1134881023958954E-2</c:v>
                </c:pt>
                <c:pt idx="1589">
                  <c:v>1.0785332876932537E-2</c:v>
                </c:pt>
                <c:pt idx="1590">
                  <c:v>9.1677438651142709E-3</c:v>
                </c:pt>
                <c:pt idx="1591">
                  <c:v>1.426878483242602E-2</c:v>
                </c:pt>
                <c:pt idx="1592">
                  <c:v>1.2055267374955195E-2</c:v>
                </c:pt>
                <c:pt idx="1593">
                  <c:v>1.2083014670938598E-2</c:v>
                </c:pt>
                <c:pt idx="1594">
                  <c:v>1.1289834836931701E-2</c:v>
                </c:pt>
                <c:pt idx="1595">
                  <c:v>1.1299906481904855E-2</c:v>
                </c:pt>
                <c:pt idx="1596">
                  <c:v>1.3026037949109106E-2</c:v>
                </c:pt>
                <c:pt idx="1597">
                  <c:v>1.5668764372717862E-2</c:v>
                </c:pt>
                <c:pt idx="1598">
                  <c:v>1.1976813030093769E-2</c:v>
                </c:pt>
                <c:pt idx="1599">
                  <c:v>1.8176608383963077E-2</c:v>
                </c:pt>
                <c:pt idx="1600">
                  <c:v>1.1616519759278254E-2</c:v>
                </c:pt>
                <c:pt idx="1601">
                  <c:v>8.723496360534707E-3</c:v>
                </c:pt>
                <c:pt idx="1602">
                  <c:v>1.1282765400367881E-2</c:v>
                </c:pt>
                <c:pt idx="1603">
                  <c:v>9.6787752389369958E-3</c:v>
                </c:pt>
                <c:pt idx="1604">
                  <c:v>9.9749058910967529E-3</c:v>
                </c:pt>
                <c:pt idx="1605">
                  <c:v>8.3374094557523686E-3</c:v>
                </c:pt>
                <c:pt idx="1606">
                  <c:v>1.2021420441875744E-2</c:v>
                </c:pt>
                <c:pt idx="1607">
                  <c:v>1.3848515043462083E-2</c:v>
                </c:pt>
                <c:pt idx="1608">
                  <c:v>9.7281591970035768E-3</c:v>
                </c:pt>
                <c:pt idx="1609">
                  <c:v>1.0406196148005573E-2</c:v>
                </c:pt>
                <c:pt idx="1610">
                  <c:v>1.3571881637917154E-2</c:v>
                </c:pt>
                <c:pt idx="1611">
                  <c:v>1.0943771591526864E-2</c:v>
                </c:pt>
                <c:pt idx="1612">
                  <c:v>1.049479553514595E-2</c:v>
                </c:pt>
                <c:pt idx="1613">
                  <c:v>1.1566207282337954E-2</c:v>
                </c:pt>
                <c:pt idx="1614">
                  <c:v>1.1141368536422603E-2</c:v>
                </c:pt>
                <c:pt idx="1615">
                  <c:v>1.4816949561286243E-2</c:v>
                </c:pt>
                <c:pt idx="1616">
                  <c:v>1.0299724953659089E-2</c:v>
                </c:pt>
                <c:pt idx="1617">
                  <c:v>8.8005335851463699E-3</c:v>
                </c:pt>
                <c:pt idx="1618">
                  <c:v>9.0801750860470282E-3</c:v>
                </c:pt>
                <c:pt idx="1619">
                  <c:v>1.0702291414699437E-2</c:v>
                </c:pt>
                <c:pt idx="1620">
                  <c:v>1.3705177119959009E-2</c:v>
                </c:pt>
                <c:pt idx="1621">
                  <c:v>1.459369892547964E-2</c:v>
                </c:pt>
                <c:pt idx="1622">
                  <c:v>1.2426785229154995E-2</c:v>
                </c:pt>
                <c:pt idx="1623">
                  <c:v>8.8604357655310273E-3</c:v>
                </c:pt>
                <c:pt idx="1624">
                  <c:v>9.9516276724548741E-3</c:v>
                </c:pt>
                <c:pt idx="1625">
                  <c:v>1.1882505794863161E-2</c:v>
                </c:pt>
                <c:pt idx="1626">
                  <c:v>9.5165764156511755E-3</c:v>
                </c:pt>
                <c:pt idx="1627">
                  <c:v>1.2660195102972475E-2</c:v>
                </c:pt>
                <c:pt idx="1628">
                  <c:v>1.1656711943257002E-2</c:v>
                </c:pt>
                <c:pt idx="1629">
                  <c:v>1.1884401041089133E-2</c:v>
                </c:pt>
                <c:pt idx="1630">
                  <c:v>1.3425556746112217E-2</c:v>
                </c:pt>
                <c:pt idx="1631">
                  <c:v>1.2944730490236707E-2</c:v>
                </c:pt>
                <c:pt idx="1632">
                  <c:v>1.2427013809593365E-2</c:v>
                </c:pt>
                <c:pt idx="1633">
                  <c:v>1.3186612341673506E-2</c:v>
                </c:pt>
                <c:pt idx="1634">
                  <c:v>8.7167445391102879E-3</c:v>
                </c:pt>
                <c:pt idx="1635">
                  <c:v>1.201883060380347E-2</c:v>
                </c:pt>
                <c:pt idx="1636">
                  <c:v>1.2778620000558747E-2</c:v>
                </c:pt>
                <c:pt idx="1637">
                  <c:v>1.1629617413973403E-2</c:v>
                </c:pt>
                <c:pt idx="1638">
                  <c:v>1.0687219723264946E-2</c:v>
                </c:pt>
                <c:pt idx="1639">
                  <c:v>8.5402688598266718E-3</c:v>
                </c:pt>
                <c:pt idx="1640">
                  <c:v>1.2760661571727613E-2</c:v>
                </c:pt>
                <c:pt idx="1641">
                  <c:v>1.0219621349185229E-2</c:v>
                </c:pt>
                <c:pt idx="1642">
                  <c:v>1.0335913165251936E-2</c:v>
                </c:pt>
                <c:pt idx="1643">
                  <c:v>1.582735967398996E-2</c:v>
                </c:pt>
                <c:pt idx="1644">
                  <c:v>1.032705901049266E-2</c:v>
                </c:pt>
                <c:pt idx="1645">
                  <c:v>1.0432842066557001E-2</c:v>
                </c:pt>
                <c:pt idx="1646">
                  <c:v>9.5047970426471538E-3</c:v>
                </c:pt>
                <c:pt idx="1647">
                  <c:v>9.505987956567279E-3</c:v>
                </c:pt>
                <c:pt idx="1648">
                  <c:v>1.0646796337723892E-2</c:v>
                </c:pt>
                <c:pt idx="1649">
                  <c:v>9.9413926736924823E-3</c:v>
                </c:pt>
                <c:pt idx="1650">
                  <c:v>1.1099965221934323E-2</c:v>
                </c:pt>
                <c:pt idx="1651">
                  <c:v>9.9453526343141665E-3</c:v>
                </c:pt>
                <c:pt idx="1652">
                  <c:v>1.2276991360435396E-2</c:v>
                </c:pt>
                <c:pt idx="1653">
                  <c:v>1.0731121991469214E-2</c:v>
                </c:pt>
                <c:pt idx="1654">
                  <c:v>1.3324645646223906E-2</c:v>
                </c:pt>
                <c:pt idx="1655">
                  <c:v>1.1883626555794573E-2</c:v>
                </c:pt>
                <c:pt idx="1656">
                  <c:v>1.3572907625730503E-2</c:v>
                </c:pt>
                <c:pt idx="1657">
                  <c:v>1.0165732792439475E-2</c:v>
                </c:pt>
                <c:pt idx="1658">
                  <c:v>1.2329329668534115E-2</c:v>
                </c:pt>
                <c:pt idx="1659">
                  <c:v>1.1713535958506462E-2</c:v>
                </c:pt>
                <c:pt idx="1660">
                  <c:v>1.3597584321072526E-2</c:v>
                </c:pt>
                <c:pt idx="1661">
                  <c:v>1.2350885642007649E-2</c:v>
                </c:pt>
                <c:pt idx="1662">
                  <c:v>1.5177616799869962E-2</c:v>
                </c:pt>
                <c:pt idx="1663">
                  <c:v>1.1553853507867971E-2</c:v>
                </c:pt>
                <c:pt idx="1664">
                  <c:v>1.5383330751775488E-2</c:v>
                </c:pt>
                <c:pt idx="1665">
                  <c:v>1.2014434617184282E-2</c:v>
                </c:pt>
                <c:pt idx="1666">
                  <c:v>1.3040163169336601E-2</c:v>
                </c:pt>
                <c:pt idx="1667">
                  <c:v>9.8311234521983506E-3</c:v>
                </c:pt>
                <c:pt idx="1668">
                  <c:v>1.3214161552453987E-2</c:v>
                </c:pt>
                <c:pt idx="1669">
                  <c:v>1.2569793305991376E-2</c:v>
                </c:pt>
                <c:pt idx="1670">
                  <c:v>8.6889072489154742E-3</c:v>
                </c:pt>
                <c:pt idx="1671">
                  <c:v>1.1697277466607616E-2</c:v>
                </c:pt>
                <c:pt idx="1672">
                  <c:v>1.1511000854029636E-2</c:v>
                </c:pt>
                <c:pt idx="1673">
                  <c:v>1.2725403750557944E-2</c:v>
                </c:pt>
                <c:pt idx="1674">
                  <c:v>1.3928115352435485E-2</c:v>
                </c:pt>
                <c:pt idx="1675">
                  <c:v>1.0165612607631607E-2</c:v>
                </c:pt>
                <c:pt idx="1676">
                  <c:v>1.6916263161198077E-2</c:v>
                </c:pt>
                <c:pt idx="1677">
                  <c:v>1.0313244315077359E-2</c:v>
                </c:pt>
                <c:pt idx="1678">
                  <c:v>8.6288288449206437E-3</c:v>
                </c:pt>
                <c:pt idx="1679">
                  <c:v>1.413002091057983E-2</c:v>
                </c:pt>
                <c:pt idx="1680">
                  <c:v>7.2661354606490432E-3</c:v>
                </c:pt>
                <c:pt idx="1681">
                  <c:v>1.4327055043261148E-2</c:v>
                </c:pt>
                <c:pt idx="1682">
                  <c:v>9.6567164160239367E-3</c:v>
                </c:pt>
                <c:pt idx="1683">
                  <c:v>1.4064090502446992E-2</c:v>
                </c:pt>
                <c:pt idx="1684">
                  <c:v>1.2280563803491625E-2</c:v>
                </c:pt>
                <c:pt idx="1685">
                  <c:v>1.0754789412635076E-2</c:v>
                </c:pt>
                <c:pt idx="1686">
                  <c:v>1.3058155647778203E-2</c:v>
                </c:pt>
                <c:pt idx="1687">
                  <c:v>1.4774413517527158E-2</c:v>
                </c:pt>
                <c:pt idx="1688">
                  <c:v>1.0542824667067217E-2</c:v>
                </c:pt>
                <c:pt idx="1689">
                  <c:v>8.7043066702884083E-3</c:v>
                </c:pt>
                <c:pt idx="1690">
                  <c:v>1.1748611288579128E-2</c:v>
                </c:pt>
                <c:pt idx="1691">
                  <c:v>1.1380058079795094E-2</c:v>
                </c:pt>
                <c:pt idx="1692">
                  <c:v>9.534342867398864E-3</c:v>
                </c:pt>
                <c:pt idx="1693">
                  <c:v>1.5935222034790225E-2</c:v>
                </c:pt>
                <c:pt idx="1694">
                  <c:v>1.1610848622905748E-2</c:v>
                </c:pt>
                <c:pt idx="1695">
                  <c:v>9.7135367636384303E-3</c:v>
                </c:pt>
                <c:pt idx="1696">
                  <c:v>1.1993394617718126E-2</c:v>
                </c:pt>
                <c:pt idx="1697">
                  <c:v>9.9774351163881333E-3</c:v>
                </c:pt>
                <c:pt idx="1698">
                  <c:v>1.0989323797630153E-2</c:v>
                </c:pt>
                <c:pt idx="1699">
                  <c:v>1.2091652302833121E-2</c:v>
                </c:pt>
                <c:pt idx="1700">
                  <c:v>9.857453837898834E-3</c:v>
                </c:pt>
                <c:pt idx="1701">
                  <c:v>1.1841478317674086E-2</c:v>
                </c:pt>
                <c:pt idx="1702">
                  <c:v>9.8901927833688931E-3</c:v>
                </c:pt>
                <c:pt idx="1703">
                  <c:v>1.3238425883829508E-2</c:v>
                </c:pt>
                <c:pt idx="1704">
                  <c:v>1.2563014813973808E-2</c:v>
                </c:pt>
                <c:pt idx="1705">
                  <c:v>1.0512945609162827E-2</c:v>
                </c:pt>
                <c:pt idx="1706">
                  <c:v>1.3701948810469633E-2</c:v>
                </c:pt>
                <c:pt idx="1707">
                  <c:v>1.1716752427253802E-2</c:v>
                </c:pt>
                <c:pt idx="1708">
                  <c:v>1.4207551547038882E-2</c:v>
                </c:pt>
                <c:pt idx="1709">
                  <c:v>9.3751289205159533E-3</c:v>
                </c:pt>
                <c:pt idx="1710">
                  <c:v>1.1451010685415911E-2</c:v>
                </c:pt>
                <c:pt idx="1711">
                  <c:v>1.0952908732598016E-2</c:v>
                </c:pt>
                <c:pt idx="1712">
                  <c:v>1.1700191887538576E-2</c:v>
                </c:pt>
                <c:pt idx="1713">
                  <c:v>1.111506151183086E-2</c:v>
                </c:pt>
                <c:pt idx="1714">
                  <c:v>1.2617102003706816E-2</c:v>
                </c:pt>
                <c:pt idx="1715">
                  <c:v>1.1504702790828424E-2</c:v>
                </c:pt>
                <c:pt idx="1716">
                  <c:v>1.0384979909265431E-2</c:v>
                </c:pt>
                <c:pt idx="1717">
                  <c:v>1.0110626953801789E-2</c:v>
                </c:pt>
                <c:pt idx="1718">
                  <c:v>1.0024489387037861E-2</c:v>
                </c:pt>
                <c:pt idx="1719">
                  <c:v>1.4287417463855159E-2</c:v>
                </c:pt>
                <c:pt idx="1720">
                  <c:v>1.1573841377228025E-2</c:v>
                </c:pt>
                <c:pt idx="1721">
                  <c:v>1.5129137291695493E-2</c:v>
                </c:pt>
                <c:pt idx="1722">
                  <c:v>8.7745083228782297E-3</c:v>
                </c:pt>
                <c:pt idx="1723">
                  <c:v>1.0838148947568771E-2</c:v>
                </c:pt>
                <c:pt idx="1724">
                  <c:v>1.3629501248680396E-2</c:v>
                </c:pt>
                <c:pt idx="1725">
                  <c:v>1.3427393693478781E-2</c:v>
                </c:pt>
                <c:pt idx="1726">
                  <c:v>8.2718170993785704E-3</c:v>
                </c:pt>
                <c:pt idx="1727">
                  <c:v>1.0232894358927359E-2</c:v>
                </c:pt>
                <c:pt idx="1728">
                  <c:v>1.3316435921326886E-2</c:v>
                </c:pt>
                <c:pt idx="1729">
                  <c:v>1.1712892858920947E-2</c:v>
                </c:pt>
                <c:pt idx="1730">
                  <c:v>1.0191649496027542E-2</c:v>
                </c:pt>
                <c:pt idx="1731">
                  <c:v>1.0421812862519558E-2</c:v>
                </c:pt>
                <c:pt idx="1732">
                  <c:v>1.1966132018088766E-2</c:v>
                </c:pt>
                <c:pt idx="1733">
                  <c:v>1.6602981440401846E-2</c:v>
                </c:pt>
                <c:pt idx="1734">
                  <c:v>1.257174955830362E-2</c:v>
                </c:pt>
                <c:pt idx="1735">
                  <c:v>1.0671841499736606E-2</c:v>
                </c:pt>
                <c:pt idx="1736">
                  <c:v>1.0321931736771128E-2</c:v>
                </c:pt>
                <c:pt idx="1737">
                  <c:v>1.0425829823715824E-2</c:v>
                </c:pt>
                <c:pt idx="1738">
                  <c:v>1.2179730520920588E-2</c:v>
                </c:pt>
                <c:pt idx="1739">
                  <c:v>1.169807735505364E-2</c:v>
                </c:pt>
                <c:pt idx="1740">
                  <c:v>1.1035842724994045E-2</c:v>
                </c:pt>
                <c:pt idx="1741">
                  <c:v>1.0675899272621844E-2</c:v>
                </c:pt>
                <c:pt idx="1742">
                  <c:v>1.0708974121026929E-2</c:v>
                </c:pt>
                <c:pt idx="1743">
                  <c:v>1.1055703678299469E-2</c:v>
                </c:pt>
                <c:pt idx="1744">
                  <c:v>1.7947702401561686E-2</c:v>
                </c:pt>
                <c:pt idx="1745">
                  <c:v>1.3926188337136282E-2</c:v>
                </c:pt>
                <c:pt idx="1746">
                  <c:v>8.2927976842049091E-3</c:v>
                </c:pt>
                <c:pt idx="1747">
                  <c:v>1.3022552122524891E-2</c:v>
                </c:pt>
                <c:pt idx="1748">
                  <c:v>1.1441206216977978E-2</c:v>
                </c:pt>
                <c:pt idx="1749">
                  <c:v>1.1883126510448712E-2</c:v>
                </c:pt>
                <c:pt idx="1750">
                  <c:v>1.3517868228524086E-2</c:v>
                </c:pt>
                <c:pt idx="1751">
                  <c:v>1.4099527852597648E-2</c:v>
                </c:pt>
                <c:pt idx="1752">
                  <c:v>1.0158842485962393E-2</c:v>
                </c:pt>
                <c:pt idx="1753">
                  <c:v>1.3050736646856758E-2</c:v>
                </c:pt>
                <c:pt idx="1754">
                  <c:v>9.1360143134704714E-3</c:v>
                </c:pt>
                <c:pt idx="1755">
                  <c:v>8.6139518648344696E-3</c:v>
                </c:pt>
                <c:pt idx="1756">
                  <c:v>8.5045222969592979E-3</c:v>
                </c:pt>
                <c:pt idx="1757">
                  <c:v>1.1941828210081691E-2</c:v>
                </c:pt>
                <c:pt idx="1758">
                  <c:v>9.5581043086081091E-3</c:v>
                </c:pt>
                <c:pt idx="1759">
                  <c:v>1.3424681680522804E-2</c:v>
                </c:pt>
                <c:pt idx="1760">
                  <c:v>1.2503581925557663E-2</c:v>
                </c:pt>
                <c:pt idx="1761">
                  <c:v>1.1772540188265429E-2</c:v>
                </c:pt>
                <c:pt idx="1762">
                  <c:v>1.4004860911250706E-2</c:v>
                </c:pt>
                <c:pt idx="1763">
                  <c:v>1.1381221309303885E-2</c:v>
                </c:pt>
                <c:pt idx="1764">
                  <c:v>9.0248753123079017E-3</c:v>
                </c:pt>
                <c:pt idx="1765">
                  <c:v>1.1822402785166906E-2</c:v>
                </c:pt>
                <c:pt idx="1766">
                  <c:v>1.1800532711701624E-2</c:v>
                </c:pt>
                <c:pt idx="1767">
                  <c:v>1.394386605736714E-2</c:v>
                </c:pt>
                <c:pt idx="1768">
                  <c:v>1.1213513149620125E-2</c:v>
                </c:pt>
                <c:pt idx="1769">
                  <c:v>1.4553522035233584E-2</c:v>
                </c:pt>
                <c:pt idx="1770">
                  <c:v>1.34854028165067E-2</c:v>
                </c:pt>
                <c:pt idx="1771">
                  <c:v>9.4893587644752919E-3</c:v>
                </c:pt>
                <c:pt idx="1772">
                  <c:v>1.1985153970358351E-2</c:v>
                </c:pt>
                <c:pt idx="1773">
                  <c:v>1.458097809639888E-2</c:v>
                </c:pt>
                <c:pt idx="1774">
                  <c:v>1.199449500292623E-2</c:v>
                </c:pt>
                <c:pt idx="1775">
                  <c:v>1.0400106937016648E-2</c:v>
                </c:pt>
                <c:pt idx="1776">
                  <c:v>9.2561825642173048E-3</c:v>
                </c:pt>
                <c:pt idx="1777">
                  <c:v>9.5417765726299193E-3</c:v>
                </c:pt>
                <c:pt idx="1778">
                  <c:v>9.8059661909283505E-3</c:v>
                </c:pt>
                <c:pt idx="1779">
                  <c:v>9.1568477972036218E-3</c:v>
                </c:pt>
                <c:pt idx="1780">
                  <c:v>1.1080151928646496E-2</c:v>
                </c:pt>
                <c:pt idx="1781">
                  <c:v>9.3345240866810758E-3</c:v>
                </c:pt>
                <c:pt idx="1782">
                  <c:v>1.3879645225403747E-2</c:v>
                </c:pt>
                <c:pt idx="1783">
                  <c:v>1.133277269998979E-2</c:v>
                </c:pt>
                <c:pt idx="1784">
                  <c:v>1.2238621843813578E-2</c:v>
                </c:pt>
                <c:pt idx="1785">
                  <c:v>1.4217167047659483E-2</c:v>
                </c:pt>
                <c:pt idx="1786">
                  <c:v>1.0405685568271658E-2</c:v>
                </c:pt>
                <c:pt idx="1787">
                  <c:v>1.2759521421079272E-2</c:v>
                </c:pt>
                <c:pt idx="1788">
                  <c:v>1.036879251835162E-2</c:v>
                </c:pt>
                <c:pt idx="1789">
                  <c:v>1.0899312288710581E-2</c:v>
                </c:pt>
                <c:pt idx="1790">
                  <c:v>1.2053348415598297E-2</c:v>
                </c:pt>
                <c:pt idx="1791">
                  <c:v>1.2410910806708536E-2</c:v>
                </c:pt>
                <c:pt idx="1792">
                  <c:v>9.6376260387409859E-3</c:v>
                </c:pt>
                <c:pt idx="1793">
                  <c:v>1.3415691602148659E-2</c:v>
                </c:pt>
                <c:pt idx="1794">
                  <c:v>8.6111482785134977E-3</c:v>
                </c:pt>
                <c:pt idx="1795">
                  <c:v>1.2478940789891091E-2</c:v>
                </c:pt>
                <c:pt idx="1796">
                  <c:v>9.0593691364523263E-3</c:v>
                </c:pt>
                <c:pt idx="1797">
                  <c:v>1.1904283616845455E-2</c:v>
                </c:pt>
                <c:pt idx="1798">
                  <c:v>1.4239323923857303E-2</c:v>
                </c:pt>
                <c:pt idx="1799">
                  <c:v>1.2621416645725143E-2</c:v>
                </c:pt>
                <c:pt idx="1800">
                  <c:v>1.7185634198118992E-2</c:v>
                </c:pt>
                <c:pt idx="1801">
                  <c:v>1.0570140003998925E-2</c:v>
                </c:pt>
                <c:pt idx="1802">
                  <c:v>9.7588130372800383E-3</c:v>
                </c:pt>
                <c:pt idx="1803">
                  <c:v>1.017241114103197E-2</c:v>
                </c:pt>
                <c:pt idx="1804">
                  <c:v>1.0665115085515974E-2</c:v>
                </c:pt>
                <c:pt idx="1805">
                  <c:v>1.4741162304990037E-2</c:v>
                </c:pt>
                <c:pt idx="1806">
                  <c:v>9.9002690843265281E-3</c:v>
                </c:pt>
                <c:pt idx="1807">
                  <c:v>8.8167093942318527E-3</c:v>
                </c:pt>
                <c:pt idx="1808">
                  <c:v>1.2127214884970898E-2</c:v>
                </c:pt>
                <c:pt idx="1809">
                  <c:v>1.2239652742954228E-2</c:v>
                </c:pt>
                <c:pt idx="1810">
                  <c:v>1.1777404132018918E-2</c:v>
                </c:pt>
                <c:pt idx="1811">
                  <c:v>1.4814565039657925E-2</c:v>
                </c:pt>
                <c:pt idx="1812">
                  <c:v>1.0156327801389661E-2</c:v>
                </c:pt>
                <c:pt idx="1813">
                  <c:v>1.1532784366669307E-2</c:v>
                </c:pt>
                <c:pt idx="1814">
                  <c:v>1.3600013640710003E-2</c:v>
                </c:pt>
                <c:pt idx="1815">
                  <c:v>1.3089938592969799E-2</c:v>
                </c:pt>
                <c:pt idx="1816">
                  <c:v>1.0383579236319695E-2</c:v>
                </c:pt>
                <c:pt idx="1817">
                  <c:v>1.2824443404754795E-2</c:v>
                </c:pt>
                <c:pt idx="1818">
                  <c:v>1.252450467181159E-2</c:v>
                </c:pt>
                <c:pt idx="1819">
                  <c:v>1.1096444894880691E-2</c:v>
                </c:pt>
                <c:pt idx="1820">
                  <c:v>1.1665130349557974E-2</c:v>
                </c:pt>
                <c:pt idx="1821">
                  <c:v>1.4043464242861953E-2</c:v>
                </c:pt>
                <c:pt idx="1822">
                  <c:v>1.1176980737742032E-2</c:v>
                </c:pt>
                <c:pt idx="1823">
                  <c:v>1.1850856733258325E-2</c:v>
                </c:pt>
                <c:pt idx="1824">
                  <c:v>1.4589726891534089E-2</c:v>
                </c:pt>
                <c:pt idx="1825">
                  <c:v>1.1172702112051101E-2</c:v>
                </c:pt>
                <c:pt idx="1826">
                  <c:v>9.4303940790477804E-3</c:v>
                </c:pt>
                <c:pt idx="1827">
                  <c:v>1.3343896277593017E-2</c:v>
                </c:pt>
                <c:pt idx="1828">
                  <c:v>1.3313585352661271E-2</c:v>
                </c:pt>
                <c:pt idx="1829">
                  <c:v>1.08219871814741E-2</c:v>
                </c:pt>
                <c:pt idx="1830">
                  <c:v>1.0952424844629816E-2</c:v>
                </c:pt>
                <c:pt idx="1831">
                  <c:v>1.1263842393983405E-2</c:v>
                </c:pt>
                <c:pt idx="1832">
                  <c:v>1.2508222173485899E-2</c:v>
                </c:pt>
                <c:pt idx="1833">
                  <c:v>1.2010222043407482E-2</c:v>
                </c:pt>
                <c:pt idx="1834">
                  <c:v>1.3345950008333289E-2</c:v>
                </c:pt>
                <c:pt idx="1835">
                  <c:v>9.7110093645322668E-3</c:v>
                </c:pt>
                <c:pt idx="1836">
                  <c:v>1.3022010218684441E-2</c:v>
                </c:pt>
                <c:pt idx="1837">
                  <c:v>9.0535641618696757E-3</c:v>
                </c:pt>
                <c:pt idx="1838">
                  <c:v>1.2447882819212398E-2</c:v>
                </c:pt>
                <c:pt idx="1839">
                  <c:v>1.0358302703462925E-2</c:v>
                </c:pt>
                <c:pt idx="1840">
                  <c:v>1.2725669343480881E-2</c:v>
                </c:pt>
                <c:pt idx="1841">
                  <c:v>1.6676501774286576E-2</c:v>
                </c:pt>
                <c:pt idx="1842">
                  <c:v>1.0975273350228999E-2</c:v>
                </c:pt>
                <c:pt idx="1843">
                  <c:v>1.2705578758321207E-2</c:v>
                </c:pt>
                <c:pt idx="1844">
                  <c:v>1.1085988448297553E-2</c:v>
                </c:pt>
                <c:pt idx="1845">
                  <c:v>1.1876628667796421E-2</c:v>
                </c:pt>
                <c:pt idx="1846">
                  <c:v>1.133558719993937E-2</c:v>
                </c:pt>
                <c:pt idx="1847">
                  <c:v>1.1392262249232357E-2</c:v>
                </c:pt>
                <c:pt idx="1848">
                  <c:v>1.2312420205236502E-2</c:v>
                </c:pt>
                <c:pt idx="1849">
                  <c:v>1.1548654520351549E-2</c:v>
                </c:pt>
                <c:pt idx="1850">
                  <c:v>1.268251799861711E-2</c:v>
                </c:pt>
                <c:pt idx="1851">
                  <c:v>1.3240175596926473E-2</c:v>
                </c:pt>
                <c:pt idx="1852">
                  <c:v>9.6319839307997309E-3</c:v>
                </c:pt>
                <c:pt idx="1853">
                  <c:v>1.0547906932587107E-2</c:v>
                </c:pt>
                <c:pt idx="1854">
                  <c:v>1.0783384873404349E-2</c:v>
                </c:pt>
                <c:pt idx="1855">
                  <c:v>1.2132999173878866E-2</c:v>
                </c:pt>
                <c:pt idx="1856">
                  <c:v>9.6710810036671601E-3</c:v>
                </c:pt>
                <c:pt idx="1857">
                  <c:v>1.3130084470382461E-2</c:v>
                </c:pt>
                <c:pt idx="1858">
                  <c:v>1.6466577375912398E-2</c:v>
                </c:pt>
                <c:pt idx="1859">
                  <c:v>1.4665013951457022E-2</c:v>
                </c:pt>
                <c:pt idx="1860">
                  <c:v>1.1718786897367356E-2</c:v>
                </c:pt>
                <c:pt idx="1861">
                  <c:v>9.9462273738142246E-3</c:v>
                </c:pt>
                <c:pt idx="1862">
                  <c:v>1.0717942144224986E-2</c:v>
                </c:pt>
                <c:pt idx="1863">
                  <c:v>1.2654213766096951E-2</c:v>
                </c:pt>
                <c:pt idx="1864">
                  <c:v>1.5658049891719716E-2</c:v>
                </c:pt>
                <c:pt idx="1865">
                  <c:v>1.4095299616295459E-2</c:v>
                </c:pt>
                <c:pt idx="1866">
                  <c:v>1.2334989850290901E-2</c:v>
                </c:pt>
                <c:pt idx="1867">
                  <c:v>8.4699092244105746E-3</c:v>
                </c:pt>
                <c:pt idx="1868">
                  <c:v>1.1067905824381359E-2</c:v>
                </c:pt>
                <c:pt idx="1869">
                  <c:v>8.6911157755779449E-3</c:v>
                </c:pt>
                <c:pt idx="1870">
                  <c:v>9.6482984075967025E-3</c:v>
                </c:pt>
                <c:pt idx="1871">
                  <c:v>1.1924804668521487E-2</c:v>
                </c:pt>
                <c:pt idx="1872">
                  <c:v>1.4692309792203611E-2</c:v>
                </c:pt>
                <c:pt idx="1873">
                  <c:v>1.1056924497144878E-2</c:v>
                </c:pt>
                <c:pt idx="1874">
                  <c:v>9.4134143275266171E-3</c:v>
                </c:pt>
                <c:pt idx="1875">
                  <c:v>1.3206496678641584E-2</c:v>
                </c:pt>
                <c:pt idx="1876">
                  <c:v>1.3569437299909608E-2</c:v>
                </c:pt>
                <c:pt idx="1877">
                  <c:v>9.7884063116227601E-3</c:v>
                </c:pt>
                <c:pt idx="1878">
                  <c:v>1.3640693551081834E-2</c:v>
                </c:pt>
                <c:pt idx="1879">
                  <c:v>1.2594550342257566E-2</c:v>
                </c:pt>
                <c:pt idx="1880">
                  <c:v>1.1660908868721107E-2</c:v>
                </c:pt>
                <c:pt idx="1881">
                  <c:v>1.1313067512326554E-2</c:v>
                </c:pt>
                <c:pt idx="1882">
                  <c:v>1.0293474638202718E-2</c:v>
                </c:pt>
                <c:pt idx="1883">
                  <c:v>1.1223910185022067E-2</c:v>
                </c:pt>
                <c:pt idx="1884">
                  <c:v>1.0521256149537668E-2</c:v>
                </c:pt>
                <c:pt idx="1885">
                  <c:v>1.1677558926206278E-2</c:v>
                </c:pt>
                <c:pt idx="1886">
                  <c:v>8.968191509948209E-3</c:v>
                </c:pt>
                <c:pt idx="1887">
                  <c:v>1.1867063934631201E-2</c:v>
                </c:pt>
                <c:pt idx="1888">
                  <c:v>1.4132611897983385E-2</c:v>
                </c:pt>
                <c:pt idx="1889">
                  <c:v>1.0180991994560237E-2</c:v>
                </c:pt>
                <c:pt idx="1890">
                  <c:v>9.488842362979635E-3</c:v>
                </c:pt>
                <c:pt idx="1891">
                  <c:v>9.4623152769558062E-3</c:v>
                </c:pt>
                <c:pt idx="1892">
                  <c:v>1.0329576046775814E-2</c:v>
                </c:pt>
                <c:pt idx="1893">
                  <c:v>9.3949259422671742E-3</c:v>
                </c:pt>
                <c:pt idx="1894">
                  <c:v>8.5556031305377613E-3</c:v>
                </c:pt>
                <c:pt idx="1895">
                  <c:v>1.2450967874035764E-2</c:v>
                </c:pt>
                <c:pt idx="1896">
                  <c:v>9.8200903468563614E-3</c:v>
                </c:pt>
                <c:pt idx="1897">
                  <c:v>9.969991841314833E-3</c:v>
                </c:pt>
                <c:pt idx="1898">
                  <c:v>1.4743214000783877E-2</c:v>
                </c:pt>
                <c:pt idx="1899">
                  <c:v>1.0479147156104702E-2</c:v>
                </c:pt>
                <c:pt idx="1900">
                  <c:v>1.1163572666544176E-2</c:v>
                </c:pt>
                <c:pt idx="1901">
                  <c:v>1.0685749440908915E-2</c:v>
                </c:pt>
                <c:pt idx="1902">
                  <c:v>1.3230985470479623E-2</c:v>
                </c:pt>
                <c:pt idx="1903">
                  <c:v>8.4453983943074701E-3</c:v>
                </c:pt>
                <c:pt idx="1904">
                  <c:v>1.429336680689056E-2</c:v>
                </c:pt>
                <c:pt idx="1905">
                  <c:v>1.0602918014619938E-2</c:v>
                </c:pt>
                <c:pt idx="1906">
                  <c:v>1.1123658998933894E-2</c:v>
                </c:pt>
                <c:pt idx="1907">
                  <c:v>8.9514691707966876E-3</c:v>
                </c:pt>
                <c:pt idx="1908">
                  <c:v>1.4231577479828542E-2</c:v>
                </c:pt>
                <c:pt idx="1909">
                  <c:v>8.5284683310072711E-3</c:v>
                </c:pt>
                <c:pt idx="1910">
                  <c:v>1.1644242719256157E-2</c:v>
                </c:pt>
                <c:pt idx="1911">
                  <c:v>1.2515987261834513E-2</c:v>
                </c:pt>
                <c:pt idx="1912">
                  <c:v>1.5280642546933605E-2</c:v>
                </c:pt>
                <c:pt idx="1913">
                  <c:v>8.6604485753237308E-3</c:v>
                </c:pt>
                <c:pt idx="1914">
                  <c:v>1.1764025169811889E-2</c:v>
                </c:pt>
                <c:pt idx="1915">
                  <c:v>1.1033360837164229E-2</c:v>
                </c:pt>
                <c:pt idx="1916">
                  <c:v>8.9464602021011499E-3</c:v>
                </c:pt>
                <c:pt idx="1917">
                  <c:v>1.1797941151133898E-2</c:v>
                </c:pt>
                <c:pt idx="1918">
                  <c:v>8.8557865312478435E-3</c:v>
                </c:pt>
                <c:pt idx="1919">
                  <c:v>1.6509534356007358E-2</c:v>
                </c:pt>
                <c:pt idx="1920">
                  <c:v>1.2722221530293912E-2</c:v>
                </c:pt>
                <c:pt idx="1921">
                  <c:v>1.5127876322757271E-2</c:v>
                </c:pt>
                <c:pt idx="1922">
                  <c:v>1.413704391128949E-2</c:v>
                </c:pt>
                <c:pt idx="1923">
                  <c:v>1.3232887452679485E-2</c:v>
                </c:pt>
                <c:pt idx="1924">
                  <c:v>9.2829398461492796E-3</c:v>
                </c:pt>
                <c:pt idx="1925">
                  <c:v>1.2006005280706141E-2</c:v>
                </c:pt>
                <c:pt idx="1926">
                  <c:v>9.8952673260696393E-3</c:v>
                </c:pt>
                <c:pt idx="1927">
                  <c:v>1.3976700354277062E-2</c:v>
                </c:pt>
                <c:pt idx="1928">
                  <c:v>1.4365573288405466E-2</c:v>
                </c:pt>
                <c:pt idx="1929">
                  <c:v>1.026096595441202E-2</c:v>
                </c:pt>
                <c:pt idx="1930">
                  <c:v>1.1422344738751714E-2</c:v>
                </c:pt>
                <c:pt idx="1931">
                  <c:v>1.3371739175872782E-2</c:v>
                </c:pt>
                <c:pt idx="1932">
                  <c:v>1.4811391928816984E-2</c:v>
                </c:pt>
                <c:pt idx="1933">
                  <c:v>1.066577141371159E-2</c:v>
                </c:pt>
                <c:pt idx="1934">
                  <c:v>1.0962270704604201E-2</c:v>
                </c:pt>
                <c:pt idx="1935">
                  <c:v>1.2561982874772554E-2</c:v>
                </c:pt>
                <c:pt idx="1936">
                  <c:v>1.0526696212474995E-2</c:v>
                </c:pt>
                <c:pt idx="1937">
                  <c:v>1.600444474057932E-2</c:v>
                </c:pt>
                <c:pt idx="1938">
                  <c:v>1.4502504991691204E-2</c:v>
                </c:pt>
                <c:pt idx="1939">
                  <c:v>9.0606665860398106E-3</c:v>
                </c:pt>
                <c:pt idx="1940">
                  <c:v>1.0167625035666965E-2</c:v>
                </c:pt>
                <c:pt idx="1941">
                  <c:v>1.6559596980008532E-2</c:v>
                </c:pt>
                <c:pt idx="1942">
                  <c:v>1.2057384636682607E-2</c:v>
                </c:pt>
                <c:pt idx="1943">
                  <c:v>1.1392628690599401E-2</c:v>
                </c:pt>
                <c:pt idx="1944">
                  <c:v>9.2014418198923323E-3</c:v>
                </c:pt>
                <c:pt idx="1945">
                  <c:v>1.259484588654722E-2</c:v>
                </c:pt>
                <c:pt idx="1946">
                  <c:v>1.2427346458678858E-2</c:v>
                </c:pt>
                <c:pt idx="1947">
                  <c:v>9.8736517695236885E-3</c:v>
                </c:pt>
                <c:pt idx="1948">
                  <c:v>1.0585021816515843E-2</c:v>
                </c:pt>
                <c:pt idx="1949">
                  <c:v>1.0888581362632632E-2</c:v>
                </c:pt>
                <c:pt idx="1950">
                  <c:v>1.0582980133477901E-2</c:v>
                </c:pt>
                <c:pt idx="1951">
                  <c:v>1.2757308704438338E-2</c:v>
                </c:pt>
                <c:pt idx="1952">
                  <c:v>1.3511890818263095E-2</c:v>
                </c:pt>
                <c:pt idx="1953">
                  <c:v>1.0861709501897196E-2</c:v>
                </c:pt>
                <c:pt idx="1954">
                  <c:v>1.1686536436377702E-2</c:v>
                </c:pt>
                <c:pt idx="1955">
                  <c:v>1.1655593414339797E-2</c:v>
                </c:pt>
                <c:pt idx="1956">
                  <c:v>8.2821044036643851E-3</c:v>
                </c:pt>
                <c:pt idx="1957">
                  <c:v>1.3126080131722844E-2</c:v>
                </c:pt>
                <c:pt idx="1958">
                  <c:v>8.4882706999038614E-3</c:v>
                </c:pt>
                <c:pt idx="1959">
                  <c:v>1.0121468864417671E-2</c:v>
                </c:pt>
                <c:pt idx="1960">
                  <c:v>1.0067529286450621E-2</c:v>
                </c:pt>
                <c:pt idx="1961">
                  <c:v>9.2224037113922755E-3</c:v>
                </c:pt>
                <c:pt idx="1962">
                  <c:v>1.1975126042626915E-2</c:v>
                </c:pt>
                <c:pt idx="1963">
                  <c:v>1.0767766690891504E-2</c:v>
                </c:pt>
                <c:pt idx="1964">
                  <c:v>1.3040017759333672E-2</c:v>
                </c:pt>
                <c:pt idx="1965">
                  <c:v>1.3224887948093154E-2</c:v>
                </c:pt>
                <c:pt idx="1966">
                  <c:v>1.0237900686553869E-2</c:v>
                </c:pt>
                <c:pt idx="1967">
                  <c:v>9.7900960813581371E-3</c:v>
                </c:pt>
                <c:pt idx="1968">
                  <c:v>1.0193894613222195E-2</c:v>
                </c:pt>
                <c:pt idx="1969">
                  <c:v>9.911669286264406E-3</c:v>
                </c:pt>
                <c:pt idx="1970">
                  <c:v>1.123078106718163E-2</c:v>
                </c:pt>
                <c:pt idx="1971">
                  <c:v>1.1462112210012799E-2</c:v>
                </c:pt>
                <c:pt idx="1972">
                  <c:v>1.0750573999077131E-2</c:v>
                </c:pt>
                <c:pt idx="1973">
                  <c:v>1.070760468636133E-2</c:v>
                </c:pt>
                <c:pt idx="1974">
                  <c:v>1.4150771379801395E-2</c:v>
                </c:pt>
                <c:pt idx="1975">
                  <c:v>1.431426156148671E-2</c:v>
                </c:pt>
                <c:pt idx="1976">
                  <c:v>1.0228932210945152E-2</c:v>
                </c:pt>
                <c:pt idx="1977">
                  <c:v>9.5938096899834228E-3</c:v>
                </c:pt>
                <c:pt idx="1978">
                  <c:v>1.1466517243714435E-2</c:v>
                </c:pt>
                <c:pt idx="1979">
                  <c:v>1.1186463034781871E-2</c:v>
                </c:pt>
                <c:pt idx="1980">
                  <c:v>1.3475641050430087E-2</c:v>
                </c:pt>
                <c:pt idx="1981">
                  <c:v>8.2999686406433123E-3</c:v>
                </c:pt>
                <c:pt idx="1982">
                  <c:v>1.1849127308881421E-2</c:v>
                </c:pt>
                <c:pt idx="1983">
                  <c:v>1.1945733218607441E-2</c:v>
                </c:pt>
                <c:pt idx="1984">
                  <c:v>1.151260399525068E-2</c:v>
                </c:pt>
                <c:pt idx="1985">
                  <c:v>1.0224233483685894E-2</c:v>
                </c:pt>
                <c:pt idx="1986">
                  <c:v>9.5264857153693448E-3</c:v>
                </c:pt>
                <c:pt idx="1987">
                  <c:v>1.1376520797731712E-2</c:v>
                </c:pt>
                <c:pt idx="1988">
                  <c:v>1.312582569975649E-2</c:v>
                </c:pt>
                <c:pt idx="1989">
                  <c:v>1.0952716498988921E-2</c:v>
                </c:pt>
                <c:pt idx="1990">
                  <c:v>1.2278303294250439E-2</c:v>
                </c:pt>
                <c:pt idx="1991">
                  <c:v>1.3875801437017525E-2</c:v>
                </c:pt>
                <c:pt idx="1992">
                  <c:v>1.2992407278082426E-2</c:v>
                </c:pt>
                <c:pt idx="1993">
                  <c:v>1.2680343133709191E-2</c:v>
                </c:pt>
                <c:pt idx="1994">
                  <c:v>1.4468149899331477E-2</c:v>
                </c:pt>
                <c:pt idx="1995">
                  <c:v>1.0069831221082438E-2</c:v>
                </c:pt>
                <c:pt idx="1996">
                  <c:v>1.2339383061217389E-2</c:v>
                </c:pt>
                <c:pt idx="1997">
                  <c:v>1.105600752665932E-2</c:v>
                </c:pt>
                <c:pt idx="1998">
                  <c:v>9.5153226086923844E-3</c:v>
                </c:pt>
                <c:pt idx="1999">
                  <c:v>1.0864976490715472E-2</c:v>
                </c:pt>
                <c:pt idx="2000">
                  <c:v>1.1018029981575344E-2</c:v>
                </c:pt>
                <c:pt idx="2001">
                  <c:v>1.2006081599402486E-2</c:v>
                </c:pt>
                <c:pt idx="2002">
                  <c:v>8.0286175602958046E-3</c:v>
                </c:pt>
                <c:pt idx="2003">
                  <c:v>1.168982723909342E-2</c:v>
                </c:pt>
                <c:pt idx="2004">
                  <c:v>1.2576498359834491E-2</c:v>
                </c:pt>
                <c:pt idx="2005">
                  <c:v>1.1220252000961802E-2</c:v>
                </c:pt>
                <c:pt idx="2006">
                  <c:v>1.3335466338179716E-2</c:v>
                </c:pt>
                <c:pt idx="2007">
                  <c:v>1.1512528978016849E-2</c:v>
                </c:pt>
                <c:pt idx="2008">
                  <c:v>9.8012182241404948E-3</c:v>
                </c:pt>
                <c:pt idx="2009">
                  <c:v>1.0895763251374075E-2</c:v>
                </c:pt>
                <c:pt idx="2010">
                  <c:v>9.8609963106928242E-3</c:v>
                </c:pt>
                <c:pt idx="2011">
                  <c:v>1.3188132471653152E-2</c:v>
                </c:pt>
                <c:pt idx="2012">
                  <c:v>9.7761389137133257E-3</c:v>
                </c:pt>
                <c:pt idx="2013">
                  <c:v>1.4006738978545394E-2</c:v>
                </c:pt>
                <c:pt idx="2014">
                  <c:v>8.288501976454905E-3</c:v>
                </c:pt>
                <c:pt idx="2015">
                  <c:v>1.3798808197864849E-2</c:v>
                </c:pt>
                <c:pt idx="2016">
                  <c:v>1.0276988261714547E-2</c:v>
                </c:pt>
                <c:pt idx="2017">
                  <c:v>1.0024404979808024E-2</c:v>
                </c:pt>
                <c:pt idx="2018">
                  <c:v>1.3790220170712384E-2</c:v>
                </c:pt>
                <c:pt idx="2019">
                  <c:v>1.3138825060956545E-2</c:v>
                </c:pt>
                <c:pt idx="2020">
                  <c:v>1.279816571628991E-2</c:v>
                </c:pt>
                <c:pt idx="2021">
                  <c:v>1.3621110764055434E-2</c:v>
                </c:pt>
                <c:pt idx="2022">
                  <c:v>1.1051485900979575E-2</c:v>
                </c:pt>
                <c:pt idx="2023">
                  <c:v>9.7576689438638366E-3</c:v>
                </c:pt>
                <c:pt idx="2024">
                  <c:v>1.1057261461379326E-2</c:v>
                </c:pt>
                <c:pt idx="2025">
                  <c:v>1.1565423415405165E-2</c:v>
                </c:pt>
                <c:pt idx="2026">
                  <c:v>9.8118188554136097E-3</c:v>
                </c:pt>
                <c:pt idx="2027">
                  <c:v>9.8308101415144518E-3</c:v>
                </c:pt>
                <c:pt idx="2028">
                  <c:v>9.7977834840248645E-3</c:v>
                </c:pt>
                <c:pt idx="2029">
                  <c:v>1.190086754821703E-2</c:v>
                </c:pt>
                <c:pt idx="2030">
                  <c:v>1.3045699662304171E-2</c:v>
                </c:pt>
                <c:pt idx="2031">
                  <c:v>1.4365873363094821E-2</c:v>
                </c:pt>
                <c:pt idx="2032">
                  <c:v>9.6582962356824252E-3</c:v>
                </c:pt>
                <c:pt idx="2033">
                  <c:v>9.2064861344797171E-3</c:v>
                </c:pt>
                <c:pt idx="2034">
                  <c:v>1.0360622655028009E-2</c:v>
                </c:pt>
                <c:pt idx="2035">
                  <c:v>1.6029539693626318E-2</c:v>
                </c:pt>
                <c:pt idx="2036">
                  <c:v>1.3135614752272467E-2</c:v>
                </c:pt>
                <c:pt idx="2037">
                  <c:v>1.0959566863398971E-2</c:v>
                </c:pt>
                <c:pt idx="2038">
                  <c:v>1.1779301589909398E-2</c:v>
                </c:pt>
                <c:pt idx="2039">
                  <c:v>1.2580405993693301E-2</c:v>
                </c:pt>
                <c:pt idx="2040">
                  <c:v>7.6684430006139503E-3</c:v>
                </c:pt>
                <c:pt idx="2041">
                  <c:v>1.3829183925854697E-2</c:v>
                </c:pt>
                <c:pt idx="2042">
                  <c:v>7.6969645598808896E-3</c:v>
                </c:pt>
                <c:pt idx="2043">
                  <c:v>1.1114824267308858E-2</c:v>
                </c:pt>
                <c:pt idx="2044">
                  <c:v>1.111056355106519E-2</c:v>
                </c:pt>
                <c:pt idx="2045">
                  <c:v>1.3317300464707251E-2</c:v>
                </c:pt>
                <c:pt idx="2046">
                  <c:v>1.5246917532274805E-2</c:v>
                </c:pt>
                <c:pt idx="2047">
                  <c:v>1.2109909040089191E-2</c:v>
                </c:pt>
                <c:pt idx="2048">
                  <c:v>1.150669712562135E-2</c:v>
                </c:pt>
                <c:pt idx="2049">
                  <c:v>1.3708509587330133E-2</c:v>
                </c:pt>
                <c:pt idx="2050">
                  <c:v>1.6710088755473425E-2</c:v>
                </c:pt>
                <c:pt idx="2051">
                  <c:v>1.1995801908195098E-2</c:v>
                </c:pt>
                <c:pt idx="2052">
                  <c:v>1.150088153731159E-2</c:v>
                </c:pt>
                <c:pt idx="2053">
                  <c:v>9.9461278707220074E-3</c:v>
                </c:pt>
                <c:pt idx="2054">
                  <c:v>1.2544901630198137E-2</c:v>
                </c:pt>
                <c:pt idx="2055">
                  <c:v>1.4517046464974731E-2</c:v>
                </c:pt>
                <c:pt idx="2056">
                  <c:v>1.3192973389974844E-2</c:v>
                </c:pt>
                <c:pt idx="2057">
                  <c:v>1.5928710567235795E-2</c:v>
                </c:pt>
                <c:pt idx="2058">
                  <c:v>1.2527867659568911E-2</c:v>
                </c:pt>
                <c:pt idx="2059">
                  <c:v>1.1758339930142046E-2</c:v>
                </c:pt>
                <c:pt idx="2060">
                  <c:v>1.0503801677525662E-2</c:v>
                </c:pt>
                <c:pt idx="2061">
                  <c:v>1.2371651792485963E-2</c:v>
                </c:pt>
                <c:pt idx="2062">
                  <c:v>1.1786793465563725E-2</c:v>
                </c:pt>
                <c:pt idx="2063">
                  <c:v>1.1851078616166414E-2</c:v>
                </c:pt>
                <c:pt idx="2064">
                  <c:v>1.3759329792624861E-2</c:v>
                </c:pt>
                <c:pt idx="2065">
                  <c:v>1.0264589191184767E-2</c:v>
                </c:pt>
                <c:pt idx="2066">
                  <c:v>8.9704574481642707E-3</c:v>
                </c:pt>
                <c:pt idx="2067">
                  <c:v>1.2462628787714966E-2</c:v>
                </c:pt>
                <c:pt idx="2068">
                  <c:v>9.1451070452146666E-3</c:v>
                </c:pt>
                <c:pt idx="2069">
                  <c:v>1.2255118932991842E-2</c:v>
                </c:pt>
                <c:pt idx="2070">
                  <c:v>7.6246426369840949E-3</c:v>
                </c:pt>
                <c:pt idx="2071">
                  <c:v>2.039390723218867E-2</c:v>
                </c:pt>
                <c:pt idx="2072">
                  <c:v>1.185910130733339E-2</c:v>
                </c:pt>
                <c:pt idx="2073">
                  <c:v>1.3706190408657618E-2</c:v>
                </c:pt>
                <c:pt idx="2074">
                  <c:v>1.4627421453934917E-2</c:v>
                </c:pt>
                <c:pt idx="2075">
                  <c:v>1.380162332318041E-2</c:v>
                </c:pt>
                <c:pt idx="2076">
                  <c:v>1.0089688374353529E-2</c:v>
                </c:pt>
                <c:pt idx="2077">
                  <c:v>1.1940839544367254E-2</c:v>
                </c:pt>
                <c:pt idx="2078">
                  <c:v>1.112364643370121E-2</c:v>
                </c:pt>
                <c:pt idx="2079">
                  <c:v>1.3675968761729307E-2</c:v>
                </c:pt>
                <c:pt idx="2080">
                  <c:v>1.1572631512215539E-2</c:v>
                </c:pt>
                <c:pt idx="2081">
                  <c:v>1.4534493188484399E-2</c:v>
                </c:pt>
                <c:pt idx="2082">
                  <c:v>1.4864115590180292E-2</c:v>
                </c:pt>
                <c:pt idx="2083">
                  <c:v>1.6039290537889418E-2</c:v>
                </c:pt>
                <c:pt idx="2084">
                  <c:v>1.3832298133724927E-2</c:v>
                </c:pt>
                <c:pt idx="2085">
                  <c:v>1.1789335913918784E-2</c:v>
                </c:pt>
                <c:pt idx="2086">
                  <c:v>1.0020971306409084E-2</c:v>
                </c:pt>
                <c:pt idx="2087">
                  <c:v>1.2157292764004266E-2</c:v>
                </c:pt>
                <c:pt idx="2088">
                  <c:v>1.3580705985989244E-2</c:v>
                </c:pt>
                <c:pt idx="2089">
                  <c:v>1.5287292210296406E-2</c:v>
                </c:pt>
                <c:pt idx="2090">
                  <c:v>1.091572842902481E-2</c:v>
                </c:pt>
                <c:pt idx="2091">
                  <c:v>9.0006851408888748E-3</c:v>
                </c:pt>
                <c:pt idx="2092">
                  <c:v>1.2808362207386697E-2</c:v>
                </c:pt>
                <c:pt idx="2093">
                  <c:v>1.1943462664188987E-2</c:v>
                </c:pt>
                <c:pt idx="2094">
                  <c:v>1.3390794284565993E-2</c:v>
                </c:pt>
                <c:pt idx="2095">
                  <c:v>1.1224678612784063E-2</c:v>
                </c:pt>
                <c:pt idx="2096">
                  <c:v>1.1108617280073368E-2</c:v>
                </c:pt>
                <c:pt idx="2097">
                  <c:v>9.281254749816269E-3</c:v>
                </c:pt>
                <c:pt idx="2098">
                  <c:v>1.1264691895759297E-2</c:v>
                </c:pt>
                <c:pt idx="2099">
                  <c:v>9.4589375033078526E-3</c:v>
                </c:pt>
                <c:pt idx="2100">
                  <c:v>1.1416765615196221E-2</c:v>
                </c:pt>
                <c:pt idx="2101">
                  <c:v>8.4152605707353487E-3</c:v>
                </c:pt>
                <c:pt idx="2102">
                  <c:v>1.0480681183002789E-2</c:v>
                </c:pt>
                <c:pt idx="2103">
                  <c:v>9.13646754149159E-3</c:v>
                </c:pt>
                <c:pt idx="2104">
                  <c:v>1.4592726805199359E-2</c:v>
                </c:pt>
                <c:pt idx="2105">
                  <c:v>1.3236023344035723E-2</c:v>
                </c:pt>
                <c:pt idx="2106">
                  <c:v>1.0886923334554892E-2</c:v>
                </c:pt>
                <c:pt idx="2107">
                  <c:v>1.2573869807210094E-2</c:v>
                </c:pt>
                <c:pt idx="2108">
                  <c:v>1.0628912815480469E-2</c:v>
                </c:pt>
                <c:pt idx="2109">
                  <c:v>9.774573814641736E-3</c:v>
                </c:pt>
                <c:pt idx="2110">
                  <c:v>1.3498744535879003E-2</c:v>
                </c:pt>
                <c:pt idx="2111">
                  <c:v>1.0951383847085421E-2</c:v>
                </c:pt>
                <c:pt idx="2112">
                  <c:v>8.8801188975059595E-3</c:v>
                </c:pt>
                <c:pt idx="2113">
                  <c:v>2.0073621552933959E-2</c:v>
                </c:pt>
                <c:pt idx="2114">
                  <c:v>1.1117322672940199E-2</c:v>
                </c:pt>
                <c:pt idx="2115">
                  <c:v>1.1567155145114813E-2</c:v>
                </c:pt>
                <c:pt idx="2116">
                  <c:v>1.007823720982357E-2</c:v>
                </c:pt>
                <c:pt idx="2117">
                  <c:v>1.1584437430521365E-2</c:v>
                </c:pt>
                <c:pt idx="2118">
                  <c:v>1.0197603307138831E-2</c:v>
                </c:pt>
                <c:pt idx="2119">
                  <c:v>1.0784197848513432E-2</c:v>
                </c:pt>
                <c:pt idx="2120">
                  <c:v>9.6610716272687545E-3</c:v>
                </c:pt>
                <c:pt idx="2121">
                  <c:v>1.2670134655840321E-2</c:v>
                </c:pt>
                <c:pt idx="2122">
                  <c:v>9.6082986723655169E-3</c:v>
                </c:pt>
                <c:pt idx="2123">
                  <c:v>1.004331457776444E-2</c:v>
                </c:pt>
                <c:pt idx="2124">
                  <c:v>1.3292717860583132E-2</c:v>
                </c:pt>
                <c:pt idx="2125">
                  <c:v>1.5170947338736427E-2</c:v>
                </c:pt>
                <c:pt idx="2126">
                  <c:v>1.0310255149458198E-2</c:v>
                </c:pt>
                <c:pt idx="2127">
                  <c:v>1.1106072190890529E-2</c:v>
                </c:pt>
                <c:pt idx="2128">
                  <c:v>8.5540685634633677E-3</c:v>
                </c:pt>
                <c:pt idx="2129">
                  <c:v>1.7083012589989958E-2</c:v>
                </c:pt>
                <c:pt idx="2130">
                  <c:v>1.3691897337121088E-2</c:v>
                </c:pt>
                <c:pt idx="2131">
                  <c:v>1.2549219865096453E-2</c:v>
                </c:pt>
                <c:pt idx="2132">
                  <c:v>1.239687752528793E-2</c:v>
                </c:pt>
                <c:pt idx="2133">
                  <c:v>9.5085901762608366E-3</c:v>
                </c:pt>
                <c:pt idx="2134">
                  <c:v>8.9740907022570864E-3</c:v>
                </c:pt>
                <c:pt idx="2135">
                  <c:v>1.0255247897624824E-2</c:v>
                </c:pt>
                <c:pt idx="2136">
                  <c:v>1.1583009480064377E-2</c:v>
                </c:pt>
                <c:pt idx="2137">
                  <c:v>1.3853422411563858E-2</c:v>
                </c:pt>
                <c:pt idx="2138">
                  <c:v>1.3136419046316421E-2</c:v>
                </c:pt>
                <c:pt idx="2139">
                  <c:v>1.3509438886692404E-2</c:v>
                </c:pt>
                <c:pt idx="2140">
                  <c:v>1.2833385748891151E-2</c:v>
                </c:pt>
                <c:pt idx="2141">
                  <c:v>1.3027076527633902E-2</c:v>
                </c:pt>
                <c:pt idx="2142">
                  <c:v>1.1090779807719503E-2</c:v>
                </c:pt>
                <c:pt idx="2143">
                  <c:v>1.0716391309433616E-2</c:v>
                </c:pt>
                <c:pt idx="2144">
                  <c:v>1.5562432132504815E-2</c:v>
                </c:pt>
                <c:pt idx="2145">
                  <c:v>1.1760729386848219E-2</c:v>
                </c:pt>
                <c:pt idx="2146">
                  <c:v>1.2299450756510441E-2</c:v>
                </c:pt>
                <c:pt idx="2147">
                  <c:v>1.0508505620284469E-2</c:v>
                </c:pt>
                <c:pt idx="2148">
                  <c:v>1.1862520103354583E-2</c:v>
                </c:pt>
                <c:pt idx="2149">
                  <c:v>8.659073157121314E-3</c:v>
                </c:pt>
                <c:pt idx="2150">
                  <c:v>9.0302870917608469E-3</c:v>
                </c:pt>
                <c:pt idx="2151">
                  <c:v>1.0400867735913484E-2</c:v>
                </c:pt>
                <c:pt idx="2152">
                  <c:v>1.23564637636292E-2</c:v>
                </c:pt>
                <c:pt idx="2153">
                  <c:v>1.3101256232282286E-2</c:v>
                </c:pt>
                <c:pt idx="2154">
                  <c:v>1.6777289961006144E-2</c:v>
                </c:pt>
                <c:pt idx="2155">
                  <c:v>9.8092307159007141E-3</c:v>
                </c:pt>
                <c:pt idx="2156">
                  <c:v>8.6019994087503261E-3</c:v>
                </c:pt>
                <c:pt idx="2157">
                  <c:v>9.2448757559273013E-3</c:v>
                </c:pt>
                <c:pt idx="2158">
                  <c:v>1.0930741665123764E-2</c:v>
                </c:pt>
                <c:pt idx="2159">
                  <c:v>1.009983204123148E-2</c:v>
                </c:pt>
                <c:pt idx="2160">
                  <c:v>1.2819239401526695E-2</c:v>
                </c:pt>
                <c:pt idx="2161">
                  <c:v>1.329081231431873E-2</c:v>
                </c:pt>
                <c:pt idx="2162">
                  <c:v>1.2231998878349176E-2</c:v>
                </c:pt>
                <c:pt idx="2163">
                  <c:v>1.3807713422026394E-2</c:v>
                </c:pt>
                <c:pt idx="2164">
                  <c:v>8.3216304706383998E-3</c:v>
                </c:pt>
                <c:pt idx="2165">
                  <c:v>1.6662158817078238E-2</c:v>
                </c:pt>
                <c:pt idx="2166">
                  <c:v>1.1218410586168365E-2</c:v>
                </c:pt>
                <c:pt idx="2167">
                  <c:v>1.0841623981431825E-2</c:v>
                </c:pt>
                <c:pt idx="2168">
                  <c:v>1.0831048120431539E-2</c:v>
                </c:pt>
                <c:pt idx="2169">
                  <c:v>1.1331066534671501E-2</c:v>
                </c:pt>
                <c:pt idx="2170">
                  <c:v>1.3198680166000704E-2</c:v>
                </c:pt>
                <c:pt idx="2171">
                  <c:v>9.6091531041782013E-3</c:v>
                </c:pt>
                <c:pt idx="2172">
                  <c:v>1.1532415678674525E-2</c:v>
                </c:pt>
                <c:pt idx="2173">
                  <c:v>9.2505799476845056E-3</c:v>
                </c:pt>
                <c:pt idx="2174">
                  <c:v>1.4159807279470032E-2</c:v>
                </c:pt>
                <c:pt idx="2175">
                  <c:v>1.3614590000730939E-2</c:v>
                </c:pt>
                <c:pt idx="2176">
                  <c:v>1.4349498303766289E-2</c:v>
                </c:pt>
                <c:pt idx="2177">
                  <c:v>9.8786074864302652E-3</c:v>
                </c:pt>
                <c:pt idx="2178">
                  <c:v>1.0178687624556586E-2</c:v>
                </c:pt>
                <c:pt idx="2179">
                  <c:v>1.1785960962471536E-2</c:v>
                </c:pt>
                <c:pt idx="2180">
                  <c:v>1.4337162466779772E-2</c:v>
                </c:pt>
                <c:pt idx="2181">
                  <c:v>1.1405772376165241E-2</c:v>
                </c:pt>
                <c:pt idx="2182">
                  <c:v>1.217066331643712E-2</c:v>
                </c:pt>
                <c:pt idx="2183">
                  <c:v>1.3129970249242617E-2</c:v>
                </c:pt>
                <c:pt idx="2184">
                  <c:v>1.1692435504142496E-2</c:v>
                </c:pt>
                <c:pt idx="2185">
                  <c:v>1.3628688086789031E-2</c:v>
                </c:pt>
                <c:pt idx="2186">
                  <c:v>1.1204166555596019E-2</c:v>
                </c:pt>
                <c:pt idx="2187">
                  <c:v>1.0131432933303364E-2</c:v>
                </c:pt>
                <c:pt idx="2188">
                  <c:v>1.5088684358585633E-2</c:v>
                </c:pt>
                <c:pt idx="2189">
                  <c:v>1.1959475738623257E-2</c:v>
                </c:pt>
                <c:pt idx="2190">
                  <c:v>1.5338656634771974E-2</c:v>
                </c:pt>
                <c:pt idx="2191">
                  <c:v>1.0427509717413829E-2</c:v>
                </c:pt>
                <c:pt idx="2192">
                  <c:v>1.2841398787004979E-2</c:v>
                </c:pt>
                <c:pt idx="2193">
                  <c:v>1.1887969085540677E-2</c:v>
                </c:pt>
                <c:pt idx="2194">
                  <c:v>1.5917222542596893E-2</c:v>
                </c:pt>
                <c:pt idx="2195">
                  <c:v>1.4293247442281404E-2</c:v>
                </c:pt>
                <c:pt idx="2196">
                  <c:v>8.9758013430825297E-3</c:v>
                </c:pt>
                <c:pt idx="2197">
                  <c:v>1.2732607329285446E-2</c:v>
                </c:pt>
                <c:pt idx="2198">
                  <c:v>1.1190885509349061E-2</c:v>
                </c:pt>
                <c:pt idx="2199">
                  <c:v>9.830605706980966E-3</c:v>
                </c:pt>
                <c:pt idx="2200">
                  <c:v>1.1002169071999725E-2</c:v>
                </c:pt>
                <c:pt idx="2201">
                  <c:v>1.0912935242376205E-2</c:v>
                </c:pt>
                <c:pt idx="2202">
                  <c:v>9.8167256048374892E-3</c:v>
                </c:pt>
                <c:pt idx="2203">
                  <c:v>9.4647613936617563E-3</c:v>
                </c:pt>
                <c:pt idx="2204">
                  <c:v>8.2963966799469695E-3</c:v>
                </c:pt>
                <c:pt idx="2205">
                  <c:v>1.2091374200924963E-2</c:v>
                </c:pt>
                <c:pt idx="2206">
                  <c:v>9.6912593366798635E-3</c:v>
                </c:pt>
                <c:pt idx="2207">
                  <c:v>1.0412325901352363E-2</c:v>
                </c:pt>
                <c:pt idx="2208">
                  <c:v>1.5222711329913735E-2</c:v>
                </c:pt>
                <c:pt idx="2209">
                  <c:v>9.1401013630976087E-3</c:v>
                </c:pt>
                <c:pt idx="2210">
                  <c:v>9.1907100603301033E-3</c:v>
                </c:pt>
                <c:pt idx="2211">
                  <c:v>1.0979338731545297E-2</c:v>
                </c:pt>
                <c:pt idx="2212">
                  <c:v>7.8055596639352472E-3</c:v>
                </c:pt>
                <c:pt idx="2213">
                  <c:v>1.1205233947350297E-2</c:v>
                </c:pt>
                <c:pt idx="2214">
                  <c:v>9.9843762345260909E-3</c:v>
                </c:pt>
                <c:pt idx="2215">
                  <c:v>9.4347227825538928E-3</c:v>
                </c:pt>
                <c:pt idx="2216">
                  <c:v>1.37483492280646E-2</c:v>
                </c:pt>
                <c:pt idx="2217">
                  <c:v>9.7244636517682843E-3</c:v>
                </c:pt>
                <c:pt idx="2218">
                  <c:v>9.834131175528487E-3</c:v>
                </c:pt>
                <c:pt idx="2219">
                  <c:v>1.15787840922564E-2</c:v>
                </c:pt>
                <c:pt idx="2220">
                  <c:v>8.7941547795032712E-3</c:v>
                </c:pt>
                <c:pt idx="2221">
                  <c:v>1.4866163998045533E-2</c:v>
                </c:pt>
                <c:pt idx="2222">
                  <c:v>1.7926342930960661E-2</c:v>
                </c:pt>
                <c:pt idx="2223">
                  <c:v>9.928631581480071E-3</c:v>
                </c:pt>
                <c:pt idx="2224">
                  <c:v>8.4715690335356378E-3</c:v>
                </c:pt>
                <c:pt idx="2225">
                  <c:v>9.5883649410749561E-3</c:v>
                </c:pt>
                <c:pt idx="2226">
                  <c:v>1.2211588853353751E-2</c:v>
                </c:pt>
                <c:pt idx="2227">
                  <c:v>8.0224052833064649E-3</c:v>
                </c:pt>
                <c:pt idx="2228">
                  <c:v>9.0403925355207367E-3</c:v>
                </c:pt>
                <c:pt idx="2229">
                  <c:v>1.0726732735946853E-2</c:v>
                </c:pt>
                <c:pt idx="2230">
                  <c:v>1.2159691471700096E-2</c:v>
                </c:pt>
                <c:pt idx="2231">
                  <c:v>1.170797670667865E-2</c:v>
                </c:pt>
                <c:pt idx="2232">
                  <c:v>1.3598769687229641E-2</c:v>
                </c:pt>
                <c:pt idx="2233">
                  <c:v>1.157161647663673E-2</c:v>
                </c:pt>
                <c:pt idx="2234">
                  <c:v>9.9644563546555584E-3</c:v>
                </c:pt>
                <c:pt idx="2235">
                  <c:v>1.3497734255740293E-2</c:v>
                </c:pt>
                <c:pt idx="2236">
                  <c:v>1.1130524197260312E-2</c:v>
                </c:pt>
                <c:pt idx="2237">
                  <c:v>9.2151660751903543E-3</c:v>
                </c:pt>
                <c:pt idx="2238">
                  <c:v>1.2986527405508418E-2</c:v>
                </c:pt>
                <c:pt idx="2239">
                  <c:v>1.1286063768591847E-2</c:v>
                </c:pt>
                <c:pt idx="2240">
                  <c:v>9.9770445413290554E-3</c:v>
                </c:pt>
                <c:pt idx="2241">
                  <c:v>1.0138668496891773E-2</c:v>
                </c:pt>
                <c:pt idx="2242">
                  <c:v>7.6752025129223208E-3</c:v>
                </c:pt>
                <c:pt idx="2243">
                  <c:v>1.5662431066376062E-2</c:v>
                </c:pt>
                <c:pt idx="2244">
                  <c:v>1.28653776182061E-2</c:v>
                </c:pt>
                <c:pt idx="2245">
                  <c:v>1.2395863489721517E-2</c:v>
                </c:pt>
                <c:pt idx="2246">
                  <c:v>1.1589343947831973E-2</c:v>
                </c:pt>
                <c:pt idx="2247">
                  <c:v>1.0603690223981098E-2</c:v>
                </c:pt>
                <c:pt idx="2248">
                  <c:v>1.1627069244754592E-2</c:v>
                </c:pt>
                <c:pt idx="2249">
                  <c:v>1.5693890926904427E-2</c:v>
                </c:pt>
                <c:pt idx="2250">
                  <c:v>1.2061853205210495E-2</c:v>
                </c:pt>
                <c:pt idx="2251">
                  <c:v>1.1747821707497068E-2</c:v>
                </c:pt>
                <c:pt idx="2252">
                  <c:v>9.9292831778125604E-3</c:v>
                </c:pt>
                <c:pt idx="2253">
                  <c:v>9.1689002506668716E-3</c:v>
                </c:pt>
                <c:pt idx="2254">
                  <c:v>1.3906472767244842E-2</c:v>
                </c:pt>
                <c:pt idx="2255">
                  <c:v>1.1078681174335324E-2</c:v>
                </c:pt>
                <c:pt idx="2256">
                  <c:v>8.8081908803809821E-3</c:v>
                </c:pt>
                <c:pt idx="2257">
                  <c:v>1.2192877084422031E-2</c:v>
                </c:pt>
                <c:pt idx="2258">
                  <c:v>1.6238437855044561E-2</c:v>
                </c:pt>
                <c:pt idx="2259">
                  <c:v>8.8190389036198504E-3</c:v>
                </c:pt>
                <c:pt idx="2260">
                  <c:v>1.0573763758442748E-2</c:v>
                </c:pt>
                <c:pt idx="2261">
                  <c:v>1.1292386793773816E-2</c:v>
                </c:pt>
                <c:pt idx="2262">
                  <c:v>9.7486878594112009E-3</c:v>
                </c:pt>
                <c:pt idx="2263">
                  <c:v>1.271296633770887E-2</c:v>
                </c:pt>
                <c:pt idx="2264">
                  <c:v>1.1309832154877648E-2</c:v>
                </c:pt>
                <c:pt idx="2265">
                  <c:v>1.261771003367433E-2</c:v>
                </c:pt>
                <c:pt idx="2266">
                  <c:v>1.0004883992536474E-2</c:v>
                </c:pt>
                <c:pt idx="2267">
                  <c:v>1.2006854623208945E-2</c:v>
                </c:pt>
                <c:pt idx="2268">
                  <c:v>1.0530603940692242E-2</c:v>
                </c:pt>
                <c:pt idx="2269">
                  <c:v>9.0707570942751541E-3</c:v>
                </c:pt>
                <c:pt idx="2270">
                  <c:v>1.0229490877790997E-2</c:v>
                </c:pt>
                <c:pt idx="2271">
                  <c:v>9.9677608131979959E-3</c:v>
                </c:pt>
                <c:pt idx="2272">
                  <c:v>1.3775339727283323E-2</c:v>
                </c:pt>
                <c:pt idx="2273">
                  <c:v>1.444891221914906E-2</c:v>
                </c:pt>
                <c:pt idx="2274">
                  <c:v>1.1451619569163136E-2</c:v>
                </c:pt>
                <c:pt idx="2275">
                  <c:v>9.8617332040009976E-3</c:v>
                </c:pt>
                <c:pt idx="2276">
                  <c:v>1.0685127396329536E-2</c:v>
                </c:pt>
                <c:pt idx="2277">
                  <c:v>1.0957395528219482E-2</c:v>
                </c:pt>
                <c:pt idx="2278">
                  <c:v>1.4092745951438581E-2</c:v>
                </c:pt>
                <c:pt idx="2279">
                  <c:v>1.0408367806913085E-2</c:v>
                </c:pt>
                <c:pt idx="2280">
                  <c:v>1.2712017707440055E-2</c:v>
                </c:pt>
                <c:pt idx="2281">
                  <c:v>1.2803106264472222E-2</c:v>
                </c:pt>
                <c:pt idx="2282">
                  <c:v>1.555917807078917E-2</c:v>
                </c:pt>
                <c:pt idx="2283">
                  <c:v>1.3068308645654754E-2</c:v>
                </c:pt>
                <c:pt idx="2284">
                  <c:v>9.7552183296338441E-3</c:v>
                </c:pt>
                <c:pt idx="2285">
                  <c:v>1.2992603431564853E-2</c:v>
                </c:pt>
                <c:pt idx="2286">
                  <c:v>1.6632128727420595E-2</c:v>
                </c:pt>
                <c:pt idx="2287">
                  <c:v>1.3764464214280993E-2</c:v>
                </c:pt>
                <c:pt idx="2288">
                  <c:v>1.4944396004248453E-2</c:v>
                </c:pt>
                <c:pt idx="2289">
                  <c:v>1.1580816497011797E-2</c:v>
                </c:pt>
                <c:pt idx="2290">
                  <c:v>9.7777356479086582E-3</c:v>
                </c:pt>
                <c:pt idx="2291">
                  <c:v>1.3488600475683041E-2</c:v>
                </c:pt>
                <c:pt idx="2292">
                  <c:v>9.1366133190595843E-3</c:v>
                </c:pt>
                <c:pt idx="2293">
                  <c:v>1.3250860288182969E-2</c:v>
                </c:pt>
                <c:pt idx="2294">
                  <c:v>1.6646515154146242E-2</c:v>
                </c:pt>
                <c:pt idx="2295">
                  <c:v>1.1810130263236147E-2</c:v>
                </c:pt>
                <c:pt idx="2296">
                  <c:v>1.0101008937588151E-2</c:v>
                </c:pt>
                <c:pt idx="2297">
                  <c:v>1.4770386373952994E-2</c:v>
                </c:pt>
                <c:pt idx="2298">
                  <c:v>1.5521715468727815E-2</c:v>
                </c:pt>
                <c:pt idx="2299">
                  <c:v>1.177832280645584E-2</c:v>
                </c:pt>
                <c:pt idx="2300">
                  <c:v>1.5505589891565977E-2</c:v>
                </c:pt>
                <c:pt idx="2301">
                  <c:v>1.0800992715210655E-2</c:v>
                </c:pt>
                <c:pt idx="2302">
                  <c:v>1.525360745164386E-2</c:v>
                </c:pt>
                <c:pt idx="2303">
                  <c:v>9.0022171048942147E-3</c:v>
                </c:pt>
                <c:pt idx="2304">
                  <c:v>1.3941802080479166E-2</c:v>
                </c:pt>
                <c:pt idx="2305">
                  <c:v>1.364890270368496E-2</c:v>
                </c:pt>
                <c:pt idx="2306">
                  <c:v>1.6533014150473729E-2</c:v>
                </c:pt>
                <c:pt idx="2307">
                  <c:v>1.1290707216624766E-2</c:v>
                </c:pt>
                <c:pt idx="2308">
                  <c:v>7.9631752218946045E-3</c:v>
                </c:pt>
                <c:pt idx="2309">
                  <c:v>1.4845132246575816E-2</c:v>
                </c:pt>
                <c:pt idx="2310">
                  <c:v>9.8537624815146947E-3</c:v>
                </c:pt>
                <c:pt idx="2311">
                  <c:v>1.1994611835440963E-2</c:v>
                </c:pt>
                <c:pt idx="2312">
                  <c:v>1.1677990102426506E-2</c:v>
                </c:pt>
                <c:pt idx="2313">
                  <c:v>1.5299046076233069E-2</c:v>
                </c:pt>
                <c:pt idx="2314">
                  <c:v>1.0265114040710975E-2</c:v>
                </c:pt>
                <c:pt idx="2315">
                  <c:v>1.4496035739623211E-2</c:v>
                </c:pt>
                <c:pt idx="2316">
                  <c:v>7.3801774481604401E-3</c:v>
                </c:pt>
                <c:pt idx="2317">
                  <c:v>9.6262298857950589E-3</c:v>
                </c:pt>
                <c:pt idx="2318">
                  <c:v>1.2732869921471291E-2</c:v>
                </c:pt>
                <c:pt idx="2319">
                  <c:v>1.4765099387354663E-2</c:v>
                </c:pt>
                <c:pt idx="2320">
                  <c:v>1.1653662685600518E-2</c:v>
                </c:pt>
                <c:pt idx="2321">
                  <c:v>1.0728989662417743E-2</c:v>
                </c:pt>
                <c:pt idx="2322">
                  <c:v>1.2998361232800409E-2</c:v>
                </c:pt>
                <c:pt idx="2323">
                  <c:v>9.0122611239647037E-3</c:v>
                </c:pt>
                <c:pt idx="2324">
                  <c:v>9.4829246617278515E-3</c:v>
                </c:pt>
                <c:pt idx="2325">
                  <c:v>1.0125204021642483E-2</c:v>
                </c:pt>
                <c:pt idx="2326">
                  <c:v>1.5925269349175573E-2</c:v>
                </c:pt>
                <c:pt idx="2327">
                  <c:v>1.0340278197625407E-2</c:v>
                </c:pt>
                <c:pt idx="2328">
                  <c:v>1.1957929933004959E-2</c:v>
                </c:pt>
                <c:pt idx="2329">
                  <c:v>1.419405172051947E-2</c:v>
                </c:pt>
                <c:pt idx="2330">
                  <c:v>1.1316083360596247E-2</c:v>
                </c:pt>
                <c:pt idx="2331">
                  <c:v>8.8662543142246173E-3</c:v>
                </c:pt>
                <c:pt idx="2332">
                  <c:v>8.6822816616576488E-3</c:v>
                </c:pt>
                <c:pt idx="2333">
                  <c:v>1.3552709495403723E-2</c:v>
                </c:pt>
                <c:pt idx="2334">
                  <c:v>1.1751978645245445E-2</c:v>
                </c:pt>
                <c:pt idx="2335">
                  <c:v>1.3537157604559254E-2</c:v>
                </c:pt>
                <c:pt idx="2336">
                  <c:v>8.2571500208034696E-3</c:v>
                </c:pt>
                <c:pt idx="2337">
                  <c:v>1.0185715930520632E-2</c:v>
                </c:pt>
                <c:pt idx="2338">
                  <c:v>9.8558405276826262E-3</c:v>
                </c:pt>
                <c:pt idx="2339">
                  <c:v>1.0595695692392682E-2</c:v>
                </c:pt>
                <c:pt idx="2340">
                  <c:v>9.5762033558298848E-3</c:v>
                </c:pt>
                <c:pt idx="2341">
                  <c:v>1.0315269906163481E-2</c:v>
                </c:pt>
                <c:pt idx="2342">
                  <c:v>1.2535489585058313E-2</c:v>
                </c:pt>
                <c:pt idx="2343">
                  <c:v>1.2546594952250363E-2</c:v>
                </c:pt>
                <c:pt idx="2344">
                  <c:v>1.1558390872862128E-2</c:v>
                </c:pt>
                <c:pt idx="2345">
                  <c:v>9.4189134841307677E-3</c:v>
                </c:pt>
                <c:pt idx="2346">
                  <c:v>1.2216058437754257E-2</c:v>
                </c:pt>
                <c:pt idx="2347">
                  <c:v>1.2144889957052324E-2</c:v>
                </c:pt>
                <c:pt idx="2348">
                  <c:v>1.4286183844706842E-2</c:v>
                </c:pt>
                <c:pt idx="2349">
                  <c:v>9.8252599574131013E-3</c:v>
                </c:pt>
                <c:pt idx="2350">
                  <c:v>1.2570651144015193E-2</c:v>
                </c:pt>
                <c:pt idx="2351">
                  <c:v>1.3587303541018541E-2</c:v>
                </c:pt>
                <c:pt idx="2352">
                  <c:v>1.0988312456868586E-2</c:v>
                </c:pt>
                <c:pt idx="2353">
                  <c:v>8.129839911963142E-3</c:v>
                </c:pt>
                <c:pt idx="2354">
                  <c:v>1.4565129736633237E-2</c:v>
                </c:pt>
                <c:pt idx="2355">
                  <c:v>1.0264077203588693E-2</c:v>
                </c:pt>
                <c:pt idx="2356">
                  <c:v>1.0202108257479595E-2</c:v>
                </c:pt>
                <c:pt idx="2357">
                  <c:v>1.4450415343865878E-2</c:v>
                </c:pt>
                <c:pt idx="2358">
                  <c:v>1.0469097376628631E-2</c:v>
                </c:pt>
                <c:pt idx="2359">
                  <c:v>1.1570523548686904E-2</c:v>
                </c:pt>
                <c:pt idx="2360">
                  <c:v>1.0737868225374638E-2</c:v>
                </c:pt>
                <c:pt idx="2361">
                  <c:v>1.2191743906786765E-2</c:v>
                </c:pt>
                <c:pt idx="2362">
                  <c:v>1.3792589414099506E-2</c:v>
                </c:pt>
                <c:pt idx="2363">
                  <c:v>1.3018159254282275E-2</c:v>
                </c:pt>
                <c:pt idx="2364">
                  <c:v>1.1341931601871054E-2</c:v>
                </c:pt>
                <c:pt idx="2365">
                  <c:v>1.2661308538657816E-2</c:v>
                </c:pt>
                <c:pt idx="2366">
                  <c:v>1.0166914725503741E-2</c:v>
                </c:pt>
                <c:pt idx="2367">
                  <c:v>1.2227044599719159E-2</c:v>
                </c:pt>
                <c:pt idx="2368">
                  <c:v>1.4151728037649683E-2</c:v>
                </c:pt>
                <c:pt idx="2369">
                  <c:v>1.4490456571944501E-2</c:v>
                </c:pt>
                <c:pt idx="2370">
                  <c:v>1.2745662083239993E-2</c:v>
                </c:pt>
                <c:pt idx="2371">
                  <c:v>1.3547780352835838E-2</c:v>
                </c:pt>
                <c:pt idx="2372">
                  <c:v>9.6649627958581598E-3</c:v>
                </c:pt>
                <c:pt idx="2373">
                  <c:v>1.3579677567141195E-2</c:v>
                </c:pt>
                <c:pt idx="2374">
                  <c:v>1.1317592138905291E-2</c:v>
                </c:pt>
                <c:pt idx="2375">
                  <c:v>1.2838397259557941E-2</c:v>
                </c:pt>
                <c:pt idx="2376">
                  <c:v>1.2269908848321236E-2</c:v>
                </c:pt>
                <c:pt idx="2377">
                  <c:v>8.1967709008359795E-3</c:v>
                </c:pt>
                <c:pt idx="2378">
                  <c:v>9.9280654964037096E-3</c:v>
                </c:pt>
                <c:pt idx="2379">
                  <c:v>1.214110463139699E-2</c:v>
                </c:pt>
                <c:pt idx="2380">
                  <c:v>1.4424535828509862E-2</c:v>
                </c:pt>
                <c:pt idx="2381">
                  <c:v>1.2057372433039377E-2</c:v>
                </c:pt>
                <c:pt idx="2382">
                  <c:v>1.2935206639705432E-2</c:v>
                </c:pt>
                <c:pt idx="2383">
                  <c:v>1.2284564461071458E-2</c:v>
                </c:pt>
                <c:pt idx="2384">
                  <c:v>1.625755334941659E-2</c:v>
                </c:pt>
                <c:pt idx="2385">
                  <c:v>8.4682104634902014E-3</c:v>
                </c:pt>
                <c:pt idx="2386">
                  <c:v>1.1492185660735876E-2</c:v>
                </c:pt>
                <c:pt idx="2387">
                  <c:v>1.177827712973204E-2</c:v>
                </c:pt>
                <c:pt idx="2388">
                  <c:v>1.1614330173254823E-2</c:v>
                </c:pt>
                <c:pt idx="2389">
                  <c:v>1.5329274147988884E-2</c:v>
                </c:pt>
                <c:pt idx="2390">
                  <c:v>1.1830585331965368E-2</c:v>
                </c:pt>
                <c:pt idx="2391">
                  <c:v>1.0356178034550785E-2</c:v>
                </c:pt>
                <c:pt idx="2392">
                  <c:v>1.2042904250980703E-2</c:v>
                </c:pt>
                <c:pt idx="2393">
                  <c:v>9.7765551547125788E-3</c:v>
                </c:pt>
                <c:pt idx="2394">
                  <c:v>9.8754037711674091E-3</c:v>
                </c:pt>
                <c:pt idx="2395">
                  <c:v>1.1503851950505862E-2</c:v>
                </c:pt>
                <c:pt idx="2396">
                  <c:v>1.1390410130196042E-2</c:v>
                </c:pt>
                <c:pt idx="2397">
                  <c:v>1.2149189799281233E-2</c:v>
                </c:pt>
                <c:pt idx="2398">
                  <c:v>1.0988597402260917E-2</c:v>
                </c:pt>
                <c:pt idx="2399">
                  <c:v>1.0027634095040277E-2</c:v>
                </c:pt>
                <c:pt idx="2400">
                  <c:v>1.1846176661507011E-2</c:v>
                </c:pt>
                <c:pt idx="2401">
                  <c:v>1.1246126497897526E-2</c:v>
                </c:pt>
                <c:pt idx="2402">
                  <c:v>1.192637212751709E-2</c:v>
                </c:pt>
                <c:pt idx="2403">
                  <c:v>1.5383740309898196E-2</c:v>
                </c:pt>
                <c:pt idx="2404">
                  <c:v>1.1428489251239373E-2</c:v>
                </c:pt>
                <c:pt idx="2405">
                  <c:v>7.6592552189808519E-3</c:v>
                </c:pt>
                <c:pt idx="2406">
                  <c:v>1.3551365061342368E-2</c:v>
                </c:pt>
                <c:pt idx="2407">
                  <c:v>1.1236795347215356E-2</c:v>
                </c:pt>
                <c:pt idx="2408">
                  <c:v>1.3235425563708238E-2</c:v>
                </c:pt>
                <c:pt idx="2409">
                  <c:v>8.6192059544643509E-3</c:v>
                </c:pt>
                <c:pt idx="2410">
                  <c:v>1.3331746552169919E-2</c:v>
                </c:pt>
                <c:pt idx="2411">
                  <c:v>1.0288914069361027E-2</c:v>
                </c:pt>
                <c:pt idx="2412">
                  <c:v>9.717379376325894E-3</c:v>
                </c:pt>
                <c:pt idx="2413">
                  <c:v>1.1144991130051568E-2</c:v>
                </c:pt>
                <c:pt idx="2414">
                  <c:v>9.966555505659733E-3</c:v>
                </c:pt>
                <c:pt idx="2415">
                  <c:v>1.2529183597645344E-2</c:v>
                </c:pt>
                <c:pt idx="2416">
                  <c:v>9.9769742321199756E-3</c:v>
                </c:pt>
                <c:pt idx="2417">
                  <c:v>1.6303323956097408E-2</c:v>
                </c:pt>
                <c:pt idx="2418">
                  <c:v>1.1243443150333245E-2</c:v>
                </c:pt>
                <c:pt idx="2419">
                  <c:v>1.159825559845965E-2</c:v>
                </c:pt>
                <c:pt idx="2420">
                  <c:v>1.4082143259211153E-2</c:v>
                </c:pt>
                <c:pt idx="2421">
                  <c:v>1.17385507289679E-2</c:v>
                </c:pt>
                <c:pt idx="2422">
                  <c:v>1.0785742284677862E-2</c:v>
                </c:pt>
                <c:pt idx="2423">
                  <c:v>1.386262388148898E-2</c:v>
                </c:pt>
                <c:pt idx="2424">
                  <c:v>1.2163076577735887E-2</c:v>
                </c:pt>
                <c:pt idx="2425">
                  <c:v>1.1839468319834045E-2</c:v>
                </c:pt>
                <c:pt idx="2426">
                  <c:v>1.4770557740362997E-2</c:v>
                </c:pt>
                <c:pt idx="2427">
                  <c:v>1.2647953997660721E-2</c:v>
                </c:pt>
                <c:pt idx="2428">
                  <c:v>1.0852394884874401E-2</c:v>
                </c:pt>
                <c:pt idx="2429">
                  <c:v>1.3139921291377324E-2</c:v>
                </c:pt>
                <c:pt idx="2430">
                  <c:v>9.7011878563190469E-3</c:v>
                </c:pt>
                <c:pt idx="2431">
                  <c:v>1.2942155651951488E-2</c:v>
                </c:pt>
                <c:pt idx="2432">
                  <c:v>1.4784721183246729E-2</c:v>
                </c:pt>
                <c:pt idx="2433">
                  <c:v>1.078605081626394E-2</c:v>
                </c:pt>
                <c:pt idx="2434">
                  <c:v>9.9365796568299768E-3</c:v>
                </c:pt>
                <c:pt idx="2435">
                  <c:v>1.0934430590804683E-2</c:v>
                </c:pt>
                <c:pt idx="2436">
                  <c:v>1.1302657211891007E-2</c:v>
                </c:pt>
                <c:pt idx="2437">
                  <c:v>1.2664649089197648E-2</c:v>
                </c:pt>
                <c:pt idx="2438">
                  <c:v>1.0684326789813778E-2</c:v>
                </c:pt>
                <c:pt idx="2439">
                  <c:v>1.1258375611360892E-2</c:v>
                </c:pt>
                <c:pt idx="2440">
                  <c:v>1.4183149199807775E-2</c:v>
                </c:pt>
                <c:pt idx="2441">
                  <c:v>1.1415575286363057E-2</c:v>
                </c:pt>
                <c:pt idx="2442">
                  <c:v>9.8381088844605377E-3</c:v>
                </c:pt>
                <c:pt idx="2443">
                  <c:v>1.239490914305289E-2</c:v>
                </c:pt>
                <c:pt idx="2444">
                  <c:v>1.136582110930506E-2</c:v>
                </c:pt>
                <c:pt idx="2445">
                  <c:v>1.1369229399464185E-2</c:v>
                </c:pt>
                <c:pt idx="2446">
                  <c:v>9.0151180801434447E-3</c:v>
                </c:pt>
                <c:pt idx="2447">
                  <c:v>1.3499745598845486E-2</c:v>
                </c:pt>
                <c:pt idx="2448">
                  <c:v>1.2213015994954045E-2</c:v>
                </c:pt>
                <c:pt idx="2449">
                  <c:v>1.3378750293722489E-2</c:v>
                </c:pt>
                <c:pt idx="2450">
                  <c:v>1.0326235891777332E-2</c:v>
                </c:pt>
                <c:pt idx="2451">
                  <c:v>1.1874206131708196E-2</c:v>
                </c:pt>
                <c:pt idx="2452">
                  <c:v>1.139222572363547E-2</c:v>
                </c:pt>
                <c:pt idx="2453">
                  <c:v>1.0253133923303539E-2</c:v>
                </c:pt>
                <c:pt idx="2454">
                  <c:v>9.4584264362378417E-3</c:v>
                </c:pt>
                <c:pt idx="2455">
                  <c:v>1.0729284740260952E-2</c:v>
                </c:pt>
                <c:pt idx="2456">
                  <c:v>7.9376077499113892E-3</c:v>
                </c:pt>
                <c:pt idx="2457">
                  <c:v>1.2493004705489936E-2</c:v>
                </c:pt>
                <c:pt idx="2458">
                  <c:v>9.5884308234531895E-3</c:v>
                </c:pt>
                <c:pt idx="2459">
                  <c:v>1.5148081232526629E-2</c:v>
                </c:pt>
                <c:pt idx="2460">
                  <c:v>1.5429590308671434E-2</c:v>
                </c:pt>
                <c:pt idx="2461">
                  <c:v>1.1559636429176772E-2</c:v>
                </c:pt>
                <c:pt idx="2462">
                  <c:v>1.1220504793013227E-2</c:v>
                </c:pt>
                <c:pt idx="2463">
                  <c:v>1.0490493405957427E-2</c:v>
                </c:pt>
                <c:pt idx="2464">
                  <c:v>1.1984763994150925E-2</c:v>
                </c:pt>
                <c:pt idx="2465">
                  <c:v>1.2240533301408037E-2</c:v>
                </c:pt>
                <c:pt idx="2466">
                  <c:v>1.0824697166596559E-2</c:v>
                </c:pt>
                <c:pt idx="2467">
                  <c:v>1.3435572008515327E-2</c:v>
                </c:pt>
                <c:pt idx="2468">
                  <c:v>1.2532658439807309E-2</c:v>
                </c:pt>
                <c:pt idx="2469">
                  <c:v>1.2252300643831152E-2</c:v>
                </c:pt>
                <c:pt idx="2470">
                  <c:v>8.602253679602637E-3</c:v>
                </c:pt>
                <c:pt idx="2471">
                  <c:v>1.2819244189953402E-2</c:v>
                </c:pt>
                <c:pt idx="2472">
                  <c:v>1.0424068531136638E-2</c:v>
                </c:pt>
                <c:pt idx="2473">
                  <c:v>1.5626260019674803E-2</c:v>
                </c:pt>
                <c:pt idx="2474">
                  <c:v>9.2996184099546717E-3</c:v>
                </c:pt>
                <c:pt idx="2475">
                  <c:v>9.9554590786813772E-3</c:v>
                </c:pt>
                <c:pt idx="2476">
                  <c:v>9.6460361073514127E-3</c:v>
                </c:pt>
                <c:pt idx="2477">
                  <c:v>1.0349200514031393E-2</c:v>
                </c:pt>
                <c:pt idx="2478">
                  <c:v>7.8172753277907375E-3</c:v>
                </c:pt>
                <c:pt idx="2479">
                  <c:v>1.2699330909808603E-2</c:v>
                </c:pt>
                <c:pt idx="2480">
                  <c:v>9.1732413841947753E-3</c:v>
                </c:pt>
                <c:pt idx="2481">
                  <c:v>1.5311879000661234E-2</c:v>
                </c:pt>
                <c:pt idx="2482">
                  <c:v>1.109385029056573E-2</c:v>
                </c:pt>
                <c:pt idx="2483">
                  <c:v>1.3468478056429742E-2</c:v>
                </c:pt>
                <c:pt idx="2484">
                  <c:v>9.564847029986917E-3</c:v>
                </c:pt>
                <c:pt idx="2485">
                  <c:v>1.2083538738818485E-2</c:v>
                </c:pt>
                <c:pt idx="2486">
                  <c:v>8.3859426345080958E-3</c:v>
                </c:pt>
                <c:pt idx="2487">
                  <c:v>1.0320431259068698E-2</c:v>
                </c:pt>
                <c:pt idx="2488">
                  <c:v>1.2587508049578431E-2</c:v>
                </c:pt>
                <c:pt idx="2489">
                  <c:v>8.9066612014364333E-3</c:v>
                </c:pt>
                <c:pt idx="2490">
                  <c:v>1.0272791344398692E-2</c:v>
                </c:pt>
                <c:pt idx="2491">
                  <c:v>1.091951371442672E-2</c:v>
                </c:pt>
                <c:pt idx="2492">
                  <c:v>1.1850388016982604E-2</c:v>
                </c:pt>
                <c:pt idx="2493">
                  <c:v>1.0705100432856721E-2</c:v>
                </c:pt>
                <c:pt idx="2494">
                  <c:v>9.7562358805099794E-3</c:v>
                </c:pt>
                <c:pt idx="2495">
                  <c:v>1.1548384219506198E-2</c:v>
                </c:pt>
                <c:pt idx="2496">
                  <c:v>1.2005873432466719E-2</c:v>
                </c:pt>
                <c:pt idx="2497">
                  <c:v>9.9422092985395963E-3</c:v>
                </c:pt>
                <c:pt idx="2498">
                  <c:v>1.0782450420488835E-2</c:v>
                </c:pt>
                <c:pt idx="2499">
                  <c:v>1.3337499494040379E-2</c:v>
                </c:pt>
                <c:pt idx="2500">
                  <c:v>1.5317388086606489E-2</c:v>
                </c:pt>
                <c:pt idx="2501">
                  <c:v>1.0465149270502254E-2</c:v>
                </c:pt>
                <c:pt idx="2502">
                  <c:v>1.1079679339121754E-2</c:v>
                </c:pt>
                <c:pt idx="2503">
                  <c:v>1.2860504872047457E-2</c:v>
                </c:pt>
                <c:pt idx="2504">
                  <c:v>1.0240760435847738E-2</c:v>
                </c:pt>
                <c:pt idx="2505">
                  <c:v>1.0609730994548698E-2</c:v>
                </c:pt>
                <c:pt idx="2506">
                  <c:v>8.8236542819518909E-3</c:v>
                </c:pt>
                <c:pt idx="2507">
                  <c:v>1.3502216647630409E-2</c:v>
                </c:pt>
                <c:pt idx="2508">
                  <c:v>1.185808117564181E-2</c:v>
                </c:pt>
                <c:pt idx="2509">
                  <c:v>1.004197891218332E-2</c:v>
                </c:pt>
                <c:pt idx="2510">
                  <c:v>8.7967931149252609E-3</c:v>
                </c:pt>
                <c:pt idx="2511">
                  <c:v>1.1629625225742802E-2</c:v>
                </c:pt>
                <c:pt idx="2512">
                  <c:v>9.1411849993049011E-3</c:v>
                </c:pt>
                <c:pt idx="2513">
                  <c:v>1.0192404909344595E-2</c:v>
                </c:pt>
                <c:pt idx="2514">
                  <c:v>1.6112192279714239E-2</c:v>
                </c:pt>
                <c:pt idx="2515">
                  <c:v>1.3289665409281056E-2</c:v>
                </c:pt>
                <c:pt idx="2516">
                  <c:v>9.8594564399153845E-3</c:v>
                </c:pt>
                <c:pt idx="2517">
                  <c:v>1.3086648081694845E-2</c:v>
                </c:pt>
                <c:pt idx="2518">
                  <c:v>1.0364592857375569E-2</c:v>
                </c:pt>
                <c:pt idx="2519">
                  <c:v>1.5624725208847157E-2</c:v>
                </c:pt>
                <c:pt idx="2520">
                  <c:v>1.0460255395011541E-2</c:v>
                </c:pt>
                <c:pt idx="2521">
                  <c:v>1.3604477880242398E-2</c:v>
                </c:pt>
                <c:pt idx="2522">
                  <c:v>8.2446546381305681E-3</c:v>
                </c:pt>
                <c:pt idx="2523">
                  <c:v>9.8129807448531173E-3</c:v>
                </c:pt>
                <c:pt idx="2524">
                  <c:v>1.0252212427544795E-2</c:v>
                </c:pt>
                <c:pt idx="2525">
                  <c:v>1.3764794770146031E-2</c:v>
                </c:pt>
                <c:pt idx="2526">
                  <c:v>1.0786761612545747E-2</c:v>
                </c:pt>
                <c:pt idx="2527">
                  <c:v>1.3925940501340018E-2</c:v>
                </c:pt>
                <c:pt idx="2528">
                  <c:v>1.0728310049279113E-2</c:v>
                </c:pt>
                <c:pt idx="2529">
                  <c:v>1.2961344343734339E-2</c:v>
                </c:pt>
                <c:pt idx="2530">
                  <c:v>1.0661181737432801E-2</c:v>
                </c:pt>
                <c:pt idx="2531">
                  <c:v>1.3598002438862498E-2</c:v>
                </c:pt>
                <c:pt idx="2532">
                  <c:v>1.3686333837956779E-2</c:v>
                </c:pt>
                <c:pt idx="2533">
                  <c:v>1.4735969257478315E-2</c:v>
                </c:pt>
                <c:pt idx="2534">
                  <c:v>1.0407406832894687E-2</c:v>
                </c:pt>
                <c:pt idx="2535">
                  <c:v>1.3013972270866736E-2</c:v>
                </c:pt>
                <c:pt idx="2536">
                  <c:v>8.8222726797735247E-3</c:v>
                </c:pt>
                <c:pt idx="2537">
                  <c:v>1.1950046777050726E-2</c:v>
                </c:pt>
                <c:pt idx="2538">
                  <c:v>1.5331623852094189E-2</c:v>
                </c:pt>
                <c:pt idx="2539">
                  <c:v>1.2692860789110093E-2</c:v>
                </c:pt>
                <c:pt idx="2540">
                  <c:v>1.1929107903265179E-2</c:v>
                </c:pt>
                <c:pt idx="2541">
                  <c:v>1.0245730881878178E-2</c:v>
                </c:pt>
                <c:pt idx="2542">
                  <c:v>1.1954345594463497E-2</c:v>
                </c:pt>
                <c:pt idx="2543">
                  <c:v>1.1852699997818661E-2</c:v>
                </c:pt>
                <c:pt idx="2544">
                  <c:v>9.6248656962134894E-3</c:v>
                </c:pt>
                <c:pt idx="2545">
                  <c:v>1.137880175508698E-2</c:v>
                </c:pt>
                <c:pt idx="2546">
                  <c:v>1.0263701751132531E-2</c:v>
                </c:pt>
                <c:pt idx="2547">
                  <c:v>1.2961599511181058E-2</c:v>
                </c:pt>
                <c:pt idx="2548">
                  <c:v>8.787265691558124E-3</c:v>
                </c:pt>
                <c:pt idx="2549">
                  <c:v>9.1349347983816897E-3</c:v>
                </c:pt>
                <c:pt idx="2550">
                  <c:v>1.2613768229631178E-2</c:v>
                </c:pt>
                <c:pt idx="2551">
                  <c:v>7.6716314387500978E-3</c:v>
                </c:pt>
                <c:pt idx="2552">
                  <c:v>9.3205788375809347E-3</c:v>
                </c:pt>
                <c:pt idx="2553">
                  <c:v>1.0446301696483952E-2</c:v>
                </c:pt>
                <c:pt idx="2554">
                  <c:v>1.2531426318920898E-2</c:v>
                </c:pt>
                <c:pt idx="2555">
                  <c:v>1.1782973692894808E-2</c:v>
                </c:pt>
                <c:pt idx="2556">
                  <c:v>1.0285940049621876E-2</c:v>
                </c:pt>
                <c:pt idx="2557">
                  <c:v>1.1241771143748656E-2</c:v>
                </c:pt>
                <c:pt idx="2558">
                  <c:v>1.2271396658122186E-2</c:v>
                </c:pt>
                <c:pt idx="2559">
                  <c:v>1.3593515607243633E-2</c:v>
                </c:pt>
                <c:pt idx="2560">
                  <c:v>1.5748420332679789E-2</c:v>
                </c:pt>
                <c:pt idx="2561">
                  <c:v>1.1079060264466679E-2</c:v>
                </c:pt>
                <c:pt idx="2562">
                  <c:v>9.3772556683218902E-3</c:v>
                </c:pt>
                <c:pt idx="2563">
                  <c:v>1.0907174111695546E-2</c:v>
                </c:pt>
                <c:pt idx="2564">
                  <c:v>1.4459264889984913E-2</c:v>
                </c:pt>
                <c:pt idx="2565">
                  <c:v>1.219462501019055E-2</c:v>
                </c:pt>
                <c:pt idx="2566">
                  <c:v>1.4254189409623126E-2</c:v>
                </c:pt>
                <c:pt idx="2567">
                  <c:v>1.4185885591307939E-2</c:v>
                </c:pt>
                <c:pt idx="2568">
                  <c:v>1.0353776738340323E-2</c:v>
                </c:pt>
                <c:pt idx="2569">
                  <c:v>1.1168363758089384E-2</c:v>
                </c:pt>
                <c:pt idx="2570">
                  <c:v>1.2087866891489293E-2</c:v>
                </c:pt>
                <c:pt idx="2571">
                  <c:v>8.5591605570638427E-3</c:v>
                </c:pt>
                <c:pt idx="2572">
                  <c:v>1.2457210058340794E-2</c:v>
                </c:pt>
                <c:pt idx="2573">
                  <c:v>9.580544448100678E-3</c:v>
                </c:pt>
                <c:pt idx="2574">
                  <c:v>1.2608256135780121E-2</c:v>
                </c:pt>
                <c:pt idx="2575">
                  <c:v>8.886583057980936E-3</c:v>
                </c:pt>
                <c:pt idx="2576">
                  <c:v>1.0891793289973683E-2</c:v>
                </c:pt>
                <c:pt idx="2577">
                  <c:v>1.0551633309496192E-2</c:v>
                </c:pt>
                <c:pt idx="2578">
                  <c:v>1.1763744961513778E-2</c:v>
                </c:pt>
                <c:pt idx="2579">
                  <c:v>1.5169991232092752E-2</c:v>
                </c:pt>
                <c:pt idx="2580">
                  <c:v>1.1858614937876582E-2</c:v>
                </c:pt>
                <c:pt idx="2581">
                  <c:v>7.7171872983492658E-3</c:v>
                </c:pt>
                <c:pt idx="2582">
                  <c:v>1.2003293796085732E-2</c:v>
                </c:pt>
                <c:pt idx="2583">
                  <c:v>1.042913436204162E-2</c:v>
                </c:pt>
                <c:pt idx="2584">
                  <c:v>1.1295877897164954E-2</c:v>
                </c:pt>
                <c:pt idx="2585">
                  <c:v>1.1708898223449279E-2</c:v>
                </c:pt>
                <c:pt idx="2586">
                  <c:v>9.53422651911804E-3</c:v>
                </c:pt>
                <c:pt idx="2587">
                  <c:v>1.2799120357895656E-2</c:v>
                </c:pt>
                <c:pt idx="2588">
                  <c:v>1.2178071325375942E-2</c:v>
                </c:pt>
                <c:pt idx="2589">
                  <c:v>1.5526894426138034E-2</c:v>
                </c:pt>
                <c:pt idx="2590">
                  <c:v>1.0504940342363267E-2</c:v>
                </c:pt>
                <c:pt idx="2591">
                  <c:v>1.0655630037115714E-2</c:v>
                </c:pt>
                <c:pt idx="2592">
                  <c:v>1.3768029650642583E-2</c:v>
                </c:pt>
                <c:pt idx="2593">
                  <c:v>1.4418798619753929E-2</c:v>
                </c:pt>
                <c:pt idx="2594">
                  <c:v>1.6257285216138954E-2</c:v>
                </c:pt>
                <c:pt idx="2595">
                  <c:v>1.5304025610508127E-2</c:v>
                </c:pt>
                <c:pt idx="2596">
                  <c:v>1.2659212788862319E-2</c:v>
                </c:pt>
                <c:pt idx="2597">
                  <c:v>1.2075744969424068E-2</c:v>
                </c:pt>
                <c:pt idx="2598">
                  <c:v>1.450848050618328E-2</c:v>
                </c:pt>
                <c:pt idx="2599">
                  <c:v>1.0597868680605449E-2</c:v>
                </c:pt>
                <c:pt idx="2600">
                  <c:v>1.1057944826217086E-2</c:v>
                </c:pt>
                <c:pt idx="2601">
                  <c:v>8.7649027095683466E-3</c:v>
                </c:pt>
                <c:pt idx="2602">
                  <c:v>1.0360001692308319E-2</c:v>
                </c:pt>
                <c:pt idx="2603">
                  <c:v>1.5897734270329832E-2</c:v>
                </c:pt>
                <c:pt idx="2604">
                  <c:v>1.045624988068051E-2</c:v>
                </c:pt>
                <c:pt idx="2605">
                  <c:v>1.1370420403209403E-2</c:v>
                </c:pt>
                <c:pt idx="2606">
                  <c:v>1.6366854595487337E-2</c:v>
                </c:pt>
                <c:pt idx="2607">
                  <c:v>9.8059159910479574E-3</c:v>
                </c:pt>
                <c:pt idx="2608">
                  <c:v>1.1513987700779866E-2</c:v>
                </c:pt>
                <c:pt idx="2609">
                  <c:v>1.1854436215422337E-2</c:v>
                </c:pt>
                <c:pt idx="2610">
                  <c:v>1.0897431591507628E-2</c:v>
                </c:pt>
                <c:pt idx="2611">
                  <c:v>1.4746385996378493E-2</c:v>
                </c:pt>
                <c:pt idx="2612">
                  <c:v>1.0223956257975075E-2</c:v>
                </c:pt>
                <c:pt idx="2613">
                  <c:v>1.4685485990543113E-2</c:v>
                </c:pt>
                <c:pt idx="2614">
                  <c:v>1.0314750392861812E-2</c:v>
                </c:pt>
                <c:pt idx="2615">
                  <c:v>8.2753819263881312E-3</c:v>
                </c:pt>
                <c:pt idx="2616">
                  <c:v>8.9470342276952667E-3</c:v>
                </c:pt>
                <c:pt idx="2617">
                  <c:v>1.3535187775219079E-2</c:v>
                </c:pt>
                <c:pt idx="2618">
                  <c:v>1.0608342291452891E-2</c:v>
                </c:pt>
                <c:pt idx="2619">
                  <c:v>1.0080681447728805E-2</c:v>
                </c:pt>
                <c:pt idx="2620">
                  <c:v>1.6795079746703027E-2</c:v>
                </c:pt>
                <c:pt idx="2621">
                  <c:v>1.2439310414709465E-2</c:v>
                </c:pt>
                <c:pt idx="2622">
                  <c:v>1.1324780261880678E-2</c:v>
                </c:pt>
                <c:pt idx="2623">
                  <c:v>9.7757969520159659E-3</c:v>
                </c:pt>
                <c:pt idx="2624">
                  <c:v>9.3193202366570211E-3</c:v>
                </c:pt>
                <c:pt idx="2625">
                  <c:v>1.1174895969609452E-2</c:v>
                </c:pt>
                <c:pt idx="2626">
                  <c:v>1.2986122563468344E-2</c:v>
                </c:pt>
                <c:pt idx="2627">
                  <c:v>1.6173722046835374E-2</c:v>
                </c:pt>
                <c:pt idx="2628">
                  <c:v>1.1704668107300548E-2</c:v>
                </c:pt>
                <c:pt idx="2629">
                  <c:v>7.1343863072077397E-3</c:v>
                </c:pt>
                <c:pt idx="2630">
                  <c:v>1.1931593228271265E-2</c:v>
                </c:pt>
                <c:pt idx="2631">
                  <c:v>1.4546866517304035E-2</c:v>
                </c:pt>
                <c:pt idx="2632">
                  <c:v>8.492636406162787E-3</c:v>
                </c:pt>
                <c:pt idx="2633">
                  <c:v>1.0440945563850097E-2</c:v>
                </c:pt>
                <c:pt idx="2634">
                  <c:v>1.0725041665363611E-2</c:v>
                </c:pt>
                <c:pt idx="2635">
                  <c:v>1.3392860162863887E-2</c:v>
                </c:pt>
                <c:pt idx="2636">
                  <c:v>1.2507511717755231E-2</c:v>
                </c:pt>
                <c:pt idx="2637">
                  <c:v>1.2575945926933702E-2</c:v>
                </c:pt>
                <c:pt idx="2638">
                  <c:v>8.6643572797079522E-3</c:v>
                </c:pt>
                <c:pt idx="2639">
                  <c:v>1.2180645976965847E-2</c:v>
                </c:pt>
                <c:pt idx="2640">
                  <c:v>1.0352991054858554E-2</c:v>
                </c:pt>
                <c:pt idx="2641">
                  <c:v>1.2688453557133406E-2</c:v>
                </c:pt>
                <c:pt idx="2642">
                  <c:v>1.1996235937045456E-2</c:v>
                </c:pt>
                <c:pt idx="2643">
                  <c:v>1.355964929645791E-2</c:v>
                </c:pt>
                <c:pt idx="2644">
                  <c:v>1.0972292177195812E-2</c:v>
                </c:pt>
                <c:pt idx="2645">
                  <c:v>9.2784576439694511E-3</c:v>
                </c:pt>
                <c:pt idx="2646">
                  <c:v>1.2050783911765055E-2</c:v>
                </c:pt>
                <c:pt idx="2647">
                  <c:v>1.494711256640106E-2</c:v>
                </c:pt>
                <c:pt idx="2648">
                  <c:v>9.2223226681323149E-3</c:v>
                </c:pt>
                <c:pt idx="2649">
                  <c:v>1.179272153742288E-2</c:v>
                </c:pt>
                <c:pt idx="2650">
                  <c:v>1.1579173312960949E-2</c:v>
                </c:pt>
                <c:pt idx="2651">
                  <c:v>1.1778761943583379E-2</c:v>
                </c:pt>
                <c:pt idx="2652">
                  <c:v>1.6240491283447345E-2</c:v>
                </c:pt>
                <c:pt idx="2653">
                  <c:v>1.4391376062900942E-2</c:v>
                </c:pt>
                <c:pt idx="2654">
                  <c:v>1.4109556702791896E-2</c:v>
                </c:pt>
                <c:pt idx="2655">
                  <c:v>8.4888212807069721E-3</c:v>
                </c:pt>
                <c:pt idx="2656">
                  <c:v>1.025013226707404E-2</c:v>
                </c:pt>
                <c:pt idx="2657">
                  <c:v>1.0024530661356626E-2</c:v>
                </c:pt>
                <c:pt idx="2658">
                  <c:v>1.2668435070759555E-2</c:v>
                </c:pt>
                <c:pt idx="2659">
                  <c:v>1.0909812632630507E-2</c:v>
                </c:pt>
                <c:pt idx="2660">
                  <c:v>8.6972871385462037E-3</c:v>
                </c:pt>
                <c:pt idx="2661">
                  <c:v>1.1733004783700093E-2</c:v>
                </c:pt>
                <c:pt idx="2662">
                  <c:v>1.0773876573028369E-2</c:v>
                </c:pt>
                <c:pt idx="2663">
                  <c:v>1.2808388096873426E-2</c:v>
                </c:pt>
                <c:pt idx="2664">
                  <c:v>1.5209416536224842E-2</c:v>
                </c:pt>
                <c:pt idx="2665">
                  <c:v>1.2137679565442209E-2</c:v>
                </c:pt>
                <c:pt idx="2666">
                  <c:v>1.2752207881451809E-2</c:v>
                </c:pt>
                <c:pt idx="2667">
                  <c:v>1.1738305368468082E-2</c:v>
                </c:pt>
                <c:pt idx="2668">
                  <c:v>1.2410402106310791E-2</c:v>
                </c:pt>
                <c:pt idx="2669">
                  <c:v>1.065322112302206E-2</c:v>
                </c:pt>
                <c:pt idx="2670">
                  <c:v>1.0535495491379101E-2</c:v>
                </c:pt>
                <c:pt idx="2671">
                  <c:v>8.4248430079658498E-3</c:v>
                </c:pt>
                <c:pt idx="2672">
                  <c:v>1.4138788185180457E-2</c:v>
                </c:pt>
                <c:pt idx="2673">
                  <c:v>1.0924163792162944E-2</c:v>
                </c:pt>
                <c:pt idx="2674">
                  <c:v>8.8942976102568318E-3</c:v>
                </c:pt>
                <c:pt idx="2675">
                  <c:v>1.5638828826993592E-2</c:v>
                </c:pt>
                <c:pt idx="2676">
                  <c:v>1.0870589412301544E-2</c:v>
                </c:pt>
                <c:pt idx="2677">
                  <c:v>1.2617919319493505E-2</c:v>
                </c:pt>
                <c:pt idx="2678">
                  <c:v>9.4551861895956317E-3</c:v>
                </c:pt>
                <c:pt idx="2679">
                  <c:v>1.2089696122423957E-2</c:v>
                </c:pt>
                <c:pt idx="2680">
                  <c:v>8.1095261019379934E-3</c:v>
                </c:pt>
                <c:pt idx="2681">
                  <c:v>1.0751561638423094E-2</c:v>
                </c:pt>
                <c:pt idx="2682">
                  <c:v>9.2870010664130136E-3</c:v>
                </c:pt>
                <c:pt idx="2683">
                  <c:v>1.0601137593875582E-2</c:v>
                </c:pt>
                <c:pt idx="2684">
                  <c:v>9.0716291340061286E-3</c:v>
                </c:pt>
                <c:pt idx="2685">
                  <c:v>1.423585079288622E-2</c:v>
                </c:pt>
                <c:pt idx="2686">
                  <c:v>1.1970627491535093E-2</c:v>
                </c:pt>
                <c:pt idx="2687">
                  <c:v>7.5828100934957603E-3</c:v>
                </c:pt>
                <c:pt idx="2688">
                  <c:v>1.1989771361523955E-2</c:v>
                </c:pt>
                <c:pt idx="2689">
                  <c:v>8.3998125319063258E-3</c:v>
                </c:pt>
                <c:pt idx="2690">
                  <c:v>1.496030186563236E-2</c:v>
                </c:pt>
                <c:pt idx="2691">
                  <c:v>9.5606124358124985E-3</c:v>
                </c:pt>
                <c:pt idx="2692">
                  <c:v>1.0928603134252583E-2</c:v>
                </c:pt>
                <c:pt idx="2693">
                  <c:v>1.0946248066745273E-2</c:v>
                </c:pt>
                <c:pt idx="2694">
                  <c:v>1.4068648862004287E-2</c:v>
                </c:pt>
                <c:pt idx="2695">
                  <c:v>1.1917755698940307E-2</c:v>
                </c:pt>
                <c:pt idx="2696">
                  <c:v>1.4170069135981088E-2</c:v>
                </c:pt>
                <c:pt idx="2697">
                  <c:v>1.2078821277283132E-2</c:v>
                </c:pt>
                <c:pt idx="2698">
                  <c:v>1.0731819039809293E-2</c:v>
                </c:pt>
                <c:pt idx="2699">
                  <c:v>8.8717302310237518E-3</c:v>
                </c:pt>
                <c:pt idx="2700">
                  <c:v>1.1715639215622711E-2</c:v>
                </c:pt>
                <c:pt idx="2701">
                  <c:v>1.3497867646262204E-2</c:v>
                </c:pt>
                <c:pt idx="2702">
                  <c:v>1.2302523873979032E-2</c:v>
                </c:pt>
                <c:pt idx="2703">
                  <c:v>1.1558997223726627E-2</c:v>
                </c:pt>
                <c:pt idx="2704">
                  <c:v>1.2318264733592E-2</c:v>
                </c:pt>
                <c:pt idx="2705">
                  <c:v>1.0816125211389927E-2</c:v>
                </c:pt>
                <c:pt idx="2706">
                  <c:v>1.0378151168358295E-2</c:v>
                </c:pt>
                <c:pt idx="2707">
                  <c:v>1.1189661291189571E-2</c:v>
                </c:pt>
                <c:pt idx="2708">
                  <c:v>1.2525727998437824E-2</c:v>
                </c:pt>
                <c:pt idx="2709">
                  <c:v>1.1958651047310772E-2</c:v>
                </c:pt>
                <c:pt idx="2710">
                  <c:v>1.1811083426001626E-2</c:v>
                </c:pt>
                <c:pt idx="2711">
                  <c:v>1.1390773673266104E-2</c:v>
                </c:pt>
                <c:pt idx="2712">
                  <c:v>8.8525154927665013E-3</c:v>
                </c:pt>
                <c:pt idx="2713">
                  <c:v>1.1244516093563939E-2</c:v>
                </c:pt>
                <c:pt idx="2714">
                  <c:v>1.4822279267464397E-2</c:v>
                </c:pt>
                <c:pt idx="2715">
                  <c:v>1.2832522258904036E-2</c:v>
                </c:pt>
                <c:pt idx="2716">
                  <c:v>9.1015186975433801E-3</c:v>
                </c:pt>
                <c:pt idx="2717">
                  <c:v>1.1216034616351326E-2</c:v>
                </c:pt>
                <c:pt idx="2718">
                  <c:v>1.0765347353805641E-2</c:v>
                </c:pt>
                <c:pt idx="2719">
                  <c:v>1.5142312204173704E-2</c:v>
                </c:pt>
                <c:pt idx="2720">
                  <c:v>9.1316798904116109E-3</c:v>
                </c:pt>
                <c:pt idx="2721">
                  <c:v>1.5040914987469586E-2</c:v>
                </c:pt>
                <c:pt idx="2722">
                  <c:v>1.1225311057356812E-2</c:v>
                </c:pt>
                <c:pt idx="2723">
                  <c:v>9.5672514872985719E-3</c:v>
                </c:pt>
                <c:pt idx="2724">
                  <c:v>9.5777057664104791E-3</c:v>
                </c:pt>
                <c:pt idx="2725">
                  <c:v>1.1711404985684161E-2</c:v>
                </c:pt>
                <c:pt idx="2726">
                  <c:v>1.28511414439144E-2</c:v>
                </c:pt>
                <c:pt idx="2727">
                  <c:v>7.5515570775530338E-3</c:v>
                </c:pt>
                <c:pt idx="2728">
                  <c:v>9.1278405138208261E-3</c:v>
                </c:pt>
                <c:pt idx="2729">
                  <c:v>1.3544415943615001E-2</c:v>
                </c:pt>
                <c:pt idx="2730">
                  <c:v>1.3422969513000014E-2</c:v>
                </c:pt>
                <c:pt idx="2731">
                  <c:v>1.2118290800656751E-2</c:v>
                </c:pt>
                <c:pt idx="2732">
                  <c:v>1.2536149692486991E-2</c:v>
                </c:pt>
                <c:pt idx="2733">
                  <c:v>1.302527905822526E-2</c:v>
                </c:pt>
                <c:pt idx="2734">
                  <c:v>1.0924459226958706E-2</c:v>
                </c:pt>
                <c:pt idx="2735">
                  <c:v>1.1637403893768718E-2</c:v>
                </c:pt>
                <c:pt idx="2736">
                  <c:v>1.3262182345814109E-2</c:v>
                </c:pt>
                <c:pt idx="2737">
                  <c:v>1.4648959901758803E-2</c:v>
                </c:pt>
                <c:pt idx="2738">
                  <c:v>9.4828928803301106E-3</c:v>
                </c:pt>
                <c:pt idx="2739">
                  <c:v>1.0978314906195347E-2</c:v>
                </c:pt>
                <c:pt idx="2740">
                  <c:v>9.630325580627307E-3</c:v>
                </c:pt>
                <c:pt idx="2741">
                  <c:v>1.3347459555204305E-2</c:v>
                </c:pt>
                <c:pt idx="2742">
                  <c:v>1.1694593346889194E-2</c:v>
                </c:pt>
                <c:pt idx="2743">
                  <c:v>9.8169609519213399E-3</c:v>
                </c:pt>
                <c:pt idx="2744">
                  <c:v>1.328351598249787E-2</c:v>
                </c:pt>
                <c:pt idx="2745">
                  <c:v>8.3414622325666942E-3</c:v>
                </c:pt>
                <c:pt idx="2746">
                  <c:v>1.0109800258280364E-2</c:v>
                </c:pt>
                <c:pt idx="2747">
                  <c:v>1.0331957728573168E-2</c:v>
                </c:pt>
                <c:pt idx="2748">
                  <c:v>1.179604795659718E-2</c:v>
                </c:pt>
                <c:pt idx="2749">
                  <c:v>1.0297902256923522E-2</c:v>
                </c:pt>
                <c:pt idx="2750">
                  <c:v>9.2854385416749306E-3</c:v>
                </c:pt>
                <c:pt idx="2751">
                  <c:v>1.4389457162415626E-2</c:v>
                </c:pt>
                <c:pt idx="2752">
                  <c:v>1.3041304183677573E-2</c:v>
                </c:pt>
                <c:pt idx="2753">
                  <c:v>1.1708724435697541E-2</c:v>
                </c:pt>
                <c:pt idx="2754">
                  <c:v>1.4624264745996098E-2</c:v>
                </c:pt>
                <c:pt idx="2755">
                  <c:v>1.2716667020384823E-2</c:v>
                </c:pt>
                <c:pt idx="2756">
                  <c:v>9.3995948456580079E-3</c:v>
                </c:pt>
                <c:pt idx="2757">
                  <c:v>1.3316066180176611E-2</c:v>
                </c:pt>
                <c:pt idx="2758">
                  <c:v>1.0935401891843803E-2</c:v>
                </c:pt>
                <c:pt idx="2759">
                  <c:v>1.0749581463614521E-2</c:v>
                </c:pt>
                <c:pt idx="2760">
                  <c:v>1.4102521993380133E-2</c:v>
                </c:pt>
                <c:pt idx="2761">
                  <c:v>1.3617985161394763E-2</c:v>
                </c:pt>
                <c:pt idx="2762">
                  <c:v>1.3849857559090812E-2</c:v>
                </c:pt>
                <c:pt idx="2763">
                  <c:v>1.0765261562375108E-2</c:v>
                </c:pt>
                <c:pt idx="2764">
                  <c:v>1.2052709740130818E-2</c:v>
                </c:pt>
                <c:pt idx="2765">
                  <c:v>8.9507455391811975E-3</c:v>
                </c:pt>
                <c:pt idx="2766">
                  <c:v>1.2412726420561161E-2</c:v>
                </c:pt>
                <c:pt idx="2767">
                  <c:v>1.3414623155982226E-2</c:v>
                </c:pt>
                <c:pt idx="2768">
                  <c:v>1.31069973668028E-2</c:v>
                </c:pt>
                <c:pt idx="2769">
                  <c:v>1.0061141103594332E-2</c:v>
                </c:pt>
                <c:pt idx="2770">
                  <c:v>1.1848071994358585E-2</c:v>
                </c:pt>
                <c:pt idx="2771">
                  <c:v>1.3981408780809832E-2</c:v>
                </c:pt>
                <c:pt idx="2772">
                  <c:v>9.4540225387454574E-3</c:v>
                </c:pt>
                <c:pt idx="2773">
                  <c:v>1.035765339472731E-2</c:v>
                </c:pt>
                <c:pt idx="2774">
                  <c:v>1.2314208887627527E-2</c:v>
                </c:pt>
                <c:pt idx="2775">
                  <c:v>1.2640572832023286E-2</c:v>
                </c:pt>
                <c:pt idx="2776">
                  <c:v>8.2670662560862807E-3</c:v>
                </c:pt>
                <c:pt idx="2777">
                  <c:v>1.2306544758727353E-2</c:v>
                </c:pt>
                <c:pt idx="2778">
                  <c:v>1.0623713017710588E-2</c:v>
                </c:pt>
                <c:pt idx="2779">
                  <c:v>9.8282358914965409E-3</c:v>
                </c:pt>
                <c:pt idx="2780">
                  <c:v>1.4126690167684131E-2</c:v>
                </c:pt>
                <c:pt idx="2781">
                  <c:v>1.0851315447150782E-2</c:v>
                </c:pt>
                <c:pt idx="2782">
                  <c:v>1.0618327959165922E-2</c:v>
                </c:pt>
                <c:pt idx="2783">
                  <c:v>9.9235637958641938E-3</c:v>
                </c:pt>
                <c:pt idx="2784">
                  <c:v>9.3788980738180195E-3</c:v>
                </c:pt>
                <c:pt idx="2785">
                  <c:v>1.3309242961354096E-2</c:v>
                </c:pt>
                <c:pt idx="2786">
                  <c:v>7.5073996426228556E-3</c:v>
                </c:pt>
                <c:pt idx="2787">
                  <c:v>1.0561922195669064E-2</c:v>
                </c:pt>
                <c:pt idx="2788">
                  <c:v>9.8089466331229679E-3</c:v>
                </c:pt>
                <c:pt idx="2789">
                  <c:v>1.2136076476968535E-2</c:v>
                </c:pt>
                <c:pt idx="2790">
                  <c:v>1.3232422810991346E-2</c:v>
                </c:pt>
                <c:pt idx="2791">
                  <c:v>1.1390603475703474E-2</c:v>
                </c:pt>
                <c:pt idx="2792">
                  <c:v>1.624752489692308E-2</c:v>
                </c:pt>
                <c:pt idx="2793">
                  <c:v>9.8248129429038163E-3</c:v>
                </c:pt>
                <c:pt idx="2794">
                  <c:v>8.7786863630210463E-3</c:v>
                </c:pt>
                <c:pt idx="2795">
                  <c:v>1.3652234390713181E-2</c:v>
                </c:pt>
                <c:pt idx="2796">
                  <c:v>8.8693169129864247E-3</c:v>
                </c:pt>
                <c:pt idx="2797">
                  <c:v>1.3330639291464342E-2</c:v>
                </c:pt>
                <c:pt idx="2798">
                  <c:v>1.3377036669661274E-2</c:v>
                </c:pt>
                <c:pt idx="2799">
                  <c:v>1.1150055637708338E-2</c:v>
                </c:pt>
                <c:pt idx="2800">
                  <c:v>1.2493962947082689E-2</c:v>
                </c:pt>
                <c:pt idx="2801">
                  <c:v>1.1318600602398265E-2</c:v>
                </c:pt>
                <c:pt idx="2802">
                  <c:v>9.7906092529653141E-3</c:v>
                </c:pt>
                <c:pt idx="2803">
                  <c:v>1.0409240685246204E-2</c:v>
                </c:pt>
                <c:pt idx="2804">
                  <c:v>8.9830951232472128E-3</c:v>
                </c:pt>
                <c:pt idx="2805">
                  <c:v>1.0088000415797851E-2</c:v>
                </c:pt>
                <c:pt idx="2806">
                  <c:v>9.5367002304943358E-3</c:v>
                </c:pt>
                <c:pt idx="2807">
                  <c:v>8.5146096718939687E-3</c:v>
                </c:pt>
                <c:pt idx="2808">
                  <c:v>1.2150830983409452E-2</c:v>
                </c:pt>
                <c:pt idx="2809">
                  <c:v>8.2324224953066478E-3</c:v>
                </c:pt>
                <c:pt idx="2810">
                  <c:v>1.1725846698297654E-2</c:v>
                </c:pt>
                <c:pt idx="2811">
                  <c:v>1.2709704301480409E-2</c:v>
                </c:pt>
                <c:pt idx="2812">
                  <c:v>1.2948258872109332E-2</c:v>
                </c:pt>
                <c:pt idx="2813">
                  <c:v>1.3199448546767155E-2</c:v>
                </c:pt>
                <c:pt idx="2814">
                  <c:v>1.0459262381441459E-2</c:v>
                </c:pt>
                <c:pt idx="2815">
                  <c:v>1.1987111012673088E-2</c:v>
                </c:pt>
                <c:pt idx="2816">
                  <c:v>1.0004262573884292E-2</c:v>
                </c:pt>
                <c:pt idx="2817">
                  <c:v>9.1073073099058547E-3</c:v>
                </c:pt>
                <c:pt idx="2818">
                  <c:v>1.8846448644495611E-2</c:v>
                </c:pt>
                <c:pt idx="2819">
                  <c:v>1.4742807689150601E-2</c:v>
                </c:pt>
                <c:pt idx="2820">
                  <c:v>8.8579878475162285E-3</c:v>
                </c:pt>
                <c:pt idx="2821">
                  <c:v>1.4780259663647967E-2</c:v>
                </c:pt>
                <c:pt idx="2822">
                  <c:v>1.2650522720541445E-2</c:v>
                </c:pt>
                <c:pt idx="2823">
                  <c:v>1.2774900879457389E-2</c:v>
                </c:pt>
                <c:pt idx="2824">
                  <c:v>1.5977885860549917E-2</c:v>
                </c:pt>
                <c:pt idx="2825">
                  <c:v>1.2631547115041022E-2</c:v>
                </c:pt>
                <c:pt idx="2826">
                  <c:v>1.3349336442291995E-2</c:v>
                </c:pt>
                <c:pt idx="2827">
                  <c:v>1.027986836810546E-2</c:v>
                </c:pt>
                <c:pt idx="2828">
                  <c:v>1.0686029149925551E-2</c:v>
                </c:pt>
                <c:pt idx="2829">
                  <c:v>9.2620470744312206E-3</c:v>
                </c:pt>
                <c:pt idx="2830">
                  <c:v>8.1346904146195713E-3</c:v>
                </c:pt>
                <c:pt idx="2831">
                  <c:v>1.2436650493035427E-2</c:v>
                </c:pt>
                <c:pt idx="2832">
                  <c:v>1.3016691356527773E-2</c:v>
                </c:pt>
                <c:pt idx="2833">
                  <c:v>1.4939535647187007E-2</c:v>
                </c:pt>
                <c:pt idx="2834">
                  <c:v>8.6612796498091223E-3</c:v>
                </c:pt>
                <c:pt idx="2835">
                  <c:v>1.209130656444889E-2</c:v>
                </c:pt>
                <c:pt idx="2836">
                  <c:v>9.6458967793234124E-3</c:v>
                </c:pt>
                <c:pt idx="2837">
                  <c:v>1.4046576243160311E-2</c:v>
                </c:pt>
                <c:pt idx="2838">
                  <c:v>1.1069094617860167E-2</c:v>
                </c:pt>
                <c:pt idx="2839">
                  <c:v>8.415036353000194E-3</c:v>
                </c:pt>
                <c:pt idx="2840">
                  <c:v>1.2428333831487599E-2</c:v>
                </c:pt>
                <c:pt idx="2841">
                  <c:v>9.8133902059241804E-3</c:v>
                </c:pt>
                <c:pt idx="2842">
                  <c:v>1.492396877825948E-2</c:v>
                </c:pt>
                <c:pt idx="2843">
                  <c:v>9.2089105879685634E-3</c:v>
                </c:pt>
                <c:pt idx="2844">
                  <c:v>1.2586832423600697E-2</c:v>
                </c:pt>
                <c:pt idx="2845">
                  <c:v>1.35852118827125E-2</c:v>
                </c:pt>
                <c:pt idx="2846">
                  <c:v>1.3624659459243323E-2</c:v>
                </c:pt>
                <c:pt idx="2847">
                  <c:v>9.7493919267661548E-3</c:v>
                </c:pt>
                <c:pt idx="2848">
                  <c:v>1.0377508189943433E-2</c:v>
                </c:pt>
                <c:pt idx="2849">
                  <c:v>1.0129687879839243E-2</c:v>
                </c:pt>
                <c:pt idx="2850">
                  <c:v>1.0339535566273426E-2</c:v>
                </c:pt>
                <c:pt idx="2851">
                  <c:v>1.4798828686017935E-2</c:v>
                </c:pt>
                <c:pt idx="2852">
                  <c:v>8.2827566114624853E-3</c:v>
                </c:pt>
                <c:pt idx="2853">
                  <c:v>1.1024487762328823E-2</c:v>
                </c:pt>
                <c:pt idx="2854">
                  <c:v>1.2138081550596928E-2</c:v>
                </c:pt>
                <c:pt idx="2855">
                  <c:v>8.8413261054264471E-3</c:v>
                </c:pt>
                <c:pt idx="2856">
                  <c:v>1.2038965629410325E-2</c:v>
                </c:pt>
                <c:pt idx="2857">
                  <c:v>1.0507127160329409E-2</c:v>
                </c:pt>
                <c:pt idx="2858">
                  <c:v>1.399872253427948E-2</c:v>
                </c:pt>
                <c:pt idx="2859">
                  <c:v>1.2653456933886729E-2</c:v>
                </c:pt>
                <c:pt idx="2860">
                  <c:v>1.3492663463131533E-2</c:v>
                </c:pt>
                <c:pt idx="2861">
                  <c:v>1.4652419928985605E-2</c:v>
                </c:pt>
                <c:pt idx="2862">
                  <c:v>1.1077525241215396E-2</c:v>
                </c:pt>
                <c:pt idx="2863">
                  <c:v>1.1956293552576538E-2</c:v>
                </c:pt>
                <c:pt idx="2864">
                  <c:v>1.1516584209761571E-2</c:v>
                </c:pt>
                <c:pt idx="2865">
                  <c:v>9.0129528162165382E-3</c:v>
                </c:pt>
                <c:pt idx="2866">
                  <c:v>1.2505921267263099E-2</c:v>
                </c:pt>
                <c:pt idx="2867">
                  <c:v>1.2096888559605567E-2</c:v>
                </c:pt>
                <c:pt idx="2868">
                  <c:v>1.1374695969966788E-2</c:v>
                </c:pt>
                <c:pt idx="2869">
                  <c:v>1.2256179778999961E-2</c:v>
                </c:pt>
                <c:pt idx="2870">
                  <c:v>9.2723404214609118E-3</c:v>
                </c:pt>
                <c:pt idx="2871">
                  <c:v>1.2525548801789953E-2</c:v>
                </c:pt>
                <c:pt idx="2872">
                  <c:v>1.2054961115036577E-2</c:v>
                </c:pt>
                <c:pt idx="2873">
                  <c:v>1.076678473115677E-2</c:v>
                </c:pt>
                <c:pt idx="2874">
                  <c:v>1.1275363021787393E-2</c:v>
                </c:pt>
                <c:pt idx="2875">
                  <c:v>1.0650939975377796E-2</c:v>
                </c:pt>
                <c:pt idx="2876">
                  <c:v>1.4091321768284544E-2</c:v>
                </c:pt>
                <c:pt idx="2877">
                  <c:v>1.1960782075049586E-2</c:v>
                </c:pt>
                <c:pt idx="2878">
                  <c:v>1.0928113943948263E-2</c:v>
                </c:pt>
                <c:pt idx="2879">
                  <c:v>1.1877075479022923E-2</c:v>
                </c:pt>
                <c:pt idx="2880">
                  <c:v>1.0423134777533158E-2</c:v>
                </c:pt>
                <c:pt idx="2881">
                  <c:v>1.0244745755003247E-2</c:v>
                </c:pt>
                <c:pt idx="2882">
                  <c:v>1.3923892864127608E-2</c:v>
                </c:pt>
                <c:pt idx="2883">
                  <c:v>1.2281917444029835E-2</c:v>
                </c:pt>
                <c:pt idx="2884">
                  <c:v>1.2789540423248393E-2</c:v>
                </c:pt>
                <c:pt idx="2885">
                  <c:v>1.3806127760252637E-2</c:v>
                </c:pt>
                <c:pt idx="2886">
                  <c:v>1.3522438023759924E-2</c:v>
                </c:pt>
                <c:pt idx="2887">
                  <c:v>1.3435899016212588E-2</c:v>
                </c:pt>
                <c:pt idx="2888">
                  <c:v>1.1704237796550439E-2</c:v>
                </c:pt>
                <c:pt idx="2889">
                  <c:v>1.3256806016703234E-2</c:v>
                </c:pt>
                <c:pt idx="2890">
                  <c:v>9.6806872715853899E-3</c:v>
                </c:pt>
                <c:pt idx="2891">
                  <c:v>1.1065735916234202E-2</c:v>
                </c:pt>
                <c:pt idx="2892">
                  <c:v>1.5461768862674093E-2</c:v>
                </c:pt>
                <c:pt idx="2893">
                  <c:v>1.1219583399652804E-2</c:v>
                </c:pt>
                <c:pt idx="2894">
                  <c:v>1.0378139458413992E-2</c:v>
                </c:pt>
                <c:pt idx="2895">
                  <c:v>8.7929367424098327E-3</c:v>
                </c:pt>
                <c:pt idx="2896">
                  <c:v>1.1715264600593073E-2</c:v>
                </c:pt>
                <c:pt idx="2897">
                  <c:v>1.2202600712928644E-2</c:v>
                </c:pt>
                <c:pt idx="2898">
                  <c:v>1.1264096758230284E-2</c:v>
                </c:pt>
                <c:pt idx="2899">
                  <c:v>1.1091695102200871E-2</c:v>
                </c:pt>
                <c:pt idx="2900">
                  <c:v>1.1050752917176734E-2</c:v>
                </c:pt>
                <c:pt idx="2901">
                  <c:v>1.1580467220456367E-2</c:v>
                </c:pt>
                <c:pt idx="2902">
                  <c:v>1.3057831148561025E-2</c:v>
                </c:pt>
                <c:pt idx="2903">
                  <c:v>1.2090856860450949E-2</c:v>
                </c:pt>
                <c:pt idx="2904">
                  <c:v>1.1162913075300021E-2</c:v>
                </c:pt>
                <c:pt idx="2905">
                  <c:v>1.1417166566596542E-2</c:v>
                </c:pt>
                <c:pt idx="2906">
                  <c:v>1.0349514331488051E-2</c:v>
                </c:pt>
                <c:pt idx="2907">
                  <c:v>1.1617451197655303E-2</c:v>
                </c:pt>
                <c:pt idx="2908">
                  <c:v>1.3231520089144336E-2</c:v>
                </c:pt>
                <c:pt idx="2909">
                  <c:v>1.4649813427591824E-2</c:v>
                </c:pt>
                <c:pt idx="2910">
                  <c:v>1.5743140196936605E-2</c:v>
                </c:pt>
                <c:pt idx="2911">
                  <c:v>1.2337756874849155E-2</c:v>
                </c:pt>
                <c:pt idx="2912">
                  <c:v>1.033750355806334E-2</c:v>
                </c:pt>
                <c:pt idx="2913">
                  <c:v>1.0437603483789979E-2</c:v>
                </c:pt>
                <c:pt idx="2914">
                  <c:v>1.3013969396178058E-2</c:v>
                </c:pt>
                <c:pt idx="2915">
                  <c:v>1.0808139253989145E-2</c:v>
                </c:pt>
                <c:pt idx="2916">
                  <c:v>8.7192004279684019E-3</c:v>
                </c:pt>
                <c:pt idx="2917">
                  <c:v>1.0399118162090507E-2</c:v>
                </c:pt>
                <c:pt idx="2918">
                  <c:v>1.1675405718061034E-2</c:v>
                </c:pt>
                <c:pt idx="2919">
                  <c:v>9.7217646170979829E-3</c:v>
                </c:pt>
                <c:pt idx="2920">
                  <c:v>1.1977597300173283E-2</c:v>
                </c:pt>
                <c:pt idx="2921">
                  <c:v>1.4968648231269184E-2</c:v>
                </c:pt>
                <c:pt idx="2922">
                  <c:v>1.0165687850228337E-2</c:v>
                </c:pt>
                <c:pt idx="2923">
                  <c:v>1.43063437636359E-2</c:v>
                </c:pt>
                <c:pt idx="2924">
                  <c:v>8.2129293778620341E-3</c:v>
                </c:pt>
                <c:pt idx="2925">
                  <c:v>1.0534978155501069E-2</c:v>
                </c:pt>
                <c:pt idx="2926">
                  <c:v>1.0320746315243991E-2</c:v>
                </c:pt>
                <c:pt idx="2927">
                  <c:v>1.2150109898254647E-2</c:v>
                </c:pt>
                <c:pt idx="2928">
                  <c:v>1.3654754567593668E-2</c:v>
                </c:pt>
                <c:pt idx="2929">
                  <c:v>1.2287164243125598E-2</c:v>
                </c:pt>
                <c:pt idx="2930">
                  <c:v>1.0401350710966832E-2</c:v>
                </c:pt>
                <c:pt idx="2931">
                  <c:v>1.5185694237207302E-2</c:v>
                </c:pt>
                <c:pt idx="2932">
                  <c:v>9.3242982737867536E-3</c:v>
                </c:pt>
                <c:pt idx="2933">
                  <c:v>1.2647895834708581E-2</c:v>
                </c:pt>
                <c:pt idx="2934">
                  <c:v>9.7987830069758471E-3</c:v>
                </c:pt>
                <c:pt idx="2935">
                  <c:v>1.0193855372596648E-2</c:v>
                </c:pt>
                <c:pt idx="2936">
                  <c:v>1.2894302212746567E-2</c:v>
                </c:pt>
                <c:pt idx="2937">
                  <c:v>9.6870432983984841E-3</c:v>
                </c:pt>
                <c:pt idx="2938">
                  <c:v>1.684715694251411E-2</c:v>
                </c:pt>
                <c:pt idx="2939">
                  <c:v>1.1506882665030312E-2</c:v>
                </c:pt>
                <c:pt idx="2940">
                  <c:v>1.1119964899504807E-2</c:v>
                </c:pt>
                <c:pt idx="2941">
                  <c:v>1.2297835590589126E-2</c:v>
                </c:pt>
                <c:pt idx="2942">
                  <c:v>1.6317083629272391E-2</c:v>
                </c:pt>
                <c:pt idx="2943">
                  <c:v>1.3695696765984314E-2</c:v>
                </c:pt>
                <c:pt idx="2944">
                  <c:v>1.0460160118616236E-2</c:v>
                </c:pt>
                <c:pt idx="2945">
                  <c:v>1.2814932815827556E-2</c:v>
                </c:pt>
                <c:pt idx="2946">
                  <c:v>1.2631378805236338E-2</c:v>
                </c:pt>
                <c:pt idx="2947">
                  <c:v>8.7165864595068927E-3</c:v>
                </c:pt>
                <c:pt idx="2948">
                  <c:v>1.3935516268337252E-2</c:v>
                </c:pt>
                <c:pt idx="2949">
                  <c:v>1.1489097504082764E-2</c:v>
                </c:pt>
                <c:pt idx="2950">
                  <c:v>1.0295614617485571E-2</c:v>
                </c:pt>
                <c:pt idx="2951">
                  <c:v>1.3666247472708733E-2</c:v>
                </c:pt>
                <c:pt idx="2952">
                  <c:v>1.2647286133305149E-2</c:v>
                </c:pt>
                <c:pt idx="2953">
                  <c:v>1.1751729053482622E-2</c:v>
                </c:pt>
                <c:pt idx="2954">
                  <c:v>1.3252970995733622E-2</c:v>
                </c:pt>
                <c:pt idx="2955">
                  <c:v>1.1759026411264533E-2</c:v>
                </c:pt>
                <c:pt idx="2956">
                  <c:v>1.2183768313455169E-2</c:v>
                </c:pt>
                <c:pt idx="2957">
                  <c:v>1.1384185527731721E-2</c:v>
                </c:pt>
                <c:pt idx="2958">
                  <c:v>9.7147229112796579E-3</c:v>
                </c:pt>
                <c:pt idx="2959">
                  <c:v>1.2192175297555487E-2</c:v>
                </c:pt>
                <c:pt idx="2960">
                  <c:v>1.1694100522634513E-2</c:v>
                </c:pt>
                <c:pt idx="2961">
                  <c:v>1.4637252867947672E-2</c:v>
                </c:pt>
                <c:pt idx="2962">
                  <c:v>1.3641818222674322E-2</c:v>
                </c:pt>
                <c:pt idx="2963">
                  <c:v>1.0254580251872572E-2</c:v>
                </c:pt>
                <c:pt idx="2964">
                  <c:v>1.0436535467441097E-2</c:v>
                </c:pt>
                <c:pt idx="2965">
                  <c:v>9.2749126978200289E-3</c:v>
                </c:pt>
                <c:pt idx="2966">
                  <c:v>1.2996508876202963E-2</c:v>
                </c:pt>
                <c:pt idx="2967">
                  <c:v>9.6942754041032808E-3</c:v>
                </c:pt>
                <c:pt idx="2968">
                  <c:v>1.143579031807186E-2</c:v>
                </c:pt>
                <c:pt idx="2969">
                  <c:v>8.2476547752177269E-3</c:v>
                </c:pt>
                <c:pt idx="2970">
                  <c:v>1.2919615865176341E-2</c:v>
                </c:pt>
                <c:pt idx="2971">
                  <c:v>1.2314630348221065E-2</c:v>
                </c:pt>
                <c:pt idx="2972">
                  <c:v>9.8113623209837627E-3</c:v>
                </c:pt>
                <c:pt idx="2973">
                  <c:v>1.2584441880840982E-2</c:v>
                </c:pt>
                <c:pt idx="2974">
                  <c:v>9.2741521570274023E-3</c:v>
                </c:pt>
                <c:pt idx="2975">
                  <c:v>1.03065404231918E-2</c:v>
                </c:pt>
                <c:pt idx="2976">
                  <c:v>1.0518388076786189E-2</c:v>
                </c:pt>
                <c:pt idx="2977">
                  <c:v>1.3125642365274224E-2</c:v>
                </c:pt>
                <c:pt idx="2978">
                  <c:v>1.254701748026618E-2</c:v>
                </c:pt>
                <c:pt idx="2979">
                  <c:v>1.7014254705475802E-2</c:v>
                </c:pt>
                <c:pt idx="2980">
                  <c:v>1.3474596258439615E-2</c:v>
                </c:pt>
                <c:pt idx="2981">
                  <c:v>1.274986394238466E-2</c:v>
                </c:pt>
                <c:pt idx="2982">
                  <c:v>1.1988020059102182E-2</c:v>
                </c:pt>
                <c:pt idx="2983">
                  <c:v>1.1922111896070548E-2</c:v>
                </c:pt>
                <c:pt idx="2984">
                  <c:v>9.2319935183715514E-3</c:v>
                </c:pt>
                <c:pt idx="2985">
                  <c:v>1.3765302682618101E-2</c:v>
                </c:pt>
                <c:pt idx="2986">
                  <c:v>7.9065713256767107E-3</c:v>
                </c:pt>
                <c:pt idx="2987">
                  <c:v>1.189669433459691E-2</c:v>
                </c:pt>
                <c:pt idx="2988">
                  <c:v>1.0863664584261726E-2</c:v>
                </c:pt>
                <c:pt idx="2989">
                  <c:v>1.5945937011721634E-2</c:v>
                </c:pt>
                <c:pt idx="2990">
                  <c:v>1.4853291852562301E-2</c:v>
                </c:pt>
                <c:pt idx="2991">
                  <c:v>1.3682732090486904E-2</c:v>
                </c:pt>
                <c:pt idx="2992">
                  <c:v>1.5945646794995272E-2</c:v>
                </c:pt>
                <c:pt idx="2993">
                  <c:v>1.4275397047411773E-2</c:v>
                </c:pt>
                <c:pt idx="2994">
                  <c:v>1.1602089689672412E-2</c:v>
                </c:pt>
                <c:pt idx="2995">
                  <c:v>1.2382652020985247E-2</c:v>
                </c:pt>
                <c:pt idx="2996">
                  <c:v>9.2493717803392439E-3</c:v>
                </c:pt>
                <c:pt idx="2997">
                  <c:v>1.2292304974062869E-2</c:v>
                </c:pt>
                <c:pt idx="2998">
                  <c:v>1.4210344814605235E-2</c:v>
                </c:pt>
                <c:pt idx="2999">
                  <c:v>9.810216662249148E-3</c:v>
                </c:pt>
                <c:pt idx="3000">
                  <c:v>1.1945521544579226E-2</c:v>
                </c:pt>
                <c:pt idx="3001">
                  <c:v>1.2932120986114275E-2</c:v>
                </c:pt>
                <c:pt idx="3002">
                  <c:v>1.2668142898711489E-2</c:v>
                </c:pt>
                <c:pt idx="3003">
                  <c:v>1.0354974185929303E-2</c:v>
                </c:pt>
                <c:pt idx="3004">
                  <c:v>9.8427700475960406E-3</c:v>
                </c:pt>
                <c:pt idx="3005">
                  <c:v>9.3096663981432799E-3</c:v>
                </c:pt>
                <c:pt idx="3006">
                  <c:v>1.0810616676516204E-2</c:v>
                </c:pt>
                <c:pt idx="3007">
                  <c:v>9.6088139954558522E-3</c:v>
                </c:pt>
                <c:pt idx="3008">
                  <c:v>1.5332916789942499E-2</c:v>
                </c:pt>
                <c:pt idx="3009">
                  <c:v>1.3482631964689752E-2</c:v>
                </c:pt>
                <c:pt idx="3010">
                  <c:v>1.0034629650370306E-2</c:v>
                </c:pt>
                <c:pt idx="3011">
                  <c:v>1.1928592988217974E-2</c:v>
                </c:pt>
                <c:pt idx="3012">
                  <c:v>1.347444853780148E-2</c:v>
                </c:pt>
                <c:pt idx="3013">
                  <c:v>8.0428142773120749E-3</c:v>
                </c:pt>
                <c:pt idx="3014">
                  <c:v>8.949697216321658E-3</c:v>
                </c:pt>
                <c:pt idx="3015">
                  <c:v>1.0280567338480694E-2</c:v>
                </c:pt>
                <c:pt idx="3016">
                  <c:v>1.0594099628030295E-2</c:v>
                </c:pt>
                <c:pt idx="3017">
                  <c:v>7.8565819826429337E-3</c:v>
                </c:pt>
                <c:pt idx="3018">
                  <c:v>1.2333776818761534E-2</c:v>
                </c:pt>
                <c:pt idx="3019">
                  <c:v>1.2411154653332679E-2</c:v>
                </c:pt>
                <c:pt idx="3020">
                  <c:v>1.0417717198127443E-2</c:v>
                </c:pt>
                <c:pt idx="3021">
                  <c:v>1.1107672179444979E-2</c:v>
                </c:pt>
                <c:pt idx="3022">
                  <c:v>1.0886837972750666E-2</c:v>
                </c:pt>
                <c:pt idx="3023">
                  <c:v>1.4214516572990618E-2</c:v>
                </c:pt>
                <c:pt idx="3024">
                  <c:v>1.3955480557359356E-2</c:v>
                </c:pt>
                <c:pt idx="3025">
                  <c:v>1.4567155854378972E-2</c:v>
                </c:pt>
                <c:pt idx="3026">
                  <c:v>1.2788805375329872E-2</c:v>
                </c:pt>
                <c:pt idx="3027">
                  <c:v>1.2565580946963299E-2</c:v>
                </c:pt>
                <c:pt idx="3028">
                  <c:v>1.2349599426714725E-2</c:v>
                </c:pt>
                <c:pt idx="3029">
                  <c:v>1.1883701788717973E-2</c:v>
                </c:pt>
                <c:pt idx="3030">
                  <c:v>1.2393503816213484E-2</c:v>
                </c:pt>
                <c:pt idx="3031">
                  <c:v>1.2803337959278082E-2</c:v>
                </c:pt>
                <c:pt idx="3032">
                  <c:v>8.5467313867600078E-3</c:v>
                </c:pt>
                <c:pt idx="3033">
                  <c:v>1.4547576453532891E-2</c:v>
                </c:pt>
                <c:pt idx="3034">
                  <c:v>9.3652565251878123E-3</c:v>
                </c:pt>
                <c:pt idx="3035">
                  <c:v>1.1208982439398373E-2</c:v>
                </c:pt>
                <c:pt idx="3036">
                  <c:v>1.3293539266970227E-2</c:v>
                </c:pt>
                <c:pt idx="3037">
                  <c:v>1.0611719885575376E-2</c:v>
                </c:pt>
                <c:pt idx="3038">
                  <c:v>1.1901316287826234E-2</c:v>
                </c:pt>
                <c:pt idx="3039">
                  <c:v>8.8828101264400525E-3</c:v>
                </c:pt>
                <c:pt idx="3040">
                  <c:v>1.0250718967566045E-2</c:v>
                </c:pt>
                <c:pt idx="3041">
                  <c:v>1.2322987287123532E-2</c:v>
                </c:pt>
                <c:pt idx="3042">
                  <c:v>1.1985205400795821E-2</c:v>
                </c:pt>
                <c:pt idx="3043">
                  <c:v>7.461947986106051E-3</c:v>
                </c:pt>
                <c:pt idx="3044">
                  <c:v>1.3471342112739843E-2</c:v>
                </c:pt>
                <c:pt idx="3045">
                  <c:v>1.228960853646892E-2</c:v>
                </c:pt>
                <c:pt idx="3046">
                  <c:v>1.2213541571977283E-2</c:v>
                </c:pt>
                <c:pt idx="3047">
                  <c:v>1.122604442592133E-2</c:v>
                </c:pt>
                <c:pt idx="3048">
                  <c:v>9.3564099157860021E-3</c:v>
                </c:pt>
                <c:pt idx="3049">
                  <c:v>1.2922453500696995E-2</c:v>
                </c:pt>
                <c:pt idx="3050">
                  <c:v>1.1204338334382278E-2</c:v>
                </c:pt>
                <c:pt idx="3051">
                  <c:v>1.2632659292957829E-2</c:v>
                </c:pt>
                <c:pt idx="3052">
                  <c:v>1.2193540057608383E-2</c:v>
                </c:pt>
                <c:pt idx="3053">
                  <c:v>9.939796751399466E-3</c:v>
                </c:pt>
                <c:pt idx="3054">
                  <c:v>1.5826023045463818E-2</c:v>
                </c:pt>
                <c:pt idx="3055">
                  <c:v>1.0987616585886298E-2</c:v>
                </c:pt>
                <c:pt idx="3056">
                  <c:v>1.72355133728932E-2</c:v>
                </c:pt>
                <c:pt idx="3057">
                  <c:v>9.4990735091977779E-3</c:v>
                </c:pt>
                <c:pt idx="3058">
                  <c:v>1.0525968533644748E-2</c:v>
                </c:pt>
                <c:pt idx="3059">
                  <c:v>1.1776175100247387E-2</c:v>
                </c:pt>
                <c:pt idx="3060">
                  <c:v>1.3366055893229574E-2</c:v>
                </c:pt>
                <c:pt idx="3061">
                  <c:v>1.1050815445536145E-2</c:v>
                </c:pt>
                <c:pt idx="3062">
                  <c:v>1.5742608147654488E-2</c:v>
                </c:pt>
                <c:pt idx="3063">
                  <c:v>1.0773789659560842E-2</c:v>
                </c:pt>
                <c:pt idx="3064">
                  <c:v>1.1155936775035657E-2</c:v>
                </c:pt>
                <c:pt idx="3065">
                  <c:v>1.254206841956213E-2</c:v>
                </c:pt>
                <c:pt idx="3066">
                  <c:v>1.1029392857630837E-2</c:v>
                </c:pt>
                <c:pt idx="3067">
                  <c:v>1.3581140571190807E-2</c:v>
                </c:pt>
                <c:pt idx="3068">
                  <c:v>1.0652378477492076E-2</c:v>
                </c:pt>
                <c:pt idx="3069">
                  <c:v>1.0193512671444794E-2</c:v>
                </c:pt>
                <c:pt idx="3070">
                  <c:v>1.5684127497827313E-2</c:v>
                </c:pt>
                <c:pt idx="3071">
                  <c:v>1.3489014388825911E-2</c:v>
                </c:pt>
                <c:pt idx="3072">
                  <c:v>1.2099495170646171E-2</c:v>
                </c:pt>
                <c:pt idx="3073">
                  <c:v>1.2398126371987053E-2</c:v>
                </c:pt>
                <c:pt idx="3074">
                  <c:v>1.1506953493048189E-2</c:v>
                </c:pt>
                <c:pt idx="3075">
                  <c:v>1.472940763642802E-2</c:v>
                </c:pt>
                <c:pt idx="3076">
                  <c:v>1.127508085901203E-2</c:v>
                </c:pt>
                <c:pt idx="3077">
                  <c:v>1.111837912730379E-2</c:v>
                </c:pt>
                <c:pt idx="3078">
                  <c:v>9.0952681586969827E-3</c:v>
                </c:pt>
                <c:pt idx="3079">
                  <c:v>1.1849364902859223E-2</c:v>
                </c:pt>
                <c:pt idx="3080">
                  <c:v>1.0616227596691898E-2</c:v>
                </c:pt>
                <c:pt idx="3081">
                  <c:v>1.2759793411990818E-2</c:v>
                </c:pt>
                <c:pt idx="3082">
                  <c:v>1.0575980143360621E-2</c:v>
                </c:pt>
                <c:pt idx="3083">
                  <c:v>1.1283810084260321E-2</c:v>
                </c:pt>
                <c:pt idx="3084">
                  <c:v>8.8500818554594022E-3</c:v>
                </c:pt>
                <c:pt idx="3085">
                  <c:v>1.1063711242917494E-2</c:v>
                </c:pt>
                <c:pt idx="3086">
                  <c:v>1.0444755569027294E-2</c:v>
                </c:pt>
                <c:pt idx="3087">
                  <c:v>1.2177250618325733E-2</c:v>
                </c:pt>
                <c:pt idx="3088">
                  <c:v>1.2256593092708146E-2</c:v>
                </c:pt>
                <c:pt idx="3089">
                  <c:v>7.9762051737621992E-3</c:v>
                </c:pt>
                <c:pt idx="3090">
                  <c:v>1.0578279949686084E-2</c:v>
                </c:pt>
                <c:pt idx="3091">
                  <c:v>8.6972570299961131E-3</c:v>
                </c:pt>
                <c:pt idx="3092">
                  <c:v>1.1179608774186221E-2</c:v>
                </c:pt>
                <c:pt idx="3093">
                  <c:v>1.2475084297328918E-2</c:v>
                </c:pt>
                <c:pt idx="3094">
                  <c:v>1.0231407596891577E-2</c:v>
                </c:pt>
                <c:pt idx="3095">
                  <c:v>1.7344573424754012E-2</c:v>
                </c:pt>
                <c:pt idx="3096">
                  <c:v>1.3326304109050644E-2</c:v>
                </c:pt>
                <c:pt idx="3097">
                  <c:v>8.8257198256162846E-3</c:v>
                </c:pt>
                <c:pt idx="3098">
                  <c:v>1.2408957003359452E-2</c:v>
                </c:pt>
                <c:pt idx="3099">
                  <c:v>1.1292118263677703E-2</c:v>
                </c:pt>
                <c:pt idx="3100">
                  <c:v>9.596031368176508E-3</c:v>
                </c:pt>
                <c:pt idx="3101">
                  <c:v>1.0649085659959501E-2</c:v>
                </c:pt>
                <c:pt idx="3102">
                  <c:v>1.3512987519180765E-2</c:v>
                </c:pt>
                <c:pt idx="3103">
                  <c:v>9.8414889881543281E-3</c:v>
                </c:pt>
                <c:pt idx="3104">
                  <c:v>1.0400634991298431E-2</c:v>
                </c:pt>
                <c:pt idx="3105">
                  <c:v>1.3025233762689234E-2</c:v>
                </c:pt>
                <c:pt idx="3106">
                  <c:v>1.3250445053120766E-2</c:v>
                </c:pt>
                <c:pt idx="3107">
                  <c:v>1.5019262805026336E-2</c:v>
                </c:pt>
                <c:pt idx="3108">
                  <c:v>8.6727178587749417E-3</c:v>
                </c:pt>
                <c:pt idx="3109">
                  <c:v>1.1014009231675326E-2</c:v>
                </c:pt>
                <c:pt idx="3110">
                  <c:v>1.2795443290641965E-2</c:v>
                </c:pt>
                <c:pt idx="3111">
                  <c:v>1.6543718836828251E-2</c:v>
                </c:pt>
                <c:pt idx="3112">
                  <c:v>1.2839945280727195E-2</c:v>
                </c:pt>
                <c:pt idx="3113">
                  <c:v>1.2013763243569222E-2</c:v>
                </c:pt>
                <c:pt idx="3114">
                  <c:v>1.233646514148831E-2</c:v>
                </c:pt>
                <c:pt idx="3115">
                  <c:v>9.8311490280672108E-3</c:v>
                </c:pt>
                <c:pt idx="3116">
                  <c:v>7.8067353395373223E-3</c:v>
                </c:pt>
                <c:pt idx="3117">
                  <c:v>1.3057580675887104E-2</c:v>
                </c:pt>
                <c:pt idx="3118">
                  <c:v>1.6013917400815592E-2</c:v>
                </c:pt>
                <c:pt idx="3119">
                  <c:v>9.6203881387967247E-3</c:v>
                </c:pt>
                <c:pt idx="3120">
                  <c:v>1.1822310335408526E-2</c:v>
                </c:pt>
                <c:pt idx="3121">
                  <c:v>1.3207691871953364E-2</c:v>
                </c:pt>
                <c:pt idx="3122">
                  <c:v>1.3474129085036113E-2</c:v>
                </c:pt>
                <c:pt idx="3123">
                  <c:v>9.5277136642760163E-3</c:v>
                </c:pt>
                <c:pt idx="3124">
                  <c:v>1.1989334157623724E-2</c:v>
                </c:pt>
                <c:pt idx="3125">
                  <c:v>1.1035252787556522E-2</c:v>
                </c:pt>
                <c:pt idx="3126">
                  <c:v>1.0516819419793353E-2</c:v>
                </c:pt>
                <c:pt idx="3127">
                  <c:v>1.5874631997082736E-2</c:v>
                </c:pt>
                <c:pt idx="3128">
                  <c:v>1.3127546017018961E-2</c:v>
                </c:pt>
                <c:pt idx="3129">
                  <c:v>1.2027726229417541E-2</c:v>
                </c:pt>
                <c:pt idx="3130">
                  <c:v>1.0869245283970817E-2</c:v>
                </c:pt>
                <c:pt idx="3131">
                  <c:v>9.9668055683511565E-3</c:v>
                </c:pt>
                <c:pt idx="3132">
                  <c:v>1.2206945359070853E-2</c:v>
                </c:pt>
                <c:pt idx="3133">
                  <c:v>1.387201343586777E-2</c:v>
                </c:pt>
                <c:pt idx="3134">
                  <c:v>1.2380988861757126E-2</c:v>
                </c:pt>
                <c:pt idx="3135">
                  <c:v>7.9617569107821584E-3</c:v>
                </c:pt>
                <c:pt idx="3136">
                  <c:v>1.3283846274747255E-2</c:v>
                </c:pt>
                <c:pt idx="3137">
                  <c:v>1.1819908976867209E-2</c:v>
                </c:pt>
                <c:pt idx="3138">
                  <c:v>1.5685673919206659E-2</c:v>
                </c:pt>
                <c:pt idx="3139">
                  <c:v>1.4957114690510457E-2</c:v>
                </c:pt>
                <c:pt idx="3140">
                  <c:v>1.2537685341796442E-2</c:v>
                </c:pt>
                <c:pt idx="3141">
                  <c:v>1.1891784875331508E-2</c:v>
                </c:pt>
                <c:pt idx="3142">
                  <c:v>1.3136630623472319E-2</c:v>
                </c:pt>
                <c:pt idx="3143">
                  <c:v>1.3367629331865591E-2</c:v>
                </c:pt>
                <c:pt idx="3144">
                  <c:v>1.2884584274396255E-2</c:v>
                </c:pt>
                <c:pt idx="3145">
                  <c:v>1.2269621620863343E-2</c:v>
                </c:pt>
                <c:pt idx="3146">
                  <c:v>1.1339936012967053E-2</c:v>
                </c:pt>
                <c:pt idx="3147">
                  <c:v>8.5491780898330726E-3</c:v>
                </c:pt>
                <c:pt idx="3148">
                  <c:v>1.471260659685285E-2</c:v>
                </c:pt>
                <c:pt idx="3149">
                  <c:v>1.5916226049202897E-2</c:v>
                </c:pt>
                <c:pt idx="3150">
                  <c:v>1.3112016938833017E-2</c:v>
                </c:pt>
                <c:pt idx="3151">
                  <c:v>1.5718098993119389E-2</c:v>
                </c:pt>
                <c:pt idx="3152">
                  <c:v>1.0254685098803158E-2</c:v>
                </c:pt>
                <c:pt idx="3153">
                  <c:v>1.2340763282120431E-2</c:v>
                </c:pt>
                <c:pt idx="3154">
                  <c:v>1.0352633276131524E-2</c:v>
                </c:pt>
                <c:pt idx="3155">
                  <c:v>9.676629234424609E-3</c:v>
                </c:pt>
                <c:pt idx="3156">
                  <c:v>1.0578599520508098E-2</c:v>
                </c:pt>
                <c:pt idx="3157">
                  <c:v>1.6152850210040457E-2</c:v>
                </c:pt>
                <c:pt idx="3158">
                  <c:v>1.013474449600745E-2</c:v>
                </c:pt>
                <c:pt idx="3159">
                  <c:v>1.1200623352959372E-2</c:v>
                </c:pt>
                <c:pt idx="3160">
                  <c:v>1.345736742255477E-2</c:v>
                </c:pt>
                <c:pt idx="3161">
                  <c:v>1.1671862150341602E-2</c:v>
                </c:pt>
                <c:pt idx="3162">
                  <c:v>1.034784383044771E-2</c:v>
                </c:pt>
                <c:pt idx="3163">
                  <c:v>1.3161295607339139E-2</c:v>
                </c:pt>
                <c:pt idx="3164">
                  <c:v>1.226359493942044E-2</c:v>
                </c:pt>
                <c:pt idx="3165">
                  <c:v>1.3256670819282603E-2</c:v>
                </c:pt>
                <c:pt idx="3166">
                  <c:v>1.1986730939593064E-2</c:v>
                </c:pt>
                <c:pt idx="3167">
                  <c:v>1.1160097277973144E-2</c:v>
                </c:pt>
                <c:pt idx="3168">
                  <c:v>1.3805665222736355E-2</c:v>
                </c:pt>
                <c:pt idx="3169">
                  <c:v>1.007272938681558E-2</c:v>
                </c:pt>
                <c:pt idx="3170">
                  <c:v>1.0899390309923608E-2</c:v>
                </c:pt>
                <c:pt idx="3171">
                  <c:v>1.2623542043115743E-2</c:v>
                </c:pt>
                <c:pt idx="3172">
                  <c:v>1.1497711396757645E-2</c:v>
                </c:pt>
                <c:pt idx="3173">
                  <c:v>1.145602419366471E-2</c:v>
                </c:pt>
                <c:pt idx="3174">
                  <c:v>1.0723044921415899E-2</c:v>
                </c:pt>
                <c:pt idx="3175">
                  <c:v>1.4687320513111932E-2</c:v>
                </c:pt>
                <c:pt idx="3176">
                  <c:v>1.3477599256382707E-2</c:v>
                </c:pt>
                <c:pt idx="3177">
                  <c:v>1.2893203820242182E-2</c:v>
                </c:pt>
                <c:pt idx="3178">
                  <c:v>1.4522608035334096E-2</c:v>
                </c:pt>
                <c:pt idx="3179">
                  <c:v>1.1613745937112408E-2</c:v>
                </c:pt>
                <c:pt idx="3180">
                  <c:v>1.2572869669558416E-2</c:v>
                </c:pt>
                <c:pt idx="3181">
                  <c:v>1.4661503312802504E-2</c:v>
                </c:pt>
                <c:pt idx="3182">
                  <c:v>1.0639865014200873E-2</c:v>
                </c:pt>
                <c:pt idx="3183">
                  <c:v>1.2003418566220499E-2</c:v>
                </c:pt>
                <c:pt idx="3184">
                  <c:v>1.14510918716363E-2</c:v>
                </c:pt>
                <c:pt idx="3185">
                  <c:v>1.0253860955564919E-2</c:v>
                </c:pt>
                <c:pt idx="3186">
                  <c:v>8.9156311390017548E-3</c:v>
                </c:pt>
                <c:pt idx="3187">
                  <c:v>1.310971539561712E-2</c:v>
                </c:pt>
                <c:pt idx="3188">
                  <c:v>1.1465088767465574E-2</c:v>
                </c:pt>
                <c:pt idx="3189">
                  <c:v>1.1317721173089802E-2</c:v>
                </c:pt>
                <c:pt idx="3190">
                  <c:v>1.3220784197117875E-2</c:v>
                </c:pt>
                <c:pt idx="3191">
                  <c:v>1.1755107765444367E-2</c:v>
                </c:pt>
                <c:pt idx="3192">
                  <c:v>1.4059529067254032E-2</c:v>
                </c:pt>
                <c:pt idx="3193">
                  <c:v>1.4578237003087764E-2</c:v>
                </c:pt>
                <c:pt idx="3194">
                  <c:v>1.1166367171080278E-2</c:v>
                </c:pt>
                <c:pt idx="3195">
                  <c:v>1.1889241766735349E-2</c:v>
                </c:pt>
                <c:pt idx="3196">
                  <c:v>1.075340747539431E-2</c:v>
                </c:pt>
                <c:pt idx="3197">
                  <c:v>8.9430269773096011E-3</c:v>
                </c:pt>
                <c:pt idx="3198">
                  <c:v>1.3706908062542399E-2</c:v>
                </c:pt>
                <c:pt idx="3199">
                  <c:v>1.0506760310900289E-2</c:v>
                </c:pt>
                <c:pt idx="3200">
                  <c:v>1.4918137649609781E-2</c:v>
                </c:pt>
                <c:pt idx="3201">
                  <c:v>1.2803037391493985E-2</c:v>
                </c:pt>
                <c:pt idx="3202">
                  <c:v>1.0921724407638828E-2</c:v>
                </c:pt>
                <c:pt idx="3203">
                  <c:v>1.2408566112118807E-2</c:v>
                </c:pt>
                <c:pt idx="3204">
                  <c:v>7.780060203272327E-3</c:v>
                </c:pt>
                <c:pt idx="3205">
                  <c:v>1.2536150291922038E-2</c:v>
                </c:pt>
                <c:pt idx="3206">
                  <c:v>7.8166514859556377E-3</c:v>
                </c:pt>
                <c:pt idx="3207">
                  <c:v>1.1025069069803894E-2</c:v>
                </c:pt>
                <c:pt idx="3208">
                  <c:v>1.2423838580415885E-2</c:v>
                </c:pt>
                <c:pt idx="3209">
                  <c:v>1.196399490454398E-2</c:v>
                </c:pt>
                <c:pt idx="3210">
                  <c:v>1.3867974780010435E-2</c:v>
                </c:pt>
                <c:pt idx="3211">
                  <c:v>8.8069336820742611E-3</c:v>
                </c:pt>
                <c:pt idx="3212">
                  <c:v>1.0657829354350399E-2</c:v>
                </c:pt>
                <c:pt idx="3213">
                  <c:v>1.11609110679281E-2</c:v>
                </c:pt>
                <c:pt idx="3214">
                  <c:v>1.5083331646878044E-2</c:v>
                </c:pt>
                <c:pt idx="3215">
                  <c:v>8.7285744741194392E-3</c:v>
                </c:pt>
                <c:pt idx="3216">
                  <c:v>9.2957916319439515E-3</c:v>
                </c:pt>
                <c:pt idx="3217">
                  <c:v>1.0969874183860725E-2</c:v>
                </c:pt>
                <c:pt idx="3218">
                  <c:v>1.1701445741866601E-2</c:v>
                </c:pt>
                <c:pt idx="3219">
                  <c:v>1.5102826690968121E-2</c:v>
                </c:pt>
                <c:pt idx="3220">
                  <c:v>8.2714069914351252E-3</c:v>
                </c:pt>
                <c:pt idx="3221">
                  <c:v>1.2057297765386337E-2</c:v>
                </c:pt>
                <c:pt idx="3222">
                  <c:v>1.1502291542652764E-2</c:v>
                </c:pt>
                <c:pt idx="3223">
                  <c:v>9.8645267066841576E-3</c:v>
                </c:pt>
                <c:pt idx="3224">
                  <c:v>1.2100342464894172E-2</c:v>
                </c:pt>
                <c:pt idx="3225">
                  <c:v>7.5859438596742133E-3</c:v>
                </c:pt>
                <c:pt idx="3226">
                  <c:v>1.1055780505738416E-2</c:v>
                </c:pt>
                <c:pt idx="3227">
                  <c:v>1.3639658917581622E-2</c:v>
                </c:pt>
                <c:pt idx="3228">
                  <c:v>1.2930244776159085E-2</c:v>
                </c:pt>
                <c:pt idx="3229">
                  <c:v>1.3654252821487585E-2</c:v>
                </c:pt>
                <c:pt idx="3230">
                  <c:v>1.3775340056497472E-2</c:v>
                </c:pt>
                <c:pt idx="3231">
                  <c:v>1.1805730182516147E-2</c:v>
                </c:pt>
                <c:pt idx="3232">
                  <c:v>1.8277157768032182E-2</c:v>
                </c:pt>
                <c:pt idx="3233">
                  <c:v>1.1449969500312468E-2</c:v>
                </c:pt>
                <c:pt idx="3234">
                  <c:v>9.7815244858880986E-3</c:v>
                </c:pt>
                <c:pt idx="3235">
                  <c:v>9.7051114039408068E-3</c:v>
                </c:pt>
                <c:pt idx="3236">
                  <c:v>1.5283896870189675E-2</c:v>
                </c:pt>
                <c:pt idx="3237">
                  <c:v>1.0583117855646352E-2</c:v>
                </c:pt>
                <c:pt idx="3238">
                  <c:v>1.1905309656892116E-2</c:v>
                </c:pt>
                <c:pt idx="3239">
                  <c:v>1.2026929926662969E-2</c:v>
                </c:pt>
                <c:pt idx="3240">
                  <c:v>1.3034912119822993E-2</c:v>
                </c:pt>
                <c:pt idx="3241">
                  <c:v>9.854917442883894E-3</c:v>
                </c:pt>
                <c:pt idx="3242">
                  <c:v>1.2768620469521189E-2</c:v>
                </c:pt>
                <c:pt idx="3243">
                  <c:v>9.9368086633143376E-3</c:v>
                </c:pt>
                <c:pt idx="3244">
                  <c:v>1.5188979975052162E-2</c:v>
                </c:pt>
                <c:pt idx="3245">
                  <c:v>1.2517601479257958E-2</c:v>
                </c:pt>
                <c:pt idx="3246">
                  <c:v>1.0243864740136695E-2</c:v>
                </c:pt>
                <c:pt idx="3247">
                  <c:v>8.5855496849170099E-3</c:v>
                </c:pt>
                <c:pt idx="3248">
                  <c:v>1.2365470023506037E-2</c:v>
                </c:pt>
                <c:pt idx="3249">
                  <c:v>1.2662029968886157E-2</c:v>
                </c:pt>
                <c:pt idx="3250">
                  <c:v>1.4126855729183473E-2</c:v>
                </c:pt>
                <c:pt idx="3251">
                  <c:v>8.04386336103881E-3</c:v>
                </c:pt>
                <c:pt idx="3252">
                  <c:v>7.7718038292518589E-3</c:v>
                </c:pt>
                <c:pt idx="3253">
                  <c:v>8.4089580741325536E-3</c:v>
                </c:pt>
                <c:pt idx="3254">
                  <c:v>1.0870725906467309E-2</c:v>
                </c:pt>
                <c:pt idx="3255">
                  <c:v>1.2024703877058049E-2</c:v>
                </c:pt>
                <c:pt idx="3256">
                  <c:v>1.2775519010122473E-2</c:v>
                </c:pt>
                <c:pt idx="3257">
                  <c:v>1.1752790059155879E-2</c:v>
                </c:pt>
                <c:pt idx="3258">
                  <c:v>1.0577362210228191E-2</c:v>
                </c:pt>
                <c:pt idx="3259">
                  <c:v>1.1505767844291677E-2</c:v>
                </c:pt>
                <c:pt idx="3260">
                  <c:v>1.4795939282765099E-2</c:v>
                </c:pt>
                <c:pt idx="3261">
                  <c:v>9.2167545325960182E-3</c:v>
                </c:pt>
                <c:pt idx="3262">
                  <c:v>9.7930981130755421E-3</c:v>
                </c:pt>
                <c:pt idx="3263">
                  <c:v>1.2227888463501795E-2</c:v>
                </c:pt>
                <c:pt idx="3264">
                  <c:v>1.1213098266037072E-2</c:v>
                </c:pt>
                <c:pt idx="3265">
                  <c:v>1.4377890105260107E-2</c:v>
                </c:pt>
                <c:pt idx="3266">
                  <c:v>1.2220924290040557E-2</c:v>
                </c:pt>
                <c:pt idx="3267">
                  <c:v>1.3234960054423138E-2</c:v>
                </c:pt>
                <c:pt idx="3268">
                  <c:v>8.8680880625672254E-3</c:v>
                </c:pt>
                <c:pt idx="3269">
                  <c:v>9.8723023492425892E-3</c:v>
                </c:pt>
                <c:pt idx="3270">
                  <c:v>1.2119248716795927E-2</c:v>
                </c:pt>
                <c:pt idx="3271">
                  <c:v>1.0853093918242745E-2</c:v>
                </c:pt>
                <c:pt idx="3272">
                  <c:v>1.0931913145932112E-2</c:v>
                </c:pt>
                <c:pt idx="3273">
                  <c:v>9.503702102296608E-3</c:v>
                </c:pt>
                <c:pt idx="3274">
                  <c:v>1.542879293139825E-2</c:v>
                </c:pt>
                <c:pt idx="3275">
                  <c:v>1.3496128862226038E-2</c:v>
                </c:pt>
                <c:pt idx="3276">
                  <c:v>1.2423923370211002E-2</c:v>
                </c:pt>
                <c:pt idx="3277">
                  <c:v>9.8363839615352167E-3</c:v>
                </c:pt>
                <c:pt idx="3278">
                  <c:v>1.1273227163833797E-2</c:v>
                </c:pt>
                <c:pt idx="3279">
                  <c:v>9.9024122278442272E-3</c:v>
                </c:pt>
                <c:pt idx="3280">
                  <c:v>1.5303696265205564E-2</c:v>
                </c:pt>
                <c:pt idx="3281">
                  <c:v>1.166306378785489E-2</c:v>
                </c:pt>
                <c:pt idx="3282">
                  <c:v>1.2432569612701908E-2</c:v>
                </c:pt>
                <c:pt idx="3283">
                  <c:v>1.3526421469563989E-2</c:v>
                </c:pt>
                <c:pt idx="3284">
                  <c:v>1.3493255420082466E-2</c:v>
                </c:pt>
                <c:pt idx="3285">
                  <c:v>1.7390957223739411E-2</c:v>
                </c:pt>
                <c:pt idx="3286">
                  <c:v>1.5084749251204012E-2</c:v>
                </c:pt>
                <c:pt idx="3287">
                  <c:v>1.4499981837737373E-2</c:v>
                </c:pt>
                <c:pt idx="3288">
                  <c:v>1.7662566409664422E-2</c:v>
                </c:pt>
                <c:pt idx="3289">
                  <c:v>1.5339092194032568E-2</c:v>
                </c:pt>
                <c:pt idx="3290">
                  <c:v>1.2110994151936103E-2</c:v>
                </c:pt>
                <c:pt idx="3291">
                  <c:v>9.842104885416177E-3</c:v>
                </c:pt>
                <c:pt idx="3292">
                  <c:v>8.9682700904666884E-3</c:v>
                </c:pt>
                <c:pt idx="3293">
                  <c:v>1.4275653950734331E-2</c:v>
                </c:pt>
                <c:pt idx="3294">
                  <c:v>1.414056681042857E-2</c:v>
                </c:pt>
                <c:pt idx="3295">
                  <c:v>1.3357520813881004E-2</c:v>
                </c:pt>
                <c:pt idx="3296">
                  <c:v>1.1760404303435952E-2</c:v>
                </c:pt>
                <c:pt idx="3297">
                  <c:v>1.1836514338312143E-2</c:v>
                </c:pt>
                <c:pt idx="3298">
                  <c:v>1.3754682688387431E-2</c:v>
                </c:pt>
                <c:pt idx="3299">
                  <c:v>1.0950809313572727E-2</c:v>
                </c:pt>
                <c:pt idx="3300">
                  <c:v>9.2490317845297758E-3</c:v>
                </c:pt>
                <c:pt idx="3301">
                  <c:v>1.2798346202857814E-2</c:v>
                </c:pt>
                <c:pt idx="3302">
                  <c:v>1.4068833163158984E-2</c:v>
                </c:pt>
                <c:pt idx="3303">
                  <c:v>1.130737382300637E-2</c:v>
                </c:pt>
                <c:pt idx="3304">
                  <c:v>1.0915671481433867E-2</c:v>
                </c:pt>
                <c:pt idx="3305">
                  <c:v>1.4364164792755197E-2</c:v>
                </c:pt>
                <c:pt idx="3306">
                  <c:v>1.1767971294074442E-2</c:v>
                </c:pt>
                <c:pt idx="3307">
                  <c:v>1.163558976342092E-2</c:v>
                </c:pt>
                <c:pt idx="3308">
                  <c:v>1.2286000775048853E-2</c:v>
                </c:pt>
                <c:pt idx="3309">
                  <c:v>8.5411789801037256E-3</c:v>
                </c:pt>
                <c:pt idx="3310">
                  <c:v>1.2555265845815095E-2</c:v>
                </c:pt>
                <c:pt idx="3311">
                  <c:v>1.1635023322328849E-2</c:v>
                </c:pt>
                <c:pt idx="3312">
                  <c:v>1.2074450387216088E-2</c:v>
                </c:pt>
                <c:pt idx="3313">
                  <c:v>8.1047858929613557E-3</c:v>
                </c:pt>
                <c:pt idx="3314">
                  <c:v>1.1679425847536345E-2</c:v>
                </c:pt>
                <c:pt idx="3315">
                  <c:v>1.4143973475015262E-2</c:v>
                </c:pt>
                <c:pt idx="3316">
                  <c:v>1.4146274833594059E-2</c:v>
                </c:pt>
                <c:pt idx="3317">
                  <c:v>1.1787512285868856E-2</c:v>
                </c:pt>
                <c:pt idx="3318">
                  <c:v>1.089726651501052E-2</c:v>
                </c:pt>
                <c:pt idx="3319">
                  <c:v>1.3353236155386115E-2</c:v>
                </c:pt>
                <c:pt idx="3320">
                  <c:v>1.4405843959242324E-2</c:v>
                </c:pt>
                <c:pt idx="3321">
                  <c:v>9.1862665187844809E-3</c:v>
                </c:pt>
                <c:pt idx="3322">
                  <c:v>1.0229126361481829E-2</c:v>
                </c:pt>
                <c:pt idx="3323">
                  <c:v>1.4201443634494564E-2</c:v>
                </c:pt>
                <c:pt idx="3324">
                  <c:v>1.1851311495346241E-2</c:v>
                </c:pt>
                <c:pt idx="3325">
                  <c:v>1.4788315823409868E-2</c:v>
                </c:pt>
                <c:pt idx="3326">
                  <c:v>1.5093427112807027E-2</c:v>
                </c:pt>
                <c:pt idx="3327">
                  <c:v>1.068292864888252E-2</c:v>
                </c:pt>
                <c:pt idx="3328">
                  <c:v>1.1226456298457199E-2</c:v>
                </c:pt>
                <c:pt idx="3329">
                  <c:v>1.219157570536041E-2</c:v>
                </c:pt>
                <c:pt idx="3330">
                  <c:v>1.0092237366801746E-2</c:v>
                </c:pt>
                <c:pt idx="3331">
                  <c:v>9.5118530626610714E-3</c:v>
                </c:pt>
                <c:pt idx="3332">
                  <c:v>9.8273893726156039E-3</c:v>
                </c:pt>
                <c:pt idx="3333">
                  <c:v>1.0762267223367502E-2</c:v>
                </c:pt>
                <c:pt idx="3334">
                  <c:v>1.047413794645316E-2</c:v>
                </c:pt>
                <c:pt idx="3335">
                  <c:v>1.2737394554346269E-2</c:v>
                </c:pt>
                <c:pt idx="3336">
                  <c:v>8.6528250055476555E-3</c:v>
                </c:pt>
                <c:pt idx="3337">
                  <c:v>1.410118045959597E-2</c:v>
                </c:pt>
                <c:pt idx="3338">
                  <c:v>1.09137967853096E-2</c:v>
                </c:pt>
                <c:pt idx="3339">
                  <c:v>1.9142886003417164E-2</c:v>
                </c:pt>
                <c:pt idx="3340">
                  <c:v>1.2565729316929022E-2</c:v>
                </c:pt>
                <c:pt idx="3341">
                  <c:v>1.5865424195264145E-2</c:v>
                </c:pt>
                <c:pt idx="3342">
                  <c:v>1.0789368686610165E-2</c:v>
                </c:pt>
                <c:pt idx="3343">
                  <c:v>1.057677244180172E-2</c:v>
                </c:pt>
                <c:pt idx="3344">
                  <c:v>9.398543818868425E-3</c:v>
                </c:pt>
                <c:pt idx="3345">
                  <c:v>1.005407169049451E-2</c:v>
                </c:pt>
                <c:pt idx="3346">
                  <c:v>1.1830440472507021E-2</c:v>
                </c:pt>
                <c:pt idx="3347">
                  <c:v>1.5674952403966526E-2</c:v>
                </c:pt>
                <c:pt idx="3348">
                  <c:v>1.2603279643614811E-2</c:v>
                </c:pt>
                <c:pt idx="3349">
                  <c:v>1.4329898753995315E-2</c:v>
                </c:pt>
                <c:pt idx="3350">
                  <c:v>1.0957924678079663E-2</c:v>
                </c:pt>
                <c:pt idx="3351">
                  <c:v>1.3068034357549827E-2</c:v>
                </c:pt>
                <c:pt idx="3352">
                  <c:v>1.0865176810654733E-2</c:v>
                </c:pt>
                <c:pt idx="3353">
                  <c:v>1.1494394302476802E-2</c:v>
                </c:pt>
                <c:pt idx="3354">
                  <c:v>1.4288732833775476E-2</c:v>
                </c:pt>
                <c:pt idx="3355">
                  <c:v>1.5189444904771006E-2</c:v>
                </c:pt>
                <c:pt idx="3356">
                  <c:v>1.0804918854445083E-2</c:v>
                </c:pt>
                <c:pt idx="3357">
                  <c:v>1.199104634576237E-2</c:v>
                </c:pt>
                <c:pt idx="3358">
                  <c:v>1.5551506245977224E-2</c:v>
                </c:pt>
                <c:pt idx="3359">
                  <c:v>1.8051530768503715E-2</c:v>
                </c:pt>
                <c:pt idx="3360">
                  <c:v>1.2805673947007474E-2</c:v>
                </c:pt>
                <c:pt idx="3361">
                  <c:v>1.1054744144605349E-2</c:v>
                </c:pt>
                <c:pt idx="3362">
                  <c:v>8.9596262806201799E-3</c:v>
                </c:pt>
                <c:pt idx="3363">
                  <c:v>1.3545697970285518E-2</c:v>
                </c:pt>
                <c:pt idx="3364">
                  <c:v>1.1781847723353086E-2</c:v>
                </c:pt>
                <c:pt idx="3365">
                  <c:v>9.8811780757212947E-3</c:v>
                </c:pt>
                <c:pt idx="3366">
                  <c:v>8.9496615674416087E-3</c:v>
                </c:pt>
                <c:pt idx="3367">
                  <c:v>1.0838259143106743E-2</c:v>
                </c:pt>
                <c:pt idx="3368">
                  <c:v>1.420233053073274E-2</c:v>
                </c:pt>
                <c:pt idx="3369">
                  <c:v>7.5635524662175085E-3</c:v>
                </c:pt>
                <c:pt idx="3370">
                  <c:v>1.5330746651407125E-2</c:v>
                </c:pt>
                <c:pt idx="3371">
                  <c:v>1.1877720010826221E-2</c:v>
                </c:pt>
                <c:pt idx="3372">
                  <c:v>1.5236203302018643E-2</c:v>
                </c:pt>
                <c:pt idx="3373">
                  <c:v>1.1715536074685321E-2</c:v>
                </c:pt>
                <c:pt idx="3374">
                  <c:v>1.2917191340148711E-2</c:v>
                </c:pt>
                <c:pt idx="3375">
                  <c:v>1.0638046016173032E-2</c:v>
                </c:pt>
                <c:pt idx="3376">
                  <c:v>1.1469011728971742E-2</c:v>
                </c:pt>
                <c:pt idx="3377">
                  <c:v>1.1490819953370243E-2</c:v>
                </c:pt>
                <c:pt idx="3378">
                  <c:v>1.1538741734334629E-2</c:v>
                </c:pt>
                <c:pt idx="3379">
                  <c:v>1.1492649249200609E-2</c:v>
                </c:pt>
                <c:pt idx="3380">
                  <c:v>1.1530685507497338E-2</c:v>
                </c:pt>
                <c:pt idx="3381">
                  <c:v>1.3156128323915382E-2</c:v>
                </c:pt>
                <c:pt idx="3382">
                  <c:v>1.0488646447583815E-2</c:v>
                </c:pt>
                <c:pt idx="3383">
                  <c:v>1.076766035476708E-2</c:v>
                </c:pt>
                <c:pt idx="3384">
                  <c:v>7.568235353615795E-3</c:v>
                </c:pt>
                <c:pt idx="3385">
                  <c:v>1.0923093998098538E-2</c:v>
                </c:pt>
                <c:pt idx="3386">
                  <c:v>1.2863045897723002E-2</c:v>
                </c:pt>
                <c:pt idx="3387">
                  <c:v>1.2200624438612247E-2</c:v>
                </c:pt>
                <c:pt idx="3388">
                  <c:v>1.3794807937083159E-2</c:v>
                </c:pt>
                <c:pt idx="3389">
                  <c:v>1.0314272583425998E-2</c:v>
                </c:pt>
                <c:pt idx="3390">
                  <c:v>1.0176036705204663E-2</c:v>
                </c:pt>
                <c:pt idx="3391">
                  <c:v>1.1001359569690713E-2</c:v>
                </c:pt>
                <c:pt idx="3392">
                  <c:v>1.0277768281700187E-2</c:v>
                </c:pt>
                <c:pt idx="3393">
                  <c:v>8.1021429103322051E-3</c:v>
                </c:pt>
                <c:pt idx="3394">
                  <c:v>1.3388903239496236E-2</c:v>
                </c:pt>
                <c:pt idx="3395">
                  <c:v>1.4122150184714945E-2</c:v>
                </c:pt>
                <c:pt idx="3396">
                  <c:v>1.3945022475084461E-2</c:v>
                </c:pt>
                <c:pt idx="3397">
                  <c:v>1.0056114246086104E-2</c:v>
                </c:pt>
                <c:pt idx="3398">
                  <c:v>1.0217618911894783E-2</c:v>
                </c:pt>
                <c:pt idx="3399">
                  <c:v>1.023514225963619E-2</c:v>
                </c:pt>
                <c:pt idx="3400">
                  <c:v>9.655946171853896E-3</c:v>
                </c:pt>
                <c:pt idx="3401">
                  <c:v>2.0535935388704674E-2</c:v>
                </c:pt>
                <c:pt idx="3402">
                  <c:v>1.0543614005099993E-2</c:v>
                </c:pt>
                <c:pt idx="3403">
                  <c:v>1.1560828635483467E-2</c:v>
                </c:pt>
                <c:pt idx="3404">
                  <c:v>1.1529550011239943E-2</c:v>
                </c:pt>
                <c:pt idx="3405">
                  <c:v>1.1266593635411893E-2</c:v>
                </c:pt>
                <c:pt idx="3406">
                  <c:v>1.2039875239032811E-2</c:v>
                </c:pt>
                <c:pt idx="3407">
                  <c:v>1.4307836411603287E-2</c:v>
                </c:pt>
                <c:pt idx="3408">
                  <c:v>1.2525252732689179E-2</c:v>
                </c:pt>
                <c:pt idx="3409">
                  <c:v>1.1401590030705757E-2</c:v>
                </c:pt>
                <c:pt idx="3410">
                  <c:v>1.2446225431698779E-2</c:v>
                </c:pt>
                <c:pt idx="3411">
                  <c:v>1.1665354982761285E-2</c:v>
                </c:pt>
                <c:pt idx="3412">
                  <c:v>1.2584120268841729E-2</c:v>
                </c:pt>
                <c:pt idx="3413">
                  <c:v>1.4506890515807247E-2</c:v>
                </c:pt>
                <c:pt idx="3414">
                  <c:v>1.2736416620174482E-2</c:v>
                </c:pt>
                <c:pt idx="3415">
                  <c:v>1.3902174262244299E-2</c:v>
                </c:pt>
                <c:pt idx="3416">
                  <c:v>9.3783876691184934E-3</c:v>
                </c:pt>
                <c:pt idx="3417">
                  <c:v>1.244731361945417E-2</c:v>
                </c:pt>
                <c:pt idx="3418">
                  <c:v>1.1046016985010475E-2</c:v>
                </c:pt>
                <c:pt idx="3419">
                  <c:v>1.3704183609529977E-2</c:v>
                </c:pt>
                <c:pt idx="3420">
                  <c:v>1.3173235230571855E-2</c:v>
                </c:pt>
                <c:pt idx="3421">
                  <c:v>1.207488067757404E-2</c:v>
                </c:pt>
                <c:pt idx="3422">
                  <c:v>1.4126812788590785E-2</c:v>
                </c:pt>
                <c:pt idx="3423">
                  <c:v>1.0596177080357004E-2</c:v>
                </c:pt>
                <c:pt idx="3424">
                  <c:v>1.6706154866815426E-2</c:v>
                </c:pt>
                <c:pt idx="3425">
                  <c:v>1.7487344687419522E-2</c:v>
                </c:pt>
                <c:pt idx="3426">
                  <c:v>1.3740106267755637E-2</c:v>
                </c:pt>
                <c:pt idx="3427">
                  <c:v>9.7966274159226579E-3</c:v>
                </c:pt>
                <c:pt idx="3428">
                  <c:v>1.3964814379181319E-2</c:v>
                </c:pt>
                <c:pt idx="3429">
                  <c:v>1.0182120254629877E-2</c:v>
                </c:pt>
                <c:pt idx="3430">
                  <c:v>1.3579606116767099E-2</c:v>
                </c:pt>
                <c:pt idx="3431">
                  <c:v>1.4038259309663686E-2</c:v>
                </c:pt>
                <c:pt idx="3432">
                  <c:v>1.1948673075864209E-2</c:v>
                </c:pt>
                <c:pt idx="3433">
                  <c:v>9.6647963839641086E-3</c:v>
                </c:pt>
                <c:pt idx="3434">
                  <c:v>1.04387260095302E-2</c:v>
                </c:pt>
                <c:pt idx="3435">
                  <c:v>9.4732286934083951E-3</c:v>
                </c:pt>
                <c:pt idx="3436">
                  <c:v>1.2138692851920254E-2</c:v>
                </c:pt>
                <c:pt idx="3437">
                  <c:v>9.823017309178856E-3</c:v>
                </c:pt>
                <c:pt idx="3438">
                  <c:v>1.300543878241949E-2</c:v>
                </c:pt>
                <c:pt idx="3439">
                  <c:v>1.3671101327876675E-2</c:v>
                </c:pt>
                <c:pt idx="3440">
                  <c:v>1.0561419984104948E-2</c:v>
                </c:pt>
                <c:pt idx="3441">
                  <c:v>1.6548552888170188E-2</c:v>
                </c:pt>
                <c:pt idx="3442">
                  <c:v>8.6736627218763698E-3</c:v>
                </c:pt>
                <c:pt idx="3443">
                  <c:v>1.2750359989027916E-2</c:v>
                </c:pt>
                <c:pt idx="3444">
                  <c:v>1.6624082416799902E-2</c:v>
                </c:pt>
                <c:pt idx="3445">
                  <c:v>9.9420735607542079E-3</c:v>
                </c:pt>
                <c:pt idx="3446">
                  <c:v>9.7352449328083415E-3</c:v>
                </c:pt>
                <c:pt idx="3447">
                  <c:v>1.2722736321244609E-2</c:v>
                </c:pt>
                <c:pt idx="3448">
                  <c:v>9.7611091249190842E-3</c:v>
                </c:pt>
                <c:pt idx="3449">
                  <c:v>1.1944106020162701E-2</c:v>
                </c:pt>
                <c:pt idx="3450">
                  <c:v>1.340550155854891E-2</c:v>
                </c:pt>
                <c:pt idx="3451">
                  <c:v>1.2682785397099057E-2</c:v>
                </c:pt>
                <c:pt idx="3452">
                  <c:v>1.3802850689916185E-2</c:v>
                </c:pt>
                <c:pt idx="3453">
                  <c:v>1.0545559256822013E-2</c:v>
                </c:pt>
                <c:pt idx="3454">
                  <c:v>1.3849217675642442E-2</c:v>
                </c:pt>
                <c:pt idx="3455">
                  <c:v>1.2681917637824643E-2</c:v>
                </c:pt>
                <c:pt idx="3456">
                  <c:v>9.4060805883211755E-3</c:v>
                </c:pt>
                <c:pt idx="3457">
                  <c:v>1.6153896757437267E-2</c:v>
                </c:pt>
                <c:pt idx="3458">
                  <c:v>1.5065307652328306E-2</c:v>
                </c:pt>
                <c:pt idx="3459">
                  <c:v>1.2693594845521034E-2</c:v>
                </c:pt>
                <c:pt idx="3460">
                  <c:v>1.2150216264802637E-2</c:v>
                </c:pt>
                <c:pt idx="3461">
                  <c:v>9.4887898305765772E-3</c:v>
                </c:pt>
                <c:pt idx="3462">
                  <c:v>1.3534252701913992E-2</c:v>
                </c:pt>
                <c:pt idx="3463">
                  <c:v>1.0901667795363142E-2</c:v>
                </c:pt>
                <c:pt idx="3464">
                  <c:v>1.2229890470027285E-2</c:v>
                </c:pt>
                <c:pt idx="3465">
                  <c:v>1.1924566601931792E-2</c:v>
                </c:pt>
                <c:pt idx="3466">
                  <c:v>1.1449146017016278E-2</c:v>
                </c:pt>
                <c:pt idx="3467">
                  <c:v>1.2992757677863212E-2</c:v>
                </c:pt>
                <c:pt idx="3468">
                  <c:v>1.1118186859268958E-2</c:v>
                </c:pt>
                <c:pt idx="3469">
                  <c:v>1.0211241971030318E-2</c:v>
                </c:pt>
                <c:pt idx="3470">
                  <c:v>1.165581560436749E-2</c:v>
                </c:pt>
                <c:pt idx="3471">
                  <c:v>9.1729448608747228E-3</c:v>
                </c:pt>
                <c:pt idx="3472">
                  <c:v>1.2066358421098149E-2</c:v>
                </c:pt>
                <c:pt idx="3473">
                  <c:v>1.4401422849623041E-2</c:v>
                </c:pt>
                <c:pt idx="3474">
                  <c:v>9.2182558348698623E-3</c:v>
                </c:pt>
                <c:pt idx="3475">
                  <c:v>1.3330629879851496E-2</c:v>
                </c:pt>
                <c:pt idx="3476">
                  <c:v>1.2970769155508271E-2</c:v>
                </c:pt>
                <c:pt idx="3477">
                  <c:v>1.0356343941629624E-2</c:v>
                </c:pt>
                <c:pt idx="3478">
                  <c:v>1.0017473656419232E-2</c:v>
                </c:pt>
                <c:pt idx="3479">
                  <c:v>1.3704493429105725E-2</c:v>
                </c:pt>
                <c:pt idx="3480">
                  <c:v>1.6437152598412136E-2</c:v>
                </c:pt>
                <c:pt idx="3481">
                  <c:v>8.6992916680666173E-3</c:v>
                </c:pt>
                <c:pt idx="3482">
                  <c:v>1.3922385476044428E-2</c:v>
                </c:pt>
                <c:pt idx="3483">
                  <c:v>1.1403197692293221E-2</c:v>
                </c:pt>
                <c:pt idx="3484">
                  <c:v>1.2483390617374659E-2</c:v>
                </c:pt>
                <c:pt idx="3485">
                  <c:v>1.094606221724409E-2</c:v>
                </c:pt>
                <c:pt idx="3486">
                  <c:v>1.0117291584700764E-2</c:v>
                </c:pt>
                <c:pt idx="3487">
                  <c:v>1.3630335721441771E-2</c:v>
                </c:pt>
                <c:pt idx="3488">
                  <c:v>1.4799884244794873E-2</c:v>
                </c:pt>
                <c:pt idx="3489">
                  <c:v>1.5000828135963479E-2</c:v>
                </c:pt>
                <c:pt idx="3490">
                  <c:v>1.3192105310159833E-2</c:v>
                </c:pt>
                <c:pt idx="3491">
                  <c:v>1.0070999268221447E-2</c:v>
                </c:pt>
                <c:pt idx="3492">
                  <c:v>1.1961464554800837E-2</c:v>
                </c:pt>
                <c:pt idx="3493">
                  <c:v>1.1815898756758517E-2</c:v>
                </c:pt>
                <c:pt idx="3494">
                  <c:v>1.0235196049420999E-2</c:v>
                </c:pt>
                <c:pt idx="3495">
                  <c:v>1.0116698934522784E-2</c:v>
                </c:pt>
                <c:pt idx="3496">
                  <c:v>1.0557011122472539E-2</c:v>
                </c:pt>
                <c:pt idx="3497">
                  <c:v>1.4543337559092491E-2</c:v>
                </c:pt>
                <c:pt idx="3498">
                  <c:v>1.1999745134349649E-2</c:v>
                </c:pt>
                <c:pt idx="3499">
                  <c:v>1.2585996431081435E-2</c:v>
                </c:pt>
                <c:pt idx="3500">
                  <c:v>1.1930760027973339E-2</c:v>
                </c:pt>
                <c:pt idx="3501">
                  <c:v>1.1912127708284155E-2</c:v>
                </c:pt>
                <c:pt idx="3502">
                  <c:v>1.3624244219443294E-2</c:v>
                </c:pt>
                <c:pt idx="3503">
                  <c:v>1.4217065019954806E-2</c:v>
                </c:pt>
                <c:pt idx="3504">
                  <c:v>1.4760271224907615E-2</c:v>
                </c:pt>
                <c:pt idx="3505">
                  <c:v>1.2985089205985232E-2</c:v>
                </c:pt>
                <c:pt idx="3506">
                  <c:v>1.2888496735740865E-2</c:v>
                </c:pt>
                <c:pt idx="3507">
                  <c:v>1.2171200915772442E-2</c:v>
                </c:pt>
                <c:pt idx="3508">
                  <c:v>9.3267346316546294E-3</c:v>
                </c:pt>
                <c:pt idx="3509">
                  <c:v>8.0533091518299963E-3</c:v>
                </c:pt>
                <c:pt idx="3510">
                  <c:v>1.2662265017773594E-2</c:v>
                </c:pt>
                <c:pt idx="3511">
                  <c:v>1.3320723137761689E-2</c:v>
                </c:pt>
                <c:pt idx="3512">
                  <c:v>1.3260599561245891E-2</c:v>
                </c:pt>
                <c:pt idx="3513">
                  <c:v>1.0183996755053756E-2</c:v>
                </c:pt>
                <c:pt idx="3514">
                  <c:v>1.3749479957678678E-2</c:v>
                </c:pt>
                <c:pt idx="3515">
                  <c:v>1.1554055227889245E-2</c:v>
                </c:pt>
                <c:pt idx="3516">
                  <c:v>8.4541160563867488E-3</c:v>
                </c:pt>
                <c:pt idx="3517">
                  <c:v>9.074149541181584E-3</c:v>
                </c:pt>
                <c:pt idx="3518">
                  <c:v>1.1703042090656287E-2</c:v>
                </c:pt>
                <c:pt idx="3519">
                  <c:v>1.3820694663784716E-2</c:v>
                </c:pt>
                <c:pt idx="3520">
                  <c:v>1.133852843356822E-2</c:v>
                </c:pt>
                <c:pt idx="3521">
                  <c:v>1.2483686228107509E-2</c:v>
                </c:pt>
                <c:pt idx="3522">
                  <c:v>9.2549661348161425E-3</c:v>
                </c:pt>
                <c:pt idx="3523">
                  <c:v>1.1879915494598778E-2</c:v>
                </c:pt>
                <c:pt idx="3524">
                  <c:v>1.0033521875305661E-2</c:v>
                </c:pt>
                <c:pt idx="3525">
                  <c:v>1.3653781217944244E-2</c:v>
                </c:pt>
                <c:pt idx="3526">
                  <c:v>8.280236939605631E-3</c:v>
                </c:pt>
                <c:pt idx="3527">
                  <c:v>1.0004729771885611E-2</c:v>
                </c:pt>
                <c:pt idx="3528">
                  <c:v>1.3267971505388072E-2</c:v>
                </c:pt>
                <c:pt idx="3529">
                  <c:v>1.7564824961614548E-2</c:v>
                </c:pt>
                <c:pt idx="3530">
                  <c:v>1.2060732107390691E-2</c:v>
                </c:pt>
                <c:pt idx="3531">
                  <c:v>9.7414510875026214E-3</c:v>
                </c:pt>
                <c:pt idx="3532">
                  <c:v>1.214770693308247E-2</c:v>
                </c:pt>
                <c:pt idx="3533">
                  <c:v>9.4272505452373777E-3</c:v>
                </c:pt>
                <c:pt idx="3534">
                  <c:v>1.3152768380744464E-2</c:v>
                </c:pt>
                <c:pt idx="3535">
                  <c:v>1.0317563569427188E-2</c:v>
                </c:pt>
                <c:pt idx="3536">
                  <c:v>1.2186531959016141E-2</c:v>
                </c:pt>
                <c:pt idx="3537">
                  <c:v>1.2810656213391072E-2</c:v>
                </c:pt>
                <c:pt idx="3538">
                  <c:v>1.3050520506300081E-2</c:v>
                </c:pt>
                <c:pt idx="3539">
                  <c:v>1.4238782208603994E-2</c:v>
                </c:pt>
                <c:pt idx="3540">
                  <c:v>1.2177817383585133E-2</c:v>
                </c:pt>
                <c:pt idx="3541">
                  <c:v>1.0138528346637711E-2</c:v>
                </c:pt>
                <c:pt idx="3542">
                  <c:v>1.2548533071450688E-2</c:v>
                </c:pt>
                <c:pt idx="3543">
                  <c:v>1.3736937775516534E-2</c:v>
                </c:pt>
                <c:pt idx="3544">
                  <c:v>1.2814468534511554E-2</c:v>
                </c:pt>
                <c:pt idx="3545">
                  <c:v>1.4024448571498458E-2</c:v>
                </c:pt>
                <c:pt idx="3546">
                  <c:v>7.8423580624934989E-3</c:v>
                </c:pt>
                <c:pt idx="3547">
                  <c:v>1.4355071807294093E-2</c:v>
                </c:pt>
                <c:pt idx="3548">
                  <c:v>8.839483056830048E-3</c:v>
                </c:pt>
                <c:pt idx="3549">
                  <c:v>1.0192136396545995E-2</c:v>
                </c:pt>
                <c:pt idx="3550">
                  <c:v>1.1271002774003011E-2</c:v>
                </c:pt>
                <c:pt idx="3551">
                  <c:v>1.1080367233242612E-2</c:v>
                </c:pt>
                <c:pt idx="3552">
                  <c:v>1.1023362940357806E-2</c:v>
                </c:pt>
                <c:pt idx="3553">
                  <c:v>1.5023287560614175E-2</c:v>
                </c:pt>
                <c:pt idx="3554">
                  <c:v>9.0752348251422494E-3</c:v>
                </c:pt>
                <c:pt idx="3555">
                  <c:v>1.3014431127117459E-2</c:v>
                </c:pt>
                <c:pt idx="3556">
                  <c:v>1.640161712207993E-2</c:v>
                </c:pt>
                <c:pt idx="3557">
                  <c:v>1.0962911345685769E-2</c:v>
                </c:pt>
                <c:pt idx="3558">
                  <c:v>1.4094821082014203E-2</c:v>
                </c:pt>
                <c:pt idx="3559">
                  <c:v>1.2747124448752324E-2</c:v>
                </c:pt>
                <c:pt idx="3560">
                  <c:v>1.5745029113046753E-2</c:v>
                </c:pt>
                <c:pt idx="3561">
                  <c:v>1.0174313632132453E-2</c:v>
                </c:pt>
                <c:pt idx="3562">
                  <c:v>1.0212331789056254E-2</c:v>
                </c:pt>
                <c:pt idx="3563">
                  <c:v>8.4241524428364696E-3</c:v>
                </c:pt>
                <c:pt idx="3564">
                  <c:v>1.1935632160197995E-2</c:v>
                </c:pt>
                <c:pt idx="3565">
                  <c:v>1.085534492797699E-2</c:v>
                </c:pt>
                <c:pt idx="3566">
                  <c:v>1.1195226830323021E-2</c:v>
                </c:pt>
                <c:pt idx="3567">
                  <c:v>1.2571710830983724E-2</c:v>
                </c:pt>
                <c:pt idx="3568">
                  <c:v>1.3354915298086651E-2</c:v>
                </c:pt>
                <c:pt idx="3569">
                  <c:v>1.1634210513188645E-2</c:v>
                </c:pt>
                <c:pt idx="3570">
                  <c:v>1.150737466549507E-2</c:v>
                </c:pt>
                <c:pt idx="3571">
                  <c:v>1.1133873647797995E-2</c:v>
                </c:pt>
                <c:pt idx="3572">
                  <c:v>1.3289397619511045E-2</c:v>
                </c:pt>
                <c:pt idx="3573">
                  <c:v>1.0501687443963041E-2</c:v>
                </c:pt>
                <c:pt idx="3574">
                  <c:v>1.5012554207038217E-2</c:v>
                </c:pt>
                <c:pt idx="3575">
                  <c:v>9.0822009559614926E-3</c:v>
                </c:pt>
                <c:pt idx="3576">
                  <c:v>1.0358909330850877E-2</c:v>
                </c:pt>
                <c:pt idx="3577">
                  <c:v>9.0691274255819583E-3</c:v>
                </c:pt>
                <c:pt idx="3578">
                  <c:v>8.9291819772791183E-3</c:v>
                </c:pt>
                <c:pt idx="3579">
                  <c:v>1.4869583497454516E-2</c:v>
                </c:pt>
                <c:pt idx="3580">
                  <c:v>1.4753781660253795E-2</c:v>
                </c:pt>
                <c:pt idx="3581">
                  <c:v>1.0787173890476802E-2</c:v>
                </c:pt>
                <c:pt idx="3582">
                  <c:v>1.242364541330486E-2</c:v>
                </c:pt>
                <c:pt idx="3583">
                  <c:v>9.4042151734182299E-3</c:v>
                </c:pt>
                <c:pt idx="3584">
                  <c:v>1.0598448188314489E-2</c:v>
                </c:pt>
                <c:pt idx="3585">
                  <c:v>9.7931995188379993E-3</c:v>
                </c:pt>
                <c:pt idx="3586">
                  <c:v>1.166693899797666E-2</c:v>
                </c:pt>
                <c:pt idx="3587">
                  <c:v>1.2296612904634689E-2</c:v>
                </c:pt>
                <c:pt idx="3588">
                  <c:v>9.3091334037511894E-3</c:v>
                </c:pt>
                <c:pt idx="3589">
                  <c:v>8.9885313477604672E-3</c:v>
                </c:pt>
                <c:pt idx="3590">
                  <c:v>1.686323484712289E-2</c:v>
                </c:pt>
                <c:pt idx="3591">
                  <c:v>1.0189108742986471E-2</c:v>
                </c:pt>
                <c:pt idx="3592">
                  <c:v>1.4006381758285702E-2</c:v>
                </c:pt>
                <c:pt idx="3593">
                  <c:v>1.0348539355729845E-2</c:v>
                </c:pt>
                <c:pt idx="3594">
                  <c:v>1.0659086133169005E-2</c:v>
                </c:pt>
                <c:pt idx="3595">
                  <c:v>1.2841846481517333E-2</c:v>
                </c:pt>
                <c:pt idx="3596">
                  <c:v>1.0085006929630136E-2</c:v>
                </c:pt>
                <c:pt idx="3597">
                  <c:v>1.2516153919208819E-2</c:v>
                </c:pt>
                <c:pt idx="3598">
                  <c:v>1.0217010776365743E-2</c:v>
                </c:pt>
                <c:pt idx="3599">
                  <c:v>1.2349412897387982E-2</c:v>
                </c:pt>
                <c:pt idx="3600">
                  <c:v>1.0825396267135639E-2</c:v>
                </c:pt>
                <c:pt idx="3601">
                  <c:v>1.2681020671198483E-2</c:v>
                </c:pt>
                <c:pt idx="3602">
                  <c:v>1.409737457761054E-2</c:v>
                </c:pt>
                <c:pt idx="3603">
                  <c:v>1.3834945121768829E-2</c:v>
                </c:pt>
                <c:pt idx="3604">
                  <c:v>1.1640007857617356E-2</c:v>
                </c:pt>
                <c:pt idx="3605">
                  <c:v>1.0550790977014923E-2</c:v>
                </c:pt>
                <c:pt idx="3606">
                  <c:v>1.1251866609809846E-2</c:v>
                </c:pt>
                <c:pt idx="3607">
                  <c:v>1.3126533465061851E-2</c:v>
                </c:pt>
                <c:pt idx="3608">
                  <c:v>1.257777135848963E-2</c:v>
                </c:pt>
                <c:pt idx="3609">
                  <c:v>1.1325513150730082E-2</c:v>
                </c:pt>
                <c:pt idx="3610">
                  <c:v>1.2295840441222127E-2</c:v>
                </c:pt>
                <c:pt idx="3611">
                  <c:v>1.2350081319942727E-2</c:v>
                </c:pt>
                <c:pt idx="3612">
                  <c:v>1.0429511197417833E-2</c:v>
                </c:pt>
                <c:pt idx="3613">
                  <c:v>1.2709413823989456E-2</c:v>
                </c:pt>
                <c:pt idx="3614">
                  <c:v>1.1166166414383482E-2</c:v>
                </c:pt>
                <c:pt idx="3615">
                  <c:v>1.278764562525996E-2</c:v>
                </c:pt>
                <c:pt idx="3616">
                  <c:v>1.0321925011342601E-2</c:v>
                </c:pt>
                <c:pt idx="3617">
                  <c:v>1.3264924458157452E-2</c:v>
                </c:pt>
                <c:pt idx="3618">
                  <c:v>1.2131124626147297E-2</c:v>
                </c:pt>
                <c:pt idx="3619">
                  <c:v>1.168938424088037E-2</c:v>
                </c:pt>
                <c:pt idx="3620">
                  <c:v>1.4531852467548389E-2</c:v>
                </c:pt>
                <c:pt idx="3621">
                  <c:v>1.0247652813638526E-2</c:v>
                </c:pt>
                <c:pt idx="3622">
                  <c:v>1.0337572657253921E-2</c:v>
                </c:pt>
                <c:pt idx="3623">
                  <c:v>1.5011326183609565E-2</c:v>
                </c:pt>
                <c:pt idx="3624">
                  <c:v>9.3396956179275722E-3</c:v>
                </c:pt>
                <c:pt idx="3625">
                  <c:v>1.383097213491395E-2</c:v>
                </c:pt>
                <c:pt idx="3626">
                  <c:v>9.7562811523217961E-3</c:v>
                </c:pt>
                <c:pt idx="3627">
                  <c:v>9.381429765500434E-3</c:v>
                </c:pt>
                <c:pt idx="3628">
                  <c:v>1.3494045140045551E-2</c:v>
                </c:pt>
                <c:pt idx="3629">
                  <c:v>1.2206091224150614E-2</c:v>
                </c:pt>
                <c:pt idx="3630">
                  <c:v>1.1978722069877127E-2</c:v>
                </c:pt>
                <c:pt idx="3631">
                  <c:v>1.3123419257783613E-2</c:v>
                </c:pt>
                <c:pt idx="3632">
                  <c:v>1.2370715966667889E-2</c:v>
                </c:pt>
                <c:pt idx="3633">
                  <c:v>1.3361077063626228E-2</c:v>
                </c:pt>
                <c:pt idx="3634">
                  <c:v>1.3772638441915307E-2</c:v>
                </c:pt>
                <c:pt idx="3635">
                  <c:v>1.2638460545832834E-2</c:v>
                </c:pt>
                <c:pt idx="3636">
                  <c:v>9.1174795558134625E-3</c:v>
                </c:pt>
                <c:pt idx="3637">
                  <c:v>1.023972212050908E-2</c:v>
                </c:pt>
                <c:pt idx="3638">
                  <c:v>1.4766496138178285E-2</c:v>
                </c:pt>
                <c:pt idx="3639">
                  <c:v>1.3818249118409296E-2</c:v>
                </c:pt>
                <c:pt idx="3640">
                  <c:v>1.0474413762604967E-2</c:v>
                </c:pt>
                <c:pt idx="3641">
                  <c:v>1.4146091159549668E-2</c:v>
                </c:pt>
                <c:pt idx="3642">
                  <c:v>1.511826801734709E-2</c:v>
                </c:pt>
                <c:pt idx="3643">
                  <c:v>9.2380988344083342E-3</c:v>
                </c:pt>
                <c:pt idx="3644">
                  <c:v>1.5987533160778819E-2</c:v>
                </c:pt>
                <c:pt idx="3645">
                  <c:v>8.6560559288704104E-3</c:v>
                </c:pt>
                <c:pt idx="3646">
                  <c:v>9.0958294811181832E-3</c:v>
                </c:pt>
                <c:pt idx="3647">
                  <c:v>1.4910637959877052E-2</c:v>
                </c:pt>
                <c:pt idx="3648">
                  <c:v>1.1593062822657475E-2</c:v>
                </c:pt>
                <c:pt idx="3649">
                  <c:v>1.1904652726400225E-2</c:v>
                </c:pt>
                <c:pt idx="3650">
                  <c:v>1.0132823897211294E-2</c:v>
                </c:pt>
                <c:pt idx="3651">
                  <c:v>9.4333092784616678E-3</c:v>
                </c:pt>
                <c:pt idx="3652">
                  <c:v>1.5501853204588524E-2</c:v>
                </c:pt>
                <c:pt idx="3653">
                  <c:v>1.3015927680253789E-2</c:v>
                </c:pt>
                <c:pt idx="3654">
                  <c:v>1.1868719021870262E-2</c:v>
                </c:pt>
                <c:pt idx="3655">
                  <c:v>7.6504823252012107E-3</c:v>
                </c:pt>
                <c:pt idx="3656">
                  <c:v>1.2835784888426448E-2</c:v>
                </c:pt>
                <c:pt idx="3657">
                  <c:v>1.2859002004916673E-2</c:v>
                </c:pt>
                <c:pt idx="3658">
                  <c:v>1.435035432966893E-2</c:v>
                </c:pt>
                <c:pt idx="3659">
                  <c:v>1.4756844721055285E-2</c:v>
                </c:pt>
                <c:pt idx="3660">
                  <c:v>1.4111683402373554E-2</c:v>
                </c:pt>
                <c:pt idx="3661">
                  <c:v>1.1653026844365977E-2</c:v>
                </c:pt>
                <c:pt idx="3662">
                  <c:v>1.0528400491980616E-2</c:v>
                </c:pt>
                <c:pt idx="3663">
                  <c:v>1.095425903423872E-2</c:v>
                </c:pt>
                <c:pt idx="3664">
                  <c:v>1.4230266950870577E-2</c:v>
                </c:pt>
                <c:pt idx="3665">
                  <c:v>8.3079729277623065E-3</c:v>
                </c:pt>
                <c:pt idx="3666">
                  <c:v>9.9103948886997729E-3</c:v>
                </c:pt>
                <c:pt idx="3667">
                  <c:v>1.5198215309046449E-2</c:v>
                </c:pt>
                <c:pt idx="3668">
                  <c:v>1.033389556101816E-2</c:v>
                </c:pt>
                <c:pt idx="3669">
                  <c:v>9.4719631493166423E-3</c:v>
                </c:pt>
                <c:pt idx="3670">
                  <c:v>1.1850189343755375E-2</c:v>
                </c:pt>
                <c:pt idx="3671">
                  <c:v>1.2388535517309071E-2</c:v>
                </c:pt>
                <c:pt idx="3672">
                  <c:v>1.4942372838175882E-2</c:v>
                </c:pt>
                <c:pt idx="3673">
                  <c:v>1.2242113058144068E-2</c:v>
                </c:pt>
                <c:pt idx="3674">
                  <c:v>1.3204925460194403E-2</c:v>
                </c:pt>
                <c:pt idx="3675">
                  <c:v>1.0793059792604615E-2</c:v>
                </c:pt>
                <c:pt idx="3676">
                  <c:v>1.2511212452147622E-2</c:v>
                </c:pt>
                <c:pt idx="3677">
                  <c:v>1.0978180473140284E-2</c:v>
                </c:pt>
                <c:pt idx="3678">
                  <c:v>1.1446523524795572E-2</c:v>
                </c:pt>
                <c:pt idx="3679">
                  <c:v>9.1209903010808589E-3</c:v>
                </c:pt>
                <c:pt idx="3680">
                  <c:v>1.0890819035395799E-2</c:v>
                </c:pt>
                <c:pt idx="3681">
                  <c:v>1.1774600876663393E-2</c:v>
                </c:pt>
                <c:pt idx="3682">
                  <c:v>1.1262805240175736E-2</c:v>
                </c:pt>
                <c:pt idx="3683">
                  <c:v>1.0485641929740254E-2</c:v>
                </c:pt>
                <c:pt idx="3684">
                  <c:v>1.0379473991585939E-2</c:v>
                </c:pt>
                <c:pt idx="3685">
                  <c:v>1.2785293619003065E-2</c:v>
                </c:pt>
                <c:pt idx="3686">
                  <c:v>1.1287514727632947E-2</c:v>
                </c:pt>
                <c:pt idx="3687">
                  <c:v>1.065732500697082E-2</c:v>
                </c:pt>
                <c:pt idx="3688">
                  <c:v>1.0808819791143648E-2</c:v>
                </c:pt>
                <c:pt idx="3689">
                  <c:v>1.3087078708606245E-2</c:v>
                </c:pt>
                <c:pt idx="3690">
                  <c:v>1.0671811153011289E-2</c:v>
                </c:pt>
                <c:pt idx="3691">
                  <c:v>9.066433943547907E-3</c:v>
                </c:pt>
                <c:pt idx="3692">
                  <c:v>1.1780156290823535E-2</c:v>
                </c:pt>
                <c:pt idx="3693">
                  <c:v>1.1010269076725181E-2</c:v>
                </c:pt>
                <c:pt idx="3694">
                  <c:v>1.093831474506444E-2</c:v>
                </c:pt>
                <c:pt idx="3695">
                  <c:v>1.426986107879879E-2</c:v>
                </c:pt>
                <c:pt idx="3696">
                  <c:v>1.3052834047862227E-2</c:v>
                </c:pt>
                <c:pt idx="3697">
                  <c:v>1.2470442755249594E-2</c:v>
                </c:pt>
                <c:pt idx="3698">
                  <c:v>1.3187975453149406E-2</c:v>
                </c:pt>
                <c:pt idx="3699">
                  <c:v>1.1026174645556197E-2</c:v>
                </c:pt>
                <c:pt idx="3700">
                  <c:v>1.1989372985004531E-2</c:v>
                </c:pt>
                <c:pt idx="3701">
                  <c:v>1.11344091631802E-2</c:v>
                </c:pt>
                <c:pt idx="3702">
                  <c:v>1.1474881171134158E-2</c:v>
                </c:pt>
                <c:pt idx="3703">
                  <c:v>1.2446698401924885E-2</c:v>
                </c:pt>
                <c:pt idx="3704">
                  <c:v>1.0543775233748585E-2</c:v>
                </c:pt>
                <c:pt idx="3705">
                  <c:v>9.8462623780126001E-3</c:v>
                </c:pt>
                <c:pt idx="3706">
                  <c:v>1.0454620159889259E-2</c:v>
                </c:pt>
                <c:pt idx="3707">
                  <c:v>1.3137125646621672E-2</c:v>
                </c:pt>
                <c:pt idx="3708">
                  <c:v>1.6995598755381838E-2</c:v>
                </c:pt>
                <c:pt idx="3709">
                  <c:v>1.0308885261652153E-2</c:v>
                </c:pt>
                <c:pt idx="3710">
                  <c:v>8.9822447752000625E-3</c:v>
                </c:pt>
                <c:pt idx="3711">
                  <c:v>1.5050270799387006E-2</c:v>
                </c:pt>
                <c:pt idx="3712">
                  <c:v>1.2188677762252173E-2</c:v>
                </c:pt>
                <c:pt idx="3713">
                  <c:v>1.0853556648276969E-2</c:v>
                </c:pt>
                <c:pt idx="3714">
                  <c:v>1.3737173957044336E-2</c:v>
                </c:pt>
                <c:pt idx="3715">
                  <c:v>1.0207302915681254E-2</c:v>
                </c:pt>
                <c:pt idx="3716">
                  <c:v>1.1071742701856017E-2</c:v>
                </c:pt>
                <c:pt idx="3717">
                  <c:v>1.3672187431926957E-2</c:v>
                </c:pt>
                <c:pt idx="3718">
                  <c:v>1.4585728690755967E-2</c:v>
                </c:pt>
                <c:pt idx="3719">
                  <c:v>1.0864261544559281E-2</c:v>
                </c:pt>
                <c:pt idx="3720">
                  <c:v>1.2357284430914207E-2</c:v>
                </c:pt>
                <c:pt idx="3721">
                  <c:v>1.1648257273889417E-2</c:v>
                </c:pt>
                <c:pt idx="3722">
                  <c:v>1.0510640571640098E-2</c:v>
                </c:pt>
                <c:pt idx="3723">
                  <c:v>9.9576781203361726E-3</c:v>
                </c:pt>
                <c:pt idx="3724">
                  <c:v>1.2864807013793641E-2</c:v>
                </c:pt>
                <c:pt idx="3725">
                  <c:v>1.2839894715546448E-2</c:v>
                </c:pt>
                <c:pt idx="3726">
                  <c:v>1.3729907309448914E-2</c:v>
                </c:pt>
                <c:pt idx="3727">
                  <c:v>1.161768714882043E-2</c:v>
                </c:pt>
                <c:pt idx="3728">
                  <c:v>1.2427953977548827E-2</c:v>
                </c:pt>
                <c:pt idx="3729">
                  <c:v>1.0755993390748248E-2</c:v>
                </c:pt>
                <c:pt idx="3730">
                  <c:v>1.1266438390067047E-2</c:v>
                </c:pt>
                <c:pt idx="3731">
                  <c:v>1.2530968048319885E-2</c:v>
                </c:pt>
                <c:pt idx="3732">
                  <c:v>1.4534119878581747E-2</c:v>
                </c:pt>
                <c:pt idx="3733">
                  <c:v>9.5771384825410859E-3</c:v>
                </c:pt>
                <c:pt idx="3734">
                  <c:v>1.2745045180888172E-2</c:v>
                </c:pt>
                <c:pt idx="3735">
                  <c:v>1.2530121113051747E-2</c:v>
                </c:pt>
                <c:pt idx="3736">
                  <c:v>1.2605856017563621E-2</c:v>
                </c:pt>
                <c:pt idx="3737">
                  <c:v>1.3563107048256908E-2</c:v>
                </c:pt>
                <c:pt idx="3738">
                  <c:v>9.7153004584158154E-3</c:v>
                </c:pt>
                <c:pt idx="3739">
                  <c:v>1.0108456086793616E-2</c:v>
                </c:pt>
                <c:pt idx="3740">
                  <c:v>9.4457900652319335E-3</c:v>
                </c:pt>
                <c:pt idx="3741">
                  <c:v>9.2347504069964191E-3</c:v>
                </c:pt>
                <c:pt idx="3742">
                  <c:v>1.0314313444664755E-2</c:v>
                </c:pt>
                <c:pt idx="3743">
                  <c:v>9.0330589907554274E-3</c:v>
                </c:pt>
                <c:pt idx="3744">
                  <c:v>8.1286735953391004E-3</c:v>
                </c:pt>
                <c:pt idx="3745">
                  <c:v>8.8417791762944106E-3</c:v>
                </c:pt>
                <c:pt idx="3746">
                  <c:v>1.0708147666753131E-2</c:v>
                </c:pt>
                <c:pt idx="3747">
                  <c:v>1.2904844222165602E-2</c:v>
                </c:pt>
                <c:pt idx="3748">
                  <c:v>1.1650083765983943E-2</c:v>
                </c:pt>
                <c:pt idx="3749">
                  <c:v>1.1884155803599706E-2</c:v>
                </c:pt>
                <c:pt idx="3750">
                  <c:v>1.2561583031481796E-2</c:v>
                </c:pt>
                <c:pt idx="3751">
                  <c:v>1.0597486127829228E-2</c:v>
                </c:pt>
                <c:pt idx="3752">
                  <c:v>9.0005110704947412E-3</c:v>
                </c:pt>
                <c:pt idx="3753">
                  <c:v>1.4907270114628673E-2</c:v>
                </c:pt>
                <c:pt idx="3754">
                  <c:v>8.8572918475863602E-3</c:v>
                </c:pt>
                <c:pt idx="3755">
                  <c:v>1.0996741580367097E-2</c:v>
                </c:pt>
                <c:pt idx="3756">
                  <c:v>1.0304304478912518E-2</c:v>
                </c:pt>
                <c:pt idx="3757">
                  <c:v>1.8784024784712156E-2</c:v>
                </c:pt>
                <c:pt idx="3758">
                  <c:v>1.0514477201988996E-2</c:v>
                </c:pt>
                <c:pt idx="3759">
                  <c:v>1.2998979724025776E-2</c:v>
                </c:pt>
                <c:pt idx="3760">
                  <c:v>1.0088302673967027E-2</c:v>
                </c:pt>
                <c:pt idx="3761">
                  <c:v>1.2171387816402323E-2</c:v>
                </c:pt>
                <c:pt idx="3762">
                  <c:v>9.7625080188730225E-3</c:v>
                </c:pt>
                <c:pt idx="3763">
                  <c:v>1.1517475811761012E-2</c:v>
                </c:pt>
                <c:pt idx="3764">
                  <c:v>8.304814643550382E-3</c:v>
                </c:pt>
                <c:pt idx="3765">
                  <c:v>1.2650761476761514E-2</c:v>
                </c:pt>
                <c:pt idx="3766">
                  <c:v>1.064367429992309E-2</c:v>
                </c:pt>
                <c:pt idx="3767">
                  <c:v>9.9124477862041933E-3</c:v>
                </c:pt>
                <c:pt idx="3768">
                  <c:v>1.3875541045487836E-2</c:v>
                </c:pt>
                <c:pt idx="3769">
                  <c:v>1.1040716873276053E-2</c:v>
                </c:pt>
                <c:pt idx="3770">
                  <c:v>1.3862462226991942E-2</c:v>
                </c:pt>
                <c:pt idx="3771">
                  <c:v>1.240001998433087E-2</c:v>
                </c:pt>
                <c:pt idx="3772">
                  <c:v>1.0184592077992865E-2</c:v>
                </c:pt>
                <c:pt idx="3773">
                  <c:v>1.3605438312237319E-2</c:v>
                </c:pt>
                <c:pt idx="3774">
                  <c:v>1.5048692977687076E-2</c:v>
                </c:pt>
                <c:pt idx="3775">
                  <c:v>1.1180220659496448E-2</c:v>
                </c:pt>
                <c:pt idx="3776">
                  <c:v>1.1384224727796053E-2</c:v>
                </c:pt>
                <c:pt idx="3777">
                  <c:v>1.4010657283119655E-2</c:v>
                </c:pt>
                <c:pt idx="3778">
                  <c:v>1.1334835335012609E-2</c:v>
                </c:pt>
                <c:pt idx="3779">
                  <c:v>1.224806248427957E-2</c:v>
                </c:pt>
                <c:pt idx="3780">
                  <c:v>1.416742942478914E-2</c:v>
                </c:pt>
                <c:pt idx="3781">
                  <c:v>1.3589881322611354E-2</c:v>
                </c:pt>
                <c:pt idx="3782">
                  <c:v>1.3198315811218842E-2</c:v>
                </c:pt>
                <c:pt idx="3783">
                  <c:v>1.1525821205389987E-2</c:v>
                </c:pt>
                <c:pt idx="3784">
                  <c:v>1.1931752423721432E-2</c:v>
                </c:pt>
                <c:pt idx="3785">
                  <c:v>1.1709977119322921E-2</c:v>
                </c:pt>
                <c:pt idx="3786">
                  <c:v>1.019265653213716E-2</c:v>
                </c:pt>
                <c:pt idx="3787">
                  <c:v>1.5404402595475417E-2</c:v>
                </c:pt>
                <c:pt idx="3788">
                  <c:v>1.2372039766010286E-2</c:v>
                </c:pt>
                <c:pt idx="3789">
                  <c:v>1.0614270435005872E-2</c:v>
                </c:pt>
                <c:pt idx="3790">
                  <c:v>9.9010385507880098E-3</c:v>
                </c:pt>
                <c:pt idx="3791">
                  <c:v>1.1570728832082251E-2</c:v>
                </c:pt>
                <c:pt idx="3792">
                  <c:v>1.6960256446617392E-2</c:v>
                </c:pt>
                <c:pt idx="3793">
                  <c:v>1.0751435103525562E-2</c:v>
                </c:pt>
                <c:pt idx="3794">
                  <c:v>9.4458869108515493E-3</c:v>
                </c:pt>
                <c:pt idx="3795">
                  <c:v>1.3529512233978856E-2</c:v>
                </c:pt>
                <c:pt idx="3796">
                  <c:v>7.9273508881839462E-3</c:v>
                </c:pt>
                <c:pt idx="3797">
                  <c:v>1.3730938998540452E-2</c:v>
                </c:pt>
                <c:pt idx="3798">
                  <c:v>1.292067313896636E-2</c:v>
                </c:pt>
                <c:pt idx="3799">
                  <c:v>1.3063084015904333E-2</c:v>
                </c:pt>
                <c:pt idx="3800">
                  <c:v>1.6507063515993618E-2</c:v>
                </c:pt>
                <c:pt idx="3801">
                  <c:v>1.3277934862732569E-2</c:v>
                </c:pt>
                <c:pt idx="3802">
                  <c:v>1.2957345501797519E-2</c:v>
                </c:pt>
                <c:pt idx="3803">
                  <c:v>1.425865023756683E-2</c:v>
                </c:pt>
                <c:pt idx="3804">
                  <c:v>1.1527746321123805E-2</c:v>
                </c:pt>
                <c:pt idx="3805">
                  <c:v>1.1509624634201498E-2</c:v>
                </c:pt>
                <c:pt idx="3806">
                  <c:v>1.1151451151707696E-2</c:v>
                </c:pt>
                <c:pt idx="3807">
                  <c:v>1.3936678942102678E-2</c:v>
                </c:pt>
                <c:pt idx="3808">
                  <c:v>1.2146542419700097E-2</c:v>
                </c:pt>
                <c:pt idx="3809">
                  <c:v>8.4295030727316745E-3</c:v>
                </c:pt>
                <c:pt idx="3810">
                  <c:v>1.0919056694004618E-2</c:v>
                </c:pt>
                <c:pt idx="3811">
                  <c:v>1.2101370052275229E-2</c:v>
                </c:pt>
                <c:pt idx="3812">
                  <c:v>1.498071208835609E-2</c:v>
                </c:pt>
                <c:pt idx="3813">
                  <c:v>9.8323586352562983E-3</c:v>
                </c:pt>
                <c:pt idx="3814">
                  <c:v>1.4782552677582651E-2</c:v>
                </c:pt>
                <c:pt idx="3815">
                  <c:v>1.0364877128654205E-2</c:v>
                </c:pt>
                <c:pt idx="3816">
                  <c:v>1.3610067337845819E-2</c:v>
                </c:pt>
                <c:pt idx="3817">
                  <c:v>1.3420523941816736E-2</c:v>
                </c:pt>
                <c:pt idx="3818">
                  <c:v>1.2611404852331214E-2</c:v>
                </c:pt>
                <c:pt idx="3819">
                  <c:v>7.5211714080841013E-3</c:v>
                </c:pt>
                <c:pt idx="3820">
                  <c:v>1.0706290051291673E-2</c:v>
                </c:pt>
                <c:pt idx="3821">
                  <c:v>9.5201082254768987E-3</c:v>
                </c:pt>
                <c:pt idx="3822">
                  <c:v>9.6621819303230189E-3</c:v>
                </c:pt>
                <c:pt idx="3823">
                  <c:v>1.4583535370617389E-2</c:v>
                </c:pt>
                <c:pt idx="3824">
                  <c:v>1.3051014447742103E-2</c:v>
                </c:pt>
                <c:pt idx="3825">
                  <c:v>1.2480672575563125E-2</c:v>
                </c:pt>
                <c:pt idx="3826">
                  <c:v>1.5888590528877252E-2</c:v>
                </c:pt>
                <c:pt idx="3827">
                  <c:v>1.0101627686103124E-2</c:v>
                </c:pt>
                <c:pt idx="3828">
                  <c:v>1.0769689154363547E-2</c:v>
                </c:pt>
                <c:pt idx="3829">
                  <c:v>1.3665204837310067E-2</c:v>
                </c:pt>
                <c:pt idx="3830">
                  <c:v>9.6337698025977195E-3</c:v>
                </c:pt>
                <c:pt idx="3831">
                  <c:v>1.0280588675964661E-2</c:v>
                </c:pt>
                <c:pt idx="3832">
                  <c:v>9.2851375206892111E-3</c:v>
                </c:pt>
                <c:pt idx="3833">
                  <c:v>9.3974299230427071E-3</c:v>
                </c:pt>
                <c:pt idx="3834">
                  <c:v>1.1094651244246828E-2</c:v>
                </c:pt>
                <c:pt idx="3835">
                  <c:v>9.1635041832703931E-3</c:v>
                </c:pt>
                <c:pt idx="3836">
                  <c:v>1.0639006839873016E-2</c:v>
                </c:pt>
                <c:pt idx="3837">
                  <c:v>9.6708810215302664E-3</c:v>
                </c:pt>
                <c:pt idx="3838">
                  <c:v>1.1599025884974102E-2</c:v>
                </c:pt>
                <c:pt idx="3839">
                  <c:v>1.2226631146983072E-2</c:v>
                </c:pt>
                <c:pt idx="3840">
                  <c:v>1.4366319581188034E-2</c:v>
                </c:pt>
                <c:pt idx="3841">
                  <c:v>1.1907116064154916E-2</c:v>
                </c:pt>
                <c:pt idx="3842">
                  <c:v>1.0585170521487042E-2</c:v>
                </c:pt>
                <c:pt idx="3843">
                  <c:v>1.2220004430483567E-2</c:v>
                </c:pt>
                <c:pt idx="3844">
                  <c:v>1.4145217914542017E-2</c:v>
                </c:pt>
                <c:pt idx="3845">
                  <c:v>9.6580373175776391E-3</c:v>
                </c:pt>
                <c:pt idx="3846">
                  <c:v>1.0530142023903429E-2</c:v>
                </c:pt>
                <c:pt idx="3847">
                  <c:v>1.2217082789542387E-2</c:v>
                </c:pt>
                <c:pt idx="3848">
                  <c:v>1.2239414574432004E-2</c:v>
                </c:pt>
                <c:pt idx="3849">
                  <c:v>1.162050869693579E-2</c:v>
                </c:pt>
                <c:pt idx="3850">
                  <c:v>9.1838879659262903E-3</c:v>
                </c:pt>
                <c:pt idx="3851">
                  <c:v>1.2742801422059677E-2</c:v>
                </c:pt>
                <c:pt idx="3852">
                  <c:v>1.2664689621408926E-2</c:v>
                </c:pt>
                <c:pt idx="3853">
                  <c:v>1.1823979115992518E-2</c:v>
                </c:pt>
                <c:pt idx="3854">
                  <c:v>1.1420035133729018E-2</c:v>
                </c:pt>
                <c:pt idx="3855">
                  <c:v>1.1394082475997132E-2</c:v>
                </c:pt>
                <c:pt idx="3856">
                  <c:v>1.4200320437773898E-2</c:v>
                </c:pt>
                <c:pt idx="3857">
                  <c:v>1.307000803537863E-2</c:v>
                </c:pt>
                <c:pt idx="3858">
                  <c:v>1.2465461833239612E-2</c:v>
                </c:pt>
                <c:pt idx="3859">
                  <c:v>1.0511669196296623E-2</c:v>
                </c:pt>
                <c:pt idx="3860">
                  <c:v>1.0870523240936243E-2</c:v>
                </c:pt>
                <c:pt idx="3861">
                  <c:v>1.1678249332900714E-2</c:v>
                </c:pt>
                <c:pt idx="3862">
                  <c:v>1.3034602620499243E-2</c:v>
                </c:pt>
                <c:pt idx="3863">
                  <c:v>1.1977193023411593E-2</c:v>
                </c:pt>
                <c:pt idx="3864">
                  <c:v>9.9223763840905563E-3</c:v>
                </c:pt>
                <c:pt idx="3865">
                  <c:v>1.0811547922399339E-2</c:v>
                </c:pt>
                <c:pt idx="3866">
                  <c:v>1.3249639112916621E-2</c:v>
                </c:pt>
                <c:pt idx="3867">
                  <c:v>1.1058817442895896E-2</c:v>
                </c:pt>
                <c:pt idx="3868">
                  <c:v>1.2315446303017523E-2</c:v>
                </c:pt>
                <c:pt idx="3869">
                  <c:v>9.9911139407470456E-3</c:v>
                </c:pt>
                <c:pt idx="3870">
                  <c:v>9.9435500386644577E-3</c:v>
                </c:pt>
                <c:pt idx="3871">
                  <c:v>1.1249973779165718E-2</c:v>
                </c:pt>
                <c:pt idx="3872">
                  <c:v>9.5313887030432989E-3</c:v>
                </c:pt>
                <c:pt idx="3873">
                  <c:v>9.9747220087037028E-3</c:v>
                </c:pt>
                <c:pt idx="3874">
                  <c:v>1.0080937762950871E-2</c:v>
                </c:pt>
                <c:pt idx="3875">
                  <c:v>9.6220506585702366E-3</c:v>
                </c:pt>
                <c:pt idx="3876">
                  <c:v>1.0295915354342237E-2</c:v>
                </c:pt>
                <c:pt idx="3877">
                  <c:v>1.0472175200289398E-2</c:v>
                </c:pt>
                <c:pt idx="3878">
                  <c:v>1.2618575992011742E-2</c:v>
                </c:pt>
                <c:pt idx="3879">
                  <c:v>1.1441854338597747E-2</c:v>
                </c:pt>
                <c:pt idx="3880">
                  <c:v>1.1249854968009206E-2</c:v>
                </c:pt>
                <c:pt idx="3881">
                  <c:v>1.4435361531426738E-2</c:v>
                </c:pt>
                <c:pt idx="3882">
                  <c:v>1.0649809807701386E-2</c:v>
                </c:pt>
                <c:pt idx="3883">
                  <c:v>1.116087001169141E-2</c:v>
                </c:pt>
                <c:pt idx="3884">
                  <c:v>1.001909193684869E-2</c:v>
                </c:pt>
                <c:pt idx="3885">
                  <c:v>1.1873286097769362E-2</c:v>
                </c:pt>
                <c:pt idx="3886">
                  <c:v>1.4516930094527843E-2</c:v>
                </c:pt>
                <c:pt idx="3887">
                  <c:v>1.3010429865295098E-2</c:v>
                </c:pt>
                <c:pt idx="3888">
                  <c:v>7.9736732946190467E-3</c:v>
                </c:pt>
                <c:pt idx="3889">
                  <c:v>1.4916802997516684E-2</c:v>
                </c:pt>
                <c:pt idx="3890">
                  <c:v>9.4316180045332237E-3</c:v>
                </c:pt>
                <c:pt idx="3891">
                  <c:v>1.1424558806858486E-2</c:v>
                </c:pt>
                <c:pt idx="3892">
                  <c:v>1.1492725454976463E-2</c:v>
                </c:pt>
                <c:pt idx="3893">
                  <c:v>8.6288452747622316E-3</c:v>
                </c:pt>
                <c:pt idx="3894">
                  <c:v>9.5930961657087529E-3</c:v>
                </c:pt>
                <c:pt idx="3895">
                  <c:v>1.5035473818094591E-2</c:v>
                </c:pt>
                <c:pt idx="3896">
                  <c:v>9.4536678128125176E-3</c:v>
                </c:pt>
                <c:pt idx="3897">
                  <c:v>1.0781785066234534E-2</c:v>
                </c:pt>
                <c:pt idx="3898">
                  <c:v>1.4581553061626088E-2</c:v>
                </c:pt>
                <c:pt idx="3899">
                  <c:v>1.4372135703405417E-2</c:v>
                </c:pt>
                <c:pt idx="3900">
                  <c:v>9.6113913283658349E-3</c:v>
                </c:pt>
                <c:pt idx="3901">
                  <c:v>1.2032410477079871E-2</c:v>
                </c:pt>
                <c:pt idx="3902">
                  <c:v>1.11743396524298E-2</c:v>
                </c:pt>
                <c:pt idx="3903">
                  <c:v>9.4440245951935009E-3</c:v>
                </c:pt>
                <c:pt idx="3904">
                  <c:v>9.4215239347156428E-3</c:v>
                </c:pt>
                <c:pt idx="3905">
                  <c:v>1.1968594407553384E-2</c:v>
                </c:pt>
                <c:pt idx="3906">
                  <c:v>1.1295544214709435E-2</c:v>
                </c:pt>
                <c:pt idx="3907">
                  <c:v>1.1828802556720497E-2</c:v>
                </c:pt>
                <c:pt idx="3908">
                  <c:v>1.3271742950868413E-2</c:v>
                </c:pt>
                <c:pt idx="3909">
                  <c:v>1.1833688841888896E-2</c:v>
                </c:pt>
                <c:pt idx="3910">
                  <c:v>1.2269379007273928E-2</c:v>
                </c:pt>
                <c:pt idx="3911">
                  <c:v>1.2283078032485439E-2</c:v>
                </c:pt>
                <c:pt idx="3912">
                  <c:v>1.0482804210893889E-2</c:v>
                </c:pt>
                <c:pt idx="3913">
                  <c:v>1.0224211629343952E-2</c:v>
                </c:pt>
                <c:pt idx="3914">
                  <c:v>1.1726875921074707E-2</c:v>
                </c:pt>
                <c:pt idx="3915">
                  <c:v>1.3796957477854603E-2</c:v>
                </c:pt>
                <c:pt idx="3916">
                  <c:v>1.2729930009689458E-2</c:v>
                </c:pt>
                <c:pt idx="3917">
                  <c:v>1.2675226603505022E-2</c:v>
                </c:pt>
                <c:pt idx="3918">
                  <c:v>1.6541456605320047E-2</c:v>
                </c:pt>
                <c:pt idx="3919">
                  <c:v>1.0886217298547834E-2</c:v>
                </c:pt>
                <c:pt idx="3920">
                  <c:v>1.1046257799946018E-2</c:v>
                </c:pt>
                <c:pt idx="3921">
                  <c:v>8.5965269893080957E-3</c:v>
                </c:pt>
                <c:pt idx="3922">
                  <c:v>1.375410091325322E-2</c:v>
                </c:pt>
                <c:pt idx="3923">
                  <c:v>1.1965629247967789E-2</c:v>
                </c:pt>
                <c:pt idx="3924">
                  <c:v>1.0448139207325126E-2</c:v>
                </c:pt>
                <c:pt idx="3925">
                  <c:v>1.2699539986638067E-2</c:v>
                </c:pt>
                <c:pt idx="3926">
                  <c:v>1.1501148299337308E-2</c:v>
                </c:pt>
                <c:pt idx="3927">
                  <c:v>1.3683131486988818E-2</c:v>
                </c:pt>
                <c:pt idx="3928">
                  <c:v>1.1570326079805704E-2</c:v>
                </c:pt>
                <c:pt idx="3929">
                  <c:v>1.1178216732768385E-2</c:v>
                </c:pt>
                <c:pt idx="3930">
                  <c:v>9.1050583231638074E-3</c:v>
                </c:pt>
                <c:pt idx="3931">
                  <c:v>1.3731554507716119E-2</c:v>
                </c:pt>
                <c:pt idx="3932">
                  <c:v>1.2532240968100634E-2</c:v>
                </c:pt>
                <c:pt idx="3933">
                  <c:v>9.3730405210510782E-3</c:v>
                </c:pt>
                <c:pt idx="3934">
                  <c:v>1.0199216991567027E-2</c:v>
                </c:pt>
                <c:pt idx="3935">
                  <c:v>8.9296321088001614E-3</c:v>
                </c:pt>
                <c:pt idx="3936">
                  <c:v>9.9397101338770198E-3</c:v>
                </c:pt>
                <c:pt idx="3937">
                  <c:v>1.546175441249369E-2</c:v>
                </c:pt>
                <c:pt idx="3938">
                  <c:v>1.3110471675970839E-2</c:v>
                </c:pt>
                <c:pt idx="3939">
                  <c:v>1.3889401087449172E-2</c:v>
                </c:pt>
                <c:pt idx="3940">
                  <c:v>1.2607188395432229E-2</c:v>
                </c:pt>
                <c:pt idx="3941">
                  <c:v>1.149426078743588E-2</c:v>
                </c:pt>
                <c:pt idx="3942">
                  <c:v>1.1105179263395047E-2</c:v>
                </c:pt>
                <c:pt idx="3943">
                  <c:v>9.3935648910811846E-3</c:v>
                </c:pt>
                <c:pt idx="3944">
                  <c:v>1.3152973851107041E-2</c:v>
                </c:pt>
                <c:pt idx="3945">
                  <c:v>1.0577816872628367E-2</c:v>
                </c:pt>
                <c:pt idx="3946">
                  <c:v>1.4700148201669243E-2</c:v>
                </c:pt>
                <c:pt idx="3947">
                  <c:v>1.1405710309510837E-2</c:v>
                </c:pt>
                <c:pt idx="3948">
                  <c:v>1.5851476639318327E-2</c:v>
                </c:pt>
                <c:pt idx="3949">
                  <c:v>1.365527606955003E-2</c:v>
                </c:pt>
                <c:pt idx="3950">
                  <c:v>1.1225180804037145E-2</c:v>
                </c:pt>
                <c:pt idx="3951">
                  <c:v>1.1778650127043664E-2</c:v>
                </c:pt>
                <c:pt idx="3952">
                  <c:v>9.7213826630891276E-3</c:v>
                </c:pt>
                <c:pt idx="3953">
                  <c:v>1.4025070488991889E-2</c:v>
                </c:pt>
                <c:pt idx="3954">
                  <c:v>1.1854534573481956E-2</c:v>
                </c:pt>
                <c:pt idx="3955">
                  <c:v>1.2278721921012441E-2</c:v>
                </c:pt>
                <c:pt idx="3956">
                  <c:v>1.2052343804623618E-2</c:v>
                </c:pt>
                <c:pt idx="3957">
                  <c:v>1.1083811506134021E-2</c:v>
                </c:pt>
                <c:pt idx="3958">
                  <c:v>1.0433857988774249E-2</c:v>
                </c:pt>
                <c:pt idx="3959">
                  <c:v>1.5516977106759916E-2</c:v>
                </c:pt>
                <c:pt idx="3960">
                  <c:v>1.4105979148355778E-2</c:v>
                </c:pt>
                <c:pt idx="3961">
                  <c:v>1.4356623950213324E-2</c:v>
                </c:pt>
                <c:pt idx="3962">
                  <c:v>9.7114553371388124E-3</c:v>
                </c:pt>
                <c:pt idx="3963">
                  <c:v>1.2058856377694237E-2</c:v>
                </c:pt>
                <c:pt idx="3964">
                  <c:v>1.4166105160445138E-2</c:v>
                </c:pt>
                <c:pt idx="3965">
                  <c:v>1.071279301116008E-2</c:v>
                </c:pt>
                <c:pt idx="3966">
                  <c:v>1.1415306140578365E-2</c:v>
                </c:pt>
                <c:pt idx="3967">
                  <c:v>1.0468804209193447E-2</c:v>
                </c:pt>
                <c:pt idx="3968">
                  <c:v>1.3147984313094318E-2</c:v>
                </c:pt>
                <c:pt idx="3969">
                  <c:v>9.7613464955910757E-3</c:v>
                </c:pt>
                <c:pt idx="3970">
                  <c:v>1.3540169142586555E-2</c:v>
                </c:pt>
                <c:pt idx="3971">
                  <c:v>1.4477403144701171E-2</c:v>
                </c:pt>
                <c:pt idx="3972">
                  <c:v>9.9574095248940332E-3</c:v>
                </c:pt>
                <c:pt idx="3973">
                  <c:v>1.328035315599342E-2</c:v>
                </c:pt>
                <c:pt idx="3974">
                  <c:v>1.2454501075676914E-2</c:v>
                </c:pt>
                <c:pt idx="3975">
                  <c:v>8.7201081066270447E-3</c:v>
                </c:pt>
                <c:pt idx="3976">
                  <c:v>1.3212980005568734E-2</c:v>
                </c:pt>
                <c:pt idx="3977">
                  <c:v>1.1501475341336487E-2</c:v>
                </c:pt>
                <c:pt idx="3978">
                  <c:v>9.9901249185285618E-3</c:v>
                </c:pt>
                <c:pt idx="3979">
                  <c:v>1.3489427356373132E-2</c:v>
                </c:pt>
                <c:pt idx="3980">
                  <c:v>9.574925986580959E-3</c:v>
                </c:pt>
                <c:pt idx="3981">
                  <c:v>1.0519561486744418E-2</c:v>
                </c:pt>
                <c:pt idx="3982">
                  <c:v>1.2071392737809062E-2</c:v>
                </c:pt>
                <c:pt idx="3983">
                  <c:v>1.1543132381772743E-2</c:v>
                </c:pt>
                <c:pt idx="3984">
                  <c:v>1.6301380490320393E-2</c:v>
                </c:pt>
                <c:pt idx="3985">
                  <c:v>1.4509278164344547E-2</c:v>
                </c:pt>
                <c:pt idx="3986">
                  <c:v>1.1973988705802088E-2</c:v>
                </c:pt>
                <c:pt idx="3987">
                  <c:v>1.369708205574984E-2</c:v>
                </c:pt>
                <c:pt idx="3988">
                  <c:v>1.6354462833100724E-2</c:v>
                </c:pt>
                <c:pt idx="3989">
                  <c:v>1.1692929445482354E-2</c:v>
                </c:pt>
                <c:pt idx="3990">
                  <c:v>1.2605054923785617E-2</c:v>
                </c:pt>
                <c:pt idx="3991">
                  <c:v>9.6559137797142605E-3</c:v>
                </c:pt>
                <c:pt idx="3992">
                  <c:v>1.1474352290292996E-2</c:v>
                </c:pt>
                <c:pt idx="3993">
                  <c:v>1.2264374969235665E-2</c:v>
                </c:pt>
                <c:pt idx="3994">
                  <c:v>1.469614285485025E-2</c:v>
                </c:pt>
                <c:pt idx="3995">
                  <c:v>1.1138717942462222E-2</c:v>
                </c:pt>
                <c:pt idx="3996">
                  <c:v>1.1151794734270398E-2</c:v>
                </c:pt>
                <c:pt idx="3997">
                  <c:v>1.3695315759344667E-2</c:v>
                </c:pt>
                <c:pt idx="3998">
                  <c:v>1.10864036423397E-2</c:v>
                </c:pt>
                <c:pt idx="3999">
                  <c:v>1.2357393532601136E-2</c:v>
                </c:pt>
                <c:pt idx="4000">
                  <c:v>1.0923563632729566E-2</c:v>
                </c:pt>
                <c:pt idx="4001">
                  <c:v>1.0591438359862093E-2</c:v>
                </c:pt>
                <c:pt idx="4002">
                  <c:v>1.2270341233872962E-2</c:v>
                </c:pt>
                <c:pt idx="4003">
                  <c:v>1.2132459821027262E-2</c:v>
                </c:pt>
                <c:pt idx="4004">
                  <c:v>1.3874324345213707E-2</c:v>
                </c:pt>
                <c:pt idx="4005">
                  <c:v>1.5434278878856162E-2</c:v>
                </c:pt>
                <c:pt idx="4006">
                  <c:v>1.3689278517861723E-2</c:v>
                </c:pt>
                <c:pt idx="4007">
                  <c:v>1.415542478344402E-2</c:v>
                </c:pt>
                <c:pt idx="4008">
                  <c:v>1.388564921799083E-2</c:v>
                </c:pt>
                <c:pt idx="4009">
                  <c:v>9.1597796507603638E-3</c:v>
                </c:pt>
                <c:pt idx="4010">
                  <c:v>1.2091771338635987E-2</c:v>
                </c:pt>
                <c:pt idx="4011">
                  <c:v>1.1493079507215722E-2</c:v>
                </c:pt>
                <c:pt idx="4012">
                  <c:v>7.7596914894441467E-3</c:v>
                </c:pt>
                <c:pt idx="4013">
                  <c:v>1.1328208513579864E-2</c:v>
                </c:pt>
                <c:pt idx="4014">
                  <c:v>1.3849427967397016E-2</c:v>
                </c:pt>
                <c:pt idx="4015">
                  <c:v>9.594508719724143E-3</c:v>
                </c:pt>
                <c:pt idx="4016">
                  <c:v>1.3605892317735926E-2</c:v>
                </c:pt>
                <c:pt idx="4017">
                  <c:v>1.5318368887462009E-2</c:v>
                </c:pt>
                <c:pt idx="4018">
                  <c:v>1.356003014588161E-2</c:v>
                </c:pt>
                <c:pt idx="4019">
                  <c:v>8.8813042785562974E-3</c:v>
                </c:pt>
                <c:pt idx="4020">
                  <c:v>1.0904268680592589E-2</c:v>
                </c:pt>
                <c:pt idx="4021">
                  <c:v>1.4516438530744091E-2</c:v>
                </c:pt>
                <c:pt idx="4022">
                  <c:v>8.6713178617445139E-3</c:v>
                </c:pt>
                <c:pt idx="4023">
                  <c:v>1.2444421227094786E-2</c:v>
                </c:pt>
                <c:pt idx="4024">
                  <c:v>1.2572498258787757E-2</c:v>
                </c:pt>
                <c:pt idx="4025">
                  <c:v>9.6934135491102899E-3</c:v>
                </c:pt>
                <c:pt idx="4026">
                  <c:v>2.0879319833416603E-2</c:v>
                </c:pt>
                <c:pt idx="4027">
                  <c:v>1.3224877048434856E-2</c:v>
                </c:pt>
                <c:pt idx="4028">
                  <c:v>1.3691014858103452E-2</c:v>
                </c:pt>
                <c:pt idx="4029">
                  <c:v>8.9901382694035584E-3</c:v>
                </c:pt>
                <c:pt idx="4030">
                  <c:v>1.0107413927487024E-2</c:v>
                </c:pt>
                <c:pt idx="4031">
                  <c:v>1.1591449237432138E-2</c:v>
                </c:pt>
                <c:pt idx="4032">
                  <c:v>1.2682275140827618E-2</c:v>
                </c:pt>
                <c:pt idx="4033">
                  <c:v>1.1797069224634442E-2</c:v>
                </c:pt>
                <c:pt idx="4034">
                  <c:v>1.5091906475806011E-2</c:v>
                </c:pt>
                <c:pt idx="4035">
                  <c:v>1.1781449251665225E-2</c:v>
                </c:pt>
                <c:pt idx="4036">
                  <c:v>1.1824454422927471E-2</c:v>
                </c:pt>
                <c:pt idx="4037">
                  <c:v>1.3863087119139989E-2</c:v>
                </c:pt>
                <c:pt idx="4038">
                  <c:v>9.1783161295778196E-3</c:v>
                </c:pt>
                <c:pt idx="4039">
                  <c:v>1.0796939905832866E-2</c:v>
                </c:pt>
                <c:pt idx="4040">
                  <c:v>1.2676512894841976E-2</c:v>
                </c:pt>
                <c:pt idx="4041">
                  <c:v>1.2507670743511829E-2</c:v>
                </c:pt>
                <c:pt idx="4042">
                  <c:v>9.5218567416043027E-3</c:v>
                </c:pt>
                <c:pt idx="4043">
                  <c:v>1.4224881109413175E-2</c:v>
                </c:pt>
                <c:pt idx="4044">
                  <c:v>1.1910557234335942E-2</c:v>
                </c:pt>
                <c:pt idx="4045">
                  <c:v>1.4341249605426883E-2</c:v>
                </c:pt>
                <c:pt idx="4046">
                  <c:v>1.2799915308910313E-2</c:v>
                </c:pt>
                <c:pt idx="4047">
                  <c:v>1.2668236859333064E-2</c:v>
                </c:pt>
                <c:pt idx="4048">
                  <c:v>1.0295660254756225E-2</c:v>
                </c:pt>
                <c:pt idx="4049">
                  <c:v>8.783287985226873E-3</c:v>
                </c:pt>
                <c:pt idx="4050">
                  <c:v>1.4075507071268966E-2</c:v>
                </c:pt>
                <c:pt idx="4051">
                  <c:v>1.4442409005208623E-2</c:v>
                </c:pt>
                <c:pt idx="4052">
                  <c:v>1.4280521517307678E-2</c:v>
                </c:pt>
                <c:pt idx="4053">
                  <c:v>1.0307691217788954E-2</c:v>
                </c:pt>
                <c:pt idx="4054">
                  <c:v>1.1508794816742737E-2</c:v>
                </c:pt>
                <c:pt idx="4055">
                  <c:v>1.3362450117424396E-2</c:v>
                </c:pt>
                <c:pt idx="4056">
                  <c:v>9.9810948420176425E-3</c:v>
                </c:pt>
                <c:pt idx="4057">
                  <c:v>1.1388812034889971E-2</c:v>
                </c:pt>
                <c:pt idx="4058">
                  <c:v>8.9742299862051993E-3</c:v>
                </c:pt>
                <c:pt idx="4059">
                  <c:v>8.3319732277212649E-3</c:v>
                </c:pt>
                <c:pt idx="4060">
                  <c:v>9.9428638365756626E-3</c:v>
                </c:pt>
                <c:pt idx="4061">
                  <c:v>1.0108738036525887E-2</c:v>
                </c:pt>
                <c:pt idx="4062">
                  <c:v>9.8417464332227287E-3</c:v>
                </c:pt>
                <c:pt idx="4063">
                  <c:v>1.1852674625180941E-2</c:v>
                </c:pt>
                <c:pt idx="4064">
                  <c:v>9.8410797380444701E-3</c:v>
                </c:pt>
                <c:pt idx="4065">
                  <c:v>1.0439381207574929E-2</c:v>
                </c:pt>
                <c:pt idx="4066">
                  <c:v>9.2306539628615267E-3</c:v>
                </c:pt>
                <c:pt idx="4067">
                  <c:v>9.2208851341722912E-3</c:v>
                </c:pt>
                <c:pt idx="4068">
                  <c:v>1.0044519579666599E-2</c:v>
                </c:pt>
                <c:pt idx="4069">
                  <c:v>1.0097000027719032E-2</c:v>
                </c:pt>
                <c:pt idx="4070">
                  <c:v>1.6366646103516458E-2</c:v>
                </c:pt>
                <c:pt idx="4071">
                  <c:v>8.0729185529634633E-3</c:v>
                </c:pt>
                <c:pt idx="4072">
                  <c:v>9.9878375803172329E-3</c:v>
                </c:pt>
                <c:pt idx="4073">
                  <c:v>1.382253281049908E-2</c:v>
                </c:pt>
                <c:pt idx="4074">
                  <c:v>1.4949155829187677E-2</c:v>
                </c:pt>
                <c:pt idx="4075">
                  <c:v>1.0307136972101257E-2</c:v>
                </c:pt>
                <c:pt idx="4076">
                  <c:v>9.9276319977640356E-3</c:v>
                </c:pt>
                <c:pt idx="4077">
                  <c:v>1.1879817869296294E-2</c:v>
                </c:pt>
                <c:pt idx="4078">
                  <c:v>1.504879711516159E-2</c:v>
                </c:pt>
                <c:pt idx="4079">
                  <c:v>1.0526028783623378E-2</c:v>
                </c:pt>
                <c:pt idx="4080">
                  <c:v>1.0907218303559597E-2</c:v>
                </c:pt>
                <c:pt idx="4081">
                  <c:v>1.1534275274682319E-2</c:v>
                </c:pt>
                <c:pt idx="4082">
                  <c:v>1.2268080053583938E-2</c:v>
                </c:pt>
                <c:pt idx="4083">
                  <c:v>9.1512283924334425E-3</c:v>
                </c:pt>
                <c:pt idx="4084">
                  <c:v>1.1419493329250472E-2</c:v>
                </c:pt>
                <c:pt idx="4085">
                  <c:v>1.1234030257613804E-2</c:v>
                </c:pt>
                <c:pt idx="4086">
                  <c:v>1.3208151118141024E-2</c:v>
                </c:pt>
                <c:pt idx="4087">
                  <c:v>1.2069849700478542E-2</c:v>
                </c:pt>
                <c:pt idx="4088">
                  <c:v>1.1208671361751337E-2</c:v>
                </c:pt>
                <c:pt idx="4089">
                  <c:v>1.2495633820641916E-2</c:v>
                </c:pt>
                <c:pt idx="4090">
                  <c:v>1.0173626143643724E-2</c:v>
                </c:pt>
                <c:pt idx="4091">
                  <c:v>1.1821764625379328E-2</c:v>
                </c:pt>
                <c:pt idx="4092">
                  <c:v>1.0359119167193951E-2</c:v>
                </c:pt>
                <c:pt idx="4093">
                  <c:v>1.1634629186198826E-2</c:v>
                </c:pt>
                <c:pt idx="4094">
                  <c:v>1.0873127993431425E-2</c:v>
                </c:pt>
                <c:pt idx="4095">
                  <c:v>9.1217941227275806E-3</c:v>
                </c:pt>
                <c:pt idx="4096">
                  <c:v>7.4067941376693147E-3</c:v>
                </c:pt>
                <c:pt idx="4097">
                  <c:v>1.4136458759277805E-2</c:v>
                </c:pt>
                <c:pt idx="4098">
                  <c:v>1.0070568890139403E-2</c:v>
                </c:pt>
                <c:pt idx="4099">
                  <c:v>1.5709287746381861E-2</c:v>
                </c:pt>
                <c:pt idx="4100">
                  <c:v>9.9559818600199919E-3</c:v>
                </c:pt>
                <c:pt idx="4101">
                  <c:v>1.0739148278622369E-2</c:v>
                </c:pt>
                <c:pt idx="4102">
                  <c:v>1.345280033144919E-2</c:v>
                </c:pt>
                <c:pt idx="4103">
                  <c:v>1.1731445309849022E-2</c:v>
                </c:pt>
                <c:pt idx="4104">
                  <c:v>9.9962907904566946E-3</c:v>
                </c:pt>
                <c:pt idx="4105">
                  <c:v>1.3737295768608781E-2</c:v>
                </c:pt>
                <c:pt idx="4106">
                  <c:v>1.2882304227097151E-2</c:v>
                </c:pt>
                <c:pt idx="4107">
                  <c:v>8.3335087827058358E-3</c:v>
                </c:pt>
                <c:pt idx="4108">
                  <c:v>9.330012464674178E-3</c:v>
                </c:pt>
                <c:pt idx="4109">
                  <c:v>1.2302354293352743E-2</c:v>
                </c:pt>
                <c:pt idx="4110">
                  <c:v>1.1326708056620602E-2</c:v>
                </c:pt>
                <c:pt idx="4111">
                  <c:v>1.2496529464788311E-2</c:v>
                </c:pt>
                <c:pt idx="4112">
                  <c:v>1.5069200779030211E-2</c:v>
                </c:pt>
                <c:pt idx="4113">
                  <c:v>1.1900407646188287E-2</c:v>
                </c:pt>
                <c:pt idx="4114">
                  <c:v>9.200133049259469E-3</c:v>
                </c:pt>
                <c:pt idx="4115">
                  <c:v>1.2310983099114577E-2</c:v>
                </c:pt>
                <c:pt idx="4116">
                  <c:v>1.0731345475470397E-2</c:v>
                </c:pt>
                <c:pt idx="4117">
                  <c:v>1.3090401651537815E-2</c:v>
                </c:pt>
                <c:pt idx="4118">
                  <c:v>1.0038830183798359E-2</c:v>
                </c:pt>
                <c:pt idx="4119">
                  <c:v>1.0846583135609754E-2</c:v>
                </c:pt>
                <c:pt idx="4120">
                  <c:v>9.2037306302100771E-3</c:v>
                </c:pt>
                <c:pt idx="4121">
                  <c:v>1.256132399906997E-2</c:v>
                </c:pt>
                <c:pt idx="4122">
                  <c:v>1.4103838874295871E-2</c:v>
                </c:pt>
                <c:pt idx="4123">
                  <c:v>9.5135913082351701E-3</c:v>
                </c:pt>
                <c:pt idx="4124">
                  <c:v>1.1401169382798768E-2</c:v>
                </c:pt>
                <c:pt idx="4125">
                  <c:v>1.1850121698510825E-2</c:v>
                </c:pt>
                <c:pt idx="4126">
                  <c:v>1.2430230338151089E-2</c:v>
                </c:pt>
                <c:pt idx="4127">
                  <c:v>1.063409622606125E-2</c:v>
                </c:pt>
                <c:pt idx="4128">
                  <c:v>1.0617284076303276E-2</c:v>
                </c:pt>
                <c:pt idx="4129">
                  <c:v>1.1473804152548497E-2</c:v>
                </c:pt>
                <c:pt idx="4130">
                  <c:v>1.251464415013271E-2</c:v>
                </c:pt>
                <c:pt idx="4131">
                  <c:v>1.2529943530434984E-2</c:v>
                </c:pt>
                <c:pt idx="4132">
                  <c:v>1.1069902210703727E-2</c:v>
                </c:pt>
                <c:pt idx="4133">
                  <c:v>1.1048539363054053E-2</c:v>
                </c:pt>
                <c:pt idx="4134">
                  <c:v>1.4013662498692991E-2</c:v>
                </c:pt>
                <c:pt idx="4135">
                  <c:v>1.3402200706179673E-2</c:v>
                </c:pt>
                <c:pt idx="4136">
                  <c:v>8.832565359388006E-3</c:v>
                </c:pt>
                <c:pt idx="4137">
                  <c:v>1.2517823759655879E-2</c:v>
                </c:pt>
                <c:pt idx="4138">
                  <c:v>1.571168751290334E-2</c:v>
                </c:pt>
                <c:pt idx="4139">
                  <c:v>1.5195778264227208E-2</c:v>
                </c:pt>
                <c:pt idx="4140">
                  <c:v>1.3958123128213328E-2</c:v>
                </c:pt>
                <c:pt idx="4141">
                  <c:v>1.8427485361610225E-2</c:v>
                </c:pt>
                <c:pt idx="4142">
                  <c:v>9.2959239774222831E-3</c:v>
                </c:pt>
                <c:pt idx="4143">
                  <c:v>1.6848852785876989E-2</c:v>
                </c:pt>
                <c:pt idx="4144">
                  <c:v>1.0441451471995938E-2</c:v>
                </c:pt>
                <c:pt idx="4145">
                  <c:v>1.1551939279092966E-2</c:v>
                </c:pt>
                <c:pt idx="4146">
                  <c:v>1.0703069489073106E-2</c:v>
                </c:pt>
                <c:pt idx="4147">
                  <c:v>1.1044718565484661E-2</c:v>
                </c:pt>
                <c:pt idx="4148">
                  <c:v>1.0157342710537415E-2</c:v>
                </c:pt>
                <c:pt idx="4149">
                  <c:v>1.2141120788471156E-2</c:v>
                </c:pt>
                <c:pt idx="4150">
                  <c:v>1.2449277357057026E-2</c:v>
                </c:pt>
                <c:pt idx="4151">
                  <c:v>1.0499303748900717E-2</c:v>
                </c:pt>
                <c:pt idx="4152">
                  <c:v>1.4670414334518078E-2</c:v>
                </c:pt>
                <c:pt idx="4153">
                  <c:v>1.1420429079048569E-2</c:v>
                </c:pt>
                <c:pt idx="4154">
                  <c:v>1.1898624148137193E-2</c:v>
                </c:pt>
                <c:pt idx="4155">
                  <c:v>1.1928372860289745E-2</c:v>
                </c:pt>
                <c:pt idx="4156">
                  <c:v>8.9516174383314547E-3</c:v>
                </c:pt>
                <c:pt idx="4157">
                  <c:v>8.8252455315405882E-3</c:v>
                </c:pt>
                <c:pt idx="4158">
                  <c:v>1.149025789815844E-2</c:v>
                </c:pt>
                <c:pt idx="4159">
                  <c:v>1.1732569117570335E-2</c:v>
                </c:pt>
                <c:pt idx="4160">
                  <c:v>1.3670125966901075E-2</c:v>
                </c:pt>
                <c:pt idx="4161">
                  <c:v>9.6955348547056071E-3</c:v>
                </c:pt>
                <c:pt idx="4162">
                  <c:v>7.6407654846147692E-3</c:v>
                </c:pt>
                <c:pt idx="4163">
                  <c:v>1.3525961770364416E-2</c:v>
                </c:pt>
                <c:pt idx="4164">
                  <c:v>9.7127716780057161E-3</c:v>
                </c:pt>
                <c:pt idx="4165">
                  <c:v>1.2410555492828323E-2</c:v>
                </c:pt>
                <c:pt idx="4166">
                  <c:v>1.2285260029523406E-2</c:v>
                </c:pt>
                <c:pt idx="4167">
                  <c:v>1.6880427213899256E-2</c:v>
                </c:pt>
                <c:pt idx="4168">
                  <c:v>1.1200719043164433E-2</c:v>
                </c:pt>
                <c:pt idx="4169">
                  <c:v>1.4337710102807469E-2</c:v>
                </c:pt>
                <c:pt idx="4170">
                  <c:v>1.0290619470021616E-2</c:v>
                </c:pt>
                <c:pt idx="4171">
                  <c:v>9.8173695823738777E-3</c:v>
                </c:pt>
                <c:pt idx="4172">
                  <c:v>1.2091952426634522E-2</c:v>
                </c:pt>
                <c:pt idx="4173">
                  <c:v>1.3495017009693834E-2</c:v>
                </c:pt>
                <c:pt idx="4174">
                  <c:v>1.709418940819667E-2</c:v>
                </c:pt>
                <c:pt idx="4175">
                  <c:v>1.1995251686744333E-2</c:v>
                </c:pt>
                <c:pt idx="4176">
                  <c:v>1.1651351978335103E-2</c:v>
                </c:pt>
                <c:pt idx="4177">
                  <c:v>8.6320944986051657E-3</c:v>
                </c:pt>
                <c:pt idx="4178">
                  <c:v>1.0201976070998358E-2</c:v>
                </c:pt>
                <c:pt idx="4179">
                  <c:v>8.7213560298576472E-3</c:v>
                </c:pt>
                <c:pt idx="4180">
                  <c:v>1.2026980921336061E-2</c:v>
                </c:pt>
                <c:pt idx="4181">
                  <c:v>1.3105847279420355E-2</c:v>
                </c:pt>
                <c:pt idx="4182">
                  <c:v>1.1960943506611898E-2</c:v>
                </c:pt>
                <c:pt idx="4183">
                  <c:v>1.0475536118131649E-2</c:v>
                </c:pt>
                <c:pt idx="4184">
                  <c:v>1.6271197773777141E-2</c:v>
                </c:pt>
                <c:pt idx="4185">
                  <c:v>1.0352858492255486E-2</c:v>
                </c:pt>
                <c:pt idx="4186">
                  <c:v>1.5160430839020874E-2</c:v>
                </c:pt>
                <c:pt idx="4187">
                  <c:v>1.2858609181709628E-2</c:v>
                </c:pt>
                <c:pt idx="4188">
                  <c:v>1.3749338671137338E-2</c:v>
                </c:pt>
                <c:pt idx="4189">
                  <c:v>1.0143845042366147E-2</c:v>
                </c:pt>
                <c:pt idx="4190">
                  <c:v>9.7485623473846112E-3</c:v>
                </c:pt>
                <c:pt idx="4191">
                  <c:v>8.7324678572642655E-3</c:v>
                </c:pt>
                <c:pt idx="4192">
                  <c:v>1.2968295048533956E-2</c:v>
                </c:pt>
                <c:pt idx="4193">
                  <c:v>1.3216865380479564E-2</c:v>
                </c:pt>
                <c:pt idx="4194">
                  <c:v>8.6816930774170492E-3</c:v>
                </c:pt>
                <c:pt idx="4195">
                  <c:v>8.0051762697091414E-3</c:v>
                </c:pt>
                <c:pt idx="4196">
                  <c:v>1.0177543527902145E-2</c:v>
                </c:pt>
                <c:pt idx="4197">
                  <c:v>1.0331264287611346E-2</c:v>
                </c:pt>
                <c:pt idx="4198">
                  <c:v>1.0640472779452214E-2</c:v>
                </c:pt>
                <c:pt idx="4199">
                  <c:v>1.0087047381338643E-2</c:v>
                </c:pt>
                <c:pt idx="4200">
                  <c:v>1.5399172343799701E-2</c:v>
                </c:pt>
                <c:pt idx="4201">
                  <c:v>1.4019961878918481E-2</c:v>
                </c:pt>
                <c:pt idx="4202">
                  <c:v>1.1937441438324165E-2</c:v>
                </c:pt>
                <c:pt idx="4203">
                  <c:v>2.0064742656799729E-2</c:v>
                </c:pt>
                <c:pt idx="4204">
                  <c:v>1.1308020702148844E-2</c:v>
                </c:pt>
                <c:pt idx="4205">
                  <c:v>1.2560592409530618E-2</c:v>
                </c:pt>
                <c:pt idx="4206">
                  <c:v>9.8846664502143956E-3</c:v>
                </c:pt>
                <c:pt idx="4207">
                  <c:v>1.2405865643366758E-2</c:v>
                </c:pt>
                <c:pt idx="4208">
                  <c:v>1.0854293438225202E-2</c:v>
                </c:pt>
                <c:pt idx="4209">
                  <c:v>1.003845502263317E-2</c:v>
                </c:pt>
                <c:pt idx="4210">
                  <c:v>1.3169662069716214E-2</c:v>
                </c:pt>
                <c:pt idx="4211">
                  <c:v>1.2345272928566848E-2</c:v>
                </c:pt>
                <c:pt idx="4212">
                  <c:v>1.0394228575226101E-2</c:v>
                </c:pt>
                <c:pt idx="4213">
                  <c:v>1.3982842424020675E-2</c:v>
                </c:pt>
                <c:pt idx="4214">
                  <c:v>1.2658771491240743E-2</c:v>
                </c:pt>
                <c:pt idx="4215">
                  <c:v>9.1550299862476342E-3</c:v>
                </c:pt>
                <c:pt idx="4216">
                  <c:v>1.5034836600119025E-2</c:v>
                </c:pt>
                <c:pt idx="4217">
                  <c:v>1.2290740990212271E-2</c:v>
                </c:pt>
                <c:pt idx="4218">
                  <c:v>1.2296785355744815E-2</c:v>
                </c:pt>
                <c:pt idx="4219">
                  <c:v>8.8067379745234604E-3</c:v>
                </c:pt>
                <c:pt idx="4220">
                  <c:v>1.0205832184218866E-2</c:v>
                </c:pt>
                <c:pt idx="4221">
                  <c:v>1.1487833613261132E-2</c:v>
                </c:pt>
                <c:pt idx="4222">
                  <c:v>1.1619647426539547E-2</c:v>
                </c:pt>
                <c:pt idx="4223">
                  <c:v>1.3593335303266018E-2</c:v>
                </c:pt>
                <c:pt idx="4224">
                  <c:v>1.0668438983885592E-2</c:v>
                </c:pt>
                <c:pt idx="4225">
                  <c:v>1.3349608488174637E-2</c:v>
                </c:pt>
                <c:pt idx="4226">
                  <c:v>1.1582138958824015E-2</c:v>
                </c:pt>
                <c:pt idx="4227">
                  <c:v>1.1967833840703261E-2</c:v>
                </c:pt>
                <c:pt idx="4228">
                  <c:v>1.4039170388979836E-2</c:v>
                </c:pt>
                <c:pt idx="4229">
                  <c:v>1.0759902729454816E-2</c:v>
                </c:pt>
                <c:pt idx="4230">
                  <c:v>1.0229475788853918E-2</c:v>
                </c:pt>
                <c:pt idx="4231">
                  <c:v>1.0331541026738836E-2</c:v>
                </c:pt>
                <c:pt idx="4232">
                  <c:v>1.0845241230970528E-2</c:v>
                </c:pt>
                <c:pt idx="4233">
                  <c:v>1.3522752974975414E-2</c:v>
                </c:pt>
                <c:pt idx="4234">
                  <c:v>1.1520669194482473E-2</c:v>
                </c:pt>
                <c:pt idx="4235">
                  <c:v>1.0979211144640481E-2</c:v>
                </c:pt>
                <c:pt idx="4236">
                  <c:v>9.7226964106871486E-3</c:v>
                </c:pt>
                <c:pt idx="4237">
                  <c:v>1.1182216184880111E-2</c:v>
                </c:pt>
                <c:pt idx="4238">
                  <c:v>1.3664585827194332E-2</c:v>
                </c:pt>
                <c:pt idx="4239">
                  <c:v>1.0119558026521477E-2</c:v>
                </c:pt>
                <c:pt idx="4240">
                  <c:v>1.0799321608840702E-2</c:v>
                </c:pt>
                <c:pt idx="4241">
                  <c:v>1.3312044293966789E-2</c:v>
                </c:pt>
                <c:pt idx="4242">
                  <c:v>1.2258068771532552E-2</c:v>
                </c:pt>
                <c:pt idx="4243">
                  <c:v>1.495615294506138E-2</c:v>
                </c:pt>
                <c:pt idx="4244">
                  <c:v>1.1221710926110904E-2</c:v>
                </c:pt>
                <c:pt idx="4245">
                  <c:v>1.2657317767995578E-2</c:v>
                </c:pt>
                <c:pt idx="4246">
                  <c:v>1.6064836069852217E-2</c:v>
                </c:pt>
                <c:pt idx="4247">
                  <c:v>1.0204528586788669E-2</c:v>
                </c:pt>
                <c:pt idx="4248">
                  <c:v>1.2667871470739264E-2</c:v>
                </c:pt>
                <c:pt idx="4249">
                  <c:v>1.2200923048311711E-2</c:v>
                </c:pt>
                <c:pt idx="4250">
                  <c:v>1.2915720310272532E-2</c:v>
                </c:pt>
                <c:pt idx="4251">
                  <c:v>1.4423425509857691E-2</c:v>
                </c:pt>
                <c:pt idx="4252">
                  <c:v>1.515889276722745E-2</c:v>
                </c:pt>
                <c:pt idx="4253">
                  <c:v>8.9568880029875769E-3</c:v>
                </c:pt>
                <c:pt idx="4254">
                  <c:v>1.3142549686104066E-2</c:v>
                </c:pt>
                <c:pt idx="4255">
                  <c:v>1.0376799919108049E-2</c:v>
                </c:pt>
                <c:pt idx="4256">
                  <c:v>1.0521320903132486E-2</c:v>
                </c:pt>
                <c:pt idx="4257">
                  <c:v>9.8984666016042975E-3</c:v>
                </c:pt>
                <c:pt idx="4258">
                  <c:v>1.345379318109431E-2</c:v>
                </c:pt>
                <c:pt idx="4259">
                  <c:v>1.4092699393461161E-2</c:v>
                </c:pt>
                <c:pt idx="4260">
                  <c:v>1.0426259247993798E-2</c:v>
                </c:pt>
                <c:pt idx="4261">
                  <c:v>8.988661017187172E-3</c:v>
                </c:pt>
                <c:pt idx="4262">
                  <c:v>1.2485132141107677E-2</c:v>
                </c:pt>
                <c:pt idx="4263">
                  <c:v>1.0287793254898214E-2</c:v>
                </c:pt>
                <c:pt idx="4264">
                  <c:v>1.2966785531100099E-2</c:v>
                </c:pt>
                <c:pt idx="4265">
                  <c:v>9.7309509866989885E-3</c:v>
                </c:pt>
                <c:pt idx="4266">
                  <c:v>1.3215931342940574E-2</c:v>
                </c:pt>
                <c:pt idx="4267">
                  <c:v>8.5349309345026988E-3</c:v>
                </c:pt>
                <c:pt idx="4268">
                  <c:v>1.1866017237106207E-2</c:v>
                </c:pt>
                <c:pt idx="4269">
                  <c:v>1.0701969654101225E-2</c:v>
                </c:pt>
                <c:pt idx="4270">
                  <c:v>1.176666290784135E-2</c:v>
                </c:pt>
                <c:pt idx="4271">
                  <c:v>9.6419688803025573E-3</c:v>
                </c:pt>
                <c:pt idx="4272">
                  <c:v>1.5563829287748146E-2</c:v>
                </c:pt>
                <c:pt idx="4273">
                  <c:v>1.1944379265942461E-2</c:v>
                </c:pt>
                <c:pt idx="4274">
                  <c:v>1.2045087929040112E-2</c:v>
                </c:pt>
                <c:pt idx="4275">
                  <c:v>1.561713748151008E-2</c:v>
                </c:pt>
                <c:pt idx="4276">
                  <c:v>8.3380169618711315E-3</c:v>
                </c:pt>
                <c:pt idx="4277">
                  <c:v>1.1150725818648925E-2</c:v>
                </c:pt>
                <c:pt idx="4278">
                  <c:v>1.1333072356569291E-2</c:v>
                </c:pt>
                <c:pt idx="4279">
                  <c:v>1.0178623271476867E-2</c:v>
                </c:pt>
                <c:pt idx="4280">
                  <c:v>1.1213998423606234E-2</c:v>
                </c:pt>
                <c:pt idx="4281">
                  <c:v>8.2421534637019522E-3</c:v>
                </c:pt>
                <c:pt idx="4282">
                  <c:v>9.9446986471412677E-3</c:v>
                </c:pt>
                <c:pt idx="4283">
                  <c:v>1.6091290448194052E-2</c:v>
                </c:pt>
                <c:pt idx="4284">
                  <c:v>1.0962977445832056E-2</c:v>
                </c:pt>
                <c:pt idx="4285">
                  <c:v>9.6764770241656722E-3</c:v>
                </c:pt>
                <c:pt idx="4286">
                  <c:v>1.057288017042133E-2</c:v>
                </c:pt>
                <c:pt idx="4287">
                  <c:v>1.2460973738620042E-2</c:v>
                </c:pt>
                <c:pt idx="4288">
                  <c:v>1.3140937251991834E-2</c:v>
                </c:pt>
                <c:pt idx="4289">
                  <c:v>9.8296776809168995E-3</c:v>
                </c:pt>
                <c:pt idx="4290">
                  <c:v>1.1501988147824637E-2</c:v>
                </c:pt>
                <c:pt idx="4291">
                  <c:v>1.2503460804175312E-2</c:v>
                </c:pt>
                <c:pt idx="4292">
                  <c:v>1.0479319339336135E-2</c:v>
                </c:pt>
                <c:pt idx="4293">
                  <c:v>1.2270361653125932E-2</c:v>
                </c:pt>
                <c:pt idx="4294">
                  <c:v>1.3147613570453175E-2</c:v>
                </c:pt>
                <c:pt idx="4295">
                  <c:v>1.0782518096276957E-2</c:v>
                </c:pt>
                <c:pt idx="4296">
                  <c:v>1.2947355168164776E-2</c:v>
                </c:pt>
                <c:pt idx="4297">
                  <c:v>1.110086343272822E-2</c:v>
                </c:pt>
                <c:pt idx="4298">
                  <c:v>1.1952485168385166E-2</c:v>
                </c:pt>
                <c:pt idx="4299">
                  <c:v>1.1568459884253281E-2</c:v>
                </c:pt>
                <c:pt idx="4300">
                  <c:v>1.3024501689058084E-2</c:v>
                </c:pt>
                <c:pt idx="4301">
                  <c:v>1.2792981628941711E-2</c:v>
                </c:pt>
                <c:pt idx="4302">
                  <c:v>1.5628986955349752E-2</c:v>
                </c:pt>
                <c:pt idx="4303">
                  <c:v>1.1300627884959927E-2</c:v>
                </c:pt>
                <c:pt idx="4304">
                  <c:v>9.5251487568062988E-3</c:v>
                </c:pt>
                <c:pt idx="4305">
                  <c:v>1.3833196575978103E-2</c:v>
                </c:pt>
                <c:pt idx="4306">
                  <c:v>1.0990058070623978E-2</c:v>
                </c:pt>
                <c:pt idx="4307">
                  <c:v>1.2260165113077127E-2</c:v>
                </c:pt>
                <c:pt idx="4308">
                  <c:v>1.040463184867306E-2</c:v>
                </c:pt>
                <c:pt idx="4309">
                  <c:v>1.0953762216882155E-2</c:v>
                </c:pt>
                <c:pt idx="4310">
                  <c:v>1.0242368200921217E-2</c:v>
                </c:pt>
                <c:pt idx="4311">
                  <c:v>9.6100540306883094E-3</c:v>
                </c:pt>
                <c:pt idx="4312">
                  <c:v>1.0530300025060809E-2</c:v>
                </c:pt>
                <c:pt idx="4313">
                  <c:v>9.943047388338613E-3</c:v>
                </c:pt>
                <c:pt idx="4314">
                  <c:v>1.0499365708604401E-2</c:v>
                </c:pt>
                <c:pt idx="4315">
                  <c:v>1.2445588782003907E-2</c:v>
                </c:pt>
                <c:pt idx="4316">
                  <c:v>9.5512702879270751E-3</c:v>
                </c:pt>
                <c:pt idx="4317">
                  <c:v>1.0754482027261085E-2</c:v>
                </c:pt>
                <c:pt idx="4318">
                  <c:v>1.0755355935190466E-2</c:v>
                </c:pt>
                <c:pt idx="4319">
                  <c:v>1.2972099582588164E-2</c:v>
                </c:pt>
                <c:pt idx="4320">
                  <c:v>1.4133628102612305E-2</c:v>
                </c:pt>
                <c:pt idx="4321">
                  <c:v>1.313613293515758E-2</c:v>
                </c:pt>
                <c:pt idx="4322">
                  <c:v>1.1263146297591922E-2</c:v>
                </c:pt>
                <c:pt idx="4323">
                  <c:v>1.1826201378433451E-2</c:v>
                </c:pt>
                <c:pt idx="4324">
                  <c:v>1.1043877149973003E-2</c:v>
                </c:pt>
                <c:pt idx="4325">
                  <c:v>9.8071466959318825E-3</c:v>
                </c:pt>
                <c:pt idx="4326">
                  <c:v>1.4236448092748497E-2</c:v>
                </c:pt>
                <c:pt idx="4327">
                  <c:v>9.1866119866513361E-3</c:v>
                </c:pt>
                <c:pt idx="4328">
                  <c:v>9.3867520651496183E-3</c:v>
                </c:pt>
                <c:pt idx="4329">
                  <c:v>1.208740271359557E-2</c:v>
                </c:pt>
                <c:pt idx="4330">
                  <c:v>9.7370169653974905E-3</c:v>
                </c:pt>
                <c:pt idx="4331">
                  <c:v>1.0213955927015544E-2</c:v>
                </c:pt>
                <c:pt idx="4332">
                  <c:v>1.806701211878118E-2</c:v>
                </c:pt>
                <c:pt idx="4333">
                  <c:v>8.6214817060002152E-3</c:v>
                </c:pt>
                <c:pt idx="4334">
                  <c:v>1.1092836000101872E-2</c:v>
                </c:pt>
                <c:pt idx="4335">
                  <c:v>1.1993695242248198E-2</c:v>
                </c:pt>
                <c:pt idx="4336">
                  <c:v>1.3073899967493051E-2</c:v>
                </c:pt>
                <c:pt idx="4337">
                  <c:v>1.2971309187993829E-2</c:v>
                </c:pt>
                <c:pt idx="4338">
                  <c:v>1.256244180983199E-2</c:v>
                </c:pt>
                <c:pt idx="4339">
                  <c:v>1.1969620340198826E-2</c:v>
                </c:pt>
                <c:pt idx="4340">
                  <c:v>1.3407101663946156E-2</c:v>
                </c:pt>
                <c:pt idx="4341">
                  <c:v>1.2780672511218921E-2</c:v>
                </c:pt>
                <c:pt idx="4342">
                  <c:v>1.3302185695692057E-2</c:v>
                </c:pt>
                <c:pt idx="4343">
                  <c:v>1.2500572670397643E-2</c:v>
                </c:pt>
                <c:pt idx="4344">
                  <c:v>1.2312698831246175E-2</c:v>
                </c:pt>
                <c:pt idx="4345">
                  <c:v>1.3850626101316897E-2</c:v>
                </c:pt>
                <c:pt idx="4346">
                  <c:v>1.3660416409777505E-2</c:v>
                </c:pt>
                <c:pt idx="4347">
                  <c:v>1.0856352923380212E-2</c:v>
                </c:pt>
                <c:pt idx="4348">
                  <c:v>1.0471046191435972E-2</c:v>
                </c:pt>
                <c:pt idx="4349">
                  <c:v>8.4276143173592083E-3</c:v>
                </c:pt>
                <c:pt idx="4350">
                  <c:v>1.4007378845169283E-2</c:v>
                </c:pt>
                <c:pt idx="4351">
                  <c:v>1.1546724991041934E-2</c:v>
                </c:pt>
                <c:pt idx="4352">
                  <c:v>9.9476164953659855E-3</c:v>
                </c:pt>
                <c:pt idx="4353">
                  <c:v>8.3283325914114206E-3</c:v>
                </c:pt>
                <c:pt idx="4354">
                  <c:v>9.540923937323793E-3</c:v>
                </c:pt>
                <c:pt idx="4355">
                  <c:v>1.2788816501532544E-2</c:v>
                </c:pt>
                <c:pt idx="4356">
                  <c:v>1.166483188450753E-2</c:v>
                </c:pt>
                <c:pt idx="4357">
                  <c:v>1.1804605359901214E-2</c:v>
                </c:pt>
                <c:pt idx="4358">
                  <c:v>9.9854448715031227E-3</c:v>
                </c:pt>
                <c:pt idx="4359">
                  <c:v>1.6797381125683224E-2</c:v>
                </c:pt>
                <c:pt idx="4360">
                  <c:v>1.0802358194369944E-2</c:v>
                </c:pt>
                <c:pt idx="4361">
                  <c:v>1.1592485039802035E-2</c:v>
                </c:pt>
                <c:pt idx="4362">
                  <c:v>1.1284744021037333E-2</c:v>
                </c:pt>
                <c:pt idx="4363">
                  <c:v>1.2501487051730133E-2</c:v>
                </c:pt>
                <c:pt idx="4364">
                  <c:v>1.3089716143469394E-2</c:v>
                </c:pt>
                <c:pt idx="4365">
                  <c:v>1.1417583838289695E-2</c:v>
                </c:pt>
                <c:pt idx="4366">
                  <c:v>1.1349355845919203E-2</c:v>
                </c:pt>
                <c:pt idx="4367">
                  <c:v>1.2920252593469728E-2</c:v>
                </c:pt>
                <c:pt idx="4368">
                  <c:v>1.3157716147295108E-2</c:v>
                </c:pt>
                <c:pt idx="4369">
                  <c:v>7.9967864931287554E-3</c:v>
                </c:pt>
                <c:pt idx="4370">
                  <c:v>9.3515847036506547E-3</c:v>
                </c:pt>
                <c:pt idx="4371">
                  <c:v>1.3196407657114315E-2</c:v>
                </c:pt>
                <c:pt idx="4372">
                  <c:v>1.0592892443162224E-2</c:v>
                </c:pt>
                <c:pt idx="4373">
                  <c:v>7.9379450152637521E-3</c:v>
                </c:pt>
                <c:pt idx="4374">
                  <c:v>1.0507376556665868E-2</c:v>
                </c:pt>
                <c:pt idx="4375">
                  <c:v>1.1648367591900582E-2</c:v>
                </c:pt>
                <c:pt idx="4376">
                  <c:v>8.6093242608248771E-3</c:v>
                </c:pt>
                <c:pt idx="4377">
                  <c:v>1.4506557109665323E-2</c:v>
                </c:pt>
                <c:pt idx="4378">
                  <c:v>1.3683471706187125E-2</c:v>
                </c:pt>
                <c:pt idx="4379">
                  <c:v>1.0194453149467625E-2</c:v>
                </c:pt>
                <c:pt idx="4380">
                  <c:v>8.9571153167160179E-3</c:v>
                </c:pt>
                <c:pt idx="4381">
                  <c:v>1.284763300702001E-2</c:v>
                </c:pt>
                <c:pt idx="4382">
                  <c:v>1.2251565575305151E-2</c:v>
                </c:pt>
                <c:pt idx="4383">
                  <c:v>1.2265059556974517E-2</c:v>
                </c:pt>
                <c:pt idx="4384">
                  <c:v>1.1753851270925566E-2</c:v>
                </c:pt>
                <c:pt idx="4385">
                  <c:v>1.2483380355305574E-2</c:v>
                </c:pt>
                <c:pt idx="4386">
                  <c:v>1.1429367438332646E-2</c:v>
                </c:pt>
                <c:pt idx="4387">
                  <c:v>9.9389544156925237E-3</c:v>
                </c:pt>
                <c:pt idx="4388">
                  <c:v>1.10705844229137E-2</c:v>
                </c:pt>
                <c:pt idx="4389">
                  <c:v>1.1323916292614084E-2</c:v>
                </c:pt>
                <c:pt idx="4390">
                  <c:v>9.0122852481522298E-3</c:v>
                </c:pt>
                <c:pt idx="4391">
                  <c:v>1.1245613285716822E-2</c:v>
                </c:pt>
                <c:pt idx="4392">
                  <c:v>1.3609829464934999E-2</c:v>
                </c:pt>
                <c:pt idx="4393">
                  <c:v>1.0493541389873944E-2</c:v>
                </c:pt>
                <c:pt idx="4394">
                  <c:v>1.1704012146264759E-2</c:v>
                </c:pt>
                <c:pt idx="4395">
                  <c:v>8.79608683521769E-3</c:v>
                </c:pt>
                <c:pt idx="4396">
                  <c:v>9.5206641928161691E-3</c:v>
                </c:pt>
                <c:pt idx="4397">
                  <c:v>8.586451180378778E-3</c:v>
                </c:pt>
                <c:pt idx="4398">
                  <c:v>1.2953076045582025E-2</c:v>
                </c:pt>
                <c:pt idx="4399">
                  <c:v>1.1564275191736126E-2</c:v>
                </c:pt>
                <c:pt idx="4400">
                  <c:v>1.20365697262941E-2</c:v>
                </c:pt>
                <c:pt idx="4401">
                  <c:v>1.4040690902267368E-2</c:v>
                </c:pt>
                <c:pt idx="4402">
                  <c:v>1.3734769581178639E-2</c:v>
                </c:pt>
                <c:pt idx="4403">
                  <c:v>1.0896541634968119E-2</c:v>
                </c:pt>
                <c:pt idx="4404">
                  <c:v>1.2383311543968937E-2</c:v>
                </c:pt>
                <c:pt idx="4405">
                  <c:v>1.1121901338167064E-2</c:v>
                </c:pt>
                <c:pt idx="4406">
                  <c:v>9.1715920659601428E-3</c:v>
                </c:pt>
                <c:pt idx="4407">
                  <c:v>1.113116474943719E-2</c:v>
                </c:pt>
                <c:pt idx="4408">
                  <c:v>7.6204857738871989E-3</c:v>
                </c:pt>
                <c:pt idx="4409">
                  <c:v>1.3913710309392117E-2</c:v>
                </c:pt>
                <c:pt idx="4410">
                  <c:v>1.1561418577740463E-2</c:v>
                </c:pt>
                <c:pt idx="4411">
                  <c:v>1.0719231217049813E-2</c:v>
                </c:pt>
                <c:pt idx="4412">
                  <c:v>1.0225941538326263E-2</c:v>
                </c:pt>
                <c:pt idx="4413">
                  <c:v>8.9285303271479429E-3</c:v>
                </c:pt>
                <c:pt idx="4414">
                  <c:v>1.037183584880913E-2</c:v>
                </c:pt>
                <c:pt idx="4415">
                  <c:v>1.1288624719557185E-2</c:v>
                </c:pt>
                <c:pt idx="4416">
                  <c:v>7.4952026304943714E-3</c:v>
                </c:pt>
                <c:pt idx="4417">
                  <c:v>1.6114712465218624E-2</c:v>
                </c:pt>
                <c:pt idx="4418">
                  <c:v>1.055424309207147E-2</c:v>
                </c:pt>
                <c:pt idx="4419">
                  <c:v>8.9537272158085653E-3</c:v>
                </c:pt>
                <c:pt idx="4420">
                  <c:v>1.1424482589603522E-2</c:v>
                </c:pt>
                <c:pt idx="4421">
                  <c:v>1.1366920822165253E-2</c:v>
                </c:pt>
                <c:pt idx="4422">
                  <c:v>1.6861140804482474E-2</c:v>
                </c:pt>
                <c:pt idx="4423">
                  <c:v>1.1274977799860263E-2</c:v>
                </c:pt>
                <c:pt idx="4424">
                  <c:v>1.3087258660543276E-2</c:v>
                </c:pt>
                <c:pt idx="4425">
                  <c:v>1.2634020021454256E-2</c:v>
                </c:pt>
                <c:pt idx="4426">
                  <c:v>1.3456910479296215E-2</c:v>
                </c:pt>
                <c:pt idx="4427">
                  <c:v>1.4393231024696407E-2</c:v>
                </c:pt>
                <c:pt idx="4428">
                  <c:v>1.0595993185010515E-2</c:v>
                </c:pt>
                <c:pt idx="4429">
                  <c:v>1.5841561720982108E-2</c:v>
                </c:pt>
                <c:pt idx="4430">
                  <c:v>1.3847945895618045E-2</c:v>
                </c:pt>
                <c:pt idx="4431">
                  <c:v>8.5096125911347381E-3</c:v>
                </c:pt>
                <c:pt idx="4432">
                  <c:v>1.0189044223604563E-2</c:v>
                </c:pt>
                <c:pt idx="4433">
                  <c:v>9.4634114157033065E-3</c:v>
                </c:pt>
                <c:pt idx="4434">
                  <c:v>1.4861089074292216E-2</c:v>
                </c:pt>
                <c:pt idx="4435">
                  <c:v>1.5817425236589893E-2</c:v>
                </c:pt>
                <c:pt idx="4436">
                  <c:v>9.1469973989418991E-3</c:v>
                </c:pt>
                <c:pt idx="4437">
                  <c:v>1.005658437146033E-2</c:v>
                </c:pt>
                <c:pt idx="4438">
                  <c:v>1.0901890935922474E-2</c:v>
                </c:pt>
                <c:pt idx="4439">
                  <c:v>1.1229214231118915E-2</c:v>
                </c:pt>
                <c:pt idx="4440">
                  <c:v>1.066659245412477E-2</c:v>
                </c:pt>
                <c:pt idx="4441">
                  <c:v>1.2863410190150885E-2</c:v>
                </c:pt>
                <c:pt idx="4442">
                  <c:v>1.0073180527327438E-2</c:v>
                </c:pt>
                <c:pt idx="4443">
                  <c:v>1.0133469614343343E-2</c:v>
                </c:pt>
                <c:pt idx="4444">
                  <c:v>8.9811226853966589E-3</c:v>
                </c:pt>
                <c:pt idx="4445">
                  <c:v>1.4132015250597861E-2</c:v>
                </c:pt>
                <c:pt idx="4446">
                  <c:v>9.3160912726434949E-3</c:v>
                </c:pt>
                <c:pt idx="4447">
                  <c:v>1.093250371571856E-2</c:v>
                </c:pt>
                <c:pt idx="4448">
                  <c:v>1.1923823680605341E-2</c:v>
                </c:pt>
                <c:pt idx="4449">
                  <c:v>1.1216299761762326E-2</c:v>
                </c:pt>
                <c:pt idx="4450">
                  <c:v>1.1083780635937582E-2</c:v>
                </c:pt>
                <c:pt idx="4451">
                  <c:v>1.0587718677502909E-2</c:v>
                </c:pt>
                <c:pt idx="4452">
                  <c:v>1.0312910472835324E-2</c:v>
                </c:pt>
                <c:pt idx="4453">
                  <c:v>8.7957598012414727E-3</c:v>
                </c:pt>
                <c:pt idx="4454">
                  <c:v>8.4237558135800382E-3</c:v>
                </c:pt>
                <c:pt idx="4455">
                  <c:v>1.038314592842483E-2</c:v>
                </c:pt>
                <c:pt idx="4456">
                  <c:v>9.8683005153568804E-3</c:v>
                </c:pt>
                <c:pt idx="4457">
                  <c:v>1.2357559588699881E-2</c:v>
                </c:pt>
                <c:pt idx="4458">
                  <c:v>8.9693684340534183E-3</c:v>
                </c:pt>
                <c:pt idx="4459">
                  <c:v>1.5851722651702881E-2</c:v>
                </c:pt>
                <c:pt idx="4460">
                  <c:v>1.4179213364869932E-2</c:v>
                </c:pt>
                <c:pt idx="4461">
                  <c:v>1.1357649230508285E-2</c:v>
                </c:pt>
                <c:pt idx="4462">
                  <c:v>1.3223720033090159E-2</c:v>
                </c:pt>
                <c:pt idx="4463">
                  <c:v>1.2297502364530729E-2</c:v>
                </c:pt>
                <c:pt idx="4464">
                  <c:v>1.4059180543783353E-2</c:v>
                </c:pt>
                <c:pt idx="4465">
                  <c:v>1.0599170000908738E-2</c:v>
                </c:pt>
                <c:pt idx="4466">
                  <c:v>1.1085974453484741E-2</c:v>
                </c:pt>
                <c:pt idx="4467">
                  <c:v>1.381215423129672E-2</c:v>
                </c:pt>
                <c:pt idx="4468">
                  <c:v>1.1863641190083771E-2</c:v>
                </c:pt>
                <c:pt idx="4469">
                  <c:v>1.3430298096255002E-2</c:v>
                </c:pt>
                <c:pt idx="4470">
                  <c:v>8.7086366366689125E-3</c:v>
                </c:pt>
                <c:pt idx="4471">
                  <c:v>1.1688367501803583E-2</c:v>
                </c:pt>
                <c:pt idx="4472">
                  <c:v>9.8933100249228127E-3</c:v>
                </c:pt>
                <c:pt idx="4473">
                  <c:v>1.2024736242708126E-2</c:v>
                </c:pt>
                <c:pt idx="4474">
                  <c:v>1.6655301945989239E-2</c:v>
                </c:pt>
                <c:pt idx="4475">
                  <c:v>1.0015818671043916E-2</c:v>
                </c:pt>
                <c:pt idx="4476">
                  <c:v>8.9178941379111053E-3</c:v>
                </c:pt>
                <c:pt idx="4477">
                  <c:v>1.4336484931638504E-2</c:v>
                </c:pt>
                <c:pt idx="4478">
                  <c:v>1.3235091736567473E-2</c:v>
                </c:pt>
                <c:pt idx="4479">
                  <c:v>1.0183719828049472E-2</c:v>
                </c:pt>
                <c:pt idx="4480">
                  <c:v>1.0356960427963082E-2</c:v>
                </c:pt>
                <c:pt idx="4481">
                  <c:v>1.0783714658701043E-2</c:v>
                </c:pt>
                <c:pt idx="4482">
                  <c:v>1.3063749856353165E-2</c:v>
                </c:pt>
                <c:pt idx="4483">
                  <c:v>1.115540617483585E-2</c:v>
                </c:pt>
                <c:pt idx="4484">
                  <c:v>8.1402483452217098E-3</c:v>
                </c:pt>
                <c:pt idx="4485">
                  <c:v>1.0370496477933712E-2</c:v>
                </c:pt>
                <c:pt idx="4486">
                  <c:v>1.1931561924034729E-2</c:v>
                </c:pt>
                <c:pt idx="4487">
                  <c:v>1.0951583786248874E-2</c:v>
                </c:pt>
                <c:pt idx="4488">
                  <c:v>1.2670394770979431E-2</c:v>
                </c:pt>
                <c:pt idx="4489">
                  <c:v>9.5265227411960359E-3</c:v>
                </c:pt>
                <c:pt idx="4490">
                  <c:v>1.145445732258569E-2</c:v>
                </c:pt>
                <c:pt idx="4491">
                  <c:v>8.4973757372840374E-3</c:v>
                </c:pt>
                <c:pt idx="4492">
                  <c:v>1.0138527518213007E-2</c:v>
                </c:pt>
                <c:pt idx="4493">
                  <c:v>1.2158865767354348E-2</c:v>
                </c:pt>
                <c:pt idx="4494">
                  <c:v>1.091296697391881E-2</c:v>
                </c:pt>
                <c:pt idx="4495">
                  <c:v>1.1528209414890096E-2</c:v>
                </c:pt>
                <c:pt idx="4496">
                  <c:v>1.1904024910023809E-2</c:v>
                </c:pt>
                <c:pt idx="4497">
                  <c:v>1.0619432751854016E-2</c:v>
                </c:pt>
                <c:pt idx="4498">
                  <c:v>1.2389249928086968E-2</c:v>
                </c:pt>
                <c:pt idx="4499">
                  <c:v>9.8717943914561259E-3</c:v>
                </c:pt>
                <c:pt idx="4500">
                  <c:v>1.2393590303938613E-2</c:v>
                </c:pt>
                <c:pt idx="4501">
                  <c:v>1.4046539031631207E-2</c:v>
                </c:pt>
                <c:pt idx="4502">
                  <c:v>8.6440773469879089E-3</c:v>
                </c:pt>
                <c:pt idx="4503">
                  <c:v>1.4271763992045198E-2</c:v>
                </c:pt>
                <c:pt idx="4504">
                  <c:v>1.0249775141540018E-2</c:v>
                </c:pt>
                <c:pt idx="4505">
                  <c:v>8.4971860714132628E-3</c:v>
                </c:pt>
                <c:pt idx="4506">
                  <c:v>1.1147103844156367E-2</c:v>
                </c:pt>
                <c:pt idx="4507">
                  <c:v>1.3466574975682155E-2</c:v>
                </c:pt>
                <c:pt idx="4508">
                  <c:v>1.0030599919879851E-2</c:v>
                </c:pt>
                <c:pt idx="4509">
                  <c:v>1.681974565463059E-2</c:v>
                </c:pt>
                <c:pt idx="4510">
                  <c:v>8.7718029682906477E-3</c:v>
                </c:pt>
                <c:pt idx="4511">
                  <c:v>8.7002566743072315E-3</c:v>
                </c:pt>
                <c:pt idx="4512">
                  <c:v>1.2259496539721595E-2</c:v>
                </c:pt>
                <c:pt idx="4513">
                  <c:v>1.4925223280153671E-2</c:v>
                </c:pt>
                <c:pt idx="4514">
                  <c:v>1.5715308584454059E-2</c:v>
                </c:pt>
                <c:pt idx="4515">
                  <c:v>9.1389885338664153E-3</c:v>
                </c:pt>
                <c:pt idx="4516">
                  <c:v>1.0154659177558305E-2</c:v>
                </c:pt>
                <c:pt idx="4517">
                  <c:v>1.3642524421742377E-2</c:v>
                </c:pt>
                <c:pt idx="4518">
                  <c:v>1.0218290292593949E-2</c:v>
                </c:pt>
                <c:pt idx="4519">
                  <c:v>1.3397148634766333E-2</c:v>
                </c:pt>
                <c:pt idx="4520">
                  <c:v>1.1466335298016083E-2</c:v>
                </c:pt>
                <c:pt idx="4521">
                  <c:v>1.0790185955563846E-2</c:v>
                </c:pt>
                <c:pt idx="4522">
                  <c:v>1.03824964669936E-2</c:v>
                </c:pt>
                <c:pt idx="4523">
                  <c:v>1.5538171257656394E-2</c:v>
                </c:pt>
                <c:pt idx="4524">
                  <c:v>1.0035949221334451E-2</c:v>
                </c:pt>
                <c:pt idx="4525">
                  <c:v>1.5342297375852987E-2</c:v>
                </c:pt>
                <c:pt idx="4526">
                  <c:v>1.0411634042933122E-2</c:v>
                </c:pt>
                <c:pt idx="4527">
                  <c:v>9.5052532892241099E-3</c:v>
                </c:pt>
                <c:pt idx="4528">
                  <c:v>9.0386119533445233E-3</c:v>
                </c:pt>
                <c:pt idx="4529">
                  <c:v>1.178073992611379E-2</c:v>
                </c:pt>
                <c:pt idx="4530">
                  <c:v>1.2508100170519006E-2</c:v>
                </c:pt>
                <c:pt idx="4531">
                  <c:v>1.1268470316120388E-2</c:v>
                </c:pt>
                <c:pt idx="4532">
                  <c:v>1.2805220685086615E-2</c:v>
                </c:pt>
                <c:pt idx="4533">
                  <c:v>8.9162493389215881E-3</c:v>
                </c:pt>
                <c:pt idx="4534">
                  <c:v>1.3418441339268793E-2</c:v>
                </c:pt>
                <c:pt idx="4535">
                  <c:v>1.1138602193704189E-2</c:v>
                </c:pt>
                <c:pt idx="4536">
                  <c:v>1.1160996339284704E-2</c:v>
                </c:pt>
                <c:pt idx="4537">
                  <c:v>9.4627085798328296E-3</c:v>
                </c:pt>
                <c:pt idx="4538">
                  <c:v>8.1100177880356634E-3</c:v>
                </c:pt>
                <c:pt idx="4539">
                  <c:v>1.0335113011814128E-2</c:v>
                </c:pt>
                <c:pt idx="4540">
                  <c:v>1.1229648810062486E-2</c:v>
                </c:pt>
                <c:pt idx="4541">
                  <c:v>1.7947687796481801E-2</c:v>
                </c:pt>
                <c:pt idx="4542">
                  <c:v>1.125935706214575E-2</c:v>
                </c:pt>
                <c:pt idx="4543">
                  <c:v>1.2865310022308308E-2</c:v>
                </c:pt>
                <c:pt idx="4544">
                  <c:v>1.0657964659608821E-2</c:v>
                </c:pt>
                <c:pt idx="4545">
                  <c:v>1.2994309518045383E-2</c:v>
                </c:pt>
                <c:pt idx="4546">
                  <c:v>9.5882512603068376E-3</c:v>
                </c:pt>
                <c:pt idx="4547">
                  <c:v>1.32948057889496E-2</c:v>
                </c:pt>
                <c:pt idx="4548">
                  <c:v>1.5071483096806353E-2</c:v>
                </c:pt>
                <c:pt idx="4549">
                  <c:v>1.2543524467099458E-2</c:v>
                </c:pt>
                <c:pt idx="4550">
                  <c:v>1.1232433707722294E-2</c:v>
                </c:pt>
                <c:pt idx="4551">
                  <c:v>1.085719555913091E-2</c:v>
                </c:pt>
                <c:pt idx="4552">
                  <c:v>1.3219399258157813E-2</c:v>
                </c:pt>
                <c:pt idx="4553">
                  <c:v>1.1748631790216991E-2</c:v>
                </c:pt>
                <c:pt idx="4554">
                  <c:v>1.0468561834338008E-2</c:v>
                </c:pt>
                <c:pt idx="4555">
                  <c:v>8.4269329221064119E-3</c:v>
                </c:pt>
                <c:pt idx="4556">
                  <c:v>1.3332548009341166E-2</c:v>
                </c:pt>
                <c:pt idx="4557">
                  <c:v>1.2020002760401527E-2</c:v>
                </c:pt>
                <c:pt idx="4558">
                  <c:v>1.1421636416302942E-2</c:v>
                </c:pt>
                <c:pt idx="4559">
                  <c:v>1.3717709736869917E-2</c:v>
                </c:pt>
                <c:pt idx="4560">
                  <c:v>1.0370315758070946E-2</c:v>
                </c:pt>
                <c:pt idx="4561">
                  <c:v>1.4373877008988676E-2</c:v>
                </c:pt>
                <c:pt idx="4562">
                  <c:v>1.1062921829875106E-2</c:v>
                </c:pt>
                <c:pt idx="4563">
                  <c:v>1.0561202506903419E-2</c:v>
                </c:pt>
                <c:pt idx="4564">
                  <c:v>1.4051804588270539E-2</c:v>
                </c:pt>
                <c:pt idx="4565">
                  <c:v>1.4696665562079001E-2</c:v>
                </c:pt>
                <c:pt idx="4566">
                  <c:v>1.064980755002487E-2</c:v>
                </c:pt>
                <c:pt idx="4567">
                  <c:v>1.246171316792485E-2</c:v>
                </c:pt>
                <c:pt idx="4568">
                  <c:v>1.0373101018825114E-2</c:v>
                </c:pt>
                <c:pt idx="4569">
                  <c:v>1.1620049475556142E-2</c:v>
                </c:pt>
                <c:pt idx="4570">
                  <c:v>8.9201491056266954E-3</c:v>
                </c:pt>
                <c:pt idx="4571">
                  <c:v>1.0288371135390474E-2</c:v>
                </c:pt>
                <c:pt idx="4572">
                  <c:v>9.4067205700154762E-3</c:v>
                </c:pt>
                <c:pt idx="4573">
                  <c:v>9.2916729121532756E-3</c:v>
                </c:pt>
                <c:pt idx="4574">
                  <c:v>1.0944201620640321E-2</c:v>
                </c:pt>
                <c:pt idx="4575">
                  <c:v>1.538880460766491E-2</c:v>
                </c:pt>
                <c:pt idx="4576">
                  <c:v>1.0172215302020287E-2</c:v>
                </c:pt>
                <c:pt idx="4577">
                  <c:v>1.0609063479897859E-2</c:v>
                </c:pt>
                <c:pt idx="4578">
                  <c:v>9.6040307790808428E-3</c:v>
                </c:pt>
                <c:pt idx="4579">
                  <c:v>8.5542666907263958E-3</c:v>
                </c:pt>
                <c:pt idx="4580">
                  <c:v>1.0720780582666381E-2</c:v>
                </c:pt>
                <c:pt idx="4581">
                  <c:v>1.4168488863222889E-2</c:v>
                </c:pt>
                <c:pt idx="4582">
                  <c:v>1.1331384938658725E-2</c:v>
                </c:pt>
                <c:pt idx="4583">
                  <c:v>9.4417435811366759E-3</c:v>
                </c:pt>
                <c:pt idx="4584">
                  <c:v>1.0942423346394852E-2</c:v>
                </c:pt>
                <c:pt idx="4585">
                  <c:v>1.1413092468701695E-2</c:v>
                </c:pt>
                <c:pt idx="4586">
                  <c:v>1.0430741587133042E-2</c:v>
                </c:pt>
                <c:pt idx="4587">
                  <c:v>1.1985062639695227E-2</c:v>
                </c:pt>
                <c:pt idx="4588">
                  <c:v>9.5652151677408873E-3</c:v>
                </c:pt>
                <c:pt idx="4589">
                  <c:v>1.1051748475584241E-2</c:v>
                </c:pt>
                <c:pt idx="4590">
                  <c:v>9.4527124320509127E-3</c:v>
                </c:pt>
                <c:pt idx="4591">
                  <c:v>1.41465894432797E-2</c:v>
                </c:pt>
                <c:pt idx="4592">
                  <c:v>1.2886516625282514E-2</c:v>
                </c:pt>
                <c:pt idx="4593">
                  <c:v>1.2355863805762191E-2</c:v>
                </c:pt>
                <c:pt idx="4594">
                  <c:v>1.0782348502559496E-2</c:v>
                </c:pt>
                <c:pt idx="4595">
                  <c:v>9.5225808465001505E-3</c:v>
                </c:pt>
                <c:pt idx="4596">
                  <c:v>1.3023539823032622E-2</c:v>
                </c:pt>
                <c:pt idx="4597">
                  <c:v>1.3207937823007783E-2</c:v>
                </c:pt>
                <c:pt idx="4598">
                  <c:v>9.2460660272454323E-3</c:v>
                </c:pt>
                <c:pt idx="4599">
                  <c:v>1.314251433804698E-2</c:v>
                </c:pt>
                <c:pt idx="4600">
                  <c:v>1.2091278234848783E-2</c:v>
                </c:pt>
                <c:pt idx="4601">
                  <c:v>1.1729379292679743E-2</c:v>
                </c:pt>
                <c:pt idx="4602">
                  <c:v>9.2906986090062274E-3</c:v>
                </c:pt>
                <c:pt idx="4603">
                  <c:v>9.3116443711922375E-3</c:v>
                </c:pt>
                <c:pt idx="4604">
                  <c:v>1.3034055748566106E-2</c:v>
                </c:pt>
                <c:pt idx="4605">
                  <c:v>9.1658051679133663E-3</c:v>
                </c:pt>
                <c:pt idx="4606">
                  <c:v>1.1369562231287022E-2</c:v>
                </c:pt>
                <c:pt idx="4607">
                  <c:v>1.1604511274021366E-2</c:v>
                </c:pt>
                <c:pt idx="4608">
                  <c:v>9.75747448081969E-3</c:v>
                </c:pt>
                <c:pt idx="4609">
                  <c:v>1.1998197816306518E-2</c:v>
                </c:pt>
                <c:pt idx="4610">
                  <c:v>1.0262772158178734E-2</c:v>
                </c:pt>
                <c:pt idx="4611">
                  <c:v>1.7750594799322651E-2</c:v>
                </c:pt>
                <c:pt idx="4612">
                  <c:v>1.5892039747731155E-2</c:v>
                </c:pt>
                <c:pt idx="4613">
                  <c:v>1.06856481421425E-2</c:v>
                </c:pt>
                <c:pt idx="4614">
                  <c:v>9.0145074854211266E-3</c:v>
                </c:pt>
                <c:pt idx="4615">
                  <c:v>1.0828032573084767E-2</c:v>
                </c:pt>
                <c:pt idx="4616">
                  <c:v>1.1543096841813561E-2</c:v>
                </c:pt>
                <c:pt idx="4617">
                  <c:v>9.8284374305581713E-3</c:v>
                </c:pt>
                <c:pt idx="4618">
                  <c:v>1.2127530984669522E-2</c:v>
                </c:pt>
                <c:pt idx="4619">
                  <c:v>1.4184272623240238E-2</c:v>
                </c:pt>
                <c:pt idx="4620">
                  <c:v>1.3433487859580965E-2</c:v>
                </c:pt>
                <c:pt idx="4621">
                  <c:v>1.1855316810301737E-2</c:v>
                </c:pt>
                <c:pt idx="4622">
                  <c:v>1.3866784163711173E-2</c:v>
                </c:pt>
                <c:pt idx="4623">
                  <c:v>1.206605616126861E-2</c:v>
                </c:pt>
                <c:pt idx="4624">
                  <c:v>1.3415645947505418E-2</c:v>
                </c:pt>
                <c:pt idx="4625">
                  <c:v>1.1397266048230699E-2</c:v>
                </c:pt>
                <c:pt idx="4626">
                  <c:v>9.5827485040075704E-3</c:v>
                </c:pt>
                <c:pt idx="4627">
                  <c:v>1.0194642111227264E-2</c:v>
                </c:pt>
                <c:pt idx="4628">
                  <c:v>1.750724601666619E-2</c:v>
                </c:pt>
                <c:pt idx="4629">
                  <c:v>1.1963438099774409E-2</c:v>
                </c:pt>
                <c:pt idx="4630">
                  <c:v>8.6682518440769178E-3</c:v>
                </c:pt>
                <c:pt idx="4631">
                  <c:v>1.227255097355593E-2</c:v>
                </c:pt>
                <c:pt idx="4632">
                  <c:v>1.249386838026403E-2</c:v>
                </c:pt>
                <c:pt idx="4633">
                  <c:v>1.3332488020744422E-2</c:v>
                </c:pt>
                <c:pt idx="4634">
                  <c:v>1.0183007371545596E-2</c:v>
                </c:pt>
                <c:pt idx="4635">
                  <c:v>1.182381593951826E-2</c:v>
                </c:pt>
                <c:pt idx="4636">
                  <c:v>1.2640685802750701E-2</c:v>
                </c:pt>
                <c:pt idx="4637">
                  <c:v>1.2287185068782614E-2</c:v>
                </c:pt>
                <c:pt idx="4638">
                  <c:v>1.2544099462128625E-2</c:v>
                </c:pt>
                <c:pt idx="4639">
                  <c:v>1.356797511222183E-2</c:v>
                </c:pt>
                <c:pt idx="4640">
                  <c:v>8.2002076677214122E-3</c:v>
                </c:pt>
                <c:pt idx="4641">
                  <c:v>1.2959238078065542E-2</c:v>
                </c:pt>
                <c:pt idx="4642">
                  <c:v>1.1178370278173481E-2</c:v>
                </c:pt>
                <c:pt idx="4643">
                  <c:v>1.2736667835078489E-2</c:v>
                </c:pt>
                <c:pt idx="4644">
                  <c:v>1.2701706654285059E-2</c:v>
                </c:pt>
                <c:pt idx="4645">
                  <c:v>1.3915086897949114E-2</c:v>
                </c:pt>
                <c:pt idx="4646">
                  <c:v>1.1779354299155045E-2</c:v>
                </c:pt>
                <c:pt idx="4647">
                  <c:v>1.5419193430331593E-2</c:v>
                </c:pt>
                <c:pt idx="4648">
                  <c:v>1.3101002879537331E-2</c:v>
                </c:pt>
                <c:pt idx="4649">
                  <c:v>1.2341674514394248E-2</c:v>
                </c:pt>
                <c:pt idx="4650">
                  <c:v>1.4971268554602389E-2</c:v>
                </c:pt>
                <c:pt idx="4651">
                  <c:v>1.0981930529557754E-2</c:v>
                </c:pt>
                <c:pt idx="4652">
                  <c:v>1.4203439774604844E-2</c:v>
                </c:pt>
                <c:pt idx="4653">
                  <c:v>1.4903792146975372E-2</c:v>
                </c:pt>
                <c:pt idx="4654">
                  <c:v>1.3009093182358961E-2</c:v>
                </c:pt>
                <c:pt idx="4655">
                  <c:v>1.0905109381239906E-2</c:v>
                </c:pt>
                <c:pt idx="4656">
                  <c:v>9.1608607995401995E-3</c:v>
                </c:pt>
                <c:pt idx="4657">
                  <c:v>1.4112633761297946E-2</c:v>
                </c:pt>
                <c:pt idx="4658">
                  <c:v>8.5572824704000863E-3</c:v>
                </c:pt>
                <c:pt idx="4659">
                  <c:v>1.3828459983210407E-2</c:v>
                </c:pt>
                <c:pt idx="4660">
                  <c:v>1.4249233646307719E-2</c:v>
                </c:pt>
                <c:pt idx="4661">
                  <c:v>9.5540465266555456E-3</c:v>
                </c:pt>
                <c:pt idx="4662">
                  <c:v>1.6452329512708926E-2</c:v>
                </c:pt>
                <c:pt idx="4663">
                  <c:v>1.0875753544820066E-2</c:v>
                </c:pt>
                <c:pt idx="4664">
                  <c:v>1.0127636887084622E-2</c:v>
                </c:pt>
                <c:pt idx="4665">
                  <c:v>1.1275720902943218E-2</c:v>
                </c:pt>
                <c:pt idx="4666">
                  <c:v>1.08949686433987E-2</c:v>
                </c:pt>
                <c:pt idx="4667">
                  <c:v>1.1908472002328098E-2</c:v>
                </c:pt>
                <c:pt idx="4668">
                  <c:v>1.204336437098808E-2</c:v>
                </c:pt>
                <c:pt idx="4669">
                  <c:v>1.2250294737886325E-2</c:v>
                </c:pt>
                <c:pt idx="4670">
                  <c:v>1.3312693183869562E-2</c:v>
                </c:pt>
                <c:pt idx="4671">
                  <c:v>1.2449113414144414E-2</c:v>
                </c:pt>
                <c:pt idx="4672">
                  <c:v>9.028357123962211E-3</c:v>
                </c:pt>
                <c:pt idx="4673">
                  <c:v>1.0755312588326576E-2</c:v>
                </c:pt>
                <c:pt idx="4674">
                  <c:v>1.0124977965874211E-2</c:v>
                </c:pt>
                <c:pt idx="4675">
                  <c:v>1.0012955890890494E-2</c:v>
                </c:pt>
                <c:pt idx="4676">
                  <c:v>9.3147625111785724E-3</c:v>
                </c:pt>
                <c:pt idx="4677">
                  <c:v>1.202124431744696E-2</c:v>
                </c:pt>
                <c:pt idx="4678">
                  <c:v>1.2859858521828466E-2</c:v>
                </c:pt>
                <c:pt idx="4679">
                  <c:v>9.6196265135171533E-3</c:v>
                </c:pt>
                <c:pt idx="4680">
                  <c:v>1.1762563601530805E-2</c:v>
                </c:pt>
                <c:pt idx="4681">
                  <c:v>1.276213024571232E-2</c:v>
                </c:pt>
                <c:pt idx="4682">
                  <c:v>1.146062958370539E-2</c:v>
                </c:pt>
                <c:pt idx="4683">
                  <c:v>1.0222502538637194E-2</c:v>
                </c:pt>
                <c:pt idx="4684">
                  <c:v>9.8865616599319237E-3</c:v>
                </c:pt>
                <c:pt idx="4685">
                  <c:v>1.2368322588589534E-2</c:v>
                </c:pt>
                <c:pt idx="4686">
                  <c:v>1.2579916956099276E-2</c:v>
                </c:pt>
                <c:pt idx="4687">
                  <c:v>1.2795719892361663E-2</c:v>
                </c:pt>
                <c:pt idx="4688">
                  <c:v>1.0700211758711577E-2</c:v>
                </c:pt>
                <c:pt idx="4689">
                  <c:v>1.1298634233313343E-2</c:v>
                </c:pt>
                <c:pt idx="4690">
                  <c:v>1.0889661250632081E-2</c:v>
                </c:pt>
                <c:pt idx="4691">
                  <c:v>8.3831680084963753E-3</c:v>
                </c:pt>
                <c:pt idx="4692">
                  <c:v>1.0130068760005355E-2</c:v>
                </c:pt>
                <c:pt idx="4693">
                  <c:v>1.0864227415201263E-2</c:v>
                </c:pt>
                <c:pt idx="4694">
                  <c:v>1.2570704934270578E-2</c:v>
                </c:pt>
                <c:pt idx="4695">
                  <c:v>1.2986085309312667E-2</c:v>
                </c:pt>
                <c:pt idx="4696">
                  <c:v>1.2715291369219282E-2</c:v>
                </c:pt>
                <c:pt idx="4697">
                  <c:v>1.4859929901941342E-2</c:v>
                </c:pt>
                <c:pt idx="4698">
                  <c:v>1.1362588055569171E-2</c:v>
                </c:pt>
                <c:pt idx="4699">
                  <c:v>1.5069723389149336E-2</c:v>
                </c:pt>
                <c:pt idx="4700">
                  <c:v>8.548298990953886E-3</c:v>
                </c:pt>
                <c:pt idx="4701">
                  <c:v>1.3737340295365899E-2</c:v>
                </c:pt>
                <c:pt idx="4702">
                  <c:v>1.1412361653063762E-2</c:v>
                </c:pt>
                <c:pt idx="4703">
                  <c:v>1.0824382673422899E-2</c:v>
                </c:pt>
                <c:pt idx="4704">
                  <c:v>1.0943853590894533E-2</c:v>
                </c:pt>
                <c:pt idx="4705">
                  <c:v>1.0761723475686541E-2</c:v>
                </c:pt>
                <c:pt idx="4706">
                  <c:v>1.2072049462688132E-2</c:v>
                </c:pt>
                <c:pt idx="4707">
                  <c:v>7.6958883106898286E-3</c:v>
                </c:pt>
                <c:pt idx="4708">
                  <c:v>1.2300039904171575E-2</c:v>
                </c:pt>
                <c:pt idx="4709">
                  <c:v>1.3833060602933147E-2</c:v>
                </c:pt>
                <c:pt idx="4710">
                  <c:v>1.313302306177678E-2</c:v>
                </c:pt>
                <c:pt idx="4711">
                  <c:v>1.4292642662738721E-2</c:v>
                </c:pt>
                <c:pt idx="4712">
                  <c:v>1.3781718874121777E-2</c:v>
                </c:pt>
                <c:pt idx="4713">
                  <c:v>9.9133407073468908E-3</c:v>
                </c:pt>
                <c:pt idx="4714">
                  <c:v>9.6481305759468835E-3</c:v>
                </c:pt>
                <c:pt idx="4715">
                  <c:v>1.2077152684485453E-2</c:v>
                </c:pt>
                <c:pt idx="4716">
                  <c:v>1.1733250702353653E-2</c:v>
                </c:pt>
                <c:pt idx="4717">
                  <c:v>9.5746296196634086E-3</c:v>
                </c:pt>
                <c:pt idx="4718">
                  <c:v>1.4425198016543395E-2</c:v>
                </c:pt>
                <c:pt idx="4719">
                  <c:v>1.3842273335588106E-2</c:v>
                </c:pt>
                <c:pt idx="4720">
                  <c:v>8.8792115381156594E-3</c:v>
                </c:pt>
                <c:pt idx="4721">
                  <c:v>1.0987061727030185E-2</c:v>
                </c:pt>
                <c:pt idx="4722">
                  <c:v>1.1039353006152837E-2</c:v>
                </c:pt>
                <c:pt idx="4723">
                  <c:v>1.1736042396124989E-2</c:v>
                </c:pt>
                <c:pt idx="4724">
                  <c:v>1.2166764750034342E-2</c:v>
                </c:pt>
                <c:pt idx="4725">
                  <c:v>1.4529165218464915E-2</c:v>
                </c:pt>
                <c:pt idx="4726">
                  <c:v>9.8207974772508057E-3</c:v>
                </c:pt>
                <c:pt idx="4727">
                  <c:v>1.4697837833168777E-2</c:v>
                </c:pt>
                <c:pt idx="4728">
                  <c:v>1.6307967917136464E-2</c:v>
                </c:pt>
                <c:pt idx="4729">
                  <c:v>1.1747471625179043E-2</c:v>
                </c:pt>
                <c:pt idx="4730">
                  <c:v>9.600106602555154E-3</c:v>
                </c:pt>
                <c:pt idx="4731">
                  <c:v>1.529725242661099E-2</c:v>
                </c:pt>
                <c:pt idx="4732">
                  <c:v>1.2893638653120015E-2</c:v>
                </c:pt>
                <c:pt idx="4733">
                  <c:v>9.8829692882618902E-3</c:v>
                </c:pt>
                <c:pt idx="4734">
                  <c:v>1.1074030990419138E-2</c:v>
                </c:pt>
                <c:pt idx="4735">
                  <c:v>1.4711101263659957E-2</c:v>
                </c:pt>
                <c:pt idx="4736">
                  <c:v>1.3655460583679732E-2</c:v>
                </c:pt>
                <c:pt idx="4737">
                  <c:v>1.4067429717276069E-2</c:v>
                </c:pt>
                <c:pt idx="4738">
                  <c:v>1.3875095751058537E-2</c:v>
                </c:pt>
                <c:pt idx="4739">
                  <c:v>8.2633935788124901E-3</c:v>
                </c:pt>
                <c:pt idx="4740">
                  <c:v>1.3222111077675153E-2</c:v>
                </c:pt>
                <c:pt idx="4741">
                  <c:v>1.2551572521918228E-2</c:v>
                </c:pt>
                <c:pt idx="4742">
                  <c:v>1.5606405434636844E-2</c:v>
                </c:pt>
                <c:pt idx="4743">
                  <c:v>1.0871351406982595E-2</c:v>
                </c:pt>
                <c:pt idx="4744">
                  <c:v>1.3902546923983957E-2</c:v>
                </c:pt>
                <c:pt idx="4745">
                  <c:v>9.2106162584998062E-3</c:v>
                </c:pt>
                <c:pt idx="4746">
                  <c:v>1.2446636152604933E-2</c:v>
                </c:pt>
                <c:pt idx="4747">
                  <c:v>1.2119150732487746E-2</c:v>
                </c:pt>
                <c:pt idx="4748">
                  <c:v>1.0355177754651147E-2</c:v>
                </c:pt>
                <c:pt idx="4749">
                  <c:v>1.0870993534638697E-2</c:v>
                </c:pt>
                <c:pt idx="4750">
                  <c:v>1.2304819941362144E-2</c:v>
                </c:pt>
                <c:pt idx="4751">
                  <c:v>9.5926335605513915E-3</c:v>
                </c:pt>
                <c:pt idx="4752">
                  <c:v>1.0573806117365346E-2</c:v>
                </c:pt>
                <c:pt idx="4753">
                  <c:v>1.2741488813379855E-2</c:v>
                </c:pt>
                <c:pt idx="4754">
                  <c:v>8.0188644673541247E-3</c:v>
                </c:pt>
                <c:pt idx="4755">
                  <c:v>1.2987272239444963E-2</c:v>
                </c:pt>
                <c:pt idx="4756">
                  <c:v>1.2499447085290539E-2</c:v>
                </c:pt>
                <c:pt idx="4757">
                  <c:v>1.1103081171602124E-2</c:v>
                </c:pt>
                <c:pt idx="4758">
                  <c:v>9.7819763058180405E-3</c:v>
                </c:pt>
                <c:pt idx="4759">
                  <c:v>1.2571599293884551E-2</c:v>
                </c:pt>
                <c:pt idx="4760">
                  <c:v>1.1068836570091342E-2</c:v>
                </c:pt>
                <c:pt idx="4761">
                  <c:v>1.4553397755994612E-2</c:v>
                </c:pt>
                <c:pt idx="4762">
                  <c:v>1.290352949290487E-2</c:v>
                </c:pt>
                <c:pt idx="4763">
                  <c:v>1.0712896559792748E-2</c:v>
                </c:pt>
                <c:pt idx="4764">
                  <c:v>1.2645590350571353E-2</c:v>
                </c:pt>
                <c:pt idx="4765">
                  <c:v>1.2623888709535203E-2</c:v>
                </c:pt>
                <c:pt idx="4766">
                  <c:v>1.4159842612333461E-2</c:v>
                </c:pt>
                <c:pt idx="4767">
                  <c:v>9.1833064846875145E-3</c:v>
                </c:pt>
                <c:pt idx="4768">
                  <c:v>1.0661197860675077E-2</c:v>
                </c:pt>
                <c:pt idx="4769">
                  <c:v>1.0556497457128212E-2</c:v>
                </c:pt>
                <c:pt idx="4770">
                  <c:v>1.1377935834402487E-2</c:v>
                </c:pt>
                <c:pt idx="4771">
                  <c:v>1.2672756024303004E-2</c:v>
                </c:pt>
                <c:pt idx="4772">
                  <c:v>1.3947788372646657E-2</c:v>
                </c:pt>
                <c:pt idx="4773">
                  <c:v>8.3111341619506469E-3</c:v>
                </c:pt>
                <c:pt idx="4774">
                  <c:v>1.2111823066524733E-2</c:v>
                </c:pt>
                <c:pt idx="4775">
                  <c:v>1.3912059998779166E-2</c:v>
                </c:pt>
                <c:pt idx="4776">
                  <c:v>9.2819968054260234E-3</c:v>
                </c:pt>
                <c:pt idx="4777">
                  <c:v>1.3640835578731681E-2</c:v>
                </c:pt>
                <c:pt idx="4778">
                  <c:v>1.4223615907968473E-2</c:v>
                </c:pt>
                <c:pt idx="4779">
                  <c:v>1.2049367919053795E-2</c:v>
                </c:pt>
                <c:pt idx="4780">
                  <c:v>1.0605757497663109E-2</c:v>
                </c:pt>
                <c:pt idx="4781">
                  <c:v>1.0192844931770797E-2</c:v>
                </c:pt>
                <c:pt idx="4782">
                  <c:v>1.6631954869750287E-2</c:v>
                </c:pt>
                <c:pt idx="4783">
                  <c:v>1.171737859827736E-2</c:v>
                </c:pt>
                <c:pt idx="4784">
                  <c:v>1.258803646720015E-2</c:v>
                </c:pt>
                <c:pt idx="4785">
                  <c:v>1.1730324149943513E-2</c:v>
                </c:pt>
                <c:pt idx="4786">
                  <c:v>1.1407654241747384E-2</c:v>
                </c:pt>
                <c:pt idx="4787">
                  <c:v>9.6462545156374025E-3</c:v>
                </c:pt>
                <c:pt idx="4788">
                  <c:v>1.1969208602444267E-2</c:v>
                </c:pt>
                <c:pt idx="4789">
                  <c:v>1.0343884863178816E-2</c:v>
                </c:pt>
                <c:pt idx="4790">
                  <c:v>1.0062552137655622E-2</c:v>
                </c:pt>
                <c:pt idx="4791">
                  <c:v>8.0811808660166094E-3</c:v>
                </c:pt>
                <c:pt idx="4792">
                  <c:v>1.2573689347848251E-2</c:v>
                </c:pt>
                <c:pt idx="4793">
                  <c:v>8.0465001304813859E-3</c:v>
                </c:pt>
                <c:pt idx="4794">
                  <c:v>9.3433182658541874E-3</c:v>
                </c:pt>
                <c:pt idx="4795">
                  <c:v>9.037322911549189E-3</c:v>
                </c:pt>
                <c:pt idx="4796">
                  <c:v>1.2715920715914389E-2</c:v>
                </c:pt>
                <c:pt idx="4797">
                  <c:v>1.084477170632844E-2</c:v>
                </c:pt>
                <c:pt idx="4798">
                  <c:v>1.2497890387967989E-2</c:v>
                </c:pt>
                <c:pt idx="4799">
                  <c:v>9.8773884169780207E-3</c:v>
                </c:pt>
                <c:pt idx="4800">
                  <c:v>9.5172586696837258E-3</c:v>
                </c:pt>
                <c:pt idx="4801">
                  <c:v>1.1136242239673372E-2</c:v>
                </c:pt>
                <c:pt idx="4802">
                  <c:v>9.4610350227168211E-3</c:v>
                </c:pt>
                <c:pt idx="4803">
                  <c:v>9.9502132226915434E-3</c:v>
                </c:pt>
                <c:pt idx="4804">
                  <c:v>1.649538935843969E-2</c:v>
                </c:pt>
                <c:pt idx="4805">
                  <c:v>1.0478545876655147E-2</c:v>
                </c:pt>
                <c:pt idx="4806">
                  <c:v>1.1499415004993893E-2</c:v>
                </c:pt>
                <c:pt idx="4807">
                  <c:v>1.700211078577319E-2</c:v>
                </c:pt>
                <c:pt idx="4808">
                  <c:v>1.0562378191793908E-2</c:v>
                </c:pt>
                <c:pt idx="4809">
                  <c:v>8.0327059387079822E-3</c:v>
                </c:pt>
                <c:pt idx="4810">
                  <c:v>8.7026474069954226E-3</c:v>
                </c:pt>
                <c:pt idx="4811">
                  <c:v>1.0364667633439737E-2</c:v>
                </c:pt>
                <c:pt idx="4812">
                  <c:v>1.486615286269464E-2</c:v>
                </c:pt>
                <c:pt idx="4813">
                  <c:v>1.455979948576896E-2</c:v>
                </c:pt>
                <c:pt idx="4814">
                  <c:v>1.5102870271973221E-2</c:v>
                </c:pt>
                <c:pt idx="4815">
                  <c:v>1.4106812162966621E-2</c:v>
                </c:pt>
                <c:pt idx="4816">
                  <c:v>1.3033986050857907E-2</c:v>
                </c:pt>
                <c:pt idx="4817">
                  <c:v>1.2177183312637497E-2</c:v>
                </c:pt>
                <c:pt idx="4818">
                  <c:v>1.064828187122584E-2</c:v>
                </c:pt>
                <c:pt idx="4819">
                  <c:v>1.364892068148409E-2</c:v>
                </c:pt>
                <c:pt idx="4820">
                  <c:v>1.1394046730053568E-2</c:v>
                </c:pt>
                <c:pt idx="4821">
                  <c:v>1.261599908489866E-2</c:v>
                </c:pt>
                <c:pt idx="4822">
                  <c:v>1.0973935933038385E-2</c:v>
                </c:pt>
                <c:pt idx="4823">
                  <c:v>1.2266211111435601E-2</c:v>
                </c:pt>
                <c:pt idx="4824">
                  <c:v>9.189839933367543E-3</c:v>
                </c:pt>
                <c:pt idx="4825">
                  <c:v>1.1954422026069443E-2</c:v>
                </c:pt>
                <c:pt idx="4826">
                  <c:v>1.1046952661152257E-2</c:v>
                </c:pt>
                <c:pt idx="4827">
                  <c:v>1.1275760095099461E-2</c:v>
                </c:pt>
                <c:pt idx="4828">
                  <c:v>9.5775576134799444E-3</c:v>
                </c:pt>
                <c:pt idx="4829">
                  <c:v>1.3235101573909674E-2</c:v>
                </c:pt>
                <c:pt idx="4830">
                  <c:v>1.0252904671920865E-2</c:v>
                </c:pt>
                <c:pt idx="4831">
                  <c:v>1.0586014647032075E-2</c:v>
                </c:pt>
                <c:pt idx="4832">
                  <c:v>8.9467136043713067E-3</c:v>
                </c:pt>
                <c:pt idx="4833">
                  <c:v>1.0355905552436883E-2</c:v>
                </c:pt>
                <c:pt idx="4834">
                  <c:v>1.7510473439356466E-2</c:v>
                </c:pt>
                <c:pt idx="4835">
                  <c:v>1.1179927036371601E-2</c:v>
                </c:pt>
                <c:pt idx="4836">
                  <c:v>1.250442910540306E-2</c:v>
                </c:pt>
                <c:pt idx="4837">
                  <c:v>1.2076568066727526E-2</c:v>
                </c:pt>
                <c:pt idx="4838">
                  <c:v>1.2060148397858902E-2</c:v>
                </c:pt>
                <c:pt idx="4839">
                  <c:v>1.4233576141497164E-2</c:v>
                </c:pt>
                <c:pt idx="4840">
                  <c:v>1.045644882422677E-2</c:v>
                </c:pt>
                <c:pt idx="4841">
                  <c:v>1.3665375324547724E-2</c:v>
                </c:pt>
                <c:pt idx="4842">
                  <c:v>1.1903703850205104E-2</c:v>
                </c:pt>
                <c:pt idx="4843">
                  <c:v>1.0065433718900993E-2</c:v>
                </c:pt>
                <c:pt idx="4844">
                  <c:v>1.141929066941948E-2</c:v>
                </c:pt>
                <c:pt idx="4845">
                  <c:v>1.2047103666323679E-2</c:v>
                </c:pt>
                <c:pt idx="4846">
                  <c:v>1.531056276134444E-2</c:v>
                </c:pt>
                <c:pt idx="4847">
                  <c:v>1.5100839028059549E-2</c:v>
                </c:pt>
                <c:pt idx="4848">
                  <c:v>1.3574618806766987E-2</c:v>
                </c:pt>
                <c:pt idx="4849">
                  <c:v>1.2017298473806646E-2</c:v>
                </c:pt>
                <c:pt idx="4850">
                  <c:v>1.0743331515455749E-2</c:v>
                </c:pt>
                <c:pt idx="4851">
                  <c:v>1.1605114098001777E-2</c:v>
                </c:pt>
                <c:pt idx="4852">
                  <c:v>1.42896167439917E-2</c:v>
                </c:pt>
                <c:pt idx="4853">
                  <c:v>1.8632816319041266E-2</c:v>
                </c:pt>
                <c:pt idx="4854">
                  <c:v>1.4527917218624247E-2</c:v>
                </c:pt>
                <c:pt idx="4855">
                  <c:v>1.0354442937436955E-2</c:v>
                </c:pt>
                <c:pt idx="4856">
                  <c:v>1.2727228856096289E-2</c:v>
                </c:pt>
                <c:pt idx="4857">
                  <c:v>1.0688908269339562E-2</c:v>
                </c:pt>
                <c:pt idx="4858">
                  <c:v>8.4544784446440556E-3</c:v>
                </c:pt>
                <c:pt idx="4859">
                  <c:v>1.3385377906099566E-2</c:v>
                </c:pt>
                <c:pt idx="4860">
                  <c:v>1.0564304131102207E-2</c:v>
                </c:pt>
                <c:pt idx="4861">
                  <c:v>7.8715467147005835E-3</c:v>
                </c:pt>
                <c:pt idx="4862">
                  <c:v>1.095112747569274E-2</c:v>
                </c:pt>
                <c:pt idx="4863">
                  <c:v>1.0177492174877496E-2</c:v>
                </c:pt>
                <c:pt idx="4864">
                  <c:v>9.5581933910934645E-3</c:v>
                </c:pt>
                <c:pt idx="4865">
                  <c:v>8.7244914648570253E-3</c:v>
                </c:pt>
                <c:pt idx="4866">
                  <c:v>1.0940770481461849E-2</c:v>
                </c:pt>
                <c:pt idx="4867">
                  <c:v>9.5608769754964296E-3</c:v>
                </c:pt>
                <c:pt idx="4868">
                  <c:v>9.8303710126290012E-3</c:v>
                </c:pt>
                <c:pt idx="4869">
                  <c:v>1.1426830598472345E-2</c:v>
                </c:pt>
                <c:pt idx="4870">
                  <c:v>1.6104151801444786E-2</c:v>
                </c:pt>
                <c:pt idx="4871">
                  <c:v>1.2751756811853424E-2</c:v>
                </c:pt>
                <c:pt idx="4872">
                  <c:v>1.4920177949114707E-2</c:v>
                </c:pt>
                <c:pt idx="4873">
                  <c:v>1.1810553703896838E-2</c:v>
                </c:pt>
                <c:pt idx="4874">
                  <c:v>1.4866780971727009E-2</c:v>
                </c:pt>
                <c:pt idx="4875">
                  <c:v>8.217368965527402E-3</c:v>
                </c:pt>
                <c:pt idx="4876">
                  <c:v>1.7048298163367403E-2</c:v>
                </c:pt>
                <c:pt idx="4877">
                  <c:v>9.6921001153115402E-3</c:v>
                </c:pt>
                <c:pt idx="4878">
                  <c:v>1.0689297361678488E-2</c:v>
                </c:pt>
                <c:pt idx="4879">
                  <c:v>1.2078879731767413E-2</c:v>
                </c:pt>
                <c:pt idx="4880">
                  <c:v>1.3419214055905765E-2</c:v>
                </c:pt>
                <c:pt idx="4881">
                  <c:v>8.9164830691905138E-3</c:v>
                </c:pt>
                <c:pt idx="4882">
                  <c:v>1.543673056052273E-2</c:v>
                </c:pt>
                <c:pt idx="4883">
                  <c:v>1.4437620865881592E-2</c:v>
                </c:pt>
                <c:pt idx="4884">
                  <c:v>1.1259143811721672E-2</c:v>
                </c:pt>
                <c:pt idx="4885">
                  <c:v>7.1995981764287143E-3</c:v>
                </c:pt>
                <c:pt idx="4886">
                  <c:v>1.1566946791553534E-2</c:v>
                </c:pt>
                <c:pt idx="4887">
                  <c:v>1.1878574293795423E-2</c:v>
                </c:pt>
                <c:pt idx="4888">
                  <c:v>1.2038517634107782E-2</c:v>
                </c:pt>
                <c:pt idx="4889">
                  <c:v>1.4491834634004143E-2</c:v>
                </c:pt>
                <c:pt idx="4890">
                  <c:v>9.5384525395558195E-3</c:v>
                </c:pt>
                <c:pt idx="4891">
                  <c:v>1.1584591583770419E-2</c:v>
                </c:pt>
                <c:pt idx="4892">
                  <c:v>1.4954738586532406E-2</c:v>
                </c:pt>
                <c:pt idx="4893">
                  <c:v>9.6329353238027177E-3</c:v>
                </c:pt>
                <c:pt idx="4894">
                  <c:v>1.3289896053169168E-2</c:v>
                </c:pt>
                <c:pt idx="4895">
                  <c:v>1.2161453094912743E-2</c:v>
                </c:pt>
                <c:pt idx="4896">
                  <c:v>1.0351527291318843E-2</c:v>
                </c:pt>
                <c:pt idx="4897">
                  <c:v>9.5086330867362977E-3</c:v>
                </c:pt>
                <c:pt idx="4898">
                  <c:v>1.3423456724859633E-2</c:v>
                </c:pt>
                <c:pt idx="4899">
                  <c:v>1.3264296359643194E-2</c:v>
                </c:pt>
                <c:pt idx="4900">
                  <c:v>1.3112645285827042E-2</c:v>
                </c:pt>
                <c:pt idx="4901">
                  <c:v>1.2682145627328558E-2</c:v>
                </c:pt>
                <c:pt idx="4902">
                  <c:v>1.1581907877881109E-2</c:v>
                </c:pt>
                <c:pt idx="4903">
                  <c:v>1.2570148383626537E-2</c:v>
                </c:pt>
                <c:pt idx="4904">
                  <c:v>1.3988823926128383E-2</c:v>
                </c:pt>
                <c:pt idx="4905">
                  <c:v>1.4043692715271394E-2</c:v>
                </c:pt>
                <c:pt idx="4906">
                  <c:v>1.2205879919369748E-2</c:v>
                </c:pt>
                <c:pt idx="4907">
                  <c:v>1.2072318550286398E-2</c:v>
                </c:pt>
                <c:pt idx="4908">
                  <c:v>9.7925775021546237E-3</c:v>
                </c:pt>
                <c:pt idx="4909">
                  <c:v>1.2688312055805756E-2</c:v>
                </c:pt>
                <c:pt idx="4910">
                  <c:v>1.4238892875717562E-2</c:v>
                </c:pt>
                <c:pt idx="4911">
                  <c:v>1.3175427178670115E-2</c:v>
                </c:pt>
                <c:pt idx="4912">
                  <c:v>1.2608016611870916E-2</c:v>
                </c:pt>
                <c:pt idx="4913">
                  <c:v>1.1014963439322598E-2</c:v>
                </c:pt>
                <c:pt idx="4914">
                  <c:v>1.2808584783120164E-2</c:v>
                </c:pt>
                <c:pt idx="4915">
                  <c:v>1.1826457288229566E-2</c:v>
                </c:pt>
                <c:pt idx="4916">
                  <c:v>1.1069415254556229E-2</c:v>
                </c:pt>
                <c:pt idx="4917">
                  <c:v>1.1803648309854045E-2</c:v>
                </c:pt>
                <c:pt idx="4918">
                  <c:v>9.3897863896010049E-3</c:v>
                </c:pt>
                <c:pt idx="4919">
                  <c:v>1.1578753071946139E-2</c:v>
                </c:pt>
                <c:pt idx="4920">
                  <c:v>1.1154488329982783E-2</c:v>
                </c:pt>
                <c:pt idx="4921">
                  <c:v>1.385147572973856E-2</c:v>
                </c:pt>
                <c:pt idx="4922">
                  <c:v>9.3519515438821865E-3</c:v>
                </c:pt>
                <c:pt idx="4923">
                  <c:v>9.7016288610306325E-3</c:v>
                </c:pt>
                <c:pt idx="4924">
                  <c:v>1.4741092200619182E-2</c:v>
                </c:pt>
                <c:pt idx="4925">
                  <c:v>9.4437560441294789E-3</c:v>
                </c:pt>
                <c:pt idx="4926">
                  <c:v>9.5089508917749234E-3</c:v>
                </c:pt>
                <c:pt idx="4927">
                  <c:v>1.2868042506159852E-2</c:v>
                </c:pt>
                <c:pt idx="4928">
                  <c:v>1.5118907106445157E-2</c:v>
                </c:pt>
                <c:pt idx="4929">
                  <c:v>1.2530848813485146E-2</c:v>
                </c:pt>
                <c:pt idx="4930">
                  <c:v>1.2147938149501401E-2</c:v>
                </c:pt>
                <c:pt idx="4931">
                  <c:v>1.3953123572033264E-2</c:v>
                </c:pt>
                <c:pt idx="4932">
                  <c:v>1.1299262495364094E-2</c:v>
                </c:pt>
                <c:pt idx="4933">
                  <c:v>1.1230524886323435E-2</c:v>
                </c:pt>
                <c:pt idx="4934">
                  <c:v>1.3254766386501872E-2</c:v>
                </c:pt>
                <c:pt idx="4935">
                  <c:v>1.2907530144145361E-2</c:v>
                </c:pt>
                <c:pt idx="4936">
                  <c:v>1.3019404262111733E-2</c:v>
                </c:pt>
                <c:pt idx="4937">
                  <c:v>1.0901065394649382E-2</c:v>
                </c:pt>
                <c:pt idx="4938">
                  <c:v>1.0745935173348689E-2</c:v>
                </c:pt>
                <c:pt idx="4939">
                  <c:v>1.6363939830737875E-2</c:v>
                </c:pt>
                <c:pt idx="4940">
                  <c:v>1.3848128992084725E-2</c:v>
                </c:pt>
                <c:pt idx="4941">
                  <c:v>1.280998446596055E-2</c:v>
                </c:pt>
                <c:pt idx="4942">
                  <c:v>1.1712070488590274E-2</c:v>
                </c:pt>
                <c:pt idx="4943">
                  <c:v>1.8355142029133541E-2</c:v>
                </c:pt>
                <c:pt idx="4944">
                  <c:v>1.6302644816629845E-2</c:v>
                </c:pt>
                <c:pt idx="4945">
                  <c:v>9.3128777462594351E-3</c:v>
                </c:pt>
                <c:pt idx="4946">
                  <c:v>1.2232407937675658E-2</c:v>
                </c:pt>
                <c:pt idx="4947">
                  <c:v>1.4685281819670463E-2</c:v>
                </c:pt>
                <c:pt idx="4948">
                  <c:v>1.170817195118648E-2</c:v>
                </c:pt>
                <c:pt idx="4949">
                  <c:v>1.4013600401221901E-2</c:v>
                </c:pt>
                <c:pt idx="4950">
                  <c:v>1.0912157059929074E-2</c:v>
                </c:pt>
                <c:pt idx="4951">
                  <c:v>9.8277175148242073E-3</c:v>
                </c:pt>
                <c:pt idx="4952">
                  <c:v>1.4231774677867771E-2</c:v>
                </c:pt>
                <c:pt idx="4953">
                  <c:v>1.1245036279678735E-2</c:v>
                </c:pt>
                <c:pt idx="4954">
                  <c:v>1.2433669813423131E-2</c:v>
                </c:pt>
                <c:pt idx="4955">
                  <c:v>1.0292018563362445E-2</c:v>
                </c:pt>
                <c:pt idx="4956">
                  <c:v>1.1217583445115002E-2</c:v>
                </c:pt>
                <c:pt idx="4957">
                  <c:v>1.163143211242801E-2</c:v>
                </c:pt>
                <c:pt idx="4958">
                  <c:v>1.5225753314779206E-2</c:v>
                </c:pt>
                <c:pt idx="4959">
                  <c:v>8.1748708476900595E-3</c:v>
                </c:pt>
                <c:pt idx="4960">
                  <c:v>1.1048860208107943E-2</c:v>
                </c:pt>
                <c:pt idx="4961">
                  <c:v>1.4043515527303246E-2</c:v>
                </c:pt>
                <c:pt idx="4962">
                  <c:v>1.3445765033333806E-2</c:v>
                </c:pt>
                <c:pt idx="4963">
                  <c:v>1.3283839717977287E-2</c:v>
                </c:pt>
                <c:pt idx="4964">
                  <c:v>1.2311965680652948E-2</c:v>
                </c:pt>
                <c:pt idx="4965">
                  <c:v>1.2654159337510358E-2</c:v>
                </c:pt>
                <c:pt idx="4966">
                  <c:v>1.1146891266936789E-2</c:v>
                </c:pt>
                <c:pt idx="4967">
                  <c:v>8.921263736606325E-3</c:v>
                </c:pt>
                <c:pt idx="4968">
                  <c:v>1.2971606261352813E-2</c:v>
                </c:pt>
                <c:pt idx="4969">
                  <c:v>9.7051568582961802E-3</c:v>
                </c:pt>
                <c:pt idx="4970">
                  <c:v>8.0811877137593989E-3</c:v>
                </c:pt>
                <c:pt idx="4971">
                  <c:v>1.0363216403924187E-2</c:v>
                </c:pt>
                <c:pt idx="4972">
                  <c:v>1.1686983953750795E-2</c:v>
                </c:pt>
                <c:pt idx="4973">
                  <c:v>9.7678088884454312E-3</c:v>
                </c:pt>
                <c:pt idx="4974">
                  <c:v>8.806150038866872E-3</c:v>
                </c:pt>
                <c:pt idx="4975">
                  <c:v>1.3544672194865031E-2</c:v>
                </c:pt>
                <c:pt idx="4976">
                  <c:v>1.135632746413205E-2</c:v>
                </c:pt>
                <c:pt idx="4977">
                  <c:v>1.2791975363384027E-2</c:v>
                </c:pt>
                <c:pt idx="4978">
                  <c:v>1.4343359446297345E-2</c:v>
                </c:pt>
                <c:pt idx="4979">
                  <c:v>1.4139225226278716E-2</c:v>
                </c:pt>
                <c:pt idx="4980">
                  <c:v>1.6857807754701956E-2</c:v>
                </c:pt>
                <c:pt idx="4981">
                  <c:v>1.1351301816358315E-2</c:v>
                </c:pt>
                <c:pt idx="4982">
                  <c:v>9.2454579250324052E-3</c:v>
                </c:pt>
                <c:pt idx="4983">
                  <c:v>1.1819030160914365E-2</c:v>
                </c:pt>
                <c:pt idx="4984">
                  <c:v>1.1969486314371853E-2</c:v>
                </c:pt>
                <c:pt idx="4985">
                  <c:v>1.456577782277294E-2</c:v>
                </c:pt>
                <c:pt idx="4986">
                  <c:v>1.3479102865740316E-2</c:v>
                </c:pt>
                <c:pt idx="4987">
                  <c:v>1.0148284690762652E-2</c:v>
                </c:pt>
                <c:pt idx="4988">
                  <c:v>9.6814802467331661E-3</c:v>
                </c:pt>
                <c:pt idx="4989">
                  <c:v>1.2360514088462379E-2</c:v>
                </c:pt>
                <c:pt idx="4990">
                  <c:v>1.0249992472554434E-2</c:v>
                </c:pt>
                <c:pt idx="4991">
                  <c:v>1.2689193029149323E-2</c:v>
                </c:pt>
                <c:pt idx="4992">
                  <c:v>1.0780915823219156E-2</c:v>
                </c:pt>
                <c:pt idx="4993">
                  <c:v>1.4265400983899246E-2</c:v>
                </c:pt>
                <c:pt idx="4994">
                  <c:v>1.1443447140988787E-2</c:v>
                </c:pt>
                <c:pt idx="4995">
                  <c:v>1.3209767216646242E-2</c:v>
                </c:pt>
                <c:pt idx="4996">
                  <c:v>1.1359053691869273E-2</c:v>
                </c:pt>
                <c:pt idx="4997">
                  <c:v>1.127442311495803E-2</c:v>
                </c:pt>
                <c:pt idx="4998">
                  <c:v>8.4021356513652012E-3</c:v>
                </c:pt>
                <c:pt idx="4999">
                  <c:v>1.2545224563354565E-2</c:v>
                </c:pt>
                <c:pt idx="5000">
                  <c:v>1.3695157328409513E-2</c:v>
                </c:pt>
                <c:pt idx="5001">
                  <c:v>1.7276651470874652E-2</c:v>
                </c:pt>
                <c:pt idx="5002">
                  <c:v>1.0514521969097938E-2</c:v>
                </c:pt>
                <c:pt idx="5003">
                  <c:v>1.2662332983273036E-2</c:v>
                </c:pt>
                <c:pt idx="5004">
                  <c:v>1.3860633702235522E-2</c:v>
                </c:pt>
                <c:pt idx="5005">
                  <c:v>1.2039107125154831E-2</c:v>
                </c:pt>
                <c:pt idx="5006">
                  <c:v>1.0683456077028813E-2</c:v>
                </c:pt>
                <c:pt idx="5007">
                  <c:v>9.7755819830727154E-3</c:v>
                </c:pt>
                <c:pt idx="5008">
                  <c:v>1.3617608577926979E-2</c:v>
                </c:pt>
                <c:pt idx="5009">
                  <c:v>9.137453597222539E-3</c:v>
                </c:pt>
                <c:pt idx="5010">
                  <c:v>9.5243598531624361E-3</c:v>
                </c:pt>
                <c:pt idx="5011">
                  <c:v>1.3952987212541733E-2</c:v>
                </c:pt>
                <c:pt idx="5012">
                  <c:v>1.1717456922383651E-2</c:v>
                </c:pt>
                <c:pt idx="5013">
                  <c:v>1.3114001082039133E-2</c:v>
                </c:pt>
                <c:pt idx="5014">
                  <c:v>9.733231839220452E-3</c:v>
                </c:pt>
                <c:pt idx="5015">
                  <c:v>9.9511713618173712E-3</c:v>
                </c:pt>
                <c:pt idx="5016">
                  <c:v>1.1580591539715792E-2</c:v>
                </c:pt>
                <c:pt idx="5017">
                  <c:v>1.5925043434583792E-2</c:v>
                </c:pt>
                <c:pt idx="5018">
                  <c:v>1.0204955572266574E-2</c:v>
                </c:pt>
                <c:pt idx="5019">
                  <c:v>1.1538041663778423E-2</c:v>
                </c:pt>
                <c:pt idx="5020">
                  <c:v>1.2539005254443986E-2</c:v>
                </c:pt>
                <c:pt idx="5021">
                  <c:v>1.5889214519347713E-2</c:v>
                </c:pt>
                <c:pt idx="5022">
                  <c:v>9.8314197616267609E-3</c:v>
                </c:pt>
                <c:pt idx="5023">
                  <c:v>1.3345738838697991E-2</c:v>
                </c:pt>
                <c:pt idx="5024">
                  <c:v>8.5504915000280575E-3</c:v>
                </c:pt>
                <c:pt idx="5025">
                  <c:v>1.2763416923457404E-2</c:v>
                </c:pt>
                <c:pt idx="5026">
                  <c:v>9.7063799216331008E-3</c:v>
                </c:pt>
                <c:pt idx="5027">
                  <c:v>1.0515612551257656E-2</c:v>
                </c:pt>
                <c:pt idx="5028">
                  <c:v>9.8256638893663688E-3</c:v>
                </c:pt>
                <c:pt idx="5029">
                  <c:v>1.1793387691749244E-2</c:v>
                </c:pt>
                <c:pt idx="5030">
                  <c:v>1.3610194843534859E-2</c:v>
                </c:pt>
                <c:pt idx="5031">
                  <c:v>1.5962952041556761E-2</c:v>
                </c:pt>
                <c:pt idx="5032">
                  <c:v>1.3171465296057193E-2</c:v>
                </c:pt>
                <c:pt idx="5033">
                  <c:v>1.203539482580861E-2</c:v>
                </c:pt>
                <c:pt idx="5034">
                  <c:v>1.1469553931823619E-2</c:v>
                </c:pt>
                <c:pt idx="5035">
                  <c:v>1.281819081316456E-2</c:v>
                </c:pt>
                <c:pt idx="5036">
                  <c:v>9.7530063389576239E-3</c:v>
                </c:pt>
                <c:pt idx="5037">
                  <c:v>1.2027957077993741E-2</c:v>
                </c:pt>
                <c:pt idx="5038">
                  <c:v>1.0580615596614317E-2</c:v>
                </c:pt>
                <c:pt idx="5039">
                  <c:v>1.1992951234876384E-2</c:v>
                </c:pt>
                <c:pt idx="5040">
                  <c:v>1.0525968669987435E-2</c:v>
                </c:pt>
                <c:pt idx="5041">
                  <c:v>1.2128324643876856E-2</c:v>
                </c:pt>
                <c:pt idx="5042">
                  <c:v>1.0329226190412981E-2</c:v>
                </c:pt>
                <c:pt idx="5043">
                  <c:v>1.4299766175666147E-2</c:v>
                </c:pt>
                <c:pt idx="5044">
                  <c:v>1.253238719596173E-2</c:v>
                </c:pt>
                <c:pt idx="5045">
                  <c:v>1.2629131311094798E-2</c:v>
                </c:pt>
                <c:pt idx="5046">
                  <c:v>1.3605231448855287E-2</c:v>
                </c:pt>
                <c:pt idx="5047">
                  <c:v>1.2573614809082539E-2</c:v>
                </c:pt>
                <c:pt idx="5048">
                  <c:v>1.0253284954353254E-2</c:v>
                </c:pt>
                <c:pt idx="5049">
                  <c:v>1.5356790418029514E-2</c:v>
                </c:pt>
                <c:pt idx="5050">
                  <c:v>8.6211734926711341E-3</c:v>
                </c:pt>
                <c:pt idx="5051">
                  <c:v>9.448952187370345E-3</c:v>
                </c:pt>
                <c:pt idx="5052">
                  <c:v>1.1094201153977669E-2</c:v>
                </c:pt>
                <c:pt idx="5053">
                  <c:v>1.2103496814839083E-2</c:v>
                </c:pt>
                <c:pt idx="5054">
                  <c:v>1.1797210574345808E-2</c:v>
                </c:pt>
                <c:pt idx="5055">
                  <c:v>8.1987386678097837E-3</c:v>
                </c:pt>
                <c:pt idx="5056">
                  <c:v>1.0552819401012296E-2</c:v>
                </c:pt>
                <c:pt idx="5057">
                  <c:v>1.1130087206608678E-2</c:v>
                </c:pt>
                <c:pt idx="5058">
                  <c:v>1.2979822693571329E-2</c:v>
                </c:pt>
                <c:pt idx="5059">
                  <c:v>1.3371623321244811E-2</c:v>
                </c:pt>
                <c:pt idx="5060">
                  <c:v>1.5629549930903975E-2</c:v>
                </c:pt>
                <c:pt idx="5061">
                  <c:v>1.1181307506448203E-2</c:v>
                </c:pt>
                <c:pt idx="5062">
                  <c:v>1.2042818282321472E-2</c:v>
                </c:pt>
                <c:pt idx="5063">
                  <c:v>1.0002970463416755E-2</c:v>
                </c:pt>
                <c:pt idx="5064">
                  <c:v>8.7619797909785201E-3</c:v>
                </c:pt>
                <c:pt idx="5065">
                  <c:v>1.3773142956135607E-2</c:v>
                </c:pt>
                <c:pt idx="5066">
                  <c:v>1.0020266107922542E-2</c:v>
                </c:pt>
                <c:pt idx="5067">
                  <c:v>8.6556227128917317E-3</c:v>
                </c:pt>
                <c:pt idx="5068">
                  <c:v>7.2817776600635634E-3</c:v>
                </c:pt>
                <c:pt idx="5069">
                  <c:v>9.7240684016572619E-3</c:v>
                </c:pt>
                <c:pt idx="5070">
                  <c:v>1.0394984379660396E-2</c:v>
                </c:pt>
                <c:pt idx="5071">
                  <c:v>1.5198357213388854E-2</c:v>
                </c:pt>
                <c:pt idx="5072">
                  <c:v>1.4170624272580012E-2</c:v>
                </c:pt>
                <c:pt idx="5073">
                  <c:v>1.4034643450724096E-2</c:v>
                </c:pt>
                <c:pt idx="5074">
                  <c:v>1.3552912828473358E-2</c:v>
                </c:pt>
                <c:pt idx="5075">
                  <c:v>1.3869015219521585E-2</c:v>
                </c:pt>
                <c:pt idx="5076">
                  <c:v>1.3227092881829506E-2</c:v>
                </c:pt>
                <c:pt idx="5077">
                  <c:v>9.4213950670058253E-3</c:v>
                </c:pt>
                <c:pt idx="5078">
                  <c:v>9.0795817039022834E-3</c:v>
                </c:pt>
                <c:pt idx="5079">
                  <c:v>1.1489642291579933E-2</c:v>
                </c:pt>
                <c:pt idx="5080">
                  <c:v>1.2178365179926721E-2</c:v>
                </c:pt>
                <c:pt idx="5081">
                  <c:v>1.2647839800804556E-2</c:v>
                </c:pt>
                <c:pt idx="5082">
                  <c:v>1.3302892839290785E-2</c:v>
                </c:pt>
                <c:pt idx="5083">
                  <c:v>1.3323113233721947E-2</c:v>
                </c:pt>
                <c:pt idx="5084">
                  <c:v>8.2061046366905047E-3</c:v>
                </c:pt>
                <c:pt idx="5085">
                  <c:v>1.3148217212111868E-2</c:v>
                </c:pt>
                <c:pt idx="5086">
                  <c:v>8.795450649435526E-3</c:v>
                </c:pt>
                <c:pt idx="5087">
                  <c:v>9.5092025958972651E-3</c:v>
                </c:pt>
                <c:pt idx="5088">
                  <c:v>1.0936884087181705E-2</c:v>
                </c:pt>
                <c:pt idx="5089">
                  <c:v>8.7255674967407961E-3</c:v>
                </c:pt>
                <c:pt idx="5090">
                  <c:v>1.6138524939065091E-2</c:v>
                </c:pt>
                <c:pt idx="5091">
                  <c:v>1.0584557846702133E-2</c:v>
                </c:pt>
                <c:pt idx="5092">
                  <c:v>1.7257924076181982E-2</c:v>
                </c:pt>
                <c:pt idx="5093">
                  <c:v>1.1720952006871141E-2</c:v>
                </c:pt>
                <c:pt idx="5094">
                  <c:v>1.6754448071590045E-2</c:v>
                </c:pt>
                <c:pt idx="5095">
                  <c:v>1.0812302355333165E-2</c:v>
                </c:pt>
                <c:pt idx="5096">
                  <c:v>1.2178898052687074E-2</c:v>
                </c:pt>
                <c:pt idx="5097">
                  <c:v>1.0086226430465686E-2</c:v>
                </c:pt>
                <c:pt idx="5098">
                  <c:v>1.0462959246926066E-2</c:v>
                </c:pt>
                <c:pt idx="5099">
                  <c:v>1.1403340694996704E-2</c:v>
                </c:pt>
                <c:pt idx="5100">
                  <c:v>1.3966265637473297E-2</c:v>
                </c:pt>
                <c:pt idx="5101">
                  <c:v>1.3022262979344348E-2</c:v>
                </c:pt>
                <c:pt idx="5102">
                  <c:v>1.0646862576233674E-2</c:v>
                </c:pt>
                <c:pt idx="5103">
                  <c:v>1.0842578526199397E-2</c:v>
                </c:pt>
                <c:pt idx="5104">
                  <c:v>1.2339078335496748E-2</c:v>
                </c:pt>
                <c:pt idx="5105">
                  <c:v>1.4149122936325247E-2</c:v>
                </c:pt>
                <c:pt idx="5106">
                  <c:v>9.9073627528674171E-3</c:v>
                </c:pt>
                <c:pt idx="5107">
                  <c:v>1.2816237343786334E-2</c:v>
                </c:pt>
                <c:pt idx="5108">
                  <c:v>1.0162890488685581E-2</c:v>
                </c:pt>
                <c:pt idx="5109">
                  <c:v>1.4714709954130644E-2</c:v>
                </c:pt>
                <c:pt idx="5110">
                  <c:v>1.2877409732270632E-2</c:v>
                </c:pt>
                <c:pt idx="5111">
                  <c:v>1.0249120816997826E-2</c:v>
                </c:pt>
                <c:pt idx="5112">
                  <c:v>8.7959176713592203E-3</c:v>
                </c:pt>
                <c:pt idx="5113">
                  <c:v>1.2235597927133851E-2</c:v>
                </c:pt>
                <c:pt idx="5114">
                  <c:v>1.0566202322385473E-2</c:v>
                </c:pt>
                <c:pt idx="5115">
                  <c:v>1.3708903068446791E-2</c:v>
                </c:pt>
                <c:pt idx="5116">
                  <c:v>1.1891895860440971E-2</c:v>
                </c:pt>
                <c:pt idx="5117">
                  <c:v>1.0738023536217651E-2</c:v>
                </c:pt>
                <c:pt idx="5118">
                  <c:v>1.4050123015091393E-2</c:v>
                </c:pt>
                <c:pt idx="5119">
                  <c:v>1.3431916576602311E-2</c:v>
                </c:pt>
                <c:pt idx="5120">
                  <c:v>1.5389339130060086E-2</c:v>
                </c:pt>
                <c:pt idx="5121">
                  <c:v>1.1357733378942346E-2</c:v>
                </c:pt>
                <c:pt idx="5122">
                  <c:v>1.2387416229769915E-2</c:v>
                </c:pt>
                <c:pt idx="5123">
                  <c:v>9.365951364097725E-3</c:v>
                </c:pt>
                <c:pt idx="5124">
                  <c:v>1.0745336685944535E-2</c:v>
                </c:pt>
                <c:pt idx="5125">
                  <c:v>8.429240785831623E-3</c:v>
                </c:pt>
                <c:pt idx="5126">
                  <c:v>1.1238880412439598E-2</c:v>
                </c:pt>
                <c:pt idx="5127">
                  <c:v>8.4985431916216325E-3</c:v>
                </c:pt>
                <c:pt idx="5128">
                  <c:v>1.3476168429815737E-2</c:v>
                </c:pt>
                <c:pt idx="5129">
                  <c:v>1.0285399210977188E-2</c:v>
                </c:pt>
                <c:pt idx="5130">
                  <c:v>1.0187361962634572E-2</c:v>
                </c:pt>
                <c:pt idx="5131">
                  <c:v>1.2135744431401705E-2</c:v>
                </c:pt>
                <c:pt idx="5132">
                  <c:v>1.2244812584987677E-2</c:v>
                </c:pt>
                <c:pt idx="5133">
                  <c:v>1.1669199277086324E-2</c:v>
                </c:pt>
                <c:pt idx="5134">
                  <c:v>1.0826543936154041E-2</c:v>
                </c:pt>
                <c:pt idx="5135">
                  <c:v>1.2361013961036426E-2</c:v>
                </c:pt>
                <c:pt idx="5136">
                  <c:v>1.2769290594636488E-2</c:v>
                </c:pt>
                <c:pt idx="5137">
                  <c:v>1.2637626901247848E-2</c:v>
                </c:pt>
                <c:pt idx="5138">
                  <c:v>1.1080557533376813E-2</c:v>
                </c:pt>
                <c:pt idx="5139">
                  <c:v>1.5959619758342414E-2</c:v>
                </c:pt>
                <c:pt idx="5140">
                  <c:v>1.0889527889634728E-2</c:v>
                </c:pt>
                <c:pt idx="5141">
                  <c:v>1.7874154562838782E-2</c:v>
                </c:pt>
                <c:pt idx="5142">
                  <c:v>9.8885524677405044E-3</c:v>
                </c:pt>
                <c:pt idx="5143">
                  <c:v>1.2334493027905806E-2</c:v>
                </c:pt>
                <c:pt idx="5144">
                  <c:v>9.8429507981623431E-3</c:v>
                </c:pt>
                <c:pt idx="5145">
                  <c:v>1.2419283785065238E-2</c:v>
                </c:pt>
                <c:pt idx="5146">
                  <c:v>1.0076265488521099E-2</c:v>
                </c:pt>
                <c:pt idx="5147">
                  <c:v>1.285807941237033E-2</c:v>
                </c:pt>
                <c:pt idx="5148">
                  <c:v>1.0157961816776133E-2</c:v>
                </c:pt>
                <c:pt idx="5149">
                  <c:v>1.0227238602132184E-2</c:v>
                </c:pt>
                <c:pt idx="5150">
                  <c:v>1.3470296507272715E-2</c:v>
                </c:pt>
                <c:pt idx="5151">
                  <c:v>1.4310704814837243E-2</c:v>
                </c:pt>
                <c:pt idx="5152">
                  <c:v>8.788727821819324E-3</c:v>
                </c:pt>
                <c:pt idx="5153">
                  <c:v>1.1792052111593652E-2</c:v>
                </c:pt>
                <c:pt idx="5154">
                  <c:v>1.0872890037622013E-2</c:v>
                </c:pt>
                <c:pt idx="5155">
                  <c:v>1.4265384611009183E-2</c:v>
                </c:pt>
                <c:pt idx="5156">
                  <c:v>1.2185226548751052E-2</c:v>
                </c:pt>
                <c:pt idx="5157">
                  <c:v>1.2757270042028056E-2</c:v>
                </c:pt>
                <c:pt idx="5158">
                  <c:v>1.2710242973102685E-2</c:v>
                </c:pt>
                <c:pt idx="5159">
                  <c:v>1.0350017015888682E-2</c:v>
                </c:pt>
                <c:pt idx="5160">
                  <c:v>1.0860522966269286E-2</c:v>
                </c:pt>
                <c:pt idx="5161">
                  <c:v>9.7146727316061565E-3</c:v>
                </c:pt>
                <c:pt idx="5162">
                  <c:v>1.5077589495643265E-2</c:v>
                </c:pt>
                <c:pt idx="5163">
                  <c:v>1.0757635163530071E-2</c:v>
                </c:pt>
                <c:pt idx="5164">
                  <c:v>7.4616790654224987E-3</c:v>
                </c:pt>
                <c:pt idx="5165">
                  <c:v>1.0561112651624995E-2</c:v>
                </c:pt>
                <c:pt idx="5166">
                  <c:v>1.5459138323537175E-2</c:v>
                </c:pt>
                <c:pt idx="5167">
                  <c:v>1.1223292971515897E-2</c:v>
                </c:pt>
                <c:pt idx="5168">
                  <c:v>1.0258631646966089E-2</c:v>
                </c:pt>
                <c:pt idx="5169">
                  <c:v>8.5869208813084096E-3</c:v>
                </c:pt>
                <c:pt idx="5170">
                  <c:v>1.4572285653389862E-2</c:v>
                </c:pt>
                <c:pt idx="5171">
                  <c:v>1.2767951560536863E-2</c:v>
                </c:pt>
                <c:pt idx="5172">
                  <c:v>1.1467202646712251E-2</c:v>
                </c:pt>
                <c:pt idx="5173">
                  <c:v>1.1164588464847847E-2</c:v>
                </c:pt>
                <c:pt idx="5174">
                  <c:v>1.2251610437074806E-2</c:v>
                </c:pt>
                <c:pt idx="5175">
                  <c:v>1.1257377548819924E-2</c:v>
                </c:pt>
                <c:pt idx="5176">
                  <c:v>1.2083869857620414E-2</c:v>
                </c:pt>
                <c:pt idx="5177">
                  <c:v>1.0026244499846541E-2</c:v>
                </c:pt>
                <c:pt idx="5178">
                  <c:v>1.1321921929044826E-2</c:v>
                </c:pt>
                <c:pt idx="5179">
                  <c:v>9.1545939623553733E-3</c:v>
                </c:pt>
                <c:pt idx="5180">
                  <c:v>1.2127884869064801E-2</c:v>
                </c:pt>
                <c:pt idx="5181">
                  <c:v>1.1567839877499401E-2</c:v>
                </c:pt>
                <c:pt idx="5182">
                  <c:v>1.3422516525075102E-2</c:v>
                </c:pt>
                <c:pt idx="5183">
                  <c:v>8.3522399552016322E-3</c:v>
                </c:pt>
                <c:pt idx="5184">
                  <c:v>9.5286483095515101E-3</c:v>
                </c:pt>
                <c:pt idx="5185">
                  <c:v>1.2481359811724851E-2</c:v>
                </c:pt>
                <c:pt idx="5186">
                  <c:v>1.3624489431853567E-2</c:v>
                </c:pt>
                <c:pt idx="5187">
                  <c:v>1.01245842539561E-2</c:v>
                </c:pt>
                <c:pt idx="5188">
                  <c:v>9.0942705091222337E-3</c:v>
                </c:pt>
                <c:pt idx="5189">
                  <c:v>9.5867593695442045E-3</c:v>
                </c:pt>
                <c:pt idx="5190">
                  <c:v>1.076534749307835E-2</c:v>
                </c:pt>
                <c:pt idx="5191">
                  <c:v>9.0383597452686135E-3</c:v>
                </c:pt>
                <c:pt idx="5192">
                  <c:v>1.0099609188790231E-2</c:v>
                </c:pt>
                <c:pt idx="5193">
                  <c:v>1.4088231826869661E-2</c:v>
                </c:pt>
                <c:pt idx="5194">
                  <c:v>1.1648193375967768E-2</c:v>
                </c:pt>
                <c:pt idx="5195">
                  <c:v>1.3271594369047348E-2</c:v>
                </c:pt>
                <c:pt idx="5196">
                  <c:v>1.650729901059993E-2</c:v>
                </c:pt>
                <c:pt idx="5197">
                  <c:v>1.0591621459622204E-2</c:v>
                </c:pt>
                <c:pt idx="5198">
                  <c:v>1.0254619376359441E-2</c:v>
                </c:pt>
                <c:pt idx="5199">
                  <c:v>9.789658505499994E-3</c:v>
                </c:pt>
                <c:pt idx="5200">
                  <c:v>8.3037234426214888E-3</c:v>
                </c:pt>
                <c:pt idx="5201">
                  <c:v>1.2750505085199716E-2</c:v>
                </c:pt>
                <c:pt idx="5202">
                  <c:v>1.0868435162030069E-2</c:v>
                </c:pt>
                <c:pt idx="5203">
                  <c:v>8.4348686973040009E-3</c:v>
                </c:pt>
                <c:pt idx="5204">
                  <c:v>7.9729628605406371E-3</c:v>
                </c:pt>
                <c:pt idx="5205">
                  <c:v>1.3180476408070178E-2</c:v>
                </c:pt>
                <c:pt idx="5206">
                  <c:v>9.4611110509290799E-3</c:v>
                </c:pt>
                <c:pt idx="5207">
                  <c:v>1.3400411226231602E-2</c:v>
                </c:pt>
                <c:pt idx="5208">
                  <c:v>1.4066057322940119E-2</c:v>
                </c:pt>
                <c:pt idx="5209">
                  <c:v>1.0147295763144371E-2</c:v>
                </c:pt>
                <c:pt idx="5210">
                  <c:v>1.5385988410912745E-2</c:v>
                </c:pt>
                <c:pt idx="5211">
                  <c:v>1.4697188958539739E-2</c:v>
                </c:pt>
                <c:pt idx="5212">
                  <c:v>7.2806547863393132E-3</c:v>
                </c:pt>
                <c:pt idx="5213">
                  <c:v>1.1828155367171812E-2</c:v>
                </c:pt>
                <c:pt idx="5214">
                  <c:v>1.3366098584669067E-2</c:v>
                </c:pt>
                <c:pt idx="5215">
                  <c:v>1.1477039809663617E-2</c:v>
                </c:pt>
                <c:pt idx="5216">
                  <c:v>1.0730168317915395E-2</c:v>
                </c:pt>
                <c:pt idx="5217">
                  <c:v>9.0044870734390867E-3</c:v>
                </c:pt>
                <c:pt idx="5218">
                  <c:v>1.4756936882977854E-2</c:v>
                </c:pt>
                <c:pt idx="5219">
                  <c:v>1.4647067461163796E-2</c:v>
                </c:pt>
                <c:pt idx="5220">
                  <c:v>1.3684191734295068E-2</c:v>
                </c:pt>
                <c:pt idx="5221">
                  <c:v>1.3550318752474871E-2</c:v>
                </c:pt>
                <c:pt idx="5222">
                  <c:v>9.7330274400095791E-3</c:v>
                </c:pt>
                <c:pt idx="5223">
                  <c:v>1.244441303876802E-2</c:v>
                </c:pt>
                <c:pt idx="5224">
                  <c:v>1.2162415525298984E-2</c:v>
                </c:pt>
                <c:pt idx="5225">
                  <c:v>1.246190584102797E-2</c:v>
                </c:pt>
                <c:pt idx="5226">
                  <c:v>1.2749982417392957E-2</c:v>
                </c:pt>
                <c:pt idx="5227">
                  <c:v>1.2730184942276542E-2</c:v>
                </c:pt>
                <c:pt idx="5228">
                  <c:v>9.4576124182666962E-3</c:v>
                </c:pt>
                <c:pt idx="5229">
                  <c:v>9.2299594420522033E-3</c:v>
                </c:pt>
                <c:pt idx="5230">
                  <c:v>1.1259224645923565E-2</c:v>
                </c:pt>
                <c:pt idx="5231">
                  <c:v>7.7771854850236964E-3</c:v>
                </c:pt>
                <c:pt idx="5232">
                  <c:v>1.4698951054124566E-2</c:v>
                </c:pt>
                <c:pt idx="5233">
                  <c:v>9.8332670547583989E-3</c:v>
                </c:pt>
                <c:pt idx="5234">
                  <c:v>1.1044037443490869E-2</c:v>
                </c:pt>
                <c:pt idx="5235">
                  <c:v>1.0326772244883058E-2</c:v>
                </c:pt>
                <c:pt idx="5236">
                  <c:v>1.3023932224398321E-2</c:v>
                </c:pt>
                <c:pt idx="5237">
                  <c:v>1.1633973407229603E-2</c:v>
                </c:pt>
                <c:pt idx="5238">
                  <c:v>1.2115819216875687E-2</c:v>
                </c:pt>
                <c:pt idx="5239">
                  <c:v>1.3153100472731674E-2</c:v>
                </c:pt>
                <c:pt idx="5240">
                  <c:v>1.0295812791997486E-2</c:v>
                </c:pt>
                <c:pt idx="5241">
                  <c:v>9.6381842523266623E-3</c:v>
                </c:pt>
                <c:pt idx="5242">
                  <c:v>1.0873038627744438E-2</c:v>
                </c:pt>
                <c:pt idx="5243">
                  <c:v>1.3114313726140211E-2</c:v>
                </c:pt>
                <c:pt idx="5244">
                  <c:v>1.3158653167457656E-2</c:v>
                </c:pt>
                <c:pt idx="5245">
                  <c:v>1.2701613753937338E-2</c:v>
                </c:pt>
                <c:pt idx="5246">
                  <c:v>1.1434999419181375E-2</c:v>
                </c:pt>
                <c:pt idx="5247">
                  <c:v>1.0912044371466628E-2</c:v>
                </c:pt>
                <c:pt idx="5248">
                  <c:v>1.5521097894670342E-2</c:v>
                </c:pt>
                <c:pt idx="5249">
                  <c:v>1.415762364834444E-2</c:v>
                </c:pt>
                <c:pt idx="5250">
                  <c:v>9.3003279100230297E-3</c:v>
                </c:pt>
                <c:pt idx="5251">
                  <c:v>1.2073041864136772E-2</c:v>
                </c:pt>
                <c:pt idx="5252">
                  <c:v>1.1989824655061931E-2</c:v>
                </c:pt>
                <c:pt idx="5253">
                  <c:v>1.2438372041647007E-2</c:v>
                </c:pt>
                <c:pt idx="5254">
                  <c:v>9.3522198803301995E-3</c:v>
                </c:pt>
                <c:pt idx="5255">
                  <c:v>1.2152775502819816E-2</c:v>
                </c:pt>
                <c:pt idx="5256">
                  <c:v>1.4820627928086035E-2</c:v>
                </c:pt>
                <c:pt idx="5257">
                  <c:v>1.0170440510676426E-2</c:v>
                </c:pt>
                <c:pt idx="5258">
                  <c:v>1.4189811795781907E-2</c:v>
                </c:pt>
                <c:pt idx="5259">
                  <c:v>1.0865444224129866E-2</c:v>
                </c:pt>
                <c:pt idx="5260">
                  <c:v>1.2804221014597593E-2</c:v>
                </c:pt>
                <c:pt idx="5261">
                  <c:v>1.2693145004598854E-2</c:v>
                </c:pt>
                <c:pt idx="5262">
                  <c:v>1.458117311969959E-2</c:v>
                </c:pt>
                <c:pt idx="5263">
                  <c:v>1.2330759424811204E-2</c:v>
                </c:pt>
                <c:pt idx="5264">
                  <c:v>1.3837359672243824E-2</c:v>
                </c:pt>
                <c:pt idx="5265">
                  <c:v>1.1357968518899111E-2</c:v>
                </c:pt>
                <c:pt idx="5266">
                  <c:v>1.0614847873502959E-2</c:v>
                </c:pt>
                <c:pt idx="5267">
                  <c:v>1.162074538804839E-2</c:v>
                </c:pt>
                <c:pt idx="5268">
                  <c:v>8.3857758387182058E-3</c:v>
                </c:pt>
                <c:pt idx="5269">
                  <c:v>1.0067460951285081E-2</c:v>
                </c:pt>
                <c:pt idx="5270">
                  <c:v>1.139022172072324E-2</c:v>
                </c:pt>
                <c:pt idx="5271">
                  <c:v>1.1427259232438378E-2</c:v>
                </c:pt>
                <c:pt idx="5272">
                  <c:v>1.3061301392437778E-2</c:v>
                </c:pt>
                <c:pt idx="5273">
                  <c:v>1.6305581490429953E-2</c:v>
                </c:pt>
                <c:pt idx="5274">
                  <c:v>1.3142233664221388E-2</c:v>
                </c:pt>
                <c:pt idx="5275">
                  <c:v>1.2400655894461668E-2</c:v>
                </c:pt>
                <c:pt idx="5276">
                  <c:v>1.1720661819251651E-2</c:v>
                </c:pt>
                <c:pt idx="5277">
                  <c:v>1.0841900554523439E-2</c:v>
                </c:pt>
                <c:pt idx="5278">
                  <c:v>8.8885737014961132E-3</c:v>
                </c:pt>
                <c:pt idx="5279">
                  <c:v>1.1150930471687703E-2</c:v>
                </c:pt>
                <c:pt idx="5280">
                  <c:v>1.2144409819143396E-2</c:v>
                </c:pt>
                <c:pt idx="5281">
                  <c:v>1.0077439797534424E-2</c:v>
                </c:pt>
                <c:pt idx="5282">
                  <c:v>1.352155424392739E-2</c:v>
                </c:pt>
                <c:pt idx="5283">
                  <c:v>1.174838025925343E-2</c:v>
                </c:pt>
                <c:pt idx="5284">
                  <c:v>2.1998611953858872E-2</c:v>
                </c:pt>
                <c:pt idx="5285">
                  <c:v>1.1406938072735105E-2</c:v>
                </c:pt>
                <c:pt idx="5286">
                  <c:v>1.3318162618412017E-2</c:v>
                </c:pt>
                <c:pt idx="5287">
                  <c:v>9.8988435464817792E-3</c:v>
                </c:pt>
                <c:pt idx="5288">
                  <c:v>1.4274719201207924E-2</c:v>
                </c:pt>
                <c:pt idx="5289">
                  <c:v>8.2147649525371614E-3</c:v>
                </c:pt>
                <c:pt idx="5290">
                  <c:v>1.1645787953024135E-2</c:v>
                </c:pt>
                <c:pt idx="5291">
                  <c:v>1.15273568607435E-2</c:v>
                </c:pt>
                <c:pt idx="5292">
                  <c:v>8.2422854224394135E-3</c:v>
                </c:pt>
                <c:pt idx="5293">
                  <c:v>8.7019539221544866E-3</c:v>
                </c:pt>
                <c:pt idx="5294">
                  <c:v>1.2830329581375229E-2</c:v>
                </c:pt>
                <c:pt idx="5295">
                  <c:v>9.3831369837190631E-3</c:v>
                </c:pt>
                <c:pt idx="5296">
                  <c:v>1.3412496405035392E-2</c:v>
                </c:pt>
                <c:pt idx="5297">
                  <c:v>1.5567621666913235E-2</c:v>
                </c:pt>
                <c:pt idx="5298">
                  <c:v>1.0385119169176824E-2</c:v>
                </c:pt>
                <c:pt idx="5299">
                  <c:v>1.1830795070724468E-2</c:v>
                </c:pt>
                <c:pt idx="5300">
                  <c:v>1.0258186086865313E-2</c:v>
                </c:pt>
                <c:pt idx="5301">
                  <c:v>1.1785366258109954E-2</c:v>
                </c:pt>
                <c:pt idx="5302">
                  <c:v>1.1679492904783251E-2</c:v>
                </c:pt>
                <c:pt idx="5303">
                  <c:v>1.3773369556681604E-2</c:v>
                </c:pt>
                <c:pt idx="5304">
                  <c:v>1.0928225086844719E-2</c:v>
                </c:pt>
                <c:pt idx="5305">
                  <c:v>1.1243935159739685E-2</c:v>
                </c:pt>
                <c:pt idx="5306">
                  <c:v>8.0903624507338047E-3</c:v>
                </c:pt>
                <c:pt idx="5307">
                  <c:v>1.2715852018178981E-2</c:v>
                </c:pt>
                <c:pt idx="5308">
                  <c:v>9.9872428232636364E-3</c:v>
                </c:pt>
                <c:pt idx="5309">
                  <c:v>1.0649629119522112E-2</c:v>
                </c:pt>
                <c:pt idx="5310">
                  <c:v>1.2945930655157678E-2</c:v>
                </c:pt>
                <c:pt idx="5311">
                  <c:v>1.1282638502652124E-2</c:v>
                </c:pt>
                <c:pt idx="5312">
                  <c:v>1.3008091927805431E-2</c:v>
                </c:pt>
                <c:pt idx="5313">
                  <c:v>1.2065210953980833E-2</c:v>
                </c:pt>
                <c:pt idx="5314">
                  <c:v>9.2202783237016125E-3</c:v>
                </c:pt>
                <c:pt idx="5315">
                  <c:v>1.2663924987049609E-2</c:v>
                </c:pt>
                <c:pt idx="5316">
                  <c:v>8.7595945021769032E-3</c:v>
                </c:pt>
                <c:pt idx="5317">
                  <c:v>1.3177700636477049E-2</c:v>
                </c:pt>
                <c:pt idx="5318">
                  <c:v>1.727365360783515E-2</c:v>
                </c:pt>
                <c:pt idx="5319">
                  <c:v>1.3428254802506683E-2</c:v>
                </c:pt>
                <c:pt idx="5320">
                  <c:v>1.1275391758967185E-2</c:v>
                </c:pt>
                <c:pt idx="5321">
                  <c:v>1.5349200931366016E-2</c:v>
                </c:pt>
                <c:pt idx="5322">
                  <c:v>1.3402659902974257E-2</c:v>
                </c:pt>
                <c:pt idx="5323">
                  <c:v>1.0521225488343538E-2</c:v>
                </c:pt>
                <c:pt idx="5324">
                  <c:v>1.1429258359236329E-2</c:v>
                </c:pt>
                <c:pt idx="5325">
                  <c:v>1.1729691519989205E-2</c:v>
                </c:pt>
                <c:pt idx="5326">
                  <c:v>1.2035965878213574E-2</c:v>
                </c:pt>
                <c:pt idx="5327">
                  <c:v>9.8397910043434272E-3</c:v>
                </c:pt>
                <c:pt idx="5328">
                  <c:v>1.3183362620862223E-2</c:v>
                </c:pt>
                <c:pt idx="5329">
                  <c:v>1.184145432706526E-2</c:v>
                </c:pt>
                <c:pt idx="5330">
                  <c:v>1.1458540054519892E-2</c:v>
                </c:pt>
                <c:pt idx="5331">
                  <c:v>1.3145921805002935E-2</c:v>
                </c:pt>
                <c:pt idx="5332">
                  <c:v>1.0773365179721463E-2</c:v>
                </c:pt>
                <c:pt idx="5333">
                  <c:v>1.4205718625461512E-2</c:v>
                </c:pt>
                <c:pt idx="5334">
                  <c:v>1.3020234111763731E-2</c:v>
                </c:pt>
                <c:pt idx="5335">
                  <c:v>1.3177575956246617E-2</c:v>
                </c:pt>
                <c:pt idx="5336">
                  <c:v>1.0761781294831926E-2</c:v>
                </c:pt>
                <c:pt idx="5337">
                  <c:v>1.1647926846481763E-2</c:v>
                </c:pt>
                <c:pt idx="5338">
                  <c:v>1.492702365551583E-2</c:v>
                </c:pt>
                <c:pt idx="5339">
                  <c:v>8.4057254855290468E-3</c:v>
                </c:pt>
                <c:pt idx="5340">
                  <c:v>1.2176866834712913E-2</c:v>
                </c:pt>
                <c:pt idx="5341">
                  <c:v>1.3908748335055864E-2</c:v>
                </c:pt>
                <c:pt idx="5342">
                  <c:v>9.4958004402771416E-3</c:v>
                </c:pt>
                <c:pt idx="5343">
                  <c:v>1.092815561274431E-2</c:v>
                </c:pt>
                <c:pt idx="5344">
                  <c:v>9.8931385227745035E-3</c:v>
                </c:pt>
                <c:pt idx="5345">
                  <c:v>9.2256615692189684E-3</c:v>
                </c:pt>
                <c:pt idx="5346">
                  <c:v>7.8379919602839954E-3</c:v>
                </c:pt>
                <c:pt idx="5347">
                  <c:v>1.2416448312061668E-2</c:v>
                </c:pt>
                <c:pt idx="5348">
                  <c:v>9.7832804408262367E-3</c:v>
                </c:pt>
                <c:pt idx="5349">
                  <c:v>9.3913557076314869E-3</c:v>
                </c:pt>
                <c:pt idx="5350">
                  <c:v>1.1042012894196531E-2</c:v>
                </c:pt>
                <c:pt idx="5351">
                  <c:v>1.0489239521601728E-2</c:v>
                </c:pt>
                <c:pt idx="5352">
                  <c:v>1.0530944096573768E-2</c:v>
                </c:pt>
                <c:pt idx="5353">
                  <c:v>1.0363062671568236E-2</c:v>
                </c:pt>
                <c:pt idx="5354">
                  <c:v>9.0886493113995718E-3</c:v>
                </c:pt>
                <c:pt idx="5355">
                  <c:v>1.0824933417847928E-2</c:v>
                </c:pt>
                <c:pt idx="5356">
                  <c:v>9.7984707368958951E-3</c:v>
                </c:pt>
                <c:pt idx="5357">
                  <c:v>1.4233127792231274E-2</c:v>
                </c:pt>
                <c:pt idx="5358">
                  <c:v>8.3400384451329697E-3</c:v>
                </c:pt>
                <c:pt idx="5359">
                  <c:v>1.559993099264179E-2</c:v>
                </c:pt>
                <c:pt idx="5360">
                  <c:v>9.6714079333754012E-3</c:v>
                </c:pt>
                <c:pt idx="5361">
                  <c:v>1.2085104043902463E-2</c:v>
                </c:pt>
                <c:pt idx="5362">
                  <c:v>1.3178456103896593E-2</c:v>
                </c:pt>
                <c:pt idx="5363">
                  <c:v>1.2237774256896863E-2</c:v>
                </c:pt>
                <c:pt idx="5364">
                  <c:v>9.4817624909749754E-3</c:v>
                </c:pt>
                <c:pt idx="5365">
                  <c:v>1.41069739935589E-2</c:v>
                </c:pt>
                <c:pt idx="5366">
                  <c:v>1.0945774022082818E-2</c:v>
                </c:pt>
                <c:pt idx="5367">
                  <c:v>1.3613601291579796E-2</c:v>
                </c:pt>
                <c:pt idx="5368">
                  <c:v>1.3245337641099328E-2</c:v>
                </c:pt>
                <c:pt idx="5369">
                  <c:v>1.1956681236257496E-2</c:v>
                </c:pt>
                <c:pt idx="5370">
                  <c:v>1.7558467976605072E-2</c:v>
                </c:pt>
                <c:pt idx="5371">
                  <c:v>1.0897551035694506E-2</c:v>
                </c:pt>
                <c:pt idx="5372">
                  <c:v>8.1701643893385308E-3</c:v>
                </c:pt>
                <c:pt idx="5373">
                  <c:v>1.0115283618105585E-2</c:v>
                </c:pt>
                <c:pt idx="5374">
                  <c:v>1.2683262302263968E-2</c:v>
                </c:pt>
                <c:pt idx="5375">
                  <c:v>1.041603529201946E-2</c:v>
                </c:pt>
                <c:pt idx="5376">
                  <c:v>1.2356886099996659E-2</c:v>
                </c:pt>
                <c:pt idx="5377">
                  <c:v>1.3258319118998508E-2</c:v>
                </c:pt>
                <c:pt idx="5378">
                  <c:v>7.6430131038833062E-3</c:v>
                </c:pt>
                <c:pt idx="5379">
                  <c:v>8.4225781575660904E-3</c:v>
                </c:pt>
                <c:pt idx="5380">
                  <c:v>1.392329494935351E-2</c:v>
                </c:pt>
                <c:pt idx="5381">
                  <c:v>1.2565224499485883E-2</c:v>
                </c:pt>
                <c:pt idx="5382">
                  <c:v>1.6707750695357806E-2</c:v>
                </c:pt>
                <c:pt idx="5383">
                  <c:v>9.2662134488518417E-3</c:v>
                </c:pt>
                <c:pt idx="5384">
                  <c:v>1.3703299799822252E-2</c:v>
                </c:pt>
                <c:pt idx="5385">
                  <c:v>1.4450148942320157E-2</c:v>
                </c:pt>
                <c:pt idx="5386">
                  <c:v>2.0383539594502228E-2</c:v>
                </c:pt>
                <c:pt idx="5387">
                  <c:v>1.2309205326208876E-2</c:v>
                </c:pt>
                <c:pt idx="5388">
                  <c:v>1.1210495647754774E-2</c:v>
                </c:pt>
                <c:pt idx="5389">
                  <c:v>1.0105816250733615E-2</c:v>
                </c:pt>
                <c:pt idx="5390">
                  <c:v>1.5557214220815227E-2</c:v>
                </c:pt>
                <c:pt idx="5391">
                  <c:v>1.0700043970120024E-2</c:v>
                </c:pt>
                <c:pt idx="5392">
                  <c:v>1.0124591581292853E-2</c:v>
                </c:pt>
                <c:pt idx="5393">
                  <c:v>1.2066241088394864E-2</c:v>
                </c:pt>
                <c:pt idx="5394">
                  <c:v>1.3235239824142752E-2</c:v>
                </c:pt>
                <c:pt idx="5395">
                  <c:v>1.171185217319661E-2</c:v>
                </c:pt>
                <c:pt idx="5396">
                  <c:v>8.3029801020729418E-3</c:v>
                </c:pt>
                <c:pt idx="5397">
                  <c:v>1.1252388455269246E-2</c:v>
                </c:pt>
                <c:pt idx="5398">
                  <c:v>1.2182762132632658E-2</c:v>
                </c:pt>
                <c:pt idx="5399">
                  <c:v>1.2749691546979027E-2</c:v>
                </c:pt>
                <c:pt idx="5400">
                  <c:v>1.3515415914627082E-2</c:v>
                </c:pt>
                <c:pt idx="5401">
                  <c:v>9.4390727593133793E-3</c:v>
                </c:pt>
                <c:pt idx="5402">
                  <c:v>1.1176217513635935E-2</c:v>
                </c:pt>
                <c:pt idx="5403">
                  <c:v>9.522756508088235E-3</c:v>
                </c:pt>
                <c:pt idx="5404">
                  <c:v>1.4719001899332547E-2</c:v>
                </c:pt>
                <c:pt idx="5405">
                  <c:v>1.0428144312241646E-2</c:v>
                </c:pt>
                <c:pt idx="5406">
                  <c:v>1.2378494822507646E-2</c:v>
                </c:pt>
                <c:pt idx="5407">
                  <c:v>1.2312040212857032E-2</c:v>
                </c:pt>
                <c:pt idx="5408">
                  <c:v>1.256677737518243E-2</c:v>
                </c:pt>
                <c:pt idx="5409">
                  <c:v>1.3192071527584932E-2</c:v>
                </c:pt>
                <c:pt idx="5410">
                  <c:v>1.2962619561507809E-2</c:v>
                </c:pt>
                <c:pt idx="5411">
                  <c:v>1.0457248049702366E-2</c:v>
                </c:pt>
                <c:pt idx="5412">
                  <c:v>9.7226290134528846E-3</c:v>
                </c:pt>
                <c:pt idx="5413">
                  <c:v>1.0486673698137907E-2</c:v>
                </c:pt>
                <c:pt idx="5414">
                  <c:v>1.3846644072728407E-2</c:v>
                </c:pt>
                <c:pt idx="5415">
                  <c:v>1.0946382950227854E-2</c:v>
                </c:pt>
                <c:pt idx="5416">
                  <c:v>1.2577048401642843E-2</c:v>
                </c:pt>
                <c:pt idx="5417">
                  <c:v>8.3459177707435172E-3</c:v>
                </c:pt>
                <c:pt idx="5418">
                  <c:v>1.2210835569653656E-2</c:v>
                </c:pt>
                <c:pt idx="5419">
                  <c:v>1.1935879260675908E-2</c:v>
                </c:pt>
                <c:pt idx="5420">
                  <c:v>1.181006254644814E-2</c:v>
                </c:pt>
                <c:pt idx="5421">
                  <c:v>1.1496121162433754E-2</c:v>
                </c:pt>
                <c:pt idx="5422">
                  <c:v>1.345923856978082E-2</c:v>
                </c:pt>
                <c:pt idx="5423">
                  <c:v>9.186596534504295E-3</c:v>
                </c:pt>
                <c:pt idx="5424">
                  <c:v>7.3253975365839196E-3</c:v>
                </c:pt>
                <c:pt idx="5425">
                  <c:v>9.9227723465134133E-3</c:v>
                </c:pt>
                <c:pt idx="5426">
                  <c:v>1.1039786116868486E-2</c:v>
                </c:pt>
                <c:pt idx="5427">
                  <c:v>1.1119332894762326E-2</c:v>
                </c:pt>
                <c:pt idx="5428">
                  <c:v>9.5010840456371225E-3</c:v>
                </c:pt>
                <c:pt idx="5429">
                  <c:v>1.1185689130421818E-2</c:v>
                </c:pt>
                <c:pt idx="5430">
                  <c:v>1.2048084202342558E-2</c:v>
                </c:pt>
                <c:pt idx="5431">
                  <c:v>1.3777912820629169E-2</c:v>
                </c:pt>
                <c:pt idx="5432">
                  <c:v>1.1909990516076437E-2</c:v>
                </c:pt>
                <c:pt idx="5433">
                  <c:v>1.2194121992532647E-2</c:v>
                </c:pt>
                <c:pt idx="5434">
                  <c:v>1.4279865143359797E-2</c:v>
                </c:pt>
                <c:pt idx="5435">
                  <c:v>1.3268992993348015E-2</c:v>
                </c:pt>
                <c:pt idx="5436">
                  <c:v>9.2746989742093378E-3</c:v>
                </c:pt>
                <c:pt idx="5437">
                  <c:v>1.0701461321661309E-2</c:v>
                </c:pt>
                <c:pt idx="5438">
                  <c:v>1.1998643907349858E-2</c:v>
                </c:pt>
                <c:pt idx="5439">
                  <c:v>8.5175922983479584E-3</c:v>
                </c:pt>
                <c:pt idx="5440">
                  <c:v>1.2052225587509582E-2</c:v>
                </c:pt>
                <c:pt idx="5441">
                  <c:v>1.3431396779180827E-2</c:v>
                </c:pt>
                <c:pt idx="5442">
                  <c:v>1.2999368036502118E-2</c:v>
                </c:pt>
                <c:pt idx="5443">
                  <c:v>1.1878822949977103E-2</c:v>
                </c:pt>
                <c:pt idx="5444">
                  <c:v>8.2702980783263026E-3</c:v>
                </c:pt>
                <c:pt idx="5445">
                  <c:v>1.6051135942720084E-2</c:v>
                </c:pt>
                <c:pt idx="5446">
                  <c:v>1.1599679469388979E-2</c:v>
                </c:pt>
                <c:pt idx="5447">
                  <c:v>1.3012049045240214E-2</c:v>
                </c:pt>
                <c:pt idx="5448">
                  <c:v>1.3545260726962416E-2</c:v>
                </c:pt>
                <c:pt idx="5449">
                  <c:v>1.050578989162965E-2</c:v>
                </c:pt>
                <c:pt idx="5450">
                  <c:v>8.7347885333340872E-3</c:v>
                </c:pt>
                <c:pt idx="5451">
                  <c:v>6.9087321159870358E-3</c:v>
                </c:pt>
                <c:pt idx="5452">
                  <c:v>1.1318328618087715E-2</c:v>
                </c:pt>
                <c:pt idx="5453">
                  <c:v>1.0829574986861662E-2</c:v>
                </c:pt>
                <c:pt idx="5454">
                  <c:v>1.6236880233081161E-2</c:v>
                </c:pt>
                <c:pt idx="5455">
                  <c:v>1.3687376748395886E-2</c:v>
                </c:pt>
                <c:pt idx="5456">
                  <c:v>1.1553038945757065E-2</c:v>
                </c:pt>
                <c:pt idx="5457">
                  <c:v>1.132935477256828E-2</c:v>
                </c:pt>
                <c:pt idx="5458">
                  <c:v>1.5202569507457285E-2</c:v>
                </c:pt>
                <c:pt idx="5459">
                  <c:v>7.8257151370878346E-3</c:v>
                </c:pt>
                <c:pt idx="5460">
                  <c:v>1.4277513991007261E-2</c:v>
                </c:pt>
                <c:pt idx="5461">
                  <c:v>1.196158363137129E-2</c:v>
                </c:pt>
                <c:pt idx="5462">
                  <c:v>1.4624607709741813E-2</c:v>
                </c:pt>
                <c:pt idx="5463">
                  <c:v>7.6972650508889146E-3</c:v>
                </c:pt>
                <c:pt idx="5464">
                  <c:v>1.2306991469862961E-2</c:v>
                </c:pt>
                <c:pt idx="5465">
                  <c:v>1.3330226187969797E-2</c:v>
                </c:pt>
                <c:pt idx="5466">
                  <c:v>1.3163704058409744E-2</c:v>
                </c:pt>
                <c:pt idx="5467">
                  <c:v>1.4980604818053894E-2</c:v>
                </c:pt>
                <c:pt idx="5468">
                  <c:v>1.1398309427564266E-2</c:v>
                </c:pt>
                <c:pt idx="5469">
                  <c:v>1.2364973202003788E-2</c:v>
                </c:pt>
                <c:pt idx="5470">
                  <c:v>1.3497184247207842E-2</c:v>
                </c:pt>
                <c:pt idx="5471">
                  <c:v>1.3423632496736931E-2</c:v>
                </c:pt>
                <c:pt idx="5472">
                  <c:v>1.0270722114912636E-2</c:v>
                </c:pt>
                <c:pt idx="5473">
                  <c:v>1.2482719796810404E-2</c:v>
                </c:pt>
                <c:pt idx="5474">
                  <c:v>8.3576727848770783E-3</c:v>
                </c:pt>
                <c:pt idx="5475">
                  <c:v>1.1744234437980382E-2</c:v>
                </c:pt>
                <c:pt idx="5476">
                  <c:v>8.8973963043556103E-3</c:v>
                </c:pt>
                <c:pt idx="5477">
                  <c:v>1.0915163833103399E-2</c:v>
                </c:pt>
                <c:pt idx="5478">
                  <c:v>1.4463517473773472E-2</c:v>
                </c:pt>
                <c:pt idx="5479">
                  <c:v>1.5045666241723141E-2</c:v>
                </c:pt>
                <c:pt idx="5480">
                  <c:v>1.1745106080114627E-2</c:v>
                </c:pt>
                <c:pt idx="5481">
                  <c:v>1.1053047608155956E-2</c:v>
                </c:pt>
                <c:pt idx="5482">
                  <c:v>1.1614297645203615E-2</c:v>
                </c:pt>
                <c:pt idx="5483">
                  <c:v>1.4661040343052621E-2</c:v>
                </c:pt>
                <c:pt idx="5484">
                  <c:v>1.2736741948626845E-2</c:v>
                </c:pt>
                <c:pt idx="5485">
                  <c:v>1.4059962654485765E-2</c:v>
                </c:pt>
                <c:pt idx="5486">
                  <c:v>1.3272522022367133E-2</c:v>
                </c:pt>
                <c:pt idx="5487">
                  <c:v>1.2439115532752945E-2</c:v>
                </c:pt>
                <c:pt idx="5488">
                  <c:v>1.2060646970904242E-2</c:v>
                </c:pt>
                <c:pt idx="5489">
                  <c:v>1.3566744127638076E-2</c:v>
                </c:pt>
                <c:pt idx="5490">
                  <c:v>1.4164073857976599E-2</c:v>
                </c:pt>
                <c:pt idx="5491">
                  <c:v>1.2452799922436794E-2</c:v>
                </c:pt>
                <c:pt idx="5492">
                  <c:v>1.2517448413417962E-2</c:v>
                </c:pt>
                <c:pt idx="5493">
                  <c:v>1.2349586799928937E-2</c:v>
                </c:pt>
                <c:pt idx="5494">
                  <c:v>1.0932127303060958E-2</c:v>
                </c:pt>
                <c:pt idx="5495">
                  <c:v>1.2494276695814115E-2</c:v>
                </c:pt>
                <c:pt idx="5496">
                  <c:v>1.0040294503192474E-2</c:v>
                </c:pt>
                <c:pt idx="5497">
                  <c:v>1.3742641024896248E-2</c:v>
                </c:pt>
                <c:pt idx="5498">
                  <c:v>1.0555848944046717E-2</c:v>
                </c:pt>
                <c:pt idx="5499">
                  <c:v>1.2590304211533138E-2</c:v>
                </c:pt>
                <c:pt idx="5500">
                  <c:v>1.1477169682810286E-2</c:v>
                </c:pt>
                <c:pt idx="5501">
                  <c:v>1.101369036118007E-2</c:v>
                </c:pt>
                <c:pt idx="5502">
                  <c:v>9.2205485646573108E-3</c:v>
                </c:pt>
                <c:pt idx="5503">
                  <c:v>1.1050499118312431E-2</c:v>
                </c:pt>
                <c:pt idx="5504">
                  <c:v>1.2773898776646331E-2</c:v>
                </c:pt>
                <c:pt idx="5505">
                  <c:v>1.1990983939741946E-2</c:v>
                </c:pt>
                <c:pt idx="5506">
                  <c:v>1.046555687698854E-2</c:v>
                </c:pt>
                <c:pt idx="5507">
                  <c:v>1.0557277894389129E-2</c:v>
                </c:pt>
                <c:pt idx="5508">
                  <c:v>1.6078970296300156E-2</c:v>
                </c:pt>
                <c:pt idx="5509">
                  <c:v>1.5218997665073928E-2</c:v>
                </c:pt>
                <c:pt idx="5510">
                  <c:v>1.7415124689252454E-2</c:v>
                </c:pt>
                <c:pt idx="5511">
                  <c:v>1.0804531736454244E-2</c:v>
                </c:pt>
                <c:pt idx="5512">
                  <c:v>1.39192162714696E-2</c:v>
                </c:pt>
                <c:pt idx="5513">
                  <c:v>1.2344682347275598E-2</c:v>
                </c:pt>
                <c:pt idx="5514">
                  <c:v>1.093678787729534E-2</c:v>
                </c:pt>
                <c:pt idx="5515">
                  <c:v>1.2114204379719103E-2</c:v>
                </c:pt>
                <c:pt idx="5516">
                  <c:v>1.6592397222101742E-2</c:v>
                </c:pt>
                <c:pt idx="5517">
                  <c:v>1.1650800461986657E-2</c:v>
                </c:pt>
                <c:pt idx="5518">
                  <c:v>9.6189417191061763E-3</c:v>
                </c:pt>
                <c:pt idx="5519">
                  <c:v>1.2831952536145035E-2</c:v>
                </c:pt>
                <c:pt idx="5520">
                  <c:v>1.2921278446437751E-2</c:v>
                </c:pt>
                <c:pt idx="5521">
                  <c:v>1.3721083040389586E-2</c:v>
                </c:pt>
                <c:pt idx="5522">
                  <c:v>1.4689494362429433E-2</c:v>
                </c:pt>
                <c:pt idx="5523">
                  <c:v>1.5815902785142871E-2</c:v>
                </c:pt>
                <c:pt idx="5524">
                  <c:v>1.4377583187834332E-2</c:v>
                </c:pt>
                <c:pt idx="5525">
                  <c:v>8.4475639673809826E-3</c:v>
                </c:pt>
                <c:pt idx="5526">
                  <c:v>1.0542851960346822E-2</c:v>
                </c:pt>
                <c:pt idx="5527">
                  <c:v>1.4646770529552164E-2</c:v>
                </c:pt>
                <c:pt idx="5528">
                  <c:v>1.1711627791946592E-2</c:v>
                </c:pt>
                <c:pt idx="5529">
                  <c:v>9.1848507550462422E-3</c:v>
                </c:pt>
                <c:pt idx="5530">
                  <c:v>1.1701837068950845E-2</c:v>
                </c:pt>
                <c:pt idx="5531">
                  <c:v>8.403508527711193E-3</c:v>
                </c:pt>
                <c:pt idx="5532">
                  <c:v>1.3543076635624403E-2</c:v>
                </c:pt>
                <c:pt idx="5533">
                  <c:v>1.3112998877825613E-2</c:v>
                </c:pt>
                <c:pt idx="5534">
                  <c:v>1.2040126071348614E-2</c:v>
                </c:pt>
                <c:pt idx="5535">
                  <c:v>1.4558364538690097E-2</c:v>
                </c:pt>
                <c:pt idx="5536">
                  <c:v>1.0290563763224786E-2</c:v>
                </c:pt>
                <c:pt idx="5537">
                  <c:v>1.0027619632577395E-2</c:v>
                </c:pt>
                <c:pt idx="5538">
                  <c:v>1.0629710895756468E-2</c:v>
                </c:pt>
                <c:pt idx="5539">
                  <c:v>1.8647236629360783E-2</c:v>
                </c:pt>
                <c:pt idx="5540">
                  <c:v>1.2794344484824124E-2</c:v>
                </c:pt>
                <c:pt idx="5541">
                  <c:v>1.100463044202785E-2</c:v>
                </c:pt>
                <c:pt idx="5542">
                  <c:v>1.1117569904783461E-2</c:v>
                </c:pt>
                <c:pt idx="5543">
                  <c:v>1.083509241228902E-2</c:v>
                </c:pt>
                <c:pt idx="5544">
                  <c:v>1.0471123960541782E-2</c:v>
                </c:pt>
                <c:pt idx="5545">
                  <c:v>1.4638194622329084E-2</c:v>
                </c:pt>
                <c:pt idx="5546">
                  <c:v>1.2951133152623511E-2</c:v>
                </c:pt>
                <c:pt idx="5547">
                  <c:v>1.3232154596929413E-2</c:v>
                </c:pt>
                <c:pt idx="5548">
                  <c:v>1.6282640416605876E-2</c:v>
                </c:pt>
                <c:pt idx="5549">
                  <c:v>1.1226730655799729E-2</c:v>
                </c:pt>
                <c:pt idx="5550">
                  <c:v>1.095987885454907E-2</c:v>
                </c:pt>
                <c:pt idx="5551">
                  <c:v>1.7278528933357101E-2</c:v>
                </c:pt>
                <c:pt idx="5552">
                  <c:v>1.3220030405139889E-2</c:v>
                </c:pt>
                <c:pt idx="5553">
                  <c:v>1.3679527385405997E-2</c:v>
                </c:pt>
                <c:pt idx="5554">
                  <c:v>9.1337561980395325E-3</c:v>
                </c:pt>
                <c:pt idx="5555">
                  <c:v>1.2528441543014988E-2</c:v>
                </c:pt>
                <c:pt idx="5556">
                  <c:v>1.0418531084292235E-2</c:v>
                </c:pt>
                <c:pt idx="5557">
                  <c:v>1.060846302008292E-2</c:v>
                </c:pt>
                <c:pt idx="5558">
                  <c:v>1.2660420507604393E-2</c:v>
                </c:pt>
                <c:pt idx="5559">
                  <c:v>1.243479925502828E-2</c:v>
                </c:pt>
                <c:pt idx="5560">
                  <c:v>9.3580716917604969E-3</c:v>
                </c:pt>
                <c:pt idx="5561">
                  <c:v>8.8364433228063453E-3</c:v>
                </c:pt>
                <c:pt idx="5562">
                  <c:v>1.2142035883245078E-2</c:v>
                </c:pt>
                <c:pt idx="5563">
                  <c:v>1.0692250749184413E-2</c:v>
                </c:pt>
                <c:pt idx="5564">
                  <c:v>1.2797697209902736E-2</c:v>
                </c:pt>
                <c:pt idx="5565">
                  <c:v>9.7732931116135333E-3</c:v>
                </c:pt>
                <c:pt idx="5566">
                  <c:v>1.163145695999024E-2</c:v>
                </c:pt>
                <c:pt idx="5567">
                  <c:v>1.1907171720478536E-2</c:v>
                </c:pt>
                <c:pt idx="5568">
                  <c:v>1.0277523371190483E-2</c:v>
                </c:pt>
                <c:pt idx="5569">
                  <c:v>1.1690685639756927E-2</c:v>
                </c:pt>
                <c:pt idx="5570">
                  <c:v>1.3145790240503046E-2</c:v>
                </c:pt>
                <c:pt idx="5571">
                  <c:v>9.7801411891374444E-3</c:v>
                </c:pt>
                <c:pt idx="5572">
                  <c:v>1.4499805396399513E-2</c:v>
                </c:pt>
                <c:pt idx="5573">
                  <c:v>1.1212704071968789E-2</c:v>
                </c:pt>
                <c:pt idx="5574">
                  <c:v>1.1991740525135478E-2</c:v>
                </c:pt>
                <c:pt idx="5575">
                  <c:v>1.1803408609164784E-2</c:v>
                </c:pt>
                <c:pt idx="5576">
                  <c:v>1.048124561955838E-2</c:v>
                </c:pt>
                <c:pt idx="5577">
                  <c:v>8.9171772071751729E-3</c:v>
                </c:pt>
                <c:pt idx="5578">
                  <c:v>1.2204407499642045E-2</c:v>
                </c:pt>
                <c:pt idx="5579">
                  <c:v>1.237583177462529E-2</c:v>
                </c:pt>
                <c:pt idx="5580">
                  <c:v>1.1800521691746856E-2</c:v>
                </c:pt>
                <c:pt idx="5581">
                  <c:v>1.170906893886031E-2</c:v>
                </c:pt>
                <c:pt idx="5582">
                  <c:v>1.1918218999272902E-2</c:v>
                </c:pt>
                <c:pt idx="5583">
                  <c:v>1.5024559773775006E-2</c:v>
                </c:pt>
                <c:pt idx="5584">
                  <c:v>8.4856081605443872E-3</c:v>
                </c:pt>
                <c:pt idx="5585">
                  <c:v>1.0937353918184125E-2</c:v>
                </c:pt>
                <c:pt idx="5586">
                  <c:v>1.1980353932555985E-2</c:v>
                </c:pt>
                <c:pt idx="5587">
                  <c:v>1.367179799730148E-2</c:v>
                </c:pt>
                <c:pt idx="5588">
                  <c:v>1.2352815696088435E-2</c:v>
                </c:pt>
                <c:pt idx="5589">
                  <c:v>9.4911154779422757E-3</c:v>
                </c:pt>
                <c:pt idx="5590">
                  <c:v>1.393622849411515E-2</c:v>
                </c:pt>
                <c:pt idx="5591">
                  <c:v>9.778399208230943E-3</c:v>
                </c:pt>
                <c:pt idx="5592">
                  <c:v>8.325264464177768E-3</c:v>
                </c:pt>
                <c:pt idx="5593">
                  <c:v>1.1185771466525083E-2</c:v>
                </c:pt>
                <c:pt idx="5594">
                  <c:v>1.8210650856109026E-2</c:v>
                </c:pt>
                <c:pt idx="5595">
                  <c:v>9.4330223931949307E-3</c:v>
                </c:pt>
                <c:pt idx="5596">
                  <c:v>1.3966149391295906E-2</c:v>
                </c:pt>
                <c:pt idx="5597">
                  <c:v>1.3268101957642641E-2</c:v>
                </c:pt>
                <c:pt idx="5598">
                  <c:v>9.3444061159243565E-3</c:v>
                </c:pt>
                <c:pt idx="5599">
                  <c:v>9.1384725106539808E-3</c:v>
                </c:pt>
                <c:pt idx="5600">
                  <c:v>8.5565400484138906E-3</c:v>
                </c:pt>
                <c:pt idx="5601">
                  <c:v>1.1067325364335455E-2</c:v>
                </c:pt>
                <c:pt idx="5602">
                  <c:v>8.4788222190125846E-3</c:v>
                </c:pt>
                <c:pt idx="5603">
                  <c:v>1.1984600148519918E-2</c:v>
                </c:pt>
                <c:pt idx="5604">
                  <c:v>9.0836721875490328E-3</c:v>
                </c:pt>
                <c:pt idx="5605">
                  <c:v>1.1690998586447118E-2</c:v>
                </c:pt>
                <c:pt idx="5606">
                  <c:v>1.2133707837902701E-2</c:v>
                </c:pt>
                <c:pt idx="5607">
                  <c:v>1.1767707513876111E-2</c:v>
                </c:pt>
                <c:pt idx="5608">
                  <c:v>1.1354161957169581E-2</c:v>
                </c:pt>
                <c:pt idx="5609">
                  <c:v>1.321760821328651E-2</c:v>
                </c:pt>
                <c:pt idx="5610">
                  <c:v>1.3052076459786592E-2</c:v>
                </c:pt>
                <c:pt idx="5611">
                  <c:v>1.1134696712477483E-2</c:v>
                </c:pt>
                <c:pt idx="5612">
                  <c:v>1.0895250971691849E-2</c:v>
                </c:pt>
                <c:pt idx="5613">
                  <c:v>1.1590862876668304E-2</c:v>
                </c:pt>
                <c:pt idx="5614">
                  <c:v>1.4482398837857248E-2</c:v>
                </c:pt>
                <c:pt idx="5615">
                  <c:v>9.0982177664954336E-3</c:v>
                </c:pt>
                <c:pt idx="5616">
                  <c:v>1.1763101545116892E-2</c:v>
                </c:pt>
                <c:pt idx="5617">
                  <c:v>1.3800325812023652E-2</c:v>
                </c:pt>
                <c:pt idx="5618">
                  <c:v>1.5383140934299952E-2</c:v>
                </c:pt>
                <c:pt idx="5619">
                  <c:v>1.3112121336647027E-2</c:v>
                </c:pt>
                <c:pt idx="5620">
                  <c:v>9.4894777171678126E-3</c:v>
                </c:pt>
                <c:pt idx="5621">
                  <c:v>1.0883088180573803E-2</c:v>
                </c:pt>
                <c:pt idx="5622">
                  <c:v>1.4333974142630112E-2</c:v>
                </c:pt>
                <c:pt idx="5623">
                  <c:v>1.3421670469996747E-2</c:v>
                </c:pt>
                <c:pt idx="5624">
                  <c:v>1.451363967193949E-2</c:v>
                </c:pt>
                <c:pt idx="5625">
                  <c:v>1.2533769879280399E-2</c:v>
                </c:pt>
                <c:pt idx="5626">
                  <c:v>1.0572628984529542E-2</c:v>
                </c:pt>
                <c:pt idx="5627">
                  <c:v>1.3588678221753093E-2</c:v>
                </c:pt>
                <c:pt idx="5628">
                  <c:v>8.0189555684583094E-3</c:v>
                </c:pt>
                <c:pt idx="5629">
                  <c:v>1.1222510610495917E-2</c:v>
                </c:pt>
                <c:pt idx="5630">
                  <c:v>1.3262803818631774E-2</c:v>
                </c:pt>
                <c:pt idx="5631">
                  <c:v>1.2895214853003665E-2</c:v>
                </c:pt>
                <c:pt idx="5632">
                  <c:v>1.1109431027425851E-2</c:v>
                </c:pt>
                <c:pt idx="5633">
                  <c:v>1.244714226222125E-2</c:v>
                </c:pt>
                <c:pt idx="5634">
                  <c:v>1.2951617406886502E-2</c:v>
                </c:pt>
                <c:pt idx="5635">
                  <c:v>1.5050136928710597E-2</c:v>
                </c:pt>
                <c:pt idx="5636">
                  <c:v>1.2316263950061277E-2</c:v>
                </c:pt>
                <c:pt idx="5637">
                  <c:v>1.2194040691212655E-2</c:v>
                </c:pt>
                <c:pt idx="5638">
                  <c:v>1.1819009494613288E-2</c:v>
                </c:pt>
                <c:pt idx="5639">
                  <c:v>1.1682769352732983E-2</c:v>
                </c:pt>
                <c:pt idx="5640">
                  <c:v>1.2147917322238048E-2</c:v>
                </c:pt>
                <c:pt idx="5641">
                  <c:v>9.7055016467938165E-3</c:v>
                </c:pt>
                <c:pt idx="5642">
                  <c:v>9.9595853328289224E-3</c:v>
                </c:pt>
                <c:pt idx="5643">
                  <c:v>1.1005378045967651E-2</c:v>
                </c:pt>
                <c:pt idx="5644">
                  <c:v>1.503732029952181E-2</c:v>
                </c:pt>
                <c:pt idx="5645">
                  <c:v>1.1689336227331031E-2</c:v>
                </c:pt>
                <c:pt idx="5646">
                  <c:v>1.3696217290549257E-2</c:v>
                </c:pt>
                <c:pt idx="5647">
                  <c:v>8.4940335093213904E-3</c:v>
                </c:pt>
                <c:pt idx="5648">
                  <c:v>1.2198531739186742E-2</c:v>
                </c:pt>
                <c:pt idx="5649">
                  <c:v>1.2407626887466541E-2</c:v>
                </c:pt>
                <c:pt idx="5650">
                  <c:v>8.1438192474947574E-3</c:v>
                </c:pt>
                <c:pt idx="5651">
                  <c:v>1.4429437498159189E-2</c:v>
                </c:pt>
                <c:pt idx="5652">
                  <c:v>1.0745885363557087E-2</c:v>
                </c:pt>
                <c:pt idx="5653">
                  <c:v>1.4993170006335196E-2</c:v>
                </c:pt>
                <c:pt idx="5654">
                  <c:v>1.0231528428575554E-2</c:v>
                </c:pt>
                <c:pt idx="5655">
                  <c:v>1.3332097610226742E-2</c:v>
                </c:pt>
                <c:pt idx="5656">
                  <c:v>8.6566991779911638E-3</c:v>
                </c:pt>
                <c:pt idx="5657">
                  <c:v>1.3285355907573532E-2</c:v>
                </c:pt>
                <c:pt idx="5658">
                  <c:v>1.2819019879773658E-2</c:v>
                </c:pt>
                <c:pt idx="5659">
                  <c:v>1.1763782759777687E-2</c:v>
                </c:pt>
                <c:pt idx="5660">
                  <c:v>1.0777565307360673E-2</c:v>
                </c:pt>
                <c:pt idx="5661">
                  <c:v>9.4846529919818279E-3</c:v>
                </c:pt>
                <c:pt idx="5662">
                  <c:v>1.1717700943073721E-2</c:v>
                </c:pt>
                <c:pt idx="5663">
                  <c:v>1.5712859178372795E-2</c:v>
                </c:pt>
                <c:pt idx="5664">
                  <c:v>9.5700351105861975E-3</c:v>
                </c:pt>
                <c:pt idx="5665">
                  <c:v>1.3060381208857745E-2</c:v>
                </c:pt>
                <c:pt idx="5666">
                  <c:v>1.0114820467739066E-2</c:v>
                </c:pt>
                <c:pt idx="5667">
                  <c:v>1.4214055488487191E-2</c:v>
                </c:pt>
                <c:pt idx="5668">
                  <c:v>1.2030318049894826E-2</c:v>
                </c:pt>
                <c:pt idx="5669">
                  <c:v>1.1059572690561166E-2</c:v>
                </c:pt>
                <c:pt idx="5670">
                  <c:v>1.4651811477010383E-2</c:v>
                </c:pt>
                <c:pt idx="5671">
                  <c:v>1.1648543945793278E-2</c:v>
                </c:pt>
                <c:pt idx="5672">
                  <c:v>1.3849132274039909E-2</c:v>
                </c:pt>
                <c:pt idx="5673">
                  <c:v>1.2583189137287874E-2</c:v>
                </c:pt>
                <c:pt idx="5674">
                  <c:v>1.1776934307614209E-2</c:v>
                </c:pt>
                <c:pt idx="5675">
                  <c:v>1.155436185789062E-2</c:v>
                </c:pt>
                <c:pt idx="5676">
                  <c:v>1.1148154486327996E-2</c:v>
                </c:pt>
                <c:pt idx="5677">
                  <c:v>6.997073151426998E-3</c:v>
                </c:pt>
                <c:pt idx="5678">
                  <c:v>1.5326117272973587E-2</c:v>
                </c:pt>
                <c:pt idx="5679">
                  <c:v>1.1500426845633467E-2</c:v>
                </c:pt>
                <c:pt idx="5680">
                  <c:v>1.7490829371883045E-2</c:v>
                </c:pt>
                <c:pt idx="5681">
                  <c:v>1.2392284719277084E-2</c:v>
                </c:pt>
                <c:pt idx="5682">
                  <c:v>1.1648270078657985E-2</c:v>
                </c:pt>
                <c:pt idx="5683">
                  <c:v>1.186632710375847E-2</c:v>
                </c:pt>
                <c:pt idx="5684">
                  <c:v>1.0735503236425265E-2</c:v>
                </c:pt>
                <c:pt idx="5685">
                  <c:v>1.3894356593091888E-2</c:v>
                </c:pt>
                <c:pt idx="5686">
                  <c:v>1.3256031709512091E-2</c:v>
                </c:pt>
                <c:pt idx="5687">
                  <c:v>1.1310438992757091E-2</c:v>
                </c:pt>
                <c:pt idx="5688">
                  <c:v>9.4034189916800161E-3</c:v>
                </c:pt>
                <c:pt idx="5689">
                  <c:v>1.5116899439528717E-2</c:v>
                </c:pt>
                <c:pt idx="5690">
                  <c:v>1.0078432438179349E-2</c:v>
                </c:pt>
                <c:pt idx="5691">
                  <c:v>1.2504631754949267E-2</c:v>
                </c:pt>
                <c:pt idx="5692">
                  <c:v>1.1186751174501802E-2</c:v>
                </c:pt>
                <c:pt idx="5693">
                  <c:v>1.204521989634048E-2</c:v>
                </c:pt>
                <c:pt idx="5694">
                  <c:v>1.5272138774498499E-2</c:v>
                </c:pt>
                <c:pt idx="5695">
                  <c:v>1.0433167533825253E-2</c:v>
                </c:pt>
                <c:pt idx="5696">
                  <c:v>1.3078048244878626E-2</c:v>
                </c:pt>
                <c:pt idx="5697">
                  <c:v>1.0470888680042468E-2</c:v>
                </c:pt>
                <c:pt idx="5698">
                  <c:v>1.4005904959090449E-2</c:v>
                </c:pt>
                <c:pt idx="5699">
                  <c:v>1.4376929735809642E-2</c:v>
                </c:pt>
                <c:pt idx="5700">
                  <c:v>1.0872534771165419E-2</c:v>
                </c:pt>
                <c:pt idx="5701">
                  <c:v>1.0106855917199582E-2</c:v>
                </c:pt>
                <c:pt idx="5702">
                  <c:v>1.2384357233734915E-2</c:v>
                </c:pt>
                <c:pt idx="5703">
                  <c:v>1.240590107578609E-2</c:v>
                </c:pt>
                <c:pt idx="5704">
                  <c:v>1.2211176900269651E-2</c:v>
                </c:pt>
                <c:pt idx="5705">
                  <c:v>1.2654377945694226E-2</c:v>
                </c:pt>
                <c:pt idx="5706">
                  <c:v>9.3900105259145036E-3</c:v>
                </c:pt>
                <c:pt idx="5707">
                  <c:v>9.1507513329525496E-3</c:v>
                </c:pt>
                <c:pt idx="5708">
                  <c:v>1.0600596113265187E-2</c:v>
                </c:pt>
                <c:pt idx="5709">
                  <c:v>1.3843344096799624E-2</c:v>
                </c:pt>
                <c:pt idx="5710">
                  <c:v>1.3323505068209326E-2</c:v>
                </c:pt>
                <c:pt idx="5711">
                  <c:v>1.716891917398709E-2</c:v>
                </c:pt>
                <c:pt idx="5712">
                  <c:v>1.2545854426641301E-2</c:v>
                </c:pt>
                <c:pt idx="5713">
                  <c:v>1.1765508475865391E-2</c:v>
                </c:pt>
                <c:pt idx="5714">
                  <c:v>1.256090188129032E-2</c:v>
                </c:pt>
                <c:pt idx="5715">
                  <c:v>1.2351354349298207E-2</c:v>
                </c:pt>
                <c:pt idx="5716">
                  <c:v>1.0113951380563948E-2</c:v>
                </c:pt>
                <c:pt idx="5717">
                  <c:v>1.296676408723047E-2</c:v>
                </c:pt>
                <c:pt idx="5718">
                  <c:v>8.856485841551031E-3</c:v>
                </c:pt>
                <c:pt idx="5719">
                  <c:v>1.0536626062610238E-2</c:v>
                </c:pt>
                <c:pt idx="5720">
                  <c:v>1.2125688302269285E-2</c:v>
                </c:pt>
                <c:pt idx="5721">
                  <c:v>1.0457492352685057E-2</c:v>
                </c:pt>
                <c:pt idx="5722">
                  <c:v>9.8498755184578679E-3</c:v>
                </c:pt>
                <c:pt idx="5723">
                  <c:v>1.3687497624612039E-2</c:v>
                </c:pt>
                <c:pt idx="5724">
                  <c:v>1.1742360658640547E-2</c:v>
                </c:pt>
                <c:pt idx="5725">
                  <c:v>1.2303788150111891E-2</c:v>
                </c:pt>
                <c:pt idx="5726">
                  <c:v>1.2396885402801049E-2</c:v>
                </c:pt>
                <c:pt idx="5727">
                  <c:v>1.1984762880452153E-2</c:v>
                </c:pt>
                <c:pt idx="5728">
                  <c:v>1.5096243477205298E-2</c:v>
                </c:pt>
                <c:pt idx="5729">
                  <c:v>1.3942317199445815E-2</c:v>
                </c:pt>
                <c:pt idx="5730">
                  <c:v>8.9754434603558572E-3</c:v>
                </c:pt>
                <c:pt idx="5731">
                  <c:v>1.4131790845497478E-2</c:v>
                </c:pt>
                <c:pt idx="5732">
                  <c:v>9.1223209473309565E-3</c:v>
                </c:pt>
                <c:pt idx="5733">
                  <c:v>1.1372596255401256E-2</c:v>
                </c:pt>
                <c:pt idx="5734">
                  <c:v>9.65284568004777E-3</c:v>
                </c:pt>
                <c:pt idx="5735">
                  <c:v>1.339654361375397E-2</c:v>
                </c:pt>
                <c:pt idx="5736">
                  <c:v>1.2978789968992144E-2</c:v>
                </c:pt>
                <c:pt idx="5737">
                  <c:v>1.2087979931111019E-2</c:v>
                </c:pt>
                <c:pt idx="5738">
                  <c:v>9.3209119498352637E-3</c:v>
                </c:pt>
                <c:pt idx="5739">
                  <c:v>1.765849212628268E-2</c:v>
                </c:pt>
                <c:pt idx="5740">
                  <c:v>9.4655999615408225E-3</c:v>
                </c:pt>
                <c:pt idx="5741">
                  <c:v>1.3317701147290714E-2</c:v>
                </c:pt>
                <c:pt idx="5742">
                  <c:v>1.5001135692633309E-2</c:v>
                </c:pt>
                <c:pt idx="5743">
                  <c:v>9.1051878476780188E-3</c:v>
                </c:pt>
                <c:pt idx="5744">
                  <c:v>1.0574310645861815E-2</c:v>
                </c:pt>
                <c:pt idx="5745">
                  <c:v>1.3119280112342369E-2</c:v>
                </c:pt>
                <c:pt idx="5746">
                  <c:v>8.8915764209911118E-3</c:v>
                </c:pt>
                <c:pt idx="5747">
                  <c:v>1.6831351083066944E-2</c:v>
                </c:pt>
                <c:pt idx="5748">
                  <c:v>1.6034820771554791E-2</c:v>
                </c:pt>
                <c:pt idx="5749">
                  <c:v>1.2640113353457268E-2</c:v>
                </c:pt>
                <c:pt idx="5750">
                  <c:v>1.2201408790130031E-2</c:v>
                </c:pt>
                <c:pt idx="5751">
                  <c:v>1.5954438089619327E-2</c:v>
                </c:pt>
                <c:pt idx="5752">
                  <c:v>1.2894057568301682E-2</c:v>
                </c:pt>
                <c:pt idx="5753">
                  <c:v>1.3188069848665157E-2</c:v>
                </c:pt>
                <c:pt idx="5754">
                  <c:v>1.0755076936232646E-2</c:v>
                </c:pt>
                <c:pt idx="5755">
                  <c:v>1.1932785261804324E-2</c:v>
                </c:pt>
                <c:pt idx="5756">
                  <c:v>9.3118798760193338E-3</c:v>
                </c:pt>
                <c:pt idx="5757">
                  <c:v>8.3851079521708085E-3</c:v>
                </c:pt>
                <c:pt idx="5758">
                  <c:v>1.4419654830299873E-2</c:v>
                </c:pt>
                <c:pt idx="5759">
                  <c:v>1.1998368439006571E-2</c:v>
                </c:pt>
                <c:pt idx="5760">
                  <c:v>9.8057248093603548E-3</c:v>
                </c:pt>
                <c:pt idx="5761">
                  <c:v>1.2335058099745933E-2</c:v>
                </c:pt>
                <c:pt idx="5762">
                  <c:v>1.2814479392990782E-2</c:v>
                </c:pt>
                <c:pt idx="5763">
                  <c:v>1.1315979239327149E-2</c:v>
                </c:pt>
                <c:pt idx="5764">
                  <c:v>1.1645912587111668E-2</c:v>
                </c:pt>
                <c:pt idx="5765">
                  <c:v>1.3873309027213255E-2</c:v>
                </c:pt>
                <c:pt idx="5766">
                  <c:v>1.1500044314174696E-2</c:v>
                </c:pt>
                <c:pt idx="5767">
                  <c:v>1.2139145548337338E-2</c:v>
                </c:pt>
                <c:pt idx="5768">
                  <c:v>8.8460576344137429E-3</c:v>
                </c:pt>
                <c:pt idx="5769">
                  <c:v>1.2434005627976322E-2</c:v>
                </c:pt>
                <c:pt idx="5770">
                  <c:v>9.0911962370924023E-3</c:v>
                </c:pt>
                <c:pt idx="5771">
                  <c:v>1.2694014272341693E-2</c:v>
                </c:pt>
                <c:pt idx="5772">
                  <c:v>1.2334614426725303E-2</c:v>
                </c:pt>
                <c:pt idx="5773">
                  <c:v>1.1839965791689163E-2</c:v>
                </c:pt>
                <c:pt idx="5774">
                  <c:v>1.4681916835872255E-2</c:v>
                </c:pt>
                <c:pt idx="5775">
                  <c:v>1.1782785368619575E-2</c:v>
                </c:pt>
                <c:pt idx="5776">
                  <c:v>1.2113196515263804E-2</c:v>
                </c:pt>
                <c:pt idx="5777">
                  <c:v>1.052105351765468E-2</c:v>
                </c:pt>
                <c:pt idx="5778">
                  <c:v>1.129682245048776E-2</c:v>
                </c:pt>
                <c:pt idx="5779">
                  <c:v>9.7263786769003387E-3</c:v>
                </c:pt>
                <c:pt idx="5780">
                  <c:v>1.2109711717320417E-2</c:v>
                </c:pt>
                <c:pt idx="5781">
                  <c:v>1.5425423374297366E-2</c:v>
                </c:pt>
                <c:pt idx="5782">
                  <c:v>1.2349272716298368E-2</c:v>
                </c:pt>
                <c:pt idx="5783">
                  <c:v>1.2277370420653626E-2</c:v>
                </c:pt>
                <c:pt idx="5784">
                  <c:v>1.2514664590312611E-2</c:v>
                </c:pt>
                <c:pt idx="5785">
                  <c:v>9.8427688047052278E-3</c:v>
                </c:pt>
                <c:pt idx="5786">
                  <c:v>1.1838901870729258E-2</c:v>
                </c:pt>
                <c:pt idx="5787">
                  <c:v>1.1328535846759448E-2</c:v>
                </c:pt>
                <c:pt idx="5788">
                  <c:v>1.2893722620646936E-2</c:v>
                </c:pt>
                <c:pt idx="5789">
                  <c:v>1.5097840109802019E-2</c:v>
                </c:pt>
                <c:pt idx="5790">
                  <c:v>1.3036910913092985E-2</c:v>
                </c:pt>
                <c:pt idx="5791">
                  <c:v>1.3464244308307763E-2</c:v>
                </c:pt>
                <c:pt idx="5792">
                  <c:v>1.2413428647550831E-2</c:v>
                </c:pt>
                <c:pt idx="5793">
                  <c:v>1.2522244928860697E-2</c:v>
                </c:pt>
                <c:pt idx="5794">
                  <c:v>1.0618494635580903E-2</c:v>
                </c:pt>
                <c:pt idx="5795">
                  <c:v>1.1835985684640647E-2</c:v>
                </c:pt>
                <c:pt idx="5796">
                  <c:v>1.4766296630358972E-2</c:v>
                </c:pt>
                <c:pt idx="5797">
                  <c:v>1.1072172641768564E-2</c:v>
                </c:pt>
                <c:pt idx="5798">
                  <c:v>1.0201854978110256E-2</c:v>
                </c:pt>
                <c:pt idx="5799">
                  <c:v>1.109106066796111E-2</c:v>
                </c:pt>
                <c:pt idx="5800">
                  <c:v>1.2085835597267461E-2</c:v>
                </c:pt>
                <c:pt idx="5801">
                  <c:v>1.0005672493215333E-2</c:v>
                </c:pt>
                <c:pt idx="5802">
                  <c:v>1.1115375849093114E-2</c:v>
                </c:pt>
                <c:pt idx="5803">
                  <c:v>1.1135525155039004E-2</c:v>
                </c:pt>
                <c:pt idx="5804">
                  <c:v>1.4706712947759338E-2</c:v>
                </c:pt>
                <c:pt idx="5805">
                  <c:v>9.4961695361637372E-3</c:v>
                </c:pt>
                <c:pt idx="5806">
                  <c:v>1.4714964396384913E-2</c:v>
                </c:pt>
                <c:pt idx="5807">
                  <c:v>1.0866952451424423E-2</c:v>
                </c:pt>
                <c:pt idx="5808">
                  <c:v>1.2535081860617936E-2</c:v>
                </c:pt>
                <c:pt idx="5809">
                  <c:v>1.5321076651079521E-2</c:v>
                </c:pt>
                <c:pt idx="5810">
                  <c:v>1.2704663813417746E-2</c:v>
                </c:pt>
                <c:pt idx="5811">
                  <c:v>1.0278381961475213E-2</c:v>
                </c:pt>
                <c:pt idx="5812">
                  <c:v>1.558266530989481E-2</c:v>
                </c:pt>
                <c:pt idx="5813">
                  <c:v>1.2346727712914765E-2</c:v>
                </c:pt>
                <c:pt idx="5814">
                  <c:v>1.3929400903072571E-2</c:v>
                </c:pt>
                <c:pt idx="5815">
                  <c:v>8.7052177046378458E-3</c:v>
                </c:pt>
                <c:pt idx="5816">
                  <c:v>8.1614829685155519E-3</c:v>
                </c:pt>
                <c:pt idx="5817">
                  <c:v>9.8036073697093003E-3</c:v>
                </c:pt>
                <c:pt idx="5818">
                  <c:v>1.3529387793038193E-2</c:v>
                </c:pt>
                <c:pt idx="5819">
                  <c:v>1.4158101472956864E-2</c:v>
                </c:pt>
                <c:pt idx="5820">
                  <c:v>1.1597655502760214E-2</c:v>
                </c:pt>
                <c:pt idx="5821">
                  <c:v>1.3269850763174256E-2</c:v>
                </c:pt>
                <c:pt idx="5822">
                  <c:v>1.1691721905648735E-2</c:v>
                </c:pt>
                <c:pt idx="5823">
                  <c:v>9.6725884817528644E-3</c:v>
                </c:pt>
                <c:pt idx="5824">
                  <c:v>9.8732293300914323E-3</c:v>
                </c:pt>
                <c:pt idx="5825">
                  <c:v>1.2166194614072612E-2</c:v>
                </c:pt>
                <c:pt idx="5826">
                  <c:v>1.2386671776598383E-2</c:v>
                </c:pt>
                <c:pt idx="5827">
                  <c:v>1.090822000797512E-2</c:v>
                </c:pt>
                <c:pt idx="5828">
                  <c:v>1.5060415489690643E-2</c:v>
                </c:pt>
                <c:pt idx="5829">
                  <c:v>1.2180527080737144E-2</c:v>
                </c:pt>
                <c:pt idx="5830">
                  <c:v>9.1744959868185587E-3</c:v>
                </c:pt>
                <c:pt idx="5831">
                  <c:v>1.4046791021595907E-2</c:v>
                </c:pt>
                <c:pt idx="5832">
                  <c:v>1.0193000007059442E-2</c:v>
                </c:pt>
                <c:pt idx="5833">
                  <c:v>9.6337751182841696E-3</c:v>
                </c:pt>
                <c:pt idx="5834">
                  <c:v>8.1589786771778718E-3</c:v>
                </c:pt>
                <c:pt idx="5835">
                  <c:v>8.5527989368417937E-3</c:v>
                </c:pt>
                <c:pt idx="5836">
                  <c:v>1.1566733868641139E-2</c:v>
                </c:pt>
                <c:pt idx="5837">
                  <c:v>1.1082037774594546E-2</c:v>
                </c:pt>
                <c:pt idx="5838">
                  <c:v>1.3349604790270732E-2</c:v>
                </c:pt>
                <c:pt idx="5839">
                  <c:v>1.4429151171520676E-2</c:v>
                </c:pt>
                <c:pt idx="5840">
                  <c:v>1.5305432149113632E-2</c:v>
                </c:pt>
                <c:pt idx="5841">
                  <c:v>1.0713820758313007E-2</c:v>
                </c:pt>
                <c:pt idx="5842">
                  <c:v>1.5639213187981334E-2</c:v>
                </c:pt>
                <c:pt idx="5843">
                  <c:v>1.0018085811689469E-2</c:v>
                </c:pt>
                <c:pt idx="5844">
                  <c:v>7.9987774612771713E-3</c:v>
                </c:pt>
                <c:pt idx="5845">
                  <c:v>9.5020923298327741E-3</c:v>
                </c:pt>
                <c:pt idx="5846">
                  <c:v>9.4109705162831736E-3</c:v>
                </c:pt>
                <c:pt idx="5847">
                  <c:v>1.3819190288375E-2</c:v>
                </c:pt>
                <c:pt idx="5848">
                  <c:v>1.00637466756918E-2</c:v>
                </c:pt>
                <c:pt idx="5849">
                  <c:v>1.077598739230071E-2</c:v>
                </c:pt>
                <c:pt idx="5850">
                  <c:v>1.1607634109436139E-2</c:v>
                </c:pt>
                <c:pt idx="5851">
                  <c:v>8.2039133920100722E-3</c:v>
                </c:pt>
                <c:pt idx="5852">
                  <c:v>9.9329603471964359E-3</c:v>
                </c:pt>
                <c:pt idx="5853">
                  <c:v>1.1931154810753047E-2</c:v>
                </c:pt>
                <c:pt idx="5854">
                  <c:v>1.1132295234719864E-2</c:v>
                </c:pt>
                <c:pt idx="5855">
                  <c:v>1.1329930037953921E-2</c:v>
                </c:pt>
                <c:pt idx="5856">
                  <c:v>8.6215809108361775E-3</c:v>
                </c:pt>
                <c:pt idx="5857">
                  <c:v>1.1405514245207143E-2</c:v>
                </c:pt>
                <c:pt idx="5858">
                  <c:v>7.5161624845658422E-3</c:v>
                </c:pt>
                <c:pt idx="5859">
                  <c:v>1.1629510046888636E-2</c:v>
                </c:pt>
                <c:pt idx="5860">
                  <c:v>1.1813876516925441E-2</c:v>
                </c:pt>
                <c:pt idx="5861">
                  <c:v>1.2641981045345385E-2</c:v>
                </c:pt>
                <c:pt idx="5862">
                  <c:v>1.1820120759391197E-2</c:v>
                </c:pt>
                <c:pt idx="5863">
                  <c:v>1.1246468316507198E-2</c:v>
                </c:pt>
                <c:pt idx="5864">
                  <c:v>1.1668102009744163E-2</c:v>
                </c:pt>
                <c:pt idx="5865">
                  <c:v>1.3653971700098844E-2</c:v>
                </c:pt>
                <c:pt idx="5866">
                  <c:v>8.9682143531351465E-3</c:v>
                </c:pt>
                <c:pt idx="5867">
                  <c:v>1.1269092291025247E-2</c:v>
                </c:pt>
                <c:pt idx="5868">
                  <c:v>8.8552849179104384E-3</c:v>
                </c:pt>
                <c:pt idx="5869">
                  <c:v>1.193563011394908E-2</c:v>
                </c:pt>
                <c:pt idx="5870">
                  <c:v>1.3917116505370685E-2</c:v>
                </c:pt>
                <c:pt idx="5871">
                  <c:v>9.964839105828063E-3</c:v>
                </c:pt>
                <c:pt idx="5872">
                  <c:v>1.020852049586744E-2</c:v>
                </c:pt>
                <c:pt idx="5873">
                  <c:v>1.1776884262640976E-2</c:v>
                </c:pt>
                <c:pt idx="5874">
                  <c:v>1.0219492601898495E-2</c:v>
                </c:pt>
                <c:pt idx="5875">
                  <c:v>1.2815739235514897E-2</c:v>
                </c:pt>
                <c:pt idx="5876">
                  <c:v>1.2176797044701771E-2</c:v>
                </c:pt>
                <c:pt idx="5877">
                  <c:v>1.2410192608779159E-2</c:v>
                </c:pt>
                <c:pt idx="5878">
                  <c:v>9.3303505636752812E-3</c:v>
                </c:pt>
                <c:pt idx="5879">
                  <c:v>1.5070707453123659E-2</c:v>
                </c:pt>
                <c:pt idx="5880">
                  <c:v>1.218255569657082E-2</c:v>
                </c:pt>
                <c:pt idx="5881">
                  <c:v>9.0381962774090611E-3</c:v>
                </c:pt>
                <c:pt idx="5882">
                  <c:v>1.0966689337002154E-2</c:v>
                </c:pt>
                <c:pt idx="5883">
                  <c:v>8.8422360600034309E-3</c:v>
                </c:pt>
                <c:pt idx="5884">
                  <c:v>1.4061108904812117E-2</c:v>
                </c:pt>
                <c:pt idx="5885">
                  <c:v>9.1136139912240573E-3</c:v>
                </c:pt>
                <c:pt idx="5886">
                  <c:v>1.0196160036685813E-2</c:v>
                </c:pt>
                <c:pt idx="5887">
                  <c:v>9.8920221441560607E-3</c:v>
                </c:pt>
                <c:pt idx="5888">
                  <c:v>1.3335210850671008E-2</c:v>
                </c:pt>
                <c:pt idx="5889">
                  <c:v>9.8572809182037487E-3</c:v>
                </c:pt>
                <c:pt idx="5890">
                  <c:v>7.4354255283075842E-3</c:v>
                </c:pt>
                <c:pt idx="5891">
                  <c:v>1.139193499990818E-2</c:v>
                </c:pt>
                <c:pt idx="5892">
                  <c:v>1.020731463149053E-2</c:v>
                </c:pt>
                <c:pt idx="5893">
                  <c:v>7.8085307101424285E-3</c:v>
                </c:pt>
                <c:pt idx="5894">
                  <c:v>1.194725696461783E-2</c:v>
                </c:pt>
                <c:pt idx="5895">
                  <c:v>1.3644771643574005E-2</c:v>
                </c:pt>
                <c:pt idx="5896">
                  <c:v>1.2793985338799871E-2</c:v>
                </c:pt>
                <c:pt idx="5897">
                  <c:v>1.0567330029015916E-2</c:v>
                </c:pt>
                <c:pt idx="5898">
                  <c:v>1.0758614778591424E-2</c:v>
                </c:pt>
                <c:pt idx="5899">
                  <c:v>1.3281949063127092E-2</c:v>
                </c:pt>
                <c:pt idx="5900">
                  <c:v>7.6135023336435523E-3</c:v>
                </c:pt>
                <c:pt idx="5901">
                  <c:v>9.6518741636075576E-3</c:v>
                </c:pt>
                <c:pt idx="5902">
                  <c:v>1.4098656952363746E-2</c:v>
                </c:pt>
                <c:pt idx="5903">
                  <c:v>1.27418369846339E-2</c:v>
                </c:pt>
                <c:pt idx="5904">
                  <c:v>9.5709922310381335E-3</c:v>
                </c:pt>
                <c:pt idx="5905">
                  <c:v>1.2033132519904203E-2</c:v>
                </c:pt>
                <c:pt idx="5906">
                  <c:v>1.3952022265767826E-2</c:v>
                </c:pt>
                <c:pt idx="5907">
                  <c:v>1.2514919258723989E-2</c:v>
                </c:pt>
                <c:pt idx="5908">
                  <c:v>9.8996911434481392E-3</c:v>
                </c:pt>
                <c:pt idx="5909">
                  <c:v>1.2928336046206308E-2</c:v>
                </c:pt>
                <c:pt idx="5910">
                  <c:v>1.7553320283531754E-2</c:v>
                </c:pt>
                <c:pt idx="5911">
                  <c:v>1.0513403746931563E-2</c:v>
                </c:pt>
                <c:pt idx="5912">
                  <c:v>9.3779886762329883E-3</c:v>
                </c:pt>
                <c:pt idx="5913">
                  <c:v>9.6844642415112227E-3</c:v>
                </c:pt>
                <c:pt idx="5914">
                  <c:v>1.1346927835123484E-2</c:v>
                </c:pt>
                <c:pt idx="5915">
                  <c:v>1.362154280557353E-2</c:v>
                </c:pt>
                <c:pt idx="5916">
                  <c:v>9.0515939868516908E-3</c:v>
                </c:pt>
                <c:pt idx="5917">
                  <c:v>1.4388799415491942E-2</c:v>
                </c:pt>
                <c:pt idx="5918">
                  <c:v>1.1769340908629264E-2</c:v>
                </c:pt>
                <c:pt idx="5919">
                  <c:v>1.3139109235395123E-2</c:v>
                </c:pt>
                <c:pt idx="5920">
                  <c:v>1.0623099579984613E-2</c:v>
                </c:pt>
                <c:pt idx="5921">
                  <c:v>1.0957160414359924E-2</c:v>
                </c:pt>
                <c:pt idx="5922">
                  <c:v>1.014052602738646E-2</c:v>
                </c:pt>
                <c:pt idx="5923">
                  <c:v>1.1824794699843632E-2</c:v>
                </c:pt>
                <c:pt idx="5924">
                  <c:v>9.5771428364573048E-3</c:v>
                </c:pt>
                <c:pt idx="5925">
                  <c:v>9.9957347733099604E-3</c:v>
                </c:pt>
                <c:pt idx="5926">
                  <c:v>1.8672354554138942E-2</c:v>
                </c:pt>
                <c:pt idx="5927">
                  <c:v>9.5167692784771732E-3</c:v>
                </c:pt>
                <c:pt idx="5928">
                  <c:v>1.0539409994448634E-2</c:v>
                </c:pt>
                <c:pt idx="5929">
                  <c:v>9.0685425286550405E-3</c:v>
                </c:pt>
                <c:pt idx="5930">
                  <c:v>1.2766021531119489E-2</c:v>
                </c:pt>
                <c:pt idx="5931">
                  <c:v>1.4035257639785612E-2</c:v>
                </c:pt>
                <c:pt idx="5932">
                  <c:v>1.2362164403214445E-2</c:v>
                </c:pt>
                <c:pt idx="5933">
                  <c:v>1.2745666963949083E-2</c:v>
                </c:pt>
                <c:pt idx="5934">
                  <c:v>1.1009735331703933E-2</c:v>
                </c:pt>
                <c:pt idx="5935">
                  <c:v>1.14146951856834E-2</c:v>
                </c:pt>
                <c:pt idx="5936">
                  <c:v>9.9796025518273743E-3</c:v>
                </c:pt>
                <c:pt idx="5937">
                  <c:v>8.6922600298757723E-3</c:v>
                </c:pt>
                <c:pt idx="5938">
                  <c:v>1.5994624216453167E-2</c:v>
                </c:pt>
                <c:pt idx="5939">
                  <c:v>1.3003403002336053E-2</c:v>
                </c:pt>
                <c:pt idx="5940">
                  <c:v>8.9840655253682778E-3</c:v>
                </c:pt>
                <c:pt idx="5941">
                  <c:v>1.7454666806188696E-2</c:v>
                </c:pt>
                <c:pt idx="5942">
                  <c:v>9.553304379609091E-3</c:v>
                </c:pt>
                <c:pt idx="5943">
                  <c:v>1.0508381046167557E-2</c:v>
                </c:pt>
                <c:pt idx="5944">
                  <c:v>1.2501082463409618E-2</c:v>
                </c:pt>
                <c:pt idx="5945">
                  <c:v>1.0164324921634476E-2</c:v>
                </c:pt>
                <c:pt idx="5946">
                  <c:v>1.3791712163864905E-2</c:v>
                </c:pt>
                <c:pt idx="5947">
                  <c:v>1.099854014710841E-2</c:v>
                </c:pt>
                <c:pt idx="5948">
                  <c:v>1.1427683863804374E-2</c:v>
                </c:pt>
                <c:pt idx="5949">
                  <c:v>1.6410654110839244E-2</c:v>
                </c:pt>
                <c:pt idx="5950">
                  <c:v>1.1516808615293153E-2</c:v>
                </c:pt>
                <c:pt idx="5951">
                  <c:v>1.3337346642994867E-2</c:v>
                </c:pt>
                <c:pt idx="5952">
                  <c:v>7.8084706626900396E-3</c:v>
                </c:pt>
                <c:pt idx="5953">
                  <c:v>1.3166772221785738E-2</c:v>
                </c:pt>
                <c:pt idx="5954">
                  <c:v>1.4479789878508512E-2</c:v>
                </c:pt>
                <c:pt idx="5955">
                  <c:v>1.6060720144834936E-2</c:v>
                </c:pt>
                <c:pt idx="5956">
                  <c:v>1.7236910641672619E-2</c:v>
                </c:pt>
                <c:pt idx="5957">
                  <c:v>1.1352356646999965E-2</c:v>
                </c:pt>
                <c:pt idx="5958">
                  <c:v>1.1333337181736467E-2</c:v>
                </c:pt>
                <c:pt idx="5959">
                  <c:v>1.0174136570322331E-2</c:v>
                </c:pt>
                <c:pt idx="5960">
                  <c:v>1.2502233935186959E-2</c:v>
                </c:pt>
                <c:pt idx="5961">
                  <c:v>8.6674978994573017E-3</c:v>
                </c:pt>
                <c:pt idx="5962">
                  <c:v>1.1417859777985505E-2</c:v>
                </c:pt>
                <c:pt idx="5963">
                  <c:v>1.2853438314176563E-2</c:v>
                </c:pt>
                <c:pt idx="5964">
                  <c:v>1.2670668968378557E-2</c:v>
                </c:pt>
                <c:pt idx="5965">
                  <c:v>1.0194935429819979E-2</c:v>
                </c:pt>
                <c:pt idx="5966">
                  <c:v>1.2377119238050545E-2</c:v>
                </c:pt>
                <c:pt idx="5967">
                  <c:v>1.3302449374566198E-2</c:v>
                </c:pt>
                <c:pt idx="5968">
                  <c:v>1.0429177410756931E-2</c:v>
                </c:pt>
                <c:pt idx="5969">
                  <c:v>1.3261580666015601E-2</c:v>
                </c:pt>
                <c:pt idx="5970">
                  <c:v>1.2684327371538405E-2</c:v>
                </c:pt>
                <c:pt idx="5971">
                  <c:v>9.4205955441200202E-3</c:v>
                </c:pt>
                <c:pt idx="5972">
                  <c:v>1.3692678924603175E-2</c:v>
                </c:pt>
                <c:pt idx="5973">
                  <c:v>8.9009463270441035E-3</c:v>
                </c:pt>
                <c:pt idx="5974">
                  <c:v>1.0129618572635236E-2</c:v>
                </c:pt>
                <c:pt idx="5975">
                  <c:v>8.8417321308380346E-3</c:v>
                </c:pt>
                <c:pt idx="5976">
                  <c:v>1.0478417436753085E-2</c:v>
                </c:pt>
                <c:pt idx="5977">
                  <c:v>9.3327599498678158E-3</c:v>
                </c:pt>
                <c:pt idx="5978">
                  <c:v>1.3117706143114544E-2</c:v>
                </c:pt>
                <c:pt idx="5979">
                  <c:v>9.4040498956925022E-3</c:v>
                </c:pt>
                <c:pt idx="5980">
                  <c:v>1.0802835955875558E-2</c:v>
                </c:pt>
                <c:pt idx="5981">
                  <c:v>1.3344538591928324E-2</c:v>
                </c:pt>
                <c:pt idx="5982">
                  <c:v>1.2482519900072464E-2</c:v>
                </c:pt>
                <c:pt idx="5983">
                  <c:v>1.2961496088356957E-2</c:v>
                </c:pt>
                <c:pt idx="5984">
                  <c:v>1.0515819258829636E-2</c:v>
                </c:pt>
                <c:pt idx="5985">
                  <c:v>9.9443560243147183E-3</c:v>
                </c:pt>
                <c:pt idx="5986">
                  <c:v>9.6072960625447484E-3</c:v>
                </c:pt>
                <c:pt idx="5987">
                  <c:v>1.1017630804136603E-2</c:v>
                </c:pt>
                <c:pt idx="5988">
                  <c:v>1.0533008197251658E-2</c:v>
                </c:pt>
                <c:pt idx="5989">
                  <c:v>1.3119672484221623E-2</c:v>
                </c:pt>
                <c:pt idx="5990">
                  <c:v>1.2261114805285196E-2</c:v>
                </c:pt>
                <c:pt idx="5991">
                  <c:v>1.0262541630637036E-2</c:v>
                </c:pt>
                <c:pt idx="5992">
                  <c:v>1.0385512693335153E-2</c:v>
                </c:pt>
                <c:pt idx="5993">
                  <c:v>1.3690588016950793E-2</c:v>
                </c:pt>
                <c:pt idx="5994">
                  <c:v>1.0673317225880875E-2</c:v>
                </c:pt>
                <c:pt idx="5995">
                  <c:v>1.1676732815358812E-2</c:v>
                </c:pt>
                <c:pt idx="5996">
                  <c:v>1.2634455709471961E-2</c:v>
                </c:pt>
                <c:pt idx="5997">
                  <c:v>9.1358532208982261E-3</c:v>
                </c:pt>
                <c:pt idx="5998">
                  <c:v>1.1644094581826648E-2</c:v>
                </c:pt>
                <c:pt idx="5999">
                  <c:v>1.0723254043228459E-2</c:v>
                </c:pt>
                <c:pt idx="6000">
                  <c:v>1.1064307770169049E-2</c:v>
                </c:pt>
                <c:pt idx="6001">
                  <c:v>8.3219953747510206E-3</c:v>
                </c:pt>
                <c:pt idx="6002">
                  <c:v>1.0831948764265109E-2</c:v>
                </c:pt>
                <c:pt idx="6003">
                  <c:v>1.5173231756262992E-2</c:v>
                </c:pt>
                <c:pt idx="6004">
                  <c:v>9.2987441932306861E-3</c:v>
                </c:pt>
                <c:pt idx="6005">
                  <c:v>1.0377533262963059E-2</c:v>
                </c:pt>
                <c:pt idx="6006">
                  <c:v>1.1830931325736548E-2</c:v>
                </c:pt>
                <c:pt idx="6007">
                  <c:v>1.3408335824511281E-2</c:v>
                </c:pt>
                <c:pt idx="6008">
                  <c:v>8.6675415532932072E-3</c:v>
                </c:pt>
                <c:pt idx="6009">
                  <c:v>1.0971232810700659E-2</c:v>
                </c:pt>
                <c:pt idx="6010">
                  <c:v>1.3810481133131332E-2</c:v>
                </c:pt>
                <c:pt idx="6011">
                  <c:v>1.4732282787277371E-2</c:v>
                </c:pt>
                <c:pt idx="6012">
                  <c:v>1.0626079979912585E-2</c:v>
                </c:pt>
                <c:pt idx="6013">
                  <c:v>1.0432135046874071E-2</c:v>
                </c:pt>
                <c:pt idx="6014">
                  <c:v>1.1368538324946775E-2</c:v>
                </c:pt>
                <c:pt idx="6015">
                  <c:v>8.7742462698222629E-3</c:v>
                </c:pt>
                <c:pt idx="6016">
                  <c:v>9.4360548542360857E-3</c:v>
                </c:pt>
                <c:pt idx="6017">
                  <c:v>1.1171652227369449E-2</c:v>
                </c:pt>
                <c:pt idx="6018">
                  <c:v>1.215991783569988E-2</c:v>
                </c:pt>
                <c:pt idx="6019">
                  <c:v>9.7674288616355024E-3</c:v>
                </c:pt>
                <c:pt idx="6020">
                  <c:v>1.1758730343371108E-2</c:v>
                </c:pt>
                <c:pt idx="6021">
                  <c:v>1.0277386081952916E-2</c:v>
                </c:pt>
                <c:pt idx="6022">
                  <c:v>1.0777449257835267E-2</c:v>
                </c:pt>
                <c:pt idx="6023">
                  <c:v>1.1797441275510885E-2</c:v>
                </c:pt>
                <c:pt idx="6024">
                  <c:v>8.9615566550318559E-3</c:v>
                </c:pt>
                <c:pt idx="6025">
                  <c:v>1.1592095586076176E-2</c:v>
                </c:pt>
                <c:pt idx="6026">
                  <c:v>1.7155278660533853E-2</c:v>
                </c:pt>
                <c:pt idx="6027">
                  <c:v>1.0861457254888572E-2</c:v>
                </c:pt>
                <c:pt idx="6028">
                  <c:v>1.0218114856525301E-2</c:v>
                </c:pt>
                <c:pt idx="6029">
                  <c:v>1.319408167882773E-2</c:v>
                </c:pt>
                <c:pt idx="6030">
                  <c:v>1.500490986206081E-2</c:v>
                </c:pt>
                <c:pt idx="6031">
                  <c:v>1.3466978169931957E-2</c:v>
                </c:pt>
                <c:pt idx="6032">
                  <c:v>1.1764302575779805E-2</c:v>
                </c:pt>
                <c:pt idx="6033">
                  <c:v>1.0481791387976369E-2</c:v>
                </c:pt>
                <c:pt idx="6034">
                  <c:v>1.2744543291079925E-2</c:v>
                </c:pt>
                <c:pt idx="6035">
                  <c:v>1.5489909925227953E-2</c:v>
                </c:pt>
                <c:pt idx="6036">
                  <c:v>9.6983265291950595E-3</c:v>
                </c:pt>
                <c:pt idx="6037">
                  <c:v>1.3812094420012027E-2</c:v>
                </c:pt>
                <c:pt idx="6038">
                  <c:v>1.8087039567392455E-2</c:v>
                </c:pt>
                <c:pt idx="6039">
                  <c:v>1.3823598861382793E-2</c:v>
                </c:pt>
                <c:pt idx="6040">
                  <c:v>1.0206495097364557E-2</c:v>
                </c:pt>
                <c:pt idx="6041">
                  <c:v>9.963996946690248E-3</c:v>
                </c:pt>
                <c:pt idx="6042">
                  <c:v>9.0502451373782027E-3</c:v>
                </c:pt>
                <c:pt idx="6043">
                  <c:v>1.1441634418481181E-2</c:v>
                </c:pt>
                <c:pt idx="6044">
                  <c:v>1.3202678400131606E-2</c:v>
                </c:pt>
                <c:pt idx="6045">
                  <c:v>1.3284356356453787E-2</c:v>
                </c:pt>
                <c:pt idx="6046">
                  <c:v>9.9524462212706426E-3</c:v>
                </c:pt>
                <c:pt idx="6047">
                  <c:v>1.3215554156970524E-2</c:v>
                </c:pt>
                <c:pt idx="6048">
                  <c:v>1.1132167422230299E-2</c:v>
                </c:pt>
                <c:pt idx="6049">
                  <c:v>9.0442978746768654E-3</c:v>
                </c:pt>
                <c:pt idx="6050">
                  <c:v>9.0174966632707906E-3</c:v>
                </c:pt>
                <c:pt idx="6051">
                  <c:v>1.0663977625347045E-2</c:v>
                </c:pt>
                <c:pt idx="6052">
                  <c:v>1.3987742553134877E-2</c:v>
                </c:pt>
                <c:pt idx="6053">
                  <c:v>7.901575610462017E-3</c:v>
                </c:pt>
                <c:pt idx="6054">
                  <c:v>1.3499211036796256E-2</c:v>
                </c:pt>
                <c:pt idx="6055">
                  <c:v>1.1084360050057607E-2</c:v>
                </c:pt>
                <c:pt idx="6056">
                  <c:v>1.0787213456775982E-2</c:v>
                </c:pt>
                <c:pt idx="6057">
                  <c:v>1.0440474720763371E-2</c:v>
                </c:pt>
                <c:pt idx="6058">
                  <c:v>1.325703147831688E-2</c:v>
                </c:pt>
                <c:pt idx="6059">
                  <c:v>1.1197792537189314E-2</c:v>
                </c:pt>
                <c:pt idx="6060">
                  <c:v>1.5233083150463364E-2</c:v>
                </c:pt>
                <c:pt idx="6061">
                  <c:v>1.480617606794913E-2</c:v>
                </c:pt>
                <c:pt idx="6062">
                  <c:v>1.2920842833566995E-2</c:v>
                </c:pt>
                <c:pt idx="6063">
                  <c:v>1.0005440448687368E-2</c:v>
                </c:pt>
                <c:pt idx="6064">
                  <c:v>8.5731414517110048E-3</c:v>
                </c:pt>
                <c:pt idx="6065">
                  <c:v>1.148982132007409E-2</c:v>
                </c:pt>
                <c:pt idx="6066">
                  <c:v>9.0356274524801029E-3</c:v>
                </c:pt>
                <c:pt idx="6067">
                  <c:v>1.4070533364481512E-2</c:v>
                </c:pt>
                <c:pt idx="6068">
                  <c:v>1.020000767267068E-2</c:v>
                </c:pt>
                <c:pt idx="6069">
                  <c:v>1.5340559335381627E-2</c:v>
                </c:pt>
                <c:pt idx="6070">
                  <c:v>1.060281931050094E-2</c:v>
                </c:pt>
                <c:pt idx="6071">
                  <c:v>1.2434136805070873E-2</c:v>
                </c:pt>
                <c:pt idx="6072">
                  <c:v>1.1092977486884332E-2</c:v>
                </c:pt>
                <c:pt idx="6073">
                  <c:v>1.0049519502913341E-2</c:v>
                </c:pt>
                <c:pt idx="6074">
                  <c:v>8.8770635989376609E-3</c:v>
                </c:pt>
                <c:pt idx="6075">
                  <c:v>1.3736826162347837E-2</c:v>
                </c:pt>
                <c:pt idx="6076">
                  <c:v>1.0496418261476103E-2</c:v>
                </c:pt>
                <c:pt idx="6077">
                  <c:v>1.6352346603969208E-2</c:v>
                </c:pt>
                <c:pt idx="6078">
                  <c:v>1.1214758568384692E-2</c:v>
                </c:pt>
                <c:pt idx="6079">
                  <c:v>1.1409782233379606E-2</c:v>
                </c:pt>
                <c:pt idx="6080">
                  <c:v>1.0702725785757403E-2</c:v>
                </c:pt>
                <c:pt idx="6081">
                  <c:v>1.0342100231262603E-2</c:v>
                </c:pt>
                <c:pt idx="6082">
                  <c:v>1.0428046410941446E-2</c:v>
                </c:pt>
                <c:pt idx="6083">
                  <c:v>9.6171101953820837E-3</c:v>
                </c:pt>
                <c:pt idx="6084">
                  <c:v>1.2276759689853889E-2</c:v>
                </c:pt>
                <c:pt idx="6085">
                  <c:v>1.3693148880242466E-2</c:v>
                </c:pt>
                <c:pt idx="6086">
                  <c:v>7.9858801072522027E-3</c:v>
                </c:pt>
                <c:pt idx="6087">
                  <c:v>7.5885029751895164E-3</c:v>
                </c:pt>
                <c:pt idx="6088">
                  <c:v>9.7335886923168372E-3</c:v>
                </c:pt>
                <c:pt idx="6089">
                  <c:v>1.380312449313118E-2</c:v>
                </c:pt>
                <c:pt idx="6090">
                  <c:v>1.4289168621300427E-2</c:v>
                </c:pt>
                <c:pt idx="6091">
                  <c:v>1.1993277462333913E-2</c:v>
                </c:pt>
                <c:pt idx="6092">
                  <c:v>1.3129292204847856E-2</c:v>
                </c:pt>
                <c:pt idx="6093">
                  <c:v>1.1991645637796075E-2</c:v>
                </c:pt>
                <c:pt idx="6094">
                  <c:v>1.1880449629722019E-2</c:v>
                </c:pt>
                <c:pt idx="6095">
                  <c:v>1.2889082818720978E-2</c:v>
                </c:pt>
                <c:pt idx="6096">
                  <c:v>1.2662953687025323E-2</c:v>
                </c:pt>
                <c:pt idx="6097">
                  <c:v>1.2131295517326271E-2</c:v>
                </c:pt>
                <c:pt idx="6098">
                  <c:v>1.0571055961781624E-2</c:v>
                </c:pt>
                <c:pt idx="6099">
                  <c:v>9.6173269966693294E-3</c:v>
                </c:pt>
                <c:pt idx="6100">
                  <c:v>1.3335436880933577E-2</c:v>
                </c:pt>
                <c:pt idx="6101">
                  <c:v>8.5738607239434599E-3</c:v>
                </c:pt>
                <c:pt idx="6102">
                  <c:v>2.0945715443203217E-2</c:v>
                </c:pt>
                <c:pt idx="6103">
                  <c:v>1.0233851966995413E-2</c:v>
                </c:pt>
                <c:pt idx="6104">
                  <c:v>9.0598896081621871E-3</c:v>
                </c:pt>
                <c:pt idx="6105">
                  <c:v>1.3126887831705345E-2</c:v>
                </c:pt>
                <c:pt idx="6106">
                  <c:v>1.1475889051644719E-2</c:v>
                </c:pt>
                <c:pt idx="6107">
                  <c:v>8.6671815281759018E-3</c:v>
                </c:pt>
                <c:pt idx="6108">
                  <c:v>1.0182897578933073E-2</c:v>
                </c:pt>
                <c:pt idx="6109">
                  <c:v>9.0499497436140521E-3</c:v>
                </c:pt>
                <c:pt idx="6110">
                  <c:v>9.9105982069920117E-3</c:v>
                </c:pt>
                <c:pt idx="6111">
                  <c:v>1.4485258710545835E-2</c:v>
                </c:pt>
                <c:pt idx="6112">
                  <c:v>1.0455966459523585E-2</c:v>
                </c:pt>
                <c:pt idx="6113">
                  <c:v>1.2614159279317458E-2</c:v>
                </c:pt>
                <c:pt idx="6114">
                  <c:v>1.053245206865055E-2</c:v>
                </c:pt>
                <c:pt idx="6115">
                  <c:v>9.4042166330258487E-3</c:v>
                </c:pt>
                <c:pt idx="6116">
                  <c:v>1.1010034708733711E-2</c:v>
                </c:pt>
                <c:pt idx="6117">
                  <c:v>1.0419334942296325E-2</c:v>
                </c:pt>
                <c:pt idx="6118">
                  <c:v>1.2163605386448334E-2</c:v>
                </c:pt>
                <c:pt idx="6119">
                  <c:v>9.7621317785314739E-3</c:v>
                </c:pt>
                <c:pt idx="6120">
                  <c:v>1.2416237238884242E-2</c:v>
                </c:pt>
                <c:pt idx="6121">
                  <c:v>1.0944858572542005E-2</c:v>
                </c:pt>
                <c:pt idx="6122">
                  <c:v>1.1209729108335717E-2</c:v>
                </c:pt>
                <c:pt idx="6123">
                  <c:v>1.0436368910983911E-2</c:v>
                </c:pt>
                <c:pt idx="6124">
                  <c:v>1.542681524338309E-2</c:v>
                </c:pt>
                <c:pt idx="6125">
                  <c:v>1.3623860397023421E-2</c:v>
                </c:pt>
                <c:pt idx="6126">
                  <c:v>1.0802124741432786E-2</c:v>
                </c:pt>
                <c:pt idx="6127">
                  <c:v>1.1642126839823923E-2</c:v>
                </c:pt>
                <c:pt idx="6128">
                  <c:v>1.1085667335978518E-2</c:v>
                </c:pt>
                <c:pt idx="6129">
                  <c:v>8.9149455309292698E-3</c:v>
                </c:pt>
                <c:pt idx="6130">
                  <c:v>1.1607765051222286E-2</c:v>
                </c:pt>
                <c:pt idx="6131">
                  <c:v>1.2595704392814246E-2</c:v>
                </c:pt>
                <c:pt idx="6132">
                  <c:v>1.3924181930795513E-2</c:v>
                </c:pt>
                <c:pt idx="6133">
                  <c:v>1.4150270148471639E-2</c:v>
                </c:pt>
                <c:pt idx="6134">
                  <c:v>1.242116063493792E-2</c:v>
                </c:pt>
                <c:pt idx="6135">
                  <c:v>1.0133282702274975E-2</c:v>
                </c:pt>
                <c:pt idx="6136">
                  <c:v>1.22798653516941E-2</c:v>
                </c:pt>
                <c:pt idx="6137">
                  <c:v>7.6099269015364335E-3</c:v>
                </c:pt>
                <c:pt idx="6138">
                  <c:v>1.0256807280971227E-2</c:v>
                </c:pt>
                <c:pt idx="6139">
                  <c:v>1.1510626702572552E-2</c:v>
                </c:pt>
                <c:pt idx="6140">
                  <c:v>1.0365871424931483E-2</c:v>
                </c:pt>
                <c:pt idx="6141">
                  <c:v>1.3418913367000466E-2</c:v>
                </c:pt>
                <c:pt idx="6142">
                  <c:v>9.7303114803341181E-3</c:v>
                </c:pt>
                <c:pt idx="6143">
                  <c:v>1.0882187096575582E-2</c:v>
                </c:pt>
                <c:pt idx="6144">
                  <c:v>1.1915795425054438E-2</c:v>
                </c:pt>
                <c:pt idx="6145">
                  <c:v>1.5411570268294717E-2</c:v>
                </c:pt>
                <c:pt idx="6146">
                  <c:v>1.2308359809574317E-2</c:v>
                </c:pt>
                <c:pt idx="6147">
                  <c:v>1.3195463240758818E-2</c:v>
                </c:pt>
                <c:pt idx="6148">
                  <c:v>1.2728303689127043E-2</c:v>
                </c:pt>
                <c:pt idx="6149">
                  <c:v>1.5903469122946125E-2</c:v>
                </c:pt>
                <c:pt idx="6150">
                  <c:v>1.2985372983236673E-2</c:v>
                </c:pt>
                <c:pt idx="6151">
                  <c:v>1.0818939531398107E-2</c:v>
                </c:pt>
                <c:pt idx="6152">
                  <c:v>1.2943762386007959E-2</c:v>
                </c:pt>
                <c:pt idx="6153">
                  <c:v>1.185116315474959E-2</c:v>
                </c:pt>
                <c:pt idx="6154">
                  <c:v>1.3256930234102371E-2</c:v>
                </c:pt>
                <c:pt idx="6155">
                  <c:v>1.3861540971654757E-2</c:v>
                </c:pt>
                <c:pt idx="6156">
                  <c:v>1.1509187204973358E-2</c:v>
                </c:pt>
                <c:pt idx="6157">
                  <c:v>8.4864263948639714E-3</c:v>
                </c:pt>
                <c:pt idx="6158">
                  <c:v>1.0158157569917814E-2</c:v>
                </c:pt>
                <c:pt idx="6159">
                  <c:v>1.2131014684733701E-2</c:v>
                </c:pt>
                <c:pt idx="6160">
                  <c:v>1.1948711342963384E-2</c:v>
                </c:pt>
                <c:pt idx="6161">
                  <c:v>9.7644924787982732E-3</c:v>
                </c:pt>
                <c:pt idx="6162">
                  <c:v>1.430162749659211E-2</c:v>
                </c:pt>
                <c:pt idx="6163">
                  <c:v>1.1419320721380102E-2</c:v>
                </c:pt>
                <c:pt idx="6164">
                  <c:v>1.1197407001467907E-2</c:v>
                </c:pt>
                <c:pt idx="6165">
                  <c:v>1.1201355624680156E-2</c:v>
                </c:pt>
                <c:pt idx="6166">
                  <c:v>9.8491139215200092E-3</c:v>
                </c:pt>
                <c:pt idx="6167">
                  <c:v>1.078636952471868E-2</c:v>
                </c:pt>
                <c:pt idx="6168">
                  <c:v>7.6193161837192162E-3</c:v>
                </c:pt>
                <c:pt idx="6169">
                  <c:v>1.4631860684660557E-2</c:v>
                </c:pt>
                <c:pt idx="6170">
                  <c:v>1.2923853805812307E-2</c:v>
                </c:pt>
                <c:pt idx="6171">
                  <c:v>1.182600063646789E-2</c:v>
                </c:pt>
                <c:pt idx="6172">
                  <c:v>8.3938842989615247E-3</c:v>
                </c:pt>
                <c:pt idx="6173">
                  <c:v>1.2208396551211175E-2</c:v>
                </c:pt>
                <c:pt idx="6174">
                  <c:v>1.0826633400180551E-2</c:v>
                </c:pt>
                <c:pt idx="6175">
                  <c:v>1.3481001652960485E-2</c:v>
                </c:pt>
                <c:pt idx="6176">
                  <c:v>9.4087136944591612E-3</c:v>
                </c:pt>
                <c:pt idx="6177">
                  <c:v>1.3040435693281074E-2</c:v>
                </c:pt>
                <c:pt idx="6178">
                  <c:v>1.3223758050483175E-2</c:v>
                </c:pt>
                <c:pt idx="6179">
                  <c:v>1.3560639725222192E-2</c:v>
                </c:pt>
                <c:pt idx="6180">
                  <c:v>1.344681423229868E-2</c:v>
                </c:pt>
                <c:pt idx="6181">
                  <c:v>8.5297500494838484E-3</c:v>
                </c:pt>
                <c:pt idx="6182">
                  <c:v>1.0640007600751074E-2</c:v>
                </c:pt>
                <c:pt idx="6183">
                  <c:v>1.2815304471080105E-2</c:v>
                </c:pt>
                <c:pt idx="6184">
                  <c:v>1.4995801641721459E-2</c:v>
                </c:pt>
                <c:pt idx="6185">
                  <c:v>1.002192816193649E-2</c:v>
                </c:pt>
                <c:pt idx="6186">
                  <c:v>9.6268631329015971E-3</c:v>
                </c:pt>
                <c:pt idx="6187">
                  <c:v>1.4066047678667423E-2</c:v>
                </c:pt>
                <c:pt idx="6188">
                  <c:v>9.6777442950511296E-3</c:v>
                </c:pt>
                <c:pt idx="6189">
                  <c:v>1.2464565204666038E-2</c:v>
                </c:pt>
                <c:pt idx="6190">
                  <c:v>1.1776049392349455E-2</c:v>
                </c:pt>
                <c:pt idx="6191">
                  <c:v>1.6378795117282074E-2</c:v>
                </c:pt>
                <c:pt idx="6192">
                  <c:v>1.4150293167228755E-2</c:v>
                </c:pt>
                <c:pt idx="6193">
                  <c:v>1.0561191300289451E-2</c:v>
                </c:pt>
                <c:pt idx="6194">
                  <c:v>1.6210896899840559E-2</c:v>
                </c:pt>
                <c:pt idx="6195">
                  <c:v>1.3743134478236567E-2</c:v>
                </c:pt>
                <c:pt idx="6196">
                  <c:v>9.0666954347735432E-3</c:v>
                </c:pt>
                <c:pt idx="6197">
                  <c:v>1.650551407341146E-2</c:v>
                </c:pt>
                <c:pt idx="6198">
                  <c:v>1.0964371723721125E-2</c:v>
                </c:pt>
                <c:pt idx="6199">
                  <c:v>1.0574193356560443E-2</c:v>
                </c:pt>
                <c:pt idx="6200">
                  <c:v>1.359433338408227E-2</c:v>
                </c:pt>
                <c:pt idx="6201">
                  <c:v>1.033400735492454E-2</c:v>
                </c:pt>
                <c:pt idx="6202">
                  <c:v>1.5694167712695842E-2</c:v>
                </c:pt>
                <c:pt idx="6203">
                  <c:v>1.5735194019762422E-2</c:v>
                </c:pt>
                <c:pt idx="6204">
                  <c:v>1.3602883652950397E-2</c:v>
                </c:pt>
                <c:pt idx="6205">
                  <c:v>1.2873043444467856E-2</c:v>
                </c:pt>
                <c:pt idx="6206">
                  <c:v>8.0638420011045382E-3</c:v>
                </c:pt>
                <c:pt idx="6207">
                  <c:v>9.3716143555549296E-3</c:v>
                </c:pt>
                <c:pt idx="6208">
                  <c:v>1.002168063607828E-2</c:v>
                </c:pt>
                <c:pt idx="6209">
                  <c:v>9.2735694101531117E-3</c:v>
                </c:pt>
                <c:pt idx="6210">
                  <c:v>1.5216365791927977E-2</c:v>
                </c:pt>
                <c:pt idx="6211">
                  <c:v>9.5887753240692514E-3</c:v>
                </c:pt>
                <c:pt idx="6212">
                  <c:v>8.9150338286352587E-3</c:v>
                </c:pt>
                <c:pt idx="6213">
                  <c:v>8.2160425986188262E-3</c:v>
                </c:pt>
                <c:pt idx="6214">
                  <c:v>9.9259163033852821E-3</c:v>
                </c:pt>
                <c:pt idx="6215">
                  <c:v>1.6661396327784211E-2</c:v>
                </c:pt>
                <c:pt idx="6216">
                  <c:v>8.1265673497987571E-3</c:v>
                </c:pt>
                <c:pt idx="6217">
                  <c:v>1.0871695574175194E-2</c:v>
                </c:pt>
                <c:pt idx="6218">
                  <c:v>1.2748948348319925E-2</c:v>
                </c:pt>
                <c:pt idx="6219">
                  <c:v>1.1382265377363652E-2</c:v>
                </c:pt>
                <c:pt idx="6220">
                  <c:v>1.0015595807714526E-2</c:v>
                </c:pt>
                <c:pt idx="6221">
                  <c:v>1.0836423147697564E-2</c:v>
                </c:pt>
                <c:pt idx="6222">
                  <c:v>1.1477319374285928E-2</c:v>
                </c:pt>
                <c:pt idx="6223">
                  <c:v>9.3219248792394214E-3</c:v>
                </c:pt>
                <c:pt idx="6224">
                  <c:v>1.140793043717101E-2</c:v>
                </c:pt>
                <c:pt idx="6225">
                  <c:v>1.0484122590311135E-2</c:v>
                </c:pt>
                <c:pt idx="6226">
                  <c:v>9.7786521868283658E-3</c:v>
                </c:pt>
                <c:pt idx="6227">
                  <c:v>7.1393518811606362E-3</c:v>
                </c:pt>
                <c:pt idx="6228">
                  <c:v>1.1227682605304139E-2</c:v>
                </c:pt>
                <c:pt idx="6229">
                  <c:v>1.1067490671093696E-2</c:v>
                </c:pt>
                <c:pt idx="6230">
                  <c:v>1.0931710564732361E-2</c:v>
                </c:pt>
                <c:pt idx="6231">
                  <c:v>1.1269943032648069E-2</c:v>
                </c:pt>
                <c:pt idx="6232">
                  <c:v>1.0010317544463266E-2</c:v>
                </c:pt>
                <c:pt idx="6233">
                  <c:v>1.365111391335007E-2</c:v>
                </c:pt>
                <c:pt idx="6234">
                  <c:v>1.4376601800181566E-2</c:v>
                </c:pt>
                <c:pt idx="6235">
                  <c:v>1.4973541737484093E-2</c:v>
                </c:pt>
                <c:pt idx="6236">
                  <c:v>1.5404695610110221E-2</c:v>
                </c:pt>
                <c:pt idx="6237">
                  <c:v>1.0953527664097479E-2</c:v>
                </c:pt>
                <c:pt idx="6238">
                  <c:v>1.0405813907019629E-2</c:v>
                </c:pt>
                <c:pt idx="6239">
                  <c:v>9.2251482828713573E-3</c:v>
                </c:pt>
                <c:pt idx="6240">
                  <c:v>9.9559545235862155E-3</c:v>
                </c:pt>
                <c:pt idx="6241">
                  <c:v>8.540401197504913E-3</c:v>
                </c:pt>
                <c:pt idx="6242">
                  <c:v>1.3028147193291604E-2</c:v>
                </c:pt>
                <c:pt idx="6243">
                  <c:v>1.074117638717097E-2</c:v>
                </c:pt>
                <c:pt idx="6244">
                  <c:v>1.1788798128156502E-2</c:v>
                </c:pt>
                <c:pt idx="6245">
                  <c:v>1.277768602617043E-2</c:v>
                </c:pt>
                <c:pt idx="6246">
                  <c:v>1.0832340684344757E-2</c:v>
                </c:pt>
                <c:pt idx="6247">
                  <c:v>1.2525322564247468E-2</c:v>
                </c:pt>
                <c:pt idx="6248">
                  <c:v>9.9010809420721265E-3</c:v>
                </c:pt>
                <c:pt idx="6249">
                  <c:v>1.1628117022606462E-2</c:v>
                </c:pt>
                <c:pt idx="6250">
                  <c:v>1.4010157807690092E-2</c:v>
                </c:pt>
                <c:pt idx="6251">
                  <c:v>9.3238219287818235E-3</c:v>
                </c:pt>
                <c:pt idx="6252">
                  <c:v>1.0308373149456464E-2</c:v>
                </c:pt>
                <c:pt idx="6253">
                  <c:v>1.4169442859321047E-2</c:v>
                </c:pt>
                <c:pt idx="6254">
                  <c:v>1.2081425470903498E-2</c:v>
                </c:pt>
                <c:pt idx="6255">
                  <c:v>8.1947076848030414E-3</c:v>
                </c:pt>
                <c:pt idx="6256">
                  <c:v>1.256450186841558E-2</c:v>
                </c:pt>
                <c:pt idx="6257">
                  <c:v>1.1722015829466652E-2</c:v>
                </c:pt>
                <c:pt idx="6258">
                  <c:v>1.3520241920093757E-2</c:v>
                </c:pt>
                <c:pt idx="6259">
                  <c:v>1.3101237708166173E-2</c:v>
                </c:pt>
                <c:pt idx="6260">
                  <c:v>1.0733407559597096E-2</c:v>
                </c:pt>
                <c:pt idx="6261">
                  <c:v>1.233326069435592E-2</c:v>
                </c:pt>
                <c:pt idx="6262">
                  <c:v>1.263033280661768E-2</c:v>
                </c:pt>
                <c:pt idx="6263">
                  <c:v>1.565364450259988E-2</c:v>
                </c:pt>
                <c:pt idx="6264">
                  <c:v>1.2155398287244542E-2</c:v>
                </c:pt>
                <c:pt idx="6265">
                  <c:v>1.0021320994727426E-2</c:v>
                </c:pt>
                <c:pt idx="6266">
                  <c:v>1.212382796654417E-2</c:v>
                </c:pt>
                <c:pt idx="6267">
                  <c:v>1.2101306987554978E-2</c:v>
                </c:pt>
                <c:pt idx="6268">
                  <c:v>1.4661033059953208E-2</c:v>
                </c:pt>
                <c:pt idx="6269">
                  <c:v>1.0727732776086031E-2</c:v>
                </c:pt>
                <c:pt idx="6270">
                  <c:v>1.0402761968796368E-2</c:v>
                </c:pt>
                <c:pt idx="6271">
                  <c:v>9.9955193560261283E-3</c:v>
                </c:pt>
                <c:pt idx="6272">
                  <c:v>1.253429370774768E-2</c:v>
                </c:pt>
                <c:pt idx="6273">
                  <c:v>1.0924515763668643E-2</c:v>
                </c:pt>
                <c:pt idx="6274">
                  <c:v>1.2370327323719043E-2</c:v>
                </c:pt>
                <c:pt idx="6275">
                  <c:v>1.0640885738493189E-2</c:v>
                </c:pt>
                <c:pt idx="6276">
                  <c:v>1.0407124630038365E-2</c:v>
                </c:pt>
                <c:pt idx="6277">
                  <c:v>1.2203788231272595E-2</c:v>
                </c:pt>
                <c:pt idx="6278">
                  <c:v>1.3297446043647283E-2</c:v>
                </c:pt>
                <c:pt idx="6279">
                  <c:v>9.5810501429774049E-3</c:v>
                </c:pt>
                <c:pt idx="6280">
                  <c:v>1.1278026609584445E-2</c:v>
                </c:pt>
                <c:pt idx="6281">
                  <c:v>1.3368213767467326E-2</c:v>
                </c:pt>
                <c:pt idx="6282">
                  <c:v>1.1853294901518189E-2</c:v>
                </c:pt>
                <c:pt idx="6283">
                  <c:v>1.2676067988890205E-2</c:v>
                </c:pt>
                <c:pt idx="6284">
                  <c:v>1.1442848716835617E-2</c:v>
                </c:pt>
                <c:pt idx="6285">
                  <c:v>1.1695256464131049E-2</c:v>
                </c:pt>
                <c:pt idx="6286">
                  <c:v>1.035246417968894E-2</c:v>
                </c:pt>
                <c:pt idx="6287">
                  <c:v>9.5919224505843087E-3</c:v>
                </c:pt>
                <c:pt idx="6288">
                  <c:v>1.2965530588699191E-2</c:v>
                </c:pt>
                <c:pt idx="6289">
                  <c:v>1.2908761520825825E-2</c:v>
                </c:pt>
                <c:pt idx="6290">
                  <c:v>1.3646578165932228E-2</c:v>
                </c:pt>
                <c:pt idx="6291">
                  <c:v>1.2414737797292526E-2</c:v>
                </c:pt>
                <c:pt idx="6292">
                  <c:v>1.3131219014903614E-2</c:v>
                </c:pt>
                <c:pt idx="6293">
                  <c:v>1.0009359031591647E-2</c:v>
                </c:pt>
                <c:pt idx="6294">
                  <c:v>9.6822798746951863E-3</c:v>
                </c:pt>
                <c:pt idx="6295">
                  <c:v>1.1528327500814752E-2</c:v>
                </c:pt>
                <c:pt idx="6296">
                  <c:v>1.3110221934902673E-2</c:v>
                </c:pt>
                <c:pt idx="6297">
                  <c:v>1.0497551613426066E-2</c:v>
                </c:pt>
                <c:pt idx="6298">
                  <c:v>1.3055734045577576E-2</c:v>
                </c:pt>
                <c:pt idx="6299">
                  <c:v>1.2287617620540104E-2</c:v>
                </c:pt>
                <c:pt idx="6300">
                  <c:v>9.5804403126072135E-3</c:v>
                </c:pt>
                <c:pt idx="6301">
                  <c:v>1.0336866065406944E-2</c:v>
                </c:pt>
                <c:pt idx="6302">
                  <c:v>1.2032207053877307E-2</c:v>
                </c:pt>
                <c:pt idx="6303">
                  <c:v>1.3746055929064841E-2</c:v>
                </c:pt>
                <c:pt idx="6304">
                  <c:v>1.1395646169875288E-2</c:v>
                </c:pt>
                <c:pt idx="6305">
                  <c:v>1.0913119370039288E-2</c:v>
                </c:pt>
                <c:pt idx="6306">
                  <c:v>1.1954413768787966E-2</c:v>
                </c:pt>
                <c:pt idx="6307">
                  <c:v>1.2749127646954453E-2</c:v>
                </c:pt>
                <c:pt idx="6308">
                  <c:v>1.2828946579046952E-2</c:v>
                </c:pt>
                <c:pt idx="6309">
                  <c:v>8.4210897504228537E-3</c:v>
                </c:pt>
                <c:pt idx="6310">
                  <c:v>1.2567731919750875E-2</c:v>
                </c:pt>
                <c:pt idx="6311">
                  <c:v>1.13609271001225E-2</c:v>
                </c:pt>
                <c:pt idx="6312">
                  <c:v>1.4047291550818332E-2</c:v>
                </c:pt>
                <c:pt idx="6313">
                  <c:v>1.0057667288215191E-2</c:v>
                </c:pt>
                <c:pt idx="6314">
                  <c:v>1.0963378268676634E-2</c:v>
                </c:pt>
                <c:pt idx="6315">
                  <c:v>1.0179045688198893E-2</c:v>
                </c:pt>
                <c:pt idx="6316">
                  <c:v>1.2994794464031621E-2</c:v>
                </c:pt>
                <c:pt idx="6317">
                  <c:v>1.0095257237419204E-2</c:v>
                </c:pt>
                <c:pt idx="6318">
                  <c:v>1.2483000454102959E-2</c:v>
                </c:pt>
                <c:pt idx="6319">
                  <c:v>1.3771611131696523E-2</c:v>
                </c:pt>
                <c:pt idx="6320">
                  <c:v>1.160299122759129E-2</c:v>
                </c:pt>
                <c:pt idx="6321">
                  <c:v>1.1284050988772583E-2</c:v>
                </c:pt>
                <c:pt idx="6322">
                  <c:v>1.1232685140072593E-2</c:v>
                </c:pt>
                <c:pt idx="6323">
                  <c:v>1.2648354260933126E-2</c:v>
                </c:pt>
                <c:pt idx="6324">
                  <c:v>1.1931696674048291E-2</c:v>
                </c:pt>
                <c:pt idx="6325">
                  <c:v>1.2863877250539177E-2</c:v>
                </c:pt>
                <c:pt idx="6326">
                  <c:v>9.9957452514938764E-3</c:v>
                </c:pt>
                <c:pt idx="6327">
                  <c:v>1.0238404398763119E-2</c:v>
                </c:pt>
                <c:pt idx="6328">
                  <c:v>1.5731349751996641E-2</c:v>
                </c:pt>
                <c:pt idx="6329">
                  <c:v>1.152177604837544E-2</c:v>
                </c:pt>
                <c:pt idx="6330">
                  <c:v>1.0639271255693755E-2</c:v>
                </c:pt>
                <c:pt idx="6331">
                  <c:v>1.4252831202638898E-2</c:v>
                </c:pt>
                <c:pt idx="6332">
                  <c:v>1.0289690308832861E-2</c:v>
                </c:pt>
                <c:pt idx="6333">
                  <c:v>1.4802277412922832E-2</c:v>
                </c:pt>
                <c:pt idx="6334">
                  <c:v>9.1809134577995732E-3</c:v>
                </c:pt>
                <c:pt idx="6335">
                  <c:v>1.0441627886222419E-2</c:v>
                </c:pt>
                <c:pt idx="6336">
                  <c:v>1.5082667751530833E-2</c:v>
                </c:pt>
                <c:pt idx="6337">
                  <c:v>1.2352265067382377E-2</c:v>
                </c:pt>
                <c:pt idx="6338">
                  <c:v>1.0461714087243787E-2</c:v>
                </c:pt>
                <c:pt idx="6339">
                  <c:v>1.1479152773257879E-2</c:v>
                </c:pt>
                <c:pt idx="6340">
                  <c:v>1.1343161796563936E-2</c:v>
                </c:pt>
                <c:pt idx="6341">
                  <c:v>1.2092159792061049E-2</c:v>
                </c:pt>
                <c:pt idx="6342">
                  <c:v>1.0763634727596871E-2</c:v>
                </c:pt>
                <c:pt idx="6343">
                  <c:v>1.0030332455189226E-2</c:v>
                </c:pt>
                <c:pt idx="6344">
                  <c:v>1.152040243123903E-2</c:v>
                </c:pt>
                <c:pt idx="6345">
                  <c:v>1.5363441335289723E-2</c:v>
                </c:pt>
                <c:pt idx="6346">
                  <c:v>8.5827550230093402E-3</c:v>
                </c:pt>
                <c:pt idx="6347">
                  <c:v>1.298017724512443E-2</c:v>
                </c:pt>
                <c:pt idx="6348">
                  <c:v>9.9191523310987496E-3</c:v>
                </c:pt>
                <c:pt idx="6349">
                  <c:v>1.1419034433481299E-2</c:v>
                </c:pt>
                <c:pt idx="6350">
                  <c:v>1.0806069968172714E-2</c:v>
                </c:pt>
                <c:pt idx="6351">
                  <c:v>1.1531528572240851E-2</c:v>
                </c:pt>
                <c:pt idx="6352">
                  <c:v>1.0460313198506141E-2</c:v>
                </c:pt>
                <c:pt idx="6353">
                  <c:v>1.439343560349105E-2</c:v>
                </c:pt>
                <c:pt idx="6354">
                  <c:v>1.2677469535371794E-2</c:v>
                </c:pt>
                <c:pt idx="6355">
                  <c:v>1.0778912679098527E-2</c:v>
                </c:pt>
                <c:pt idx="6356">
                  <c:v>8.9667311147413695E-3</c:v>
                </c:pt>
                <c:pt idx="6357">
                  <c:v>1.2392885499431279E-2</c:v>
                </c:pt>
                <c:pt idx="6358">
                  <c:v>1.030494091228489E-2</c:v>
                </c:pt>
                <c:pt idx="6359">
                  <c:v>1.0689360822684181E-2</c:v>
                </c:pt>
                <c:pt idx="6360">
                  <c:v>1.1091153220365109E-2</c:v>
                </c:pt>
                <c:pt idx="6361">
                  <c:v>1.1757536392592225E-2</c:v>
                </c:pt>
                <c:pt idx="6362">
                  <c:v>1.3369619429276575E-2</c:v>
                </c:pt>
                <c:pt idx="6363">
                  <c:v>1.1364947140253058E-2</c:v>
                </c:pt>
                <c:pt idx="6364">
                  <c:v>1.1573235058722422E-2</c:v>
                </c:pt>
                <c:pt idx="6365">
                  <c:v>1.3260637577335086E-2</c:v>
                </c:pt>
                <c:pt idx="6366">
                  <c:v>1.0225628977466653E-2</c:v>
                </c:pt>
                <c:pt idx="6367">
                  <c:v>1.2064738594973616E-2</c:v>
                </c:pt>
                <c:pt idx="6368">
                  <c:v>9.4337627117464153E-3</c:v>
                </c:pt>
                <c:pt idx="6369">
                  <c:v>1.1374538153847334E-2</c:v>
                </c:pt>
                <c:pt idx="6370">
                  <c:v>1.1237170269306856E-2</c:v>
                </c:pt>
                <c:pt idx="6371">
                  <c:v>1.2619717160428765E-2</c:v>
                </c:pt>
                <c:pt idx="6372">
                  <c:v>1.1048687665474947E-2</c:v>
                </c:pt>
                <c:pt idx="6373">
                  <c:v>1.1600758994250605E-2</c:v>
                </c:pt>
                <c:pt idx="6374">
                  <c:v>1.3767642845385246E-2</c:v>
                </c:pt>
                <c:pt idx="6375">
                  <c:v>1.2359144031171975E-2</c:v>
                </c:pt>
                <c:pt idx="6376">
                  <c:v>1.0384321218218036E-2</c:v>
                </c:pt>
                <c:pt idx="6377">
                  <c:v>1.195064182869293E-2</c:v>
                </c:pt>
                <c:pt idx="6378">
                  <c:v>1.1037208712265692E-2</c:v>
                </c:pt>
                <c:pt idx="6379">
                  <c:v>1.2830885424019205E-2</c:v>
                </c:pt>
                <c:pt idx="6380">
                  <c:v>1.4060558597636571E-2</c:v>
                </c:pt>
                <c:pt idx="6381">
                  <c:v>1.0643612625832136E-2</c:v>
                </c:pt>
                <c:pt idx="6382">
                  <c:v>1.5109581032638347E-2</c:v>
                </c:pt>
                <c:pt idx="6383">
                  <c:v>9.4940177155445008E-3</c:v>
                </c:pt>
                <c:pt idx="6384">
                  <c:v>1.4235477891234385E-2</c:v>
                </c:pt>
                <c:pt idx="6385">
                  <c:v>9.2293999899237863E-3</c:v>
                </c:pt>
                <c:pt idx="6386">
                  <c:v>1.4479909908892577E-2</c:v>
                </c:pt>
                <c:pt idx="6387">
                  <c:v>1.4229296588176617E-2</c:v>
                </c:pt>
                <c:pt idx="6388">
                  <c:v>1.1480429605586977E-2</c:v>
                </c:pt>
                <c:pt idx="6389">
                  <c:v>9.7072310676638782E-3</c:v>
                </c:pt>
                <c:pt idx="6390">
                  <c:v>1.0137428867744722E-2</c:v>
                </c:pt>
                <c:pt idx="6391">
                  <c:v>1.1508393332975379E-2</c:v>
                </c:pt>
                <c:pt idx="6392">
                  <c:v>1.2152674240577113E-2</c:v>
                </c:pt>
                <c:pt idx="6393">
                  <c:v>1.314720515327876E-2</c:v>
                </c:pt>
                <c:pt idx="6394">
                  <c:v>1.6135652658874091E-2</c:v>
                </c:pt>
                <c:pt idx="6395">
                  <c:v>1.3586980740907625E-2</c:v>
                </c:pt>
                <c:pt idx="6396">
                  <c:v>1.2153928236700227E-2</c:v>
                </c:pt>
                <c:pt idx="6397">
                  <c:v>1.2022505853623848E-2</c:v>
                </c:pt>
                <c:pt idx="6398">
                  <c:v>1.0087420378424227E-2</c:v>
                </c:pt>
                <c:pt idx="6399">
                  <c:v>9.3732974445521772E-3</c:v>
                </c:pt>
                <c:pt idx="6400">
                  <c:v>8.7332416894818406E-3</c:v>
                </c:pt>
                <c:pt idx="6401">
                  <c:v>1.2212465924104824E-2</c:v>
                </c:pt>
                <c:pt idx="6402">
                  <c:v>1.2347230023109206E-2</c:v>
                </c:pt>
                <c:pt idx="6403">
                  <c:v>1.2804414460701758E-2</c:v>
                </c:pt>
                <c:pt idx="6404">
                  <c:v>1.260355472439338E-2</c:v>
                </c:pt>
                <c:pt idx="6405">
                  <c:v>1.2616387736296385E-2</c:v>
                </c:pt>
                <c:pt idx="6406">
                  <c:v>1.1108007794912247E-2</c:v>
                </c:pt>
                <c:pt idx="6407">
                  <c:v>1.5339209892773951E-2</c:v>
                </c:pt>
                <c:pt idx="6408">
                  <c:v>1.1466560430686916E-2</c:v>
                </c:pt>
                <c:pt idx="6409">
                  <c:v>1.5079456165521385E-2</c:v>
                </c:pt>
                <c:pt idx="6410">
                  <c:v>9.2849607973822992E-3</c:v>
                </c:pt>
                <c:pt idx="6411">
                  <c:v>1.0714905555971765E-2</c:v>
                </c:pt>
                <c:pt idx="6412">
                  <c:v>1.5789671448335443E-2</c:v>
                </c:pt>
                <c:pt idx="6413">
                  <c:v>1.1442284421068602E-2</c:v>
                </c:pt>
                <c:pt idx="6414">
                  <c:v>1.1878135368480357E-2</c:v>
                </c:pt>
                <c:pt idx="6415">
                  <c:v>1.2771583082841672E-2</c:v>
                </c:pt>
                <c:pt idx="6416">
                  <c:v>1.2794574493559939E-2</c:v>
                </c:pt>
                <c:pt idx="6417">
                  <c:v>1.23083784156138E-2</c:v>
                </c:pt>
                <c:pt idx="6418">
                  <c:v>1.1801733791913824E-2</c:v>
                </c:pt>
                <c:pt idx="6419">
                  <c:v>1.4102465993433157E-2</c:v>
                </c:pt>
                <c:pt idx="6420">
                  <c:v>1.1316956814090572E-2</c:v>
                </c:pt>
                <c:pt idx="6421">
                  <c:v>1.0524465758395652E-2</c:v>
                </c:pt>
                <c:pt idx="6422">
                  <c:v>1.2213333001250413E-2</c:v>
                </c:pt>
                <c:pt idx="6423">
                  <c:v>1.2607579986330027E-2</c:v>
                </c:pt>
                <c:pt idx="6424">
                  <c:v>1.3562472468590735E-2</c:v>
                </c:pt>
                <c:pt idx="6425">
                  <c:v>8.8203205086155693E-3</c:v>
                </c:pt>
                <c:pt idx="6426">
                  <c:v>1.1485418005515778E-2</c:v>
                </c:pt>
                <c:pt idx="6427">
                  <c:v>9.4948308497527605E-3</c:v>
                </c:pt>
                <c:pt idx="6428">
                  <c:v>1.3438668569939177E-2</c:v>
                </c:pt>
                <c:pt idx="6429">
                  <c:v>1.6279855325106316E-2</c:v>
                </c:pt>
                <c:pt idx="6430">
                  <c:v>1.0954082135088363E-2</c:v>
                </c:pt>
                <c:pt idx="6431">
                  <c:v>1.1242940966169483E-2</c:v>
                </c:pt>
                <c:pt idx="6432">
                  <c:v>1.1407882160531272E-2</c:v>
                </c:pt>
                <c:pt idx="6433">
                  <c:v>1.0105235595261197E-2</c:v>
                </c:pt>
                <c:pt idx="6434">
                  <c:v>9.5372715930356258E-3</c:v>
                </c:pt>
                <c:pt idx="6435">
                  <c:v>1.258095611075254E-2</c:v>
                </c:pt>
                <c:pt idx="6436">
                  <c:v>9.0644354107044904E-3</c:v>
                </c:pt>
                <c:pt idx="6437">
                  <c:v>1.2246588740994739E-2</c:v>
                </c:pt>
                <c:pt idx="6438">
                  <c:v>1.3285700011042338E-2</c:v>
                </c:pt>
                <c:pt idx="6439">
                  <c:v>8.8335467371319192E-3</c:v>
                </c:pt>
                <c:pt idx="6440">
                  <c:v>7.9880297098672299E-3</c:v>
                </c:pt>
                <c:pt idx="6441">
                  <c:v>1.2105016530209733E-2</c:v>
                </c:pt>
                <c:pt idx="6442">
                  <c:v>8.1080117571559196E-3</c:v>
                </c:pt>
                <c:pt idx="6443">
                  <c:v>7.7324705910903702E-3</c:v>
                </c:pt>
                <c:pt idx="6444">
                  <c:v>1.1157069434945283E-2</c:v>
                </c:pt>
                <c:pt idx="6445">
                  <c:v>8.2770674206864153E-3</c:v>
                </c:pt>
                <c:pt idx="6446">
                  <c:v>1.4438878367388148E-2</c:v>
                </c:pt>
                <c:pt idx="6447">
                  <c:v>1.1391736946092532E-2</c:v>
                </c:pt>
                <c:pt idx="6448">
                  <c:v>1.4417256237239062E-2</c:v>
                </c:pt>
                <c:pt idx="6449">
                  <c:v>1.0374087478391698E-2</c:v>
                </c:pt>
                <c:pt idx="6450">
                  <c:v>1.1036718061922746E-2</c:v>
                </c:pt>
                <c:pt idx="6451">
                  <c:v>1.2427513760433649E-2</c:v>
                </c:pt>
                <c:pt idx="6452">
                  <c:v>1.2196932932713572E-2</c:v>
                </c:pt>
                <c:pt idx="6453">
                  <c:v>1.1450878421943003E-2</c:v>
                </c:pt>
                <c:pt idx="6454">
                  <c:v>9.6459366005445853E-3</c:v>
                </c:pt>
                <c:pt idx="6455">
                  <c:v>9.1670277068528379E-3</c:v>
                </c:pt>
                <c:pt idx="6456">
                  <c:v>1.5764906536102036E-2</c:v>
                </c:pt>
                <c:pt idx="6457">
                  <c:v>1.2802218305624766E-2</c:v>
                </c:pt>
                <c:pt idx="6458">
                  <c:v>1.1276575333646927E-2</c:v>
                </c:pt>
                <c:pt idx="6459">
                  <c:v>1.1344126441842163E-2</c:v>
                </c:pt>
                <c:pt idx="6460">
                  <c:v>1.2764396367353844E-2</c:v>
                </c:pt>
                <c:pt idx="6461">
                  <c:v>9.2443341516416158E-3</c:v>
                </c:pt>
                <c:pt idx="6462">
                  <c:v>1.0339907424902203E-2</c:v>
                </c:pt>
                <c:pt idx="6463">
                  <c:v>1.0475306150488969E-2</c:v>
                </c:pt>
                <c:pt idx="6464">
                  <c:v>1.2243896797382527E-2</c:v>
                </c:pt>
                <c:pt idx="6465">
                  <c:v>9.8227516161356245E-3</c:v>
                </c:pt>
                <c:pt idx="6466">
                  <c:v>1.1107826997334293E-2</c:v>
                </c:pt>
                <c:pt idx="6467">
                  <c:v>1.2999169408810107E-2</c:v>
                </c:pt>
                <c:pt idx="6468">
                  <c:v>1.1948354745617921E-2</c:v>
                </c:pt>
                <c:pt idx="6469">
                  <c:v>1.3693219399992997E-2</c:v>
                </c:pt>
                <c:pt idx="6470">
                  <c:v>1.2040589589871026E-2</c:v>
                </c:pt>
                <c:pt idx="6471">
                  <c:v>1.1404869660701474E-2</c:v>
                </c:pt>
                <c:pt idx="6472">
                  <c:v>1.139395654039326E-2</c:v>
                </c:pt>
                <c:pt idx="6473">
                  <c:v>9.8313011503648896E-3</c:v>
                </c:pt>
                <c:pt idx="6474">
                  <c:v>1.0799981582255215E-2</c:v>
                </c:pt>
                <c:pt idx="6475">
                  <c:v>9.3161971460548314E-3</c:v>
                </c:pt>
                <c:pt idx="6476">
                  <c:v>8.2390077876699393E-3</c:v>
                </c:pt>
                <c:pt idx="6477">
                  <c:v>1.2742356145784771E-2</c:v>
                </c:pt>
                <c:pt idx="6478">
                  <c:v>1.5786101455178218E-2</c:v>
                </c:pt>
                <c:pt idx="6479">
                  <c:v>1.0463833433479149E-2</c:v>
                </c:pt>
                <c:pt idx="6480">
                  <c:v>1.0511761614464163E-2</c:v>
                </c:pt>
                <c:pt idx="6481">
                  <c:v>9.7393965021720687E-3</c:v>
                </c:pt>
                <c:pt idx="6482">
                  <c:v>1.2142843131180183E-2</c:v>
                </c:pt>
                <c:pt idx="6483">
                  <c:v>1.0917553370291771E-2</c:v>
                </c:pt>
                <c:pt idx="6484">
                  <c:v>1.1546162932528281E-2</c:v>
                </c:pt>
                <c:pt idx="6485">
                  <c:v>1.3715893104774822E-2</c:v>
                </c:pt>
                <c:pt idx="6486">
                  <c:v>1.134023235392242E-2</c:v>
                </c:pt>
                <c:pt idx="6487">
                  <c:v>8.6011271988435285E-3</c:v>
                </c:pt>
                <c:pt idx="6488">
                  <c:v>1.0779246216819251E-2</c:v>
                </c:pt>
                <c:pt idx="6489">
                  <c:v>1.4055920358240487E-2</c:v>
                </c:pt>
                <c:pt idx="6490">
                  <c:v>8.5999460615147939E-3</c:v>
                </c:pt>
                <c:pt idx="6491">
                  <c:v>1.1312879438859337E-2</c:v>
                </c:pt>
                <c:pt idx="6492">
                  <c:v>9.3717298349484772E-3</c:v>
                </c:pt>
                <c:pt idx="6493">
                  <c:v>8.539242014755994E-3</c:v>
                </c:pt>
                <c:pt idx="6494">
                  <c:v>1.1497177728250525E-2</c:v>
                </c:pt>
                <c:pt idx="6495">
                  <c:v>1.0483740173424631E-2</c:v>
                </c:pt>
                <c:pt idx="6496">
                  <c:v>1.4938221715240198E-2</c:v>
                </c:pt>
                <c:pt idx="6497">
                  <c:v>9.6057816740518533E-3</c:v>
                </c:pt>
                <c:pt idx="6498">
                  <c:v>9.8154821182338502E-3</c:v>
                </c:pt>
                <c:pt idx="6499">
                  <c:v>1.1506072755110223E-2</c:v>
                </c:pt>
                <c:pt idx="6500">
                  <c:v>1.15836265926348E-2</c:v>
                </c:pt>
                <c:pt idx="6501">
                  <c:v>9.0149084680832582E-3</c:v>
                </c:pt>
                <c:pt idx="6502">
                  <c:v>1.0805608200753283E-2</c:v>
                </c:pt>
                <c:pt idx="6503">
                  <c:v>1.3025426272114331E-2</c:v>
                </c:pt>
                <c:pt idx="6504">
                  <c:v>1.1867886594235395E-2</c:v>
                </c:pt>
                <c:pt idx="6505">
                  <c:v>1.1200895963255663E-2</c:v>
                </c:pt>
                <c:pt idx="6506">
                  <c:v>1.1208621459747419E-2</c:v>
                </c:pt>
                <c:pt idx="6507">
                  <c:v>9.2119920220310233E-3</c:v>
                </c:pt>
                <c:pt idx="6508">
                  <c:v>1.4238927616232074E-2</c:v>
                </c:pt>
                <c:pt idx="6509">
                  <c:v>9.7510486622709568E-3</c:v>
                </c:pt>
                <c:pt idx="6510">
                  <c:v>9.7334453878391378E-3</c:v>
                </c:pt>
                <c:pt idx="6511">
                  <c:v>9.9752950476882426E-3</c:v>
                </c:pt>
                <c:pt idx="6512">
                  <c:v>1.5541590160774469E-2</c:v>
                </c:pt>
                <c:pt idx="6513">
                  <c:v>9.2920154779545412E-3</c:v>
                </c:pt>
                <c:pt idx="6514">
                  <c:v>9.5695120958736498E-3</c:v>
                </c:pt>
                <c:pt idx="6515">
                  <c:v>1.2726910559737546E-2</c:v>
                </c:pt>
                <c:pt idx="6516">
                  <c:v>1.3307912874917414E-2</c:v>
                </c:pt>
                <c:pt idx="6517">
                  <c:v>9.3238785878623515E-3</c:v>
                </c:pt>
                <c:pt idx="6518">
                  <c:v>1.089655319442333E-2</c:v>
                </c:pt>
                <c:pt idx="6519">
                  <c:v>1.5387968804180934E-2</c:v>
                </c:pt>
                <c:pt idx="6520">
                  <c:v>1.1479382742869288E-2</c:v>
                </c:pt>
                <c:pt idx="6521">
                  <c:v>1.4448672746933384E-2</c:v>
                </c:pt>
                <c:pt idx="6522">
                  <c:v>1.1887469156773713E-2</c:v>
                </c:pt>
                <c:pt idx="6523">
                  <c:v>1.2086933422786593E-2</c:v>
                </c:pt>
                <c:pt idx="6524">
                  <c:v>1.0522013782117248E-2</c:v>
                </c:pt>
                <c:pt idx="6525">
                  <c:v>1.0704183011491194E-2</c:v>
                </c:pt>
                <c:pt idx="6526">
                  <c:v>1.2286894845995088E-2</c:v>
                </c:pt>
                <c:pt idx="6527">
                  <c:v>1.0480714788029765E-2</c:v>
                </c:pt>
                <c:pt idx="6528">
                  <c:v>9.2937907375541008E-3</c:v>
                </c:pt>
                <c:pt idx="6529">
                  <c:v>9.3327668176071844E-3</c:v>
                </c:pt>
                <c:pt idx="6530">
                  <c:v>1.3658534256922561E-2</c:v>
                </c:pt>
                <c:pt idx="6531">
                  <c:v>1.0472567118605617E-2</c:v>
                </c:pt>
                <c:pt idx="6532">
                  <c:v>1.3105302638485524E-2</c:v>
                </c:pt>
                <c:pt idx="6533">
                  <c:v>1.3934322125033762E-2</c:v>
                </c:pt>
                <c:pt idx="6534">
                  <c:v>1.1044946107693736E-2</c:v>
                </c:pt>
                <c:pt idx="6535">
                  <c:v>1.1612646230135564E-2</c:v>
                </c:pt>
                <c:pt idx="6536">
                  <c:v>1.0874731280914674E-2</c:v>
                </c:pt>
                <c:pt idx="6537">
                  <c:v>9.2656433169865902E-3</c:v>
                </c:pt>
                <c:pt idx="6538">
                  <c:v>9.7113995901072329E-3</c:v>
                </c:pt>
                <c:pt idx="6539">
                  <c:v>1.3599818498123499E-2</c:v>
                </c:pt>
                <c:pt idx="6540">
                  <c:v>9.9420033865536325E-3</c:v>
                </c:pt>
                <c:pt idx="6541">
                  <c:v>1.2617920239678974E-2</c:v>
                </c:pt>
                <c:pt idx="6542">
                  <c:v>8.7241570971303747E-3</c:v>
                </c:pt>
                <c:pt idx="6543">
                  <c:v>1.5344898287586912E-2</c:v>
                </c:pt>
                <c:pt idx="6544">
                  <c:v>1.1630770914703275E-2</c:v>
                </c:pt>
                <c:pt idx="6545">
                  <c:v>1.2456230382230758E-2</c:v>
                </c:pt>
                <c:pt idx="6546">
                  <c:v>1.2126732364325191E-2</c:v>
                </c:pt>
                <c:pt idx="6547">
                  <c:v>1.1223297409041226E-2</c:v>
                </c:pt>
                <c:pt idx="6548">
                  <c:v>1.2478069900679532E-2</c:v>
                </c:pt>
                <c:pt idx="6549">
                  <c:v>1.3160802887985244E-2</c:v>
                </c:pt>
                <c:pt idx="6550">
                  <c:v>1.1405707368376721E-2</c:v>
                </c:pt>
                <c:pt idx="6551">
                  <c:v>8.0782515693007644E-3</c:v>
                </c:pt>
                <c:pt idx="6552">
                  <c:v>1.4185601451863341E-2</c:v>
                </c:pt>
                <c:pt idx="6553">
                  <c:v>1.4763755445131331E-2</c:v>
                </c:pt>
                <c:pt idx="6554">
                  <c:v>1.2918962275312048E-2</c:v>
                </c:pt>
                <c:pt idx="6555">
                  <c:v>1.159323021209952E-2</c:v>
                </c:pt>
                <c:pt idx="6556">
                  <c:v>1.144718630087316E-2</c:v>
                </c:pt>
                <c:pt idx="6557">
                  <c:v>7.9427830458768858E-3</c:v>
                </c:pt>
                <c:pt idx="6558">
                  <c:v>1.2626300771458333E-2</c:v>
                </c:pt>
                <c:pt idx="6559">
                  <c:v>1.0860816404939327E-2</c:v>
                </c:pt>
                <c:pt idx="6560">
                  <c:v>9.8034919731821626E-3</c:v>
                </c:pt>
                <c:pt idx="6561">
                  <c:v>1.242226898877666E-2</c:v>
                </c:pt>
                <c:pt idx="6562">
                  <c:v>7.8351412482222434E-3</c:v>
                </c:pt>
                <c:pt idx="6563">
                  <c:v>1.0851042625575015E-2</c:v>
                </c:pt>
                <c:pt idx="6564">
                  <c:v>1.3474231062376158E-2</c:v>
                </c:pt>
                <c:pt idx="6565">
                  <c:v>1.3722019473989638E-2</c:v>
                </c:pt>
                <c:pt idx="6566">
                  <c:v>1.0176498622605912E-2</c:v>
                </c:pt>
                <c:pt idx="6567">
                  <c:v>1.186803639049068E-2</c:v>
                </c:pt>
                <c:pt idx="6568">
                  <c:v>9.8938064186046525E-3</c:v>
                </c:pt>
                <c:pt idx="6569">
                  <c:v>1.1944746336676372E-2</c:v>
                </c:pt>
                <c:pt idx="6570">
                  <c:v>1.1491916938736422E-2</c:v>
                </c:pt>
                <c:pt idx="6571">
                  <c:v>1.2363240954210243E-2</c:v>
                </c:pt>
                <c:pt idx="6572">
                  <c:v>1.498238135649411E-2</c:v>
                </c:pt>
                <c:pt idx="6573">
                  <c:v>7.8938888793910027E-3</c:v>
                </c:pt>
                <c:pt idx="6574">
                  <c:v>1.8425353463412408E-2</c:v>
                </c:pt>
                <c:pt idx="6575">
                  <c:v>1.4316335062881064E-2</c:v>
                </c:pt>
                <c:pt idx="6576">
                  <c:v>1.1416477378858725E-2</c:v>
                </c:pt>
                <c:pt idx="6577">
                  <c:v>1.0315353576028471E-2</c:v>
                </c:pt>
                <c:pt idx="6578">
                  <c:v>1.2988254486248971E-2</c:v>
                </c:pt>
                <c:pt idx="6579">
                  <c:v>1.0560702332824979E-2</c:v>
                </c:pt>
                <c:pt idx="6580">
                  <c:v>1.2090994547815856E-2</c:v>
                </c:pt>
                <c:pt idx="6581">
                  <c:v>9.6002849708139819E-3</c:v>
                </c:pt>
                <c:pt idx="6582">
                  <c:v>9.987970293932431E-3</c:v>
                </c:pt>
                <c:pt idx="6583">
                  <c:v>1.2584212698776659E-2</c:v>
                </c:pt>
                <c:pt idx="6584">
                  <c:v>8.0258815886399531E-3</c:v>
                </c:pt>
                <c:pt idx="6585">
                  <c:v>9.4892092258567675E-3</c:v>
                </c:pt>
                <c:pt idx="6586">
                  <c:v>1.0284743766893591E-2</c:v>
                </c:pt>
                <c:pt idx="6587">
                  <c:v>9.9745742003267187E-3</c:v>
                </c:pt>
                <c:pt idx="6588">
                  <c:v>1.2017193748601952E-2</c:v>
                </c:pt>
                <c:pt idx="6589">
                  <c:v>1.1363544142323366E-2</c:v>
                </c:pt>
                <c:pt idx="6590">
                  <c:v>1.2729158747412169E-2</c:v>
                </c:pt>
                <c:pt idx="6591">
                  <c:v>1.3606538405464797E-2</c:v>
                </c:pt>
                <c:pt idx="6592">
                  <c:v>1.3176199439978022E-2</c:v>
                </c:pt>
                <c:pt idx="6593">
                  <c:v>1.1492745249634119E-2</c:v>
                </c:pt>
                <c:pt idx="6594">
                  <c:v>1.035937881942872E-2</c:v>
                </c:pt>
                <c:pt idx="6595">
                  <c:v>1.0297106799161937E-2</c:v>
                </c:pt>
                <c:pt idx="6596">
                  <c:v>1.0642330193362302E-2</c:v>
                </c:pt>
                <c:pt idx="6597">
                  <c:v>1.3642821927065682E-2</c:v>
                </c:pt>
                <c:pt idx="6598">
                  <c:v>1.4180952231854586E-2</c:v>
                </c:pt>
                <c:pt idx="6599">
                  <c:v>1.3942735450151856E-2</c:v>
                </c:pt>
                <c:pt idx="6600">
                  <c:v>1.2093080758323528E-2</c:v>
                </c:pt>
                <c:pt idx="6601">
                  <c:v>1.0209803023294824E-2</c:v>
                </c:pt>
                <c:pt idx="6602">
                  <c:v>1.1620219604682597E-2</c:v>
                </c:pt>
                <c:pt idx="6603">
                  <c:v>1.2092396284733773E-2</c:v>
                </c:pt>
                <c:pt idx="6604">
                  <c:v>1.1419937559568653E-2</c:v>
                </c:pt>
                <c:pt idx="6605">
                  <c:v>1.4392355432861581E-2</c:v>
                </c:pt>
                <c:pt idx="6606">
                  <c:v>1.1652998472265788E-2</c:v>
                </c:pt>
                <c:pt idx="6607">
                  <c:v>1.184979761651369E-2</c:v>
                </c:pt>
                <c:pt idx="6608">
                  <c:v>1.1185048030548759E-2</c:v>
                </c:pt>
                <c:pt idx="6609">
                  <c:v>1.3061078654543326E-2</c:v>
                </c:pt>
                <c:pt idx="6610">
                  <c:v>1.2679640526501995E-2</c:v>
                </c:pt>
                <c:pt idx="6611">
                  <c:v>9.8279974167915646E-3</c:v>
                </c:pt>
                <c:pt idx="6612">
                  <c:v>1.1776767953043468E-2</c:v>
                </c:pt>
                <c:pt idx="6613">
                  <c:v>1.2788461544334226E-2</c:v>
                </c:pt>
                <c:pt idx="6614">
                  <c:v>1.2238334906622612E-2</c:v>
                </c:pt>
                <c:pt idx="6615">
                  <c:v>1.0160071930639438E-2</c:v>
                </c:pt>
                <c:pt idx="6616">
                  <c:v>1.1712294603804277E-2</c:v>
                </c:pt>
                <c:pt idx="6617">
                  <c:v>1.0049537402064823E-2</c:v>
                </c:pt>
                <c:pt idx="6618">
                  <c:v>1.0237465250534553E-2</c:v>
                </c:pt>
                <c:pt idx="6619">
                  <c:v>1.0290592250739493E-2</c:v>
                </c:pt>
                <c:pt idx="6620">
                  <c:v>1.0496287260241547E-2</c:v>
                </c:pt>
                <c:pt idx="6621">
                  <c:v>1.0854408476694888E-2</c:v>
                </c:pt>
                <c:pt idx="6622">
                  <c:v>1.3304269889980066E-2</c:v>
                </c:pt>
                <c:pt idx="6623">
                  <c:v>1.1103191541092855E-2</c:v>
                </c:pt>
                <c:pt idx="6624">
                  <c:v>1.1841351448946361E-2</c:v>
                </c:pt>
                <c:pt idx="6625">
                  <c:v>1.0018265525552973E-2</c:v>
                </c:pt>
                <c:pt idx="6626">
                  <c:v>1.3886020411443824E-2</c:v>
                </c:pt>
                <c:pt idx="6627">
                  <c:v>1.1566662503610792E-2</c:v>
                </c:pt>
                <c:pt idx="6628">
                  <c:v>1.1927994808939161E-2</c:v>
                </c:pt>
                <c:pt idx="6629">
                  <c:v>1.2651681829309836E-2</c:v>
                </c:pt>
                <c:pt idx="6630">
                  <c:v>1.3265710169067035E-2</c:v>
                </c:pt>
                <c:pt idx="6631">
                  <c:v>1.3064956426326272E-2</c:v>
                </c:pt>
                <c:pt idx="6632">
                  <c:v>1.378423674680049E-2</c:v>
                </c:pt>
                <c:pt idx="6633">
                  <c:v>1.2598980364469039E-2</c:v>
                </c:pt>
                <c:pt idx="6634">
                  <c:v>1.5625701506019631E-2</c:v>
                </c:pt>
                <c:pt idx="6635">
                  <c:v>1.1308789447084194E-2</c:v>
                </c:pt>
                <c:pt idx="6636">
                  <c:v>1.1384685367727155E-2</c:v>
                </c:pt>
                <c:pt idx="6637">
                  <c:v>1.1212276086088968E-2</c:v>
                </c:pt>
                <c:pt idx="6638">
                  <c:v>1.4576256699941656E-2</c:v>
                </c:pt>
                <c:pt idx="6639">
                  <c:v>1.2040171912859218E-2</c:v>
                </c:pt>
                <c:pt idx="6640">
                  <c:v>1.1849760109872081E-2</c:v>
                </c:pt>
                <c:pt idx="6641">
                  <c:v>1.3015303705911288E-2</c:v>
                </c:pt>
                <c:pt idx="6642">
                  <c:v>1.1340175287222698E-2</c:v>
                </c:pt>
                <c:pt idx="6643">
                  <c:v>1.2121767389551095E-2</c:v>
                </c:pt>
                <c:pt idx="6644">
                  <c:v>9.4596966524651219E-3</c:v>
                </c:pt>
                <c:pt idx="6645">
                  <c:v>1.3912467830914562E-2</c:v>
                </c:pt>
                <c:pt idx="6646">
                  <c:v>1.2301354277292561E-2</c:v>
                </c:pt>
                <c:pt idx="6647">
                  <c:v>8.2674329233327522E-3</c:v>
                </c:pt>
                <c:pt idx="6648">
                  <c:v>1.125691069084989E-2</c:v>
                </c:pt>
                <c:pt idx="6649">
                  <c:v>7.9368467329088387E-3</c:v>
                </c:pt>
                <c:pt idx="6650">
                  <c:v>1.1335314925164564E-2</c:v>
                </c:pt>
                <c:pt idx="6651">
                  <c:v>8.9783304004245629E-3</c:v>
                </c:pt>
                <c:pt idx="6652">
                  <c:v>8.372541136462873E-3</c:v>
                </c:pt>
                <c:pt idx="6653">
                  <c:v>1.2570986808315429E-2</c:v>
                </c:pt>
                <c:pt idx="6654">
                  <c:v>1.0142639991991605E-2</c:v>
                </c:pt>
                <c:pt idx="6655">
                  <c:v>1.5983900173043963E-2</c:v>
                </c:pt>
                <c:pt idx="6656">
                  <c:v>1.4590381311966185E-2</c:v>
                </c:pt>
                <c:pt idx="6657">
                  <c:v>1.0470525034105158E-2</c:v>
                </c:pt>
                <c:pt idx="6658">
                  <c:v>1.0212421593468985E-2</c:v>
                </c:pt>
                <c:pt idx="6659">
                  <c:v>1.1988477004440135E-2</c:v>
                </c:pt>
                <c:pt idx="6660">
                  <c:v>1.4006643112246208E-2</c:v>
                </c:pt>
                <c:pt idx="6661">
                  <c:v>1.4420158334369566E-2</c:v>
                </c:pt>
                <c:pt idx="6662">
                  <c:v>1.3082387767492418E-2</c:v>
                </c:pt>
                <c:pt idx="6663">
                  <c:v>9.8998349067995119E-3</c:v>
                </c:pt>
                <c:pt idx="6664">
                  <c:v>1.1503675810984094E-2</c:v>
                </c:pt>
                <c:pt idx="6665">
                  <c:v>8.5510481464623894E-3</c:v>
                </c:pt>
                <c:pt idx="6666">
                  <c:v>1.1750107931923747E-2</c:v>
                </c:pt>
                <c:pt idx="6667">
                  <c:v>1.297953640082191E-2</c:v>
                </c:pt>
                <c:pt idx="6668">
                  <c:v>1.5650846245530946E-2</c:v>
                </c:pt>
                <c:pt idx="6669">
                  <c:v>8.4837065322656679E-3</c:v>
                </c:pt>
                <c:pt idx="6670">
                  <c:v>1.2759414523406634E-2</c:v>
                </c:pt>
                <c:pt idx="6671">
                  <c:v>9.2649455807335118E-3</c:v>
                </c:pt>
                <c:pt idx="6672">
                  <c:v>1.2574883313445398E-2</c:v>
                </c:pt>
                <c:pt idx="6673">
                  <c:v>1.501587363734175E-2</c:v>
                </c:pt>
                <c:pt idx="6674">
                  <c:v>1.6420999180287898E-2</c:v>
                </c:pt>
                <c:pt idx="6675">
                  <c:v>1.1378967775348863E-2</c:v>
                </c:pt>
                <c:pt idx="6676">
                  <c:v>9.9408014999129157E-3</c:v>
                </c:pt>
                <c:pt idx="6677">
                  <c:v>1.0124887064653134E-2</c:v>
                </c:pt>
                <c:pt idx="6678">
                  <c:v>1.0726973842423106E-2</c:v>
                </c:pt>
                <c:pt idx="6679">
                  <c:v>1.2308639078222881E-2</c:v>
                </c:pt>
                <c:pt idx="6680">
                  <c:v>1.3718416550382209E-2</c:v>
                </c:pt>
                <c:pt idx="6681">
                  <c:v>1.194009697057404E-2</c:v>
                </c:pt>
                <c:pt idx="6682">
                  <c:v>1.4200278659126014E-2</c:v>
                </c:pt>
                <c:pt idx="6683">
                  <c:v>8.1352659300067982E-3</c:v>
                </c:pt>
                <c:pt idx="6684">
                  <c:v>1.2498953914312392E-2</c:v>
                </c:pt>
                <c:pt idx="6685">
                  <c:v>9.2880275198722294E-3</c:v>
                </c:pt>
                <c:pt idx="6686">
                  <c:v>1.161570296392786E-2</c:v>
                </c:pt>
                <c:pt idx="6687">
                  <c:v>1.0222744025687366E-2</c:v>
                </c:pt>
                <c:pt idx="6688">
                  <c:v>1.1349530605763401E-2</c:v>
                </c:pt>
                <c:pt idx="6689">
                  <c:v>1.041548233663166E-2</c:v>
                </c:pt>
                <c:pt idx="6690">
                  <c:v>1.1494193830152023E-2</c:v>
                </c:pt>
                <c:pt idx="6691">
                  <c:v>1.3710782080231436E-2</c:v>
                </c:pt>
                <c:pt idx="6692">
                  <c:v>1.0981957740691882E-2</c:v>
                </c:pt>
                <c:pt idx="6693">
                  <c:v>9.349942296538901E-3</c:v>
                </c:pt>
                <c:pt idx="6694">
                  <c:v>9.0910839730897995E-3</c:v>
                </c:pt>
                <c:pt idx="6695">
                  <c:v>1.0207433793853809E-2</c:v>
                </c:pt>
                <c:pt idx="6696">
                  <c:v>1.6693354635129519E-2</c:v>
                </c:pt>
                <c:pt idx="6697">
                  <c:v>1.3032905401107334E-2</c:v>
                </c:pt>
                <c:pt idx="6698">
                  <c:v>1.3201926800067111E-2</c:v>
                </c:pt>
                <c:pt idx="6699">
                  <c:v>1.4148819372351131E-2</c:v>
                </c:pt>
                <c:pt idx="6700">
                  <c:v>1.2064199897459016E-2</c:v>
                </c:pt>
                <c:pt idx="6701">
                  <c:v>1.2261109113451183E-2</c:v>
                </c:pt>
                <c:pt idx="6702">
                  <c:v>1.4916337506790816E-2</c:v>
                </c:pt>
                <c:pt idx="6703">
                  <c:v>1.0569214336913586E-2</c:v>
                </c:pt>
                <c:pt idx="6704">
                  <c:v>1.0428868818142726E-2</c:v>
                </c:pt>
                <c:pt idx="6705">
                  <c:v>1.5663806178721037E-2</c:v>
                </c:pt>
                <c:pt idx="6706">
                  <c:v>1.0539649821938432E-2</c:v>
                </c:pt>
                <c:pt idx="6707">
                  <c:v>9.6394990771131069E-3</c:v>
                </c:pt>
                <c:pt idx="6708">
                  <c:v>1.3189305591095166E-2</c:v>
                </c:pt>
                <c:pt idx="6709">
                  <c:v>1.0742578684459957E-2</c:v>
                </c:pt>
                <c:pt idx="6710">
                  <c:v>1.0174384483550833E-2</c:v>
                </c:pt>
                <c:pt idx="6711">
                  <c:v>1.0605762633154261E-2</c:v>
                </c:pt>
                <c:pt idx="6712">
                  <c:v>9.755080880749006E-3</c:v>
                </c:pt>
                <c:pt idx="6713">
                  <c:v>9.050425343257144E-3</c:v>
                </c:pt>
                <c:pt idx="6714">
                  <c:v>1.1588945796410321E-2</c:v>
                </c:pt>
                <c:pt idx="6715">
                  <c:v>8.9045575988448596E-3</c:v>
                </c:pt>
                <c:pt idx="6716">
                  <c:v>8.3849477189566462E-3</c:v>
                </c:pt>
                <c:pt idx="6717">
                  <c:v>1.2930031883586794E-2</c:v>
                </c:pt>
                <c:pt idx="6718">
                  <c:v>1.1757769323610468E-2</c:v>
                </c:pt>
                <c:pt idx="6719">
                  <c:v>1.0171931081562653E-2</c:v>
                </c:pt>
                <c:pt idx="6720">
                  <c:v>1.3682913669192512E-2</c:v>
                </c:pt>
                <c:pt idx="6721">
                  <c:v>1.0091540734750973E-2</c:v>
                </c:pt>
                <c:pt idx="6722">
                  <c:v>9.7146595339544436E-3</c:v>
                </c:pt>
                <c:pt idx="6723">
                  <c:v>1.566542810208504E-2</c:v>
                </c:pt>
                <c:pt idx="6724">
                  <c:v>1.1840583121916944E-2</c:v>
                </c:pt>
                <c:pt idx="6725">
                  <c:v>1.3926867237758277E-2</c:v>
                </c:pt>
                <c:pt idx="6726">
                  <c:v>1.1104222353437897E-2</c:v>
                </c:pt>
                <c:pt idx="6727">
                  <c:v>1.1986678679957811E-2</c:v>
                </c:pt>
                <c:pt idx="6728">
                  <c:v>1.4207550611903121E-2</c:v>
                </c:pt>
                <c:pt idx="6729">
                  <c:v>1.321467896173921E-2</c:v>
                </c:pt>
                <c:pt idx="6730">
                  <c:v>1.2374807723757915E-2</c:v>
                </c:pt>
                <c:pt idx="6731">
                  <c:v>1.4781346803803179E-2</c:v>
                </c:pt>
                <c:pt idx="6732">
                  <c:v>1.2792147677419836E-2</c:v>
                </c:pt>
                <c:pt idx="6733">
                  <c:v>1.2299103394391338E-2</c:v>
                </c:pt>
                <c:pt idx="6734">
                  <c:v>1.7718735246059984E-2</c:v>
                </c:pt>
                <c:pt idx="6735">
                  <c:v>9.6096985932768945E-3</c:v>
                </c:pt>
                <c:pt idx="6736">
                  <c:v>1.0000866358928379E-2</c:v>
                </c:pt>
                <c:pt idx="6737">
                  <c:v>9.7407601130193276E-3</c:v>
                </c:pt>
                <c:pt idx="6738">
                  <c:v>1.3111520620084745E-2</c:v>
                </c:pt>
                <c:pt idx="6739">
                  <c:v>1.0131308060512814E-2</c:v>
                </c:pt>
                <c:pt idx="6740">
                  <c:v>1.1682879887078881E-2</c:v>
                </c:pt>
                <c:pt idx="6741">
                  <c:v>1.2358218860514875E-2</c:v>
                </c:pt>
                <c:pt idx="6742">
                  <c:v>1.5032269643716267E-2</c:v>
                </c:pt>
                <c:pt idx="6743">
                  <c:v>1.0628119589866565E-2</c:v>
                </c:pt>
                <c:pt idx="6744">
                  <c:v>1.0223227030725854E-2</c:v>
                </c:pt>
                <c:pt idx="6745">
                  <c:v>1.1111486196585261E-2</c:v>
                </c:pt>
                <c:pt idx="6746">
                  <c:v>1.0975416162392797E-2</c:v>
                </c:pt>
                <c:pt idx="6747">
                  <c:v>1.2867727624715608E-2</c:v>
                </c:pt>
                <c:pt idx="6748">
                  <c:v>1.0800387781335245E-2</c:v>
                </c:pt>
                <c:pt idx="6749">
                  <c:v>1.0578512277476812E-2</c:v>
                </c:pt>
                <c:pt idx="6750">
                  <c:v>1.1086365708636726E-2</c:v>
                </c:pt>
                <c:pt idx="6751">
                  <c:v>1.316017974345233E-2</c:v>
                </c:pt>
                <c:pt idx="6752">
                  <c:v>1.4122957033928539E-2</c:v>
                </c:pt>
                <c:pt idx="6753">
                  <c:v>1.3406241758032804E-2</c:v>
                </c:pt>
                <c:pt idx="6754">
                  <c:v>1.8284527318636671E-2</c:v>
                </c:pt>
                <c:pt idx="6755">
                  <c:v>9.4440361814047726E-3</c:v>
                </c:pt>
                <c:pt idx="6756">
                  <c:v>1.2035850859974009E-2</c:v>
                </c:pt>
                <c:pt idx="6757">
                  <c:v>8.2636466076159622E-3</c:v>
                </c:pt>
                <c:pt idx="6758">
                  <c:v>1.1959328079183953E-2</c:v>
                </c:pt>
                <c:pt idx="6759">
                  <c:v>1.350661468221121E-2</c:v>
                </c:pt>
                <c:pt idx="6760">
                  <c:v>1.0124758960889432E-2</c:v>
                </c:pt>
                <c:pt idx="6761">
                  <c:v>9.6445658516395045E-3</c:v>
                </c:pt>
                <c:pt idx="6762">
                  <c:v>1.1201757468170552E-2</c:v>
                </c:pt>
                <c:pt idx="6763">
                  <c:v>1.3745032583315173E-2</c:v>
                </c:pt>
                <c:pt idx="6764">
                  <c:v>1.292496838992776E-2</c:v>
                </c:pt>
                <c:pt idx="6765">
                  <c:v>1.2771675483593842E-2</c:v>
                </c:pt>
                <c:pt idx="6766">
                  <c:v>1.2437729149521449E-2</c:v>
                </c:pt>
                <c:pt idx="6767">
                  <c:v>1.3781838976730241E-2</c:v>
                </c:pt>
                <c:pt idx="6768">
                  <c:v>9.6924910457591787E-3</c:v>
                </c:pt>
                <c:pt idx="6769">
                  <c:v>1.1766273339884205E-2</c:v>
                </c:pt>
                <c:pt idx="6770">
                  <c:v>9.3337349609614352E-3</c:v>
                </c:pt>
                <c:pt idx="6771">
                  <c:v>1.3767710935564953E-2</c:v>
                </c:pt>
                <c:pt idx="6772">
                  <c:v>1.0019724486683684E-2</c:v>
                </c:pt>
                <c:pt idx="6773">
                  <c:v>1.0242191227764499E-2</c:v>
                </c:pt>
                <c:pt idx="6774">
                  <c:v>1.0844223760712429E-2</c:v>
                </c:pt>
                <c:pt idx="6775">
                  <c:v>1.2956873237585206E-2</c:v>
                </c:pt>
                <c:pt idx="6776">
                  <c:v>1.2206975150461815E-2</c:v>
                </c:pt>
                <c:pt idx="6777">
                  <c:v>7.4652177244492269E-3</c:v>
                </c:pt>
                <c:pt idx="6778">
                  <c:v>1.2769643902812556E-2</c:v>
                </c:pt>
                <c:pt idx="6779">
                  <c:v>1.6312200836107082E-2</c:v>
                </c:pt>
                <c:pt idx="6780">
                  <c:v>1.1701423066441069E-2</c:v>
                </c:pt>
                <c:pt idx="6781">
                  <c:v>1.2612989826575133E-2</c:v>
                </c:pt>
                <c:pt idx="6782">
                  <c:v>1.1206161674816173E-2</c:v>
                </c:pt>
                <c:pt idx="6783">
                  <c:v>9.2677699528674849E-3</c:v>
                </c:pt>
                <c:pt idx="6784">
                  <c:v>8.893492602886223E-3</c:v>
                </c:pt>
                <c:pt idx="6785">
                  <c:v>9.7112996453591043E-3</c:v>
                </c:pt>
                <c:pt idx="6786">
                  <c:v>1.0621549482374688E-2</c:v>
                </c:pt>
                <c:pt idx="6787">
                  <c:v>1.102084225674043E-2</c:v>
                </c:pt>
                <c:pt idx="6788">
                  <c:v>1.0239150726947031E-2</c:v>
                </c:pt>
                <c:pt idx="6789">
                  <c:v>1.1799404536284051E-2</c:v>
                </c:pt>
                <c:pt idx="6790">
                  <c:v>9.6967421088166809E-3</c:v>
                </c:pt>
                <c:pt idx="6791">
                  <c:v>1.2749911369033157E-2</c:v>
                </c:pt>
                <c:pt idx="6792">
                  <c:v>1.0842639822435315E-2</c:v>
                </c:pt>
                <c:pt idx="6793">
                  <c:v>9.6902899129734082E-3</c:v>
                </c:pt>
                <c:pt idx="6794">
                  <c:v>1.2668738659508077E-2</c:v>
                </c:pt>
                <c:pt idx="6795">
                  <c:v>1.0227517191534793E-2</c:v>
                </c:pt>
                <c:pt idx="6796">
                  <c:v>1.3810111100214302E-2</c:v>
                </c:pt>
                <c:pt idx="6797">
                  <c:v>1.0982958652760683E-2</c:v>
                </c:pt>
                <c:pt idx="6798">
                  <c:v>1.0582601910275352E-2</c:v>
                </c:pt>
                <c:pt idx="6799">
                  <c:v>1.1022926150565862E-2</c:v>
                </c:pt>
                <c:pt idx="6800">
                  <c:v>1.0786518870166987E-2</c:v>
                </c:pt>
                <c:pt idx="6801">
                  <c:v>9.4689337312321206E-3</c:v>
                </c:pt>
                <c:pt idx="6802">
                  <c:v>1.3780289208945872E-2</c:v>
                </c:pt>
                <c:pt idx="6803">
                  <c:v>1.2766546254071321E-2</c:v>
                </c:pt>
                <c:pt idx="6804">
                  <c:v>1.5909937894972494E-2</c:v>
                </c:pt>
                <c:pt idx="6805">
                  <c:v>9.7126253103595652E-3</c:v>
                </c:pt>
                <c:pt idx="6806">
                  <c:v>1.0369784670932282E-2</c:v>
                </c:pt>
                <c:pt idx="6807">
                  <c:v>1.2594290379951474E-2</c:v>
                </c:pt>
                <c:pt idx="6808">
                  <c:v>1.180517005040361E-2</c:v>
                </c:pt>
                <c:pt idx="6809">
                  <c:v>8.8872968797784509E-3</c:v>
                </c:pt>
                <c:pt idx="6810">
                  <c:v>8.7120466726372074E-3</c:v>
                </c:pt>
                <c:pt idx="6811">
                  <c:v>8.3044012244964643E-3</c:v>
                </c:pt>
                <c:pt idx="6812">
                  <c:v>1.184321610146217E-2</c:v>
                </c:pt>
                <c:pt idx="6813">
                  <c:v>1.3305230727924895E-2</c:v>
                </c:pt>
                <c:pt idx="6814">
                  <c:v>8.3341302892236801E-3</c:v>
                </c:pt>
                <c:pt idx="6815">
                  <c:v>1.3843512776207175E-2</c:v>
                </c:pt>
                <c:pt idx="6816">
                  <c:v>9.6842086240528456E-3</c:v>
                </c:pt>
                <c:pt idx="6817">
                  <c:v>1.0095602047996316E-2</c:v>
                </c:pt>
                <c:pt idx="6818">
                  <c:v>1.2944557801357266E-2</c:v>
                </c:pt>
                <c:pt idx="6819">
                  <c:v>1.38575671491047E-2</c:v>
                </c:pt>
                <c:pt idx="6820">
                  <c:v>1.2119451035187611E-2</c:v>
                </c:pt>
                <c:pt idx="6821">
                  <c:v>1.4598382859527314E-2</c:v>
                </c:pt>
                <c:pt idx="6822">
                  <c:v>1.1595864812955976E-2</c:v>
                </c:pt>
                <c:pt idx="6823">
                  <c:v>1.128161072148645E-2</c:v>
                </c:pt>
                <c:pt idx="6824">
                  <c:v>8.5459555335079956E-3</c:v>
                </c:pt>
                <c:pt idx="6825">
                  <c:v>8.3871449066877587E-3</c:v>
                </c:pt>
                <c:pt idx="6826">
                  <c:v>9.2199448757298314E-3</c:v>
                </c:pt>
                <c:pt idx="6827">
                  <c:v>1.2619820745191652E-2</c:v>
                </c:pt>
                <c:pt idx="6828">
                  <c:v>1.2169996415820681E-2</c:v>
                </c:pt>
                <c:pt idx="6829">
                  <c:v>1.9618821660064203E-2</c:v>
                </c:pt>
                <c:pt idx="6830">
                  <c:v>1.2333734614644374E-2</c:v>
                </c:pt>
                <c:pt idx="6831">
                  <c:v>1.1130012528194913E-2</c:v>
                </c:pt>
                <c:pt idx="6832">
                  <c:v>1.3088782858170984E-2</c:v>
                </c:pt>
                <c:pt idx="6833">
                  <c:v>1.1453055394461927E-2</c:v>
                </c:pt>
                <c:pt idx="6834">
                  <c:v>1.5288647839247313E-2</c:v>
                </c:pt>
                <c:pt idx="6835">
                  <c:v>1.2340509010447122E-2</c:v>
                </c:pt>
                <c:pt idx="6836">
                  <c:v>1.1228679986498102E-2</c:v>
                </c:pt>
                <c:pt idx="6837">
                  <c:v>1.2242071516003195E-2</c:v>
                </c:pt>
                <c:pt idx="6838">
                  <c:v>1.4157361297709059E-2</c:v>
                </c:pt>
                <c:pt idx="6839">
                  <c:v>9.3857134042525416E-3</c:v>
                </c:pt>
                <c:pt idx="6840">
                  <c:v>1.2875274709393862E-2</c:v>
                </c:pt>
                <c:pt idx="6841">
                  <c:v>9.8794194617242721E-3</c:v>
                </c:pt>
                <c:pt idx="6842">
                  <c:v>9.3053074086156175E-3</c:v>
                </c:pt>
                <c:pt idx="6843">
                  <c:v>9.8481944356344202E-3</c:v>
                </c:pt>
                <c:pt idx="6844">
                  <c:v>1.4141616450607483E-2</c:v>
                </c:pt>
                <c:pt idx="6845">
                  <c:v>1.3183092672121697E-2</c:v>
                </c:pt>
                <c:pt idx="6846">
                  <c:v>1.5350034539102485E-2</c:v>
                </c:pt>
                <c:pt idx="6847">
                  <c:v>1.008721066611239E-2</c:v>
                </c:pt>
                <c:pt idx="6848">
                  <c:v>1.2865793219488315E-2</c:v>
                </c:pt>
                <c:pt idx="6849">
                  <c:v>1.1364959175291602E-2</c:v>
                </c:pt>
                <c:pt idx="6850">
                  <c:v>1.1114225061308994E-2</c:v>
                </c:pt>
                <c:pt idx="6851">
                  <c:v>1.1689343910175445E-2</c:v>
                </c:pt>
                <c:pt idx="6852">
                  <c:v>1.1088969657606976E-2</c:v>
                </c:pt>
                <c:pt idx="6853">
                  <c:v>8.559048535131026E-3</c:v>
                </c:pt>
                <c:pt idx="6854">
                  <c:v>1.2807384590388354E-2</c:v>
                </c:pt>
                <c:pt idx="6855">
                  <c:v>1.4967942418096063E-2</c:v>
                </c:pt>
                <c:pt idx="6856">
                  <c:v>1.348984108460898E-2</c:v>
                </c:pt>
                <c:pt idx="6857">
                  <c:v>1.2157234758069362E-2</c:v>
                </c:pt>
                <c:pt idx="6858">
                  <c:v>1.1448612900714677E-2</c:v>
                </c:pt>
                <c:pt idx="6859">
                  <c:v>1.2849793612227376E-2</c:v>
                </c:pt>
                <c:pt idx="6860">
                  <c:v>1.2002324951922008E-2</c:v>
                </c:pt>
                <c:pt idx="6861">
                  <c:v>1.0325012664765437E-2</c:v>
                </c:pt>
                <c:pt idx="6862">
                  <c:v>1.3283671812591821E-2</c:v>
                </c:pt>
                <c:pt idx="6863">
                  <c:v>1.3289624468551418E-2</c:v>
                </c:pt>
                <c:pt idx="6864">
                  <c:v>8.2763798881325627E-3</c:v>
                </c:pt>
                <c:pt idx="6865">
                  <c:v>1.4320030436726104E-2</c:v>
                </c:pt>
                <c:pt idx="6866">
                  <c:v>1.2661599952970365E-2</c:v>
                </c:pt>
                <c:pt idx="6867">
                  <c:v>1.2186702614993461E-2</c:v>
                </c:pt>
                <c:pt idx="6868">
                  <c:v>1.0320238747976107E-2</c:v>
                </c:pt>
                <c:pt idx="6869">
                  <c:v>1.5184127857473955E-2</c:v>
                </c:pt>
                <c:pt idx="6870">
                  <c:v>1.2206567651259279E-2</c:v>
                </c:pt>
                <c:pt idx="6871">
                  <c:v>1.5042487526036331E-2</c:v>
                </c:pt>
                <c:pt idx="6872">
                  <c:v>1.2634563324774346E-2</c:v>
                </c:pt>
                <c:pt idx="6873">
                  <c:v>1.3140730512761196E-2</c:v>
                </c:pt>
                <c:pt idx="6874">
                  <c:v>1.055038870966676E-2</c:v>
                </c:pt>
                <c:pt idx="6875">
                  <c:v>8.0668143473613917E-3</c:v>
                </c:pt>
                <c:pt idx="6876">
                  <c:v>1.4759051512463308E-2</c:v>
                </c:pt>
                <c:pt idx="6877">
                  <c:v>1.2577238326231043E-2</c:v>
                </c:pt>
                <c:pt idx="6878">
                  <c:v>1.3658713345875964E-2</c:v>
                </c:pt>
                <c:pt idx="6879">
                  <c:v>1.0311610367130693E-2</c:v>
                </c:pt>
                <c:pt idx="6880">
                  <c:v>1.0973120321873685E-2</c:v>
                </c:pt>
                <c:pt idx="6881">
                  <c:v>1.1661498527921471E-2</c:v>
                </c:pt>
                <c:pt idx="6882">
                  <c:v>1.0566933562510525E-2</c:v>
                </c:pt>
                <c:pt idx="6883">
                  <c:v>8.3936132761575927E-3</c:v>
                </c:pt>
                <c:pt idx="6884">
                  <c:v>8.3423347935568624E-3</c:v>
                </c:pt>
                <c:pt idx="6885">
                  <c:v>1.4501113113478611E-2</c:v>
                </c:pt>
                <c:pt idx="6886">
                  <c:v>1.5043027825055746E-2</c:v>
                </c:pt>
                <c:pt idx="6887">
                  <c:v>9.5010764216056937E-3</c:v>
                </c:pt>
                <c:pt idx="6888">
                  <c:v>1.3802813597984517E-2</c:v>
                </c:pt>
                <c:pt idx="6889">
                  <c:v>1.3955206940293497E-2</c:v>
                </c:pt>
                <c:pt idx="6890">
                  <c:v>1.4479017622139807E-2</c:v>
                </c:pt>
                <c:pt idx="6891">
                  <c:v>1.3637118237431696E-2</c:v>
                </c:pt>
                <c:pt idx="6892">
                  <c:v>1.0965818773871977E-2</c:v>
                </c:pt>
                <c:pt idx="6893">
                  <c:v>1.9964490496012257E-2</c:v>
                </c:pt>
                <c:pt idx="6894">
                  <c:v>1.2195742975066242E-2</c:v>
                </c:pt>
                <c:pt idx="6895">
                  <c:v>1.1132710595188597E-2</c:v>
                </c:pt>
                <c:pt idx="6896">
                  <c:v>1.0826959845988514E-2</c:v>
                </c:pt>
                <c:pt idx="6897">
                  <c:v>1.24111571618814E-2</c:v>
                </c:pt>
                <c:pt idx="6898">
                  <c:v>9.8581158578116938E-3</c:v>
                </c:pt>
                <c:pt idx="6899">
                  <c:v>1.210939871714296E-2</c:v>
                </c:pt>
                <c:pt idx="6900">
                  <c:v>1.3055616075192244E-2</c:v>
                </c:pt>
                <c:pt idx="6901">
                  <c:v>1.3388739813753155E-2</c:v>
                </c:pt>
                <c:pt idx="6902">
                  <c:v>1.1536622731043986E-2</c:v>
                </c:pt>
                <c:pt idx="6903">
                  <c:v>8.6365322736721064E-3</c:v>
                </c:pt>
                <c:pt idx="6904">
                  <c:v>8.4546117890075406E-3</c:v>
                </c:pt>
                <c:pt idx="6905">
                  <c:v>1.0250907473369252E-2</c:v>
                </c:pt>
                <c:pt idx="6906">
                  <c:v>1.4658909910236483E-2</c:v>
                </c:pt>
                <c:pt idx="6907">
                  <c:v>1.0478749661306892E-2</c:v>
                </c:pt>
                <c:pt idx="6908">
                  <c:v>1.257512341231933E-2</c:v>
                </c:pt>
                <c:pt idx="6909">
                  <c:v>1.0971754213856245E-2</c:v>
                </c:pt>
                <c:pt idx="6910">
                  <c:v>9.3423089590453541E-3</c:v>
                </c:pt>
                <c:pt idx="6911">
                  <c:v>1.2227087789152264E-2</c:v>
                </c:pt>
                <c:pt idx="6912">
                  <c:v>1.1790337614940334E-2</c:v>
                </c:pt>
                <c:pt idx="6913">
                  <c:v>9.9961889627484431E-3</c:v>
                </c:pt>
                <c:pt idx="6914">
                  <c:v>8.8859393535211297E-3</c:v>
                </c:pt>
                <c:pt idx="6915">
                  <c:v>1.2540856652373922E-2</c:v>
                </c:pt>
                <c:pt idx="6916">
                  <c:v>9.1250003929412623E-3</c:v>
                </c:pt>
                <c:pt idx="6917">
                  <c:v>9.351590439302877E-3</c:v>
                </c:pt>
                <c:pt idx="6918">
                  <c:v>1.4766389257613132E-2</c:v>
                </c:pt>
                <c:pt idx="6919">
                  <c:v>9.2793034143348191E-3</c:v>
                </c:pt>
                <c:pt idx="6920">
                  <c:v>1.017855050540472E-2</c:v>
                </c:pt>
                <c:pt idx="6921">
                  <c:v>1.0644680590319332E-2</c:v>
                </c:pt>
                <c:pt idx="6922">
                  <c:v>9.8241573147410579E-3</c:v>
                </c:pt>
                <c:pt idx="6923">
                  <c:v>1.0296843954821307E-2</c:v>
                </c:pt>
                <c:pt idx="6924">
                  <c:v>1.4098869908813811E-2</c:v>
                </c:pt>
                <c:pt idx="6925">
                  <c:v>8.8371856059343695E-3</c:v>
                </c:pt>
                <c:pt idx="6926">
                  <c:v>8.7391858008568964E-3</c:v>
                </c:pt>
                <c:pt idx="6927">
                  <c:v>1.0326647250252518E-2</c:v>
                </c:pt>
                <c:pt idx="6928">
                  <c:v>7.6235610492801191E-3</c:v>
                </c:pt>
                <c:pt idx="6929">
                  <c:v>1.097573406731414E-2</c:v>
                </c:pt>
                <c:pt idx="6930">
                  <c:v>8.3890637868074044E-3</c:v>
                </c:pt>
                <c:pt idx="6931">
                  <c:v>1.0199496726058601E-2</c:v>
                </c:pt>
                <c:pt idx="6932">
                  <c:v>1.1586400460067646E-2</c:v>
                </c:pt>
                <c:pt idx="6933">
                  <c:v>8.4212939264553081E-3</c:v>
                </c:pt>
                <c:pt idx="6934">
                  <c:v>1.1810766281879733E-2</c:v>
                </c:pt>
                <c:pt idx="6935">
                  <c:v>1.0732264687119519E-2</c:v>
                </c:pt>
                <c:pt idx="6936">
                  <c:v>9.0845688508930326E-3</c:v>
                </c:pt>
                <c:pt idx="6937">
                  <c:v>8.0638671782505469E-3</c:v>
                </c:pt>
                <c:pt idx="6938">
                  <c:v>9.9849057854628151E-3</c:v>
                </c:pt>
                <c:pt idx="6939">
                  <c:v>1.5510918079869174E-2</c:v>
                </c:pt>
                <c:pt idx="6940">
                  <c:v>1.3690557865158076E-2</c:v>
                </c:pt>
                <c:pt idx="6941">
                  <c:v>1.3400742239258761E-2</c:v>
                </c:pt>
                <c:pt idx="6942">
                  <c:v>9.2747113658538279E-3</c:v>
                </c:pt>
                <c:pt idx="6943">
                  <c:v>9.5443405794393091E-3</c:v>
                </c:pt>
                <c:pt idx="6944">
                  <c:v>1.34048798110622E-2</c:v>
                </c:pt>
                <c:pt idx="6945">
                  <c:v>9.2841211740528808E-3</c:v>
                </c:pt>
                <c:pt idx="6946">
                  <c:v>1.1936990361078809E-2</c:v>
                </c:pt>
                <c:pt idx="6947">
                  <c:v>1.4932936652917816E-2</c:v>
                </c:pt>
                <c:pt idx="6948">
                  <c:v>8.8435900329446072E-3</c:v>
                </c:pt>
                <c:pt idx="6949">
                  <c:v>9.5000104065013705E-3</c:v>
                </c:pt>
                <c:pt idx="6950">
                  <c:v>1.077525849149428E-2</c:v>
                </c:pt>
                <c:pt idx="6951">
                  <c:v>1.1891291460488489E-2</c:v>
                </c:pt>
                <c:pt idx="6952">
                  <c:v>1.5012355268685891E-2</c:v>
                </c:pt>
                <c:pt idx="6953">
                  <c:v>9.306193391562155E-3</c:v>
                </c:pt>
                <c:pt idx="6954">
                  <c:v>7.5401543459856762E-3</c:v>
                </c:pt>
                <c:pt idx="6955">
                  <c:v>1.3148235979103712E-2</c:v>
                </c:pt>
                <c:pt idx="6956">
                  <c:v>1.2389719974682073E-2</c:v>
                </c:pt>
                <c:pt idx="6957">
                  <c:v>9.6048890652048174E-3</c:v>
                </c:pt>
                <c:pt idx="6958">
                  <c:v>1.0315348847668144E-2</c:v>
                </c:pt>
                <c:pt idx="6959">
                  <c:v>1.2082713082607379E-2</c:v>
                </c:pt>
                <c:pt idx="6960">
                  <c:v>1.1904518264377328E-2</c:v>
                </c:pt>
                <c:pt idx="6961">
                  <c:v>1.2505279386149553E-2</c:v>
                </c:pt>
                <c:pt idx="6962">
                  <c:v>1.3976573309559141E-2</c:v>
                </c:pt>
                <c:pt idx="6963">
                  <c:v>1.1985640486547988E-2</c:v>
                </c:pt>
                <c:pt idx="6964">
                  <c:v>1.1862092756979803E-2</c:v>
                </c:pt>
                <c:pt idx="6965">
                  <c:v>1.4664626988787559E-2</c:v>
                </c:pt>
                <c:pt idx="6966">
                  <c:v>1.1027316411286427E-2</c:v>
                </c:pt>
                <c:pt idx="6967">
                  <c:v>1.1820529992120677E-2</c:v>
                </c:pt>
                <c:pt idx="6968">
                  <c:v>1.1405612103057489E-2</c:v>
                </c:pt>
                <c:pt idx="6969">
                  <c:v>1.1471745733511526E-2</c:v>
                </c:pt>
                <c:pt idx="6970">
                  <c:v>1.0665616958396119E-2</c:v>
                </c:pt>
                <c:pt idx="6971">
                  <c:v>1.1744376931808822E-2</c:v>
                </c:pt>
                <c:pt idx="6972">
                  <c:v>1.447484617408995E-2</c:v>
                </c:pt>
                <c:pt idx="6973">
                  <c:v>1.3740221712648562E-2</c:v>
                </c:pt>
                <c:pt idx="6974">
                  <c:v>1.07747742815438E-2</c:v>
                </c:pt>
                <c:pt idx="6975">
                  <c:v>1.15013271270501E-2</c:v>
                </c:pt>
                <c:pt idx="6976">
                  <c:v>1.4397567082493659E-2</c:v>
                </c:pt>
                <c:pt idx="6977">
                  <c:v>1.5193033177094547E-2</c:v>
                </c:pt>
                <c:pt idx="6978">
                  <c:v>1.1380501993409836E-2</c:v>
                </c:pt>
                <c:pt idx="6979">
                  <c:v>2.0425316693069663E-2</c:v>
                </c:pt>
                <c:pt idx="6980">
                  <c:v>1.2208491665836459E-2</c:v>
                </c:pt>
                <c:pt idx="6981">
                  <c:v>1.4227634579500971E-2</c:v>
                </c:pt>
                <c:pt idx="6982">
                  <c:v>9.8011921483666387E-3</c:v>
                </c:pt>
                <c:pt idx="6983">
                  <c:v>1.528234340258053E-2</c:v>
                </c:pt>
                <c:pt idx="6984">
                  <c:v>1.3700173269564698E-2</c:v>
                </c:pt>
                <c:pt idx="6985">
                  <c:v>1.1741213561746377E-2</c:v>
                </c:pt>
                <c:pt idx="6986">
                  <c:v>1.2107832406633197E-2</c:v>
                </c:pt>
                <c:pt idx="6987">
                  <c:v>1.1491467859782271E-2</c:v>
                </c:pt>
                <c:pt idx="6988">
                  <c:v>1.20011216851033E-2</c:v>
                </c:pt>
                <c:pt idx="6989">
                  <c:v>1.0012959658044907E-2</c:v>
                </c:pt>
                <c:pt idx="6990">
                  <c:v>1.6005908121387236E-2</c:v>
                </c:pt>
                <c:pt idx="6991">
                  <c:v>1.1674403228168014E-2</c:v>
                </c:pt>
                <c:pt idx="6992">
                  <c:v>8.8888530857896449E-3</c:v>
                </c:pt>
                <c:pt idx="6993">
                  <c:v>1.282678014225368E-2</c:v>
                </c:pt>
                <c:pt idx="6994">
                  <c:v>1.1492043280383488E-2</c:v>
                </c:pt>
                <c:pt idx="6995">
                  <c:v>1.2349498651604477E-2</c:v>
                </c:pt>
                <c:pt idx="6996">
                  <c:v>1.1045094006418526E-2</c:v>
                </c:pt>
                <c:pt idx="6997">
                  <c:v>7.8595780258277365E-3</c:v>
                </c:pt>
                <c:pt idx="6998">
                  <c:v>1.4801750852750184E-2</c:v>
                </c:pt>
                <c:pt idx="6999">
                  <c:v>1.1925565218053156E-2</c:v>
                </c:pt>
                <c:pt idx="7000">
                  <c:v>1.0708037517439584E-2</c:v>
                </c:pt>
                <c:pt idx="7001">
                  <c:v>1.1322836132851236E-2</c:v>
                </c:pt>
                <c:pt idx="7002">
                  <c:v>1.5896111336896189E-2</c:v>
                </c:pt>
                <c:pt idx="7003">
                  <c:v>1.5038658810236931E-2</c:v>
                </c:pt>
                <c:pt idx="7004">
                  <c:v>1.1151926524322009E-2</c:v>
                </c:pt>
                <c:pt idx="7005">
                  <c:v>8.6143032439536058E-3</c:v>
                </c:pt>
                <c:pt idx="7006">
                  <c:v>1.1770218441511675E-2</c:v>
                </c:pt>
                <c:pt idx="7007">
                  <c:v>1.0106116325033132E-2</c:v>
                </c:pt>
                <c:pt idx="7008">
                  <c:v>1.2618361319129148E-2</c:v>
                </c:pt>
                <c:pt idx="7009">
                  <c:v>1.0953142176133633E-2</c:v>
                </c:pt>
                <c:pt idx="7010">
                  <c:v>1.2668670777381031E-2</c:v>
                </c:pt>
                <c:pt idx="7011">
                  <c:v>1.2329768741356299E-2</c:v>
                </c:pt>
                <c:pt idx="7012">
                  <c:v>1.1868467254665303E-2</c:v>
                </c:pt>
                <c:pt idx="7013">
                  <c:v>1.4342329071787559E-2</c:v>
                </c:pt>
                <c:pt idx="7014">
                  <c:v>1.2927341394333313E-2</c:v>
                </c:pt>
                <c:pt idx="7015">
                  <c:v>1.0188973955400912E-2</c:v>
                </c:pt>
                <c:pt idx="7016">
                  <c:v>9.5099288741190089E-3</c:v>
                </c:pt>
                <c:pt idx="7017">
                  <c:v>1.6011951209562673E-2</c:v>
                </c:pt>
                <c:pt idx="7018">
                  <c:v>1.2519699225558857E-2</c:v>
                </c:pt>
                <c:pt idx="7019">
                  <c:v>1.2059439232229669E-2</c:v>
                </c:pt>
                <c:pt idx="7020">
                  <c:v>1.6034285693734076E-2</c:v>
                </c:pt>
                <c:pt idx="7021">
                  <c:v>9.9506491814260814E-3</c:v>
                </c:pt>
                <c:pt idx="7022">
                  <c:v>1.2420366619027687E-2</c:v>
                </c:pt>
                <c:pt idx="7023">
                  <c:v>1.3376873671038726E-2</c:v>
                </c:pt>
                <c:pt idx="7024">
                  <c:v>1.1081570763251019E-2</c:v>
                </c:pt>
                <c:pt idx="7025">
                  <c:v>1.1456910911679934E-2</c:v>
                </c:pt>
                <c:pt idx="7026">
                  <c:v>1.0240972496181003E-2</c:v>
                </c:pt>
                <c:pt idx="7027">
                  <c:v>1.1671549589301633E-2</c:v>
                </c:pt>
                <c:pt idx="7028">
                  <c:v>1.1340902961381577E-2</c:v>
                </c:pt>
                <c:pt idx="7029">
                  <c:v>1.0939459401239419E-2</c:v>
                </c:pt>
                <c:pt idx="7030">
                  <c:v>9.9828106404253308E-3</c:v>
                </c:pt>
                <c:pt idx="7031">
                  <c:v>1.2598892766544354E-2</c:v>
                </c:pt>
                <c:pt idx="7032">
                  <c:v>1.0571387841225442E-2</c:v>
                </c:pt>
                <c:pt idx="7033">
                  <c:v>1.0335726942066054E-2</c:v>
                </c:pt>
                <c:pt idx="7034">
                  <c:v>8.2018022201535371E-3</c:v>
                </c:pt>
                <c:pt idx="7035">
                  <c:v>1.6326423191750726E-2</c:v>
                </c:pt>
                <c:pt idx="7036">
                  <c:v>1.3647586073609245E-2</c:v>
                </c:pt>
                <c:pt idx="7037">
                  <c:v>1.0049987902332152E-2</c:v>
                </c:pt>
                <c:pt idx="7038">
                  <c:v>1.3147003683349721E-2</c:v>
                </c:pt>
                <c:pt idx="7039">
                  <c:v>1.2276455491611422E-2</c:v>
                </c:pt>
                <c:pt idx="7040">
                  <c:v>8.2358283341196978E-3</c:v>
                </c:pt>
                <c:pt idx="7041">
                  <c:v>9.8298293769895091E-3</c:v>
                </c:pt>
                <c:pt idx="7042">
                  <c:v>1.2312268320590031E-2</c:v>
                </c:pt>
                <c:pt idx="7043">
                  <c:v>1.0205009778008535E-2</c:v>
                </c:pt>
                <c:pt idx="7044">
                  <c:v>1.0885193621589111E-2</c:v>
                </c:pt>
                <c:pt idx="7045">
                  <c:v>1.3139479715481087E-2</c:v>
                </c:pt>
                <c:pt idx="7046">
                  <c:v>1.1943721463618407E-2</c:v>
                </c:pt>
                <c:pt idx="7047">
                  <c:v>1.1746644554698668E-2</c:v>
                </c:pt>
                <c:pt idx="7048">
                  <c:v>1.5869956484188024E-2</c:v>
                </c:pt>
                <c:pt idx="7049">
                  <c:v>8.5131571808427526E-3</c:v>
                </c:pt>
                <c:pt idx="7050">
                  <c:v>9.8265301251297867E-3</c:v>
                </c:pt>
                <c:pt idx="7051">
                  <c:v>1.0736327759520303E-2</c:v>
                </c:pt>
                <c:pt idx="7052">
                  <c:v>1.3038590001666088E-2</c:v>
                </c:pt>
                <c:pt idx="7053">
                  <c:v>1.1308126966830241E-2</c:v>
                </c:pt>
                <c:pt idx="7054">
                  <c:v>1.3327390929961035E-2</c:v>
                </c:pt>
                <c:pt idx="7055">
                  <c:v>1.7720320640236552E-2</c:v>
                </c:pt>
                <c:pt idx="7056">
                  <c:v>1.249053612472374E-2</c:v>
                </c:pt>
                <c:pt idx="7057">
                  <c:v>1.5800041388294016E-2</c:v>
                </c:pt>
                <c:pt idx="7058">
                  <c:v>8.5321766400290357E-3</c:v>
                </c:pt>
                <c:pt idx="7059">
                  <c:v>1.2293960348634116E-2</c:v>
                </c:pt>
                <c:pt idx="7060">
                  <c:v>1.044664779522351E-2</c:v>
                </c:pt>
                <c:pt idx="7061">
                  <c:v>1.0841063775034914E-2</c:v>
                </c:pt>
                <c:pt idx="7062">
                  <c:v>1.4483561643734846E-2</c:v>
                </c:pt>
                <c:pt idx="7063">
                  <c:v>1.297054231546311E-2</c:v>
                </c:pt>
                <c:pt idx="7064">
                  <c:v>9.9314486181069795E-3</c:v>
                </c:pt>
                <c:pt idx="7065">
                  <c:v>1.0837684050795679E-2</c:v>
                </c:pt>
                <c:pt idx="7066">
                  <c:v>1.0468861645564811E-2</c:v>
                </c:pt>
                <c:pt idx="7067">
                  <c:v>1.6136513354910058E-2</c:v>
                </c:pt>
                <c:pt idx="7068">
                  <c:v>1.5328736160347082E-2</c:v>
                </c:pt>
                <c:pt idx="7069">
                  <c:v>1.070161638244726E-2</c:v>
                </c:pt>
                <c:pt idx="7070">
                  <c:v>8.8272387629760099E-3</c:v>
                </c:pt>
                <c:pt idx="7071">
                  <c:v>1.1969287696104546E-2</c:v>
                </c:pt>
                <c:pt idx="7072">
                  <c:v>1.2934876881698429E-2</c:v>
                </c:pt>
                <c:pt idx="7073">
                  <c:v>8.914233378691851E-3</c:v>
                </c:pt>
                <c:pt idx="7074">
                  <c:v>1.0230994365244609E-2</c:v>
                </c:pt>
                <c:pt idx="7075">
                  <c:v>1.3873886127011759E-2</c:v>
                </c:pt>
                <c:pt idx="7076">
                  <c:v>1.31114802103594E-2</c:v>
                </c:pt>
                <c:pt idx="7077">
                  <c:v>1.0894867137128943E-2</c:v>
                </c:pt>
                <c:pt idx="7078">
                  <c:v>1.4891115834165553E-2</c:v>
                </c:pt>
                <c:pt idx="7079">
                  <c:v>1.1880839638467396E-2</c:v>
                </c:pt>
                <c:pt idx="7080">
                  <c:v>1.1181221481564958E-2</c:v>
                </c:pt>
                <c:pt idx="7081">
                  <c:v>1.6997318698662708E-2</c:v>
                </c:pt>
                <c:pt idx="7082">
                  <c:v>1.7197696733304683E-2</c:v>
                </c:pt>
                <c:pt idx="7083">
                  <c:v>1.0894058111608599E-2</c:v>
                </c:pt>
                <c:pt idx="7084">
                  <c:v>8.4707531686274533E-3</c:v>
                </c:pt>
                <c:pt idx="7085">
                  <c:v>1.0222100656967947E-2</c:v>
                </c:pt>
                <c:pt idx="7086">
                  <c:v>1.185356584802048E-2</c:v>
                </c:pt>
                <c:pt idx="7087">
                  <c:v>1.0889676897395452E-2</c:v>
                </c:pt>
                <c:pt idx="7088">
                  <c:v>1.1387136824104922E-2</c:v>
                </c:pt>
                <c:pt idx="7089">
                  <c:v>1.2031623745130561E-2</c:v>
                </c:pt>
                <c:pt idx="7090">
                  <c:v>8.7994705601884601E-3</c:v>
                </c:pt>
                <c:pt idx="7091">
                  <c:v>1.1779037193984597E-2</c:v>
                </c:pt>
                <c:pt idx="7092">
                  <c:v>1.2292879702518517E-2</c:v>
                </c:pt>
                <c:pt idx="7093">
                  <c:v>1.1831159065071853E-2</c:v>
                </c:pt>
                <c:pt idx="7094">
                  <c:v>1.6814402940873916E-2</c:v>
                </c:pt>
                <c:pt idx="7095">
                  <c:v>1.4314905855406977E-2</c:v>
                </c:pt>
                <c:pt idx="7096">
                  <c:v>1.0629751531266317E-2</c:v>
                </c:pt>
                <c:pt idx="7097">
                  <c:v>1.0290594875482886E-2</c:v>
                </c:pt>
                <c:pt idx="7098">
                  <c:v>1.3101566016932215E-2</c:v>
                </c:pt>
                <c:pt idx="7099">
                  <c:v>9.6540791306882826E-3</c:v>
                </c:pt>
                <c:pt idx="7100">
                  <c:v>1.2500184021145284E-2</c:v>
                </c:pt>
                <c:pt idx="7101">
                  <c:v>1.4196778080861613E-2</c:v>
                </c:pt>
                <c:pt idx="7102">
                  <c:v>1.4828673210551691E-2</c:v>
                </c:pt>
                <c:pt idx="7103">
                  <c:v>1.3998670123267262E-2</c:v>
                </c:pt>
                <c:pt idx="7104">
                  <c:v>1.0536460561275697E-2</c:v>
                </c:pt>
                <c:pt idx="7105">
                  <c:v>8.8140040873982018E-3</c:v>
                </c:pt>
                <c:pt idx="7106">
                  <c:v>1.2642966736512565E-2</c:v>
                </c:pt>
                <c:pt idx="7107">
                  <c:v>1.2308612230029863E-2</c:v>
                </c:pt>
                <c:pt idx="7108">
                  <c:v>1.5005430138218626E-2</c:v>
                </c:pt>
                <c:pt idx="7109">
                  <c:v>8.3544727330376201E-3</c:v>
                </c:pt>
                <c:pt idx="7110">
                  <c:v>9.6632893172149039E-3</c:v>
                </c:pt>
                <c:pt idx="7111">
                  <c:v>1.0529182960971665E-2</c:v>
                </c:pt>
                <c:pt idx="7112">
                  <c:v>1.4030598198147956E-2</c:v>
                </c:pt>
                <c:pt idx="7113">
                  <c:v>1.5344770171639552E-2</c:v>
                </c:pt>
                <c:pt idx="7114">
                  <c:v>1.1677702245263277E-2</c:v>
                </c:pt>
                <c:pt idx="7115">
                  <c:v>1.3351597633503435E-2</c:v>
                </c:pt>
                <c:pt idx="7116">
                  <c:v>1.4997439632091679E-2</c:v>
                </c:pt>
                <c:pt idx="7117">
                  <c:v>1.2300010068340316E-2</c:v>
                </c:pt>
                <c:pt idx="7118">
                  <c:v>1.3361793389213065E-2</c:v>
                </c:pt>
                <c:pt idx="7119">
                  <c:v>9.7796842278361044E-3</c:v>
                </c:pt>
                <c:pt idx="7120">
                  <c:v>1.2178041808283073E-2</c:v>
                </c:pt>
                <c:pt idx="7121">
                  <c:v>1.4356783217266024E-2</c:v>
                </c:pt>
                <c:pt idx="7122">
                  <c:v>1.4387628022623326E-2</c:v>
                </c:pt>
                <c:pt idx="7123">
                  <c:v>1.1996522344366082E-2</c:v>
                </c:pt>
                <c:pt idx="7124">
                  <c:v>1.4082992241550279E-2</c:v>
                </c:pt>
                <c:pt idx="7125">
                  <c:v>1.1563144925968638E-2</c:v>
                </c:pt>
                <c:pt idx="7126">
                  <c:v>1.2457287999302173E-2</c:v>
                </c:pt>
                <c:pt idx="7127">
                  <c:v>1.1632003933236596E-2</c:v>
                </c:pt>
                <c:pt idx="7128">
                  <c:v>1.2308085071983945E-2</c:v>
                </c:pt>
                <c:pt idx="7129">
                  <c:v>1.4096604460871446E-2</c:v>
                </c:pt>
                <c:pt idx="7130">
                  <c:v>1.3344635755546142E-2</c:v>
                </c:pt>
                <c:pt idx="7131">
                  <c:v>9.4194346102824001E-3</c:v>
                </c:pt>
                <c:pt idx="7132">
                  <c:v>7.4951251867418659E-3</c:v>
                </c:pt>
                <c:pt idx="7133">
                  <c:v>1.0803593116858329E-2</c:v>
                </c:pt>
                <c:pt idx="7134">
                  <c:v>9.2925309002960792E-3</c:v>
                </c:pt>
                <c:pt idx="7135">
                  <c:v>1.0213311001895179E-2</c:v>
                </c:pt>
                <c:pt idx="7136">
                  <c:v>1.034165975715807E-2</c:v>
                </c:pt>
                <c:pt idx="7137">
                  <c:v>1.3704567251967815E-2</c:v>
                </c:pt>
                <c:pt idx="7138">
                  <c:v>9.9405791231518912E-3</c:v>
                </c:pt>
                <c:pt idx="7139">
                  <c:v>9.2557617234142065E-3</c:v>
                </c:pt>
                <c:pt idx="7140">
                  <c:v>1.7033353604179732E-2</c:v>
                </c:pt>
                <c:pt idx="7141">
                  <c:v>1.2442041896921958E-2</c:v>
                </c:pt>
                <c:pt idx="7142">
                  <c:v>1.4157318881476979E-2</c:v>
                </c:pt>
                <c:pt idx="7143">
                  <c:v>8.6606729348904562E-3</c:v>
                </c:pt>
                <c:pt idx="7144">
                  <c:v>1.0240997643497991E-2</c:v>
                </c:pt>
                <c:pt idx="7145">
                  <c:v>9.3108214879441594E-3</c:v>
                </c:pt>
                <c:pt idx="7146">
                  <c:v>1.0047593272035681E-2</c:v>
                </c:pt>
                <c:pt idx="7147">
                  <c:v>1.3316463823619873E-2</c:v>
                </c:pt>
                <c:pt idx="7148">
                  <c:v>1.0396189754581455E-2</c:v>
                </c:pt>
                <c:pt idx="7149">
                  <c:v>1.2104125986286275E-2</c:v>
                </c:pt>
                <c:pt idx="7150">
                  <c:v>9.6768513631848643E-3</c:v>
                </c:pt>
                <c:pt idx="7151">
                  <c:v>8.3573639611285236E-3</c:v>
                </c:pt>
                <c:pt idx="7152">
                  <c:v>1.1719405384050207E-2</c:v>
                </c:pt>
                <c:pt idx="7153">
                  <c:v>1.0641363461738844E-2</c:v>
                </c:pt>
                <c:pt idx="7154">
                  <c:v>1.1134886231293467E-2</c:v>
                </c:pt>
                <c:pt idx="7155">
                  <c:v>1.2531774737829326E-2</c:v>
                </c:pt>
                <c:pt idx="7156">
                  <c:v>1.218106589609514E-2</c:v>
                </c:pt>
                <c:pt idx="7157">
                  <c:v>1.2142378292168689E-2</c:v>
                </c:pt>
                <c:pt idx="7158">
                  <c:v>1.3838460764350179E-2</c:v>
                </c:pt>
                <c:pt idx="7159">
                  <c:v>9.403659899198542E-3</c:v>
                </c:pt>
                <c:pt idx="7160">
                  <c:v>1.2796252668339874E-2</c:v>
                </c:pt>
                <c:pt idx="7161">
                  <c:v>1.5625328899343562E-2</c:v>
                </c:pt>
                <c:pt idx="7162">
                  <c:v>8.8733817477616942E-3</c:v>
                </c:pt>
                <c:pt idx="7163">
                  <c:v>1.1091129110258582E-2</c:v>
                </c:pt>
                <c:pt idx="7164">
                  <c:v>1.3038615553845915E-2</c:v>
                </c:pt>
                <c:pt idx="7165">
                  <c:v>1.0310036575639454E-2</c:v>
                </c:pt>
                <c:pt idx="7166">
                  <c:v>1.1547188148756281E-2</c:v>
                </c:pt>
                <c:pt idx="7167">
                  <c:v>1.1260391600326575E-2</c:v>
                </c:pt>
                <c:pt idx="7168">
                  <c:v>1.4968394127014038E-2</c:v>
                </c:pt>
                <c:pt idx="7169">
                  <c:v>1.07718672127391E-2</c:v>
                </c:pt>
                <c:pt idx="7170">
                  <c:v>1.4426387380852944E-2</c:v>
                </c:pt>
                <c:pt idx="7171">
                  <c:v>1.2645312198536053E-2</c:v>
                </c:pt>
                <c:pt idx="7172">
                  <c:v>1.2602190565492848E-2</c:v>
                </c:pt>
                <c:pt idx="7173">
                  <c:v>9.7334258842167124E-3</c:v>
                </c:pt>
                <c:pt idx="7174">
                  <c:v>1.2121192614801492E-2</c:v>
                </c:pt>
                <c:pt idx="7175">
                  <c:v>8.0687111474752465E-3</c:v>
                </c:pt>
                <c:pt idx="7176">
                  <c:v>1.2551021451650848E-2</c:v>
                </c:pt>
                <c:pt idx="7177">
                  <c:v>1.3782453316424725E-2</c:v>
                </c:pt>
                <c:pt idx="7178">
                  <c:v>1.2494116506283284E-2</c:v>
                </c:pt>
                <c:pt idx="7179">
                  <c:v>1.2261544776989619E-2</c:v>
                </c:pt>
                <c:pt idx="7180">
                  <c:v>1.1995733595315783E-2</c:v>
                </c:pt>
                <c:pt idx="7181">
                  <c:v>9.570160032211247E-3</c:v>
                </c:pt>
                <c:pt idx="7182">
                  <c:v>1.1126092124493317E-2</c:v>
                </c:pt>
                <c:pt idx="7183">
                  <c:v>1.3081643632663082E-2</c:v>
                </c:pt>
                <c:pt idx="7184">
                  <c:v>1.0592711724545862E-2</c:v>
                </c:pt>
                <c:pt idx="7185">
                  <c:v>1.606775588067651E-2</c:v>
                </c:pt>
                <c:pt idx="7186">
                  <c:v>1.1705568453546535E-2</c:v>
                </c:pt>
                <c:pt idx="7187">
                  <c:v>9.1307917596272162E-3</c:v>
                </c:pt>
                <c:pt idx="7188">
                  <c:v>1.2435670479705258E-2</c:v>
                </c:pt>
                <c:pt idx="7189">
                  <c:v>9.3871387437073611E-3</c:v>
                </c:pt>
                <c:pt idx="7190">
                  <c:v>1.1344967503023717E-2</c:v>
                </c:pt>
                <c:pt idx="7191">
                  <c:v>1.323459570123907E-2</c:v>
                </c:pt>
                <c:pt idx="7192">
                  <c:v>1.1367721248982028E-2</c:v>
                </c:pt>
                <c:pt idx="7193">
                  <c:v>1.4826573203126489E-2</c:v>
                </c:pt>
                <c:pt idx="7194">
                  <c:v>9.3849979082819869E-3</c:v>
                </c:pt>
                <c:pt idx="7195">
                  <c:v>1.1133715031359006E-2</c:v>
                </c:pt>
                <c:pt idx="7196">
                  <c:v>9.0632494986269737E-3</c:v>
                </c:pt>
                <c:pt idx="7197">
                  <c:v>1.2074241795769838E-2</c:v>
                </c:pt>
                <c:pt idx="7198">
                  <c:v>8.8842562298860443E-3</c:v>
                </c:pt>
                <c:pt idx="7199">
                  <c:v>1.1186677757805651E-2</c:v>
                </c:pt>
                <c:pt idx="7200">
                  <c:v>1.3847392367678964E-2</c:v>
                </c:pt>
                <c:pt idx="7201">
                  <c:v>1.1827685235859848E-2</c:v>
                </c:pt>
                <c:pt idx="7202">
                  <c:v>1.436940877596591E-2</c:v>
                </c:pt>
                <c:pt idx="7203">
                  <c:v>8.6414533822925729E-3</c:v>
                </c:pt>
                <c:pt idx="7204">
                  <c:v>8.1385549069355623E-3</c:v>
                </c:pt>
                <c:pt idx="7205">
                  <c:v>1.0980298264900988E-2</c:v>
                </c:pt>
                <c:pt idx="7206">
                  <c:v>1.1117221905889672E-2</c:v>
                </c:pt>
                <c:pt idx="7207">
                  <c:v>1.3502438998487864E-2</c:v>
                </c:pt>
                <c:pt idx="7208">
                  <c:v>1.4255900511941795E-2</c:v>
                </c:pt>
                <c:pt idx="7209">
                  <c:v>1.0044919317203157E-2</c:v>
                </c:pt>
                <c:pt idx="7210">
                  <c:v>1.1786987546542232E-2</c:v>
                </c:pt>
                <c:pt idx="7211">
                  <c:v>1.2165222271484527E-2</c:v>
                </c:pt>
                <c:pt idx="7212">
                  <c:v>1.0107352612701129E-2</c:v>
                </c:pt>
                <c:pt idx="7213">
                  <c:v>1.1875457094287547E-2</c:v>
                </c:pt>
                <c:pt idx="7214">
                  <c:v>1.2042069876849252E-2</c:v>
                </c:pt>
                <c:pt idx="7215">
                  <c:v>1.1104319050644323E-2</c:v>
                </c:pt>
                <c:pt idx="7216">
                  <c:v>1.0628163705665461E-2</c:v>
                </c:pt>
                <c:pt idx="7217">
                  <c:v>1.0703495603619086E-2</c:v>
                </c:pt>
                <c:pt idx="7218">
                  <c:v>7.5910242622655695E-3</c:v>
                </c:pt>
                <c:pt idx="7219">
                  <c:v>1.143451474837104E-2</c:v>
                </c:pt>
                <c:pt idx="7220">
                  <c:v>1.5635358941543789E-2</c:v>
                </c:pt>
                <c:pt idx="7221">
                  <c:v>1.1999654107482756E-2</c:v>
                </c:pt>
                <c:pt idx="7222">
                  <c:v>7.878665279090407E-3</c:v>
                </c:pt>
                <c:pt idx="7223">
                  <c:v>1.0722522035506112E-2</c:v>
                </c:pt>
                <c:pt idx="7224">
                  <c:v>1.0076920227187846E-2</c:v>
                </c:pt>
                <c:pt idx="7225">
                  <c:v>8.4814910771955562E-3</c:v>
                </c:pt>
                <c:pt idx="7226">
                  <c:v>1.0905925958978518E-2</c:v>
                </c:pt>
                <c:pt idx="7227">
                  <c:v>1.4690310026525443E-2</c:v>
                </c:pt>
                <c:pt idx="7228">
                  <c:v>1.1934155905472197E-2</c:v>
                </c:pt>
                <c:pt idx="7229">
                  <c:v>1.0820664682604744E-2</c:v>
                </c:pt>
                <c:pt idx="7230">
                  <c:v>1.203607100379969E-2</c:v>
                </c:pt>
                <c:pt idx="7231">
                  <c:v>1.5798614293407946E-2</c:v>
                </c:pt>
                <c:pt idx="7232">
                  <c:v>1.1736603704470184E-2</c:v>
                </c:pt>
                <c:pt idx="7233">
                  <c:v>1.0543949463924188E-2</c:v>
                </c:pt>
                <c:pt idx="7234">
                  <c:v>9.4368484017590976E-3</c:v>
                </c:pt>
                <c:pt idx="7235">
                  <c:v>1.1981473273045695E-2</c:v>
                </c:pt>
                <c:pt idx="7236">
                  <c:v>1.0530394317966443E-2</c:v>
                </c:pt>
                <c:pt idx="7237">
                  <c:v>1.0594561258859866E-2</c:v>
                </c:pt>
                <c:pt idx="7238">
                  <c:v>1.1178968128274763E-2</c:v>
                </c:pt>
                <c:pt idx="7239">
                  <c:v>1.191350681159945E-2</c:v>
                </c:pt>
                <c:pt idx="7240">
                  <c:v>1.4331412741487909E-2</c:v>
                </c:pt>
                <c:pt idx="7241">
                  <c:v>9.9512817316756812E-3</c:v>
                </c:pt>
                <c:pt idx="7242">
                  <c:v>1.2647219556486644E-2</c:v>
                </c:pt>
                <c:pt idx="7243">
                  <c:v>7.6113990868617795E-3</c:v>
                </c:pt>
                <c:pt idx="7244">
                  <c:v>1.4209190040657545E-2</c:v>
                </c:pt>
                <c:pt idx="7245">
                  <c:v>9.9412904002308053E-3</c:v>
                </c:pt>
                <c:pt idx="7246">
                  <c:v>1.2184044694128628E-2</c:v>
                </c:pt>
                <c:pt idx="7247">
                  <c:v>1.0651535792066558E-2</c:v>
                </c:pt>
                <c:pt idx="7248">
                  <c:v>1.1623647850457277E-2</c:v>
                </c:pt>
                <c:pt idx="7249">
                  <c:v>9.2628774075997119E-3</c:v>
                </c:pt>
                <c:pt idx="7250">
                  <c:v>8.2693861302705306E-3</c:v>
                </c:pt>
                <c:pt idx="7251">
                  <c:v>1.0713980041278387E-2</c:v>
                </c:pt>
                <c:pt idx="7252">
                  <c:v>1.3045654975674623E-2</c:v>
                </c:pt>
                <c:pt idx="7253">
                  <c:v>1.2853197573183567E-2</c:v>
                </c:pt>
                <c:pt idx="7254">
                  <c:v>1.1578776680927119E-2</c:v>
                </c:pt>
                <c:pt idx="7255">
                  <c:v>8.7182757747016268E-3</c:v>
                </c:pt>
                <c:pt idx="7256">
                  <c:v>1.1309451316918784E-2</c:v>
                </c:pt>
                <c:pt idx="7257">
                  <c:v>1.2074577326985582E-2</c:v>
                </c:pt>
                <c:pt idx="7258">
                  <c:v>1.3432429227242481E-2</c:v>
                </c:pt>
                <c:pt idx="7259">
                  <c:v>1.1068634451890639E-2</c:v>
                </c:pt>
                <c:pt idx="7260">
                  <c:v>1.0794899827862621E-2</c:v>
                </c:pt>
                <c:pt idx="7261">
                  <c:v>1.9303388757879361E-2</c:v>
                </c:pt>
                <c:pt idx="7262">
                  <c:v>1.3520280482176699E-2</c:v>
                </c:pt>
                <c:pt idx="7263">
                  <c:v>1.6661348609154771E-2</c:v>
                </c:pt>
                <c:pt idx="7264">
                  <c:v>1.2456638470172244E-2</c:v>
                </c:pt>
                <c:pt idx="7265">
                  <c:v>1.0621218660304152E-2</c:v>
                </c:pt>
                <c:pt idx="7266">
                  <c:v>1.0219051539106756E-2</c:v>
                </c:pt>
                <c:pt idx="7267">
                  <c:v>1.2789265921482357E-2</c:v>
                </c:pt>
                <c:pt idx="7268">
                  <c:v>1.2229189626880506E-2</c:v>
                </c:pt>
                <c:pt idx="7269">
                  <c:v>1.15555939363982E-2</c:v>
                </c:pt>
                <c:pt idx="7270">
                  <c:v>1.1694438387121014E-2</c:v>
                </c:pt>
                <c:pt idx="7271">
                  <c:v>1.1886020296018169E-2</c:v>
                </c:pt>
                <c:pt idx="7272">
                  <c:v>8.534509408729506E-3</c:v>
                </c:pt>
                <c:pt idx="7273">
                  <c:v>1.2277589334339426E-2</c:v>
                </c:pt>
                <c:pt idx="7274">
                  <c:v>1.3472398859461113E-2</c:v>
                </c:pt>
                <c:pt idx="7275">
                  <c:v>8.7241139169709526E-3</c:v>
                </c:pt>
                <c:pt idx="7276">
                  <c:v>9.5459871375783451E-3</c:v>
                </c:pt>
                <c:pt idx="7277">
                  <c:v>1.0062712813044057E-2</c:v>
                </c:pt>
                <c:pt idx="7278">
                  <c:v>1.0277140002510461E-2</c:v>
                </c:pt>
                <c:pt idx="7279">
                  <c:v>1.2200085261762585E-2</c:v>
                </c:pt>
                <c:pt idx="7280">
                  <c:v>1.0168694491383306E-2</c:v>
                </c:pt>
                <c:pt idx="7281">
                  <c:v>8.8483044577447271E-3</c:v>
                </c:pt>
                <c:pt idx="7282">
                  <c:v>1.2532545668239671E-2</c:v>
                </c:pt>
                <c:pt idx="7283">
                  <c:v>1.3422302302296591E-2</c:v>
                </c:pt>
                <c:pt idx="7284">
                  <c:v>1.3518317427278041E-2</c:v>
                </c:pt>
                <c:pt idx="7285">
                  <c:v>9.6297406292650944E-3</c:v>
                </c:pt>
                <c:pt idx="7286">
                  <c:v>1.5620674288045998E-2</c:v>
                </c:pt>
                <c:pt idx="7287">
                  <c:v>1.2422325865218568E-2</c:v>
                </c:pt>
                <c:pt idx="7288">
                  <c:v>8.342484617111184E-3</c:v>
                </c:pt>
                <c:pt idx="7289">
                  <c:v>1.1995726747096962E-2</c:v>
                </c:pt>
                <c:pt idx="7290">
                  <c:v>1.1514338067204503E-2</c:v>
                </c:pt>
                <c:pt idx="7291">
                  <c:v>9.3139344274513446E-3</c:v>
                </c:pt>
                <c:pt idx="7292">
                  <c:v>8.3876053385687262E-3</c:v>
                </c:pt>
                <c:pt idx="7293">
                  <c:v>1.1754532965058722E-2</c:v>
                </c:pt>
                <c:pt idx="7294">
                  <c:v>9.9373314883539794E-3</c:v>
                </c:pt>
                <c:pt idx="7295">
                  <c:v>1.2865501238509639E-2</c:v>
                </c:pt>
                <c:pt idx="7296">
                  <c:v>1.3203692913395449E-2</c:v>
                </c:pt>
                <c:pt idx="7297">
                  <c:v>1.4229209368940539E-2</c:v>
                </c:pt>
                <c:pt idx="7298">
                  <c:v>1.0508596934341752E-2</c:v>
                </c:pt>
                <c:pt idx="7299">
                  <c:v>1.0820568431423967E-2</c:v>
                </c:pt>
                <c:pt idx="7300">
                  <c:v>1.2249118710523142E-2</c:v>
                </c:pt>
                <c:pt idx="7301">
                  <c:v>8.592600366804308E-3</c:v>
                </c:pt>
                <c:pt idx="7302">
                  <c:v>1.2708429918093917E-2</c:v>
                </c:pt>
                <c:pt idx="7303">
                  <c:v>1.1183937371982214E-2</c:v>
                </c:pt>
                <c:pt idx="7304">
                  <c:v>1.7625198693784441E-2</c:v>
                </c:pt>
                <c:pt idx="7305">
                  <c:v>1.3085632232703957E-2</c:v>
                </c:pt>
                <c:pt idx="7306">
                  <c:v>1.3867780679321208E-2</c:v>
                </c:pt>
                <c:pt idx="7307">
                  <c:v>1.1453837911748933E-2</c:v>
                </c:pt>
                <c:pt idx="7308">
                  <c:v>1.1058253001816325E-2</c:v>
                </c:pt>
                <c:pt idx="7309">
                  <c:v>1.2430474815990921E-2</c:v>
                </c:pt>
                <c:pt idx="7310">
                  <c:v>1.1852266465414886E-2</c:v>
                </c:pt>
                <c:pt idx="7311">
                  <c:v>1.2075807348650828E-2</c:v>
                </c:pt>
                <c:pt idx="7312">
                  <c:v>9.5780428050505368E-3</c:v>
                </c:pt>
                <c:pt idx="7313">
                  <c:v>1.2351904083828042E-2</c:v>
                </c:pt>
                <c:pt idx="7314">
                  <c:v>1.2333238025936191E-2</c:v>
                </c:pt>
                <c:pt idx="7315">
                  <c:v>1.246289851481925E-2</c:v>
                </c:pt>
                <c:pt idx="7316">
                  <c:v>1.2640223942918116E-2</c:v>
                </c:pt>
                <c:pt idx="7317">
                  <c:v>1.4496069663667371E-2</c:v>
                </c:pt>
                <c:pt idx="7318">
                  <c:v>1.3786559807430973E-2</c:v>
                </c:pt>
                <c:pt idx="7319">
                  <c:v>8.9721686294412899E-3</c:v>
                </c:pt>
                <c:pt idx="7320">
                  <c:v>1.2433085227478295E-2</c:v>
                </c:pt>
                <c:pt idx="7321">
                  <c:v>9.791268294947298E-3</c:v>
                </c:pt>
                <c:pt idx="7322">
                  <c:v>1.3038152554724436E-2</c:v>
                </c:pt>
                <c:pt idx="7323">
                  <c:v>1.4339716892577651E-2</c:v>
                </c:pt>
                <c:pt idx="7324">
                  <c:v>1.3063525295848014E-2</c:v>
                </c:pt>
                <c:pt idx="7325">
                  <c:v>8.4452173823506491E-3</c:v>
                </c:pt>
                <c:pt idx="7326">
                  <c:v>9.9240196576942021E-3</c:v>
                </c:pt>
                <c:pt idx="7327">
                  <c:v>1.2539392569026676E-2</c:v>
                </c:pt>
                <c:pt idx="7328">
                  <c:v>1.2289453113068451E-2</c:v>
                </c:pt>
                <c:pt idx="7329">
                  <c:v>1.0079068175326474E-2</c:v>
                </c:pt>
                <c:pt idx="7330">
                  <c:v>8.8449187368656399E-3</c:v>
                </c:pt>
                <c:pt idx="7331">
                  <c:v>1.317740154809836E-2</c:v>
                </c:pt>
                <c:pt idx="7332">
                  <c:v>1.537612097295965E-2</c:v>
                </c:pt>
                <c:pt idx="7333">
                  <c:v>1.0930168612840657E-2</c:v>
                </c:pt>
                <c:pt idx="7334">
                  <c:v>1.2921017627040643E-2</c:v>
                </c:pt>
                <c:pt idx="7335">
                  <c:v>1.5575994073915543E-2</c:v>
                </c:pt>
                <c:pt idx="7336">
                  <c:v>8.8246825429937371E-3</c:v>
                </c:pt>
                <c:pt idx="7337">
                  <c:v>1.4185599755448372E-2</c:v>
                </c:pt>
                <c:pt idx="7338">
                  <c:v>1.2431369815409167E-2</c:v>
                </c:pt>
                <c:pt idx="7339">
                  <c:v>1.2855880814009435E-2</c:v>
                </c:pt>
                <c:pt idx="7340">
                  <c:v>1.2410769295817536E-2</c:v>
                </c:pt>
                <c:pt idx="7341">
                  <c:v>1.2260876976414516E-2</c:v>
                </c:pt>
                <c:pt idx="7342">
                  <c:v>1.3777463653306182E-2</c:v>
                </c:pt>
                <c:pt idx="7343">
                  <c:v>9.8971998879604454E-3</c:v>
                </c:pt>
                <c:pt idx="7344">
                  <c:v>1.4156106864038478E-2</c:v>
                </c:pt>
                <c:pt idx="7345">
                  <c:v>9.609914127546533E-3</c:v>
                </c:pt>
                <c:pt idx="7346">
                  <c:v>1.0993022100396698E-2</c:v>
                </c:pt>
                <c:pt idx="7347">
                  <c:v>9.6474362535826468E-3</c:v>
                </c:pt>
                <c:pt idx="7348">
                  <c:v>1.371608151597779E-2</c:v>
                </c:pt>
                <c:pt idx="7349">
                  <c:v>8.5830698874584492E-3</c:v>
                </c:pt>
                <c:pt idx="7350">
                  <c:v>1.1129787084941001E-2</c:v>
                </c:pt>
                <c:pt idx="7351">
                  <c:v>1.4561276805157813E-2</c:v>
                </c:pt>
                <c:pt idx="7352">
                  <c:v>1.1607127878789656E-2</c:v>
                </c:pt>
                <c:pt idx="7353">
                  <c:v>1.3220540689261385E-2</c:v>
                </c:pt>
                <c:pt idx="7354">
                  <c:v>8.7047176292358117E-3</c:v>
                </c:pt>
                <c:pt idx="7355">
                  <c:v>1.2737332366471298E-2</c:v>
                </c:pt>
                <c:pt idx="7356">
                  <c:v>9.5419392085982144E-3</c:v>
                </c:pt>
                <c:pt idx="7357">
                  <c:v>1.1990198029262119E-2</c:v>
                </c:pt>
                <c:pt idx="7358">
                  <c:v>8.2521684458219877E-3</c:v>
                </c:pt>
                <c:pt idx="7359">
                  <c:v>1.2392101606821686E-2</c:v>
                </c:pt>
                <c:pt idx="7360">
                  <c:v>1.1553007855865055E-2</c:v>
                </c:pt>
                <c:pt idx="7361">
                  <c:v>1.1227534099305637E-2</c:v>
                </c:pt>
                <c:pt idx="7362">
                  <c:v>1.4053992064886207E-2</c:v>
                </c:pt>
                <c:pt idx="7363">
                  <c:v>1.4451653971567516E-2</c:v>
                </c:pt>
                <c:pt idx="7364">
                  <c:v>1.2185897717809081E-2</c:v>
                </c:pt>
                <c:pt idx="7365">
                  <c:v>1.0051769303332783E-2</c:v>
                </c:pt>
                <c:pt idx="7366">
                  <c:v>1.0692071814998835E-2</c:v>
                </c:pt>
                <c:pt idx="7367">
                  <c:v>1.0264039595651834E-2</c:v>
                </c:pt>
                <c:pt idx="7368">
                  <c:v>1.2434381641050016E-2</c:v>
                </c:pt>
                <c:pt idx="7369">
                  <c:v>1.204869111949684E-2</c:v>
                </c:pt>
                <c:pt idx="7370">
                  <c:v>1.6090675872578737E-2</c:v>
                </c:pt>
                <c:pt idx="7371">
                  <c:v>1.1750458404993931E-2</c:v>
                </c:pt>
                <c:pt idx="7372">
                  <c:v>1.1272351324282526E-2</c:v>
                </c:pt>
                <c:pt idx="7373">
                  <c:v>1.1998426941583987E-2</c:v>
                </c:pt>
                <c:pt idx="7374">
                  <c:v>1.4430649189978658E-2</c:v>
                </c:pt>
                <c:pt idx="7375">
                  <c:v>7.5472354500471647E-3</c:v>
                </c:pt>
                <c:pt idx="7376">
                  <c:v>9.3323215156661914E-3</c:v>
                </c:pt>
                <c:pt idx="7377">
                  <c:v>9.8227271798627842E-3</c:v>
                </c:pt>
                <c:pt idx="7378">
                  <c:v>9.0884686367088616E-3</c:v>
                </c:pt>
                <c:pt idx="7379">
                  <c:v>1.0059560388392588E-2</c:v>
                </c:pt>
                <c:pt idx="7380">
                  <c:v>1.2187441847724545E-2</c:v>
                </c:pt>
                <c:pt idx="7381">
                  <c:v>1.0020678593846959E-2</c:v>
                </c:pt>
                <c:pt idx="7382">
                  <c:v>7.7598190323955761E-3</c:v>
                </c:pt>
                <c:pt idx="7383">
                  <c:v>1.2606191643553749E-2</c:v>
                </c:pt>
                <c:pt idx="7384">
                  <c:v>1.0277077775857386E-2</c:v>
                </c:pt>
                <c:pt idx="7385">
                  <c:v>8.1971164688605918E-3</c:v>
                </c:pt>
                <c:pt idx="7386">
                  <c:v>8.1478272822306397E-3</c:v>
                </c:pt>
                <c:pt idx="7387">
                  <c:v>1.0268482046495692E-2</c:v>
                </c:pt>
                <c:pt idx="7388">
                  <c:v>1.6128472107192763E-2</c:v>
                </c:pt>
                <c:pt idx="7389">
                  <c:v>8.5077228507801621E-3</c:v>
                </c:pt>
                <c:pt idx="7390">
                  <c:v>1.3905265602766937E-2</c:v>
                </c:pt>
                <c:pt idx="7391">
                  <c:v>9.9068382259891435E-3</c:v>
                </c:pt>
                <c:pt idx="7392">
                  <c:v>8.1616975714321176E-3</c:v>
                </c:pt>
                <c:pt idx="7393">
                  <c:v>1.0498314116135015E-2</c:v>
                </c:pt>
                <c:pt idx="7394">
                  <c:v>1.1668171012821466E-2</c:v>
                </c:pt>
                <c:pt idx="7395">
                  <c:v>1.3121102256905893E-2</c:v>
                </c:pt>
                <c:pt idx="7396">
                  <c:v>1.139905847614351E-2</c:v>
                </c:pt>
                <c:pt idx="7397">
                  <c:v>1.0111716652686727E-2</c:v>
                </c:pt>
                <c:pt idx="7398">
                  <c:v>9.8165441665709965E-3</c:v>
                </c:pt>
                <c:pt idx="7399">
                  <c:v>1.3120832147634681E-2</c:v>
                </c:pt>
                <c:pt idx="7400">
                  <c:v>1.0231473120358391E-2</c:v>
                </c:pt>
                <c:pt idx="7401">
                  <c:v>1.0903764448330218E-2</c:v>
                </c:pt>
                <c:pt idx="7402">
                  <c:v>1.3001976910592551E-2</c:v>
                </c:pt>
                <c:pt idx="7403">
                  <c:v>8.3332180100495479E-3</c:v>
                </c:pt>
                <c:pt idx="7404">
                  <c:v>9.7449062732618257E-3</c:v>
                </c:pt>
                <c:pt idx="7405">
                  <c:v>1.2656100096269047E-2</c:v>
                </c:pt>
                <c:pt idx="7406">
                  <c:v>1.3009977829615436E-2</c:v>
                </c:pt>
                <c:pt idx="7407">
                  <c:v>1.1619353044836611E-2</c:v>
                </c:pt>
                <c:pt idx="7408">
                  <c:v>1.2192212722903533E-2</c:v>
                </c:pt>
                <c:pt idx="7409">
                  <c:v>1.1895767441398961E-2</c:v>
                </c:pt>
                <c:pt idx="7410">
                  <c:v>1.1608653846721452E-2</c:v>
                </c:pt>
                <c:pt idx="7411">
                  <c:v>8.4261723022347034E-3</c:v>
                </c:pt>
                <c:pt idx="7412">
                  <c:v>1.0911576215454242E-2</c:v>
                </c:pt>
                <c:pt idx="7413">
                  <c:v>1.1244338755560487E-2</c:v>
                </c:pt>
                <c:pt idx="7414">
                  <c:v>9.5931997054042924E-3</c:v>
                </c:pt>
                <c:pt idx="7415">
                  <c:v>1.0408740572096937E-2</c:v>
                </c:pt>
                <c:pt idx="7416">
                  <c:v>1.4783724878645049E-2</c:v>
                </c:pt>
                <c:pt idx="7417">
                  <c:v>1.055720013920622E-2</c:v>
                </c:pt>
                <c:pt idx="7418">
                  <c:v>1.5168461913204413E-2</c:v>
                </c:pt>
                <c:pt idx="7419">
                  <c:v>1.3323394087158142E-2</c:v>
                </c:pt>
                <c:pt idx="7420">
                  <c:v>1.3461581104857394E-2</c:v>
                </c:pt>
                <c:pt idx="7421">
                  <c:v>9.2448661350884708E-3</c:v>
                </c:pt>
                <c:pt idx="7422">
                  <c:v>1.3365980021294107E-2</c:v>
                </c:pt>
                <c:pt idx="7423">
                  <c:v>1.2551640510717289E-2</c:v>
                </c:pt>
                <c:pt idx="7424">
                  <c:v>1.241330350283746E-2</c:v>
                </c:pt>
                <c:pt idx="7425">
                  <c:v>8.6863706004221986E-3</c:v>
                </c:pt>
                <c:pt idx="7426">
                  <c:v>1.1965897224614688E-2</c:v>
                </c:pt>
                <c:pt idx="7427">
                  <c:v>9.765446804705355E-3</c:v>
                </c:pt>
                <c:pt idx="7428">
                  <c:v>1.024295299437147E-2</c:v>
                </c:pt>
                <c:pt idx="7429">
                  <c:v>1.5503003683477108E-2</c:v>
                </c:pt>
                <c:pt idx="7430">
                  <c:v>1.3787939282193157E-2</c:v>
                </c:pt>
                <c:pt idx="7431">
                  <c:v>1.3961204703671567E-2</c:v>
                </c:pt>
                <c:pt idx="7432">
                  <c:v>1.3055467061898652E-2</c:v>
                </c:pt>
                <c:pt idx="7433">
                  <c:v>1.1744735900701958E-2</c:v>
                </c:pt>
                <c:pt idx="7434">
                  <c:v>8.0496350079350097E-3</c:v>
                </c:pt>
                <c:pt idx="7435">
                  <c:v>1.1557955018086546E-2</c:v>
                </c:pt>
                <c:pt idx="7436">
                  <c:v>1.3112813642217124E-2</c:v>
                </c:pt>
                <c:pt idx="7437">
                  <c:v>1.2686406736608532E-2</c:v>
                </c:pt>
                <c:pt idx="7438">
                  <c:v>8.5525247019834234E-3</c:v>
                </c:pt>
                <c:pt idx="7439">
                  <c:v>1.2668035748849197E-2</c:v>
                </c:pt>
                <c:pt idx="7440">
                  <c:v>1.3350827182147081E-2</c:v>
                </c:pt>
                <c:pt idx="7441">
                  <c:v>1.0900719410387748E-2</c:v>
                </c:pt>
                <c:pt idx="7442">
                  <c:v>8.6358884582731377E-3</c:v>
                </c:pt>
                <c:pt idx="7443">
                  <c:v>1.1596538767219926E-2</c:v>
                </c:pt>
                <c:pt idx="7444">
                  <c:v>9.1437007778294391E-3</c:v>
                </c:pt>
                <c:pt idx="7445">
                  <c:v>1.1236549308962231E-2</c:v>
                </c:pt>
                <c:pt idx="7446">
                  <c:v>1.5194400688097527E-2</c:v>
                </c:pt>
                <c:pt idx="7447">
                  <c:v>1.2445775593826673E-2</c:v>
                </c:pt>
                <c:pt idx="7448">
                  <c:v>1.3067674440416992E-2</c:v>
                </c:pt>
                <c:pt idx="7449">
                  <c:v>1.0258305998009767E-2</c:v>
                </c:pt>
                <c:pt idx="7450">
                  <c:v>1.1928463047709007E-2</c:v>
                </c:pt>
                <c:pt idx="7451">
                  <c:v>1.343128067099501E-2</c:v>
                </c:pt>
                <c:pt idx="7452">
                  <c:v>1.4332887827010032E-2</c:v>
                </c:pt>
                <c:pt idx="7453">
                  <c:v>1.019643468507159E-2</c:v>
                </c:pt>
                <c:pt idx="7454">
                  <c:v>1.0759594793633981E-2</c:v>
                </c:pt>
                <c:pt idx="7455">
                  <c:v>8.7793144357306875E-3</c:v>
                </c:pt>
                <c:pt idx="7456">
                  <c:v>1.2117003529545511E-2</c:v>
                </c:pt>
                <c:pt idx="7457">
                  <c:v>1.5402783800923693E-2</c:v>
                </c:pt>
                <c:pt idx="7458">
                  <c:v>9.5990784451100517E-3</c:v>
                </c:pt>
                <c:pt idx="7459">
                  <c:v>1.0018477889670216E-2</c:v>
                </c:pt>
                <c:pt idx="7460">
                  <c:v>1.23417902969388E-2</c:v>
                </c:pt>
                <c:pt idx="7461">
                  <c:v>9.3588099543829885E-3</c:v>
                </c:pt>
                <c:pt idx="7462">
                  <c:v>8.1435006045660341E-3</c:v>
                </c:pt>
                <c:pt idx="7463">
                  <c:v>1.0258586764180341E-2</c:v>
                </c:pt>
                <c:pt idx="7464">
                  <c:v>1.096234252640222E-2</c:v>
                </c:pt>
                <c:pt idx="7465">
                  <c:v>1.3507146906008547E-2</c:v>
                </c:pt>
                <c:pt idx="7466">
                  <c:v>1.496577198513685E-2</c:v>
                </c:pt>
                <c:pt idx="7467">
                  <c:v>9.1609311254440481E-3</c:v>
                </c:pt>
                <c:pt idx="7468">
                  <c:v>1.0803985667475931E-2</c:v>
                </c:pt>
                <c:pt idx="7469">
                  <c:v>8.424934414097817E-3</c:v>
                </c:pt>
                <c:pt idx="7470">
                  <c:v>9.2609530247877263E-3</c:v>
                </c:pt>
                <c:pt idx="7471">
                  <c:v>8.8906031185198298E-3</c:v>
                </c:pt>
                <c:pt idx="7472">
                  <c:v>1.1604181535328262E-2</c:v>
                </c:pt>
                <c:pt idx="7473">
                  <c:v>1.6242152526899027E-2</c:v>
                </c:pt>
                <c:pt idx="7474">
                  <c:v>1.2581743233505601E-2</c:v>
                </c:pt>
                <c:pt idx="7475">
                  <c:v>1.4290046455445227E-2</c:v>
                </c:pt>
                <c:pt idx="7476">
                  <c:v>1.2898334644268799E-2</c:v>
                </c:pt>
                <c:pt idx="7477">
                  <c:v>1.1775536712005933E-2</c:v>
                </c:pt>
                <c:pt idx="7478">
                  <c:v>1.3051667824175868E-2</c:v>
                </c:pt>
                <c:pt idx="7479">
                  <c:v>1.0567518908104149E-2</c:v>
                </c:pt>
                <c:pt idx="7480">
                  <c:v>1.3152027026946242E-2</c:v>
                </c:pt>
                <c:pt idx="7481">
                  <c:v>1.3095949297624202E-2</c:v>
                </c:pt>
                <c:pt idx="7482">
                  <c:v>1.0879121379697647E-2</c:v>
                </c:pt>
                <c:pt idx="7483">
                  <c:v>1.2100391118799913E-2</c:v>
                </c:pt>
                <c:pt idx="7484">
                  <c:v>9.4229439935719379E-3</c:v>
                </c:pt>
                <c:pt idx="7485">
                  <c:v>1.1874256711664928E-2</c:v>
                </c:pt>
                <c:pt idx="7486">
                  <c:v>1.3747407899760965E-2</c:v>
                </c:pt>
                <c:pt idx="7487">
                  <c:v>1.27649540024668E-2</c:v>
                </c:pt>
                <c:pt idx="7488">
                  <c:v>1.1497024215681679E-2</c:v>
                </c:pt>
                <c:pt idx="7489">
                  <c:v>1.2502383484621717E-2</c:v>
                </c:pt>
                <c:pt idx="7490">
                  <c:v>1.2445516579967718E-2</c:v>
                </c:pt>
                <c:pt idx="7491">
                  <c:v>8.7421772820253495E-3</c:v>
                </c:pt>
                <c:pt idx="7492">
                  <c:v>1.1616956458114404E-2</c:v>
                </c:pt>
                <c:pt idx="7493">
                  <c:v>1.1857475441947625E-2</c:v>
                </c:pt>
                <c:pt idx="7494">
                  <c:v>1.4181686087412951E-2</c:v>
                </c:pt>
                <c:pt idx="7495">
                  <c:v>1.0883646464156526E-2</c:v>
                </c:pt>
                <c:pt idx="7496">
                  <c:v>1.0657850801992391E-2</c:v>
                </c:pt>
                <c:pt idx="7497">
                  <c:v>1.4115069871708694E-2</c:v>
                </c:pt>
                <c:pt idx="7498">
                  <c:v>1.1643986898475744E-2</c:v>
                </c:pt>
                <c:pt idx="7499">
                  <c:v>9.3311046082713029E-3</c:v>
                </c:pt>
                <c:pt idx="7500">
                  <c:v>1.1516894760273524E-2</c:v>
                </c:pt>
                <c:pt idx="7501">
                  <c:v>9.3985280824179229E-3</c:v>
                </c:pt>
                <c:pt idx="7502">
                  <c:v>1.5640992711429248E-2</c:v>
                </c:pt>
                <c:pt idx="7503">
                  <c:v>1.2067895167726762E-2</c:v>
                </c:pt>
                <c:pt idx="7504">
                  <c:v>1.0106174741410434E-2</c:v>
                </c:pt>
                <c:pt idx="7505">
                  <c:v>7.8369877203113419E-3</c:v>
                </c:pt>
                <c:pt idx="7506">
                  <c:v>1.1638463117840343E-2</c:v>
                </c:pt>
                <c:pt idx="7507">
                  <c:v>1.2775817638844104E-2</c:v>
                </c:pt>
                <c:pt idx="7508">
                  <c:v>7.8184103392057221E-3</c:v>
                </c:pt>
                <c:pt idx="7509">
                  <c:v>9.7346317179682999E-3</c:v>
                </c:pt>
                <c:pt idx="7510">
                  <c:v>1.3920767951514609E-2</c:v>
                </c:pt>
                <c:pt idx="7511">
                  <c:v>1.2419897265126323E-2</c:v>
                </c:pt>
                <c:pt idx="7512">
                  <c:v>1.2536050396036672E-2</c:v>
                </c:pt>
                <c:pt idx="7513">
                  <c:v>1.3305961024549196E-2</c:v>
                </c:pt>
                <c:pt idx="7514">
                  <c:v>1.2044381378781889E-2</c:v>
                </c:pt>
                <c:pt idx="7515">
                  <c:v>1.4904122686634446E-2</c:v>
                </c:pt>
                <c:pt idx="7516">
                  <c:v>9.7361422058838132E-3</c:v>
                </c:pt>
                <c:pt idx="7517">
                  <c:v>1.267522798296488E-2</c:v>
                </c:pt>
                <c:pt idx="7518">
                  <c:v>1.2050237247754982E-2</c:v>
                </c:pt>
                <c:pt idx="7519">
                  <c:v>1.2202073992729271E-2</c:v>
                </c:pt>
                <c:pt idx="7520">
                  <c:v>1.1871481258711607E-2</c:v>
                </c:pt>
                <c:pt idx="7521">
                  <c:v>9.0422327055146301E-3</c:v>
                </c:pt>
                <c:pt idx="7522">
                  <c:v>1.0705345753126528E-2</c:v>
                </c:pt>
                <c:pt idx="7523">
                  <c:v>1.4664672769578686E-2</c:v>
                </c:pt>
                <c:pt idx="7524">
                  <c:v>1.2468693806334214E-2</c:v>
                </c:pt>
                <c:pt idx="7525">
                  <c:v>9.2168842105453449E-3</c:v>
                </c:pt>
                <c:pt idx="7526">
                  <c:v>8.6801319288579131E-3</c:v>
                </c:pt>
                <c:pt idx="7527">
                  <c:v>1.2143217056552419E-2</c:v>
                </c:pt>
                <c:pt idx="7528">
                  <c:v>1.3818808722271866E-2</c:v>
                </c:pt>
                <c:pt idx="7529">
                  <c:v>1.3111743398557012E-2</c:v>
                </c:pt>
                <c:pt idx="7530">
                  <c:v>1.2052664258560533E-2</c:v>
                </c:pt>
                <c:pt idx="7531">
                  <c:v>8.9605183575897085E-3</c:v>
                </c:pt>
                <c:pt idx="7532">
                  <c:v>8.8684284489354021E-3</c:v>
                </c:pt>
                <c:pt idx="7533">
                  <c:v>8.4528437829649705E-3</c:v>
                </c:pt>
                <c:pt idx="7534">
                  <c:v>1.1046061634177687E-2</c:v>
                </c:pt>
                <c:pt idx="7535">
                  <c:v>1.2070865407633406E-2</c:v>
                </c:pt>
                <c:pt idx="7536">
                  <c:v>1.2738012441099938E-2</c:v>
                </c:pt>
                <c:pt idx="7537">
                  <c:v>9.0620507022943549E-3</c:v>
                </c:pt>
                <c:pt idx="7538">
                  <c:v>1.0248768093661747E-2</c:v>
                </c:pt>
                <c:pt idx="7539">
                  <c:v>1.0006357764580226E-2</c:v>
                </c:pt>
                <c:pt idx="7540">
                  <c:v>1.3035824360469007E-2</c:v>
                </c:pt>
                <c:pt idx="7541">
                  <c:v>1.6936353117773605E-2</c:v>
                </c:pt>
                <c:pt idx="7542">
                  <c:v>1.3429259184148265E-2</c:v>
                </c:pt>
                <c:pt idx="7543">
                  <c:v>1.4582800922313304E-2</c:v>
                </c:pt>
                <c:pt idx="7544">
                  <c:v>1.1291273264447515E-2</c:v>
                </c:pt>
                <c:pt idx="7545">
                  <c:v>1.5075608046605732E-2</c:v>
                </c:pt>
                <c:pt idx="7546">
                  <c:v>1.1102376449345603E-2</c:v>
                </c:pt>
                <c:pt idx="7547">
                  <c:v>9.7081834944534786E-3</c:v>
                </c:pt>
                <c:pt idx="7548">
                  <c:v>1.2740869961354255E-2</c:v>
                </c:pt>
                <c:pt idx="7549">
                  <c:v>1.177534013674816E-2</c:v>
                </c:pt>
                <c:pt idx="7550">
                  <c:v>1.2056358738466296E-2</c:v>
                </c:pt>
                <c:pt idx="7551">
                  <c:v>1.124933277872891E-2</c:v>
                </c:pt>
                <c:pt idx="7552">
                  <c:v>1.6430617776928998E-2</c:v>
                </c:pt>
                <c:pt idx="7553">
                  <c:v>1.1917173663003261E-2</c:v>
                </c:pt>
                <c:pt idx="7554">
                  <c:v>1.0126842003497614E-2</c:v>
                </c:pt>
                <c:pt idx="7555">
                  <c:v>1.3045987700520709E-2</c:v>
                </c:pt>
                <c:pt idx="7556">
                  <c:v>1.270922721040214E-2</c:v>
                </c:pt>
                <c:pt idx="7557">
                  <c:v>1.3011778976099347E-2</c:v>
                </c:pt>
                <c:pt idx="7558">
                  <c:v>8.4071689804166953E-3</c:v>
                </c:pt>
                <c:pt idx="7559">
                  <c:v>1.3659318301886866E-2</c:v>
                </c:pt>
                <c:pt idx="7560">
                  <c:v>1.197156960869228E-2</c:v>
                </c:pt>
                <c:pt idx="7561">
                  <c:v>7.9370014271323217E-3</c:v>
                </c:pt>
                <c:pt idx="7562">
                  <c:v>9.7837917295544325E-3</c:v>
                </c:pt>
                <c:pt idx="7563">
                  <c:v>1.1406685212982933E-2</c:v>
                </c:pt>
                <c:pt idx="7564">
                  <c:v>1.6661341884567464E-2</c:v>
                </c:pt>
                <c:pt idx="7565">
                  <c:v>1.2489466934906969E-2</c:v>
                </c:pt>
                <c:pt idx="7566">
                  <c:v>9.5531048723922034E-3</c:v>
                </c:pt>
                <c:pt idx="7567">
                  <c:v>1.3113011536533648E-2</c:v>
                </c:pt>
                <c:pt idx="7568">
                  <c:v>1.2495703192033311E-2</c:v>
                </c:pt>
                <c:pt idx="7569">
                  <c:v>1.1862488175641173E-2</c:v>
                </c:pt>
                <c:pt idx="7570">
                  <c:v>1.1593287938602844E-2</c:v>
                </c:pt>
                <c:pt idx="7571">
                  <c:v>1.2028893239070125E-2</c:v>
                </c:pt>
                <c:pt idx="7572">
                  <c:v>9.1677999036805131E-3</c:v>
                </c:pt>
                <c:pt idx="7573">
                  <c:v>1.1628969941925638E-2</c:v>
                </c:pt>
                <c:pt idx="7574">
                  <c:v>1.1791965210439785E-2</c:v>
                </c:pt>
                <c:pt idx="7575">
                  <c:v>1.1395728301117064E-2</c:v>
                </c:pt>
                <c:pt idx="7576">
                  <c:v>1.6512739000492133E-2</c:v>
                </c:pt>
                <c:pt idx="7577">
                  <c:v>1.3141284912543506E-2</c:v>
                </c:pt>
                <c:pt idx="7578">
                  <c:v>1.336997975855617E-2</c:v>
                </c:pt>
                <c:pt idx="7579">
                  <c:v>1.0098752911822773E-2</c:v>
                </c:pt>
                <c:pt idx="7580">
                  <c:v>8.7341346023352522E-3</c:v>
                </c:pt>
                <c:pt idx="7581">
                  <c:v>1.4821801664600067E-2</c:v>
                </c:pt>
                <c:pt idx="7582">
                  <c:v>9.6830830709581771E-3</c:v>
                </c:pt>
                <c:pt idx="7583">
                  <c:v>1.145325396641648E-2</c:v>
                </c:pt>
                <c:pt idx="7584">
                  <c:v>1.1682260591661831E-2</c:v>
                </c:pt>
                <c:pt idx="7585">
                  <c:v>1.1635940651720789E-2</c:v>
                </c:pt>
                <c:pt idx="7586">
                  <c:v>1.0995010980778295E-2</c:v>
                </c:pt>
                <c:pt idx="7587">
                  <c:v>1.6116576136519355E-2</c:v>
                </c:pt>
                <c:pt idx="7588">
                  <c:v>1.3088856384857833E-2</c:v>
                </c:pt>
                <c:pt idx="7589">
                  <c:v>1.0113140328670351E-2</c:v>
                </c:pt>
                <c:pt idx="7590">
                  <c:v>1.5329860356611689E-2</c:v>
                </c:pt>
                <c:pt idx="7591">
                  <c:v>1.3528973357411041E-2</c:v>
                </c:pt>
                <c:pt idx="7592">
                  <c:v>9.2105748041281417E-3</c:v>
                </c:pt>
                <c:pt idx="7593">
                  <c:v>1.0579138926408284E-2</c:v>
                </c:pt>
                <c:pt idx="7594">
                  <c:v>1.4536892601753053E-2</c:v>
                </c:pt>
                <c:pt idx="7595">
                  <c:v>1.5687077947029393E-2</c:v>
                </c:pt>
                <c:pt idx="7596">
                  <c:v>1.1781627455832805E-2</c:v>
                </c:pt>
                <c:pt idx="7597">
                  <c:v>9.9907624076288216E-3</c:v>
                </c:pt>
                <c:pt idx="7598">
                  <c:v>9.7207348184704875E-3</c:v>
                </c:pt>
                <c:pt idx="7599">
                  <c:v>1.1649224788069235E-2</c:v>
                </c:pt>
                <c:pt idx="7600">
                  <c:v>1.550995225599263E-2</c:v>
                </c:pt>
                <c:pt idx="7601">
                  <c:v>9.8550477549197869E-3</c:v>
                </c:pt>
                <c:pt idx="7602">
                  <c:v>1.0061529434236821E-2</c:v>
                </c:pt>
                <c:pt idx="7603">
                  <c:v>1.0044722036629861E-2</c:v>
                </c:pt>
                <c:pt idx="7604">
                  <c:v>1.3153716774785105E-2</c:v>
                </c:pt>
                <c:pt idx="7605">
                  <c:v>1.2418644427936989E-2</c:v>
                </c:pt>
                <c:pt idx="7606">
                  <c:v>8.9353847416835195E-3</c:v>
                </c:pt>
                <c:pt idx="7607">
                  <c:v>1.0618981446482939E-2</c:v>
                </c:pt>
                <c:pt idx="7608">
                  <c:v>1.2266214080448907E-2</c:v>
                </c:pt>
                <c:pt idx="7609">
                  <c:v>1.4521580572822268E-2</c:v>
                </c:pt>
                <c:pt idx="7610">
                  <c:v>8.2563192666703419E-3</c:v>
                </c:pt>
                <c:pt idx="7611">
                  <c:v>1.1539186023463467E-2</c:v>
                </c:pt>
                <c:pt idx="7612">
                  <c:v>9.3305044235017752E-3</c:v>
                </c:pt>
                <c:pt idx="7613">
                  <c:v>9.7324341688037833E-3</c:v>
                </c:pt>
                <c:pt idx="7614">
                  <c:v>1.1249670607329213E-2</c:v>
                </c:pt>
                <c:pt idx="7615">
                  <c:v>8.247978457506841E-3</c:v>
                </c:pt>
                <c:pt idx="7616">
                  <c:v>8.79296636636402E-3</c:v>
                </c:pt>
                <c:pt idx="7617">
                  <c:v>1.6056789056247165E-2</c:v>
                </c:pt>
                <c:pt idx="7618">
                  <c:v>7.504469175386351E-3</c:v>
                </c:pt>
                <c:pt idx="7619">
                  <c:v>1.2090610665357153E-2</c:v>
                </c:pt>
                <c:pt idx="7620">
                  <c:v>1.1380473898838133E-2</c:v>
                </c:pt>
                <c:pt idx="7621">
                  <c:v>1.2570444584807598E-2</c:v>
                </c:pt>
                <c:pt idx="7622">
                  <c:v>1.1217996536114348E-2</c:v>
                </c:pt>
                <c:pt idx="7623">
                  <c:v>1.2397959802529964E-2</c:v>
                </c:pt>
                <c:pt idx="7624">
                  <c:v>1.3732779466486876E-2</c:v>
                </c:pt>
                <c:pt idx="7625">
                  <c:v>9.3114033685888116E-3</c:v>
                </c:pt>
                <c:pt idx="7626">
                  <c:v>1.0803610805184554E-2</c:v>
                </c:pt>
                <c:pt idx="7627">
                  <c:v>1.3503384378248098E-2</c:v>
                </c:pt>
                <c:pt idx="7628">
                  <c:v>1.1390408539195302E-2</c:v>
                </c:pt>
                <c:pt idx="7629">
                  <c:v>1.0428525717379261E-2</c:v>
                </c:pt>
                <c:pt idx="7630">
                  <c:v>9.3525287545311534E-3</c:v>
                </c:pt>
                <c:pt idx="7631">
                  <c:v>1.1956766756464935E-2</c:v>
                </c:pt>
                <c:pt idx="7632">
                  <c:v>1.4956222810688116E-2</c:v>
                </c:pt>
                <c:pt idx="7633">
                  <c:v>1.0949059116153542E-2</c:v>
                </c:pt>
                <c:pt idx="7634">
                  <c:v>1.2461836284359115E-2</c:v>
                </c:pt>
                <c:pt idx="7635">
                  <c:v>1.6375772599162348E-2</c:v>
                </c:pt>
                <c:pt idx="7636">
                  <c:v>1.3977431216082241E-2</c:v>
                </c:pt>
                <c:pt idx="7637">
                  <c:v>1.273571821628409E-2</c:v>
                </c:pt>
                <c:pt idx="7638">
                  <c:v>1.270913524381488E-2</c:v>
                </c:pt>
                <c:pt idx="7639">
                  <c:v>1.2720543027236865E-2</c:v>
                </c:pt>
                <c:pt idx="7640">
                  <c:v>1.398964382291867E-2</c:v>
                </c:pt>
                <c:pt idx="7641">
                  <c:v>8.9146111404372341E-3</c:v>
                </c:pt>
                <c:pt idx="7642">
                  <c:v>1.0609168574414537E-2</c:v>
                </c:pt>
                <c:pt idx="7643">
                  <c:v>1.0676200085833134E-2</c:v>
                </c:pt>
                <c:pt idx="7644">
                  <c:v>1.2107165233093322E-2</c:v>
                </c:pt>
                <c:pt idx="7645">
                  <c:v>1.0644547429251396E-2</c:v>
                </c:pt>
                <c:pt idx="7646">
                  <c:v>1.0739502988975863E-2</c:v>
                </c:pt>
                <c:pt idx="7647">
                  <c:v>8.4403905436838903E-3</c:v>
                </c:pt>
                <c:pt idx="7648">
                  <c:v>1.5852651537176483E-2</c:v>
                </c:pt>
                <c:pt idx="7649">
                  <c:v>1.1387817190071578E-2</c:v>
                </c:pt>
                <c:pt idx="7650">
                  <c:v>9.4231211932389886E-3</c:v>
                </c:pt>
                <c:pt idx="7651">
                  <c:v>1.0767419262798995E-2</c:v>
                </c:pt>
                <c:pt idx="7652">
                  <c:v>9.5867807447414816E-3</c:v>
                </c:pt>
                <c:pt idx="7653">
                  <c:v>1.0191827009688098E-2</c:v>
                </c:pt>
                <c:pt idx="7654">
                  <c:v>8.7289572955215507E-3</c:v>
                </c:pt>
                <c:pt idx="7655">
                  <c:v>1.4049041616047191E-2</c:v>
                </c:pt>
                <c:pt idx="7656">
                  <c:v>1.142119337407122E-2</c:v>
                </c:pt>
                <c:pt idx="7657">
                  <c:v>1.0681765212059701E-2</c:v>
                </c:pt>
                <c:pt idx="7658">
                  <c:v>1.3111569801033162E-2</c:v>
                </c:pt>
                <c:pt idx="7659">
                  <c:v>1.458004359378433E-2</c:v>
                </c:pt>
                <c:pt idx="7660">
                  <c:v>9.7504023425193289E-3</c:v>
                </c:pt>
                <c:pt idx="7661">
                  <c:v>1.1736284008299083E-2</c:v>
                </c:pt>
                <c:pt idx="7662">
                  <c:v>1.0712227739365907E-2</c:v>
                </c:pt>
                <c:pt idx="7663">
                  <c:v>1.5079590800531971E-2</c:v>
                </c:pt>
                <c:pt idx="7664">
                  <c:v>1.0325578457858879E-2</c:v>
                </c:pt>
                <c:pt idx="7665">
                  <c:v>1.3746445722971999E-2</c:v>
                </c:pt>
                <c:pt idx="7666">
                  <c:v>1.2452725144453558E-2</c:v>
                </c:pt>
                <c:pt idx="7667">
                  <c:v>8.040641964398916E-3</c:v>
                </c:pt>
                <c:pt idx="7668">
                  <c:v>1.2698653603435505E-2</c:v>
                </c:pt>
                <c:pt idx="7669">
                  <c:v>9.2070402959830398E-3</c:v>
                </c:pt>
                <c:pt idx="7670">
                  <c:v>1.4559094629282026E-2</c:v>
                </c:pt>
                <c:pt idx="7671">
                  <c:v>1.2689453581068608E-2</c:v>
                </c:pt>
                <c:pt idx="7672">
                  <c:v>1.3498453890056187E-2</c:v>
                </c:pt>
                <c:pt idx="7673">
                  <c:v>1.0352459483631513E-2</c:v>
                </c:pt>
                <c:pt idx="7674">
                  <c:v>1.2818339479276733E-2</c:v>
                </c:pt>
                <c:pt idx="7675">
                  <c:v>9.9913586805913598E-3</c:v>
                </c:pt>
                <c:pt idx="7676">
                  <c:v>1.2204504335919918E-2</c:v>
                </c:pt>
                <c:pt idx="7677">
                  <c:v>1.0788822643407249E-2</c:v>
                </c:pt>
                <c:pt idx="7678">
                  <c:v>1.0861147019965533E-2</c:v>
                </c:pt>
                <c:pt idx="7679">
                  <c:v>9.0124871548822039E-3</c:v>
                </c:pt>
                <c:pt idx="7680">
                  <c:v>9.1858211793952264E-3</c:v>
                </c:pt>
                <c:pt idx="7681">
                  <c:v>9.4321035583769686E-3</c:v>
                </c:pt>
                <c:pt idx="7682">
                  <c:v>9.3166463698879272E-3</c:v>
                </c:pt>
                <c:pt idx="7683">
                  <c:v>1.3240282241136384E-2</c:v>
                </c:pt>
                <c:pt idx="7684">
                  <c:v>1.0482912275850471E-2</c:v>
                </c:pt>
                <c:pt idx="7685">
                  <c:v>1.1848020920994774E-2</c:v>
                </c:pt>
                <c:pt idx="7686">
                  <c:v>1.0542718728680876E-2</c:v>
                </c:pt>
                <c:pt idx="7687">
                  <c:v>1.0249195408631909E-2</c:v>
                </c:pt>
                <c:pt idx="7688">
                  <c:v>1.2396536997741544E-2</c:v>
                </c:pt>
                <c:pt idx="7689">
                  <c:v>1.246647316819074E-2</c:v>
                </c:pt>
                <c:pt idx="7690">
                  <c:v>1.2389569423156003E-2</c:v>
                </c:pt>
                <c:pt idx="7691">
                  <c:v>1.1392070942177914E-2</c:v>
                </c:pt>
                <c:pt idx="7692">
                  <c:v>1.4252175708527883E-2</c:v>
                </c:pt>
                <c:pt idx="7693">
                  <c:v>1.2290117822120597E-2</c:v>
                </c:pt>
                <c:pt idx="7694">
                  <c:v>1.1033436122874992E-2</c:v>
                </c:pt>
                <c:pt idx="7695">
                  <c:v>1.5134383266781784E-2</c:v>
                </c:pt>
                <c:pt idx="7696">
                  <c:v>8.4452704313231104E-3</c:v>
                </c:pt>
                <c:pt idx="7697">
                  <c:v>1.03542841286934E-2</c:v>
                </c:pt>
                <c:pt idx="7698">
                  <c:v>9.923033405412637E-3</c:v>
                </c:pt>
                <c:pt idx="7699">
                  <c:v>1.0949015710543193E-2</c:v>
                </c:pt>
                <c:pt idx="7700">
                  <c:v>1.2238390643751438E-2</c:v>
                </c:pt>
                <c:pt idx="7701">
                  <c:v>1.4152828419502037E-2</c:v>
                </c:pt>
                <c:pt idx="7702">
                  <c:v>1.2882894569599899E-2</c:v>
                </c:pt>
                <c:pt idx="7703">
                  <c:v>1.4306990763070692E-2</c:v>
                </c:pt>
                <c:pt idx="7704">
                  <c:v>1.3118353347928218E-2</c:v>
                </c:pt>
                <c:pt idx="7705">
                  <c:v>1.1145619639718399E-2</c:v>
                </c:pt>
                <c:pt idx="7706">
                  <c:v>9.1737043528531247E-3</c:v>
                </c:pt>
                <c:pt idx="7707">
                  <c:v>1.1167027705742173E-2</c:v>
                </c:pt>
                <c:pt idx="7708">
                  <c:v>9.4218831834551459E-3</c:v>
                </c:pt>
                <c:pt idx="7709">
                  <c:v>1.2865729718239254E-2</c:v>
                </c:pt>
                <c:pt idx="7710">
                  <c:v>9.409291353068264E-3</c:v>
                </c:pt>
                <c:pt idx="7711">
                  <c:v>1.0496689363883958E-2</c:v>
                </c:pt>
                <c:pt idx="7712">
                  <c:v>1.1313418939052191E-2</c:v>
                </c:pt>
                <c:pt idx="7713">
                  <c:v>1.0001681344946205E-2</c:v>
                </c:pt>
                <c:pt idx="7714">
                  <c:v>1.1777365969998276E-2</c:v>
                </c:pt>
                <c:pt idx="7715">
                  <c:v>1.275126630712612E-2</c:v>
                </c:pt>
                <c:pt idx="7716">
                  <c:v>1.2504838685261302E-2</c:v>
                </c:pt>
                <c:pt idx="7717">
                  <c:v>1.2932217990688218E-2</c:v>
                </c:pt>
                <c:pt idx="7718">
                  <c:v>1.1503267432126384E-2</c:v>
                </c:pt>
                <c:pt idx="7719">
                  <c:v>1.0527204608577086E-2</c:v>
                </c:pt>
                <c:pt idx="7720">
                  <c:v>1.3469384641295254E-2</c:v>
                </c:pt>
                <c:pt idx="7721">
                  <c:v>1.2200805201926396E-2</c:v>
                </c:pt>
                <c:pt idx="7722">
                  <c:v>9.8265490503557755E-3</c:v>
                </c:pt>
                <c:pt idx="7723">
                  <c:v>1.3919687923636541E-2</c:v>
                </c:pt>
                <c:pt idx="7724">
                  <c:v>1.1460067742761473E-2</c:v>
                </c:pt>
                <c:pt idx="7725">
                  <c:v>1.364599517348686E-2</c:v>
                </c:pt>
                <c:pt idx="7726">
                  <c:v>1.1220767106416535E-2</c:v>
                </c:pt>
                <c:pt idx="7727">
                  <c:v>1.1403554128245117E-2</c:v>
                </c:pt>
                <c:pt idx="7728">
                  <c:v>1.31628057270252E-2</c:v>
                </c:pt>
                <c:pt idx="7729">
                  <c:v>1.228340324048148E-2</c:v>
                </c:pt>
                <c:pt idx="7730">
                  <c:v>1.0454216748200519E-2</c:v>
                </c:pt>
                <c:pt idx="7731">
                  <c:v>1.3138041079519436E-2</c:v>
                </c:pt>
                <c:pt idx="7732">
                  <c:v>8.595669275925746E-3</c:v>
                </c:pt>
                <c:pt idx="7733">
                  <c:v>1.343979150535303E-2</c:v>
                </c:pt>
                <c:pt idx="7734">
                  <c:v>1.4048787463103854E-2</c:v>
                </c:pt>
                <c:pt idx="7735">
                  <c:v>1.2797070148287078E-2</c:v>
                </c:pt>
                <c:pt idx="7736">
                  <c:v>1.0522706827477945E-2</c:v>
                </c:pt>
                <c:pt idx="7737">
                  <c:v>7.9992531379090639E-3</c:v>
                </c:pt>
                <c:pt idx="7738">
                  <c:v>1.4432608779959758E-2</c:v>
                </c:pt>
                <c:pt idx="7739">
                  <c:v>1.2308791810907289E-2</c:v>
                </c:pt>
                <c:pt idx="7740">
                  <c:v>9.0167885660863371E-3</c:v>
                </c:pt>
                <c:pt idx="7741">
                  <c:v>1.3481178140845628E-2</c:v>
                </c:pt>
                <c:pt idx="7742">
                  <c:v>1.0522938599081351E-2</c:v>
                </c:pt>
                <c:pt idx="7743">
                  <c:v>1.2841235279422918E-2</c:v>
                </c:pt>
                <c:pt idx="7744">
                  <c:v>1.1225142805172757E-2</c:v>
                </c:pt>
                <c:pt idx="7745">
                  <c:v>1.3415150904212195E-2</c:v>
                </c:pt>
                <c:pt idx="7746">
                  <c:v>9.3983645029635347E-3</c:v>
                </c:pt>
                <c:pt idx="7747">
                  <c:v>9.8333125139163126E-3</c:v>
                </c:pt>
                <c:pt idx="7748">
                  <c:v>1.3505962914209042E-2</c:v>
                </c:pt>
                <c:pt idx="7749">
                  <c:v>1.0186604746302388E-2</c:v>
                </c:pt>
                <c:pt idx="7750">
                  <c:v>1.2947613587317726E-2</c:v>
                </c:pt>
                <c:pt idx="7751">
                  <c:v>8.8809544785995887E-3</c:v>
                </c:pt>
                <c:pt idx="7752">
                  <c:v>1.0924922555414851E-2</c:v>
                </c:pt>
                <c:pt idx="7753">
                  <c:v>1.1723213560438218E-2</c:v>
                </c:pt>
                <c:pt idx="7754">
                  <c:v>1.2168503727203003E-2</c:v>
                </c:pt>
                <c:pt idx="7755">
                  <c:v>1.2391637260822177E-2</c:v>
                </c:pt>
                <c:pt idx="7756">
                  <c:v>1.2318836769695873E-2</c:v>
                </c:pt>
                <c:pt idx="7757">
                  <c:v>9.442212019686886E-3</c:v>
                </c:pt>
                <c:pt idx="7758">
                  <c:v>1.5259922569032594E-2</c:v>
                </c:pt>
                <c:pt idx="7759">
                  <c:v>1.0932257024984401E-2</c:v>
                </c:pt>
                <c:pt idx="7760">
                  <c:v>1.1714886471409707E-2</c:v>
                </c:pt>
                <c:pt idx="7761">
                  <c:v>1.6690826686018456E-2</c:v>
                </c:pt>
                <c:pt idx="7762">
                  <c:v>1.4619142748261125E-2</c:v>
                </c:pt>
                <c:pt idx="7763">
                  <c:v>1.3246912637416413E-2</c:v>
                </c:pt>
                <c:pt idx="7764">
                  <c:v>7.4072909975253709E-3</c:v>
                </c:pt>
                <c:pt idx="7765">
                  <c:v>1.3599165034816596E-2</c:v>
                </c:pt>
                <c:pt idx="7766">
                  <c:v>1.2743965889053037E-2</c:v>
                </c:pt>
                <c:pt idx="7767">
                  <c:v>9.6449503489552182E-3</c:v>
                </c:pt>
                <c:pt idx="7768">
                  <c:v>7.7413679948763236E-3</c:v>
                </c:pt>
                <c:pt idx="7769">
                  <c:v>1.1543127197066365E-2</c:v>
                </c:pt>
                <c:pt idx="7770">
                  <c:v>1.5808287863041826E-2</c:v>
                </c:pt>
                <c:pt idx="7771">
                  <c:v>9.2676637041655893E-3</c:v>
                </c:pt>
                <c:pt idx="7772">
                  <c:v>1.1543521389686326E-2</c:v>
                </c:pt>
                <c:pt idx="7773">
                  <c:v>1.1788941796656648E-2</c:v>
                </c:pt>
                <c:pt idx="7774">
                  <c:v>1.1865088607088995E-2</c:v>
                </c:pt>
                <c:pt idx="7775">
                  <c:v>9.6852456215561159E-3</c:v>
                </c:pt>
                <c:pt idx="7776">
                  <c:v>8.7292073683152577E-3</c:v>
                </c:pt>
                <c:pt idx="7777">
                  <c:v>1.1011386619452572E-2</c:v>
                </c:pt>
                <c:pt idx="7778">
                  <c:v>1.1785836265794769E-2</c:v>
                </c:pt>
                <c:pt idx="7779">
                  <c:v>1.1333698220612868E-2</c:v>
                </c:pt>
                <c:pt idx="7780">
                  <c:v>1.2652882469183419E-2</c:v>
                </c:pt>
                <c:pt idx="7781">
                  <c:v>1.010414773186618E-2</c:v>
                </c:pt>
                <c:pt idx="7782">
                  <c:v>9.4567536919227379E-3</c:v>
                </c:pt>
                <c:pt idx="7783">
                  <c:v>9.1044653494054602E-3</c:v>
                </c:pt>
                <c:pt idx="7784">
                  <c:v>1.4198800954309766E-2</c:v>
                </c:pt>
                <c:pt idx="7785">
                  <c:v>9.1162298503504827E-3</c:v>
                </c:pt>
                <c:pt idx="7786">
                  <c:v>1.6055881541188435E-2</c:v>
                </c:pt>
                <c:pt idx="7787">
                  <c:v>1.1543914047009534E-2</c:v>
                </c:pt>
                <c:pt idx="7788">
                  <c:v>7.957277151800812E-3</c:v>
                </c:pt>
                <c:pt idx="7789">
                  <c:v>1.0898172626419516E-2</c:v>
                </c:pt>
                <c:pt idx="7790">
                  <c:v>9.7909320852678124E-3</c:v>
                </c:pt>
                <c:pt idx="7791">
                  <c:v>1.4688733156497208E-2</c:v>
                </c:pt>
                <c:pt idx="7792">
                  <c:v>1.036364268586672E-2</c:v>
                </c:pt>
                <c:pt idx="7793">
                  <c:v>1.3536409941391133E-2</c:v>
                </c:pt>
                <c:pt idx="7794">
                  <c:v>1.0905857288598081E-2</c:v>
                </c:pt>
                <c:pt idx="7795">
                  <c:v>1.1443704018631909E-2</c:v>
                </c:pt>
                <c:pt idx="7796">
                  <c:v>1.2350400876800687E-2</c:v>
                </c:pt>
                <c:pt idx="7797">
                  <c:v>1.0165053478592269E-2</c:v>
                </c:pt>
                <c:pt idx="7798">
                  <c:v>1.8483726345582995E-2</c:v>
                </c:pt>
                <c:pt idx="7799">
                  <c:v>9.4932020782094485E-3</c:v>
                </c:pt>
                <c:pt idx="7800">
                  <c:v>1.0248680204360183E-2</c:v>
                </c:pt>
                <c:pt idx="7801">
                  <c:v>1.0961451957993149E-2</c:v>
                </c:pt>
                <c:pt idx="7802">
                  <c:v>8.7580828770303654E-3</c:v>
                </c:pt>
                <c:pt idx="7803">
                  <c:v>1.24544420692027E-2</c:v>
                </c:pt>
                <c:pt idx="7804">
                  <c:v>9.8726500292560474E-3</c:v>
                </c:pt>
                <c:pt idx="7805">
                  <c:v>9.6027910439169303E-3</c:v>
                </c:pt>
                <c:pt idx="7806">
                  <c:v>1.1902015285557947E-2</c:v>
                </c:pt>
                <c:pt idx="7807">
                  <c:v>1.3876778592920721E-2</c:v>
                </c:pt>
                <c:pt idx="7808">
                  <c:v>1.4891509799446095E-2</c:v>
                </c:pt>
                <c:pt idx="7809">
                  <c:v>1.2101247132510084E-2</c:v>
                </c:pt>
                <c:pt idx="7810">
                  <c:v>1.0386034265686704E-2</c:v>
                </c:pt>
                <c:pt idx="7811">
                  <c:v>1.2923686124535295E-2</c:v>
                </c:pt>
                <c:pt idx="7812">
                  <c:v>9.8241232407751834E-3</c:v>
                </c:pt>
                <c:pt idx="7813">
                  <c:v>8.9256114565952355E-3</c:v>
                </c:pt>
                <c:pt idx="7814">
                  <c:v>9.9410374939626484E-3</c:v>
                </c:pt>
                <c:pt idx="7815">
                  <c:v>1.2636196913716365E-2</c:v>
                </c:pt>
                <c:pt idx="7816">
                  <c:v>9.3808651329358849E-3</c:v>
                </c:pt>
                <c:pt idx="7817">
                  <c:v>1.0691091352117625E-2</c:v>
                </c:pt>
                <c:pt idx="7818">
                  <c:v>1.33568265834892E-2</c:v>
                </c:pt>
                <c:pt idx="7819">
                  <c:v>1.2457876249836485E-2</c:v>
                </c:pt>
                <c:pt idx="7820">
                  <c:v>1.2796623620670137E-2</c:v>
                </c:pt>
                <c:pt idx="7821">
                  <c:v>1.115983142512297E-2</c:v>
                </c:pt>
                <c:pt idx="7822">
                  <c:v>1.3156009791637195E-2</c:v>
                </c:pt>
                <c:pt idx="7823">
                  <c:v>9.9741766329475741E-3</c:v>
                </c:pt>
                <c:pt idx="7824">
                  <c:v>1.2044925143529825E-2</c:v>
                </c:pt>
                <c:pt idx="7825">
                  <c:v>9.2410115496661394E-3</c:v>
                </c:pt>
                <c:pt idx="7826">
                  <c:v>9.8786476608930356E-3</c:v>
                </c:pt>
                <c:pt idx="7827">
                  <c:v>9.9927187450863774E-3</c:v>
                </c:pt>
                <c:pt idx="7828">
                  <c:v>8.9350827498686121E-3</c:v>
                </c:pt>
                <c:pt idx="7829">
                  <c:v>1.2102094360289839E-2</c:v>
                </c:pt>
                <c:pt idx="7830">
                  <c:v>1.0472998790148185E-2</c:v>
                </c:pt>
                <c:pt idx="7831">
                  <c:v>1.1991939390248226E-2</c:v>
                </c:pt>
                <c:pt idx="7832">
                  <c:v>9.357375247729019E-3</c:v>
                </c:pt>
                <c:pt idx="7833">
                  <c:v>1.0426008225733922E-2</c:v>
                </c:pt>
                <c:pt idx="7834">
                  <c:v>1.3630417031441413E-2</c:v>
                </c:pt>
                <c:pt idx="7835">
                  <c:v>7.7401776809191787E-3</c:v>
                </c:pt>
                <c:pt idx="7836">
                  <c:v>1.1775890095895096E-2</c:v>
                </c:pt>
                <c:pt idx="7837">
                  <c:v>1.0050445857282746E-2</c:v>
                </c:pt>
                <c:pt idx="7838">
                  <c:v>1.2035743429514448E-2</c:v>
                </c:pt>
                <c:pt idx="7839">
                  <c:v>1.0533263120730529E-2</c:v>
                </c:pt>
                <c:pt idx="7840">
                  <c:v>1.1287892245159538E-2</c:v>
                </c:pt>
                <c:pt idx="7841">
                  <c:v>1.2768516370445716E-2</c:v>
                </c:pt>
                <c:pt idx="7842">
                  <c:v>1.242519477719794E-2</c:v>
                </c:pt>
                <c:pt idx="7843">
                  <c:v>1.6313944154545686E-2</c:v>
                </c:pt>
                <c:pt idx="7844">
                  <c:v>1.1544312976436061E-2</c:v>
                </c:pt>
                <c:pt idx="7845">
                  <c:v>1.2095434175111365E-2</c:v>
                </c:pt>
                <c:pt idx="7846">
                  <c:v>1.0441980674924363E-2</c:v>
                </c:pt>
                <c:pt idx="7847">
                  <c:v>1.0764092871246638E-2</c:v>
                </c:pt>
                <c:pt idx="7848">
                  <c:v>1.169381250334618E-2</c:v>
                </c:pt>
                <c:pt idx="7849">
                  <c:v>1.2279293137205874E-2</c:v>
                </c:pt>
                <c:pt idx="7850">
                  <c:v>1.2718451867395219E-2</c:v>
                </c:pt>
                <c:pt idx="7851">
                  <c:v>1.2468146703754041E-2</c:v>
                </c:pt>
                <c:pt idx="7852">
                  <c:v>8.6674419676223673E-3</c:v>
                </c:pt>
                <c:pt idx="7853">
                  <c:v>9.9924674645182968E-3</c:v>
                </c:pt>
                <c:pt idx="7854">
                  <c:v>1.1125461358829077E-2</c:v>
                </c:pt>
                <c:pt idx="7855">
                  <c:v>1.1681293040312964E-2</c:v>
                </c:pt>
                <c:pt idx="7856">
                  <c:v>1.4766752800043772E-2</c:v>
                </c:pt>
                <c:pt idx="7857">
                  <c:v>1.1477197059808011E-2</c:v>
                </c:pt>
                <c:pt idx="7858">
                  <c:v>1.0123631723190935E-2</c:v>
                </c:pt>
                <c:pt idx="7859">
                  <c:v>9.9525451098555102E-3</c:v>
                </c:pt>
                <c:pt idx="7860">
                  <c:v>1.1500345405780115E-2</c:v>
                </c:pt>
                <c:pt idx="7861">
                  <c:v>1.0803523145975751E-2</c:v>
                </c:pt>
                <c:pt idx="7862">
                  <c:v>9.269822572246865E-3</c:v>
                </c:pt>
                <c:pt idx="7863">
                  <c:v>1.1745247372671637E-2</c:v>
                </c:pt>
                <c:pt idx="7864">
                  <c:v>1.0193581325366354E-2</c:v>
                </c:pt>
                <c:pt idx="7865">
                  <c:v>8.3915380448348013E-3</c:v>
                </c:pt>
                <c:pt idx="7866">
                  <c:v>1.4268070506201049E-2</c:v>
                </c:pt>
                <c:pt idx="7867">
                  <c:v>1.3114160768664384E-2</c:v>
                </c:pt>
                <c:pt idx="7868">
                  <c:v>1.2289642031936552E-2</c:v>
                </c:pt>
                <c:pt idx="7869">
                  <c:v>1.2314075443106328E-2</c:v>
                </c:pt>
                <c:pt idx="7870">
                  <c:v>1.2660421595959832E-2</c:v>
                </c:pt>
                <c:pt idx="7871">
                  <c:v>1.2777979502377027E-2</c:v>
                </c:pt>
                <c:pt idx="7872">
                  <c:v>1.0454731987336954E-2</c:v>
                </c:pt>
                <c:pt idx="7873">
                  <c:v>1.4346388127179732E-2</c:v>
                </c:pt>
                <c:pt idx="7874">
                  <c:v>1.0681828163036543E-2</c:v>
                </c:pt>
                <c:pt idx="7875">
                  <c:v>1.7410127739164814E-2</c:v>
                </c:pt>
                <c:pt idx="7876">
                  <c:v>1.0414920066601668E-2</c:v>
                </c:pt>
                <c:pt idx="7877">
                  <c:v>1.2919226788401321E-2</c:v>
                </c:pt>
                <c:pt idx="7878">
                  <c:v>1.1294779275234925E-2</c:v>
                </c:pt>
                <c:pt idx="7879">
                  <c:v>1.3879362746503639E-2</c:v>
                </c:pt>
                <c:pt idx="7880">
                  <c:v>9.6631059088323583E-3</c:v>
                </c:pt>
                <c:pt idx="7881">
                  <c:v>8.38712432763517E-3</c:v>
                </c:pt>
                <c:pt idx="7882">
                  <c:v>1.0418694643558567E-2</c:v>
                </c:pt>
                <c:pt idx="7883">
                  <c:v>1.4158848428468594E-2</c:v>
                </c:pt>
                <c:pt idx="7884">
                  <c:v>1.1786064192007286E-2</c:v>
                </c:pt>
                <c:pt idx="7885">
                  <c:v>1.148368281833665E-2</c:v>
                </c:pt>
                <c:pt idx="7886">
                  <c:v>1.0329473330429032E-2</c:v>
                </c:pt>
                <c:pt idx="7887">
                  <c:v>1.3321812964238542E-2</c:v>
                </c:pt>
                <c:pt idx="7888">
                  <c:v>1.2836620893886057E-2</c:v>
                </c:pt>
                <c:pt idx="7889">
                  <c:v>1.3955140016316822E-2</c:v>
                </c:pt>
                <c:pt idx="7890">
                  <c:v>8.9604084559881027E-3</c:v>
                </c:pt>
                <c:pt idx="7891">
                  <c:v>1.0401296486011794E-2</c:v>
                </c:pt>
                <c:pt idx="7892">
                  <c:v>1.0155225722123412E-2</c:v>
                </c:pt>
                <c:pt idx="7893">
                  <c:v>1.3682542220316419E-2</c:v>
                </c:pt>
                <c:pt idx="7894">
                  <c:v>1.2590349700361053E-2</c:v>
                </c:pt>
                <c:pt idx="7895">
                  <c:v>1.2197058924204873E-2</c:v>
                </c:pt>
                <c:pt idx="7896">
                  <c:v>1.256755252316091E-2</c:v>
                </c:pt>
                <c:pt idx="7897">
                  <c:v>1.3136549432690487E-2</c:v>
                </c:pt>
                <c:pt idx="7898">
                  <c:v>1.4193367790359112E-2</c:v>
                </c:pt>
                <c:pt idx="7899">
                  <c:v>1.0616555072053791E-2</c:v>
                </c:pt>
                <c:pt idx="7900">
                  <c:v>1.1757086787197148E-2</c:v>
                </c:pt>
                <c:pt idx="7901">
                  <c:v>1.525574507784571E-2</c:v>
                </c:pt>
                <c:pt idx="7902">
                  <c:v>1.1475199167757053E-2</c:v>
                </c:pt>
                <c:pt idx="7903">
                  <c:v>1.2818461538714427E-2</c:v>
                </c:pt>
                <c:pt idx="7904">
                  <c:v>1.1743257471739732E-2</c:v>
                </c:pt>
                <c:pt idx="7905">
                  <c:v>9.0331073514700669E-3</c:v>
                </c:pt>
                <c:pt idx="7906">
                  <c:v>1.1324937908035508E-2</c:v>
                </c:pt>
                <c:pt idx="7907">
                  <c:v>1.066459949789382E-2</c:v>
                </c:pt>
                <c:pt idx="7908">
                  <c:v>1.293048171439598E-2</c:v>
                </c:pt>
                <c:pt idx="7909">
                  <c:v>1.0286312619584547E-2</c:v>
                </c:pt>
                <c:pt idx="7910">
                  <c:v>1.0773394558613368E-2</c:v>
                </c:pt>
                <c:pt idx="7911">
                  <c:v>7.3802902810570737E-3</c:v>
                </c:pt>
                <c:pt idx="7912">
                  <c:v>1.2640993229546118E-2</c:v>
                </c:pt>
                <c:pt idx="7913">
                  <c:v>1.08188267984018E-2</c:v>
                </c:pt>
                <c:pt idx="7914">
                  <c:v>1.3795799426146241E-2</c:v>
                </c:pt>
                <c:pt idx="7915">
                  <c:v>1.1754482964229046E-2</c:v>
                </c:pt>
                <c:pt idx="7916">
                  <c:v>9.0179785171839808E-3</c:v>
                </c:pt>
                <c:pt idx="7917">
                  <c:v>1.0944572884826982E-2</c:v>
                </c:pt>
                <c:pt idx="7918">
                  <c:v>7.6311802400826642E-3</c:v>
                </c:pt>
                <c:pt idx="7919">
                  <c:v>1.5576332154924401E-2</c:v>
                </c:pt>
                <c:pt idx="7920">
                  <c:v>8.6623914085701692E-3</c:v>
                </c:pt>
                <c:pt idx="7921">
                  <c:v>1.2210272767565797E-2</c:v>
                </c:pt>
                <c:pt idx="7922">
                  <c:v>9.1222052987561669E-3</c:v>
                </c:pt>
                <c:pt idx="7923">
                  <c:v>1.3134324096007106E-2</c:v>
                </c:pt>
                <c:pt idx="7924">
                  <c:v>9.4583064028149998E-3</c:v>
                </c:pt>
                <c:pt idx="7925">
                  <c:v>1.1594524650045518E-2</c:v>
                </c:pt>
                <c:pt idx="7926">
                  <c:v>1.2009654083157189E-2</c:v>
                </c:pt>
                <c:pt idx="7927">
                  <c:v>1.2580795829416907E-2</c:v>
                </c:pt>
                <c:pt idx="7928">
                  <c:v>9.6388922790718815E-3</c:v>
                </c:pt>
                <c:pt idx="7929">
                  <c:v>1.3595365017889455E-2</c:v>
                </c:pt>
                <c:pt idx="7930">
                  <c:v>1.2176356575173556E-2</c:v>
                </c:pt>
                <c:pt idx="7931">
                  <c:v>1.3322686601462902E-2</c:v>
                </c:pt>
                <c:pt idx="7932">
                  <c:v>1.340134546558795E-2</c:v>
                </c:pt>
                <c:pt idx="7933">
                  <c:v>1.1716054174875205E-2</c:v>
                </c:pt>
                <c:pt idx="7934">
                  <c:v>1.3171537249653146E-2</c:v>
                </c:pt>
                <c:pt idx="7935">
                  <c:v>1.2301595426160794E-2</c:v>
                </c:pt>
                <c:pt idx="7936">
                  <c:v>1.1013816342809565E-2</c:v>
                </c:pt>
                <c:pt idx="7937">
                  <c:v>1.2160062258832403E-2</c:v>
                </c:pt>
                <c:pt idx="7938">
                  <c:v>9.4038921592631344E-3</c:v>
                </c:pt>
                <c:pt idx="7939">
                  <c:v>7.9766036050646534E-3</c:v>
                </c:pt>
                <c:pt idx="7940">
                  <c:v>1.2584941328165089E-2</c:v>
                </c:pt>
                <c:pt idx="7941">
                  <c:v>1.3456843704931463E-2</c:v>
                </c:pt>
                <c:pt idx="7942">
                  <c:v>1.1538872307095957E-2</c:v>
                </c:pt>
                <c:pt idx="7943">
                  <c:v>1.4780154822367306E-2</c:v>
                </c:pt>
                <c:pt idx="7944">
                  <c:v>1.0676723659903251E-2</c:v>
                </c:pt>
                <c:pt idx="7945">
                  <c:v>1.2842774734641715E-2</c:v>
                </c:pt>
                <c:pt idx="7946">
                  <c:v>1.1918300700344185E-2</c:v>
                </c:pt>
                <c:pt idx="7947">
                  <c:v>1.0541786764194486E-2</c:v>
                </c:pt>
                <c:pt idx="7948">
                  <c:v>8.5906548009879249E-3</c:v>
                </c:pt>
                <c:pt idx="7949">
                  <c:v>1.1609159682680985E-2</c:v>
                </c:pt>
                <c:pt idx="7950">
                  <c:v>9.6989775690472825E-3</c:v>
                </c:pt>
                <c:pt idx="7951">
                  <c:v>1.3854726006645076E-2</c:v>
                </c:pt>
                <c:pt idx="7952">
                  <c:v>7.6737529336033655E-3</c:v>
                </c:pt>
                <c:pt idx="7953">
                  <c:v>1.1340175020117183E-2</c:v>
                </c:pt>
                <c:pt idx="7954">
                  <c:v>1.1465555470156969E-2</c:v>
                </c:pt>
                <c:pt idx="7955">
                  <c:v>1.0852845580752508E-2</c:v>
                </c:pt>
                <c:pt idx="7956">
                  <c:v>1.4394153187780881E-2</c:v>
                </c:pt>
                <c:pt idx="7957">
                  <c:v>9.3300485553615507E-3</c:v>
                </c:pt>
                <c:pt idx="7958">
                  <c:v>1.2132871577816057E-2</c:v>
                </c:pt>
                <c:pt idx="7959">
                  <c:v>1.3438604596866088E-2</c:v>
                </c:pt>
                <c:pt idx="7960">
                  <c:v>9.9643256621906456E-3</c:v>
                </c:pt>
                <c:pt idx="7961">
                  <c:v>1.0414910727444739E-2</c:v>
                </c:pt>
                <c:pt idx="7962">
                  <c:v>1.3670155973817759E-2</c:v>
                </c:pt>
                <c:pt idx="7963">
                  <c:v>8.7254479595266898E-3</c:v>
                </c:pt>
                <c:pt idx="7964">
                  <c:v>1.2473600063207387E-2</c:v>
                </c:pt>
                <c:pt idx="7965">
                  <c:v>1.0076825767091648E-2</c:v>
                </c:pt>
                <c:pt idx="7966">
                  <c:v>1.2122161728094464E-2</c:v>
                </c:pt>
                <c:pt idx="7967">
                  <c:v>1.2701478329844008E-2</c:v>
                </c:pt>
                <c:pt idx="7968">
                  <c:v>1.1966336887352758E-2</c:v>
                </c:pt>
                <c:pt idx="7969">
                  <c:v>1.3276056238376386E-2</c:v>
                </c:pt>
                <c:pt idx="7970">
                  <c:v>1.2840458843682099E-2</c:v>
                </c:pt>
                <c:pt idx="7971">
                  <c:v>1.2761476073028145E-2</c:v>
                </c:pt>
                <c:pt idx="7972">
                  <c:v>1.373753477260202E-2</c:v>
                </c:pt>
                <c:pt idx="7973">
                  <c:v>8.10996808467997E-3</c:v>
                </c:pt>
                <c:pt idx="7974">
                  <c:v>1.0954867313049317E-2</c:v>
                </c:pt>
                <c:pt idx="7975">
                  <c:v>1.4444684131205468E-2</c:v>
                </c:pt>
                <c:pt idx="7976">
                  <c:v>1.0729667336504611E-2</c:v>
                </c:pt>
                <c:pt idx="7977">
                  <c:v>9.1260746988989887E-3</c:v>
                </c:pt>
                <c:pt idx="7978">
                  <c:v>1.3032070545315575E-2</c:v>
                </c:pt>
                <c:pt idx="7979">
                  <c:v>1.2209439389486662E-2</c:v>
                </c:pt>
                <c:pt idx="7980">
                  <c:v>1.3296546083935367E-2</c:v>
                </c:pt>
                <c:pt idx="7981">
                  <c:v>8.7292335049176609E-3</c:v>
                </c:pt>
                <c:pt idx="7982">
                  <c:v>8.3510783662858745E-3</c:v>
                </c:pt>
                <c:pt idx="7983">
                  <c:v>1.0277759967315454E-2</c:v>
                </c:pt>
                <c:pt idx="7984">
                  <c:v>1.0265555883611076E-2</c:v>
                </c:pt>
                <c:pt idx="7985">
                  <c:v>9.7699009091041927E-3</c:v>
                </c:pt>
                <c:pt idx="7986">
                  <c:v>1.1598629492061334E-2</c:v>
                </c:pt>
                <c:pt idx="7987">
                  <c:v>8.7183234454639904E-3</c:v>
                </c:pt>
                <c:pt idx="7988">
                  <c:v>1.5446720770610645E-2</c:v>
                </c:pt>
                <c:pt idx="7989">
                  <c:v>1.5079302459945983E-2</c:v>
                </c:pt>
                <c:pt idx="7990">
                  <c:v>1.4119744370493119E-2</c:v>
                </c:pt>
                <c:pt idx="7991">
                  <c:v>8.6505077234202039E-3</c:v>
                </c:pt>
                <c:pt idx="7992">
                  <c:v>1.1102586581924643E-2</c:v>
                </c:pt>
                <c:pt idx="7993">
                  <c:v>1.5129071302217877E-2</c:v>
                </c:pt>
                <c:pt idx="7994">
                  <c:v>1.313334418145538E-2</c:v>
                </c:pt>
                <c:pt idx="7995">
                  <c:v>1.5318157935907427E-2</c:v>
                </c:pt>
                <c:pt idx="7996">
                  <c:v>9.8231496128493908E-3</c:v>
                </c:pt>
                <c:pt idx="7997">
                  <c:v>1.0669950740577392E-2</c:v>
                </c:pt>
                <c:pt idx="7998">
                  <c:v>9.1825394923573094E-3</c:v>
                </c:pt>
                <c:pt idx="7999">
                  <c:v>1.4727616312650224E-2</c:v>
                </c:pt>
                <c:pt idx="8000">
                  <c:v>1.062404521292741E-2</c:v>
                </c:pt>
                <c:pt idx="8001">
                  <c:v>9.9220369086579999E-3</c:v>
                </c:pt>
                <c:pt idx="8002">
                  <c:v>1.3177051340343771E-2</c:v>
                </c:pt>
                <c:pt idx="8003">
                  <c:v>1.0499317932191995E-2</c:v>
                </c:pt>
                <c:pt idx="8004">
                  <c:v>1.0160124887157812E-2</c:v>
                </c:pt>
                <c:pt idx="8005">
                  <c:v>1.150129930987227E-2</c:v>
                </c:pt>
                <c:pt idx="8006">
                  <c:v>6.418410452560681E-3</c:v>
                </c:pt>
                <c:pt idx="8007">
                  <c:v>1.1116613701018518E-2</c:v>
                </c:pt>
                <c:pt idx="8008">
                  <c:v>1.5260867220780983E-2</c:v>
                </c:pt>
                <c:pt idx="8009">
                  <c:v>1.176455021461472E-2</c:v>
                </c:pt>
                <c:pt idx="8010">
                  <c:v>1.0016632317163201E-2</c:v>
                </c:pt>
                <c:pt idx="8011">
                  <c:v>9.5931667402239674E-3</c:v>
                </c:pt>
                <c:pt idx="8012">
                  <c:v>1.2141264086968079E-2</c:v>
                </c:pt>
                <c:pt idx="8013">
                  <c:v>1.0433399503919432E-2</c:v>
                </c:pt>
                <c:pt idx="8014">
                  <c:v>1.3243846170059033E-2</c:v>
                </c:pt>
                <c:pt idx="8015">
                  <c:v>1.6503580614310832E-2</c:v>
                </c:pt>
                <c:pt idx="8016">
                  <c:v>1.5179401374378933E-2</c:v>
                </c:pt>
                <c:pt idx="8017">
                  <c:v>1.0424710597361955E-2</c:v>
                </c:pt>
                <c:pt idx="8018">
                  <c:v>1.6681929893640771E-2</c:v>
                </c:pt>
                <c:pt idx="8019">
                  <c:v>1.2553172749854583E-2</c:v>
                </c:pt>
                <c:pt idx="8020">
                  <c:v>1.2457801762171082E-2</c:v>
                </c:pt>
                <c:pt idx="8021">
                  <c:v>8.2407615874289363E-3</c:v>
                </c:pt>
                <c:pt idx="8022">
                  <c:v>1.1810266983771687E-2</c:v>
                </c:pt>
                <c:pt idx="8023">
                  <c:v>1.4433745152650525E-2</c:v>
                </c:pt>
                <c:pt idx="8024">
                  <c:v>1.0637911147606297E-2</c:v>
                </c:pt>
                <c:pt idx="8025">
                  <c:v>9.0696607148547589E-3</c:v>
                </c:pt>
                <c:pt idx="8026">
                  <c:v>7.8513619620254379E-3</c:v>
                </c:pt>
                <c:pt idx="8027">
                  <c:v>9.5087245190451173E-3</c:v>
                </c:pt>
                <c:pt idx="8028">
                  <c:v>1.5025153264905047E-2</c:v>
                </c:pt>
                <c:pt idx="8029">
                  <c:v>1.4158240027521134E-2</c:v>
                </c:pt>
                <c:pt idx="8030">
                  <c:v>1.3194338463317159E-2</c:v>
                </c:pt>
                <c:pt idx="8031">
                  <c:v>1.0822179047196231E-2</c:v>
                </c:pt>
                <c:pt idx="8032">
                  <c:v>1.1548268806104049E-2</c:v>
                </c:pt>
                <c:pt idx="8033">
                  <c:v>9.7730975821332527E-3</c:v>
                </c:pt>
                <c:pt idx="8034">
                  <c:v>1.3239057698846219E-2</c:v>
                </c:pt>
                <c:pt idx="8035">
                  <c:v>1.2820577062137076E-2</c:v>
                </c:pt>
                <c:pt idx="8036">
                  <c:v>9.9525063573257418E-3</c:v>
                </c:pt>
                <c:pt idx="8037">
                  <c:v>1.5818006873008935E-2</c:v>
                </c:pt>
                <c:pt idx="8038">
                  <c:v>1.6058062436866211E-2</c:v>
                </c:pt>
                <c:pt idx="8039">
                  <c:v>9.9150722990029947E-3</c:v>
                </c:pt>
                <c:pt idx="8040">
                  <c:v>8.0147131657239256E-3</c:v>
                </c:pt>
                <c:pt idx="8041">
                  <c:v>1.1117387350053805E-2</c:v>
                </c:pt>
                <c:pt idx="8042">
                  <c:v>1.0347036343260492E-2</c:v>
                </c:pt>
                <c:pt idx="8043">
                  <c:v>1.0775119569072058E-2</c:v>
                </c:pt>
                <c:pt idx="8044">
                  <c:v>1.0765252790431562E-2</c:v>
                </c:pt>
                <c:pt idx="8045">
                  <c:v>1.0235822838617212E-2</c:v>
                </c:pt>
                <c:pt idx="8046">
                  <c:v>1.1405794132563478E-2</c:v>
                </c:pt>
                <c:pt idx="8047">
                  <c:v>8.1309645038972183E-3</c:v>
                </c:pt>
                <c:pt idx="8048">
                  <c:v>9.5689715516449267E-3</c:v>
                </c:pt>
                <c:pt idx="8049">
                  <c:v>8.4900434989944595E-3</c:v>
                </c:pt>
                <c:pt idx="8050">
                  <c:v>1.1691979751165191E-2</c:v>
                </c:pt>
                <c:pt idx="8051">
                  <c:v>1.4615439892900144E-2</c:v>
                </c:pt>
                <c:pt idx="8052">
                  <c:v>9.0034273306274226E-3</c:v>
                </c:pt>
                <c:pt idx="8053">
                  <c:v>1.2285085880930533E-2</c:v>
                </c:pt>
                <c:pt idx="8054">
                  <c:v>1.033743464875053E-2</c:v>
                </c:pt>
                <c:pt idx="8055">
                  <c:v>1.210296994764664E-2</c:v>
                </c:pt>
                <c:pt idx="8056">
                  <c:v>1.1002847372940562E-2</c:v>
                </c:pt>
                <c:pt idx="8057">
                  <c:v>1.3224939824543853E-2</c:v>
                </c:pt>
                <c:pt idx="8058">
                  <c:v>1.2003193499979187E-2</c:v>
                </c:pt>
                <c:pt idx="8059">
                  <c:v>1.3370066925786447E-2</c:v>
                </c:pt>
                <c:pt idx="8060">
                  <c:v>9.5964317139223508E-3</c:v>
                </c:pt>
                <c:pt idx="8061">
                  <c:v>9.0058748541266588E-3</c:v>
                </c:pt>
                <c:pt idx="8062">
                  <c:v>1.2699321646693544E-2</c:v>
                </c:pt>
                <c:pt idx="8063">
                  <c:v>1.6833956617344398E-2</c:v>
                </c:pt>
                <c:pt idx="8064">
                  <c:v>1.5587002215571555E-2</c:v>
                </c:pt>
                <c:pt idx="8065">
                  <c:v>1.1271598913620026E-2</c:v>
                </c:pt>
                <c:pt idx="8066">
                  <c:v>1.1299111479733438E-2</c:v>
                </c:pt>
                <c:pt idx="8067">
                  <c:v>9.7679168817529031E-3</c:v>
                </c:pt>
                <c:pt idx="8068">
                  <c:v>1.3069749337290852E-2</c:v>
                </c:pt>
                <c:pt idx="8069">
                  <c:v>1.0629658250351939E-2</c:v>
                </c:pt>
                <c:pt idx="8070">
                  <c:v>9.3396552609823925E-3</c:v>
                </c:pt>
                <c:pt idx="8071">
                  <c:v>1.3198158490352182E-2</c:v>
                </c:pt>
                <c:pt idx="8072">
                  <c:v>9.3884788111358725E-3</c:v>
                </c:pt>
                <c:pt idx="8073">
                  <c:v>1.2462334136841637E-2</c:v>
                </c:pt>
                <c:pt idx="8074">
                  <c:v>1.2819588788595591E-2</c:v>
                </c:pt>
                <c:pt idx="8075">
                  <c:v>9.06806244597912E-3</c:v>
                </c:pt>
                <c:pt idx="8076">
                  <c:v>1.0582385724145677E-2</c:v>
                </c:pt>
                <c:pt idx="8077">
                  <c:v>1.0814805482598064E-2</c:v>
                </c:pt>
                <c:pt idx="8078">
                  <c:v>1.101371578265997E-2</c:v>
                </c:pt>
                <c:pt idx="8079">
                  <c:v>8.5491719773420054E-3</c:v>
                </c:pt>
                <c:pt idx="8080">
                  <c:v>1.1168543025620797E-2</c:v>
                </c:pt>
                <c:pt idx="8081">
                  <c:v>1.6319355505936262E-2</c:v>
                </c:pt>
                <c:pt idx="8082">
                  <c:v>9.0827578106430062E-3</c:v>
                </c:pt>
                <c:pt idx="8083">
                  <c:v>9.7838330175178245E-3</c:v>
                </c:pt>
                <c:pt idx="8084">
                  <c:v>1.6123626620033436E-2</c:v>
                </c:pt>
                <c:pt idx="8085">
                  <c:v>7.939872197743808E-3</c:v>
                </c:pt>
                <c:pt idx="8086">
                  <c:v>1.0585018400382021E-2</c:v>
                </c:pt>
                <c:pt idx="8087">
                  <c:v>9.0143011364513109E-3</c:v>
                </c:pt>
                <c:pt idx="8088">
                  <c:v>1.20414018524227E-2</c:v>
                </c:pt>
                <c:pt idx="8089">
                  <c:v>1.108964539278298E-2</c:v>
                </c:pt>
                <c:pt idx="8090">
                  <c:v>1.4801692451236879E-2</c:v>
                </c:pt>
                <c:pt idx="8091">
                  <c:v>8.6121615894934143E-3</c:v>
                </c:pt>
                <c:pt idx="8092">
                  <c:v>1.2076270390612225E-2</c:v>
                </c:pt>
                <c:pt idx="8093">
                  <c:v>1.1860892668726652E-2</c:v>
                </c:pt>
                <c:pt idx="8094">
                  <c:v>9.3409070475387115E-3</c:v>
                </c:pt>
                <c:pt idx="8095">
                  <c:v>1.6247130639481636E-2</c:v>
                </c:pt>
                <c:pt idx="8096">
                  <c:v>1.1817613177357461E-2</c:v>
                </c:pt>
                <c:pt idx="8097">
                  <c:v>7.8050330516105841E-3</c:v>
                </c:pt>
                <c:pt idx="8098">
                  <c:v>1.1114140962037578E-2</c:v>
                </c:pt>
                <c:pt idx="8099">
                  <c:v>9.2463273606873085E-3</c:v>
                </c:pt>
                <c:pt idx="8100">
                  <c:v>8.2742493376803776E-3</c:v>
                </c:pt>
                <c:pt idx="8101">
                  <c:v>1.289883059791822E-2</c:v>
                </c:pt>
                <c:pt idx="8102">
                  <c:v>1.3912508271766376E-2</c:v>
                </c:pt>
                <c:pt idx="8103">
                  <c:v>1.1521493283203184E-2</c:v>
                </c:pt>
                <c:pt idx="8104">
                  <c:v>1.0412089178013052E-2</c:v>
                </c:pt>
                <c:pt idx="8105">
                  <c:v>1.092752909117284E-2</c:v>
                </c:pt>
                <c:pt idx="8106">
                  <c:v>1.0267696340045363E-2</c:v>
                </c:pt>
                <c:pt idx="8107">
                  <c:v>9.5049406760685084E-3</c:v>
                </c:pt>
                <c:pt idx="8108">
                  <c:v>1.1930459290506111E-2</c:v>
                </c:pt>
                <c:pt idx="8109">
                  <c:v>1.1824612692018155E-2</c:v>
                </c:pt>
                <c:pt idx="8110">
                  <c:v>1.0423541775065603E-2</c:v>
                </c:pt>
                <c:pt idx="8111">
                  <c:v>1.0493573055425651E-2</c:v>
                </c:pt>
                <c:pt idx="8112">
                  <c:v>1.2031675282597866E-2</c:v>
                </c:pt>
                <c:pt idx="8113">
                  <c:v>1.5170802163165971E-2</c:v>
                </c:pt>
                <c:pt idx="8114">
                  <c:v>1.3315003843858865E-2</c:v>
                </c:pt>
                <c:pt idx="8115">
                  <c:v>1.1931968590509302E-2</c:v>
                </c:pt>
                <c:pt idx="8116">
                  <c:v>1.1700677039731053E-2</c:v>
                </c:pt>
                <c:pt idx="8117">
                  <c:v>1.1794675392446682E-2</c:v>
                </c:pt>
                <c:pt idx="8118">
                  <c:v>9.4063335871598479E-3</c:v>
                </c:pt>
                <c:pt idx="8119">
                  <c:v>1.1192883584013704E-2</c:v>
                </c:pt>
                <c:pt idx="8120">
                  <c:v>1.1694441108726906E-2</c:v>
                </c:pt>
                <c:pt idx="8121">
                  <c:v>1.0277986131225162E-2</c:v>
                </c:pt>
                <c:pt idx="8122">
                  <c:v>9.7728135369683378E-3</c:v>
                </c:pt>
                <c:pt idx="8123">
                  <c:v>1.0451957982639044E-2</c:v>
                </c:pt>
                <c:pt idx="8124">
                  <c:v>1.384780858654356E-2</c:v>
                </c:pt>
                <c:pt idx="8125">
                  <c:v>1.2955314835827176E-2</c:v>
                </c:pt>
                <c:pt idx="8126">
                  <c:v>1.1511512656637093E-2</c:v>
                </c:pt>
                <c:pt idx="8127">
                  <c:v>8.4317730049790277E-3</c:v>
                </c:pt>
                <c:pt idx="8128">
                  <c:v>1.3567814287792706E-2</c:v>
                </c:pt>
                <c:pt idx="8129">
                  <c:v>1.4159762916702328E-2</c:v>
                </c:pt>
                <c:pt idx="8130">
                  <c:v>1.0552211693199587E-2</c:v>
                </c:pt>
                <c:pt idx="8131">
                  <c:v>1.0518554444929624E-2</c:v>
                </c:pt>
                <c:pt idx="8132">
                  <c:v>1.0729824270867111E-2</c:v>
                </c:pt>
                <c:pt idx="8133">
                  <c:v>1.0221716539070974E-2</c:v>
                </c:pt>
                <c:pt idx="8134">
                  <c:v>1.0103829449673848E-2</c:v>
                </c:pt>
                <c:pt idx="8135">
                  <c:v>1.1285107407399438E-2</c:v>
                </c:pt>
                <c:pt idx="8136">
                  <c:v>1.2148690330206434E-2</c:v>
                </c:pt>
                <c:pt idx="8137">
                  <c:v>1.2244838681640061E-2</c:v>
                </c:pt>
                <c:pt idx="8138">
                  <c:v>1.2002498338395619E-2</c:v>
                </c:pt>
                <c:pt idx="8139">
                  <c:v>1.3075015873555385E-2</c:v>
                </c:pt>
                <c:pt idx="8140">
                  <c:v>9.4366813179859975E-3</c:v>
                </c:pt>
                <c:pt idx="8141">
                  <c:v>1.22642790826535E-2</c:v>
                </c:pt>
                <c:pt idx="8142">
                  <c:v>1.1387238391053453E-2</c:v>
                </c:pt>
                <c:pt idx="8143">
                  <c:v>1.1154306475694983E-2</c:v>
                </c:pt>
                <c:pt idx="8144">
                  <c:v>9.1308548906583881E-3</c:v>
                </c:pt>
                <c:pt idx="8145">
                  <c:v>1.7611860504629217E-2</c:v>
                </c:pt>
                <c:pt idx="8146">
                  <c:v>8.4958518580338718E-3</c:v>
                </c:pt>
                <c:pt idx="8147">
                  <c:v>9.6321621296503266E-3</c:v>
                </c:pt>
                <c:pt idx="8148">
                  <c:v>1.5377554135113016E-2</c:v>
                </c:pt>
                <c:pt idx="8149">
                  <c:v>1.0425831986734231E-2</c:v>
                </c:pt>
                <c:pt idx="8150">
                  <c:v>9.6434237223045234E-3</c:v>
                </c:pt>
                <c:pt idx="8151">
                  <c:v>1.0216224876210425E-2</c:v>
                </c:pt>
                <c:pt idx="8152">
                  <c:v>1.2942247293465308E-2</c:v>
                </c:pt>
                <c:pt idx="8153">
                  <c:v>1.2662336035098132E-2</c:v>
                </c:pt>
                <c:pt idx="8154">
                  <c:v>1.337505736054451E-2</c:v>
                </c:pt>
                <c:pt idx="8155">
                  <c:v>1.4983860395259195E-2</c:v>
                </c:pt>
                <c:pt idx="8156">
                  <c:v>1.2290138626421936E-2</c:v>
                </c:pt>
                <c:pt idx="8157">
                  <c:v>1.2762898446094158E-2</c:v>
                </c:pt>
                <c:pt idx="8158">
                  <c:v>9.5497191752083651E-3</c:v>
                </c:pt>
                <c:pt idx="8159">
                  <c:v>9.1643808887528298E-3</c:v>
                </c:pt>
                <c:pt idx="8160">
                  <c:v>1.0585546773939169E-2</c:v>
                </c:pt>
                <c:pt idx="8161">
                  <c:v>1.6020710828393951E-2</c:v>
                </c:pt>
                <c:pt idx="8162">
                  <c:v>1.2073588251451838E-2</c:v>
                </c:pt>
                <c:pt idx="8163">
                  <c:v>1.4208548417203549E-2</c:v>
                </c:pt>
                <c:pt idx="8164">
                  <c:v>1.1982923743011254E-2</c:v>
                </c:pt>
                <c:pt idx="8165">
                  <c:v>1.255650223224492E-2</c:v>
                </c:pt>
                <c:pt idx="8166">
                  <c:v>1.0995667068720075E-2</c:v>
                </c:pt>
                <c:pt idx="8167">
                  <c:v>7.8853749103687237E-3</c:v>
                </c:pt>
                <c:pt idx="8168">
                  <c:v>1.110282560207447E-2</c:v>
                </c:pt>
                <c:pt idx="8169">
                  <c:v>1.1198432869945197E-2</c:v>
                </c:pt>
                <c:pt idx="8170">
                  <c:v>1.145710023656126E-2</c:v>
                </c:pt>
                <c:pt idx="8171">
                  <c:v>1.0975073623808567E-2</c:v>
                </c:pt>
                <c:pt idx="8172">
                  <c:v>9.6545387413808775E-3</c:v>
                </c:pt>
                <c:pt idx="8173">
                  <c:v>9.7391436732966984E-3</c:v>
                </c:pt>
                <c:pt idx="8174">
                  <c:v>1.1456054855544916E-2</c:v>
                </c:pt>
                <c:pt idx="8175">
                  <c:v>9.3910879905676498E-3</c:v>
                </c:pt>
                <c:pt idx="8176">
                  <c:v>1.033307744796526E-2</c:v>
                </c:pt>
                <c:pt idx="8177">
                  <c:v>1.1682312150187795E-2</c:v>
                </c:pt>
                <c:pt idx="8178">
                  <c:v>1.0028111337273203E-2</c:v>
                </c:pt>
                <c:pt idx="8179">
                  <c:v>1.1084737312143085E-2</c:v>
                </c:pt>
                <c:pt idx="8180">
                  <c:v>9.4433509724751608E-3</c:v>
                </c:pt>
                <c:pt idx="8181">
                  <c:v>1.037303274388055E-2</c:v>
                </c:pt>
                <c:pt idx="8182">
                  <c:v>1.2989100785334707E-2</c:v>
                </c:pt>
                <c:pt idx="8183">
                  <c:v>9.5148025881495336E-3</c:v>
                </c:pt>
                <c:pt idx="8184">
                  <c:v>1.0678409302811009E-2</c:v>
                </c:pt>
                <c:pt idx="8185">
                  <c:v>1.3645248644938492E-2</c:v>
                </c:pt>
                <c:pt idx="8186">
                  <c:v>1.1701444573247507E-2</c:v>
                </c:pt>
                <c:pt idx="8187">
                  <c:v>1.4935005351614041E-2</c:v>
                </c:pt>
                <c:pt idx="8188">
                  <c:v>9.7373244112231826E-3</c:v>
                </c:pt>
                <c:pt idx="8189">
                  <c:v>9.4302323257498422E-3</c:v>
                </c:pt>
                <c:pt idx="8190">
                  <c:v>9.9276701400619009E-3</c:v>
                </c:pt>
                <c:pt idx="8191">
                  <c:v>1.2043498675679682E-2</c:v>
                </c:pt>
                <c:pt idx="8192">
                  <c:v>1.0100106857953808E-2</c:v>
                </c:pt>
                <c:pt idx="8193">
                  <c:v>1.2007470583353953E-2</c:v>
                </c:pt>
                <c:pt idx="8194">
                  <c:v>9.3311592282399724E-3</c:v>
                </c:pt>
                <c:pt idx="8195">
                  <c:v>1.1922351248408174E-2</c:v>
                </c:pt>
                <c:pt idx="8196">
                  <c:v>1.0741829963706184E-2</c:v>
                </c:pt>
                <c:pt idx="8197">
                  <c:v>1.010481160315221E-2</c:v>
                </c:pt>
                <c:pt idx="8198">
                  <c:v>1.1083431543207961E-2</c:v>
                </c:pt>
                <c:pt idx="8199">
                  <c:v>1.112601943859642E-2</c:v>
                </c:pt>
                <c:pt idx="8200">
                  <c:v>1.3790502187572589E-2</c:v>
                </c:pt>
                <c:pt idx="8201">
                  <c:v>1.0669694184125417E-2</c:v>
                </c:pt>
                <c:pt idx="8202">
                  <c:v>9.844687449993117E-3</c:v>
                </c:pt>
                <c:pt idx="8203">
                  <c:v>1.1755214885933951E-2</c:v>
                </c:pt>
                <c:pt idx="8204">
                  <c:v>9.0343131376787594E-3</c:v>
                </c:pt>
                <c:pt idx="8205">
                  <c:v>1.4393938132996118E-2</c:v>
                </c:pt>
                <c:pt idx="8206">
                  <c:v>9.9664440155726643E-3</c:v>
                </c:pt>
                <c:pt idx="8207">
                  <c:v>1.1658588999632239E-2</c:v>
                </c:pt>
                <c:pt idx="8208">
                  <c:v>1.03652763289024E-2</c:v>
                </c:pt>
                <c:pt idx="8209">
                  <c:v>1.0499971601108762E-2</c:v>
                </c:pt>
                <c:pt idx="8210">
                  <c:v>9.1613721581181723E-3</c:v>
                </c:pt>
                <c:pt idx="8211">
                  <c:v>1.3855829863225918E-2</c:v>
                </c:pt>
                <c:pt idx="8212">
                  <c:v>1.3113845422240136E-2</c:v>
                </c:pt>
                <c:pt idx="8213">
                  <c:v>1.175994688775304E-2</c:v>
                </c:pt>
                <c:pt idx="8214">
                  <c:v>1.455853777428304E-2</c:v>
                </c:pt>
                <c:pt idx="8215">
                  <c:v>1.1272739421977783E-2</c:v>
                </c:pt>
                <c:pt idx="8216">
                  <c:v>1.3287246376040474E-2</c:v>
                </c:pt>
                <c:pt idx="8217">
                  <c:v>1.4113180374098686E-2</c:v>
                </c:pt>
                <c:pt idx="8218">
                  <c:v>8.7535849345111074E-3</c:v>
                </c:pt>
                <c:pt idx="8219">
                  <c:v>1.1760396052956257E-2</c:v>
                </c:pt>
                <c:pt idx="8220">
                  <c:v>1.1150087843126422E-2</c:v>
                </c:pt>
                <c:pt idx="8221">
                  <c:v>1.2587117009424624E-2</c:v>
                </c:pt>
                <c:pt idx="8222">
                  <c:v>9.742956367398253E-3</c:v>
                </c:pt>
                <c:pt idx="8223">
                  <c:v>9.4586406258814568E-3</c:v>
                </c:pt>
                <c:pt idx="8224">
                  <c:v>9.3608846084288558E-3</c:v>
                </c:pt>
                <c:pt idx="8225">
                  <c:v>1.1281169521063674E-2</c:v>
                </c:pt>
                <c:pt idx="8226">
                  <c:v>1.2180764867545341E-2</c:v>
                </c:pt>
                <c:pt idx="8227">
                  <c:v>1.602129995957095E-2</c:v>
                </c:pt>
                <c:pt idx="8228">
                  <c:v>1.1541637460220395E-2</c:v>
                </c:pt>
                <c:pt idx="8229">
                  <c:v>8.2140573714642034E-3</c:v>
                </c:pt>
                <c:pt idx="8230">
                  <c:v>1.2595465985791353E-2</c:v>
                </c:pt>
                <c:pt idx="8231">
                  <c:v>9.5865928894402867E-3</c:v>
                </c:pt>
                <c:pt idx="8232">
                  <c:v>1.2117565594618886E-2</c:v>
                </c:pt>
                <c:pt idx="8233">
                  <c:v>1.3491509032933485E-2</c:v>
                </c:pt>
                <c:pt idx="8234">
                  <c:v>1.3416756018714711E-2</c:v>
                </c:pt>
                <c:pt idx="8235">
                  <c:v>1.1521336215109911E-2</c:v>
                </c:pt>
                <c:pt idx="8236">
                  <c:v>1.1507799309930324E-2</c:v>
                </c:pt>
                <c:pt idx="8237">
                  <c:v>1.3156409170468732E-2</c:v>
                </c:pt>
                <c:pt idx="8238">
                  <c:v>9.0336336626786161E-3</c:v>
                </c:pt>
                <c:pt idx="8239">
                  <c:v>7.8197219167198753E-3</c:v>
                </c:pt>
                <c:pt idx="8240">
                  <c:v>1.3836284099818314E-2</c:v>
                </c:pt>
                <c:pt idx="8241">
                  <c:v>1.2895121676633384E-2</c:v>
                </c:pt>
                <c:pt idx="8242">
                  <c:v>1.2037502066158104E-2</c:v>
                </c:pt>
                <c:pt idx="8243">
                  <c:v>1.1222904480967057E-2</c:v>
                </c:pt>
                <c:pt idx="8244">
                  <c:v>9.064618477185574E-3</c:v>
                </c:pt>
                <c:pt idx="8245">
                  <c:v>1.0274491742960109E-2</c:v>
                </c:pt>
                <c:pt idx="8246">
                  <c:v>1.2407888421672113E-2</c:v>
                </c:pt>
                <c:pt idx="8247">
                  <c:v>1.3330803852260808E-2</c:v>
                </c:pt>
                <c:pt idx="8248">
                  <c:v>1.0263553543067287E-2</c:v>
                </c:pt>
                <c:pt idx="8249">
                  <c:v>1.0476911093469213E-2</c:v>
                </c:pt>
                <c:pt idx="8250">
                  <c:v>9.607550411781525E-3</c:v>
                </c:pt>
                <c:pt idx="8251">
                  <c:v>1.018032125550053E-2</c:v>
                </c:pt>
                <c:pt idx="8252">
                  <c:v>1.1485708569611208E-2</c:v>
                </c:pt>
                <c:pt idx="8253">
                  <c:v>1.2536901149432574E-2</c:v>
                </c:pt>
                <c:pt idx="8254">
                  <c:v>1.1132109500513594E-2</c:v>
                </c:pt>
                <c:pt idx="8255">
                  <c:v>1.1820104694171064E-2</c:v>
                </c:pt>
                <c:pt idx="8256">
                  <c:v>1.4515427226034357E-2</c:v>
                </c:pt>
                <c:pt idx="8257">
                  <c:v>1.3470014724206024E-2</c:v>
                </c:pt>
                <c:pt idx="8258">
                  <c:v>1.0998855444411062E-2</c:v>
                </c:pt>
                <c:pt idx="8259">
                  <c:v>9.5058752642402707E-3</c:v>
                </c:pt>
                <c:pt idx="8260">
                  <c:v>1.3043022599961606E-2</c:v>
                </c:pt>
                <c:pt idx="8261">
                  <c:v>1.1717667513885569E-2</c:v>
                </c:pt>
                <c:pt idx="8262">
                  <c:v>1.0668886627803909E-2</c:v>
                </c:pt>
                <c:pt idx="8263">
                  <c:v>1.0970520399714499E-2</c:v>
                </c:pt>
                <c:pt idx="8264">
                  <c:v>1.2302918418857004E-2</c:v>
                </c:pt>
                <c:pt idx="8265">
                  <c:v>1.2179256156745193E-2</c:v>
                </c:pt>
                <c:pt idx="8266">
                  <c:v>1.3989612142561617E-2</c:v>
                </c:pt>
                <c:pt idx="8267">
                  <c:v>9.8619169730996201E-3</c:v>
                </c:pt>
                <c:pt idx="8268">
                  <c:v>9.1395162945022597E-3</c:v>
                </c:pt>
                <c:pt idx="8269">
                  <c:v>1.3340853325923755E-2</c:v>
                </c:pt>
                <c:pt idx="8270">
                  <c:v>1.4535124037176031E-2</c:v>
                </c:pt>
                <c:pt idx="8271">
                  <c:v>1.1285425554899468E-2</c:v>
                </c:pt>
                <c:pt idx="8272">
                  <c:v>1.0452891353429373E-2</c:v>
                </c:pt>
                <c:pt idx="8273">
                  <c:v>8.3055062930591315E-3</c:v>
                </c:pt>
                <c:pt idx="8274">
                  <c:v>1.1385863403852616E-2</c:v>
                </c:pt>
                <c:pt idx="8275">
                  <c:v>1.1485159322095959E-2</c:v>
                </c:pt>
                <c:pt idx="8276">
                  <c:v>1.4692407254046721E-2</c:v>
                </c:pt>
                <c:pt idx="8277">
                  <c:v>1.1759346917117811E-2</c:v>
                </c:pt>
                <c:pt idx="8278">
                  <c:v>1.0516278884560609E-2</c:v>
                </c:pt>
                <c:pt idx="8279">
                  <c:v>1.3517121928189589E-2</c:v>
                </c:pt>
                <c:pt idx="8280">
                  <c:v>8.820485235944352E-3</c:v>
                </c:pt>
                <c:pt idx="8281">
                  <c:v>1.138854215769745E-2</c:v>
                </c:pt>
                <c:pt idx="8282">
                  <c:v>1.3928065837576518E-2</c:v>
                </c:pt>
                <c:pt idx="8283">
                  <c:v>1.1856985986340862E-2</c:v>
                </c:pt>
                <c:pt idx="8284">
                  <c:v>1.0509601747066076E-2</c:v>
                </c:pt>
                <c:pt idx="8285">
                  <c:v>9.9100871236669479E-3</c:v>
                </c:pt>
                <c:pt idx="8286">
                  <c:v>1.0612213332285585E-2</c:v>
                </c:pt>
                <c:pt idx="8287">
                  <c:v>1.2026362796195532E-2</c:v>
                </c:pt>
                <c:pt idx="8288">
                  <c:v>9.9527586564981396E-3</c:v>
                </c:pt>
                <c:pt idx="8289">
                  <c:v>1.226125002726863E-2</c:v>
                </c:pt>
                <c:pt idx="8290">
                  <c:v>8.7980035553378699E-3</c:v>
                </c:pt>
                <c:pt idx="8291">
                  <c:v>1.2200791744768865E-2</c:v>
                </c:pt>
                <c:pt idx="8292">
                  <c:v>1.3456640933211998E-2</c:v>
                </c:pt>
                <c:pt idx="8293">
                  <c:v>1.0235224080800777E-2</c:v>
                </c:pt>
                <c:pt idx="8294">
                  <c:v>1.6048938421408362E-2</c:v>
                </c:pt>
                <c:pt idx="8295">
                  <c:v>1.0696950229552351E-2</c:v>
                </c:pt>
                <c:pt idx="8296">
                  <c:v>1.1778617900505729E-2</c:v>
                </c:pt>
                <c:pt idx="8297">
                  <c:v>1.2657847202696913E-2</c:v>
                </c:pt>
                <c:pt idx="8298">
                  <c:v>8.7823366124860983E-3</c:v>
                </c:pt>
                <c:pt idx="8299">
                  <c:v>1.4741496624749596E-2</c:v>
                </c:pt>
                <c:pt idx="8300">
                  <c:v>1.0502004815588826E-2</c:v>
                </c:pt>
                <c:pt idx="8301">
                  <c:v>1.2144970841464268E-2</c:v>
                </c:pt>
                <c:pt idx="8302">
                  <c:v>8.8863179226092472E-3</c:v>
                </c:pt>
                <c:pt idx="8303">
                  <c:v>1.0789788539126634E-2</c:v>
                </c:pt>
                <c:pt idx="8304">
                  <c:v>1.5111273189882833E-2</c:v>
                </c:pt>
                <c:pt idx="8305">
                  <c:v>9.3542399502908862E-3</c:v>
                </c:pt>
                <c:pt idx="8306">
                  <c:v>1.1252080928444579E-2</c:v>
                </c:pt>
                <c:pt idx="8307">
                  <c:v>1.031796622589516E-2</c:v>
                </c:pt>
                <c:pt idx="8308">
                  <c:v>9.7182760919196018E-3</c:v>
                </c:pt>
                <c:pt idx="8309">
                  <c:v>1.3599459809540106E-2</c:v>
                </c:pt>
                <c:pt idx="8310">
                  <c:v>8.4829629522110307E-3</c:v>
                </c:pt>
                <c:pt idx="8311">
                  <c:v>1.2776767701476175E-2</c:v>
                </c:pt>
                <c:pt idx="8312">
                  <c:v>1.098992524543147E-2</c:v>
                </c:pt>
                <c:pt idx="8313">
                  <c:v>1.083059918566931E-2</c:v>
                </c:pt>
                <c:pt idx="8314">
                  <c:v>1.3749474268369742E-2</c:v>
                </c:pt>
                <c:pt idx="8315">
                  <c:v>9.2961008953991071E-3</c:v>
                </c:pt>
                <c:pt idx="8316">
                  <c:v>1.0008514643886879E-2</c:v>
                </c:pt>
                <c:pt idx="8317">
                  <c:v>1.3387077767175669E-2</c:v>
                </c:pt>
                <c:pt idx="8318">
                  <c:v>1.331634351984457E-2</c:v>
                </c:pt>
                <c:pt idx="8319">
                  <c:v>1.1505435297936205E-2</c:v>
                </c:pt>
                <c:pt idx="8320">
                  <c:v>1.0449171945581185E-2</c:v>
                </c:pt>
                <c:pt idx="8321">
                  <c:v>9.6913122072532776E-3</c:v>
                </c:pt>
                <c:pt idx="8322">
                  <c:v>1.0238186937119068E-2</c:v>
                </c:pt>
                <c:pt idx="8323">
                  <c:v>1.3003455465642697E-2</c:v>
                </c:pt>
                <c:pt idx="8324">
                  <c:v>7.8376216285896676E-3</c:v>
                </c:pt>
                <c:pt idx="8325">
                  <c:v>1.7115970801918252E-2</c:v>
                </c:pt>
                <c:pt idx="8326">
                  <c:v>1.5007970944460793E-2</c:v>
                </c:pt>
                <c:pt idx="8327">
                  <c:v>1.1412515740296378E-2</c:v>
                </c:pt>
                <c:pt idx="8328">
                  <c:v>8.2384484952364358E-3</c:v>
                </c:pt>
                <c:pt idx="8329">
                  <c:v>1.2777171999448477E-2</c:v>
                </c:pt>
                <c:pt idx="8330">
                  <c:v>1.1835637174009057E-2</c:v>
                </c:pt>
                <c:pt idx="8331">
                  <c:v>1.1403176368375506E-2</c:v>
                </c:pt>
                <c:pt idx="8332">
                  <c:v>9.6629681568065288E-3</c:v>
                </c:pt>
                <c:pt idx="8333">
                  <c:v>8.493431631460744E-3</c:v>
                </c:pt>
                <c:pt idx="8334">
                  <c:v>1.2851703659193019E-2</c:v>
                </c:pt>
                <c:pt idx="8335">
                  <c:v>1.307362060933613E-2</c:v>
                </c:pt>
                <c:pt idx="8336">
                  <c:v>1.3272465553902716E-2</c:v>
                </c:pt>
                <c:pt idx="8337">
                  <c:v>1.3014398840030528E-2</c:v>
                </c:pt>
                <c:pt idx="8338">
                  <c:v>1.1544800673544062E-2</c:v>
                </c:pt>
                <c:pt idx="8339">
                  <c:v>9.6213579762477446E-3</c:v>
                </c:pt>
                <c:pt idx="8340">
                  <c:v>1.0046388356094055E-2</c:v>
                </c:pt>
                <c:pt idx="8341">
                  <c:v>1.0993539620388782E-2</c:v>
                </c:pt>
                <c:pt idx="8342">
                  <c:v>1.0975962050579048E-2</c:v>
                </c:pt>
                <c:pt idx="8343">
                  <c:v>9.8120899888207158E-3</c:v>
                </c:pt>
                <c:pt idx="8344">
                  <c:v>1.1422329252941451E-2</c:v>
                </c:pt>
                <c:pt idx="8345">
                  <c:v>1.4248497118860835E-2</c:v>
                </c:pt>
                <c:pt idx="8346">
                  <c:v>1.2121675648642931E-2</c:v>
                </c:pt>
                <c:pt idx="8347">
                  <c:v>1.0170270839817839E-2</c:v>
                </c:pt>
                <c:pt idx="8348">
                  <c:v>1.1669675302897553E-2</c:v>
                </c:pt>
                <c:pt idx="8349">
                  <c:v>1.4784069915412316E-2</c:v>
                </c:pt>
                <c:pt idx="8350">
                  <c:v>1.1967463320700495E-2</c:v>
                </c:pt>
                <c:pt idx="8351">
                  <c:v>1.6647860798223512E-2</c:v>
                </c:pt>
                <c:pt idx="8352">
                  <c:v>1.3218641246243796E-2</c:v>
                </c:pt>
                <c:pt idx="8353">
                  <c:v>1.2608993498586152E-2</c:v>
                </c:pt>
                <c:pt idx="8354">
                  <c:v>1.1288180418677263E-2</c:v>
                </c:pt>
                <c:pt idx="8355">
                  <c:v>1.0527488284061363E-2</c:v>
                </c:pt>
                <c:pt idx="8356">
                  <c:v>1.4626125447192955E-2</c:v>
                </c:pt>
                <c:pt idx="8357">
                  <c:v>1.2357856520884241E-2</c:v>
                </c:pt>
                <c:pt idx="8358">
                  <c:v>1.1531672851293414E-2</c:v>
                </c:pt>
                <c:pt idx="8359">
                  <c:v>1.3285050144175871E-2</c:v>
                </c:pt>
                <c:pt idx="8360">
                  <c:v>1.590234396804803E-2</c:v>
                </c:pt>
                <c:pt idx="8361">
                  <c:v>1.2944484137692981E-2</c:v>
                </c:pt>
                <c:pt idx="8362">
                  <c:v>1.1924162289004368E-2</c:v>
                </c:pt>
                <c:pt idx="8363">
                  <c:v>1.2574332153911945E-2</c:v>
                </c:pt>
                <c:pt idx="8364">
                  <c:v>1.0715503994105339E-2</c:v>
                </c:pt>
                <c:pt idx="8365">
                  <c:v>1.151683555272962E-2</c:v>
                </c:pt>
                <c:pt idx="8366">
                  <c:v>1.1916075896316594E-2</c:v>
                </c:pt>
                <c:pt idx="8367">
                  <c:v>1.2306425082457299E-2</c:v>
                </c:pt>
                <c:pt idx="8368">
                  <c:v>1.2130530136727449E-2</c:v>
                </c:pt>
                <c:pt idx="8369">
                  <c:v>9.7526346291346381E-3</c:v>
                </c:pt>
                <c:pt idx="8370">
                  <c:v>1.1293237590428858E-2</c:v>
                </c:pt>
                <c:pt idx="8371">
                  <c:v>1.2902083218324065E-2</c:v>
                </c:pt>
                <c:pt idx="8372">
                  <c:v>1.0975395691518557E-2</c:v>
                </c:pt>
                <c:pt idx="8373">
                  <c:v>1.7249299682057108E-2</c:v>
                </c:pt>
                <c:pt idx="8374">
                  <c:v>1.0964297045601633E-2</c:v>
                </c:pt>
                <c:pt idx="8375">
                  <c:v>1.0663991603328638E-2</c:v>
                </c:pt>
                <c:pt idx="8376">
                  <c:v>1.0150806530170175E-2</c:v>
                </c:pt>
                <c:pt idx="8377">
                  <c:v>1.240478066321553E-2</c:v>
                </c:pt>
                <c:pt idx="8378">
                  <c:v>8.9408585842083808E-3</c:v>
                </c:pt>
                <c:pt idx="8379">
                  <c:v>9.599112029892113E-3</c:v>
                </c:pt>
                <c:pt idx="8380">
                  <c:v>1.2873743119394638E-2</c:v>
                </c:pt>
                <c:pt idx="8381">
                  <c:v>1.2718607562366565E-2</c:v>
                </c:pt>
                <c:pt idx="8382">
                  <c:v>1.0197572733540494E-2</c:v>
                </c:pt>
                <c:pt idx="8383">
                  <c:v>1.0028965295670987E-2</c:v>
                </c:pt>
                <c:pt idx="8384">
                  <c:v>1.2877300941601031E-2</c:v>
                </c:pt>
                <c:pt idx="8385">
                  <c:v>1.2765688887347942E-2</c:v>
                </c:pt>
                <c:pt idx="8386">
                  <c:v>7.6081307610442739E-3</c:v>
                </c:pt>
                <c:pt idx="8387">
                  <c:v>1.1137293098073774E-2</c:v>
                </c:pt>
                <c:pt idx="8388">
                  <c:v>1.2418971503178456E-2</c:v>
                </c:pt>
                <c:pt idx="8389">
                  <c:v>1.3749954008878811E-2</c:v>
                </c:pt>
                <c:pt idx="8390">
                  <c:v>1.3661665350488393E-2</c:v>
                </c:pt>
                <c:pt idx="8391">
                  <c:v>1.3304603950313309E-2</c:v>
                </c:pt>
                <c:pt idx="8392">
                  <c:v>1.0576049369293005E-2</c:v>
                </c:pt>
                <c:pt idx="8393">
                  <c:v>1.1324089334449481E-2</c:v>
                </c:pt>
                <c:pt idx="8394">
                  <c:v>1.2658493674765866E-2</c:v>
                </c:pt>
                <c:pt idx="8395">
                  <c:v>1.0653565947883291E-2</c:v>
                </c:pt>
                <c:pt idx="8396">
                  <c:v>1.0399260245482855E-2</c:v>
                </c:pt>
                <c:pt idx="8397">
                  <c:v>1.4195189682653831E-2</c:v>
                </c:pt>
                <c:pt idx="8398">
                  <c:v>1.1886788400321488E-2</c:v>
                </c:pt>
                <c:pt idx="8399">
                  <c:v>8.7648004675127348E-3</c:v>
                </c:pt>
                <c:pt idx="8400">
                  <c:v>1.2549355225167593E-2</c:v>
                </c:pt>
                <c:pt idx="8401">
                  <c:v>1.0913414991566877E-2</c:v>
                </c:pt>
                <c:pt idx="8402">
                  <c:v>1.1420160682138351E-2</c:v>
                </c:pt>
                <c:pt idx="8403">
                  <c:v>1.2698495408018123E-2</c:v>
                </c:pt>
                <c:pt idx="8404">
                  <c:v>1.1554802358994979E-2</c:v>
                </c:pt>
                <c:pt idx="8405">
                  <c:v>8.4089663994340747E-3</c:v>
                </c:pt>
                <c:pt idx="8406">
                  <c:v>1.2894505141853E-2</c:v>
                </c:pt>
                <c:pt idx="8407">
                  <c:v>9.7110529927037139E-3</c:v>
                </c:pt>
                <c:pt idx="8408">
                  <c:v>8.085792105141586E-3</c:v>
                </c:pt>
                <c:pt idx="8409">
                  <c:v>1.2522145171738228E-2</c:v>
                </c:pt>
                <c:pt idx="8410">
                  <c:v>1.4029696740808064E-2</c:v>
                </c:pt>
                <c:pt idx="8411">
                  <c:v>1.4727200052324894E-2</c:v>
                </c:pt>
                <c:pt idx="8412">
                  <c:v>9.9374762525716274E-3</c:v>
                </c:pt>
                <c:pt idx="8413">
                  <c:v>1.0624831860408352E-2</c:v>
                </c:pt>
                <c:pt idx="8414">
                  <c:v>1.2446062336784431E-2</c:v>
                </c:pt>
                <c:pt idx="8415">
                  <c:v>1.3170513233766435E-2</c:v>
                </c:pt>
                <c:pt idx="8416">
                  <c:v>1.2352119070233909E-2</c:v>
                </c:pt>
                <c:pt idx="8417">
                  <c:v>1.5838153107715826E-2</c:v>
                </c:pt>
                <c:pt idx="8418">
                  <c:v>1.0741902477254839E-2</c:v>
                </c:pt>
                <c:pt idx="8419">
                  <c:v>7.483609701415447E-3</c:v>
                </c:pt>
                <c:pt idx="8420">
                  <c:v>1.0456937978516937E-2</c:v>
                </c:pt>
                <c:pt idx="8421">
                  <c:v>1.5284866474858654E-2</c:v>
                </c:pt>
                <c:pt idx="8422">
                  <c:v>1.1997075438700794E-2</c:v>
                </c:pt>
                <c:pt idx="8423">
                  <c:v>1.4696600243374772E-2</c:v>
                </c:pt>
                <c:pt idx="8424">
                  <c:v>1.0069862733350407E-2</c:v>
                </c:pt>
                <c:pt idx="8425">
                  <c:v>1.2751495070284492E-2</c:v>
                </c:pt>
                <c:pt idx="8426">
                  <c:v>1.0539159733824301E-2</c:v>
                </c:pt>
                <c:pt idx="8427">
                  <c:v>1.1592119503469517E-2</c:v>
                </c:pt>
                <c:pt idx="8428">
                  <c:v>1.2193608820834546E-2</c:v>
                </c:pt>
                <c:pt idx="8429">
                  <c:v>1.160933962840687E-2</c:v>
                </c:pt>
                <c:pt idx="8430">
                  <c:v>1.1498406998918548E-2</c:v>
                </c:pt>
                <c:pt idx="8431">
                  <c:v>9.4172753263666586E-3</c:v>
                </c:pt>
                <c:pt idx="8432">
                  <c:v>1.0921073556900611E-2</c:v>
                </c:pt>
                <c:pt idx="8433">
                  <c:v>8.4467092955998122E-3</c:v>
                </c:pt>
                <c:pt idx="8434">
                  <c:v>9.1402243819075409E-3</c:v>
                </c:pt>
                <c:pt idx="8435">
                  <c:v>1.2956175505107369E-2</c:v>
                </c:pt>
                <c:pt idx="8436">
                  <c:v>1.0409399159787841E-2</c:v>
                </c:pt>
                <c:pt idx="8437">
                  <c:v>1.0112182015023757E-2</c:v>
                </c:pt>
                <c:pt idx="8438">
                  <c:v>1.3020550344480668E-2</c:v>
                </c:pt>
                <c:pt idx="8439">
                  <c:v>1.2767143144550895E-2</c:v>
                </c:pt>
                <c:pt idx="8440">
                  <c:v>1.4387661038681179E-2</c:v>
                </c:pt>
                <c:pt idx="8441">
                  <c:v>1.0113857853677619E-2</c:v>
                </c:pt>
                <c:pt idx="8442">
                  <c:v>1.3218428521123782E-2</c:v>
                </c:pt>
                <c:pt idx="8443">
                  <c:v>1.0446047711045587E-2</c:v>
                </c:pt>
                <c:pt idx="8444">
                  <c:v>1.1173855105971024E-2</c:v>
                </c:pt>
                <c:pt idx="8445">
                  <c:v>1.1442928004832636E-2</c:v>
                </c:pt>
                <c:pt idx="8446">
                  <c:v>1.1349066260457129E-2</c:v>
                </c:pt>
                <c:pt idx="8447">
                  <c:v>1.2249170874585271E-2</c:v>
                </c:pt>
                <c:pt idx="8448">
                  <c:v>1.1434633987358847E-2</c:v>
                </c:pt>
                <c:pt idx="8449">
                  <c:v>1.670511074130478E-2</c:v>
                </c:pt>
                <c:pt idx="8450">
                  <c:v>9.1667846220103728E-3</c:v>
                </c:pt>
                <c:pt idx="8451">
                  <c:v>2.1791595656572071E-2</c:v>
                </c:pt>
                <c:pt idx="8452">
                  <c:v>1.1721919308241404E-2</c:v>
                </c:pt>
                <c:pt idx="8453">
                  <c:v>1.2799567494641378E-2</c:v>
                </c:pt>
                <c:pt idx="8454">
                  <c:v>1.6707430893184126E-2</c:v>
                </c:pt>
                <c:pt idx="8455">
                  <c:v>1.3494597077242612E-2</c:v>
                </c:pt>
                <c:pt idx="8456">
                  <c:v>8.9286186592740253E-3</c:v>
                </c:pt>
                <c:pt idx="8457">
                  <c:v>1.4320218039571019E-2</c:v>
                </c:pt>
                <c:pt idx="8458">
                  <c:v>1.5411922709693018E-2</c:v>
                </c:pt>
                <c:pt idx="8459">
                  <c:v>1.0047466474823389E-2</c:v>
                </c:pt>
                <c:pt idx="8460">
                  <c:v>1.7384937148838691E-2</c:v>
                </c:pt>
                <c:pt idx="8461">
                  <c:v>1.3257468500658575E-2</c:v>
                </c:pt>
                <c:pt idx="8462">
                  <c:v>1.5687096353501129E-2</c:v>
                </c:pt>
                <c:pt idx="8463">
                  <c:v>1.1619893166190189E-2</c:v>
                </c:pt>
                <c:pt idx="8464">
                  <c:v>1.4503697248638569E-2</c:v>
                </c:pt>
                <c:pt idx="8465">
                  <c:v>1.3720073753497446E-2</c:v>
                </c:pt>
                <c:pt idx="8466">
                  <c:v>1.2570861710804163E-2</c:v>
                </c:pt>
                <c:pt idx="8467">
                  <c:v>1.5152025590909654E-2</c:v>
                </c:pt>
                <c:pt idx="8468">
                  <c:v>9.6277651664726255E-3</c:v>
                </c:pt>
                <c:pt idx="8469">
                  <c:v>1.1496352738593171E-2</c:v>
                </c:pt>
                <c:pt idx="8470">
                  <c:v>8.8782050973796271E-3</c:v>
                </c:pt>
                <c:pt idx="8471">
                  <c:v>1.1092921540402641E-2</c:v>
                </c:pt>
                <c:pt idx="8472">
                  <c:v>1.2189624099427514E-2</c:v>
                </c:pt>
                <c:pt idx="8473">
                  <c:v>1.1174222916420097E-2</c:v>
                </c:pt>
                <c:pt idx="8474">
                  <c:v>9.3149952752722594E-3</c:v>
                </c:pt>
                <c:pt idx="8475">
                  <c:v>1.2404725386032189E-2</c:v>
                </c:pt>
                <c:pt idx="8476">
                  <c:v>9.2397983484786752E-3</c:v>
                </c:pt>
                <c:pt idx="8477">
                  <c:v>1.3134547304398409E-2</c:v>
                </c:pt>
                <c:pt idx="8478">
                  <c:v>1.3631729493263543E-2</c:v>
                </c:pt>
                <c:pt idx="8479">
                  <c:v>1.0816043026343782E-2</c:v>
                </c:pt>
                <c:pt idx="8480">
                  <c:v>1.3770781638279841E-2</c:v>
                </c:pt>
                <c:pt idx="8481">
                  <c:v>1.2031564946770367E-2</c:v>
                </c:pt>
                <c:pt idx="8482">
                  <c:v>7.7932300740556903E-3</c:v>
                </c:pt>
                <c:pt idx="8483">
                  <c:v>1.209796507972725E-2</c:v>
                </c:pt>
                <c:pt idx="8484">
                  <c:v>1.0637251866090953E-2</c:v>
                </c:pt>
                <c:pt idx="8485">
                  <c:v>7.1552072876919885E-3</c:v>
                </c:pt>
                <c:pt idx="8486">
                  <c:v>1.2641137439180428E-2</c:v>
                </c:pt>
                <c:pt idx="8487">
                  <c:v>1.217702505484306E-2</c:v>
                </c:pt>
                <c:pt idx="8488">
                  <c:v>1.0755860192394067E-2</c:v>
                </c:pt>
                <c:pt idx="8489">
                  <c:v>1.1417888018788461E-2</c:v>
                </c:pt>
                <c:pt idx="8490">
                  <c:v>9.4393919590095472E-3</c:v>
                </c:pt>
                <c:pt idx="8491">
                  <c:v>1.0422636954346667E-2</c:v>
                </c:pt>
                <c:pt idx="8492">
                  <c:v>1.2979818742502027E-2</c:v>
                </c:pt>
                <c:pt idx="8493">
                  <c:v>1.3326518195418916E-2</c:v>
                </c:pt>
                <c:pt idx="8494">
                  <c:v>1.1120334408756581E-2</c:v>
                </c:pt>
                <c:pt idx="8495">
                  <c:v>1.1846428056462244E-2</c:v>
                </c:pt>
                <c:pt idx="8496">
                  <c:v>1.0394406377464527E-2</c:v>
                </c:pt>
                <c:pt idx="8497">
                  <c:v>1.5396149297996988E-2</c:v>
                </c:pt>
                <c:pt idx="8498">
                  <c:v>1.2728128696579844E-2</c:v>
                </c:pt>
                <c:pt idx="8499">
                  <c:v>7.9680269524310659E-3</c:v>
                </c:pt>
                <c:pt idx="8500">
                  <c:v>1.3196863045442906E-2</c:v>
                </c:pt>
                <c:pt idx="8501">
                  <c:v>1.210635433538472E-2</c:v>
                </c:pt>
                <c:pt idx="8502">
                  <c:v>1.3166677992742478E-2</c:v>
                </c:pt>
                <c:pt idx="8503">
                  <c:v>1.3390124215190769E-2</c:v>
                </c:pt>
                <c:pt idx="8504">
                  <c:v>1.3408985591058112E-2</c:v>
                </c:pt>
                <c:pt idx="8505">
                  <c:v>1.1069038832745367E-2</c:v>
                </c:pt>
                <c:pt idx="8506">
                  <c:v>1.353964548468092E-2</c:v>
                </c:pt>
                <c:pt idx="8507">
                  <c:v>9.3394922168207432E-3</c:v>
                </c:pt>
                <c:pt idx="8508">
                  <c:v>1.2505338145190214E-2</c:v>
                </c:pt>
                <c:pt idx="8509">
                  <c:v>1.0484775927463254E-2</c:v>
                </c:pt>
                <c:pt idx="8510">
                  <c:v>9.7333661406805959E-3</c:v>
                </c:pt>
                <c:pt idx="8511">
                  <c:v>1.0067113257673042E-2</c:v>
                </c:pt>
                <c:pt idx="8512">
                  <c:v>9.9671467782094566E-3</c:v>
                </c:pt>
                <c:pt idx="8513">
                  <c:v>1.5150902004475802E-2</c:v>
                </c:pt>
                <c:pt idx="8514">
                  <c:v>1.3402449776108202E-2</c:v>
                </c:pt>
                <c:pt idx="8515">
                  <c:v>1.0812895660889769E-2</c:v>
                </c:pt>
                <c:pt idx="8516">
                  <c:v>1.3174072468347136E-2</c:v>
                </c:pt>
                <c:pt idx="8517">
                  <c:v>1.1716405598064967E-2</c:v>
                </c:pt>
                <c:pt idx="8518">
                  <c:v>1.435541481299675E-2</c:v>
                </c:pt>
                <c:pt idx="8519">
                  <c:v>1.0248863319010927E-2</c:v>
                </c:pt>
                <c:pt idx="8520">
                  <c:v>1.0660344397961905E-2</c:v>
                </c:pt>
                <c:pt idx="8521">
                  <c:v>9.4797928727217203E-3</c:v>
                </c:pt>
                <c:pt idx="8522">
                  <c:v>8.9067938426721522E-3</c:v>
                </c:pt>
                <c:pt idx="8523">
                  <c:v>1.7026275285145175E-2</c:v>
                </c:pt>
                <c:pt idx="8524">
                  <c:v>1.3568742249017841E-2</c:v>
                </c:pt>
                <c:pt idx="8525">
                  <c:v>8.4500521230829895E-3</c:v>
                </c:pt>
                <c:pt idx="8526">
                  <c:v>1.3332685963853539E-2</c:v>
                </c:pt>
                <c:pt idx="8527">
                  <c:v>1.185680991264192E-2</c:v>
                </c:pt>
                <c:pt idx="8528">
                  <c:v>9.906548802418003E-3</c:v>
                </c:pt>
                <c:pt idx="8529">
                  <c:v>9.9895020383392735E-3</c:v>
                </c:pt>
                <c:pt idx="8530">
                  <c:v>1.1076030334037866E-2</c:v>
                </c:pt>
                <c:pt idx="8531">
                  <c:v>1.108595889619466E-2</c:v>
                </c:pt>
                <c:pt idx="8532">
                  <c:v>1.1342146713673534E-2</c:v>
                </c:pt>
                <c:pt idx="8533">
                  <c:v>1.3197564117226362E-2</c:v>
                </c:pt>
                <c:pt idx="8534">
                  <c:v>1.2170691819776222E-2</c:v>
                </c:pt>
                <c:pt idx="8535">
                  <c:v>1.3693896216492748E-2</c:v>
                </c:pt>
                <c:pt idx="8536">
                  <c:v>1.3331109906826568E-2</c:v>
                </c:pt>
                <c:pt idx="8537">
                  <c:v>8.0520445695880377E-3</c:v>
                </c:pt>
                <c:pt idx="8538">
                  <c:v>9.8421085402008376E-3</c:v>
                </c:pt>
                <c:pt idx="8539">
                  <c:v>1.252386460386346E-2</c:v>
                </c:pt>
                <c:pt idx="8540">
                  <c:v>1.2366117263260118E-2</c:v>
                </c:pt>
                <c:pt idx="8541">
                  <c:v>1.1123139285005929E-2</c:v>
                </c:pt>
                <c:pt idx="8542">
                  <c:v>1.0449885591655692E-2</c:v>
                </c:pt>
                <c:pt idx="8543">
                  <c:v>1.3096942904724991E-2</c:v>
                </c:pt>
                <c:pt idx="8544">
                  <c:v>1.0211107813481746E-2</c:v>
                </c:pt>
                <c:pt idx="8545">
                  <c:v>1.3262020608496475E-2</c:v>
                </c:pt>
                <c:pt idx="8546">
                  <c:v>1.3883267165812389E-2</c:v>
                </c:pt>
                <c:pt idx="8547">
                  <c:v>1.2113192392459752E-2</c:v>
                </c:pt>
                <c:pt idx="8548">
                  <c:v>1.1666788527515433E-2</c:v>
                </c:pt>
                <c:pt idx="8549">
                  <c:v>1.4007728922314052E-2</c:v>
                </c:pt>
                <c:pt idx="8550">
                  <c:v>1.1782714009082536E-2</c:v>
                </c:pt>
                <c:pt idx="8551">
                  <c:v>1.1938642383823965E-2</c:v>
                </c:pt>
                <c:pt idx="8552">
                  <c:v>9.2121777222899034E-3</c:v>
                </c:pt>
                <c:pt idx="8553">
                  <c:v>8.2696939379610958E-3</c:v>
                </c:pt>
                <c:pt idx="8554">
                  <c:v>8.0122631637965045E-3</c:v>
                </c:pt>
                <c:pt idx="8555">
                  <c:v>9.7633697525483891E-3</c:v>
                </c:pt>
                <c:pt idx="8556">
                  <c:v>8.7576850795028811E-3</c:v>
                </c:pt>
                <c:pt idx="8557">
                  <c:v>9.0224619171278726E-3</c:v>
                </c:pt>
                <c:pt idx="8558">
                  <c:v>7.9934904222694978E-3</c:v>
                </c:pt>
                <c:pt idx="8559">
                  <c:v>1.3730342600749283E-2</c:v>
                </c:pt>
                <c:pt idx="8560">
                  <c:v>1.3487381373959448E-2</c:v>
                </c:pt>
                <c:pt idx="8561">
                  <c:v>1.0851914457040934E-2</c:v>
                </c:pt>
                <c:pt idx="8562">
                  <c:v>1.0592611218106524E-2</c:v>
                </c:pt>
                <c:pt idx="8563">
                  <c:v>1.3265952100360008E-2</c:v>
                </c:pt>
                <c:pt idx="8564">
                  <c:v>1.2984483232262421E-2</c:v>
                </c:pt>
                <c:pt idx="8565">
                  <c:v>1.0394661789811957E-2</c:v>
                </c:pt>
                <c:pt idx="8566">
                  <c:v>8.8529585614244947E-3</c:v>
                </c:pt>
                <c:pt idx="8567">
                  <c:v>2.0110298940847923E-2</c:v>
                </c:pt>
                <c:pt idx="8568">
                  <c:v>1.4257571201747832E-2</c:v>
                </c:pt>
                <c:pt idx="8569">
                  <c:v>1.1679439960907123E-2</c:v>
                </c:pt>
                <c:pt idx="8570">
                  <c:v>1.0586265939534056E-2</c:v>
                </c:pt>
                <c:pt idx="8571">
                  <c:v>1.3712318929140939E-2</c:v>
                </c:pt>
                <c:pt idx="8572">
                  <c:v>1.3673099088375294E-2</c:v>
                </c:pt>
                <c:pt idx="8573">
                  <c:v>1.4520388620247376E-2</c:v>
                </c:pt>
                <c:pt idx="8574">
                  <c:v>8.3037215871303166E-3</c:v>
                </c:pt>
                <c:pt idx="8575">
                  <c:v>8.1967121516814106E-3</c:v>
                </c:pt>
                <c:pt idx="8576">
                  <c:v>1.1762508707316032E-2</c:v>
                </c:pt>
                <c:pt idx="8577">
                  <c:v>1.0867648745875674E-2</c:v>
                </c:pt>
                <c:pt idx="8578">
                  <c:v>1.2427981283238418E-2</c:v>
                </c:pt>
                <c:pt idx="8579">
                  <c:v>1.2971316369719028E-2</c:v>
                </c:pt>
                <c:pt idx="8580">
                  <c:v>1.2938888807049005E-2</c:v>
                </c:pt>
                <c:pt idx="8581">
                  <c:v>1.3149722709983705E-2</c:v>
                </c:pt>
                <c:pt idx="8582">
                  <c:v>1.032897296462376E-2</c:v>
                </c:pt>
                <c:pt idx="8583">
                  <c:v>1.1506796444162812E-2</c:v>
                </c:pt>
                <c:pt idx="8584">
                  <c:v>9.7282270957646001E-3</c:v>
                </c:pt>
                <c:pt idx="8585">
                  <c:v>1.0590393130763162E-2</c:v>
                </c:pt>
                <c:pt idx="8586">
                  <c:v>8.2780419199213924E-3</c:v>
                </c:pt>
                <c:pt idx="8587">
                  <c:v>1.2464541157568784E-2</c:v>
                </c:pt>
                <c:pt idx="8588">
                  <c:v>1.0735348042443069E-2</c:v>
                </c:pt>
                <c:pt idx="8589">
                  <c:v>1.3349956856932119E-2</c:v>
                </c:pt>
                <c:pt idx="8590">
                  <c:v>1.1733488492468365E-2</c:v>
                </c:pt>
                <c:pt idx="8591">
                  <c:v>1.1282492847457236E-2</c:v>
                </c:pt>
                <c:pt idx="8592">
                  <c:v>1.1568901493928377E-2</c:v>
                </c:pt>
                <c:pt idx="8593">
                  <c:v>1.2651523744242195E-2</c:v>
                </c:pt>
                <c:pt idx="8594">
                  <c:v>1.6175395812214863E-2</c:v>
                </c:pt>
                <c:pt idx="8595">
                  <c:v>1.3922816304198157E-2</c:v>
                </c:pt>
                <c:pt idx="8596">
                  <c:v>1.3818197784530556E-2</c:v>
                </c:pt>
                <c:pt idx="8597">
                  <c:v>1.3455184071354355E-2</c:v>
                </c:pt>
                <c:pt idx="8598">
                  <c:v>1.4286554717990773E-2</c:v>
                </c:pt>
                <c:pt idx="8599">
                  <c:v>1.0076868768654958E-2</c:v>
                </c:pt>
                <c:pt idx="8600">
                  <c:v>1.135738211950953E-2</c:v>
                </c:pt>
                <c:pt idx="8601">
                  <c:v>1.0970044002645047E-2</c:v>
                </c:pt>
                <c:pt idx="8602">
                  <c:v>1.1231094928697349E-2</c:v>
                </c:pt>
                <c:pt idx="8603">
                  <c:v>1.1701313684358464E-2</c:v>
                </c:pt>
                <c:pt idx="8604">
                  <c:v>1.0381726176756166E-2</c:v>
                </c:pt>
                <c:pt idx="8605">
                  <c:v>1.1444309931303692E-2</c:v>
                </c:pt>
                <c:pt idx="8606">
                  <c:v>1.3161990521218797E-2</c:v>
                </c:pt>
                <c:pt idx="8607">
                  <c:v>1.2245908676590124E-2</c:v>
                </c:pt>
                <c:pt idx="8608">
                  <c:v>1.3407371630469306E-2</c:v>
                </c:pt>
                <c:pt idx="8609">
                  <c:v>1.3392599671913672E-2</c:v>
                </c:pt>
                <c:pt idx="8610">
                  <c:v>8.1307770167029659E-3</c:v>
                </c:pt>
                <c:pt idx="8611">
                  <c:v>1.4265053679088587E-2</c:v>
                </c:pt>
                <c:pt idx="8612">
                  <c:v>1.4305835952958493E-2</c:v>
                </c:pt>
                <c:pt idx="8613">
                  <c:v>1.003038190104218E-2</c:v>
                </c:pt>
                <c:pt idx="8614">
                  <c:v>1.1957100398336938E-2</c:v>
                </c:pt>
                <c:pt idx="8615">
                  <c:v>1.358613233204079E-2</c:v>
                </c:pt>
                <c:pt idx="8616">
                  <c:v>1.0619679996343235E-2</c:v>
                </c:pt>
                <c:pt idx="8617">
                  <c:v>8.6149896007980085E-3</c:v>
                </c:pt>
                <c:pt idx="8618">
                  <c:v>1.1815014796428443E-2</c:v>
                </c:pt>
                <c:pt idx="8619">
                  <c:v>1.1731029587955978E-2</c:v>
                </c:pt>
                <c:pt idx="8620">
                  <c:v>1.2000911507021072E-2</c:v>
                </c:pt>
                <c:pt idx="8621">
                  <c:v>1.0361523210447041E-2</c:v>
                </c:pt>
                <c:pt idx="8622">
                  <c:v>8.2799892704378941E-3</c:v>
                </c:pt>
                <c:pt idx="8623">
                  <c:v>9.1931363685139583E-3</c:v>
                </c:pt>
                <c:pt idx="8624">
                  <c:v>1.4039168797928001E-2</c:v>
                </c:pt>
                <c:pt idx="8625">
                  <c:v>1.15177194917646E-2</c:v>
                </c:pt>
                <c:pt idx="8626">
                  <c:v>1.1685466428920438E-2</c:v>
                </c:pt>
                <c:pt idx="8627">
                  <c:v>9.5900416624369374E-3</c:v>
                </c:pt>
                <c:pt idx="8628">
                  <c:v>1.3939241859288954E-2</c:v>
                </c:pt>
                <c:pt idx="8629">
                  <c:v>8.7994611206620235E-3</c:v>
                </c:pt>
                <c:pt idx="8630">
                  <c:v>1.1480807860928893E-2</c:v>
                </c:pt>
                <c:pt idx="8631">
                  <c:v>1.0246604759406641E-2</c:v>
                </c:pt>
                <c:pt idx="8632">
                  <c:v>1.1912037986230474E-2</c:v>
                </c:pt>
                <c:pt idx="8633">
                  <c:v>1.2202930893466558E-2</c:v>
                </c:pt>
                <c:pt idx="8634">
                  <c:v>9.9859644333797782E-3</c:v>
                </c:pt>
                <c:pt idx="8635">
                  <c:v>1.3933876878671314E-2</c:v>
                </c:pt>
                <c:pt idx="8636">
                  <c:v>1.154418830069477E-2</c:v>
                </c:pt>
                <c:pt idx="8637">
                  <c:v>1.2400692289430576E-2</c:v>
                </c:pt>
                <c:pt idx="8638">
                  <c:v>1.487060480416374E-2</c:v>
                </c:pt>
                <c:pt idx="8639">
                  <c:v>1.1730946216049344E-2</c:v>
                </c:pt>
                <c:pt idx="8640">
                  <c:v>1.2220380352836189E-2</c:v>
                </c:pt>
                <c:pt idx="8641">
                  <c:v>1.5680650345006552E-2</c:v>
                </c:pt>
                <c:pt idx="8642">
                  <c:v>8.4468599867005487E-3</c:v>
                </c:pt>
                <c:pt idx="8643">
                  <c:v>1.0963078884313813E-2</c:v>
                </c:pt>
                <c:pt idx="8644">
                  <c:v>1.253200296112942E-2</c:v>
                </c:pt>
                <c:pt idx="8645">
                  <c:v>1.3696806740762532E-2</c:v>
                </c:pt>
                <c:pt idx="8646">
                  <c:v>1.2107999975335187E-2</c:v>
                </c:pt>
                <c:pt idx="8647">
                  <c:v>1.1275296672455941E-2</c:v>
                </c:pt>
                <c:pt idx="8648">
                  <c:v>1.2538892733741385E-2</c:v>
                </c:pt>
                <c:pt idx="8649">
                  <c:v>1.0472491343350748E-2</c:v>
                </c:pt>
                <c:pt idx="8650">
                  <c:v>1.4721531183150352E-2</c:v>
                </c:pt>
                <c:pt idx="8651">
                  <c:v>1.3281499864569378E-2</c:v>
                </c:pt>
                <c:pt idx="8652">
                  <c:v>1.004184119528532E-2</c:v>
                </c:pt>
                <c:pt idx="8653">
                  <c:v>9.3810110532438623E-3</c:v>
                </c:pt>
                <c:pt idx="8654">
                  <c:v>1.0799720905774565E-2</c:v>
                </c:pt>
                <c:pt idx="8655">
                  <c:v>1.0100910539975886E-2</c:v>
                </c:pt>
                <c:pt idx="8656">
                  <c:v>1.0467537846257143E-2</c:v>
                </c:pt>
                <c:pt idx="8657">
                  <c:v>1.2284974856721005E-2</c:v>
                </c:pt>
                <c:pt idx="8658">
                  <c:v>1.5097971323193871E-2</c:v>
                </c:pt>
                <c:pt idx="8659">
                  <c:v>1.3071163296213535E-2</c:v>
                </c:pt>
                <c:pt idx="8660">
                  <c:v>8.9583939838595045E-3</c:v>
                </c:pt>
                <c:pt idx="8661">
                  <c:v>1.1875085789068015E-2</c:v>
                </c:pt>
                <c:pt idx="8662">
                  <c:v>1.6063810573149703E-2</c:v>
                </c:pt>
                <c:pt idx="8663">
                  <c:v>1.4698057579561248E-2</c:v>
                </c:pt>
                <c:pt idx="8664">
                  <c:v>1.2291871399225945E-2</c:v>
                </c:pt>
                <c:pt idx="8665">
                  <c:v>1.2216160962241292E-2</c:v>
                </c:pt>
                <c:pt idx="8666">
                  <c:v>1.5059548434419088E-2</c:v>
                </c:pt>
                <c:pt idx="8667">
                  <c:v>1.1475886192122193E-2</c:v>
                </c:pt>
                <c:pt idx="8668">
                  <c:v>9.6782137435616564E-3</c:v>
                </c:pt>
                <c:pt idx="8669">
                  <c:v>1.2062029686216835E-2</c:v>
                </c:pt>
                <c:pt idx="8670">
                  <c:v>1.3666105363183868E-2</c:v>
                </c:pt>
                <c:pt idx="8671">
                  <c:v>9.9513675135472438E-3</c:v>
                </c:pt>
                <c:pt idx="8672">
                  <c:v>9.7837653272918011E-3</c:v>
                </c:pt>
                <c:pt idx="8673">
                  <c:v>1.4456414615405791E-2</c:v>
                </c:pt>
                <c:pt idx="8674">
                  <c:v>1.1192960717374564E-2</c:v>
                </c:pt>
                <c:pt idx="8675">
                  <c:v>1.3835265857540363E-2</c:v>
                </c:pt>
                <c:pt idx="8676">
                  <c:v>1.2508750196870097E-2</c:v>
                </c:pt>
                <c:pt idx="8677">
                  <c:v>1.0188289878766112E-2</c:v>
                </c:pt>
                <c:pt idx="8678">
                  <c:v>9.9346499450342803E-3</c:v>
                </c:pt>
                <c:pt idx="8679">
                  <c:v>1.1466351106354359E-2</c:v>
                </c:pt>
                <c:pt idx="8680">
                  <c:v>8.7901283552580881E-3</c:v>
                </c:pt>
                <c:pt idx="8681">
                  <c:v>1.2001973745862874E-2</c:v>
                </c:pt>
                <c:pt idx="8682">
                  <c:v>1.1128650291174897E-2</c:v>
                </c:pt>
                <c:pt idx="8683">
                  <c:v>1.3049317919703872E-2</c:v>
                </c:pt>
                <c:pt idx="8684">
                  <c:v>1.043837521253012E-2</c:v>
                </c:pt>
                <c:pt idx="8685">
                  <c:v>1.3619805440315137E-2</c:v>
                </c:pt>
                <c:pt idx="8686">
                  <c:v>1.2788758329350771E-2</c:v>
                </c:pt>
                <c:pt idx="8687">
                  <c:v>9.2657155055869776E-3</c:v>
                </c:pt>
                <c:pt idx="8688">
                  <c:v>1.3526129993568007E-2</c:v>
                </c:pt>
                <c:pt idx="8689">
                  <c:v>1.0006583262916032E-2</c:v>
                </c:pt>
                <c:pt idx="8690">
                  <c:v>1.0766627981829811E-2</c:v>
                </c:pt>
                <c:pt idx="8691">
                  <c:v>9.4186577365230721E-3</c:v>
                </c:pt>
                <c:pt idx="8692">
                  <c:v>1.2340083445524425E-2</c:v>
                </c:pt>
                <c:pt idx="8693">
                  <c:v>1.181460389167951E-2</c:v>
                </c:pt>
                <c:pt idx="8694">
                  <c:v>9.8226389799203548E-3</c:v>
                </c:pt>
                <c:pt idx="8695">
                  <c:v>1.2644577859251641E-2</c:v>
                </c:pt>
                <c:pt idx="8696">
                  <c:v>1.256903253688238E-2</c:v>
                </c:pt>
                <c:pt idx="8697">
                  <c:v>1.4096801818937426E-2</c:v>
                </c:pt>
                <c:pt idx="8698">
                  <c:v>8.2741879462247207E-3</c:v>
                </c:pt>
                <c:pt idx="8699">
                  <c:v>1.2468100709313886E-2</c:v>
                </c:pt>
                <c:pt idx="8700">
                  <c:v>1.0991829819718567E-2</c:v>
                </c:pt>
                <c:pt idx="8701">
                  <c:v>1.1079555632749916E-2</c:v>
                </c:pt>
                <c:pt idx="8702">
                  <c:v>8.8938637926864166E-3</c:v>
                </c:pt>
                <c:pt idx="8703">
                  <c:v>1.3038916076954741E-2</c:v>
                </c:pt>
                <c:pt idx="8704">
                  <c:v>1.0660457615137018E-2</c:v>
                </c:pt>
                <c:pt idx="8705">
                  <c:v>1.0367782813720774E-2</c:v>
                </c:pt>
                <c:pt idx="8706">
                  <c:v>1.2699656140774979E-2</c:v>
                </c:pt>
                <c:pt idx="8707">
                  <c:v>1.0806696219161804E-2</c:v>
                </c:pt>
                <c:pt idx="8708">
                  <c:v>9.9888850414271355E-3</c:v>
                </c:pt>
                <c:pt idx="8709">
                  <c:v>1.0974627642004646E-2</c:v>
                </c:pt>
                <c:pt idx="8710">
                  <c:v>9.5493408143597965E-3</c:v>
                </c:pt>
                <c:pt idx="8711">
                  <c:v>1.4912674629578897E-2</c:v>
                </c:pt>
                <c:pt idx="8712">
                  <c:v>1.2069056731768901E-2</c:v>
                </c:pt>
                <c:pt idx="8713">
                  <c:v>1.6141873695946014E-2</c:v>
                </c:pt>
                <c:pt idx="8714">
                  <c:v>9.8562850778852931E-3</c:v>
                </c:pt>
                <c:pt idx="8715">
                  <c:v>1.4133448398847011E-2</c:v>
                </c:pt>
                <c:pt idx="8716">
                  <c:v>1.2277083385662756E-2</c:v>
                </c:pt>
                <c:pt idx="8717">
                  <c:v>1.4111542793350484E-2</c:v>
                </c:pt>
                <c:pt idx="8718">
                  <c:v>1.1704306222091423E-2</c:v>
                </c:pt>
                <c:pt idx="8719">
                  <c:v>1.0648016079976978E-2</c:v>
                </c:pt>
                <c:pt idx="8720">
                  <c:v>1.0198851496072773E-2</c:v>
                </c:pt>
                <c:pt idx="8721">
                  <c:v>9.445295166394297E-3</c:v>
                </c:pt>
                <c:pt idx="8722">
                  <c:v>9.5080267179691123E-3</c:v>
                </c:pt>
                <c:pt idx="8723">
                  <c:v>1.1203257357678666E-2</c:v>
                </c:pt>
                <c:pt idx="8724">
                  <c:v>9.6141399707741076E-3</c:v>
                </c:pt>
                <c:pt idx="8725">
                  <c:v>1.2955105778136588E-2</c:v>
                </c:pt>
                <c:pt idx="8726">
                  <c:v>1.387844237788179E-2</c:v>
                </c:pt>
                <c:pt idx="8727">
                  <c:v>1.058993499441125E-2</c:v>
                </c:pt>
                <c:pt idx="8728">
                  <c:v>9.5233413993755216E-3</c:v>
                </c:pt>
                <c:pt idx="8729">
                  <c:v>9.3433223363179087E-3</c:v>
                </c:pt>
                <c:pt idx="8730">
                  <c:v>1.1675089953261204E-2</c:v>
                </c:pt>
                <c:pt idx="8731">
                  <c:v>1.411294695344841E-2</c:v>
                </c:pt>
                <c:pt idx="8732">
                  <c:v>1.0272049841377884E-2</c:v>
                </c:pt>
                <c:pt idx="8733">
                  <c:v>1.015400457579013E-2</c:v>
                </c:pt>
                <c:pt idx="8734">
                  <c:v>9.2890735317681297E-3</c:v>
                </c:pt>
                <c:pt idx="8735">
                  <c:v>1.0019099425866878E-2</c:v>
                </c:pt>
                <c:pt idx="8736">
                  <c:v>1.1243914226959856E-2</c:v>
                </c:pt>
                <c:pt idx="8737">
                  <c:v>1.1774095838906084E-2</c:v>
                </c:pt>
                <c:pt idx="8738">
                  <c:v>1.2576572364183429E-2</c:v>
                </c:pt>
                <c:pt idx="8739">
                  <c:v>1.4145776999306579E-2</c:v>
                </c:pt>
                <c:pt idx="8740">
                  <c:v>1.2509085440861727E-2</c:v>
                </c:pt>
                <c:pt idx="8741">
                  <c:v>1.3178792713038397E-2</c:v>
                </c:pt>
                <c:pt idx="8742">
                  <c:v>1.1913307346175716E-2</c:v>
                </c:pt>
                <c:pt idx="8743">
                  <c:v>1.3445641660182753E-2</c:v>
                </c:pt>
                <c:pt idx="8744">
                  <c:v>1.3837606981194232E-2</c:v>
                </c:pt>
                <c:pt idx="8745">
                  <c:v>1.1188365422401673E-2</c:v>
                </c:pt>
                <c:pt idx="8746">
                  <c:v>1.2128445306404969E-2</c:v>
                </c:pt>
                <c:pt idx="8747">
                  <c:v>1.1346687227089789E-2</c:v>
                </c:pt>
                <c:pt idx="8748">
                  <c:v>1.5546034928004214E-2</c:v>
                </c:pt>
                <c:pt idx="8749">
                  <c:v>1.1312756880210953E-2</c:v>
                </c:pt>
                <c:pt idx="8750">
                  <c:v>1.1133947609681387E-2</c:v>
                </c:pt>
                <c:pt idx="8751">
                  <c:v>1.7361200396119967E-2</c:v>
                </c:pt>
                <c:pt idx="8752">
                  <c:v>1.0864059764363155E-2</c:v>
                </c:pt>
                <c:pt idx="8753">
                  <c:v>1.2101627062728536E-2</c:v>
                </c:pt>
                <c:pt idx="8754">
                  <c:v>1.4113669992505863E-2</c:v>
                </c:pt>
                <c:pt idx="8755">
                  <c:v>1.0972602969450015E-2</c:v>
                </c:pt>
                <c:pt idx="8756">
                  <c:v>1.7409824978897995E-2</c:v>
                </c:pt>
                <c:pt idx="8757">
                  <c:v>9.488924369374676E-3</c:v>
                </c:pt>
                <c:pt idx="8758">
                  <c:v>1.2591403964785124E-2</c:v>
                </c:pt>
                <c:pt idx="8759">
                  <c:v>8.5276245782597796E-3</c:v>
                </c:pt>
                <c:pt idx="8760">
                  <c:v>1.0994820535534768E-2</c:v>
                </c:pt>
                <c:pt idx="8761">
                  <c:v>1.085345514179345E-2</c:v>
                </c:pt>
                <c:pt idx="8762">
                  <c:v>1.0875478469755168E-2</c:v>
                </c:pt>
                <c:pt idx="8763">
                  <c:v>1.1448552299791921E-2</c:v>
                </c:pt>
                <c:pt idx="8764">
                  <c:v>1.0826380222832992E-2</c:v>
                </c:pt>
                <c:pt idx="8765">
                  <c:v>9.9035160850266101E-3</c:v>
                </c:pt>
                <c:pt idx="8766">
                  <c:v>8.0759416452469181E-3</c:v>
                </c:pt>
                <c:pt idx="8767">
                  <c:v>1.1681108020157182E-2</c:v>
                </c:pt>
                <c:pt idx="8768">
                  <c:v>1.0418775274683555E-2</c:v>
                </c:pt>
                <c:pt idx="8769">
                  <c:v>1.5771862807048464E-2</c:v>
                </c:pt>
                <c:pt idx="8770">
                  <c:v>1.6137063006019633E-2</c:v>
                </c:pt>
                <c:pt idx="8771">
                  <c:v>1.2615269624644074E-2</c:v>
                </c:pt>
                <c:pt idx="8772">
                  <c:v>9.8753636316863853E-3</c:v>
                </c:pt>
                <c:pt idx="8773">
                  <c:v>1.2716472043227298E-2</c:v>
                </c:pt>
                <c:pt idx="8774">
                  <c:v>1.1184269090105685E-2</c:v>
                </c:pt>
                <c:pt idx="8775">
                  <c:v>9.7437485210198002E-3</c:v>
                </c:pt>
                <c:pt idx="8776">
                  <c:v>9.2255129170204613E-3</c:v>
                </c:pt>
                <c:pt idx="8777">
                  <c:v>1.7433694205485118E-2</c:v>
                </c:pt>
                <c:pt idx="8778">
                  <c:v>1.169094638810219E-2</c:v>
                </c:pt>
                <c:pt idx="8779">
                  <c:v>1.0430843629676874E-2</c:v>
                </c:pt>
                <c:pt idx="8780">
                  <c:v>1.1874308028491281E-2</c:v>
                </c:pt>
                <c:pt idx="8781">
                  <c:v>1.4463037193915064E-2</c:v>
                </c:pt>
                <c:pt idx="8782">
                  <c:v>1.1116102907406998E-2</c:v>
                </c:pt>
                <c:pt idx="8783">
                  <c:v>1.4548915034873761E-2</c:v>
                </c:pt>
                <c:pt idx="8784">
                  <c:v>8.9782064933250309E-3</c:v>
                </c:pt>
                <c:pt idx="8785">
                  <c:v>7.5379073531055647E-3</c:v>
                </c:pt>
                <c:pt idx="8786">
                  <c:v>9.6652456207457754E-3</c:v>
                </c:pt>
                <c:pt idx="8787">
                  <c:v>1.0634997918985702E-2</c:v>
                </c:pt>
                <c:pt idx="8788">
                  <c:v>1.2312672278270086E-2</c:v>
                </c:pt>
                <c:pt idx="8789">
                  <c:v>7.7398551302930588E-3</c:v>
                </c:pt>
                <c:pt idx="8790">
                  <c:v>1.0950870658284789E-2</c:v>
                </c:pt>
                <c:pt idx="8791">
                  <c:v>1.1092536292308018E-2</c:v>
                </c:pt>
                <c:pt idx="8792">
                  <c:v>9.4723540657361289E-3</c:v>
                </c:pt>
                <c:pt idx="8793">
                  <c:v>9.139092376981163E-3</c:v>
                </c:pt>
                <c:pt idx="8794">
                  <c:v>9.4545815988152579E-3</c:v>
                </c:pt>
                <c:pt idx="8795">
                  <c:v>9.984012068524872E-3</c:v>
                </c:pt>
                <c:pt idx="8796">
                  <c:v>1.3031724303389898E-2</c:v>
                </c:pt>
                <c:pt idx="8797">
                  <c:v>1.2226823553812096E-2</c:v>
                </c:pt>
                <c:pt idx="8798">
                  <c:v>1.2346142062370986E-2</c:v>
                </c:pt>
                <c:pt idx="8799">
                  <c:v>8.9938553443287775E-3</c:v>
                </c:pt>
                <c:pt idx="8800">
                  <c:v>1.0642631338500099E-2</c:v>
                </c:pt>
                <c:pt idx="8801">
                  <c:v>9.8966571072755319E-3</c:v>
                </c:pt>
                <c:pt idx="8802">
                  <c:v>1.3872268852304182E-2</c:v>
                </c:pt>
                <c:pt idx="8803">
                  <c:v>1.1189059163954778E-2</c:v>
                </c:pt>
                <c:pt idx="8804">
                  <c:v>9.2265805381719513E-3</c:v>
                </c:pt>
                <c:pt idx="8805">
                  <c:v>1.0361245516944714E-2</c:v>
                </c:pt>
                <c:pt idx="8806">
                  <c:v>9.7810118985306588E-3</c:v>
                </c:pt>
                <c:pt idx="8807">
                  <c:v>9.414633501002417E-3</c:v>
                </c:pt>
                <c:pt idx="8808">
                  <c:v>1.4727783634668871E-2</c:v>
                </c:pt>
                <c:pt idx="8809">
                  <c:v>1.76594691922114E-2</c:v>
                </c:pt>
                <c:pt idx="8810">
                  <c:v>9.1657386062367931E-3</c:v>
                </c:pt>
                <c:pt idx="8811">
                  <c:v>1.1737344895412765E-2</c:v>
                </c:pt>
                <c:pt idx="8812">
                  <c:v>1.4756544107491396E-2</c:v>
                </c:pt>
                <c:pt idx="8813">
                  <c:v>1.1168256859300825E-2</c:v>
                </c:pt>
                <c:pt idx="8814">
                  <c:v>9.5154028477229657E-3</c:v>
                </c:pt>
                <c:pt idx="8815">
                  <c:v>1.1960980709502944E-2</c:v>
                </c:pt>
                <c:pt idx="8816">
                  <c:v>9.654475374063826E-3</c:v>
                </c:pt>
                <c:pt idx="8817">
                  <c:v>1.4536209929104772E-2</c:v>
                </c:pt>
                <c:pt idx="8818">
                  <c:v>1.0249365748813848E-2</c:v>
                </c:pt>
                <c:pt idx="8819">
                  <c:v>1.2710478551797766E-2</c:v>
                </c:pt>
                <c:pt idx="8820">
                  <c:v>1.0418510186105255E-2</c:v>
                </c:pt>
                <c:pt idx="8821">
                  <c:v>1.0077170236989336E-2</c:v>
                </c:pt>
                <c:pt idx="8822">
                  <c:v>1.1873518723234821E-2</c:v>
                </c:pt>
                <c:pt idx="8823">
                  <c:v>1.7914921801625398E-2</c:v>
                </c:pt>
                <c:pt idx="8824">
                  <c:v>9.6321418799635069E-3</c:v>
                </c:pt>
                <c:pt idx="8825">
                  <c:v>9.4537356245426949E-3</c:v>
                </c:pt>
                <c:pt idx="8826">
                  <c:v>1.0294683962891338E-2</c:v>
                </c:pt>
                <c:pt idx="8827">
                  <c:v>8.2228401099157678E-3</c:v>
                </c:pt>
                <c:pt idx="8828">
                  <c:v>8.0156835260185369E-3</c:v>
                </c:pt>
                <c:pt idx="8829">
                  <c:v>9.6445679814745489E-3</c:v>
                </c:pt>
                <c:pt idx="8830">
                  <c:v>1.1115019264503125E-2</c:v>
                </c:pt>
                <c:pt idx="8831">
                  <c:v>9.5530359718758139E-3</c:v>
                </c:pt>
                <c:pt idx="8832">
                  <c:v>1.1445680091862226E-2</c:v>
                </c:pt>
                <c:pt idx="8833">
                  <c:v>1.155618667166425E-2</c:v>
                </c:pt>
                <c:pt idx="8834">
                  <c:v>1.2531773398682604E-2</c:v>
                </c:pt>
                <c:pt idx="8835">
                  <c:v>1.5267305524514758E-2</c:v>
                </c:pt>
                <c:pt idx="8836">
                  <c:v>9.9254179878773205E-3</c:v>
                </c:pt>
                <c:pt idx="8837">
                  <c:v>1.4403129798223479E-2</c:v>
                </c:pt>
                <c:pt idx="8838">
                  <c:v>1.2244713557577501E-2</c:v>
                </c:pt>
                <c:pt idx="8839">
                  <c:v>1.3147738392273321E-2</c:v>
                </c:pt>
                <c:pt idx="8840">
                  <c:v>1.5540048529958588E-2</c:v>
                </c:pt>
                <c:pt idx="8841">
                  <c:v>9.9724777219791314E-3</c:v>
                </c:pt>
                <c:pt idx="8842">
                  <c:v>1.1769427863501004E-2</c:v>
                </c:pt>
                <c:pt idx="8843">
                  <c:v>1.3568032503165857E-2</c:v>
                </c:pt>
                <c:pt idx="8844">
                  <c:v>1.1958090523439071E-2</c:v>
                </c:pt>
                <c:pt idx="8845">
                  <c:v>1.0698341650191063E-2</c:v>
                </c:pt>
                <c:pt idx="8846">
                  <c:v>1.2322490473683383E-2</c:v>
                </c:pt>
                <c:pt idx="8847">
                  <c:v>1.0591233823757255E-2</c:v>
                </c:pt>
                <c:pt idx="8848">
                  <c:v>1.1471365482301838E-2</c:v>
                </c:pt>
                <c:pt idx="8849">
                  <c:v>1.0158201842728712E-2</c:v>
                </c:pt>
                <c:pt idx="8850">
                  <c:v>9.5995735423407592E-3</c:v>
                </c:pt>
                <c:pt idx="8851">
                  <c:v>1.2388854808842387E-2</c:v>
                </c:pt>
                <c:pt idx="8852">
                  <c:v>1.3147052977819304E-2</c:v>
                </c:pt>
                <c:pt idx="8853">
                  <c:v>1.2126344073733291E-2</c:v>
                </c:pt>
                <c:pt idx="8854">
                  <c:v>8.8366806199015411E-3</c:v>
                </c:pt>
                <c:pt idx="8855">
                  <c:v>1.1587123517564192E-2</c:v>
                </c:pt>
                <c:pt idx="8856">
                  <c:v>1.1467642914356859E-2</c:v>
                </c:pt>
                <c:pt idx="8857">
                  <c:v>9.241050663573969E-3</c:v>
                </c:pt>
                <c:pt idx="8858">
                  <c:v>1.322484438640086E-2</c:v>
                </c:pt>
                <c:pt idx="8859">
                  <c:v>9.105205743026909E-3</c:v>
                </c:pt>
                <c:pt idx="8860">
                  <c:v>1.4269421043059225E-2</c:v>
                </c:pt>
                <c:pt idx="8861">
                  <c:v>9.7545366458363422E-3</c:v>
                </c:pt>
                <c:pt idx="8862">
                  <c:v>1.3977171873139774E-2</c:v>
                </c:pt>
                <c:pt idx="8863">
                  <c:v>1.1013066284385373E-2</c:v>
                </c:pt>
                <c:pt idx="8864">
                  <c:v>1.1849744282734118E-2</c:v>
                </c:pt>
                <c:pt idx="8865">
                  <c:v>1.1265589440859709E-2</c:v>
                </c:pt>
                <c:pt idx="8866">
                  <c:v>1.2012895893729931E-2</c:v>
                </c:pt>
                <c:pt idx="8867">
                  <c:v>1.1206590199071526E-2</c:v>
                </c:pt>
                <c:pt idx="8868">
                  <c:v>7.0480545301489835E-3</c:v>
                </c:pt>
                <c:pt idx="8869">
                  <c:v>1.2063245559105387E-2</c:v>
                </c:pt>
                <c:pt idx="8870">
                  <c:v>1.1863278663002951E-2</c:v>
                </c:pt>
                <c:pt idx="8871">
                  <c:v>1.0167948609359836E-2</c:v>
                </c:pt>
                <c:pt idx="8872">
                  <c:v>1.5537164225750522E-2</c:v>
                </c:pt>
                <c:pt idx="8873">
                  <c:v>1.3498665553013985E-2</c:v>
                </c:pt>
                <c:pt idx="8874">
                  <c:v>9.2127861280752437E-3</c:v>
                </c:pt>
                <c:pt idx="8875">
                  <c:v>1.1960534724170883E-2</c:v>
                </c:pt>
                <c:pt idx="8876">
                  <c:v>1.1488752203275459E-2</c:v>
                </c:pt>
                <c:pt idx="8877">
                  <c:v>1.1618256820420376E-2</c:v>
                </c:pt>
                <c:pt idx="8878">
                  <c:v>1.3774619696065582E-2</c:v>
                </c:pt>
                <c:pt idx="8879">
                  <c:v>1.2308881077474269E-2</c:v>
                </c:pt>
                <c:pt idx="8880">
                  <c:v>1.2898823593107926E-2</c:v>
                </c:pt>
                <c:pt idx="8881">
                  <c:v>8.9157313031960235E-3</c:v>
                </c:pt>
                <c:pt idx="8882">
                  <c:v>1.2498460363893774E-2</c:v>
                </c:pt>
                <c:pt idx="8883">
                  <c:v>8.7196868714979302E-3</c:v>
                </c:pt>
                <c:pt idx="8884">
                  <c:v>1.1219070608975442E-2</c:v>
                </c:pt>
                <c:pt idx="8885">
                  <c:v>1.230307148082976E-2</c:v>
                </c:pt>
                <c:pt idx="8886">
                  <c:v>1.2722958894982468E-2</c:v>
                </c:pt>
                <c:pt idx="8887">
                  <c:v>1.1026882963448977E-2</c:v>
                </c:pt>
                <c:pt idx="8888">
                  <c:v>1.3057704831882131E-2</c:v>
                </c:pt>
                <c:pt idx="8889">
                  <c:v>1.2263169402367192E-2</c:v>
                </c:pt>
                <c:pt idx="8890">
                  <c:v>1.4860374810708158E-2</c:v>
                </c:pt>
                <c:pt idx="8891">
                  <c:v>9.9756854951339735E-3</c:v>
                </c:pt>
                <c:pt idx="8892">
                  <c:v>9.1892558086699039E-3</c:v>
                </c:pt>
                <c:pt idx="8893">
                  <c:v>9.4225493785237285E-3</c:v>
                </c:pt>
                <c:pt idx="8894">
                  <c:v>1.0955656958204874E-2</c:v>
                </c:pt>
                <c:pt idx="8895">
                  <c:v>9.9294100541046926E-3</c:v>
                </c:pt>
                <c:pt idx="8896">
                  <c:v>1.3342347993799481E-2</c:v>
                </c:pt>
                <c:pt idx="8897">
                  <c:v>1.1218676528334259E-2</c:v>
                </c:pt>
                <c:pt idx="8898">
                  <c:v>1.7017859018854109E-2</c:v>
                </c:pt>
                <c:pt idx="8899">
                  <c:v>1.2986643370215373E-2</c:v>
                </c:pt>
                <c:pt idx="8900">
                  <c:v>1.0914780553593828E-2</c:v>
                </c:pt>
                <c:pt idx="8901">
                  <c:v>1.3738628410041738E-2</c:v>
                </c:pt>
                <c:pt idx="8902">
                  <c:v>9.8763454393091098E-3</c:v>
                </c:pt>
                <c:pt idx="8903">
                  <c:v>7.9477622727017888E-3</c:v>
                </c:pt>
                <c:pt idx="8904">
                  <c:v>9.8329351460281246E-3</c:v>
                </c:pt>
                <c:pt idx="8905">
                  <c:v>1.0959122293551289E-2</c:v>
                </c:pt>
                <c:pt idx="8906">
                  <c:v>9.5614896551165455E-3</c:v>
                </c:pt>
                <c:pt idx="8907">
                  <c:v>1.3183977324292231E-2</c:v>
                </c:pt>
                <c:pt idx="8908">
                  <c:v>1.3152548774011709E-2</c:v>
                </c:pt>
                <c:pt idx="8909">
                  <c:v>9.0268258778186915E-3</c:v>
                </c:pt>
                <c:pt idx="8910">
                  <c:v>1.4114375523582223E-2</c:v>
                </c:pt>
                <c:pt idx="8911">
                  <c:v>1.2798186055986689E-2</c:v>
                </c:pt>
                <c:pt idx="8912">
                  <c:v>9.3405537832281036E-3</c:v>
                </c:pt>
                <c:pt idx="8913">
                  <c:v>1.2839171357407206E-2</c:v>
                </c:pt>
                <c:pt idx="8914">
                  <c:v>9.7759079700795552E-3</c:v>
                </c:pt>
                <c:pt idx="8915">
                  <c:v>1.0428465501967967E-2</c:v>
                </c:pt>
                <c:pt idx="8916">
                  <c:v>1.0920902346559272E-2</c:v>
                </c:pt>
                <c:pt idx="8917">
                  <c:v>1.0935149015640456E-2</c:v>
                </c:pt>
                <c:pt idx="8918">
                  <c:v>1.2867404805314821E-2</c:v>
                </c:pt>
                <c:pt idx="8919">
                  <c:v>1.3883520968073076E-2</c:v>
                </c:pt>
                <c:pt idx="8920">
                  <c:v>1.1771818959012826E-2</c:v>
                </c:pt>
                <c:pt idx="8921">
                  <c:v>1.2763588814476028E-2</c:v>
                </c:pt>
                <c:pt idx="8922">
                  <c:v>1.2994671093086944E-2</c:v>
                </c:pt>
                <c:pt idx="8923">
                  <c:v>1.1779330335576314E-2</c:v>
                </c:pt>
                <c:pt idx="8924">
                  <c:v>1.2107897245198899E-2</c:v>
                </c:pt>
                <c:pt idx="8925">
                  <c:v>1.0573897573709795E-2</c:v>
                </c:pt>
                <c:pt idx="8926">
                  <c:v>1.013100270159765E-2</c:v>
                </c:pt>
                <c:pt idx="8927">
                  <c:v>1.2532200297383488E-2</c:v>
                </c:pt>
                <c:pt idx="8928">
                  <c:v>1.4487244062425936E-2</c:v>
                </c:pt>
                <c:pt idx="8929">
                  <c:v>1.3217158232993853E-2</c:v>
                </c:pt>
                <c:pt idx="8930">
                  <c:v>9.5345089612327173E-3</c:v>
                </c:pt>
                <c:pt idx="8931">
                  <c:v>1.2764755991566972E-2</c:v>
                </c:pt>
                <c:pt idx="8932">
                  <c:v>9.8490884091364025E-3</c:v>
                </c:pt>
                <c:pt idx="8933">
                  <c:v>1.0609860245103298E-2</c:v>
                </c:pt>
                <c:pt idx="8934">
                  <c:v>1.4175935388581126E-2</c:v>
                </c:pt>
                <c:pt idx="8935">
                  <c:v>1.0575136903110497E-2</c:v>
                </c:pt>
                <c:pt idx="8936">
                  <c:v>1.3196353769205194E-2</c:v>
                </c:pt>
                <c:pt idx="8937">
                  <c:v>9.8030110529947131E-3</c:v>
                </c:pt>
                <c:pt idx="8938">
                  <c:v>8.4005225247050282E-3</c:v>
                </c:pt>
                <c:pt idx="8939">
                  <c:v>1.0838957055124799E-2</c:v>
                </c:pt>
                <c:pt idx="8940">
                  <c:v>1.3501331065113397E-2</c:v>
                </c:pt>
                <c:pt idx="8941">
                  <c:v>1.3534818319881972E-2</c:v>
                </c:pt>
                <c:pt idx="8942">
                  <c:v>1.3743399925133938E-2</c:v>
                </c:pt>
                <c:pt idx="8943">
                  <c:v>1.1771279484824235E-2</c:v>
                </c:pt>
                <c:pt idx="8944">
                  <c:v>9.6111456838540079E-3</c:v>
                </c:pt>
                <c:pt idx="8945">
                  <c:v>1.437533883626105E-2</c:v>
                </c:pt>
                <c:pt idx="8946">
                  <c:v>1.151124157812433E-2</c:v>
                </c:pt>
                <c:pt idx="8947">
                  <c:v>8.8436117264260542E-3</c:v>
                </c:pt>
                <c:pt idx="8948">
                  <c:v>1.418201778278321E-2</c:v>
                </c:pt>
                <c:pt idx="8949">
                  <c:v>9.4855719240089422E-3</c:v>
                </c:pt>
                <c:pt idx="8950">
                  <c:v>1.100718627851183E-2</c:v>
                </c:pt>
                <c:pt idx="8951">
                  <c:v>9.4212030416590889E-3</c:v>
                </c:pt>
                <c:pt idx="8952">
                  <c:v>1.1140846926539074E-2</c:v>
                </c:pt>
                <c:pt idx="8953">
                  <c:v>1.2085161751797682E-2</c:v>
                </c:pt>
                <c:pt idx="8954">
                  <c:v>1.1713700941571559E-2</c:v>
                </c:pt>
                <c:pt idx="8955">
                  <c:v>1.1317592904957064E-2</c:v>
                </c:pt>
                <c:pt idx="8956">
                  <c:v>1.0641229796354007E-2</c:v>
                </c:pt>
                <c:pt idx="8957">
                  <c:v>1.1466923161218848E-2</c:v>
                </c:pt>
                <c:pt idx="8958">
                  <c:v>1.000173674446897E-2</c:v>
                </c:pt>
                <c:pt idx="8959">
                  <c:v>1.3768081722437878E-2</c:v>
                </c:pt>
                <c:pt idx="8960">
                  <c:v>1.063673614224718E-2</c:v>
                </c:pt>
                <c:pt idx="8961">
                  <c:v>1.1251255250943072E-2</c:v>
                </c:pt>
                <c:pt idx="8962">
                  <c:v>1.3457844535421674E-2</c:v>
                </c:pt>
                <c:pt idx="8963">
                  <c:v>9.5627031360107119E-3</c:v>
                </c:pt>
                <c:pt idx="8964">
                  <c:v>1.196903500241215E-2</c:v>
                </c:pt>
                <c:pt idx="8965">
                  <c:v>1.4159752078192029E-2</c:v>
                </c:pt>
                <c:pt idx="8966">
                  <c:v>7.9899599194051176E-3</c:v>
                </c:pt>
                <c:pt idx="8967">
                  <c:v>1.6932245059960816E-2</c:v>
                </c:pt>
                <c:pt idx="8968">
                  <c:v>1.161104259680633E-2</c:v>
                </c:pt>
                <c:pt idx="8969">
                  <c:v>1.3753935984708223E-2</c:v>
                </c:pt>
                <c:pt idx="8970">
                  <c:v>9.6458471482446153E-3</c:v>
                </c:pt>
                <c:pt idx="8971">
                  <c:v>1.2314715382969995E-2</c:v>
                </c:pt>
                <c:pt idx="8972">
                  <c:v>9.5999805415607244E-3</c:v>
                </c:pt>
                <c:pt idx="8973">
                  <c:v>1.4088192628092478E-2</c:v>
                </c:pt>
                <c:pt idx="8974">
                  <c:v>1.3876414844242766E-2</c:v>
                </c:pt>
                <c:pt idx="8975">
                  <c:v>1.1227204802940635E-2</c:v>
                </c:pt>
                <c:pt idx="8976">
                  <c:v>8.1056568779877738E-3</c:v>
                </c:pt>
                <c:pt idx="8977">
                  <c:v>1.0755266336869141E-2</c:v>
                </c:pt>
                <c:pt idx="8978">
                  <c:v>1.1959760271359863E-2</c:v>
                </c:pt>
                <c:pt idx="8979">
                  <c:v>9.2738438579666807E-3</c:v>
                </c:pt>
                <c:pt idx="8980">
                  <c:v>1.0227800867968385E-2</c:v>
                </c:pt>
                <c:pt idx="8981">
                  <c:v>1.3056112959137337E-2</c:v>
                </c:pt>
                <c:pt idx="8982">
                  <c:v>1.3686472809958437E-2</c:v>
                </c:pt>
                <c:pt idx="8983">
                  <c:v>1.3915700485353672E-2</c:v>
                </c:pt>
                <c:pt idx="8984">
                  <c:v>1.1433048058076725E-2</c:v>
                </c:pt>
                <c:pt idx="8985">
                  <c:v>1.0136237876099857E-2</c:v>
                </c:pt>
                <c:pt idx="8986">
                  <c:v>1.4617287339793695E-2</c:v>
                </c:pt>
                <c:pt idx="8987">
                  <c:v>1.2561775460248788E-2</c:v>
                </c:pt>
                <c:pt idx="8988">
                  <c:v>1.5619329155065278E-2</c:v>
                </c:pt>
                <c:pt idx="8989">
                  <c:v>8.9482199591061091E-3</c:v>
                </c:pt>
                <c:pt idx="8990">
                  <c:v>1.3102527860319613E-2</c:v>
                </c:pt>
                <c:pt idx="8991">
                  <c:v>1.1911913089594755E-2</c:v>
                </c:pt>
                <c:pt idx="8992">
                  <c:v>1.3881927086541408E-2</c:v>
                </c:pt>
                <c:pt idx="8993">
                  <c:v>1.20514462371633E-2</c:v>
                </c:pt>
                <c:pt idx="8994">
                  <c:v>9.152754790099386E-3</c:v>
                </c:pt>
                <c:pt idx="8995">
                  <c:v>1.1463349897337018E-2</c:v>
                </c:pt>
                <c:pt idx="8996">
                  <c:v>8.9157629546152434E-3</c:v>
                </c:pt>
                <c:pt idx="8997">
                  <c:v>1.4434343257795657E-2</c:v>
                </c:pt>
                <c:pt idx="8998">
                  <c:v>1.285841690929145E-2</c:v>
                </c:pt>
                <c:pt idx="8999">
                  <c:v>1.3718492554894249E-2</c:v>
                </c:pt>
                <c:pt idx="9000">
                  <c:v>1.3426659821834275E-2</c:v>
                </c:pt>
                <c:pt idx="9001">
                  <c:v>7.7119967967741237E-3</c:v>
                </c:pt>
                <c:pt idx="9002">
                  <c:v>1.3555792316768367E-2</c:v>
                </c:pt>
                <c:pt idx="9003">
                  <c:v>1.0876485648614315E-2</c:v>
                </c:pt>
                <c:pt idx="9004">
                  <c:v>1.1285908878632921E-2</c:v>
                </c:pt>
                <c:pt idx="9005">
                  <c:v>8.1188852642795767E-3</c:v>
                </c:pt>
                <c:pt idx="9006">
                  <c:v>1.0229235823856247E-2</c:v>
                </c:pt>
                <c:pt idx="9007">
                  <c:v>1.0774416251395932E-2</c:v>
                </c:pt>
                <c:pt idx="9008">
                  <c:v>1.4286465542099086E-2</c:v>
                </c:pt>
                <c:pt idx="9009">
                  <c:v>1.1095741050474098E-2</c:v>
                </c:pt>
                <c:pt idx="9010">
                  <c:v>1.0351708039844884E-2</c:v>
                </c:pt>
                <c:pt idx="9011">
                  <c:v>1.034124899976596E-2</c:v>
                </c:pt>
                <c:pt idx="9012">
                  <c:v>1.41940439290195E-2</c:v>
                </c:pt>
                <c:pt idx="9013">
                  <c:v>1.167969251762749E-2</c:v>
                </c:pt>
                <c:pt idx="9014">
                  <c:v>1.0217341518944597E-2</c:v>
                </c:pt>
                <c:pt idx="9015">
                  <c:v>1.0512143350202773E-2</c:v>
                </c:pt>
                <c:pt idx="9016">
                  <c:v>1.3197692089898282E-2</c:v>
                </c:pt>
                <c:pt idx="9017">
                  <c:v>1.2893244121901938E-2</c:v>
                </c:pt>
                <c:pt idx="9018">
                  <c:v>1.2733742370526855E-2</c:v>
                </c:pt>
                <c:pt idx="9019">
                  <c:v>1.7205584845393095E-2</c:v>
                </c:pt>
                <c:pt idx="9020">
                  <c:v>7.724861857610614E-3</c:v>
                </c:pt>
                <c:pt idx="9021">
                  <c:v>9.4601007212121203E-3</c:v>
                </c:pt>
                <c:pt idx="9022">
                  <c:v>9.9130218957672444E-3</c:v>
                </c:pt>
                <c:pt idx="9023">
                  <c:v>7.6594440255520983E-3</c:v>
                </c:pt>
                <c:pt idx="9024">
                  <c:v>8.6421475986385114E-3</c:v>
                </c:pt>
                <c:pt idx="9025">
                  <c:v>1.04333994716156E-2</c:v>
                </c:pt>
                <c:pt idx="9026">
                  <c:v>9.3165644314134426E-3</c:v>
                </c:pt>
                <c:pt idx="9027">
                  <c:v>1.1261002343004933E-2</c:v>
                </c:pt>
                <c:pt idx="9028">
                  <c:v>1.1767559780767637E-2</c:v>
                </c:pt>
                <c:pt idx="9029">
                  <c:v>1.2559452812220418E-2</c:v>
                </c:pt>
                <c:pt idx="9030">
                  <c:v>1.3561117127537744E-2</c:v>
                </c:pt>
                <c:pt idx="9031">
                  <c:v>1.0595836846534689E-2</c:v>
                </c:pt>
                <c:pt idx="9032">
                  <c:v>1.0957313335101387E-2</c:v>
                </c:pt>
                <c:pt idx="9033">
                  <c:v>1.2820620186890926E-2</c:v>
                </c:pt>
                <c:pt idx="9034">
                  <c:v>1.1677528570189529E-2</c:v>
                </c:pt>
                <c:pt idx="9035">
                  <c:v>9.7426441802535776E-3</c:v>
                </c:pt>
                <c:pt idx="9036">
                  <c:v>9.6241963963281472E-3</c:v>
                </c:pt>
                <c:pt idx="9037">
                  <c:v>1.2244199216909694E-2</c:v>
                </c:pt>
                <c:pt idx="9038">
                  <c:v>1.1725666218738042E-2</c:v>
                </c:pt>
                <c:pt idx="9039">
                  <c:v>1.382166564855542E-2</c:v>
                </c:pt>
                <c:pt idx="9040">
                  <c:v>1.2997689487140219E-2</c:v>
                </c:pt>
                <c:pt idx="9041">
                  <c:v>1.1720774161931628E-2</c:v>
                </c:pt>
                <c:pt idx="9042">
                  <c:v>1.6436735322787659E-2</c:v>
                </c:pt>
                <c:pt idx="9043">
                  <c:v>1.4676220317622245E-2</c:v>
                </c:pt>
                <c:pt idx="9044">
                  <c:v>1.0901706569657681E-2</c:v>
                </c:pt>
                <c:pt idx="9045">
                  <c:v>1.1958413137976312E-2</c:v>
                </c:pt>
                <c:pt idx="9046">
                  <c:v>9.8232959439750068E-3</c:v>
                </c:pt>
                <c:pt idx="9047">
                  <c:v>1.136560847132668E-2</c:v>
                </c:pt>
                <c:pt idx="9048">
                  <c:v>1.1084868335232402E-2</c:v>
                </c:pt>
                <c:pt idx="9049">
                  <c:v>1.6749311176057401E-2</c:v>
                </c:pt>
                <c:pt idx="9050">
                  <c:v>1.1956575018025795E-2</c:v>
                </c:pt>
                <c:pt idx="9051">
                  <c:v>1.3250750382587832E-2</c:v>
                </c:pt>
                <c:pt idx="9052">
                  <c:v>1.4213146247528764E-2</c:v>
                </c:pt>
                <c:pt idx="9053">
                  <c:v>1.3313939930674206E-2</c:v>
                </c:pt>
                <c:pt idx="9054">
                  <c:v>1.0338981547421553E-2</c:v>
                </c:pt>
                <c:pt idx="9055">
                  <c:v>1.0483275232716865E-2</c:v>
                </c:pt>
                <c:pt idx="9056">
                  <c:v>1.1968189355606066E-2</c:v>
                </c:pt>
                <c:pt idx="9057">
                  <c:v>1.2437141228480395E-2</c:v>
                </c:pt>
                <c:pt idx="9058">
                  <c:v>1.5973304047804445E-2</c:v>
                </c:pt>
                <c:pt idx="9059">
                  <c:v>1.303927175486622E-2</c:v>
                </c:pt>
                <c:pt idx="9060">
                  <c:v>9.8538136282700708E-3</c:v>
                </c:pt>
                <c:pt idx="9061">
                  <c:v>1.1075261686131972E-2</c:v>
                </c:pt>
                <c:pt idx="9062">
                  <c:v>1.1385506449950261E-2</c:v>
                </c:pt>
                <c:pt idx="9063">
                  <c:v>9.2950256691156294E-3</c:v>
                </c:pt>
                <c:pt idx="9064">
                  <c:v>1.2001936086398218E-2</c:v>
                </c:pt>
                <c:pt idx="9065">
                  <c:v>1.0162638839654084E-2</c:v>
                </c:pt>
                <c:pt idx="9066">
                  <c:v>1.2593779114013888E-2</c:v>
                </c:pt>
                <c:pt idx="9067">
                  <c:v>1.3335665831100145E-2</c:v>
                </c:pt>
                <c:pt idx="9068">
                  <c:v>1.2683153904318439E-2</c:v>
                </c:pt>
                <c:pt idx="9069">
                  <c:v>1.281195670100433E-2</c:v>
                </c:pt>
                <c:pt idx="9070">
                  <c:v>1.3897362244649254E-2</c:v>
                </c:pt>
                <c:pt idx="9071">
                  <c:v>1.3166226464983024E-2</c:v>
                </c:pt>
                <c:pt idx="9072">
                  <c:v>9.5057125813338313E-3</c:v>
                </c:pt>
                <c:pt idx="9073">
                  <c:v>1.1293842173861195E-2</c:v>
                </c:pt>
                <c:pt idx="9074">
                  <c:v>1.1707437224354066E-2</c:v>
                </c:pt>
                <c:pt idx="9075">
                  <c:v>1.0469367490973505E-2</c:v>
                </c:pt>
                <c:pt idx="9076">
                  <c:v>1.1310161454543576E-2</c:v>
                </c:pt>
                <c:pt idx="9077">
                  <c:v>1.3688745930787543E-2</c:v>
                </c:pt>
                <c:pt idx="9078">
                  <c:v>1.1288025513502517E-2</c:v>
                </c:pt>
                <c:pt idx="9079">
                  <c:v>1.0902221615515077E-2</c:v>
                </c:pt>
                <c:pt idx="9080">
                  <c:v>1.0986849509741175E-2</c:v>
                </c:pt>
                <c:pt idx="9081">
                  <c:v>1.0448135144648452E-2</c:v>
                </c:pt>
                <c:pt idx="9082">
                  <c:v>1.0218148718528532E-2</c:v>
                </c:pt>
                <c:pt idx="9083">
                  <c:v>9.2977673179967836E-3</c:v>
                </c:pt>
                <c:pt idx="9084">
                  <c:v>1.3700247937081555E-2</c:v>
                </c:pt>
                <c:pt idx="9085">
                  <c:v>1.2471800203373398E-2</c:v>
                </c:pt>
                <c:pt idx="9086">
                  <c:v>1.397199673156619E-2</c:v>
                </c:pt>
                <c:pt idx="9087">
                  <c:v>1.4341918437182037E-2</c:v>
                </c:pt>
                <c:pt idx="9088">
                  <c:v>1.7316181033072812E-2</c:v>
                </c:pt>
                <c:pt idx="9089">
                  <c:v>1.0650418594443876E-2</c:v>
                </c:pt>
                <c:pt idx="9090">
                  <c:v>1.338183572695332E-2</c:v>
                </c:pt>
                <c:pt idx="9091">
                  <c:v>1.2060028370919797E-2</c:v>
                </c:pt>
                <c:pt idx="9092">
                  <c:v>1.0981055861746471E-2</c:v>
                </c:pt>
                <c:pt idx="9093">
                  <c:v>1.0296349459077371E-2</c:v>
                </c:pt>
                <c:pt idx="9094">
                  <c:v>1.0502412199883565E-2</c:v>
                </c:pt>
                <c:pt idx="9095">
                  <c:v>1.2434280703241667E-2</c:v>
                </c:pt>
                <c:pt idx="9096">
                  <c:v>1.1688646881655242E-2</c:v>
                </c:pt>
                <c:pt idx="9097">
                  <c:v>1.1180140622937129E-2</c:v>
                </c:pt>
                <c:pt idx="9098">
                  <c:v>1.1632161739874679E-2</c:v>
                </c:pt>
                <c:pt idx="9099">
                  <c:v>8.6180553050244878E-3</c:v>
                </c:pt>
                <c:pt idx="9100">
                  <c:v>1.2000671554695348E-2</c:v>
                </c:pt>
                <c:pt idx="9101">
                  <c:v>1.5992531518584197E-2</c:v>
                </c:pt>
                <c:pt idx="9102">
                  <c:v>8.2565746279286735E-3</c:v>
                </c:pt>
                <c:pt idx="9103">
                  <c:v>1.0642532984546992E-2</c:v>
                </c:pt>
                <c:pt idx="9104">
                  <c:v>1.1653322007538597E-2</c:v>
                </c:pt>
                <c:pt idx="9105">
                  <c:v>1.3989416060405095E-2</c:v>
                </c:pt>
                <c:pt idx="9106">
                  <c:v>8.9591772469847508E-3</c:v>
                </c:pt>
                <c:pt idx="9107">
                  <c:v>1.1028092302026414E-2</c:v>
                </c:pt>
                <c:pt idx="9108">
                  <c:v>9.5879097355292351E-3</c:v>
                </c:pt>
                <c:pt idx="9109">
                  <c:v>9.98675975787385E-3</c:v>
                </c:pt>
                <c:pt idx="9110">
                  <c:v>9.844398090782927E-3</c:v>
                </c:pt>
                <c:pt idx="9111">
                  <c:v>8.2883765323835349E-3</c:v>
                </c:pt>
                <c:pt idx="9112">
                  <c:v>1.262445416775689E-2</c:v>
                </c:pt>
                <c:pt idx="9113">
                  <c:v>1.3199367194448891E-2</c:v>
                </c:pt>
                <c:pt idx="9114">
                  <c:v>1.0345212057176274E-2</c:v>
                </c:pt>
                <c:pt idx="9115">
                  <c:v>1.1445214368519859E-2</c:v>
                </c:pt>
                <c:pt idx="9116">
                  <c:v>1.428836982444218E-2</c:v>
                </c:pt>
                <c:pt idx="9117">
                  <c:v>1.0947057618805708E-2</c:v>
                </c:pt>
                <c:pt idx="9118">
                  <c:v>1.188182908829678E-2</c:v>
                </c:pt>
                <c:pt idx="9119">
                  <c:v>1.5896993527950775E-2</c:v>
                </c:pt>
                <c:pt idx="9120">
                  <c:v>1.3371657883652015E-2</c:v>
                </c:pt>
                <c:pt idx="9121">
                  <c:v>1.517508484189958E-2</c:v>
                </c:pt>
                <c:pt idx="9122">
                  <c:v>9.3689041160580893E-3</c:v>
                </c:pt>
                <c:pt idx="9123">
                  <c:v>1.6353841552362757E-2</c:v>
                </c:pt>
                <c:pt idx="9124">
                  <c:v>1.0910190882591309E-2</c:v>
                </c:pt>
                <c:pt idx="9125">
                  <c:v>8.9293854377028685E-3</c:v>
                </c:pt>
                <c:pt idx="9126">
                  <c:v>1.1364345984769503E-2</c:v>
                </c:pt>
                <c:pt idx="9127">
                  <c:v>1.4385402270897497E-2</c:v>
                </c:pt>
                <c:pt idx="9128">
                  <c:v>1.1015571007792621E-2</c:v>
                </c:pt>
                <c:pt idx="9129">
                  <c:v>1.025070212095614E-2</c:v>
                </c:pt>
                <c:pt idx="9130">
                  <c:v>1.2193707343315187E-2</c:v>
                </c:pt>
                <c:pt idx="9131">
                  <c:v>1.0845943344613737E-2</c:v>
                </c:pt>
                <c:pt idx="9132">
                  <c:v>1.1302440433135674E-2</c:v>
                </c:pt>
                <c:pt idx="9133">
                  <c:v>1.0099093724679813E-2</c:v>
                </c:pt>
                <c:pt idx="9134">
                  <c:v>1.4307303798441444E-2</c:v>
                </c:pt>
                <c:pt idx="9135">
                  <c:v>1.15871448762986E-2</c:v>
                </c:pt>
                <c:pt idx="9136">
                  <c:v>1.2254640427970887E-2</c:v>
                </c:pt>
                <c:pt idx="9137">
                  <c:v>1.0848243027829517E-2</c:v>
                </c:pt>
                <c:pt idx="9138">
                  <c:v>1.087878678185418E-2</c:v>
                </c:pt>
                <c:pt idx="9139">
                  <c:v>1.0306799848356986E-2</c:v>
                </c:pt>
                <c:pt idx="9140">
                  <c:v>1.1197407542260771E-2</c:v>
                </c:pt>
                <c:pt idx="9141">
                  <c:v>1.0513891730061588E-2</c:v>
                </c:pt>
                <c:pt idx="9142">
                  <c:v>1.2470875996013066E-2</c:v>
                </c:pt>
                <c:pt idx="9143">
                  <c:v>1.1184945498306259E-2</c:v>
                </c:pt>
                <c:pt idx="9144">
                  <c:v>9.9081122503952585E-3</c:v>
                </c:pt>
                <c:pt idx="9145">
                  <c:v>1.3780166620479319E-2</c:v>
                </c:pt>
                <c:pt idx="9146">
                  <c:v>1.154387958370673E-2</c:v>
                </c:pt>
                <c:pt idx="9147">
                  <c:v>1.35656909327024E-2</c:v>
                </c:pt>
                <c:pt idx="9148">
                  <c:v>1.1706237557100785E-2</c:v>
                </c:pt>
                <c:pt idx="9149">
                  <c:v>1.1907703427321177E-2</c:v>
                </c:pt>
                <c:pt idx="9150">
                  <c:v>1.3619334028346926E-2</c:v>
                </c:pt>
                <c:pt idx="9151">
                  <c:v>1.4609405421410461E-2</c:v>
                </c:pt>
                <c:pt idx="9152">
                  <c:v>8.6017171064348644E-3</c:v>
                </c:pt>
                <c:pt idx="9153">
                  <c:v>1.2601208261850624E-2</c:v>
                </c:pt>
                <c:pt idx="9154">
                  <c:v>1.2389979532116721E-2</c:v>
                </c:pt>
                <c:pt idx="9155">
                  <c:v>1.086457098135429E-2</c:v>
                </c:pt>
                <c:pt idx="9156">
                  <c:v>1.0201150350615971E-2</c:v>
                </c:pt>
                <c:pt idx="9157">
                  <c:v>1.0866542286310909E-2</c:v>
                </c:pt>
                <c:pt idx="9158">
                  <c:v>8.4093756842766963E-3</c:v>
                </c:pt>
                <c:pt idx="9159">
                  <c:v>1.0042726613681895E-2</c:v>
                </c:pt>
                <c:pt idx="9160">
                  <c:v>1.2439209273222174E-2</c:v>
                </c:pt>
                <c:pt idx="9161">
                  <c:v>1.3310591708999193E-2</c:v>
                </c:pt>
                <c:pt idx="9162">
                  <c:v>1.2131529292077954E-2</c:v>
                </c:pt>
                <c:pt idx="9163">
                  <c:v>1.0100534198103027E-2</c:v>
                </c:pt>
                <c:pt idx="9164">
                  <c:v>1.035197960252067E-2</c:v>
                </c:pt>
                <c:pt idx="9165">
                  <c:v>1.374262891622563E-2</c:v>
                </c:pt>
                <c:pt idx="9166">
                  <c:v>1.1385050799442095E-2</c:v>
                </c:pt>
                <c:pt idx="9167">
                  <c:v>1.2210113044585904E-2</c:v>
                </c:pt>
                <c:pt idx="9168">
                  <c:v>1.1786204585597718E-2</c:v>
                </c:pt>
                <c:pt idx="9169">
                  <c:v>1.2657008534332782E-2</c:v>
                </c:pt>
                <c:pt idx="9170">
                  <c:v>1.400653817436855E-2</c:v>
                </c:pt>
                <c:pt idx="9171">
                  <c:v>8.9272689831852055E-3</c:v>
                </c:pt>
                <c:pt idx="9172">
                  <c:v>1.1820335144153836E-2</c:v>
                </c:pt>
                <c:pt idx="9173">
                  <c:v>1.3531903157509935E-2</c:v>
                </c:pt>
                <c:pt idx="9174">
                  <c:v>1.056335345219901E-2</c:v>
                </c:pt>
                <c:pt idx="9175">
                  <c:v>9.3194179869374467E-3</c:v>
                </c:pt>
                <c:pt idx="9176">
                  <c:v>1.1051347669841075E-2</c:v>
                </c:pt>
                <c:pt idx="9177">
                  <c:v>1.3267209845615115E-2</c:v>
                </c:pt>
                <c:pt idx="9178">
                  <c:v>1.3583282731118024E-2</c:v>
                </c:pt>
                <c:pt idx="9179">
                  <c:v>7.967170532600102E-3</c:v>
                </c:pt>
                <c:pt idx="9180">
                  <c:v>8.7069288098952802E-3</c:v>
                </c:pt>
                <c:pt idx="9181">
                  <c:v>1.2993914614568756E-2</c:v>
                </c:pt>
                <c:pt idx="9182">
                  <c:v>1.2336076023865999E-2</c:v>
                </c:pt>
                <c:pt idx="9183">
                  <c:v>8.7775322563421274E-3</c:v>
                </c:pt>
                <c:pt idx="9184">
                  <c:v>1.1551858002899209E-2</c:v>
                </c:pt>
                <c:pt idx="9185">
                  <c:v>1.0369461925148695E-2</c:v>
                </c:pt>
                <c:pt idx="9186">
                  <c:v>8.1186485338325259E-3</c:v>
                </c:pt>
                <c:pt idx="9187">
                  <c:v>1.1910015979343502E-2</c:v>
                </c:pt>
                <c:pt idx="9188">
                  <c:v>9.7087908016234709E-3</c:v>
                </c:pt>
                <c:pt idx="9189">
                  <c:v>1.0694816957920546E-2</c:v>
                </c:pt>
                <c:pt idx="9190">
                  <c:v>1.2166187822797811E-2</c:v>
                </c:pt>
                <c:pt idx="9191">
                  <c:v>9.4647966708022273E-3</c:v>
                </c:pt>
                <c:pt idx="9192">
                  <c:v>1.0206964670629823E-2</c:v>
                </c:pt>
                <c:pt idx="9193">
                  <c:v>9.9865819873605211E-3</c:v>
                </c:pt>
                <c:pt idx="9194">
                  <c:v>9.2786976328996067E-3</c:v>
                </c:pt>
                <c:pt idx="9195">
                  <c:v>1.4743386851074103E-2</c:v>
                </c:pt>
                <c:pt idx="9196">
                  <c:v>1.2159410364585005E-2</c:v>
                </c:pt>
                <c:pt idx="9197">
                  <c:v>1.0374762350206531E-2</c:v>
                </c:pt>
                <c:pt idx="9198">
                  <c:v>7.5311067274726204E-3</c:v>
                </c:pt>
                <c:pt idx="9199">
                  <c:v>1.1375655626007874E-2</c:v>
                </c:pt>
                <c:pt idx="9200">
                  <c:v>1.2273716923278019E-2</c:v>
                </c:pt>
                <c:pt idx="9201">
                  <c:v>1.2988358879070839E-2</c:v>
                </c:pt>
                <c:pt idx="9202">
                  <c:v>1.2743214992567838E-2</c:v>
                </c:pt>
                <c:pt idx="9203">
                  <c:v>1.2251319046649625E-2</c:v>
                </c:pt>
                <c:pt idx="9204">
                  <c:v>9.902241551618101E-3</c:v>
                </c:pt>
                <c:pt idx="9205">
                  <c:v>1.6488167450908628E-2</c:v>
                </c:pt>
                <c:pt idx="9206">
                  <c:v>1.5553102023470083E-2</c:v>
                </c:pt>
                <c:pt idx="9207">
                  <c:v>1.3935264404761233E-2</c:v>
                </c:pt>
                <c:pt idx="9208">
                  <c:v>1.2220120885523727E-2</c:v>
                </c:pt>
                <c:pt idx="9209">
                  <c:v>1.3912104056118658E-2</c:v>
                </c:pt>
                <c:pt idx="9210">
                  <c:v>1.345142368842437E-2</c:v>
                </c:pt>
                <c:pt idx="9211">
                  <c:v>9.9843792360339509E-3</c:v>
                </c:pt>
                <c:pt idx="9212">
                  <c:v>1.2555616323492476E-2</c:v>
                </c:pt>
                <c:pt idx="9213">
                  <c:v>1.454151278055821E-2</c:v>
                </c:pt>
                <c:pt idx="9214">
                  <c:v>1.3637586896138946E-2</c:v>
                </c:pt>
                <c:pt idx="9215">
                  <c:v>1.6072770501597802E-2</c:v>
                </c:pt>
                <c:pt idx="9216">
                  <c:v>1.0349822633094839E-2</c:v>
                </c:pt>
                <c:pt idx="9217">
                  <c:v>8.9818963281729641E-3</c:v>
                </c:pt>
                <c:pt idx="9218">
                  <c:v>9.6023205930454089E-3</c:v>
                </c:pt>
                <c:pt idx="9219">
                  <c:v>1.0340053868055945E-2</c:v>
                </c:pt>
                <c:pt idx="9220">
                  <c:v>1.2168035494687842E-2</c:v>
                </c:pt>
                <c:pt idx="9221">
                  <c:v>1.10197140889372E-2</c:v>
                </c:pt>
                <c:pt idx="9222">
                  <c:v>1.4371874080215943E-2</c:v>
                </c:pt>
                <c:pt idx="9223">
                  <c:v>1.1378134431310274E-2</c:v>
                </c:pt>
                <c:pt idx="9224">
                  <c:v>8.9794287888191413E-3</c:v>
                </c:pt>
                <c:pt idx="9225">
                  <c:v>1.2761913065255117E-2</c:v>
                </c:pt>
                <c:pt idx="9226">
                  <c:v>1.10278954198673E-2</c:v>
                </c:pt>
                <c:pt idx="9227">
                  <c:v>1.197585556806844E-2</c:v>
                </c:pt>
                <c:pt idx="9228">
                  <c:v>1.1509504152371005E-2</c:v>
                </c:pt>
                <c:pt idx="9229">
                  <c:v>1.3472885895022815E-2</c:v>
                </c:pt>
                <c:pt idx="9230">
                  <c:v>1.0555278786799795E-2</c:v>
                </c:pt>
                <c:pt idx="9231">
                  <c:v>1.1376117044945155E-2</c:v>
                </c:pt>
                <c:pt idx="9232">
                  <c:v>9.740371829587962E-3</c:v>
                </c:pt>
                <c:pt idx="9233">
                  <c:v>1.2862265736053034E-2</c:v>
                </c:pt>
                <c:pt idx="9234">
                  <c:v>1.3100576460446101E-2</c:v>
                </c:pt>
                <c:pt idx="9235">
                  <c:v>7.5652313462511167E-3</c:v>
                </c:pt>
                <c:pt idx="9236">
                  <c:v>1.172964401108309E-2</c:v>
                </c:pt>
                <c:pt idx="9237">
                  <c:v>1.1834982086805362E-2</c:v>
                </c:pt>
                <c:pt idx="9238">
                  <c:v>1.2883829073891488E-2</c:v>
                </c:pt>
                <c:pt idx="9239">
                  <c:v>1.2731566049188797E-2</c:v>
                </c:pt>
                <c:pt idx="9240">
                  <c:v>1.1136103181611746E-2</c:v>
                </c:pt>
                <c:pt idx="9241">
                  <c:v>1.2131943291600175E-2</c:v>
                </c:pt>
                <c:pt idx="9242">
                  <c:v>1.2347391069184309E-2</c:v>
                </c:pt>
                <c:pt idx="9243">
                  <c:v>8.6882609732101945E-3</c:v>
                </c:pt>
                <c:pt idx="9244">
                  <c:v>1.3826057476524871E-2</c:v>
                </c:pt>
                <c:pt idx="9245">
                  <c:v>8.801560478849741E-3</c:v>
                </c:pt>
                <c:pt idx="9246">
                  <c:v>1.1353664695318316E-2</c:v>
                </c:pt>
                <c:pt idx="9247">
                  <c:v>1.4134914228258782E-2</c:v>
                </c:pt>
                <c:pt idx="9248">
                  <c:v>1.4451552632360476E-2</c:v>
                </c:pt>
                <c:pt idx="9249">
                  <c:v>1.1174874261136515E-2</c:v>
                </c:pt>
                <c:pt idx="9250">
                  <c:v>1.1293739971032737E-2</c:v>
                </c:pt>
                <c:pt idx="9251">
                  <c:v>1.004206976966722E-2</c:v>
                </c:pt>
                <c:pt idx="9252">
                  <c:v>9.3835202134870069E-3</c:v>
                </c:pt>
                <c:pt idx="9253">
                  <c:v>1.2287005879805E-2</c:v>
                </c:pt>
                <c:pt idx="9254">
                  <c:v>1.1221031964240574E-2</c:v>
                </c:pt>
                <c:pt idx="9255">
                  <c:v>9.5396771659617963E-3</c:v>
                </c:pt>
                <c:pt idx="9256">
                  <c:v>9.3524330101245716E-3</c:v>
                </c:pt>
                <c:pt idx="9257">
                  <c:v>1.2484364246246948E-2</c:v>
                </c:pt>
                <c:pt idx="9258">
                  <c:v>1.2228468546623435E-2</c:v>
                </c:pt>
                <c:pt idx="9259">
                  <c:v>1.0043285297109013E-2</c:v>
                </c:pt>
                <c:pt idx="9260">
                  <c:v>7.4775506786128841E-3</c:v>
                </c:pt>
                <c:pt idx="9261">
                  <c:v>1.1137777346796168E-2</c:v>
                </c:pt>
                <c:pt idx="9262">
                  <c:v>1.3698150516725937E-2</c:v>
                </c:pt>
                <c:pt idx="9263">
                  <c:v>1.1604804207847125E-2</c:v>
                </c:pt>
                <c:pt idx="9264">
                  <c:v>1.2534735283642627E-2</c:v>
                </c:pt>
                <c:pt idx="9265">
                  <c:v>1.0455695568601349E-2</c:v>
                </c:pt>
                <c:pt idx="9266">
                  <c:v>9.9388874362903324E-3</c:v>
                </c:pt>
                <c:pt idx="9267">
                  <c:v>1.1360144810747949E-2</c:v>
                </c:pt>
                <c:pt idx="9268">
                  <c:v>1.2455549303796887E-2</c:v>
                </c:pt>
                <c:pt idx="9269">
                  <c:v>1.0328446087105101E-2</c:v>
                </c:pt>
                <c:pt idx="9270">
                  <c:v>8.9663016804718103E-3</c:v>
                </c:pt>
                <c:pt idx="9271">
                  <c:v>8.0180807452224813E-3</c:v>
                </c:pt>
                <c:pt idx="9272">
                  <c:v>1.1049606229298499E-2</c:v>
                </c:pt>
                <c:pt idx="9273">
                  <c:v>1.1231874832294085E-2</c:v>
                </c:pt>
                <c:pt idx="9274">
                  <c:v>1.3866772486089789E-2</c:v>
                </c:pt>
                <c:pt idx="9275">
                  <c:v>9.7938896220626809E-3</c:v>
                </c:pt>
                <c:pt idx="9276">
                  <c:v>1.0273339587055537E-2</c:v>
                </c:pt>
                <c:pt idx="9277">
                  <c:v>1.3702425075286385E-2</c:v>
                </c:pt>
                <c:pt idx="9278">
                  <c:v>1.2283256316558537E-2</c:v>
                </c:pt>
                <c:pt idx="9279">
                  <c:v>1.1608896210782167E-2</c:v>
                </c:pt>
                <c:pt idx="9280">
                  <c:v>1.3401259624703817E-2</c:v>
                </c:pt>
                <c:pt idx="9281">
                  <c:v>1.0618509817382632E-2</c:v>
                </c:pt>
                <c:pt idx="9282">
                  <c:v>1.04124791537845E-2</c:v>
                </c:pt>
                <c:pt idx="9283">
                  <c:v>1.9406095049406033E-2</c:v>
                </c:pt>
                <c:pt idx="9284">
                  <c:v>1.3874125255531706E-2</c:v>
                </c:pt>
                <c:pt idx="9285">
                  <c:v>8.3080180516827834E-3</c:v>
                </c:pt>
                <c:pt idx="9286">
                  <c:v>1.1279432100462032E-2</c:v>
                </c:pt>
                <c:pt idx="9287">
                  <c:v>1.2556660064550276E-2</c:v>
                </c:pt>
                <c:pt idx="9288">
                  <c:v>1.236747028844269E-2</c:v>
                </c:pt>
                <c:pt idx="9289">
                  <c:v>1.5426918162288951E-2</c:v>
                </c:pt>
                <c:pt idx="9290">
                  <c:v>1.5002163934270757E-2</c:v>
                </c:pt>
                <c:pt idx="9291">
                  <c:v>1.0470325305149809E-2</c:v>
                </c:pt>
                <c:pt idx="9292">
                  <c:v>1.2853954393957949E-2</c:v>
                </c:pt>
                <c:pt idx="9293">
                  <c:v>1.3951094265335674E-2</c:v>
                </c:pt>
                <c:pt idx="9294">
                  <c:v>8.6570878941142019E-3</c:v>
                </c:pt>
                <c:pt idx="9295">
                  <c:v>8.8346094726683751E-3</c:v>
                </c:pt>
                <c:pt idx="9296">
                  <c:v>1.5182367073865825E-2</c:v>
                </c:pt>
                <c:pt idx="9297">
                  <c:v>1.0414221028343225E-2</c:v>
                </c:pt>
                <c:pt idx="9298">
                  <c:v>1.077437487116276E-2</c:v>
                </c:pt>
                <c:pt idx="9299">
                  <c:v>1.079208044679106E-2</c:v>
                </c:pt>
                <c:pt idx="9300">
                  <c:v>8.8200097874363715E-3</c:v>
                </c:pt>
                <c:pt idx="9301">
                  <c:v>1.3455617780639521E-2</c:v>
                </c:pt>
                <c:pt idx="9302">
                  <c:v>1.1511333387317959E-2</c:v>
                </c:pt>
                <c:pt idx="9303">
                  <c:v>1.2205435862476074E-2</c:v>
                </c:pt>
                <c:pt idx="9304">
                  <c:v>1.3374315902457093E-2</c:v>
                </c:pt>
                <c:pt idx="9305">
                  <c:v>1.254923701528665E-2</c:v>
                </c:pt>
                <c:pt idx="9306">
                  <c:v>9.5828140316954712E-3</c:v>
                </c:pt>
                <c:pt idx="9307">
                  <c:v>9.4112728371849481E-3</c:v>
                </c:pt>
                <c:pt idx="9308">
                  <c:v>1.3776804703714103E-2</c:v>
                </c:pt>
                <c:pt idx="9309">
                  <c:v>1.1020159967676954E-2</c:v>
                </c:pt>
                <c:pt idx="9310">
                  <c:v>9.5158087805600269E-3</c:v>
                </c:pt>
                <c:pt idx="9311">
                  <c:v>9.4263197182448862E-3</c:v>
                </c:pt>
                <c:pt idx="9312">
                  <c:v>1.2100956240807561E-2</c:v>
                </c:pt>
                <c:pt idx="9313">
                  <c:v>1.2737135716994214E-2</c:v>
                </c:pt>
                <c:pt idx="9314">
                  <c:v>1.4266436584504083E-2</c:v>
                </c:pt>
                <c:pt idx="9315">
                  <c:v>1.2127652380916808E-2</c:v>
                </c:pt>
                <c:pt idx="9316">
                  <c:v>1.0401106126507636E-2</c:v>
                </c:pt>
                <c:pt idx="9317">
                  <c:v>1.3517939052046842E-2</c:v>
                </c:pt>
                <c:pt idx="9318">
                  <c:v>1.3578814337839383E-2</c:v>
                </c:pt>
                <c:pt idx="9319">
                  <c:v>1.1359909539297402E-2</c:v>
                </c:pt>
                <c:pt idx="9320">
                  <c:v>1.4122523231332762E-2</c:v>
                </c:pt>
                <c:pt idx="9321">
                  <c:v>1.3136457225508278E-2</c:v>
                </c:pt>
                <c:pt idx="9322">
                  <c:v>9.7613353323422747E-3</c:v>
                </c:pt>
                <c:pt idx="9323">
                  <c:v>9.9123035520833815E-3</c:v>
                </c:pt>
                <c:pt idx="9324">
                  <c:v>8.9756525612195194E-3</c:v>
                </c:pt>
                <c:pt idx="9325">
                  <c:v>1.2132923476574709E-2</c:v>
                </c:pt>
                <c:pt idx="9326">
                  <c:v>1.5068502781889594E-2</c:v>
                </c:pt>
                <c:pt idx="9327">
                  <c:v>1.3479892996019972E-2</c:v>
                </c:pt>
                <c:pt idx="9328">
                  <c:v>1.0157208700407415E-2</c:v>
                </c:pt>
                <c:pt idx="9329">
                  <c:v>1.3171127635895924E-2</c:v>
                </c:pt>
                <c:pt idx="9330">
                  <c:v>9.8338637889195321E-3</c:v>
                </c:pt>
                <c:pt idx="9331">
                  <c:v>1.1280769715657883E-2</c:v>
                </c:pt>
                <c:pt idx="9332">
                  <c:v>1.2527423628825069E-2</c:v>
                </c:pt>
                <c:pt idx="9333">
                  <c:v>1.1519292554892169E-2</c:v>
                </c:pt>
                <c:pt idx="9334">
                  <c:v>1.1465986330663229E-2</c:v>
                </c:pt>
                <c:pt idx="9335">
                  <c:v>1.1034385033709244E-2</c:v>
                </c:pt>
                <c:pt idx="9336">
                  <c:v>9.4501431323802034E-3</c:v>
                </c:pt>
                <c:pt idx="9337">
                  <c:v>1.02191871411789E-2</c:v>
                </c:pt>
                <c:pt idx="9338">
                  <c:v>8.1061473720738467E-3</c:v>
                </c:pt>
                <c:pt idx="9339">
                  <c:v>1.1228093733276665E-2</c:v>
                </c:pt>
                <c:pt idx="9340">
                  <c:v>1.0849685063022299E-2</c:v>
                </c:pt>
                <c:pt idx="9341">
                  <c:v>9.2482050387639268E-3</c:v>
                </c:pt>
                <c:pt idx="9342">
                  <c:v>1.1523212420778564E-2</c:v>
                </c:pt>
                <c:pt idx="9343">
                  <c:v>1.1008184707126271E-2</c:v>
                </c:pt>
                <c:pt idx="9344">
                  <c:v>9.9673562540481108E-3</c:v>
                </c:pt>
                <c:pt idx="9345">
                  <c:v>1.1506923604371095E-2</c:v>
                </c:pt>
                <c:pt idx="9346">
                  <c:v>1.5351349374471199E-2</c:v>
                </c:pt>
                <c:pt idx="9347">
                  <c:v>1.1571550517290087E-2</c:v>
                </c:pt>
                <c:pt idx="9348">
                  <c:v>8.9832333001076854E-3</c:v>
                </c:pt>
                <c:pt idx="9349">
                  <c:v>1.37816585185294E-2</c:v>
                </c:pt>
                <c:pt idx="9350">
                  <c:v>1.0931293891909959E-2</c:v>
                </c:pt>
                <c:pt idx="9351">
                  <c:v>1.583757766641411E-2</c:v>
                </c:pt>
                <c:pt idx="9352">
                  <c:v>1.1116846944309431E-2</c:v>
                </c:pt>
                <c:pt idx="9353">
                  <c:v>1.2831985921687373E-2</c:v>
                </c:pt>
                <c:pt idx="9354">
                  <c:v>1.3101260925232722E-2</c:v>
                </c:pt>
                <c:pt idx="9355">
                  <c:v>1.1343560096829281E-2</c:v>
                </c:pt>
                <c:pt idx="9356">
                  <c:v>9.906326817721349E-3</c:v>
                </c:pt>
                <c:pt idx="9357">
                  <c:v>1.0087105253128987E-2</c:v>
                </c:pt>
                <c:pt idx="9358">
                  <c:v>7.4172502505582246E-3</c:v>
                </c:pt>
                <c:pt idx="9359">
                  <c:v>9.7091281269632273E-3</c:v>
                </c:pt>
                <c:pt idx="9360">
                  <c:v>1.1800158279770165E-2</c:v>
                </c:pt>
                <c:pt idx="9361">
                  <c:v>8.4013554770261435E-3</c:v>
                </c:pt>
                <c:pt idx="9362">
                  <c:v>1.5010044991514138E-2</c:v>
                </c:pt>
                <c:pt idx="9363">
                  <c:v>1.1866664912579752E-2</c:v>
                </c:pt>
                <c:pt idx="9364">
                  <c:v>1.1317664761633768E-2</c:v>
                </c:pt>
                <c:pt idx="9365">
                  <c:v>1.1949205420520869E-2</c:v>
                </c:pt>
                <c:pt idx="9366">
                  <c:v>1.1605803284312795E-2</c:v>
                </c:pt>
                <c:pt idx="9367">
                  <c:v>7.7701978671429793E-3</c:v>
                </c:pt>
                <c:pt idx="9368">
                  <c:v>1.1642764112796151E-2</c:v>
                </c:pt>
                <c:pt idx="9369">
                  <c:v>1.2345669566904884E-2</c:v>
                </c:pt>
                <c:pt idx="9370">
                  <c:v>1.2973185200842259E-2</c:v>
                </c:pt>
                <c:pt idx="9371">
                  <c:v>1.137314673886556E-2</c:v>
                </c:pt>
                <c:pt idx="9372">
                  <c:v>1.1834385430810446E-2</c:v>
                </c:pt>
                <c:pt idx="9373">
                  <c:v>1.161277046124197E-2</c:v>
                </c:pt>
                <c:pt idx="9374">
                  <c:v>1.4957849681944701E-2</c:v>
                </c:pt>
                <c:pt idx="9375">
                  <c:v>1.461168006305162E-2</c:v>
                </c:pt>
                <c:pt idx="9376">
                  <c:v>1.0668171719448703E-2</c:v>
                </c:pt>
                <c:pt idx="9377">
                  <c:v>1.1663743742687088E-2</c:v>
                </c:pt>
                <c:pt idx="9378">
                  <c:v>1.2598150412660594E-2</c:v>
                </c:pt>
                <c:pt idx="9379">
                  <c:v>1.5756105400422354E-2</c:v>
                </c:pt>
                <c:pt idx="9380">
                  <c:v>1.1381557901910696E-2</c:v>
                </c:pt>
                <c:pt idx="9381">
                  <c:v>1.8967326003304009E-2</c:v>
                </c:pt>
                <c:pt idx="9382">
                  <c:v>1.0476717328545389E-2</c:v>
                </c:pt>
                <c:pt idx="9383">
                  <c:v>1.5062223800586302E-2</c:v>
                </c:pt>
                <c:pt idx="9384">
                  <c:v>1.5839812842842096E-2</c:v>
                </c:pt>
                <c:pt idx="9385">
                  <c:v>1.1758166646599205E-2</c:v>
                </c:pt>
                <c:pt idx="9386">
                  <c:v>1.318822050471662E-2</c:v>
                </c:pt>
                <c:pt idx="9387">
                  <c:v>8.8566533886536691E-3</c:v>
                </c:pt>
                <c:pt idx="9388">
                  <c:v>1.1782563582658086E-2</c:v>
                </c:pt>
                <c:pt idx="9389">
                  <c:v>1.3009002376075716E-2</c:v>
                </c:pt>
                <c:pt idx="9390">
                  <c:v>1.2336040653511529E-2</c:v>
                </c:pt>
                <c:pt idx="9391">
                  <c:v>1.1254546958020436E-2</c:v>
                </c:pt>
                <c:pt idx="9392">
                  <c:v>1.0429898824020433E-2</c:v>
                </c:pt>
                <c:pt idx="9393">
                  <c:v>1.0273736718610068E-2</c:v>
                </c:pt>
                <c:pt idx="9394">
                  <c:v>1.310812126936178E-2</c:v>
                </c:pt>
                <c:pt idx="9395">
                  <c:v>1.3702749337125751E-2</c:v>
                </c:pt>
                <c:pt idx="9396">
                  <c:v>8.9918408130250684E-3</c:v>
                </c:pt>
                <c:pt idx="9397">
                  <c:v>1.0906047424243453E-2</c:v>
                </c:pt>
                <c:pt idx="9398">
                  <c:v>1.0352336157311804E-2</c:v>
                </c:pt>
                <c:pt idx="9399">
                  <c:v>7.5609441921164816E-3</c:v>
                </c:pt>
                <c:pt idx="9400">
                  <c:v>1.2347727760328582E-2</c:v>
                </c:pt>
                <c:pt idx="9401">
                  <c:v>1.1724719753798792E-2</c:v>
                </c:pt>
                <c:pt idx="9402">
                  <c:v>1.1909578914607869E-2</c:v>
                </c:pt>
                <c:pt idx="9403">
                  <c:v>1.0742714553771135E-2</c:v>
                </c:pt>
                <c:pt idx="9404">
                  <c:v>8.4969360120962668E-3</c:v>
                </c:pt>
                <c:pt idx="9405">
                  <c:v>1.4615176170076152E-2</c:v>
                </c:pt>
                <c:pt idx="9406">
                  <c:v>1.3566881894920465E-2</c:v>
                </c:pt>
                <c:pt idx="9407">
                  <c:v>8.6033247996768342E-3</c:v>
                </c:pt>
                <c:pt idx="9408">
                  <c:v>1.0089748096549278E-2</c:v>
                </c:pt>
                <c:pt idx="9409">
                  <c:v>1.0292240939966739E-2</c:v>
                </c:pt>
                <c:pt idx="9410">
                  <c:v>9.9672155025262148E-3</c:v>
                </c:pt>
                <c:pt idx="9411">
                  <c:v>1.1950282377408517E-2</c:v>
                </c:pt>
                <c:pt idx="9412">
                  <c:v>1.1238280922798384E-2</c:v>
                </c:pt>
                <c:pt idx="9413">
                  <c:v>1.042231358495181E-2</c:v>
                </c:pt>
                <c:pt idx="9414">
                  <c:v>1.2757188690390801E-2</c:v>
                </c:pt>
                <c:pt idx="9415">
                  <c:v>1.3366487157121387E-2</c:v>
                </c:pt>
                <c:pt idx="9416">
                  <c:v>1.0945479827739748E-2</c:v>
                </c:pt>
                <c:pt idx="9417">
                  <c:v>1.2957722358277541E-2</c:v>
                </c:pt>
                <c:pt idx="9418">
                  <c:v>1.1573472115072108E-2</c:v>
                </c:pt>
                <c:pt idx="9419">
                  <c:v>1.0928097061341504E-2</c:v>
                </c:pt>
                <c:pt idx="9420">
                  <c:v>1.5655998344400679E-2</c:v>
                </c:pt>
                <c:pt idx="9421">
                  <c:v>1.2511068710314599E-2</c:v>
                </c:pt>
                <c:pt idx="9422">
                  <c:v>1.3240324727763594E-2</c:v>
                </c:pt>
                <c:pt idx="9423">
                  <c:v>1.2112524909352395E-2</c:v>
                </c:pt>
                <c:pt idx="9424">
                  <c:v>1.3685241513409021E-2</c:v>
                </c:pt>
                <c:pt idx="9425">
                  <c:v>1.1283659949347304E-2</c:v>
                </c:pt>
                <c:pt idx="9426">
                  <c:v>1.0892468389450988E-2</c:v>
                </c:pt>
                <c:pt idx="9427">
                  <c:v>1.2260501418211087E-2</c:v>
                </c:pt>
                <c:pt idx="9428">
                  <c:v>1.090700681555482E-2</c:v>
                </c:pt>
                <c:pt idx="9429">
                  <c:v>1.08010434786975E-2</c:v>
                </c:pt>
                <c:pt idx="9430">
                  <c:v>1.2868480155289824E-2</c:v>
                </c:pt>
                <c:pt idx="9431">
                  <c:v>1.1707364947091944E-2</c:v>
                </c:pt>
                <c:pt idx="9432">
                  <c:v>8.090173058142771E-3</c:v>
                </c:pt>
                <c:pt idx="9433">
                  <c:v>1.4417379193048909E-2</c:v>
                </c:pt>
                <c:pt idx="9434">
                  <c:v>1.1702010862545256E-2</c:v>
                </c:pt>
                <c:pt idx="9435">
                  <c:v>1.4941087962872046E-2</c:v>
                </c:pt>
                <c:pt idx="9436">
                  <c:v>1.0473316252145461E-2</c:v>
                </c:pt>
                <c:pt idx="9437">
                  <c:v>1.542437414069641E-2</c:v>
                </c:pt>
                <c:pt idx="9438">
                  <c:v>1.3960685545090211E-2</c:v>
                </c:pt>
                <c:pt idx="9439">
                  <c:v>1.4101660435724897E-2</c:v>
                </c:pt>
                <c:pt idx="9440">
                  <c:v>9.8829148912762763E-3</c:v>
                </c:pt>
                <c:pt idx="9441">
                  <c:v>1.1495970903438789E-2</c:v>
                </c:pt>
                <c:pt idx="9442">
                  <c:v>1.7152723433005033E-2</c:v>
                </c:pt>
                <c:pt idx="9443">
                  <c:v>1.0991684780096813E-2</c:v>
                </c:pt>
                <c:pt idx="9444">
                  <c:v>9.3325945491202385E-3</c:v>
                </c:pt>
                <c:pt idx="9445">
                  <c:v>1.1012585606273603E-2</c:v>
                </c:pt>
                <c:pt idx="9446">
                  <c:v>1.109480167854982E-2</c:v>
                </c:pt>
                <c:pt idx="9447">
                  <c:v>8.4270807519550746E-3</c:v>
                </c:pt>
                <c:pt idx="9448">
                  <c:v>1.1489078551455797E-2</c:v>
                </c:pt>
                <c:pt idx="9449">
                  <c:v>1.408046721405277E-2</c:v>
                </c:pt>
                <c:pt idx="9450">
                  <c:v>9.6341783706558777E-3</c:v>
                </c:pt>
                <c:pt idx="9451">
                  <c:v>1.2598944609306906E-2</c:v>
                </c:pt>
                <c:pt idx="9452">
                  <c:v>1.0464021909494867E-2</c:v>
                </c:pt>
                <c:pt idx="9453">
                  <c:v>1.5062830949352589E-2</c:v>
                </c:pt>
                <c:pt idx="9454">
                  <c:v>1.7420165568458244E-2</c:v>
                </c:pt>
                <c:pt idx="9455">
                  <c:v>1.1340006757692693E-2</c:v>
                </c:pt>
                <c:pt idx="9456">
                  <c:v>8.4278525161901093E-3</c:v>
                </c:pt>
                <c:pt idx="9457">
                  <c:v>1.0592067398848989E-2</c:v>
                </c:pt>
                <c:pt idx="9458">
                  <c:v>1.4048132996080645E-2</c:v>
                </c:pt>
                <c:pt idx="9459">
                  <c:v>8.8864276466426462E-3</c:v>
                </c:pt>
                <c:pt idx="9460">
                  <c:v>1.307405990507462E-2</c:v>
                </c:pt>
                <c:pt idx="9461">
                  <c:v>1.2055879875087125E-2</c:v>
                </c:pt>
                <c:pt idx="9462">
                  <c:v>1.2868797946056677E-2</c:v>
                </c:pt>
                <c:pt idx="9463">
                  <c:v>9.6508342579970183E-3</c:v>
                </c:pt>
                <c:pt idx="9464">
                  <c:v>1.2495104872151185E-2</c:v>
                </c:pt>
                <c:pt idx="9465">
                  <c:v>1.0430480566748614E-2</c:v>
                </c:pt>
                <c:pt idx="9466">
                  <c:v>1.0727814697579848E-2</c:v>
                </c:pt>
                <c:pt idx="9467">
                  <c:v>1.4645409399161126E-2</c:v>
                </c:pt>
                <c:pt idx="9468">
                  <c:v>1.1951710743933133E-2</c:v>
                </c:pt>
                <c:pt idx="9469">
                  <c:v>1.323494905657085E-2</c:v>
                </c:pt>
                <c:pt idx="9470">
                  <c:v>1.1388909515700915E-2</c:v>
                </c:pt>
                <c:pt idx="9471">
                  <c:v>1.0439973820607826E-2</c:v>
                </c:pt>
                <c:pt idx="9472">
                  <c:v>1.2030791328222294E-2</c:v>
                </c:pt>
                <c:pt idx="9473">
                  <c:v>1.1112655584596199E-2</c:v>
                </c:pt>
                <c:pt idx="9474">
                  <c:v>1.3571914507310044E-2</c:v>
                </c:pt>
                <c:pt idx="9475">
                  <c:v>1.4017714825299139E-2</c:v>
                </c:pt>
                <c:pt idx="9476">
                  <c:v>9.7623641665362162E-3</c:v>
                </c:pt>
                <c:pt idx="9477">
                  <c:v>9.5111654290693098E-3</c:v>
                </c:pt>
                <c:pt idx="9478">
                  <c:v>1.410353531377379E-2</c:v>
                </c:pt>
                <c:pt idx="9479">
                  <c:v>1.5177012126543E-2</c:v>
                </c:pt>
                <c:pt idx="9480">
                  <c:v>1.3959370932381266E-2</c:v>
                </c:pt>
                <c:pt idx="9481">
                  <c:v>9.089774815505847E-3</c:v>
                </c:pt>
                <c:pt idx="9482">
                  <c:v>8.5958230818800243E-3</c:v>
                </c:pt>
                <c:pt idx="9483">
                  <c:v>1.1568563385867143E-2</c:v>
                </c:pt>
                <c:pt idx="9484">
                  <c:v>1.2394202098169559E-2</c:v>
                </c:pt>
                <c:pt idx="9485">
                  <c:v>1.5196358754799424E-2</c:v>
                </c:pt>
                <c:pt idx="9486">
                  <c:v>8.7411907352797549E-3</c:v>
                </c:pt>
                <c:pt idx="9487">
                  <c:v>1.7318019335605693E-2</c:v>
                </c:pt>
                <c:pt idx="9488">
                  <c:v>1.1281730024543952E-2</c:v>
                </c:pt>
                <c:pt idx="9489">
                  <c:v>1.2250134687294589E-2</c:v>
                </c:pt>
                <c:pt idx="9490">
                  <c:v>1.4154653944912311E-2</c:v>
                </c:pt>
                <c:pt idx="9491">
                  <c:v>1.4778550973954563E-2</c:v>
                </c:pt>
                <c:pt idx="9492">
                  <c:v>9.4242343189656335E-3</c:v>
                </c:pt>
                <c:pt idx="9493">
                  <c:v>1.0292045127994177E-2</c:v>
                </c:pt>
                <c:pt idx="9494">
                  <c:v>1.0179352245080382E-2</c:v>
                </c:pt>
                <c:pt idx="9495">
                  <c:v>1.17354823326597E-2</c:v>
                </c:pt>
                <c:pt idx="9496">
                  <c:v>8.4893306447774691E-3</c:v>
                </c:pt>
                <c:pt idx="9497">
                  <c:v>1.4544462870027416E-2</c:v>
                </c:pt>
                <c:pt idx="9498">
                  <c:v>1.1509195851030609E-2</c:v>
                </c:pt>
                <c:pt idx="9499">
                  <c:v>1.3027307288244505E-2</c:v>
                </c:pt>
                <c:pt idx="9500">
                  <c:v>1.2992661886894097E-2</c:v>
                </c:pt>
                <c:pt idx="9501">
                  <c:v>9.6042969465389705E-3</c:v>
                </c:pt>
                <c:pt idx="9502">
                  <c:v>1.0652889595707534E-2</c:v>
                </c:pt>
                <c:pt idx="9503">
                  <c:v>1.1131242429957057E-2</c:v>
                </c:pt>
                <c:pt idx="9504">
                  <c:v>1.2025304684752325E-2</c:v>
                </c:pt>
                <c:pt idx="9505">
                  <c:v>1.1975033965370413E-2</c:v>
                </c:pt>
                <c:pt idx="9506">
                  <c:v>1.3132818032566405E-2</c:v>
                </c:pt>
                <c:pt idx="9507">
                  <c:v>1.3224922189449368E-2</c:v>
                </c:pt>
                <c:pt idx="9508">
                  <c:v>1.2964669880095181E-2</c:v>
                </c:pt>
                <c:pt idx="9509">
                  <c:v>1.350043355653557E-2</c:v>
                </c:pt>
                <c:pt idx="9510">
                  <c:v>1.3939637999519309E-2</c:v>
                </c:pt>
                <c:pt idx="9511">
                  <c:v>1.0488558770469933E-2</c:v>
                </c:pt>
                <c:pt idx="9512">
                  <c:v>1.3385686580303353E-2</c:v>
                </c:pt>
                <c:pt idx="9513">
                  <c:v>8.9395776193675371E-3</c:v>
                </c:pt>
                <c:pt idx="9514">
                  <c:v>8.2014273745583989E-3</c:v>
                </c:pt>
                <c:pt idx="9515">
                  <c:v>1.1029812688886134E-2</c:v>
                </c:pt>
                <c:pt idx="9516">
                  <c:v>1.1143734293409356E-2</c:v>
                </c:pt>
                <c:pt idx="9517">
                  <c:v>1.348819616404482E-2</c:v>
                </c:pt>
                <c:pt idx="9518">
                  <c:v>8.8740523339278683E-3</c:v>
                </c:pt>
                <c:pt idx="9519">
                  <c:v>8.8354287757340787E-3</c:v>
                </c:pt>
                <c:pt idx="9520">
                  <c:v>9.2482594987295819E-3</c:v>
                </c:pt>
                <c:pt idx="9521">
                  <c:v>9.9344531727701031E-3</c:v>
                </c:pt>
                <c:pt idx="9522">
                  <c:v>1.2286632571764379E-2</c:v>
                </c:pt>
                <c:pt idx="9523">
                  <c:v>1.6607895023756498E-2</c:v>
                </c:pt>
                <c:pt idx="9524">
                  <c:v>1.4408852208508235E-2</c:v>
                </c:pt>
                <c:pt idx="9525">
                  <c:v>1.1938066402711315E-2</c:v>
                </c:pt>
                <c:pt idx="9526">
                  <c:v>1.3161339170365664E-2</c:v>
                </c:pt>
                <c:pt idx="9527">
                  <c:v>1.5853426748697177E-2</c:v>
                </c:pt>
                <c:pt idx="9528">
                  <c:v>1.0166679307780735E-2</c:v>
                </c:pt>
                <c:pt idx="9529">
                  <c:v>1.3277585087961332E-2</c:v>
                </c:pt>
                <c:pt idx="9530">
                  <c:v>1.2225297887796548E-2</c:v>
                </c:pt>
                <c:pt idx="9531">
                  <c:v>1.1457493756755801E-2</c:v>
                </c:pt>
                <c:pt idx="9532">
                  <c:v>1.1696310260236552E-2</c:v>
                </c:pt>
                <c:pt idx="9533">
                  <c:v>1.7311852731405137E-2</c:v>
                </c:pt>
                <c:pt idx="9534">
                  <c:v>9.3526004676414542E-3</c:v>
                </c:pt>
                <c:pt idx="9535">
                  <c:v>1.386391891730163E-2</c:v>
                </c:pt>
                <c:pt idx="9536">
                  <c:v>1.1934965276727676E-2</c:v>
                </c:pt>
                <c:pt idx="9537">
                  <c:v>8.5029781079578298E-3</c:v>
                </c:pt>
                <c:pt idx="9538">
                  <c:v>9.5152496607438589E-3</c:v>
                </c:pt>
                <c:pt idx="9539">
                  <c:v>1.347664115965449E-2</c:v>
                </c:pt>
                <c:pt idx="9540">
                  <c:v>1.1208437650024862E-2</c:v>
                </c:pt>
                <c:pt idx="9541">
                  <c:v>1.1824965265788747E-2</c:v>
                </c:pt>
                <c:pt idx="9542">
                  <c:v>1.2040732879333424E-2</c:v>
                </c:pt>
                <c:pt idx="9543">
                  <c:v>1.4869193509432752E-2</c:v>
                </c:pt>
                <c:pt idx="9544">
                  <c:v>1.2129007321364307E-2</c:v>
                </c:pt>
                <c:pt idx="9545">
                  <c:v>1.1115066490939979E-2</c:v>
                </c:pt>
                <c:pt idx="9546">
                  <c:v>1.0650067703949799E-2</c:v>
                </c:pt>
                <c:pt idx="9547">
                  <c:v>1.3983114328454217E-2</c:v>
                </c:pt>
                <c:pt idx="9548">
                  <c:v>1.0657424455828093E-2</c:v>
                </c:pt>
                <c:pt idx="9549">
                  <c:v>1.1101397633760814E-2</c:v>
                </c:pt>
                <c:pt idx="9550">
                  <c:v>1.0769846556482152E-2</c:v>
                </c:pt>
                <c:pt idx="9551">
                  <c:v>1.3512367448607959E-2</c:v>
                </c:pt>
                <c:pt idx="9552">
                  <c:v>1.258162506541899E-2</c:v>
                </c:pt>
                <c:pt idx="9553">
                  <c:v>1.1857655699557032E-2</c:v>
                </c:pt>
                <c:pt idx="9554">
                  <c:v>1.034666777327551E-2</c:v>
                </c:pt>
                <c:pt idx="9555">
                  <c:v>1.0288864768863657E-2</c:v>
                </c:pt>
                <c:pt idx="9556">
                  <c:v>1.0343868897255817E-2</c:v>
                </c:pt>
                <c:pt idx="9557">
                  <c:v>1.1492349610441909E-2</c:v>
                </c:pt>
                <c:pt idx="9558">
                  <c:v>1.6472203011017178E-2</c:v>
                </c:pt>
                <c:pt idx="9559">
                  <c:v>1.0759191293858992E-2</c:v>
                </c:pt>
                <c:pt idx="9560">
                  <c:v>1.4144058431561747E-2</c:v>
                </c:pt>
                <c:pt idx="9561">
                  <c:v>1.0579245956932637E-2</c:v>
                </c:pt>
                <c:pt idx="9562">
                  <c:v>9.739734057317595E-3</c:v>
                </c:pt>
                <c:pt idx="9563">
                  <c:v>1.3247338639571549E-2</c:v>
                </c:pt>
                <c:pt idx="9564">
                  <c:v>1.2329156274594171E-2</c:v>
                </c:pt>
                <c:pt idx="9565">
                  <c:v>1.0688197636261818E-2</c:v>
                </c:pt>
                <c:pt idx="9566">
                  <c:v>8.3522241675184402E-3</c:v>
                </c:pt>
                <c:pt idx="9567">
                  <c:v>1.2527567088359315E-2</c:v>
                </c:pt>
                <c:pt idx="9568">
                  <c:v>1.0020295003327252E-2</c:v>
                </c:pt>
                <c:pt idx="9569">
                  <c:v>1.2552040337563682E-2</c:v>
                </c:pt>
                <c:pt idx="9570">
                  <c:v>1.0283001085890552E-2</c:v>
                </c:pt>
                <c:pt idx="9571">
                  <c:v>1.2826203709631747E-2</c:v>
                </c:pt>
                <c:pt idx="9572">
                  <c:v>9.4433565844386346E-3</c:v>
                </c:pt>
                <c:pt idx="9573">
                  <c:v>1.4268665626674832E-2</c:v>
                </c:pt>
                <c:pt idx="9574">
                  <c:v>9.6363613343517958E-3</c:v>
                </c:pt>
                <c:pt idx="9575">
                  <c:v>1.1829896833709903E-2</c:v>
                </c:pt>
                <c:pt idx="9576">
                  <c:v>1.0620162730251062E-2</c:v>
                </c:pt>
                <c:pt idx="9577">
                  <c:v>1.1227254609902888E-2</c:v>
                </c:pt>
                <c:pt idx="9578">
                  <c:v>1.1320938189297613E-2</c:v>
                </c:pt>
                <c:pt idx="9579">
                  <c:v>1.3053599694130478E-2</c:v>
                </c:pt>
                <c:pt idx="9580">
                  <c:v>9.8135809214636906E-3</c:v>
                </c:pt>
                <c:pt idx="9581">
                  <c:v>9.8187534190884614E-3</c:v>
                </c:pt>
                <c:pt idx="9582">
                  <c:v>9.2180054061040441E-3</c:v>
                </c:pt>
                <c:pt idx="9583">
                  <c:v>1.047330695028628E-2</c:v>
                </c:pt>
                <c:pt idx="9584">
                  <c:v>1.1289888493238601E-2</c:v>
                </c:pt>
                <c:pt idx="9585">
                  <c:v>1.215395736617352E-2</c:v>
                </c:pt>
                <c:pt idx="9586">
                  <c:v>1.0982659357055415E-2</c:v>
                </c:pt>
                <c:pt idx="9587">
                  <c:v>1.0359624431134458E-2</c:v>
                </c:pt>
                <c:pt idx="9588">
                  <c:v>9.2277467989725376E-3</c:v>
                </c:pt>
                <c:pt idx="9589">
                  <c:v>1.4020323743608098E-2</c:v>
                </c:pt>
                <c:pt idx="9590">
                  <c:v>9.2810318947256082E-3</c:v>
                </c:pt>
                <c:pt idx="9591">
                  <c:v>1.2157012642616679E-2</c:v>
                </c:pt>
                <c:pt idx="9592">
                  <c:v>1.1137162907013927E-2</c:v>
                </c:pt>
                <c:pt idx="9593">
                  <c:v>1.231026950079744E-2</c:v>
                </c:pt>
                <c:pt idx="9594">
                  <c:v>8.9991763881366975E-3</c:v>
                </c:pt>
                <c:pt idx="9595">
                  <c:v>1.1415299355345227E-2</c:v>
                </c:pt>
                <c:pt idx="9596">
                  <c:v>1.3537861231801699E-2</c:v>
                </c:pt>
                <c:pt idx="9597">
                  <c:v>1.2694397308148801E-2</c:v>
                </c:pt>
                <c:pt idx="9598">
                  <c:v>1.2264390594396962E-2</c:v>
                </c:pt>
                <c:pt idx="9599">
                  <c:v>1.0548230586261141E-2</c:v>
                </c:pt>
                <c:pt idx="9600">
                  <c:v>1.3549047713209032E-2</c:v>
                </c:pt>
                <c:pt idx="9601">
                  <c:v>1.4024558163243264E-2</c:v>
                </c:pt>
                <c:pt idx="9602">
                  <c:v>1.2016497217858423E-2</c:v>
                </c:pt>
                <c:pt idx="9603">
                  <c:v>1.1588952105317315E-2</c:v>
                </c:pt>
                <c:pt idx="9604">
                  <c:v>1.119388901955734E-2</c:v>
                </c:pt>
                <c:pt idx="9605">
                  <c:v>1.168657678718645E-2</c:v>
                </c:pt>
                <c:pt idx="9606">
                  <c:v>1.221382953061953E-2</c:v>
                </c:pt>
                <c:pt idx="9607">
                  <c:v>1.3847737190127317E-2</c:v>
                </c:pt>
                <c:pt idx="9608">
                  <c:v>1.2463572616784699E-2</c:v>
                </c:pt>
                <c:pt idx="9609">
                  <c:v>1.1836998141586078E-2</c:v>
                </c:pt>
                <c:pt idx="9610">
                  <c:v>1.2842070658814205E-2</c:v>
                </c:pt>
                <c:pt idx="9611">
                  <c:v>1.161542484226445E-2</c:v>
                </c:pt>
                <c:pt idx="9612">
                  <c:v>8.7738099470115547E-3</c:v>
                </c:pt>
                <c:pt idx="9613">
                  <c:v>1.2398724034028896E-2</c:v>
                </c:pt>
                <c:pt idx="9614">
                  <c:v>1.0236768173350549E-2</c:v>
                </c:pt>
                <c:pt idx="9615">
                  <c:v>1.1293092972703684E-2</c:v>
                </c:pt>
                <c:pt idx="9616">
                  <c:v>1.164675406785981E-2</c:v>
                </c:pt>
                <c:pt idx="9617">
                  <c:v>1.138846044168478E-2</c:v>
                </c:pt>
                <c:pt idx="9618">
                  <c:v>1.5117100855840409E-2</c:v>
                </c:pt>
                <c:pt idx="9619">
                  <c:v>1.2306364223243566E-2</c:v>
                </c:pt>
                <c:pt idx="9620">
                  <c:v>9.622006837760334E-3</c:v>
                </c:pt>
                <c:pt idx="9621">
                  <c:v>9.8386649213299589E-3</c:v>
                </c:pt>
                <c:pt idx="9622">
                  <c:v>1.2167901636350745E-2</c:v>
                </c:pt>
                <c:pt idx="9623">
                  <c:v>1.3156440825860028E-2</c:v>
                </c:pt>
                <c:pt idx="9624">
                  <c:v>1.2399107401894737E-2</c:v>
                </c:pt>
                <c:pt idx="9625">
                  <c:v>1.19722806817092E-2</c:v>
                </c:pt>
                <c:pt idx="9626">
                  <c:v>1.304005856882738E-2</c:v>
                </c:pt>
                <c:pt idx="9627">
                  <c:v>1.1970814583501108E-2</c:v>
                </c:pt>
                <c:pt idx="9628">
                  <c:v>1.0312176708516132E-2</c:v>
                </c:pt>
                <c:pt idx="9629">
                  <c:v>1.2281175886313968E-2</c:v>
                </c:pt>
                <c:pt idx="9630">
                  <c:v>1.166546509356523E-2</c:v>
                </c:pt>
                <c:pt idx="9631">
                  <c:v>1.2088797551168595E-2</c:v>
                </c:pt>
                <c:pt idx="9632">
                  <c:v>1.0058015011945351E-2</c:v>
                </c:pt>
                <c:pt idx="9633">
                  <c:v>9.3133290090427409E-3</c:v>
                </c:pt>
                <c:pt idx="9634">
                  <c:v>9.7849077344179993E-3</c:v>
                </c:pt>
                <c:pt idx="9635">
                  <c:v>1.2598517515995739E-2</c:v>
                </c:pt>
                <c:pt idx="9636">
                  <c:v>1.0546616721468453E-2</c:v>
                </c:pt>
                <c:pt idx="9637">
                  <c:v>1.5146397782087392E-2</c:v>
                </c:pt>
                <c:pt idx="9638">
                  <c:v>7.9822223495895888E-3</c:v>
                </c:pt>
                <c:pt idx="9639">
                  <c:v>1.4410965815557399E-2</c:v>
                </c:pt>
                <c:pt idx="9640">
                  <c:v>1.0804875251617108E-2</c:v>
                </c:pt>
                <c:pt idx="9641">
                  <c:v>1.103072786940416E-2</c:v>
                </c:pt>
                <c:pt idx="9642">
                  <c:v>1.0150674937195795E-2</c:v>
                </c:pt>
                <c:pt idx="9643">
                  <c:v>1.3575929581997827E-2</c:v>
                </c:pt>
                <c:pt idx="9644">
                  <c:v>1.3045080928795631E-2</c:v>
                </c:pt>
                <c:pt idx="9645">
                  <c:v>1.1166879883369086E-2</c:v>
                </c:pt>
                <c:pt idx="9646">
                  <c:v>1.1675771629927063E-2</c:v>
                </c:pt>
                <c:pt idx="9647">
                  <c:v>1.3819024575548176E-2</c:v>
                </c:pt>
                <c:pt idx="9648">
                  <c:v>1.1771134323784769E-2</c:v>
                </c:pt>
                <c:pt idx="9649">
                  <c:v>9.8860755761358571E-3</c:v>
                </c:pt>
                <c:pt idx="9650">
                  <c:v>1.245228030545485E-2</c:v>
                </c:pt>
                <c:pt idx="9651">
                  <c:v>1.1565506734274811E-2</c:v>
                </c:pt>
                <c:pt idx="9652">
                  <c:v>1.4686535508489617E-2</c:v>
                </c:pt>
                <c:pt idx="9653">
                  <c:v>1.0544673761601165E-2</c:v>
                </c:pt>
                <c:pt idx="9654">
                  <c:v>1.2313695924731121E-2</c:v>
                </c:pt>
                <c:pt idx="9655">
                  <c:v>1.2237831788470646E-2</c:v>
                </c:pt>
                <c:pt idx="9656">
                  <c:v>1.2472400655710871E-2</c:v>
                </c:pt>
                <c:pt idx="9657">
                  <c:v>1.1096986376643928E-2</c:v>
                </c:pt>
                <c:pt idx="9658">
                  <c:v>1.1064815061421637E-2</c:v>
                </c:pt>
                <c:pt idx="9659">
                  <c:v>9.1821222107958764E-3</c:v>
                </c:pt>
                <c:pt idx="9660">
                  <c:v>1.1860162840006549E-2</c:v>
                </c:pt>
                <c:pt idx="9661">
                  <c:v>1.196191645024141E-2</c:v>
                </c:pt>
                <c:pt idx="9662">
                  <c:v>8.173294861417579E-3</c:v>
                </c:pt>
                <c:pt idx="9663">
                  <c:v>8.688287434927694E-3</c:v>
                </c:pt>
                <c:pt idx="9664">
                  <c:v>1.011857305821879E-2</c:v>
                </c:pt>
                <c:pt idx="9665">
                  <c:v>1.0004852572906521E-2</c:v>
                </c:pt>
                <c:pt idx="9666">
                  <c:v>1.4230568897362017E-2</c:v>
                </c:pt>
                <c:pt idx="9667">
                  <c:v>1.2231685059117573E-2</c:v>
                </c:pt>
                <c:pt idx="9668">
                  <c:v>1.3883289526792662E-2</c:v>
                </c:pt>
                <c:pt idx="9669">
                  <c:v>1.0672565764944929E-2</c:v>
                </c:pt>
                <c:pt idx="9670">
                  <c:v>1.0508309727505336E-2</c:v>
                </c:pt>
                <c:pt idx="9671">
                  <c:v>1.0438887382964635E-2</c:v>
                </c:pt>
                <c:pt idx="9672">
                  <c:v>1.3242346908215128E-2</c:v>
                </c:pt>
                <c:pt idx="9673">
                  <c:v>1.3110552962171491E-2</c:v>
                </c:pt>
                <c:pt idx="9674">
                  <c:v>9.3906198478713454E-3</c:v>
                </c:pt>
                <c:pt idx="9675">
                  <c:v>1.0139705015105232E-2</c:v>
                </c:pt>
                <c:pt idx="9676">
                  <c:v>1.2309368220884291E-2</c:v>
                </c:pt>
                <c:pt idx="9677">
                  <c:v>1.1430266992145621E-2</c:v>
                </c:pt>
                <c:pt idx="9678">
                  <c:v>1.2849833245765581E-2</c:v>
                </c:pt>
                <c:pt idx="9679">
                  <c:v>1.1283063449747863E-2</c:v>
                </c:pt>
                <c:pt idx="9680">
                  <c:v>8.1338621332198036E-3</c:v>
                </c:pt>
                <c:pt idx="9681">
                  <c:v>9.6554628698564075E-3</c:v>
                </c:pt>
                <c:pt idx="9682">
                  <c:v>1.2331387205847137E-2</c:v>
                </c:pt>
                <c:pt idx="9683">
                  <c:v>8.7251027845336813E-3</c:v>
                </c:pt>
                <c:pt idx="9684">
                  <c:v>1.0931936939161283E-2</c:v>
                </c:pt>
                <c:pt idx="9685">
                  <c:v>1.2478952366565788E-2</c:v>
                </c:pt>
                <c:pt idx="9686">
                  <c:v>1.065629488675029E-2</c:v>
                </c:pt>
                <c:pt idx="9687">
                  <c:v>1.1792414272663214E-2</c:v>
                </c:pt>
                <c:pt idx="9688">
                  <c:v>1.5202807860990543E-2</c:v>
                </c:pt>
                <c:pt idx="9689">
                  <c:v>1.6323353754733656E-2</c:v>
                </c:pt>
                <c:pt idx="9690">
                  <c:v>1.092250779807675E-2</c:v>
                </c:pt>
                <c:pt idx="9691">
                  <c:v>1.4479306152431438E-2</c:v>
                </c:pt>
                <c:pt idx="9692">
                  <c:v>1.2320822534606285E-2</c:v>
                </c:pt>
                <c:pt idx="9693">
                  <c:v>1.1621045694408928E-2</c:v>
                </c:pt>
                <c:pt idx="9694">
                  <c:v>1.1205786014923901E-2</c:v>
                </c:pt>
                <c:pt idx="9695">
                  <c:v>1.1829429555220712E-2</c:v>
                </c:pt>
                <c:pt idx="9696">
                  <c:v>1.2049687697099446E-2</c:v>
                </c:pt>
                <c:pt idx="9697">
                  <c:v>1.3197342148581375E-2</c:v>
                </c:pt>
                <c:pt idx="9698">
                  <c:v>8.6563828495964303E-3</c:v>
                </c:pt>
                <c:pt idx="9699">
                  <c:v>1.3744426533988953E-2</c:v>
                </c:pt>
                <c:pt idx="9700">
                  <c:v>1.2353129906775128E-2</c:v>
                </c:pt>
                <c:pt idx="9701">
                  <c:v>1.3867791395324836E-2</c:v>
                </c:pt>
                <c:pt idx="9702">
                  <c:v>1.3113602886711951E-2</c:v>
                </c:pt>
                <c:pt idx="9703">
                  <c:v>1.330783140514059E-2</c:v>
                </c:pt>
                <c:pt idx="9704">
                  <c:v>1.2140896206322738E-2</c:v>
                </c:pt>
                <c:pt idx="9705">
                  <c:v>1.1152271305240024E-2</c:v>
                </c:pt>
                <c:pt idx="9706">
                  <c:v>1.5450999086645151E-2</c:v>
                </c:pt>
                <c:pt idx="9707">
                  <c:v>9.6410060676748628E-3</c:v>
                </c:pt>
                <c:pt idx="9708">
                  <c:v>1.3087851169462227E-2</c:v>
                </c:pt>
                <c:pt idx="9709">
                  <c:v>1.6768475980985419E-2</c:v>
                </c:pt>
                <c:pt idx="9710">
                  <c:v>1.0780938683743014E-2</c:v>
                </c:pt>
                <c:pt idx="9711">
                  <c:v>1.1592994626687626E-2</c:v>
                </c:pt>
                <c:pt idx="9712">
                  <c:v>8.6711916027407202E-3</c:v>
                </c:pt>
                <c:pt idx="9713">
                  <c:v>1.2007736045567792E-2</c:v>
                </c:pt>
                <c:pt idx="9714">
                  <c:v>1.4620802294579894E-2</c:v>
                </c:pt>
                <c:pt idx="9715">
                  <c:v>1.2316817455007012E-2</c:v>
                </c:pt>
                <c:pt idx="9716">
                  <c:v>1.0251896969357332E-2</c:v>
                </c:pt>
                <c:pt idx="9717">
                  <c:v>1.1816618084025272E-2</c:v>
                </c:pt>
                <c:pt idx="9718">
                  <c:v>9.4056532952229745E-3</c:v>
                </c:pt>
                <c:pt idx="9719">
                  <c:v>1.1944986985833008E-2</c:v>
                </c:pt>
                <c:pt idx="9720">
                  <c:v>1.2752925752384743E-2</c:v>
                </c:pt>
                <c:pt idx="9721">
                  <c:v>1.2047464982743389E-2</c:v>
                </c:pt>
                <c:pt idx="9722">
                  <c:v>1.4707520360142423E-2</c:v>
                </c:pt>
                <c:pt idx="9723">
                  <c:v>8.1350420243157303E-3</c:v>
                </c:pt>
                <c:pt idx="9724">
                  <c:v>1.3241835568860253E-2</c:v>
                </c:pt>
                <c:pt idx="9725">
                  <c:v>1.5684858808675848E-2</c:v>
                </c:pt>
                <c:pt idx="9726">
                  <c:v>1.4911709932828853E-2</c:v>
                </c:pt>
                <c:pt idx="9727">
                  <c:v>1.2375301343680504E-2</c:v>
                </c:pt>
                <c:pt idx="9728">
                  <c:v>8.7191136134885366E-3</c:v>
                </c:pt>
                <c:pt idx="9729">
                  <c:v>1.1479159257462814E-2</c:v>
                </c:pt>
                <c:pt idx="9730">
                  <c:v>1.1674077053759157E-2</c:v>
                </c:pt>
                <c:pt idx="9731">
                  <c:v>1.2177633835039264E-2</c:v>
                </c:pt>
                <c:pt idx="9732">
                  <c:v>1.0607437175587396E-2</c:v>
                </c:pt>
                <c:pt idx="9733">
                  <c:v>1.3252737918003363E-2</c:v>
                </c:pt>
                <c:pt idx="9734">
                  <c:v>1.1601943798302547E-2</c:v>
                </c:pt>
                <c:pt idx="9735">
                  <c:v>1.3646322284916801E-2</c:v>
                </c:pt>
                <c:pt idx="9736">
                  <c:v>1.0466629722554275E-2</c:v>
                </c:pt>
                <c:pt idx="9737">
                  <c:v>1.1982362021389335E-2</c:v>
                </c:pt>
                <c:pt idx="9738">
                  <c:v>1.3006711722144947E-2</c:v>
                </c:pt>
                <c:pt idx="9739">
                  <c:v>1.1600080667280884E-2</c:v>
                </c:pt>
                <c:pt idx="9740">
                  <c:v>1.2013269907598352E-2</c:v>
                </c:pt>
                <c:pt idx="9741">
                  <c:v>1.4138406957949812E-2</c:v>
                </c:pt>
                <c:pt idx="9742">
                  <c:v>9.4276291134310786E-3</c:v>
                </c:pt>
                <c:pt idx="9743">
                  <c:v>1.1835218352501177E-2</c:v>
                </c:pt>
                <c:pt idx="9744">
                  <c:v>1.2706228529359959E-2</c:v>
                </c:pt>
                <c:pt idx="9745">
                  <c:v>1.1448578965412137E-2</c:v>
                </c:pt>
                <c:pt idx="9746">
                  <c:v>1.2897783824091425E-2</c:v>
                </c:pt>
                <c:pt idx="9747">
                  <c:v>9.9378427860398934E-3</c:v>
                </c:pt>
                <c:pt idx="9748">
                  <c:v>1.5929615874383969E-2</c:v>
                </c:pt>
                <c:pt idx="9749">
                  <c:v>9.6713251227906281E-3</c:v>
                </c:pt>
                <c:pt idx="9750">
                  <c:v>1.3792685292522212E-2</c:v>
                </c:pt>
                <c:pt idx="9751">
                  <c:v>1.12617805940273E-2</c:v>
                </c:pt>
                <c:pt idx="9752">
                  <c:v>1.5007496532385802E-2</c:v>
                </c:pt>
                <c:pt idx="9753">
                  <c:v>1.0810326730587285E-2</c:v>
                </c:pt>
                <c:pt idx="9754">
                  <c:v>1.1620205547239576E-2</c:v>
                </c:pt>
                <c:pt idx="9755">
                  <c:v>1.3607544754072987E-2</c:v>
                </c:pt>
                <c:pt idx="9756">
                  <c:v>1.0349428165146189E-2</c:v>
                </c:pt>
                <c:pt idx="9757">
                  <c:v>1.3720493924814392E-2</c:v>
                </c:pt>
                <c:pt idx="9758">
                  <c:v>1.1782042074793948E-2</c:v>
                </c:pt>
                <c:pt idx="9759">
                  <c:v>1.0633526546495773E-2</c:v>
                </c:pt>
                <c:pt idx="9760">
                  <c:v>1.3472484749359774E-2</c:v>
                </c:pt>
                <c:pt idx="9761">
                  <c:v>1.3572559531922495E-2</c:v>
                </c:pt>
                <c:pt idx="9762">
                  <c:v>1.5221562634692837E-2</c:v>
                </c:pt>
                <c:pt idx="9763">
                  <c:v>1.5339981032039107E-2</c:v>
                </c:pt>
                <c:pt idx="9764">
                  <c:v>1.1302029472313589E-2</c:v>
                </c:pt>
                <c:pt idx="9765">
                  <c:v>1.2635767533647486E-2</c:v>
                </c:pt>
                <c:pt idx="9766">
                  <c:v>1.2021317227746147E-2</c:v>
                </c:pt>
                <c:pt idx="9767">
                  <c:v>1.4389895845519654E-2</c:v>
                </c:pt>
                <c:pt idx="9768">
                  <c:v>1.3157738054683935E-2</c:v>
                </c:pt>
                <c:pt idx="9769">
                  <c:v>1.1346725613021106E-2</c:v>
                </c:pt>
                <c:pt idx="9770">
                  <c:v>1.3093043445711156E-2</c:v>
                </c:pt>
                <c:pt idx="9771">
                  <c:v>1.0572273538092571E-2</c:v>
                </c:pt>
                <c:pt idx="9772">
                  <c:v>1.0517316230980036E-2</c:v>
                </c:pt>
                <c:pt idx="9773">
                  <c:v>1.2711178378337512E-2</c:v>
                </c:pt>
                <c:pt idx="9774">
                  <c:v>1.2045705923692723E-2</c:v>
                </c:pt>
                <c:pt idx="9775">
                  <c:v>1.5360346177189862E-2</c:v>
                </c:pt>
                <c:pt idx="9776">
                  <c:v>7.3699503842724898E-3</c:v>
                </c:pt>
                <c:pt idx="9777">
                  <c:v>1.4982116105485752E-2</c:v>
                </c:pt>
                <c:pt idx="9778">
                  <c:v>8.8648937317573218E-3</c:v>
                </c:pt>
                <c:pt idx="9779">
                  <c:v>1.7138103978537451E-2</c:v>
                </c:pt>
                <c:pt idx="9780">
                  <c:v>1.2478887751331534E-2</c:v>
                </c:pt>
                <c:pt idx="9781">
                  <c:v>1.324723560239045E-2</c:v>
                </c:pt>
                <c:pt idx="9782">
                  <c:v>1.3667850168776327E-2</c:v>
                </c:pt>
                <c:pt idx="9783">
                  <c:v>1.1066406684117293E-2</c:v>
                </c:pt>
                <c:pt idx="9784">
                  <c:v>1.0561092937185533E-2</c:v>
                </c:pt>
                <c:pt idx="9785">
                  <c:v>1.1841466406320587E-2</c:v>
                </c:pt>
                <c:pt idx="9786">
                  <c:v>1.1653158370422302E-2</c:v>
                </c:pt>
                <c:pt idx="9787">
                  <c:v>1.6403956820274571E-2</c:v>
                </c:pt>
                <c:pt idx="9788">
                  <c:v>9.7009202483766092E-3</c:v>
                </c:pt>
                <c:pt idx="9789">
                  <c:v>1.1987407616041083E-2</c:v>
                </c:pt>
                <c:pt idx="9790">
                  <c:v>1.1921059728683289E-2</c:v>
                </c:pt>
                <c:pt idx="9791">
                  <c:v>1.3545479049901905E-2</c:v>
                </c:pt>
                <c:pt idx="9792">
                  <c:v>1.3517154801560519E-2</c:v>
                </c:pt>
                <c:pt idx="9793">
                  <c:v>1.0376678655003906E-2</c:v>
                </c:pt>
                <c:pt idx="9794">
                  <c:v>1.1470050089070148E-2</c:v>
                </c:pt>
                <c:pt idx="9795">
                  <c:v>1.2335021777411154E-2</c:v>
                </c:pt>
                <c:pt idx="9796">
                  <c:v>1.083981612057763E-2</c:v>
                </c:pt>
                <c:pt idx="9797">
                  <c:v>1.4135317876733488E-2</c:v>
                </c:pt>
                <c:pt idx="9798">
                  <c:v>1.1888035959699717E-2</c:v>
                </c:pt>
                <c:pt idx="9799">
                  <c:v>8.43196929778358E-3</c:v>
                </c:pt>
                <c:pt idx="9800">
                  <c:v>1.2736439068045625E-2</c:v>
                </c:pt>
                <c:pt idx="9801">
                  <c:v>1.3180184182742378E-2</c:v>
                </c:pt>
                <c:pt idx="9802">
                  <c:v>1.3962777315162964E-2</c:v>
                </c:pt>
                <c:pt idx="9803">
                  <c:v>1.0661593710193536E-2</c:v>
                </c:pt>
                <c:pt idx="9804">
                  <c:v>1.1331221518428952E-2</c:v>
                </c:pt>
                <c:pt idx="9805">
                  <c:v>1.2929155921373362E-2</c:v>
                </c:pt>
                <c:pt idx="9806">
                  <c:v>9.5133854180750183E-3</c:v>
                </c:pt>
                <c:pt idx="9807">
                  <c:v>1.1376241809816202E-2</c:v>
                </c:pt>
                <c:pt idx="9808">
                  <c:v>9.1479013540230521E-3</c:v>
                </c:pt>
                <c:pt idx="9809">
                  <c:v>1.404488737444006E-2</c:v>
                </c:pt>
                <c:pt idx="9810">
                  <c:v>1.0817766662784965E-2</c:v>
                </c:pt>
                <c:pt idx="9811">
                  <c:v>1.6038702520568264E-2</c:v>
                </c:pt>
                <c:pt idx="9812">
                  <c:v>1.17828493874429E-2</c:v>
                </c:pt>
                <c:pt idx="9813">
                  <c:v>1.1386906567306447E-2</c:v>
                </c:pt>
                <c:pt idx="9814">
                  <c:v>1.3463075887643105E-2</c:v>
                </c:pt>
                <c:pt idx="9815">
                  <c:v>1.0079619964051781E-2</c:v>
                </c:pt>
                <c:pt idx="9816">
                  <c:v>1.3098011736024708E-2</c:v>
                </c:pt>
                <c:pt idx="9817">
                  <c:v>1.1255233050679768E-2</c:v>
                </c:pt>
                <c:pt idx="9818">
                  <c:v>1.1960912188721057E-2</c:v>
                </c:pt>
                <c:pt idx="9819">
                  <c:v>1.2083186027713987E-2</c:v>
                </c:pt>
                <c:pt idx="9820">
                  <c:v>1.079478494932574E-2</c:v>
                </c:pt>
                <c:pt idx="9821">
                  <c:v>1.4119226449665385E-2</c:v>
                </c:pt>
                <c:pt idx="9822">
                  <c:v>8.926158940506702E-3</c:v>
                </c:pt>
                <c:pt idx="9823">
                  <c:v>1.0517198715252956E-2</c:v>
                </c:pt>
                <c:pt idx="9824">
                  <c:v>9.6404777024663123E-3</c:v>
                </c:pt>
                <c:pt idx="9825">
                  <c:v>8.4643272257932337E-3</c:v>
                </c:pt>
                <c:pt idx="9826">
                  <c:v>1.1980948008674842E-2</c:v>
                </c:pt>
                <c:pt idx="9827">
                  <c:v>8.8589220706145142E-3</c:v>
                </c:pt>
                <c:pt idx="9828">
                  <c:v>1.1279328133996853E-2</c:v>
                </c:pt>
                <c:pt idx="9829">
                  <c:v>1.2080744582757621E-2</c:v>
                </c:pt>
                <c:pt idx="9830">
                  <c:v>1.1963067619119963E-2</c:v>
                </c:pt>
                <c:pt idx="9831">
                  <c:v>1.5484143185307777E-2</c:v>
                </c:pt>
                <c:pt idx="9832">
                  <c:v>9.506795019955978E-3</c:v>
                </c:pt>
                <c:pt idx="9833">
                  <c:v>1.1375192247536654E-2</c:v>
                </c:pt>
                <c:pt idx="9834">
                  <c:v>1.3909999200523795E-2</c:v>
                </c:pt>
                <c:pt idx="9835">
                  <c:v>1.3980102587989211E-2</c:v>
                </c:pt>
                <c:pt idx="9836">
                  <c:v>1.0582357384631735E-2</c:v>
                </c:pt>
                <c:pt idx="9837">
                  <c:v>1.2102652982835301E-2</c:v>
                </c:pt>
                <c:pt idx="9838">
                  <c:v>1.0963924186709963E-2</c:v>
                </c:pt>
                <c:pt idx="9839">
                  <c:v>1.0084728117249737E-2</c:v>
                </c:pt>
                <c:pt idx="9840">
                  <c:v>1.030101240326995E-2</c:v>
                </c:pt>
                <c:pt idx="9841">
                  <c:v>1.4636021193098989E-2</c:v>
                </c:pt>
                <c:pt idx="9842">
                  <c:v>1.1254222907404533E-2</c:v>
                </c:pt>
                <c:pt idx="9843">
                  <c:v>9.465971052504317E-3</c:v>
                </c:pt>
                <c:pt idx="9844">
                  <c:v>1.15046964621459E-2</c:v>
                </c:pt>
                <c:pt idx="9845">
                  <c:v>1.084039566707771E-2</c:v>
                </c:pt>
                <c:pt idx="9846">
                  <c:v>1.6014067554475132E-2</c:v>
                </c:pt>
                <c:pt idx="9847">
                  <c:v>1.3334126436106456E-2</c:v>
                </c:pt>
                <c:pt idx="9848">
                  <c:v>1.4399438115422422E-2</c:v>
                </c:pt>
                <c:pt idx="9849">
                  <c:v>1.3607014401623612E-2</c:v>
                </c:pt>
                <c:pt idx="9850">
                  <c:v>1.2127823185300103E-2</c:v>
                </c:pt>
                <c:pt idx="9851">
                  <c:v>1.0397470138086952E-2</c:v>
                </c:pt>
                <c:pt idx="9852">
                  <c:v>1.0472281995748704E-2</c:v>
                </c:pt>
                <c:pt idx="9853">
                  <c:v>1.0765949470894725E-2</c:v>
                </c:pt>
                <c:pt idx="9854">
                  <c:v>1.2559225650977959E-2</c:v>
                </c:pt>
                <c:pt idx="9855">
                  <c:v>1.2762383552704976E-2</c:v>
                </c:pt>
                <c:pt idx="9856">
                  <c:v>1.4343338529111758E-2</c:v>
                </c:pt>
                <c:pt idx="9857">
                  <c:v>8.9561491967528675E-3</c:v>
                </c:pt>
                <c:pt idx="9858">
                  <c:v>1.3867017515387239E-2</c:v>
                </c:pt>
                <c:pt idx="9859">
                  <c:v>1.2763432098905523E-2</c:v>
                </c:pt>
                <c:pt idx="9860">
                  <c:v>1.2438180313708778E-2</c:v>
                </c:pt>
                <c:pt idx="9861">
                  <c:v>9.6870225503071332E-3</c:v>
                </c:pt>
                <c:pt idx="9862">
                  <c:v>9.7081640666912133E-3</c:v>
                </c:pt>
                <c:pt idx="9863">
                  <c:v>1.1846622663073717E-2</c:v>
                </c:pt>
                <c:pt idx="9864">
                  <c:v>1.2724489074594827E-2</c:v>
                </c:pt>
                <c:pt idx="9865">
                  <c:v>1.621617677342934E-2</c:v>
                </c:pt>
                <c:pt idx="9866">
                  <c:v>1.1498774516083624E-2</c:v>
                </c:pt>
                <c:pt idx="9867">
                  <c:v>9.2710320366926145E-3</c:v>
                </c:pt>
                <c:pt idx="9868">
                  <c:v>1.3361755849521678E-2</c:v>
                </c:pt>
                <c:pt idx="9869">
                  <c:v>1.0234742853143741E-2</c:v>
                </c:pt>
                <c:pt idx="9870">
                  <c:v>8.5534307115091596E-3</c:v>
                </c:pt>
                <c:pt idx="9871">
                  <c:v>8.332426505276944E-3</c:v>
                </c:pt>
                <c:pt idx="9872">
                  <c:v>1.2106886919501753E-2</c:v>
                </c:pt>
                <c:pt idx="9873">
                  <c:v>1.1478828310912839E-2</c:v>
                </c:pt>
                <c:pt idx="9874">
                  <c:v>1.1891981231688817E-2</c:v>
                </c:pt>
                <c:pt idx="9875">
                  <c:v>1.1933904926923585E-2</c:v>
                </c:pt>
                <c:pt idx="9876">
                  <c:v>9.1374318809710527E-3</c:v>
                </c:pt>
                <c:pt idx="9877">
                  <c:v>1.0528377583971986E-2</c:v>
                </c:pt>
                <c:pt idx="9878">
                  <c:v>1.1005162449598569E-2</c:v>
                </c:pt>
                <c:pt idx="9879">
                  <c:v>1.4445508430366343E-2</c:v>
                </c:pt>
                <c:pt idx="9880">
                  <c:v>1.5910700793428267E-2</c:v>
                </c:pt>
                <c:pt idx="9881">
                  <c:v>9.5792724675364954E-3</c:v>
                </c:pt>
                <c:pt idx="9882">
                  <c:v>1.0510008422193956E-2</c:v>
                </c:pt>
                <c:pt idx="9883">
                  <c:v>7.8364722549338368E-3</c:v>
                </c:pt>
                <c:pt idx="9884">
                  <c:v>1.3286619713052141E-2</c:v>
                </c:pt>
                <c:pt idx="9885">
                  <c:v>1.0474914865043913E-2</c:v>
                </c:pt>
                <c:pt idx="9886">
                  <c:v>1.3729310111567174E-2</c:v>
                </c:pt>
                <c:pt idx="9887">
                  <c:v>1.0819138922466746E-2</c:v>
                </c:pt>
                <c:pt idx="9888">
                  <c:v>1.2083835961298433E-2</c:v>
                </c:pt>
                <c:pt idx="9889">
                  <c:v>1.1696570627211682E-2</c:v>
                </c:pt>
                <c:pt idx="9890">
                  <c:v>9.9761372186913649E-3</c:v>
                </c:pt>
                <c:pt idx="9891">
                  <c:v>8.9998079952308234E-3</c:v>
                </c:pt>
                <c:pt idx="9892">
                  <c:v>1.5968159518955319E-2</c:v>
                </c:pt>
                <c:pt idx="9893">
                  <c:v>1.3194571389807053E-2</c:v>
                </c:pt>
                <c:pt idx="9894">
                  <c:v>8.6631884554828915E-3</c:v>
                </c:pt>
                <c:pt idx="9895">
                  <c:v>1.170751155127053E-2</c:v>
                </c:pt>
                <c:pt idx="9896">
                  <c:v>1.2667316580174554E-2</c:v>
                </c:pt>
                <c:pt idx="9897">
                  <c:v>9.9512283562185055E-3</c:v>
                </c:pt>
                <c:pt idx="9898">
                  <c:v>1.0406948529085728E-2</c:v>
                </c:pt>
                <c:pt idx="9899">
                  <c:v>1.0206759497678903E-2</c:v>
                </c:pt>
                <c:pt idx="9900">
                  <c:v>1.4610664134799311E-2</c:v>
                </c:pt>
                <c:pt idx="9901">
                  <c:v>1.0411161220720744E-2</c:v>
                </c:pt>
                <c:pt idx="9902">
                  <c:v>1.1832071384854195E-2</c:v>
                </c:pt>
                <c:pt idx="9903">
                  <c:v>1.2337451421761202E-2</c:v>
                </c:pt>
                <c:pt idx="9904">
                  <c:v>8.5046646078511083E-3</c:v>
                </c:pt>
                <c:pt idx="9905">
                  <c:v>1.4178491848706939E-2</c:v>
                </c:pt>
                <c:pt idx="9906">
                  <c:v>1.1476634683223056E-2</c:v>
                </c:pt>
                <c:pt idx="9907">
                  <c:v>1.124959680981503E-2</c:v>
                </c:pt>
                <c:pt idx="9908">
                  <c:v>1.4881896514159446E-2</c:v>
                </c:pt>
                <c:pt idx="9909">
                  <c:v>1.0452353122247226E-2</c:v>
                </c:pt>
                <c:pt idx="9910">
                  <c:v>1.0484651104437186E-2</c:v>
                </c:pt>
                <c:pt idx="9911">
                  <c:v>1.0481818892793008E-2</c:v>
                </c:pt>
                <c:pt idx="9912">
                  <c:v>1.122578165277578E-2</c:v>
                </c:pt>
                <c:pt idx="9913">
                  <c:v>1.4902074292625007E-2</c:v>
                </c:pt>
                <c:pt idx="9914">
                  <c:v>1.2939454059882349E-2</c:v>
                </c:pt>
                <c:pt idx="9915">
                  <c:v>1.1185647202563197E-2</c:v>
                </c:pt>
                <c:pt idx="9916">
                  <c:v>1.3313129310273295E-2</c:v>
                </c:pt>
                <c:pt idx="9917">
                  <c:v>1.1895807174020461E-2</c:v>
                </c:pt>
                <c:pt idx="9918">
                  <c:v>1.1055323789963999E-2</c:v>
                </c:pt>
                <c:pt idx="9919">
                  <c:v>1.4599992765491154E-2</c:v>
                </c:pt>
                <c:pt idx="9920">
                  <c:v>9.3941228446698822E-3</c:v>
                </c:pt>
                <c:pt idx="9921">
                  <c:v>1.029890863280066E-2</c:v>
                </c:pt>
                <c:pt idx="9922">
                  <c:v>8.9999513183077542E-3</c:v>
                </c:pt>
                <c:pt idx="9923">
                  <c:v>1.2654647867125762E-2</c:v>
                </c:pt>
                <c:pt idx="9924">
                  <c:v>8.3455809098248821E-3</c:v>
                </c:pt>
                <c:pt idx="9925">
                  <c:v>9.9133240159952531E-3</c:v>
                </c:pt>
                <c:pt idx="9926">
                  <c:v>1.051959381405578E-2</c:v>
                </c:pt>
                <c:pt idx="9927">
                  <c:v>8.8608968743492094E-3</c:v>
                </c:pt>
                <c:pt idx="9928">
                  <c:v>1.2823561521647127E-2</c:v>
                </c:pt>
                <c:pt idx="9929">
                  <c:v>1.0448974493739648E-2</c:v>
                </c:pt>
                <c:pt idx="9930">
                  <c:v>1.1881787066388714E-2</c:v>
                </c:pt>
                <c:pt idx="9931">
                  <c:v>1.3778128117947194E-2</c:v>
                </c:pt>
                <c:pt idx="9932">
                  <c:v>9.8415801537079101E-3</c:v>
                </c:pt>
                <c:pt idx="9933">
                  <c:v>7.984431478912422E-3</c:v>
                </c:pt>
                <c:pt idx="9934">
                  <c:v>9.8652335702539857E-3</c:v>
                </c:pt>
                <c:pt idx="9935">
                  <c:v>1.2070270198915779E-2</c:v>
                </c:pt>
                <c:pt idx="9936">
                  <c:v>1.1309475112571306E-2</c:v>
                </c:pt>
                <c:pt idx="9937">
                  <c:v>1.1514114385959597E-2</c:v>
                </c:pt>
                <c:pt idx="9938">
                  <c:v>1.0312369370984854E-2</c:v>
                </c:pt>
                <c:pt idx="9939">
                  <c:v>1.4414208835918355E-2</c:v>
                </c:pt>
                <c:pt idx="9940">
                  <c:v>1.0574089730612113E-2</c:v>
                </c:pt>
                <c:pt idx="9941">
                  <c:v>1.2496969641500804E-2</c:v>
                </c:pt>
                <c:pt idx="9942">
                  <c:v>1.4556251198665788E-2</c:v>
                </c:pt>
                <c:pt idx="9943">
                  <c:v>1.3657145361987089E-2</c:v>
                </c:pt>
                <c:pt idx="9944">
                  <c:v>1.1464503941768399E-2</c:v>
                </c:pt>
                <c:pt idx="9945">
                  <c:v>1.2588977945718772E-2</c:v>
                </c:pt>
                <c:pt idx="9946">
                  <c:v>1.437782493117196E-2</c:v>
                </c:pt>
                <c:pt idx="9947">
                  <c:v>1.7022081645652179E-2</c:v>
                </c:pt>
                <c:pt idx="9948">
                  <c:v>1.3220774071471552E-2</c:v>
                </c:pt>
                <c:pt idx="9949">
                  <c:v>1.3592629229971337E-2</c:v>
                </c:pt>
                <c:pt idx="9950">
                  <c:v>9.6512186357592383E-3</c:v>
                </c:pt>
                <c:pt idx="9951">
                  <c:v>1.4641511695310399E-2</c:v>
                </c:pt>
                <c:pt idx="9952">
                  <c:v>1.1011594229875835E-2</c:v>
                </c:pt>
                <c:pt idx="9953">
                  <c:v>9.4770652573743491E-3</c:v>
                </c:pt>
                <c:pt idx="9954">
                  <c:v>7.7280255448462735E-3</c:v>
                </c:pt>
                <c:pt idx="9955">
                  <c:v>1.340727464384168E-2</c:v>
                </c:pt>
                <c:pt idx="9956">
                  <c:v>1.3975396965743639E-2</c:v>
                </c:pt>
                <c:pt idx="9957">
                  <c:v>1.1866712612343684E-2</c:v>
                </c:pt>
                <c:pt idx="9958">
                  <c:v>1.1043565998829533E-2</c:v>
                </c:pt>
                <c:pt idx="9959">
                  <c:v>9.4886578267205698E-3</c:v>
                </c:pt>
                <c:pt idx="9960">
                  <c:v>1.0336702289592964E-2</c:v>
                </c:pt>
                <c:pt idx="9961">
                  <c:v>1.5752839631384317E-2</c:v>
                </c:pt>
                <c:pt idx="9962">
                  <c:v>1.3034983400421129E-2</c:v>
                </c:pt>
                <c:pt idx="9963">
                  <c:v>1.2412362266386539E-2</c:v>
                </c:pt>
                <c:pt idx="9964">
                  <c:v>1.3399460830411821E-2</c:v>
                </c:pt>
                <c:pt idx="9965">
                  <c:v>1.1999512276442406E-2</c:v>
                </c:pt>
                <c:pt idx="9966">
                  <c:v>1.3740500246141043E-2</c:v>
                </c:pt>
                <c:pt idx="9967">
                  <c:v>1.4874784212335814E-2</c:v>
                </c:pt>
                <c:pt idx="9968">
                  <c:v>1.342072481256773E-2</c:v>
                </c:pt>
                <c:pt idx="9969">
                  <c:v>1.4237027977100357E-2</c:v>
                </c:pt>
                <c:pt idx="9970">
                  <c:v>1.0530923216644754E-2</c:v>
                </c:pt>
                <c:pt idx="9971">
                  <c:v>1.0379416460297785E-2</c:v>
                </c:pt>
                <c:pt idx="9972">
                  <c:v>8.4631213084092622E-3</c:v>
                </c:pt>
                <c:pt idx="9973">
                  <c:v>1.1281315637665063E-2</c:v>
                </c:pt>
                <c:pt idx="9974">
                  <c:v>1.1415317524208985E-2</c:v>
                </c:pt>
                <c:pt idx="9975">
                  <c:v>1.0646036698577934E-2</c:v>
                </c:pt>
                <c:pt idx="9976">
                  <c:v>1.1001998144757523E-2</c:v>
                </c:pt>
                <c:pt idx="9977">
                  <c:v>1.2835087922227706E-2</c:v>
                </c:pt>
                <c:pt idx="9978">
                  <c:v>9.7249266273731188E-3</c:v>
                </c:pt>
                <c:pt idx="9979">
                  <c:v>1.1267775310583743E-2</c:v>
                </c:pt>
                <c:pt idx="9980">
                  <c:v>1.0876472110966831E-2</c:v>
                </c:pt>
                <c:pt idx="9981">
                  <c:v>1.0016437626298544E-2</c:v>
                </c:pt>
                <c:pt idx="9982">
                  <c:v>1.0548107092707549E-2</c:v>
                </c:pt>
                <c:pt idx="9983">
                  <c:v>1.1457966569261518E-2</c:v>
                </c:pt>
                <c:pt idx="9984">
                  <c:v>1.1181076619682359E-2</c:v>
                </c:pt>
                <c:pt idx="9985">
                  <c:v>1.2598805416398627E-2</c:v>
                </c:pt>
                <c:pt idx="9986">
                  <c:v>1.0084406058701513E-2</c:v>
                </c:pt>
                <c:pt idx="9987">
                  <c:v>1.0811774882857415E-2</c:v>
                </c:pt>
                <c:pt idx="9988">
                  <c:v>1.2095105122990378E-2</c:v>
                </c:pt>
                <c:pt idx="9989">
                  <c:v>9.5484599267588888E-3</c:v>
                </c:pt>
                <c:pt idx="9990">
                  <c:v>1.0174371015934726E-2</c:v>
                </c:pt>
                <c:pt idx="9991">
                  <c:v>1.0624099113064575E-2</c:v>
                </c:pt>
                <c:pt idx="9992">
                  <c:v>1.2427338309663428E-2</c:v>
                </c:pt>
                <c:pt idx="9993">
                  <c:v>1.5434342242424251E-2</c:v>
                </c:pt>
                <c:pt idx="9994">
                  <c:v>1.4643223330675595E-2</c:v>
                </c:pt>
                <c:pt idx="9995">
                  <c:v>1.3695610553380169E-2</c:v>
                </c:pt>
                <c:pt idx="9996">
                  <c:v>8.4456366619254254E-3</c:v>
                </c:pt>
                <c:pt idx="9997">
                  <c:v>1.0104337962432628E-2</c:v>
                </c:pt>
                <c:pt idx="9998">
                  <c:v>9.6059286471831765E-3</c:v>
                </c:pt>
                <c:pt idx="9999">
                  <c:v>2.3154548541213932E-2</c:v>
                </c:pt>
                <c:pt idx="10000">
                  <c:v>1.272780390749189E-2</c:v>
                </c:pt>
              </c:numCache>
            </c:numRef>
          </c:xVal>
          <c:yVal>
            <c:numRef>
              <c:f>Optimisation!$AO$3:$AO$10003</c:f>
              <c:numCache>
                <c:formatCode>0.000%</c:formatCode>
                <c:ptCount val="10001"/>
                <c:pt idx="0">
                  <c:v>4.0914680067769763E-4</c:v>
                </c:pt>
                <c:pt idx="1">
                  <c:v>9.3747977983229093E-4</c:v>
                </c:pt>
                <c:pt idx="2">
                  <c:v>7.9477806402883041E-4</c:v>
                </c:pt>
                <c:pt idx="3">
                  <c:v>9.9578703351681491E-4</c:v>
                </c:pt>
                <c:pt idx="4">
                  <c:v>3.5160179094737888E-4</c:v>
                </c:pt>
                <c:pt idx="5">
                  <c:v>1.4446377681869168E-3</c:v>
                </c:pt>
                <c:pt idx="6">
                  <c:v>7.0169570990430603E-4</c:v>
                </c:pt>
                <c:pt idx="7">
                  <c:v>5.7851495477725392E-4</c:v>
                </c:pt>
                <c:pt idx="8">
                  <c:v>4.1797685484531663E-4</c:v>
                </c:pt>
                <c:pt idx="9">
                  <c:v>1.0885421188534402E-3</c:v>
                </c:pt>
                <c:pt idx="10">
                  <c:v>9.110111721545341E-4</c:v>
                </c:pt>
                <c:pt idx="11">
                  <c:v>1.1942947801816082E-3</c:v>
                </c:pt>
                <c:pt idx="12">
                  <c:v>5.1343557454395638E-4</c:v>
                </c:pt>
                <c:pt idx="13">
                  <c:v>8.4174371622470286E-4</c:v>
                </c:pt>
                <c:pt idx="14">
                  <c:v>7.7707424499236591E-4</c:v>
                </c:pt>
                <c:pt idx="15">
                  <c:v>6.2619454796506921E-4</c:v>
                </c:pt>
                <c:pt idx="16">
                  <c:v>1.0802561061894133E-3</c:v>
                </c:pt>
                <c:pt idx="17">
                  <c:v>4.4121804909551645E-4</c:v>
                </c:pt>
                <c:pt idx="18">
                  <c:v>5.1856706472307504E-4</c:v>
                </c:pt>
                <c:pt idx="19">
                  <c:v>6.6609080715188714E-4</c:v>
                </c:pt>
                <c:pt idx="20">
                  <c:v>9.7889096451954545E-4</c:v>
                </c:pt>
                <c:pt idx="21">
                  <c:v>8.1668434631532606E-4</c:v>
                </c:pt>
                <c:pt idx="22">
                  <c:v>8.9375449270257174E-4</c:v>
                </c:pt>
                <c:pt idx="23">
                  <c:v>1.2207143813366948E-3</c:v>
                </c:pt>
                <c:pt idx="24">
                  <c:v>4.4699848351623372E-4</c:v>
                </c:pt>
                <c:pt idx="25">
                  <c:v>5.6048066109253686E-4</c:v>
                </c:pt>
                <c:pt idx="26">
                  <c:v>5.1444176931877495E-4</c:v>
                </c:pt>
                <c:pt idx="27">
                  <c:v>4.8983638566110549E-4</c:v>
                </c:pt>
                <c:pt idx="28">
                  <c:v>9.5126830007672271E-4</c:v>
                </c:pt>
                <c:pt idx="29">
                  <c:v>7.3630178232615175E-4</c:v>
                </c:pt>
                <c:pt idx="30">
                  <c:v>8.5163966061882652E-4</c:v>
                </c:pt>
                <c:pt idx="31">
                  <c:v>1.3197412999923269E-3</c:v>
                </c:pt>
                <c:pt idx="32">
                  <c:v>9.4755289469682991E-4</c:v>
                </c:pt>
                <c:pt idx="33">
                  <c:v>1.0928477955452927E-3</c:v>
                </c:pt>
                <c:pt idx="34">
                  <c:v>3.2854035572300183E-4</c:v>
                </c:pt>
                <c:pt idx="35">
                  <c:v>9.1838695919076077E-4</c:v>
                </c:pt>
                <c:pt idx="36">
                  <c:v>5.5336295471874325E-4</c:v>
                </c:pt>
                <c:pt idx="37">
                  <c:v>9.1778284083134771E-4</c:v>
                </c:pt>
                <c:pt idx="38">
                  <c:v>3.321113329620793E-4</c:v>
                </c:pt>
                <c:pt idx="39">
                  <c:v>6.401821997813335E-4</c:v>
                </c:pt>
                <c:pt idx="40">
                  <c:v>5.4117278752971313E-4</c:v>
                </c:pt>
                <c:pt idx="41">
                  <c:v>5.3450265121411504E-4</c:v>
                </c:pt>
                <c:pt idx="42">
                  <c:v>2.0981121699608621E-4</c:v>
                </c:pt>
                <c:pt idx="43">
                  <c:v>6.1606630600982595E-4</c:v>
                </c:pt>
                <c:pt idx="44">
                  <c:v>3.3280541030177838E-4</c:v>
                </c:pt>
                <c:pt idx="45">
                  <c:v>1.2198542736449685E-3</c:v>
                </c:pt>
                <c:pt idx="46">
                  <c:v>1.0835997215513076E-3</c:v>
                </c:pt>
                <c:pt idx="47">
                  <c:v>1.2919696302569111E-3</c:v>
                </c:pt>
                <c:pt idx="48">
                  <c:v>3.2127978360720061E-4</c:v>
                </c:pt>
                <c:pt idx="49">
                  <c:v>8.9009243335294098E-4</c:v>
                </c:pt>
                <c:pt idx="50">
                  <c:v>1.0555901482265139E-3</c:v>
                </c:pt>
                <c:pt idx="51">
                  <c:v>7.8866251772130352E-4</c:v>
                </c:pt>
                <c:pt idx="52">
                  <c:v>7.4173959671611006E-4</c:v>
                </c:pt>
                <c:pt idx="53">
                  <c:v>7.3969756080220273E-4</c:v>
                </c:pt>
                <c:pt idx="54">
                  <c:v>1.0335577113969215E-3</c:v>
                </c:pt>
                <c:pt idx="55">
                  <c:v>4.18061314634025E-4</c:v>
                </c:pt>
                <c:pt idx="56">
                  <c:v>5.8846912397486867E-4</c:v>
                </c:pt>
                <c:pt idx="57">
                  <c:v>7.4709282190972136E-4</c:v>
                </c:pt>
                <c:pt idx="58">
                  <c:v>8.3163290530554354E-4</c:v>
                </c:pt>
                <c:pt idx="59">
                  <c:v>9.0641341460717055E-4</c:v>
                </c:pt>
                <c:pt idx="60">
                  <c:v>7.9968993221592741E-4</c:v>
                </c:pt>
                <c:pt idx="61">
                  <c:v>1.2387281182598361E-3</c:v>
                </c:pt>
                <c:pt idx="62">
                  <c:v>9.888708505729313E-4</c:v>
                </c:pt>
                <c:pt idx="63">
                  <c:v>1.023431771784639E-3</c:v>
                </c:pt>
                <c:pt idx="64">
                  <c:v>6.3824915757198727E-4</c:v>
                </c:pt>
                <c:pt idx="65">
                  <c:v>9.806131187016843E-4</c:v>
                </c:pt>
                <c:pt idx="66">
                  <c:v>8.8004531745437299E-4</c:v>
                </c:pt>
                <c:pt idx="67">
                  <c:v>6.066799289093063E-4</c:v>
                </c:pt>
                <c:pt idx="68">
                  <c:v>6.4205564293109128E-4</c:v>
                </c:pt>
                <c:pt idx="69">
                  <c:v>5.5023120124249227E-4</c:v>
                </c:pt>
                <c:pt idx="70">
                  <c:v>1.1137307292729231E-3</c:v>
                </c:pt>
                <c:pt idx="71">
                  <c:v>9.2065756939610445E-4</c:v>
                </c:pt>
                <c:pt idx="72">
                  <c:v>1.0921051954733421E-3</c:v>
                </c:pt>
                <c:pt idx="73">
                  <c:v>9.0239735363868419E-4</c:v>
                </c:pt>
                <c:pt idx="74">
                  <c:v>1.3901685956042296E-3</c:v>
                </c:pt>
                <c:pt idx="75">
                  <c:v>7.7457855110089793E-4</c:v>
                </c:pt>
                <c:pt idx="76">
                  <c:v>5.0687274940223103E-4</c:v>
                </c:pt>
                <c:pt idx="77">
                  <c:v>1.1285854232111394E-3</c:v>
                </c:pt>
                <c:pt idx="78">
                  <c:v>1.1531746885771372E-3</c:v>
                </c:pt>
                <c:pt idx="79">
                  <c:v>9.7039199415860009E-4</c:v>
                </c:pt>
                <c:pt idx="80">
                  <c:v>6.2351189857513768E-4</c:v>
                </c:pt>
                <c:pt idx="81">
                  <c:v>1.0833250457211875E-3</c:v>
                </c:pt>
                <c:pt idx="82">
                  <c:v>1.0339800482106402E-3</c:v>
                </c:pt>
                <c:pt idx="83">
                  <c:v>2.6859150605502925E-4</c:v>
                </c:pt>
                <c:pt idx="84">
                  <c:v>1.4086931428313665E-3</c:v>
                </c:pt>
                <c:pt idx="85">
                  <c:v>9.4258664233594206E-4</c:v>
                </c:pt>
                <c:pt idx="86">
                  <c:v>4.9517649000509884E-4</c:v>
                </c:pt>
                <c:pt idx="87">
                  <c:v>3.7026450866425138E-4</c:v>
                </c:pt>
                <c:pt idx="88">
                  <c:v>7.1397096828382939E-4</c:v>
                </c:pt>
                <c:pt idx="89">
                  <c:v>6.1031919469947465E-4</c:v>
                </c:pt>
                <c:pt idx="90">
                  <c:v>1.0487265661919402E-3</c:v>
                </c:pt>
                <c:pt idx="91">
                  <c:v>8.3354620351150269E-4</c:v>
                </c:pt>
                <c:pt idx="92">
                  <c:v>9.819428046213502E-4</c:v>
                </c:pt>
                <c:pt idx="93">
                  <c:v>9.3388190742391196E-4</c:v>
                </c:pt>
                <c:pt idx="94">
                  <c:v>1.1976897126454661E-3</c:v>
                </c:pt>
                <c:pt idx="95">
                  <c:v>5.5358986839108588E-4</c:v>
                </c:pt>
                <c:pt idx="96">
                  <c:v>5.8826786808107931E-4</c:v>
                </c:pt>
                <c:pt idx="97">
                  <c:v>1.3205736332101681E-3</c:v>
                </c:pt>
                <c:pt idx="98">
                  <c:v>1.1305943376869142E-3</c:v>
                </c:pt>
                <c:pt idx="99">
                  <c:v>1.3661998568199607E-3</c:v>
                </c:pt>
                <c:pt idx="100">
                  <c:v>1.225080747152596E-3</c:v>
                </c:pt>
                <c:pt idx="101">
                  <c:v>7.2259649198292818E-4</c:v>
                </c:pt>
                <c:pt idx="102">
                  <c:v>6.2464419469264692E-4</c:v>
                </c:pt>
                <c:pt idx="103">
                  <c:v>8.0070470121484526E-4</c:v>
                </c:pt>
                <c:pt idx="104">
                  <c:v>5.2424757927252267E-4</c:v>
                </c:pt>
                <c:pt idx="105">
                  <c:v>1.1307937173401404E-3</c:v>
                </c:pt>
                <c:pt idx="106">
                  <c:v>1.0984225832939779E-3</c:v>
                </c:pt>
                <c:pt idx="107">
                  <c:v>7.1492345475101713E-4</c:v>
                </c:pt>
                <c:pt idx="108">
                  <c:v>1.8534466637950945E-4</c:v>
                </c:pt>
                <c:pt idx="109">
                  <c:v>4.7183724055759518E-4</c:v>
                </c:pt>
                <c:pt idx="110">
                  <c:v>1.1170993700977893E-3</c:v>
                </c:pt>
                <c:pt idx="111">
                  <c:v>5.7414492005146379E-4</c:v>
                </c:pt>
                <c:pt idx="112">
                  <c:v>6.25396548672942E-4</c:v>
                </c:pt>
                <c:pt idx="113">
                  <c:v>5.1311051607954932E-4</c:v>
                </c:pt>
                <c:pt idx="114">
                  <c:v>1.1342895327606714E-3</c:v>
                </c:pt>
                <c:pt idx="115">
                  <c:v>1.194832442426453E-3</c:v>
                </c:pt>
                <c:pt idx="116">
                  <c:v>1.0213900553705639E-3</c:v>
                </c:pt>
                <c:pt idx="117">
                  <c:v>1.0077570553767067E-3</c:v>
                </c:pt>
                <c:pt idx="118">
                  <c:v>3.0287757153726652E-4</c:v>
                </c:pt>
                <c:pt idx="119">
                  <c:v>1.193652977501351E-3</c:v>
                </c:pt>
                <c:pt idx="120">
                  <c:v>6.548288350545975E-4</c:v>
                </c:pt>
                <c:pt idx="121">
                  <c:v>1.1066450073700836E-3</c:v>
                </c:pt>
                <c:pt idx="122">
                  <c:v>1.1174616018949416E-3</c:v>
                </c:pt>
                <c:pt idx="123">
                  <c:v>6.2822522539903065E-4</c:v>
                </c:pt>
                <c:pt idx="124">
                  <c:v>7.4915194785769878E-4</c:v>
                </c:pt>
                <c:pt idx="125">
                  <c:v>1.1360356106842758E-3</c:v>
                </c:pt>
                <c:pt idx="126">
                  <c:v>5.2306187760385516E-4</c:v>
                </c:pt>
                <c:pt idx="127">
                  <c:v>9.3419041462165656E-4</c:v>
                </c:pt>
                <c:pt idx="128">
                  <c:v>1.3985180091438234E-3</c:v>
                </c:pt>
                <c:pt idx="129">
                  <c:v>9.1758937705894951E-4</c:v>
                </c:pt>
                <c:pt idx="130">
                  <c:v>5.7556011331482608E-4</c:v>
                </c:pt>
                <c:pt idx="131">
                  <c:v>6.2890041139852836E-4</c:v>
                </c:pt>
                <c:pt idx="132">
                  <c:v>9.9673176532125217E-4</c:v>
                </c:pt>
                <c:pt idx="133">
                  <c:v>1.0200983766844674E-3</c:v>
                </c:pt>
                <c:pt idx="134">
                  <c:v>6.9856544134829499E-4</c:v>
                </c:pt>
                <c:pt idx="135">
                  <c:v>4.5943487590080387E-4</c:v>
                </c:pt>
                <c:pt idx="136">
                  <c:v>5.577323304352303E-4</c:v>
                </c:pt>
                <c:pt idx="137">
                  <c:v>9.1673067957265709E-4</c:v>
                </c:pt>
                <c:pt idx="138">
                  <c:v>5.3619831988907811E-4</c:v>
                </c:pt>
                <c:pt idx="139">
                  <c:v>1.0625542705268315E-3</c:v>
                </c:pt>
                <c:pt idx="140">
                  <c:v>1.9624320838873392E-4</c:v>
                </c:pt>
                <c:pt idx="141">
                  <c:v>6.4036308701441642E-4</c:v>
                </c:pt>
                <c:pt idx="142">
                  <c:v>4.2111489313081241E-4</c:v>
                </c:pt>
                <c:pt idx="143">
                  <c:v>1.7368325762639738E-3</c:v>
                </c:pt>
                <c:pt idx="144">
                  <c:v>1.3987496857236236E-3</c:v>
                </c:pt>
                <c:pt idx="145">
                  <c:v>8.688944530583191E-4</c:v>
                </c:pt>
                <c:pt idx="146">
                  <c:v>5.6459022672568457E-4</c:v>
                </c:pt>
                <c:pt idx="147">
                  <c:v>1.1397828598773186E-3</c:v>
                </c:pt>
                <c:pt idx="148">
                  <c:v>1.1334583840778871E-3</c:v>
                </c:pt>
                <c:pt idx="149">
                  <c:v>9.8487745534506102E-4</c:v>
                </c:pt>
                <c:pt idx="150">
                  <c:v>1.286673209614143E-3</c:v>
                </c:pt>
                <c:pt idx="151">
                  <c:v>5.821047454692477E-4</c:v>
                </c:pt>
                <c:pt idx="152">
                  <c:v>9.2784047947613781E-4</c:v>
                </c:pt>
                <c:pt idx="153">
                  <c:v>1.3199851301647434E-3</c:v>
                </c:pt>
                <c:pt idx="154">
                  <c:v>1.0322852201684728E-3</c:v>
                </c:pt>
                <c:pt idx="155">
                  <c:v>6.055752830247664E-4</c:v>
                </c:pt>
                <c:pt idx="156">
                  <c:v>5.4282051235219264E-4</c:v>
                </c:pt>
                <c:pt idx="157">
                  <c:v>9.7805545042230387E-4</c:v>
                </c:pt>
                <c:pt idx="158">
                  <c:v>6.3259421741771989E-4</c:v>
                </c:pt>
                <c:pt idx="159">
                  <c:v>5.5453908572775969E-4</c:v>
                </c:pt>
                <c:pt idx="160">
                  <c:v>8.4381424934914248E-4</c:v>
                </c:pt>
                <c:pt idx="161">
                  <c:v>2.3212819304730949E-4</c:v>
                </c:pt>
                <c:pt idx="162">
                  <c:v>1.2920939970764835E-3</c:v>
                </c:pt>
                <c:pt idx="163">
                  <c:v>1.4317705700312852E-3</c:v>
                </c:pt>
                <c:pt idx="164">
                  <c:v>6.8138663540051234E-4</c:v>
                </c:pt>
                <c:pt idx="165">
                  <c:v>5.4762291634739705E-4</c:v>
                </c:pt>
                <c:pt idx="166">
                  <c:v>2.69877235441125E-4</c:v>
                </c:pt>
                <c:pt idx="167">
                  <c:v>6.81703836034691E-4</c:v>
                </c:pt>
                <c:pt idx="168">
                  <c:v>1.1186609749826726E-3</c:v>
                </c:pt>
                <c:pt idx="169">
                  <c:v>1.4421405272581754E-3</c:v>
                </c:pt>
                <c:pt idx="170">
                  <c:v>1.216122575722756E-3</c:v>
                </c:pt>
                <c:pt idx="171">
                  <c:v>4.6824170963245587E-4</c:v>
                </c:pt>
                <c:pt idx="172">
                  <c:v>8.5856241389984332E-4</c:v>
                </c:pt>
                <c:pt idx="173">
                  <c:v>1.141717186260666E-3</c:v>
                </c:pt>
                <c:pt idx="174">
                  <c:v>1.1084185880662011E-3</c:v>
                </c:pt>
                <c:pt idx="175">
                  <c:v>9.7326046278814579E-4</c:v>
                </c:pt>
                <c:pt idx="176">
                  <c:v>3.0272472958470372E-4</c:v>
                </c:pt>
                <c:pt idx="177">
                  <c:v>4.9472821940366261E-4</c:v>
                </c:pt>
                <c:pt idx="178">
                  <c:v>6.2354527276179544E-4</c:v>
                </c:pt>
                <c:pt idx="179">
                  <c:v>1.245430522384481E-3</c:v>
                </c:pt>
                <c:pt idx="180">
                  <c:v>6.7892293355177407E-4</c:v>
                </c:pt>
                <c:pt idx="181">
                  <c:v>1.5410628758641344E-3</c:v>
                </c:pt>
                <c:pt idx="182">
                  <c:v>1.3217944482695264E-3</c:v>
                </c:pt>
                <c:pt idx="183">
                  <c:v>7.8237366675972301E-4</c:v>
                </c:pt>
                <c:pt idx="184">
                  <c:v>5.5273033510514738E-4</c:v>
                </c:pt>
                <c:pt idx="185">
                  <c:v>1.1219180789635479E-3</c:v>
                </c:pt>
                <c:pt idx="186">
                  <c:v>1.0980412980260851E-3</c:v>
                </c:pt>
                <c:pt idx="187">
                  <c:v>3.8674669600616339E-4</c:v>
                </c:pt>
                <c:pt idx="188">
                  <c:v>5.9180763919740764E-4</c:v>
                </c:pt>
                <c:pt idx="189">
                  <c:v>7.0424545038144724E-4</c:v>
                </c:pt>
                <c:pt idx="190">
                  <c:v>5.872215275396519E-4</c:v>
                </c:pt>
                <c:pt idx="191">
                  <c:v>7.4821093427758967E-4</c:v>
                </c:pt>
                <c:pt idx="192">
                  <c:v>1.1949682029299201E-3</c:v>
                </c:pt>
                <c:pt idx="193">
                  <c:v>1.1132327811949551E-3</c:v>
                </c:pt>
                <c:pt idx="194">
                  <c:v>1.0958664806175655E-3</c:v>
                </c:pt>
                <c:pt idx="195">
                  <c:v>9.4580983331486767E-4</c:v>
                </c:pt>
                <c:pt idx="196">
                  <c:v>5.9710261154681033E-4</c:v>
                </c:pt>
                <c:pt idx="197">
                  <c:v>6.1275220670848544E-4</c:v>
                </c:pt>
                <c:pt idx="198">
                  <c:v>5.4754382807236236E-4</c:v>
                </c:pt>
                <c:pt idx="199">
                  <c:v>5.3003749639682839E-4</c:v>
                </c:pt>
                <c:pt idx="200">
                  <c:v>9.4067956636994816E-4</c:v>
                </c:pt>
                <c:pt idx="201">
                  <c:v>1.0795227140472032E-3</c:v>
                </c:pt>
                <c:pt idx="202">
                  <c:v>1.1191488211070495E-3</c:v>
                </c:pt>
                <c:pt idx="203">
                  <c:v>1.1522818777029993E-3</c:v>
                </c:pt>
                <c:pt idx="204">
                  <c:v>4.8748453780886802E-4</c:v>
                </c:pt>
                <c:pt idx="205">
                  <c:v>5.5623219431913255E-4</c:v>
                </c:pt>
                <c:pt idx="206">
                  <c:v>4.3555991754485538E-4</c:v>
                </c:pt>
                <c:pt idx="207">
                  <c:v>4.2871125244402827E-4</c:v>
                </c:pt>
                <c:pt idx="208">
                  <c:v>5.7798498372533755E-4</c:v>
                </c:pt>
                <c:pt idx="209">
                  <c:v>7.1896868569100967E-4</c:v>
                </c:pt>
                <c:pt idx="210">
                  <c:v>1.0009068083973764E-3</c:v>
                </c:pt>
                <c:pt idx="211">
                  <c:v>8.2565599316955377E-4</c:v>
                </c:pt>
                <c:pt idx="212">
                  <c:v>1.3068573655605359E-3</c:v>
                </c:pt>
                <c:pt idx="213">
                  <c:v>1.1557041317921373E-3</c:v>
                </c:pt>
                <c:pt idx="214">
                  <c:v>8.673316460983127E-4</c:v>
                </c:pt>
                <c:pt idx="215">
                  <c:v>1.1231226727594834E-3</c:v>
                </c:pt>
                <c:pt idx="216">
                  <c:v>6.2050778947672159E-4</c:v>
                </c:pt>
                <c:pt idx="217">
                  <c:v>6.3582515027487492E-4</c:v>
                </c:pt>
                <c:pt idx="218">
                  <c:v>1.055586878742927E-3</c:v>
                </c:pt>
                <c:pt idx="219">
                  <c:v>1.2984119056637477E-3</c:v>
                </c:pt>
                <c:pt idx="220">
                  <c:v>6.0145594808886499E-4</c:v>
                </c:pt>
                <c:pt idx="221">
                  <c:v>4.9688735941724835E-4</c:v>
                </c:pt>
                <c:pt idx="222">
                  <c:v>1.1022861956231133E-3</c:v>
                </c:pt>
                <c:pt idx="223">
                  <c:v>1.2291893035725609E-3</c:v>
                </c:pt>
                <c:pt idx="224">
                  <c:v>1.0512351744447516E-3</c:v>
                </c:pt>
                <c:pt idx="225">
                  <c:v>1.239896811358641E-3</c:v>
                </c:pt>
                <c:pt idx="226">
                  <c:v>3.6343184761840558E-4</c:v>
                </c:pt>
                <c:pt idx="227">
                  <c:v>1.2316230715881439E-3</c:v>
                </c:pt>
                <c:pt idx="228">
                  <c:v>9.8272095714204604E-4</c:v>
                </c:pt>
                <c:pt idx="229">
                  <c:v>8.9186347574934542E-4</c:v>
                </c:pt>
                <c:pt idx="230">
                  <c:v>1.1210617842123023E-3</c:v>
                </c:pt>
                <c:pt idx="231">
                  <c:v>9.6740194300624688E-4</c:v>
                </c:pt>
                <c:pt idx="232">
                  <c:v>1.0600318551030449E-3</c:v>
                </c:pt>
                <c:pt idx="233">
                  <c:v>1.2183069996043782E-3</c:v>
                </c:pt>
                <c:pt idx="234">
                  <c:v>1.0486767142799628E-3</c:v>
                </c:pt>
                <c:pt idx="235">
                  <c:v>7.691588833088586E-4</c:v>
                </c:pt>
                <c:pt idx="236">
                  <c:v>1.0368074835241025E-3</c:v>
                </c:pt>
                <c:pt idx="237">
                  <c:v>7.5342263829712046E-4</c:v>
                </c:pt>
                <c:pt idx="238">
                  <c:v>8.5052740839305636E-4</c:v>
                </c:pt>
                <c:pt idx="239">
                  <c:v>4.2865159090172908E-4</c:v>
                </c:pt>
                <c:pt idx="240">
                  <c:v>1.1423577895080606E-3</c:v>
                </c:pt>
                <c:pt idx="241">
                  <c:v>9.50692699730435E-4</c:v>
                </c:pt>
                <c:pt idx="242">
                  <c:v>6.8255603244946127E-4</c:v>
                </c:pt>
                <c:pt idx="243">
                  <c:v>7.3250857172751872E-4</c:v>
                </c:pt>
                <c:pt idx="244">
                  <c:v>9.54278956037543E-4</c:v>
                </c:pt>
                <c:pt idx="245">
                  <c:v>7.0649642814850334E-4</c:v>
                </c:pt>
                <c:pt idx="246">
                  <c:v>1.2395268490196865E-3</c:v>
                </c:pt>
                <c:pt idx="247">
                  <c:v>7.2501501703029663E-4</c:v>
                </c:pt>
                <c:pt idx="248">
                  <c:v>3.5988657259418741E-4</c:v>
                </c:pt>
                <c:pt idx="249">
                  <c:v>1.0189925085592468E-3</c:v>
                </c:pt>
                <c:pt idx="250">
                  <c:v>9.7272074952562478E-4</c:v>
                </c:pt>
                <c:pt idx="251">
                  <c:v>1.1030583933020698E-3</c:v>
                </c:pt>
                <c:pt idx="252">
                  <c:v>8.2288101640509443E-4</c:v>
                </c:pt>
                <c:pt idx="253">
                  <c:v>1.8722047284303819E-3</c:v>
                </c:pt>
                <c:pt idx="254">
                  <c:v>1.1336814923650635E-3</c:v>
                </c:pt>
                <c:pt idx="255">
                  <c:v>2.4693316369632306E-4</c:v>
                </c:pt>
                <c:pt idx="256">
                  <c:v>5.556370430558526E-4</c:v>
                </c:pt>
                <c:pt idx="257">
                  <c:v>5.3373584209029064E-4</c:v>
                </c:pt>
                <c:pt idx="258">
                  <c:v>6.8180076735075573E-4</c:v>
                </c:pt>
                <c:pt idx="259">
                  <c:v>1.2332255620811426E-3</c:v>
                </c:pt>
                <c:pt idx="260">
                  <c:v>7.3153693191725037E-4</c:v>
                </c:pt>
                <c:pt idx="261">
                  <c:v>4.6708253084439937E-4</c:v>
                </c:pt>
                <c:pt idx="262">
                  <c:v>1.2318578935181469E-3</c:v>
                </c:pt>
                <c:pt idx="263">
                  <c:v>1.4298158346212483E-3</c:v>
                </c:pt>
                <c:pt idx="264">
                  <c:v>7.7626520100520949E-4</c:v>
                </c:pt>
                <c:pt idx="265">
                  <c:v>5.3413743182573637E-4</c:v>
                </c:pt>
                <c:pt idx="266">
                  <c:v>1.0543041533012979E-3</c:v>
                </c:pt>
                <c:pt idx="267">
                  <c:v>5.226000017704846E-4</c:v>
                </c:pt>
                <c:pt idx="268">
                  <c:v>5.319530151920522E-4</c:v>
                </c:pt>
                <c:pt idx="269">
                  <c:v>7.317168386898902E-4</c:v>
                </c:pt>
                <c:pt idx="270">
                  <c:v>1.577436505028009E-3</c:v>
                </c:pt>
                <c:pt idx="271">
                  <c:v>1.1310180075320695E-3</c:v>
                </c:pt>
                <c:pt idx="272">
                  <c:v>7.6623904277681057E-4</c:v>
                </c:pt>
                <c:pt idx="273">
                  <c:v>6.171825986596804E-4</c:v>
                </c:pt>
                <c:pt idx="274">
                  <c:v>7.6669531906209962E-4</c:v>
                </c:pt>
                <c:pt idx="275">
                  <c:v>3.7020554173115996E-4</c:v>
                </c:pt>
                <c:pt idx="276">
                  <c:v>3.433874118237059E-4</c:v>
                </c:pt>
                <c:pt idx="277">
                  <c:v>1.0977154433794191E-3</c:v>
                </c:pt>
                <c:pt idx="278">
                  <c:v>1.0014078321402583E-3</c:v>
                </c:pt>
                <c:pt idx="279">
                  <c:v>7.6568476988780573E-4</c:v>
                </c:pt>
                <c:pt idx="280">
                  <c:v>7.0295428189345009E-4</c:v>
                </c:pt>
                <c:pt idx="281">
                  <c:v>1.1654992320796231E-3</c:v>
                </c:pt>
                <c:pt idx="282">
                  <c:v>1.8242236935951317E-3</c:v>
                </c:pt>
                <c:pt idx="283">
                  <c:v>9.1104469640028126E-4</c:v>
                </c:pt>
                <c:pt idx="284">
                  <c:v>4.6969667034964669E-4</c:v>
                </c:pt>
                <c:pt idx="285">
                  <c:v>9.7177108197856225E-4</c:v>
                </c:pt>
                <c:pt idx="286">
                  <c:v>1.3498646376793129E-3</c:v>
                </c:pt>
                <c:pt idx="287">
                  <c:v>1.476115299143964E-3</c:v>
                </c:pt>
                <c:pt idx="288">
                  <c:v>7.446778497483444E-4</c:v>
                </c:pt>
                <c:pt idx="289">
                  <c:v>1.1104774788245257E-3</c:v>
                </c:pt>
                <c:pt idx="290">
                  <c:v>1.061399661162137E-3</c:v>
                </c:pt>
                <c:pt idx="291">
                  <c:v>7.4241116187289454E-4</c:v>
                </c:pt>
                <c:pt idx="292">
                  <c:v>6.1958455281378494E-4</c:v>
                </c:pt>
                <c:pt idx="293">
                  <c:v>1.0724261890386151E-3</c:v>
                </c:pt>
                <c:pt idx="294">
                  <c:v>6.589881790706948E-4</c:v>
                </c:pt>
                <c:pt idx="295">
                  <c:v>7.2277710290071201E-4</c:v>
                </c:pt>
                <c:pt idx="296">
                  <c:v>6.0736422366139907E-4</c:v>
                </c:pt>
                <c:pt idx="297">
                  <c:v>7.8918568479831156E-4</c:v>
                </c:pt>
                <c:pt idx="298">
                  <c:v>1.1338244017993382E-3</c:v>
                </c:pt>
                <c:pt idx="299">
                  <c:v>4.4373706520877527E-4</c:v>
                </c:pt>
                <c:pt idx="300">
                  <c:v>1.1667466057774865E-3</c:v>
                </c:pt>
                <c:pt idx="301">
                  <c:v>8.7363657100269663E-4</c:v>
                </c:pt>
                <c:pt idx="302">
                  <c:v>4.9821601537001266E-4</c:v>
                </c:pt>
                <c:pt idx="303">
                  <c:v>8.4511756868109965E-4</c:v>
                </c:pt>
                <c:pt idx="304">
                  <c:v>6.4402622194999486E-4</c:v>
                </c:pt>
                <c:pt idx="305">
                  <c:v>7.7390670979426339E-4</c:v>
                </c:pt>
                <c:pt idx="306">
                  <c:v>3.8100511594659387E-4</c:v>
                </c:pt>
                <c:pt idx="307">
                  <c:v>6.9895407662498761E-4</c:v>
                </c:pt>
                <c:pt idx="308">
                  <c:v>7.952177728827891E-4</c:v>
                </c:pt>
                <c:pt idx="309">
                  <c:v>5.2117522025679763E-4</c:v>
                </c:pt>
                <c:pt idx="310">
                  <c:v>1.1679449754151245E-3</c:v>
                </c:pt>
                <c:pt idx="311">
                  <c:v>1.0475467918556335E-3</c:v>
                </c:pt>
                <c:pt idx="312">
                  <c:v>9.4454156640075954E-4</c:v>
                </c:pt>
                <c:pt idx="313">
                  <c:v>6.7412555778266524E-4</c:v>
                </c:pt>
                <c:pt idx="314">
                  <c:v>2.9329076631157857E-4</c:v>
                </c:pt>
                <c:pt idx="315">
                  <c:v>7.3972685695738668E-4</c:v>
                </c:pt>
                <c:pt idx="316">
                  <c:v>1.1112716643745498E-3</c:v>
                </c:pt>
                <c:pt idx="317">
                  <c:v>7.5209214441401286E-4</c:v>
                </c:pt>
                <c:pt idx="318">
                  <c:v>9.0886998272558393E-4</c:v>
                </c:pt>
                <c:pt idx="319">
                  <c:v>1.1567648706259871E-3</c:v>
                </c:pt>
                <c:pt idx="320">
                  <c:v>5.954317606967172E-4</c:v>
                </c:pt>
                <c:pt idx="321">
                  <c:v>4.5257492199674693E-4</c:v>
                </c:pt>
                <c:pt idx="322">
                  <c:v>6.1942642262471698E-4</c:v>
                </c:pt>
                <c:pt idx="323">
                  <c:v>8.0951616431212785E-4</c:v>
                </c:pt>
                <c:pt idx="324">
                  <c:v>1.0321402498471961E-3</c:v>
                </c:pt>
                <c:pt idx="325">
                  <c:v>8.9704525370624781E-4</c:v>
                </c:pt>
                <c:pt idx="326">
                  <c:v>6.0525267551021496E-4</c:v>
                </c:pt>
                <c:pt idx="327">
                  <c:v>4.8672004148756772E-4</c:v>
                </c:pt>
                <c:pt idx="328">
                  <c:v>5.4364896135591814E-4</c:v>
                </c:pt>
                <c:pt idx="329">
                  <c:v>1.470102902509172E-3</c:v>
                </c:pt>
                <c:pt idx="330">
                  <c:v>1.2101016922432576E-3</c:v>
                </c:pt>
                <c:pt idx="331">
                  <c:v>8.832563374855095E-4</c:v>
                </c:pt>
                <c:pt idx="332">
                  <c:v>1.1462990756350338E-3</c:v>
                </c:pt>
                <c:pt idx="333">
                  <c:v>9.7181173015756033E-4</c:v>
                </c:pt>
                <c:pt idx="334">
                  <c:v>1.1330914114562774E-3</c:v>
                </c:pt>
                <c:pt idx="335">
                  <c:v>1.2508489082323233E-3</c:v>
                </c:pt>
                <c:pt idx="336">
                  <c:v>7.9938673889409751E-4</c:v>
                </c:pt>
                <c:pt idx="337">
                  <c:v>6.4022227401096894E-4</c:v>
                </c:pt>
                <c:pt idx="338">
                  <c:v>1.1726529336353706E-3</c:v>
                </c:pt>
                <c:pt idx="339">
                  <c:v>1.0607095862040273E-3</c:v>
                </c:pt>
                <c:pt idx="340">
                  <c:v>5.4063278520842984E-4</c:v>
                </c:pt>
                <c:pt idx="341">
                  <c:v>8.0795081384504278E-4</c:v>
                </c:pt>
                <c:pt idx="342">
                  <c:v>9.7525295217796009E-4</c:v>
                </c:pt>
                <c:pt idx="343">
                  <c:v>1.1294502422455719E-3</c:v>
                </c:pt>
                <c:pt idx="344">
                  <c:v>4.1771342509471719E-4</c:v>
                </c:pt>
                <c:pt idx="345">
                  <c:v>1.0736225594698509E-3</c:v>
                </c:pt>
                <c:pt idx="346">
                  <c:v>4.2260252574161127E-4</c:v>
                </c:pt>
                <c:pt idx="347">
                  <c:v>9.2877417423957291E-4</c:v>
                </c:pt>
                <c:pt idx="348">
                  <c:v>4.9351525629008121E-4</c:v>
                </c:pt>
                <c:pt idx="349">
                  <c:v>8.5141409368195801E-4</c:v>
                </c:pt>
                <c:pt idx="350">
                  <c:v>3.4880980455015832E-4</c:v>
                </c:pt>
                <c:pt idx="351">
                  <c:v>5.6385333734040963E-4</c:v>
                </c:pt>
                <c:pt idx="352">
                  <c:v>4.9262320743845192E-4</c:v>
                </c:pt>
                <c:pt idx="353">
                  <c:v>1.0480281475209782E-3</c:v>
                </c:pt>
                <c:pt idx="354">
                  <c:v>1.1755548249873223E-3</c:v>
                </c:pt>
                <c:pt idx="355">
                  <c:v>7.6443236833155504E-4</c:v>
                </c:pt>
                <c:pt idx="356">
                  <c:v>7.3548194064469339E-4</c:v>
                </c:pt>
                <c:pt idx="357">
                  <c:v>3.5830642369609592E-4</c:v>
                </c:pt>
                <c:pt idx="358">
                  <c:v>1.0461590065856494E-3</c:v>
                </c:pt>
                <c:pt idx="359">
                  <c:v>4.3887354828032023E-4</c:v>
                </c:pt>
                <c:pt idx="360">
                  <c:v>7.4714574499741256E-4</c:v>
                </c:pt>
                <c:pt idx="361">
                  <c:v>7.9799185527232297E-4</c:v>
                </c:pt>
                <c:pt idx="362">
                  <c:v>6.8653284250564869E-4</c:v>
                </c:pt>
                <c:pt idx="363">
                  <c:v>6.1139779080989182E-4</c:v>
                </c:pt>
                <c:pt idx="364">
                  <c:v>1.4054346801678666E-3</c:v>
                </c:pt>
                <c:pt idx="365">
                  <c:v>4.5532741354754414E-4</c:v>
                </c:pt>
                <c:pt idx="366">
                  <c:v>1.1985204748238643E-3</c:v>
                </c:pt>
                <c:pt idx="367">
                  <c:v>1.1388600544302663E-3</c:v>
                </c:pt>
                <c:pt idx="368">
                  <c:v>7.7628237429698804E-4</c:v>
                </c:pt>
                <c:pt idx="369">
                  <c:v>7.0865915888862366E-4</c:v>
                </c:pt>
                <c:pt idx="370">
                  <c:v>1.2612303124022153E-3</c:v>
                </c:pt>
                <c:pt idx="371">
                  <c:v>9.7976370447057284E-4</c:v>
                </c:pt>
                <c:pt idx="372">
                  <c:v>1.190196902524612E-3</c:v>
                </c:pt>
                <c:pt idx="373">
                  <c:v>9.3850153798875717E-4</c:v>
                </c:pt>
                <c:pt idx="374">
                  <c:v>6.7577911804284443E-4</c:v>
                </c:pt>
                <c:pt idx="375">
                  <c:v>7.9983718515072263E-4</c:v>
                </c:pt>
                <c:pt idx="376">
                  <c:v>1.2881339114083146E-3</c:v>
                </c:pt>
                <c:pt idx="377">
                  <c:v>7.4495196068232524E-4</c:v>
                </c:pt>
                <c:pt idx="378">
                  <c:v>8.7664612826740377E-4</c:v>
                </c:pt>
                <c:pt idx="379">
                  <c:v>8.8520348057240488E-4</c:v>
                </c:pt>
                <c:pt idx="380">
                  <c:v>8.5120249189989117E-4</c:v>
                </c:pt>
                <c:pt idx="381">
                  <c:v>5.0659530866451917E-4</c:v>
                </c:pt>
                <c:pt idx="382">
                  <c:v>1.9549067789856599E-4</c:v>
                </c:pt>
                <c:pt idx="383">
                  <c:v>9.4764950657529555E-4</c:v>
                </c:pt>
                <c:pt idx="384">
                  <c:v>1.2439053976624316E-3</c:v>
                </c:pt>
                <c:pt idx="385">
                  <c:v>5.4335554715046581E-4</c:v>
                </c:pt>
                <c:pt idx="386">
                  <c:v>1.3119593989677045E-3</c:v>
                </c:pt>
                <c:pt idx="387">
                  <c:v>1.710762175363307E-3</c:v>
                </c:pt>
                <c:pt idx="388">
                  <c:v>9.1815435963615128E-4</c:v>
                </c:pt>
                <c:pt idx="389">
                  <c:v>7.5148239464834649E-4</c:v>
                </c:pt>
                <c:pt idx="390">
                  <c:v>2.8858438741623889E-4</c:v>
                </c:pt>
                <c:pt idx="391">
                  <c:v>9.3866635955624925E-4</c:v>
                </c:pt>
                <c:pt idx="392">
                  <c:v>1.0508437751553671E-3</c:v>
                </c:pt>
                <c:pt idx="393">
                  <c:v>1.0505872022764911E-3</c:v>
                </c:pt>
                <c:pt idx="394">
                  <c:v>8.1055145487970884E-4</c:v>
                </c:pt>
                <c:pt idx="395">
                  <c:v>6.6557019565005582E-4</c:v>
                </c:pt>
                <c:pt idx="396">
                  <c:v>6.13691507407755E-4</c:v>
                </c:pt>
                <c:pt idx="397">
                  <c:v>8.7275276569453856E-4</c:v>
                </c:pt>
                <c:pt idx="398">
                  <c:v>6.3249497515226747E-4</c:v>
                </c:pt>
                <c:pt idx="399">
                  <c:v>1.0983501182021639E-3</c:v>
                </c:pt>
                <c:pt idx="400">
                  <c:v>1.1038422478142703E-3</c:v>
                </c:pt>
                <c:pt idx="401">
                  <c:v>1.1103500409589153E-3</c:v>
                </c:pt>
                <c:pt idx="402">
                  <c:v>8.7003768953633389E-4</c:v>
                </c:pt>
                <c:pt idx="403">
                  <c:v>5.0570231214850563E-4</c:v>
                </c:pt>
                <c:pt idx="404">
                  <c:v>8.7352197700463099E-4</c:v>
                </c:pt>
                <c:pt idx="405">
                  <c:v>6.7177262987972168E-4</c:v>
                </c:pt>
                <c:pt idx="406">
                  <c:v>1.2114052814654547E-3</c:v>
                </c:pt>
                <c:pt idx="407">
                  <c:v>3.3563539403353598E-4</c:v>
                </c:pt>
                <c:pt idx="408">
                  <c:v>4.904937862703863E-4</c:v>
                </c:pt>
                <c:pt idx="409">
                  <c:v>7.4706113907869315E-4</c:v>
                </c:pt>
                <c:pt idx="410">
                  <c:v>2.828459343239144E-4</c:v>
                </c:pt>
                <c:pt idx="411">
                  <c:v>5.3867481841503642E-4</c:v>
                </c:pt>
                <c:pt idx="412">
                  <c:v>1.2095419570215447E-3</c:v>
                </c:pt>
                <c:pt idx="413">
                  <c:v>7.5061775548976404E-4</c:v>
                </c:pt>
                <c:pt idx="414">
                  <c:v>1.2720674568442818E-3</c:v>
                </c:pt>
                <c:pt idx="415">
                  <c:v>4.427353652946078E-4</c:v>
                </c:pt>
                <c:pt idx="416">
                  <c:v>4.9619983912626469E-4</c:v>
                </c:pt>
                <c:pt idx="417">
                  <c:v>1.0279988425452625E-3</c:v>
                </c:pt>
                <c:pt idx="418">
                  <c:v>1.010456196153817E-3</c:v>
                </c:pt>
                <c:pt idx="419">
                  <c:v>9.3143638344825807E-4</c:v>
                </c:pt>
                <c:pt idx="420">
                  <c:v>1.4233729716989153E-3</c:v>
                </c:pt>
                <c:pt idx="421">
                  <c:v>1.1501836062498088E-3</c:v>
                </c:pt>
                <c:pt idx="422">
                  <c:v>7.0783017437899508E-4</c:v>
                </c:pt>
                <c:pt idx="423">
                  <c:v>4.8194732040943004E-4</c:v>
                </c:pt>
                <c:pt idx="424">
                  <c:v>5.594465134751166E-4</c:v>
                </c:pt>
                <c:pt idx="425">
                  <c:v>2.6931009400840982E-4</c:v>
                </c:pt>
                <c:pt idx="426">
                  <c:v>6.3649627934435728E-4</c:v>
                </c:pt>
                <c:pt idx="427">
                  <c:v>1.189314718096552E-3</c:v>
                </c:pt>
                <c:pt idx="428">
                  <c:v>5.0562666689518124E-4</c:v>
                </c:pt>
                <c:pt idx="429">
                  <c:v>8.7298336847993019E-4</c:v>
                </c:pt>
                <c:pt idx="430">
                  <c:v>6.0680896982246726E-4</c:v>
                </c:pt>
                <c:pt idx="431">
                  <c:v>1.1265623343354244E-3</c:v>
                </c:pt>
                <c:pt idx="432">
                  <c:v>9.9808021694522365E-4</c:v>
                </c:pt>
                <c:pt idx="433">
                  <c:v>1.3677210481113197E-3</c:v>
                </c:pt>
                <c:pt idx="434">
                  <c:v>1.1193948710864818E-4</c:v>
                </c:pt>
                <c:pt idx="435">
                  <c:v>4.3536516130285871E-4</c:v>
                </c:pt>
                <c:pt idx="436">
                  <c:v>4.5711530951592647E-4</c:v>
                </c:pt>
                <c:pt idx="437">
                  <c:v>1.0515536749418242E-3</c:v>
                </c:pt>
                <c:pt idx="438">
                  <c:v>1.1373273570346103E-3</c:v>
                </c:pt>
                <c:pt idx="439">
                  <c:v>6.3825970412354914E-4</c:v>
                </c:pt>
                <c:pt idx="440">
                  <c:v>1.1431683831226883E-3</c:v>
                </c:pt>
                <c:pt idx="441">
                  <c:v>8.4972725453806076E-4</c:v>
                </c:pt>
                <c:pt idx="442">
                  <c:v>1.0042171679675636E-3</c:v>
                </c:pt>
                <c:pt idx="443">
                  <c:v>4.1508065493644993E-4</c:v>
                </c:pt>
                <c:pt idx="444">
                  <c:v>1.6865151565539953E-4</c:v>
                </c:pt>
                <c:pt idx="445">
                  <c:v>8.4397417845159415E-4</c:v>
                </c:pt>
                <c:pt idx="446">
                  <c:v>8.1207453054282016E-4</c:v>
                </c:pt>
                <c:pt idx="447">
                  <c:v>9.9346801251842115E-4</c:v>
                </c:pt>
                <c:pt idx="448">
                  <c:v>7.6978986095447373E-4</c:v>
                </c:pt>
                <c:pt idx="449">
                  <c:v>3.1018499452882282E-4</c:v>
                </c:pt>
                <c:pt idx="450">
                  <c:v>1.1836110273216668E-3</c:v>
                </c:pt>
                <c:pt idx="451">
                  <c:v>5.3538763065225212E-4</c:v>
                </c:pt>
                <c:pt idx="452">
                  <c:v>2.5014434378629278E-4</c:v>
                </c:pt>
                <c:pt idx="453">
                  <c:v>9.7127805231637493E-5</c:v>
                </c:pt>
                <c:pt idx="454">
                  <c:v>9.2803797958408794E-4</c:v>
                </c:pt>
                <c:pt idx="455">
                  <c:v>1.1144662739842222E-3</c:v>
                </c:pt>
                <c:pt idx="456">
                  <c:v>1.5605890590081591E-3</c:v>
                </c:pt>
                <c:pt idx="457">
                  <c:v>8.5816447298177681E-4</c:v>
                </c:pt>
                <c:pt idx="458">
                  <c:v>1.3215858370761626E-3</c:v>
                </c:pt>
                <c:pt idx="459">
                  <c:v>7.7093461689397094E-4</c:v>
                </c:pt>
                <c:pt idx="460">
                  <c:v>4.1687683526714532E-4</c:v>
                </c:pt>
                <c:pt idx="461">
                  <c:v>5.4497035354007339E-4</c:v>
                </c:pt>
                <c:pt idx="462">
                  <c:v>1.0099774091532365E-3</c:v>
                </c:pt>
                <c:pt idx="463">
                  <c:v>5.0902296322463258E-4</c:v>
                </c:pt>
                <c:pt idx="464">
                  <c:v>4.6180552349766034E-4</c:v>
                </c:pt>
                <c:pt idx="465">
                  <c:v>1.279483140480354E-3</c:v>
                </c:pt>
                <c:pt idx="466">
                  <c:v>1.4387099140254155E-3</c:v>
                </c:pt>
                <c:pt idx="467">
                  <c:v>8.5176589032436793E-4</c:v>
                </c:pt>
                <c:pt idx="468">
                  <c:v>1.9075351384262792E-4</c:v>
                </c:pt>
                <c:pt idx="469">
                  <c:v>9.1970868550972167E-4</c:v>
                </c:pt>
                <c:pt idx="470">
                  <c:v>1.5355220226162261E-3</c:v>
                </c:pt>
                <c:pt idx="471">
                  <c:v>9.1191353547513123E-4</c:v>
                </c:pt>
                <c:pt idx="472">
                  <c:v>1.3570670322795018E-3</c:v>
                </c:pt>
                <c:pt idx="473">
                  <c:v>6.352734483803269E-4</c:v>
                </c:pt>
                <c:pt idx="474">
                  <c:v>8.9604658334964003E-4</c:v>
                </c:pt>
                <c:pt idx="475">
                  <c:v>1.3100042127630383E-3</c:v>
                </c:pt>
                <c:pt idx="476">
                  <c:v>7.3697169941774388E-4</c:v>
                </c:pt>
                <c:pt idx="477">
                  <c:v>8.894195818914632E-4</c:v>
                </c:pt>
                <c:pt idx="478">
                  <c:v>1.0503093592583762E-3</c:v>
                </c:pt>
                <c:pt idx="479">
                  <c:v>8.4164969284037088E-4</c:v>
                </c:pt>
                <c:pt idx="480">
                  <c:v>1.3831277494803689E-3</c:v>
                </c:pt>
                <c:pt idx="481">
                  <c:v>7.9349738690604962E-4</c:v>
                </c:pt>
                <c:pt idx="482">
                  <c:v>2.2314270123460504E-4</c:v>
                </c:pt>
                <c:pt idx="483">
                  <c:v>8.0848737404452939E-4</c:v>
                </c:pt>
                <c:pt idx="484">
                  <c:v>1.2145342033196228E-3</c:v>
                </c:pt>
                <c:pt idx="485">
                  <c:v>8.443331270758228E-4</c:v>
                </c:pt>
                <c:pt idx="486">
                  <c:v>1.0634943671827435E-3</c:v>
                </c:pt>
                <c:pt idx="487">
                  <c:v>1.3757723841323725E-3</c:v>
                </c:pt>
                <c:pt idx="488">
                  <c:v>1.0860211278325407E-3</c:v>
                </c:pt>
                <c:pt idx="489">
                  <c:v>8.7577943891093736E-4</c:v>
                </c:pt>
                <c:pt idx="490">
                  <c:v>1.0539261109291575E-3</c:v>
                </c:pt>
                <c:pt idx="491">
                  <c:v>3.1631496214499919E-4</c:v>
                </c:pt>
                <c:pt idx="492">
                  <c:v>2.6218835144912859E-5</c:v>
                </c:pt>
                <c:pt idx="493">
                  <c:v>6.7216206004409894E-4</c:v>
                </c:pt>
                <c:pt idx="494">
                  <c:v>7.9162847064962979E-4</c:v>
                </c:pt>
                <c:pt idx="495">
                  <c:v>7.3029070806345919E-4</c:v>
                </c:pt>
                <c:pt idx="496">
                  <c:v>8.3892984969468601E-4</c:v>
                </c:pt>
                <c:pt idx="497">
                  <c:v>4.6826181857408507E-4</c:v>
                </c:pt>
                <c:pt idx="498">
                  <c:v>1.1628038374121908E-3</c:v>
                </c:pt>
                <c:pt idx="499">
                  <c:v>8.5722710599885022E-4</c:v>
                </c:pt>
                <c:pt idx="500">
                  <c:v>7.9133002868674994E-4</c:v>
                </c:pt>
                <c:pt idx="501">
                  <c:v>1.0541962154645532E-3</c:v>
                </c:pt>
                <c:pt idx="502">
                  <c:v>4.4676682074726938E-4</c:v>
                </c:pt>
                <c:pt idx="503">
                  <c:v>5.1515104331754176E-4</c:v>
                </c:pt>
                <c:pt idx="504">
                  <c:v>1.1686232809222069E-3</c:v>
                </c:pt>
                <c:pt idx="505">
                  <c:v>7.0918763861436648E-4</c:v>
                </c:pt>
                <c:pt idx="506">
                  <c:v>1.2089361754090819E-3</c:v>
                </c:pt>
                <c:pt idx="507">
                  <c:v>1.1179705734904424E-3</c:v>
                </c:pt>
                <c:pt idx="508">
                  <c:v>6.4205370735522709E-4</c:v>
                </c:pt>
                <c:pt idx="509">
                  <c:v>7.808409351019054E-4</c:v>
                </c:pt>
                <c:pt idx="510">
                  <c:v>5.9137295282751855E-4</c:v>
                </c:pt>
                <c:pt idx="511">
                  <c:v>4.837094737280425E-4</c:v>
                </c:pt>
                <c:pt idx="512">
                  <c:v>1.3131643447561942E-3</c:v>
                </c:pt>
                <c:pt idx="513">
                  <c:v>5.9863865091833157E-4</c:v>
                </c:pt>
                <c:pt idx="514">
                  <c:v>2.2563853909946289E-4</c:v>
                </c:pt>
                <c:pt idx="515">
                  <c:v>1.4659429795792027E-3</c:v>
                </c:pt>
                <c:pt idx="516">
                  <c:v>6.6207298064818471E-4</c:v>
                </c:pt>
                <c:pt idx="517">
                  <c:v>1.5147446867580675E-3</c:v>
                </c:pt>
                <c:pt idx="518">
                  <c:v>1.0425011211173639E-3</c:v>
                </c:pt>
                <c:pt idx="519">
                  <c:v>7.2249093848242621E-4</c:v>
                </c:pt>
                <c:pt idx="520">
                  <c:v>1.2559955207764165E-3</c:v>
                </c:pt>
                <c:pt idx="521">
                  <c:v>8.5486381933462313E-4</c:v>
                </c:pt>
                <c:pt idx="522">
                  <c:v>1.3485289215506471E-3</c:v>
                </c:pt>
                <c:pt idx="523">
                  <c:v>-8.1859612438686018E-5</c:v>
                </c:pt>
                <c:pt idx="524">
                  <c:v>6.6265487153785289E-4</c:v>
                </c:pt>
                <c:pt idx="525">
                  <c:v>8.8767727782982514E-4</c:v>
                </c:pt>
                <c:pt idx="526">
                  <c:v>1.0064974314675497E-3</c:v>
                </c:pt>
                <c:pt idx="527">
                  <c:v>3.6927570218977737E-4</c:v>
                </c:pt>
                <c:pt idx="528">
                  <c:v>8.632342992798541E-4</c:v>
                </c:pt>
                <c:pt idx="529">
                  <c:v>5.1249111117663778E-4</c:v>
                </c:pt>
                <c:pt idx="530">
                  <c:v>7.538363874276874E-4</c:v>
                </c:pt>
                <c:pt idx="531">
                  <c:v>9.4740882844172663E-4</c:v>
                </c:pt>
                <c:pt idx="532">
                  <c:v>9.0616191265124153E-4</c:v>
                </c:pt>
                <c:pt idx="533">
                  <c:v>7.4269603006803134E-4</c:v>
                </c:pt>
                <c:pt idx="534">
                  <c:v>9.3930900349018594E-4</c:v>
                </c:pt>
                <c:pt idx="535">
                  <c:v>7.5889594156720072E-4</c:v>
                </c:pt>
                <c:pt idx="536">
                  <c:v>3.5353832569770505E-4</c:v>
                </c:pt>
                <c:pt idx="537">
                  <c:v>7.9369590021564028E-4</c:v>
                </c:pt>
                <c:pt idx="538">
                  <c:v>1.1711205332870609E-3</c:v>
                </c:pt>
                <c:pt idx="539">
                  <c:v>9.2027705069224006E-4</c:v>
                </c:pt>
                <c:pt idx="540">
                  <c:v>4.6915063630379502E-4</c:v>
                </c:pt>
                <c:pt idx="541">
                  <c:v>1.2120933422861474E-3</c:v>
                </c:pt>
                <c:pt idx="542">
                  <c:v>8.2530512835708703E-4</c:v>
                </c:pt>
                <c:pt idx="543">
                  <c:v>1.1196567776812099E-3</c:v>
                </c:pt>
                <c:pt idx="544">
                  <c:v>1.1749170737571737E-3</c:v>
                </c:pt>
                <c:pt idx="545">
                  <c:v>1.0738401406177214E-3</c:v>
                </c:pt>
                <c:pt idx="546">
                  <c:v>1.0776279138857863E-3</c:v>
                </c:pt>
                <c:pt idx="547">
                  <c:v>1.0571819489192855E-3</c:v>
                </c:pt>
                <c:pt idx="548">
                  <c:v>1.2506423722402397E-3</c:v>
                </c:pt>
                <c:pt idx="549">
                  <c:v>7.4846462302937495E-4</c:v>
                </c:pt>
                <c:pt idx="550">
                  <c:v>1.1330769832159763E-3</c:v>
                </c:pt>
                <c:pt idx="551">
                  <c:v>5.2750711798815882E-4</c:v>
                </c:pt>
                <c:pt idx="552">
                  <c:v>1.0379379138696699E-3</c:v>
                </c:pt>
                <c:pt idx="553">
                  <c:v>6.943519021916473E-4</c:v>
                </c:pt>
                <c:pt idx="554">
                  <c:v>8.2759403864351229E-4</c:v>
                </c:pt>
                <c:pt idx="555">
                  <c:v>4.2579418135908591E-4</c:v>
                </c:pt>
                <c:pt idx="556">
                  <c:v>8.186020746774864E-4</c:v>
                </c:pt>
                <c:pt idx="557">
                  <c:v>1.1470714881081832E-3</c:v>
                </c:pt>
                <c:pt idx="558">
                  <c:v>9.9954319644531453E-4</c:v>
                </c:pt>
                <c:pt idx="559">
                  <c:v>4.3066388936210378E-4</c:v>
                </c:pt>
                <c:pt idx="560">
                  <c:v>6.481229558441367E-4</c:v>
                </c:pt>
                <c:pt idx="561">
                  <c:v>3.0339042213365183E-4</c:v>
                </c:pt>
                <c:pt idx="562">
                  <c:v>1.1549089901931456E-3</c:v>
                </c:pt>
                <c:pt idx="563">
                  <c:v>6.9814673817906125E-4</c:v>
                </c:pt>
                <c:pt idx="564">
                  <c:v>9.5333277202827452E-4</c:v>
                </c:pt>
                <c:pt idx="565">
                  <c:v>1.1667378890497652E-3</c:v>
                </c:pt>
                <c:pt idx="566">
                  <c:v>9.5505409139762059E-4</c:v>
                </c:pt>
                <c:pt idx="567">
                  <c:v>1.2945432403006392E-3</c:v>
                </c:pt>
                <c:pt idx="568">
                  <c:v>8.8592817824009848E-4</c:v>
                </c:pt>
                <c:pt idx="569">
                  <c:v>7.9379683561767796E-4</c:v>
                </c:pt>
                <c:pt idx="570">
                  <c:v>1.1455152945830088E-3</c:v>
                </c:pt>
                <c:pt idx="571">
                  <c:v>9.4270456759413764E-4</c:v>
                </c:pt>
                <c:pt idx="572">
                  <c:v>1.4434390435286593E-3</c:v>
                </c:pt>
                <c:pt idx="573">
                  <c:v>1.1002532826411284E-3</c:v>
                </c:pt>
                <c:pt idx="574">
                  <c:v>5.5476468577853456E-4</c:v>
                </c:pt>
                <c:pt idx="575">
                  <c:v>8.2188219963080257E-4</c:v>
                </c:pt>
                <c:pt idx="576">
                  <c:v>6.1718582574672872E-4</c:v>
                </c:pt>
                <c:pt idx="577">
                  <c:v>7.2379629930021273E-4</c:v>
                </c:pt>
                <c:pt idx="578">
                  <c:v>2.1711813905472634E-4</c:v>
                </c:pt>
                <c:pt idx="579">
                  <c:v>6.0037986269715563E-4</c:v>
                </c:pt>
                <c:pt idx="580">
                  <c:v>9.2932061034654595E-4</c:v>
                </c:pt>
                <c:pt idx="581">
                  <c:v>1.287614279882371E-3</c:v>
                </c:pt>
                <c:pt idx="582">
                  <c:v>4.5771462890393665E-4</c:v>
                </c:pt>
                <c:pt idx="583">
                  <c:v>6.1301944670094156E-4</c:v>
                </c:pt>
                <c:pt idx="584">
                  <c:v>7.9644089769976992E-4</c:v>
                </c:pt>
                <c:pt idx="585">
                  <c:v>6.0353227284625139E-4</c:v>
                </c:pt>
                <c:pt idx="586">
                  <c:v>3.3770775763032244E-4</c:v>
                </c:pt>
                <c:pt idx="587">
                  <c:v>4.2195885834566635E-4</c:v>
                </c:pt>
                <c:pt idx="588">
                  <c:v>7.3607639554416784E-4</c:v>
                </c:pt>
                <c:pt idx="589">
                  <c:v>7.4353419713820638E-4</c:v>
                </c:pt>
                <c:pt idx="590">
                  <c:v>1.1795309045277533E-3</c:v>
                </c:pt>
                <c:pt idx="591">
                  <c:v>8.7860338899719377E-4</c:v>
                </c:pt>
                <c:pt idx="592">
                  <c:v>5.2344262456896213E-4</c:v>
                </c:pt>
                <c:pt idx="593">
                  <c:v>5.6342071468090259E-4</c:v>
                </c:pt>
                <c:pt idx="594">
                  <c:v>8.8998215921049168E-4</c:v>
                </c:pt>
                <c:pt idx="595">
                  <c:v>1.7586906574726673E-4</c:v>
                </c:pt>
                <c:pt idx="596">
                  <c:v>1.813317112009487E-3</c:v>
                </c:pt>
                <c:pt idx="597">
                  <c:v>1.0321891827413437E-3</c:v>
                </c:pt>
                <c:pt idx="598">
                  <c:v>5.1960303097454573E-4</c:v>
                </c:pt>
                <c:pt idx="599">
                  <c:v>1.0086795453775497E-3</c:v>
                </c:pt>
                <c:pt idx="600">
                  <c:v>9.4525321456605824E-4</c:v>
                </c:pt>
                <c:pt idx="601">
                  <c:v>2.9985379529472644E-4</c:v>
                </c:pt>
                <c:pt idx="602">
                  <c:v>9.7390238670908643E-4</c:v>
                </c:pt>
                <c:pt idx="603">
                  <c:v>6.906603537431441E-4</c:v>
                </c:pt>
                <c:pt idx="604">
                  <c:v>1.0285092902709292E-3</c:v>
                </c:pt>
                <c:pt idx="605">
                  <c:v>1.0622235636514557E-3</c:v>
                </c:pt>
                <c:pt idx="606">
                  <c:v>1.2732907731612094E-3</c:v>
                </c:pt>
                <c:pt idx="607">
                  <c:v>7.2190196430868732E-4</c:v>
                </c:pt>
                <c:pt idx="608">
                  <c:v>5.9906340105484823E-4</c:v>
                </c:pt>
                <c:pt idx="609">
                  <c:v>9.3130525215585935E-4</c:v>
                </c:pt>
                <c:pt idx="610">
                  <c:v>7.8919425692880517E-4</c:v>
                </c:pt>
                <c:pt idx="611">
                  <c:v>5.7612715743624531E-4</c:v>
                </c:pt>
                <c:pt idx="612">
                  <c:v>5.8138466275547333E-4</c:v>
                </c:pt>
                <c:pt idx="613">
                  <c:v>7.8195303383775242E-4</c:v>
                </c:pt>
                <c:pt idx="614">
                  <c:v>1.128992758927885E-3</c:v>
                </c:pt>
                <c:pt idx="615">
                  <c:v>7.781129632289111E-4</c:v>
                </c:pt>
                <c:pt idx="616">
                  <c:v>1.4143066874729956E-3</c:v>
                </c:pt>
                <c:pt idx="617">
                  <c:v>5.1791042846270206E-4</c:v>
                </c:pt>
                <c:pt idx="618">
                  <c:v>3.6734361650199709E-4</c:v>
                </c:pt>
                <c:pt idx="619">
                  <c:v>9.0066752557687441E-4</c:v>
                </c:pt>
                <c:pt idx="620">
                  <c:v>4.7434350434663087E-4</c:v>
                </c:pt>
                <c:pt idx="621">
                  <c:v>8.388246613168284E-4</c:v>
                </c:pt>
                <c:pt idx="622">
                  <c:v>1.1561819004147998E-3</c:v>
                </c:pt>
                <c:pt idx="623">
                  <c:v>8.0573737044257619E-4</c:v>
                </c:pt>
                <c:pt idx="624">
                  <c:v>8.4214765686704818E-4</c:v>
                </c:pt>
                <c:pt idx="625">
                  <c:v>1.103344506302647E-3</c:v>
                </c:pt>
                <c:pt idx="626">
                  <c:v>9.0127577445775118E-4</c:v>
                </c:pt>
                <c:pt idx="627">
                  <c:v>7.8411663106718035E-4</c:v>
                </c:pt>
                <c:pt idx="628">
                  <c:v>9.5578206319614587E-4</c:v>
                </c:pt>
                <c:pt idx="629">
                  <c:v>1.2385010307765143E-3</c:v>
                </c:pt>
                <c:pt idx="630">
                  <c:v>9.6832784497701148E-4</c:v>
                </c:pt>
                <c:pt idx="631">
                  <c:v>1.1481274098198821E-3</c:v>
                </c:pt>
                <c:pt idx="632">
                  <c:v>8.7785960922650349E-4</c:v>
                </c:pt>
                <c:pt idx="633">
                  <c:v>7.3946766160455776E-4</c:v>
                </c:pt>
                <c:pt idx="634">
                  <c:v>1.032845301316514E-3</c:v>
                </c:pt>
                <c:pt idx="635">
                  <c:v>6.0428126712485232E-4</c:v>
                </c:pt>
                <c:pt idx="636">
                  <c:v>5.3404422627226244E-4</c:v>
                </c:pt>
                <c:pt idx="637">
                  <c:v>9.5885920220637453E-4</c:v>
                </c:pt>
                <c:pt idx="638">
                  <c:v>3.1274458858537076E-4</c:v>
                </c:pt>
                <c:pt idx="639">
                  <c:v>1.3429590269987952E-3</c:v>
                </c:pt>
                <c:pt idx="640">
                  <c:v>5.235165456385476E-4</c:v>
                </c:pt>
                <c:pt idx="641">
                  <c:v>8.9615549137818688E-4</c:v>
                </c:pt>
                <c:pt idx="642">
                  <c:v>1.0205046767610445E-3</c:v>
                </c:pt>
                <c:pt idx="643">
                  <c:v>5.5775840516171656E-4</c:v>
                </c:pt>
                <c:pt idx="644">
                  <c:v>8.4223999285890517E-4</c:v>
                </c:pt>
                <c:pt idx="645">
                  <c:v>6.9186551144440024E-4</c:v>
                </c:pt>
                <c:pt idx="646">
                  <c:v>8.2628566090330415E-4</c:v>
                </c:pt>
                <c:pt idx="647">
                  <c:v>4.1150977067888796E-4</c:v>
                </c:pt>
                <c:pt idx="648">
                  <c:v>4.2312101219026046E-4</c:v>
                </c:pt>
                <c:pt idx="649">
                  <c:v>6.9024578993985022E-4</c:v>
                </c:pt>
                <c:pt idx="650">
                  <c:v>4.2137934739036522E-4</c:v>
                </c:pt>
                <c:pt idx="651">
                  <c:v>9.5152829022964109E-4</c:v>
                </c:pt>
                <c:pt idx="652">
                  <c:v>4.8229191907365343E-4</c:v>
                </c:pt>
                <c:pt idx="653">
                  <c:v>1.2285137517373005E-3</c:v>
                </c:pt>
                <c:pt idx="654">
                  <c:v>1.311332694010314E-3</c:v>
                </c:pt>
                <c:pt idx="655">
                  <c:v>1.2221235466061309E-4</c:v>
                </c:pt>
                <c:pt idx="656">
                  <c:v>3.9330745872224196E-4</c:v>
                </c:pt>
                <c:pt idx="657">
                  <c:v>4.66529420911127E-4</c:v>
                </c:pt>
                <c:pt idx="658">
                  <c:v>1.0542117908624794E-3</c:v>
                </c:pt>
                <c:pt idx="659">
                  <c:v>1.9005939328041615E-4</c:v>
                </c:pt>
                <c:pt idx="660">
                  <c:v>5.7890515925528539E-4</c:v>
                </c:pt>
                <c:pt idx="661">
                  <c:v>5.5826688201354301E-4</c:v>
                </c:pt>
                <c:pt idx="662">
                  <c:v>6.81757839640146E-4</c:v>
                </c:pt>
                <c:pt idx="663">
                  <c:v>1.5882321490381165E-3</c:v>
                </c:pt>
                <c:pt idx="664">
                  <c:v>8.4295514135667175E-4</c:v>
                </c:pt>
                <c:pt idx="665">
                  <c:v>7.3082133842194464E-4</c:v>
                </c:pt>
                <c:pt idx="666">
                  <c:v>8.0543343264966667E-4</c:v>
                </c:pt>
                <c:pt idx="667">
                  <c:v>4.6548127470250452E-4</c:v>
                </c:pt>
                <c:pt idx="668">
                  <c:v>8.5217474663185089E-4</c:v>
                </c:pt>
                <c:pt idx="669">
                  <c:v>6.8592446005964606E-4</c:v>
                </c:pt>
                <c:pt idx="670">
                  <c:v>1.2632493536107027E-3</c:v>
                </c:pt>
                <c:pt idx="671">
                  <c:v>8.48885706366696E-4</c:v>
                </c:pt>
                <c:pt idx="672">
                  <c:v>1.06101778474573E-3</c:v>
                </c:pt>
                <c:pt idx="673">
                  <c:v>-3.9429823791549439E-5</c:v>
                </c:pt>
                <c:pt idx="674">
                  <c:v>7.7399795751032007E-4</c:v>
                </c:pt>
                <c:pt idx="675">
                  <c:v>7.8756224346468093E-4</c:v>
                </c:pt>
                <c:pt idx="676">
                  <c:v>4.0928993273346373E-4</c:v>
                </c:pt>
                <c:pt idx="677">
                  <c:v>4.6325401603449569E-4</c:v>
                </c:pt>
                <c:pt idx="678">
                  <c:v>6.4799374762678299E-4</c:v>
                </c:pt>
                <c:pt idx="679">
                  <c:v>1.2409477222053986E-3</c:v>
                </c:pt>
                <c:pt idx="680">
                  <c:v>7.3751059134578238E-4</c:v>
                </c:pt>
                <c:pt idx="681">
                  <c:v>9.5665699462599665E-4</c:v>
                </c:pt>
                <c:pt idx="682">
                  <c:v>3.1196562165741601E-4</c:v>
                </c:pt>
                <c:pt idx="683">
                  <c:v>8.6730337347491737E-4</c:v>
                </c:pt>
                <c:pt idx="684">
                  <c:v>5.4393822184174896E-4</c:v>
                </c:pt>
                <c:pt idx="685">
                  <c:v>1.4011581013068306E-3</c:v>
                </c:pt>
                <c:pt idx="686">
                  <c:v>1.0356747264105874E-3</c:v>
                </c:pt>
                <c:pt idx="687">
                  <c:v>1.0347620116856503E-3</c:v>
                </c:pt>
                <c:pt idx="688">
                  <c:v>7.8464846403148271E-4</c:v>
                </c:pt>
                <c:pt idx="689">
                  <c:v>7.0491850471990261E-4</c:v>
                </c:pt>
                <c:pt idx="690">
                  <c:v>6.6831602783070764E-4</c:v>
                </c:pt>
                <c:pt idx="691">
                  <c:v>8.2486827740139025E-4</c:v>
                </c:pt>
                <c:pt idx="692">
                  <c:v>8.647480934630829E-4</c:v>
                </c:pt>
                <c:pt idx="693">
                  <c:v>6.8552451325515048E-4</c:v>
                </c:pt>
                <c:pt idx="694">
                  <c:v>5.6351832111661794E-4</c:v>
                </c:pt>
                <c:pt idx="695">
                  <c:v>1.029467353956891E-3</c:v>
                </c:pt>
                <c:pt idx="696">
                  <c:v>3.6050033329839749E-4</c:v>
                </c:pt>
                <c:pt idx="697">
                  <c:v>1.4688675331196794E-4</c:v>
                </c:pt>
                <c:pt idx="698">
                  <c:v>8.8006387844869046E-4</c:v>
                </c:pt>
                <c:pt idx="699">
                  <c:v>6.4906537496843466E-4</c:v>
                </c:pt>
                <c:pt idx="700">
                  <c:v>5.5304859461610505E-4</c:v>
                </c:pt>
                <c:pt idx="701">
                  <c:v>1.0379441195968175E-3</c:v>
                </c:pt>
                <c:pt idx="702">
                  <c:v>8.3698130600167798E-4</c:v>
                </c:pt>
                <c:pt idx="703">
                  <c:v>9.4143187052299273E-4</c:v>
                </c:pt>
                <c:pt idx="704">
                  <c:v>2.9588037762002666E-4</c:v>
                </c:pt>
                <c:pt idx="705">
                  <c:v>7.6045241930763636E-4</c:v>
                </c:pt>
                <c:pt idx="706">
                  <c:v>1.2061726006451711E-3</c:v>
                </c:pt>
                <c:pt idx="707">
                  <c:v>1.0339513430797065E-3</c:v>
                </c:pt>
                <c:pt idx="708">
                  <c:v>9.7719534797108417E-4</c:v>
                </c:pt>
                <c:pt idx="709">
                  <c:v>1.2697438315379909E-3</c:v>
                </c:pt>
                <c:pt idx="710">
                  <c:v>5.9054825282965834E-4</c:v>
                </c:pt>
                <c:pt idx="711">
                  <c:v>4.6861628082471042E-4</c:v>
                </c:pt>
                <c:pt idx="712">
                  <c:v>6.3653298116250377E-4</c:v>
                </c:pt>
                <c:pt idx="713">
                  <c:v>1.2002723135693951E-3</c:v>
                </c:pt>
                <c:pt idx="714">
                  <c:v>1.1609312524550083E-3</c:v>
                </c:pt>
                <c:pt idx="715">
                  <c:v>1.19268963537331E-3</c:v>
                </c:pt>
                <c:pt idx="716">
                  <c:v>1.2735255115322954E-3</c:v>
                </c:pt>
                <c:pt idx="717">
                  <c:v>9.1367023859440736E-4</c:v>
                </c:pt>
                <c:pt idx="718">
                  <c:v>5.0537478969555098E-4</c:v>
                </c:pt>
                <c:pt idx="719">
                  <c:v>6.8514920036652754E-4</c:v>
                </c:pt>
                <c:pt idx="720">
                  <c:v>1.1361430104379795E-3</c:v>
                </c:pt>
                <c:pt idx="721">
                  <c:v>8.4545823112868877E-4</c:v>
                </c:pt>
                <c:pt idx="722">
                  <c:v>6.7066171636924964E-4</c:v>
                </c:pt>
                <c:pt idx="723">
                  <c:v>3.8118345599989106E-4</c:v>
                </c:pt>
                <c:pt idx="724">
                  <c:v>1.1258537139638941E-3</c:v>
                </c:pt>
                <c:pt idx="725">
                  <c:v>9.5632447460036057E-4</c:v>
                </c:pt>
                <c:pt idx="726">
                  <c:v>5.1111965683247761E-4</c:v>
                </c:pt>
                <c:pt idx="727">
                  <c:v>9.8395448038403029E-4</c:v>
                </c:pt>
                <c:pt idx="728">
                  <c:v>1.0791394320009778E-3</c:v>
                </c:pt>
                <c:pt idx="729">
                  <c:v>9.1212850380762041E-4</c:v>
                </c:pt>
                <c:pt idx="730">
                  <c:v>3.9364416815870019E-4</c:v>
                </c:pt>
                <c:pt idx="731">
                  <c:v>5.1201932258187533E-4</c:v>
                </c:pt>
                <c:pt idx="732">
                  <c:v>1.399300468772801E-3</c:v>
                </c:pt>
                <c:pt idx="733">
                  <c:v>1.395951409854232E-3</c:v>
                </c:pt>
                <c:pt idx="734">
                  <c:v>2.1924695860460608E-4</c:v>
                </c:pt>
                <c:pt idx="735">
                  <c:v>1.0886745392987846E-3</c:v>
                </c:pt>
                <c:pt idx="736">
                  <c:v>6.7562816119987545E-4</c:v>
                </c:pt>
                <c:pt idx="737">
                  <c:v>1.0422072819938337E-3</c:v>
                </c:pt>
                <c:pt idx="738">
                  <c:v>9.3334373177535613E-4</c:v>
                </c:pt>
                <c:pt idx="739">
                  <c:v>7.8884157667924643E-4</c:v>
                </c:pt>
                <c:pt idx="740">
                  <c:v>7.207617990229421E-4</c:v>
                </c:pt>
                <c:pt idx="741">
                  <c:v>8.9464271037793797E-4</c:v>
                </c:pt>
                <c:pt idx="742">
                  <c:v>1.0922723997584675E-3</c:v>
                </c:pt>
                <c:pt idx="743">
                  <c:v>1.485270820108043E-3</c:v>
                </c:pt>
                <c:pt idx="744">
                  <c:v>7.4158715763045007E-4</c:v>
                </c:pt>
                <c:pt idx="745">
                  <c:v>8.178065359978517E-4</c:v>
                </c:pt>
                <c:pt idx="746">
                  <c:v>4.0144916645661722E-4</c:v>
                </c:pt>
                <c:pt idx="747">
                  <c:v>8.4898719776611614E-4</c:v>
                </c:pt>
                <c:pt idx="748">
                  <c:v>8.9113807132470144E-4</c:v>
                </c:pt>
                <c:pt idx="749">
                  <c:v>4.9520979783179188E-4</c:v>
                </c:pt>
                <c:pt idx="750">
                  <c:v>4.4071483798013248E-4</c:v>
                </c:pt>
                <c:pt idx="751">
                  <c:v>1.7912688051504892E-3</c:v>
                </c:pt>
                <c:pt idx="752">
                  <c:v>9.6141706683221457E-4</c:v>
                </c:pt>
                <c:pt idx="753">
                  <c:v>7.3784966177832696E-4</c:v>
                </c:pt>
                <c:pt idx="754">
                  <c:v>8.9104614704823225E-4</c:v>
                </c:pt>
                <c:pt idx="755">
                  <c:v>3.513899750143978E-4</c:v>
                </c:pt>
                <c:pt idx="756">
                  <c:v>1.2169858648425592E-3</c:v>
                </c:pt>
                <c:pt idx="757">
                  <c:v>1.1315262400448246E-3</c:v>
                </c:pt>
                <c:pt idx="758">
                  <c:v>3.1641663326100486E-4</c:v>
                </c:pt>
                <c:pt idx="759">
                  <c:v>8.5593261094000052E-4</c:v>
                </c:pt>
                <c:pt idx="760">
                  <c:v>9.1192043860986358E-4</c:v>
                </c:pt>
                <c:pt idx="761">
                  <c:v>8.1671830851226545E-4</c:v>
                </c:pt>
                <c:pt idx="762">
                  <c:v>6.8926917712266609E-4</c:v>
                </c:pt>
                <c:pt idx="763">
                  <c:v>8.9353315496459233E-4</c:v>
                </c:pt>
                <c:pt idx="764">
                  <c:v>8.9945804706186689E-4</c:v>
                </c:pt>
                <c:pt idx="765">
                  <c:v>7.6477121734918891E-4</c:v>
                </c:pt>
                <c:pt idx="766">
                  <c:v>1.013873489296327E-3</c:v>
                </c:pt>
                <c:pt idx="767">
                  <c:v>4.926889805370434E-4</c:v>
                </c:pt>
                <c:pt idx="768">
                  <c:v>8.8016784273228527E-4</c:v>
                </c:pt>
                <c:pt idx="769">
                  <c:v>1.143681480729305E-3</c:v>
                </c:pt>
                <c:pt idx="770">
                  <c:v>7.3113194038140642E-4</c:v>
                </c:pt>
                <c:pt idx="771">
                  <c:v>1.1925568567340548E-3</c:v>
                </c:pt>
                <c:pt idx="772">
                  <c:v>1.6040304714533687E-3</c:v>
                </c:pt>
                <c:pt idx="773">
                  <c:v>3.6226609964367491E-4</c:v>
                </c:pt>
                <c:pt idx="774">
                  <c:v>1.1182214810636346E-3</c:v>
                </c:pt>
                <c:pt idx="775">
                  <c:v>1.4521731576568734E-3</c:v>
                </c:pt>
                <c:pt idx="776">
                  <c:v>7.4109214293473019E-4</c:v>
                </c:pt>
                <c:pt idx="777">
                  <c:v>9.0554721853413516E-4</c:v>
                </c:pt>
                <c:pt idx="778">
                  <c:v>7.6810411616037681E-4</c:v>
                </c:pt>
                <c:pt idx="779">
                  <c:v>1.0308858934576363E-3</c:v>
                </c:pt>
                <c:pt idx="780">
                  <c:v>1.7409620279948445E-4</c:v>
                </c:pt>
                <c:pt idx="781">
                  <c:v>1.195883140766471E-3</c:v>
                </c:pt>
                <c:pt idx="782">
                  <c:v>9.4852430721536259E-4</c:v>
                </c:pt>
                <c:pt idx="783">
                  <c:v>6.4850776358149349E-4</c:v>
                </c:pt>
                <c:pt idx="784">
                  <c:v>5.7968545217692755E-4</c:v>
                </c:pt>
                <c:pt idx="785">
                  <c:v>9.2921338726558605E-4</c:v>
                </c:pt>
                <c:pt idx="786">
                  <c:v>9.4073771685628915E-4</c:v>
                </c:pt>
                <c:pt idx="787">
                  <c:v>6.6934406506390575E-4</c:v>
                </c:pt>
                <c:pt idx="788">
                  <c:v>8.2956638531096207E-4</c:v>
                </c:pt>
                <c:pt idx="789">
                  <c:v>1.0604175691889051E-3</c:v>
                </c:pt>
                <c:pt idx="790">
                  <c:v>1.175354205678752E-3</c:v>
                </c:pt>
                <c:pt idx="791">
                  <c:v>1.0613851348940644E-3</c:v>
                </c:pt>
                <c:pt idx="792">
                  <c:v>1.0644563437974108E-3</c:v>
                </c:pt>
                <c:pt idx="793">
                  <c:v>1.0767739567169306E-3</c:v>
                </c:pt>
                <c:pt idx="794">
                  <c:v>1.5183924810829804E-3</c:v>
                </c:pt>
                <c:pt idx="795">
                  <c:v>8.2762833999240669E-4</c:v>
                </c:pt>
                <c:pt idx="796">
                  <c:v>5.5948131576434145E-4</c:v>
                </c:pt>
                <c:pt idx="797">
                  <c:v>1.2920383788945645E-3</c:v>
                </c:pt>
                <c:pt idx="798">
                  <c:v>6.2193490242047362E-4</c:v>
                </c:pt>
                <c:pt idx="799">
                  <c:v>7.0221540206661152E-4</c:v>
                </c:pt>
                <c:pt idx="800">
                  <c:v>1.1495208237645653E-3</c:v>
                </c:pt>
                <c:pt idx="801">
                  <c:v>1.3856747102399289E-3</c:v>
                </c:pt>
                <c:pt idx="802">
                  <c:v>7.8007903817527873E-4</c:v>
                </c:pt>
                <c:pt idx="803">
                  <c:v>9.7743789685171014E-4</c:v>
                </c:pt>
                <c:pt idx="804">
                  <c:v>7.8292221669392704E-4</c:v>
                </c:pt>
                <c:pt idx="805">
                  <c:v>1.1445210430440175E-3</c:v>
                </c:pt>
                <c:pt idx="806">
                  <c:v>9.4942028513560369E-4</c:v>
                </c:pt>
                <c:pt idx="807">
                  <c:v>1.1551331285337004E-3</c:v>
                </c:pt>
                <c:pt idx="808">
                  <c:v>7.2011389622539672E-4</c:v>
                </c:pt>
                <c:pt idx="809">
                  <c:v>6.7975639808942514E-4</c:v>
                </c:pt>
                <c:pt idx="810">
                  <c:v>1.1209285129253526E-3</c:v>
                </c:pt>
                <c:pt idx="811">
                  <c:v>7.7248440800977705E-4</c:v>
                </c:pt>
                <c:pt idx="812">
                  <c:v>1.0410235387028057E-3</c:v>
                </c:pt>
                <c:pt idx="813">
                  <c:v>7.3569981457756895E-4</c:v>
                </c:pt>
                <c:pt idx="814">
                  <c:v>1.0286290518002669E-3</c:v>
                </c:pt>
                <c:pt idx="815">
                  <c:v>3.2263223907825307E-4</c:v>
                </c:pt>
                <c:pt idx="816">
                  <c:v>2.0664439886991894E-4</c:v>
                </c:pt>
                <c:pt idx="817">
                  <c:v>1.0482050098042292E-3</c:v>
                </c:pt>
                <c:pt idx="818">
                  <c:v>1.3635731518721981E-3</c:v>
                </c:pt>
                <c:pt idx="819">
                  <c:v>6.9555199172988526E-4</c:v>
                </c:pt>
                <c:pt idx="820">
                  <c:v>2.2871305742482387E-4</c:v>
                </c:pt>
                <c:pt idx="821">
                  <c:v>7.4383494254878595E-4</c:v>
                </c:pt>
                <c:pt idx="822">
                  <c:v>5.1155016203242062E-4</c:v>
                </c:pt>
                <c:pt idx="823">
                  <c:v>8.3575037725867429E-4</c:v>
                </c:pt>
                <c:pt idx="824">
                  <c:v>8.3538155676550442E-4</c:v>
                </c:pt>
                <c:pt idx="825">
                  <c:v>6.0771173471506356E-4</c:v>
                </c:pt>
                <c:pt idx="826">
                  <c:v>8.9917662587096889E-4</c:v>
                </c:pt>
                <c:pt idx="827">
                  <c:v>5.4072044012883687E-4</c:v>
                </c:pt>
                <c:pt idx="828">
                  <c:v>1.3526458928356105E-3</c:v>
                </c:pt>
                <c:pt idx="829">
                  <c:v>9.1155358932673201E-4</c:v>
                </c:pt>
                <c:pt idx="830">
                  <c:v>9.7398799432562471E-4</c:v>
                </c:pt>
                <c:pt idx="831">
                  <c:v>2.5146819673706791E-5</c:v>
                </c:pt>
                <c:pt idx="832">
                  <c:v>9.9152571922333198E-4</c:v>
                </c:pt>
                <c:pt idx="833">
                  <c:v>9.688898108298114E-4</c:v>
                </c:pt>
                <c:pt idx="834">
                  <c:v>5.790121981266266E-4</c:v>
                </c:pt>
                <c:pt idx="835">
                  <c:v>1.2371877798364739E-3</c:v>
                </c:pt>
                <c:pt idx="836">
                  <c:v>7.4885042834702507E-4</c:v>
                </c:pt>
                <c:pt idx="837">
                  <c:v>1.2662793992389409E-3</c:v>
                </c:pt>
                <c:pt idx="838">
                  <c:v>7.4380605078605035E-4</c:v>
                </c:pt>
                <c:pt idx="839">
                  <c:v>1.1715090100546403E-3</c:v>
                </c:pt>
                <c:pt idx="840">
                  <c:v>3.1529366345489792E-4</c:v>
                </c:pt>
                <c:pt idx="841">
                  <c:v>1.136751656019834E-3</c:v>
                </c:pt>
                <c:pt idx="842">
                  <c:v>1.0120810382048108E-3</c:v>
                </c:pt>
                <c:pt idx="843">
                  <c:v>1.0808431103439147E-3</c:v>
                </c:pt>
                <c:pt idx="844">
                  <c:v>4.6400098558664876E-4</c:v>
                </c:pt>
                <c:pt idx="845">
                  <c:v>9.8330827868288668E-4</c:v>
                </c:pt>
                <c:pt idx="846">
                  <c:v>7.0594191338023101E-4</c:v>
                </c:pt>
                <c:pt idx="847">
                  <c:v>9.4386668698335228E-4</c:v>
                </c:pt>
                <c:pt idx="848">
                  <c:v>9.6049288202779267E-4</c:v>
                </c:pt>
                <c:pt idx="849">
                  <c:v>1.2967235108528291E-3</c:v>
                </c:pt>
                <c:pt idx="850">
                  <c:v>1.2253286021051916E-3</c:v>
                </c:pt>
                <c:pt idx="851">
                  <c:v>2.0822175486288055E-3</c:v>
                </c:pt>
                <c:pt idx="852">
                  <c:v>8.7134546895834811E-4</c:v>
                </c:pt>
                <c:pt idx="853">
                  <c:v>1.2362454835117811E-3</c:v>
                </c:pt>
                <c:pt idx="854">
                  <c:v>5.4252481389301577E-4</c:v>
                </c:pt>
                <c:pt idx="855">
                  <c:v>6.4095995388104693E-4</c:v>
                </c:pt>
                <c:pt idx="856">
                  <c:v>9.9689732391612142E-4</c:v>
                </c:pt>
                <c:pt idx="857">
                  <c:v>1.1592675251205422E-3</c:v>
                </c:pt>
                <c:pt idx="858">
                  <c:v>9.3354235748955823E-4</c:v>
                </c:pt>
                <c:pt idx="859">
                  <c:v>1.2276359664033171E-3</c:v>
                </c:pt>
                <c:pt idx="860">
                  <c:v>1.0130214151556503E-3</c:v>
                </c:pt>
                <c:pt idx="861">
                  <c:v>9.304510180512068E-4</c:v>
                </c:pt>
                <c:pt idx="862">
                  <c:v>1.0667209068561244E-3</c:v>
                </c:pt>
                <c:pt idx="863">
                  <c:v>8.1233598211879034E-4</c:v>
                </c:pt>
                <c:pt idx="864">
                  <c:v>1.8128749523156108E-3</c:v>
                </c:pt>
                <c:pt idx="865">
                  <c:v>1.1764792940279823E-3</c:v>
                </c:pt>
                <c:pt idx="866">
                  <c:v>8.3065085355265742E-4</c:v>
                </c:pt>
                <c:pt idx="867">
                  <c:v>8.0762233004730104E-4</c:v>
                </c:pt>
                <c:pt idx="868">
                  <c:v>8.6508890490392162E-4</c:v>
                </c:pt>
                <c:pt idx="869">
                  <c:v>1.1219308392873997E-3</c:v>
                </c:pt>
                <c:pt idx="870">
                  <c:v>7.9906557697944009E-4</c:v>
                </c:pt>
                <c:pt idx="871">
                  <c:v>8.331419454466805E-4</c:v>
                </c:pt>
                <c:pt idx="872">
                  <c:v>6.710128232418264E-4</c:v>
                </c:pt>
                <c:pt idx="873">
                  <c:v>1.2720542743223789E-3</c:v>
                </c:pt>
                <c:pt idx="874">
                  <c:v>7.2015649100243208E-4</c:v>
                </c:pt>
                <c:pt idx="875">
                  <c:v>9.4511074784742351E-4</c:v>
                </c:pt>
                <c:pt idx="876">
                  <c:v>1.2967922421108094E-3</c:v>
                </c:pt>
                <c:pt idx="877">
                  <c:v>1.076759486606668E-3</c:v>
                </c:pt>
                <c:pt idx="878">
                  <c:v>1.3155720885676047E-3</c:v>
                </c:pt>
                <c:pt idx="879">
                  <c:v>9.4190533543531347E-4</c:v>
                </c:pt>
                <c:pt idx="880">
                  <c:v>1.1957251121867166E-3</c:v>
                </c:pt>
                <c:pt idx="881">
                  <c:v>9.0795111454301098E-5</c:v>
                </c:pt>
                <c:pt idx="882">
                  <c:v>1.2685867636020168E-3</c:v>
                </c:pt>
                <c:pt idx="883">
                  <c:v>5.3564340079681331E-4</c:v>
                </c:pt>
                <c:pt idx="884">
                  <c:v>1.5396121252928748E-4</c:v>
                </c:pt>
                <c:pt idx="885">
                  <c:v>1.5131661547430231E-3</c:v>
                </c:pt>
                <c:pt idx="886">
                  <c:v>9.3747102716681518E-4</c:v>
                </c:pt>
                <c:pt idx="887">
                  <c:v>1.1059728833509436E-3</c:v>
                </c:pt>
                <c:pt idx="888">
                  <c:v>1.1113163645459397E-3</c:v>
                </c:pt>
                <c:pt idx="889">
                  <c:v>1.0348589508525055E-3</c:v>
                </c:pt>
                <c:pt idx="890">
                  <c:v>7.9858734013365769E-4</c:v>
                </c:pt>
                <c:pt idx="891">
                  <c:v>1.2563090363869071E-3</c:v>
                </c:pt>
                <c:pt idx="892">
                  <c:v>9.336881271084736E-4</c:v>
                </c:pt>
                <c:pt idx="893">
                  <c:v>8.1206182835824158E-4</c:v>
                </c:pt>
                <c:pt idx="894">
                  <c:v>1.146788561357195E-3</c:v>
                </c:pt>
                <c:pt idx="895">
                  <c:v>1.0124956907248553E-3</c:v>
                </c:pt>
                <c:pt idx="896">
                  <c:v>1.0241955235425306E-3</c:v>
                </c:pt>
                <c:pt idx="897">
                  <c:v>8.3054250800953708E-4</c:v>
                </c:pt>
                <c:pt idx="898">
                  <c:v>5.9592400386012778E-4</c:v>
                </c:pt>
                <c:pt idx="899">
                  <c:v>-8.92657115927816E-6</c:v>
                </c:pt>
                <c:pt idx="900">
                  <c:v>1.3616348414961076E-3</c:v>
                </c:pt>
                <c:pt idx="901">
                  <c:v>1.1439573849692699E-3</c:v>
                </c:pt>
                <c:pt idx="902">
                  <c:v>1.0292453586154338E-3</c:v>
                </c:pt>
                <c:pt idx="903">
                  <c:v>1.1443464465364088E-3</c:v>
                </c:pt>
                <c:pt idx="904">
                  <c:v>9.3965637070352135E-4</c:v>
                </c:pt>
                <c:pt idx="905">
                  <c:v>2.7813320963545745E-4</c:v>
                </c:pt>
                <c:pt idx="906">
                  <c:v>1.1908696788122321E-3</c:v>
                </c:pt>
                <c:pt idx="907">
                  <c:v>4.3898823165905849E-4</c:v>
                </c:pt>
                <c:pt idx="908">
                  <c:v>9.2788552155374652E-4</c:v>
                </c:pt>
                <c:pt idx="909">
                  <c:v>6.6468962215798354E-4</c:v>
                </c:pt>
                <c:pt idx="910">
                  <c:v>1.3198848401510435E-3</c:v>
                </c:pt>
                <c:pt idx="911">
                  <c:v>7.4187027824406076E-4</c:v>
                </c:pt>
                <c:pt idx="912">
                  <c:v>1.261331574998219E-3</c:v>
                </c:pt>
                <c:pt idx="913">
                  <c:v>7.4409595001492552E-4</c:v>
                </c:pt>
                <c:pt idx="914">
                  <c:v>1.3635876357169523E-3</c:v>
                </c:pt>
                <c:pt idx="915">
                  <c:v>9.5165265760138403E-4</c:v>
                </c:pt>
                <c:pt idx="916">
                  <c:v>1.0840497233315159E-3</c:v>
                </c:pt>
                <c:pt idx="917">
                  <c:v>4.8100893123513257E-4</c:v>
                </c:pt>
                <c:pt idx="918">
                  <c:v>3.8980456295962455E-4</c:v>
                </c:pt>
                <c:pt idx="919">
                  <c:v>9.8348144348394751E-4</c:v>
                </c:pt>
                <c:pt idx="920">
                  <c:v>8.0810094376515757E-4</c:v>
                </c:pt>
                <c:pt idx="921">
                  <c:v>5.874805343934669E-4</c:v>
                </c:pt>
                <c:pt idx="922">
                  <c:v>1.2616205927068968E-3</c:v>
                </c:pt>
                <c:pt idx="923">
                  <c:v>7.3281353833615551E-4</c:v>
                </c:pt>
                <c:pt idx="924">
                  <c:v>1.1402664150389858E-3</c:v>
                </c:pt>
                <c:pt idx="925">
                  <c:v>1.2458268410897458E-3</c:v>
                </c:pt>
                <c:pt idx="926">
                  <c:v>2.1432994445919637E-4</c:v>
                </c:pt>
                <c:pt idx="927">
                  <c:v>1.6734821374313111E-3</c:v>
                </c:pt>
                <c:pt idx="928">
                  <c:v>8.6137208862827096E-4</c:v>
                </c:pt>
                <c:pt idx="929">
                  <c:v>1.1553821643500121E-3</c:v>
                </c:pt>
                <c:pt idx="930">
                  <c:v>8.2928038711787048E-4</c:v>
                </c:pt>
                <c:pt idx="931">
                  <c:v>1.0840833477664671E-3</c:v>
                </c:pt>
                <c:pt idx="932">
                  <c:v>3.4540465812276457E-4</c:v>
                </c:pt>
                <c:pt idx="933">
                  <c:v>1.2079343190376068E-3</c:v>
                </c:pt>
                <c:pt idx="934">
                  <c:v>1.1433650975171004E-3</c:v>
                </c:pt>
                <c:pt idx="935">
                  <c:v>9.9797421013665048E-4</c:v>
                </c:pt>
                <c:pt idx="936">
                  <c:v>7.30907296164875E-4</c:v>
                </c:pt>
                <c:pt idx="937">
                  <c:v>9.5186678707176919E-4</c:v>
                </c:pt>
                <c:pt idx="938">
                  <c:v>1.2115331381463898E-3</c:v>
                </c:pt>
                <c:pt idx="939">
                  <c:v>6.1111253684724388E-4</c:v>
                </c:pt>
                <c:pt idx="940">
                  <c:v>1.109435611618076E-3</c:v>
                </c:pt>
                <c:pt idx="941">
                  <c:v>5.7389732803348435E-4</c:v>
                </c:pt>
                <c:pt idx="942">
                  <c:v>8.9203376218798588E-4</c:v>
                </c:pt>
                <c:pt idx="943">
                  <c:v>8.8117038042796693E-4</c:v>
                </c:pt>
                <c:pt idx="944">
                  <c:v>1.0791718621988098E-3</c:v>
                </c:pt>
                <c:pt idx="945">
                  <c:v>9.3416204669904686E-4</c:v>
                </c:pt>
                <c:pt idx="946">
                  <c:v>1.4764921322029032E-3</c:v>
                </c:pt>
                <c:pt idx="947">
                  <c:v>4.4792151075205133E-4</c:v>
                </c:pt>
                <c:pt idx="948">
                  <c:v>9.842616243807415E-4</c:v>
                </c:pt>
                <c:pt idx="949">
                  <c:v>1.4634636130540454E-3</c:v>
                </c:pt>
                <c:pt idx="950">
                  <c:v>8.4910109320804989E-4</c:v>
                </c:pt>
                <c:pt idx="951">
                  <c:v>9.8323730409936557E-4</c:v>
                </c:pt>
                <c:pt idx="952">
                  <c:v>6.7487330217844827E-4</c:v>
                </c:pt>
                <c:pt idx="953">
                  <c:v>1.2046290016999928E-3</c:v>
                </c:pt>
                <c:pt idx="954">
                  <c:v>1.1784557807314427E-3</c:v>
                </c:pt>
                <c:pt idx="955">
                  <c:v>1.0642633522946014E-3</c:v>
                </c:pt>
                <c:pt idx="956">
                  <c:v>5.5132889596721862E-4</c:v>
                </c:pt>
                <c:pt idx="957">
                  <c:v>5.1954401486184909E-4</c:v>
                </c:pt>
                <c:pt idx="958">
                  <c:v>7.572277323029035E-4</c:v>
                </c:pt>
                <c:pt idx="959">
                  <c:v>1.2699410166104996E-3</c:v>
                </c:pt>
                <c:pt idx="960">
                  <c:v>4.915354145606178E-4</c:v>
                </c:pt>
                <c:pt idx="961">
                  <c:v>1.392803303904391E-3</c:v>
                </c:pt>
                <c:pt idx="962">
                  <c:v>1.3850450041884904E-3</c:v>
                </c:pt>
                <c:pt idx="963">
                  <c:v>9.0936323523611352E-4</c:v>
                </c:pt>
                <c:pt idx="964">
                  <c:v>8.6181160090833251E-4</c:v>
                </c:pt>
                <c:pt idx="965">
                  <c:v>1.11940016237496E-3</c:v>
                </c:pt>
                <c:pt idx="966">
                  <c:v>9.7133920068970183E-4</c:v>
                </c:pt>
                <c:pt idx="967">
                  <c:v>7.4766676227884673E-4</c:v>
                </c:pt>
                <c:pt idx="968">
                  <c:v>9.3427945665429011E-4</c:v>
                </c:pt>
                <c:pt idx="969">
                  <c:v>4.1313722092890164E-4</c:v>
                </c:pt>
                <c:pt idx="970">
                  <c:v>8.8387210731177238E-4</c:v>
                </c:pt>
                <c:pt idx="971">
                  <c:v>1.0537515375479288E-3</c:v>
                </c:pt>
                <c:pt idx="972">
                  <c:v>5.2559044726735492E-4</c:v>
                </c:pt>
                <c:pt idx="973">
                  <c:v>9.7536919688447261E-4</c:v>
                </c:pt>
                <c:pt idx="974">
                  <c:v>7.8214252962416375E-4</c:v>
                </c:pt>
                <c:pt idx="975">
                  <c:v>1.1380411451359818E-3</c:v>
                </c:pt>
                <c:pt idx="976">
                  <c:v>1.237338091240931E-3</c:v>
                </c:pt>
                <c:pt idx="977">
                  <c:v>9.9830984499714752E-4</c:v>
                </c:pt>
                <c:pt idx="978">
                  <c:v>1.2953992027586101E-3</c:v>
                </c:pt>
                <c:pt idx="979">
                  <c:v>3.7025150080209656E-4</c:v>
                </c:pt>
                <c:pt idx="980">
                  <c:v>9.454165678819006E-4</c:v>
                </c:pt>
                <c:pt idx="981">
                  <c:v>5.8520595541198845E-4</c:v>
                </c:pt>
                <c:pt idx="982">
                  <c:v>5.3499160617884081E-4</c:v>
                </c:pt>
                <c:pt idx="983">
                  <c:v>1.205426581897195E-3</c:v>
                </c:pt>
                <c:pt idx="984">
                  <c:v>7.5702045811077486E-4</c:v>
                </c:pt>
                <c:pt idx="985">
                  <c:v>6.2269479526008177E-4</c:v>
                </c:pt>
                <c:pt idx="986">
                  <c:v>4.5831910927028325E-4</c:v>
                </c:pt>
                <c:pt idx="987">
                  <c:v>1.0319161432978722E-3</c:v>
                </c:pt>
                <c:pt idx="988">
                  <c:v>5.4072577749189133E-4</c:v>
                </c:pt>
                <c:pt idx="989">
                  <c:v>8.785486256959441E-4</c:v>
                </c:pt>
                <c:pt idx="990">
                  <c:v>1.051881606306735E-3</c:v>
                </c:pt>
                <c:pt idx="991">
                  <c:v>8.278732592016221E-4</c:v>
                </c:pt>
                <c:pt idx="992">
                  <c:v>7.481155794005804E-4</c:v>
                </c:pt>
                <c:pt idx="993">
                  <c:v>4.2257712152045032E-4</c:v>
                </c:pt>
                <c:pt idx="994">
                  <c:v>1.2655829869695555E-3</c:v>
                </c:pt>
                <c:pt idx="995">
                  <c:v>1.0809911545147058E-3</c:v>
                </c:pt>
                <c:pt idx="996">
                  <c:v>9.7469549380203987E-4</c:v>
                </c:pt>
                <c:pt idx="997">
                  <c:v>7.0026995921870718E-4</c:v>
                </c:pt>
                <c:pt idx="998">
                  <c:v>1.0675902669571502E-3</c:v>
                </c:pt>
                <c:pt idx="999">
                  <c:v>8.8999449888649664E-4</c:v>
                </c:pt>
                <c:pt idx="1000">
                  <c:v>1.5770875247908796E-3</c:v>
                </c:pt>
                <c:pt idx="1001">
                  <c:v>2.3192021978187883E-4</c:v>
                </c:pt>
                <c:pt idx="1002">
                  <c:v>6.0145852642503597E-4</c:v>
                </c:pt>
                <c:pt idx="1003">
                  <c:v>1.0210401592648834E-3</c:v>
                </c:pt>
                <c:pt idx="1004">
                  <c:v>5.3315348269238636E-4</c:v>
                </c:pt>
                <c:pt idx="1005">
                  <c:v>8.2712666377697823E-4</c:v>
                </c:pt>
                <c:pt idx="1006">
                  <c:v>9.6248033955957321E-4</c:v>
                </c:pt>
                <c:pt idx="1007">
                  <c:v>8.1270065270526665E-4</c:v>
                </c:pt>
                <c:pt idx="1008">
                  <c:v>1.7200895158451337E-3</c:v>
                </c:pt>
                <c:pt idx="1009">
                  <c:v>9.071060596108838E-4</c:v>
                </c:pt>
                <c:pt idx="1010">
                  <c:v>5.6295852684512852E-4</c:v>
                </c:pt>
                <c:pt idx="1011">
                  <c:v>5.3899981784619384E-4</c:v>
                </c:pt>
                <c:pt idx="1012">
                  <c:v>8.9929982972781802E-4</c:v>
                </c:pt>
                <c:pt idx="1013">
                  <c:v>1.1187663674553025E-3</c:v>
                </c:pt>
                <c:pt idx="1014">
                  <c:v>5.7037785835134796E-4</c:v>
                </c:pt>
                <c:pt idx="1015">
                  <c:v>3.2543216542094946E-4</c:v>
                </c:pt>
                <c:pt idx="1016">
                  <c:v>6.7876265881838566E-4</c:v>
                </c:pt>
                <c:pt idx="1017">
                  <c:v>6.9811470677775948E-4</c:v>
                </c:pt>
                <c:pt idx="1018">
                  <c:v>4.7183247685672982E-4</c:v>
                </c:pt>
                <c:pt idx="1019">
                  <c:v>8.0049722769349172E-4</c:v>
                </c:pt>
                <c:pt idx="1020">
                  <c:v>9.8530075078360167E-4</c:v>
                </c:pt>
                <c:pt idx="1021">
                  <c:v>1.4084871212706016E-3</c:v>
                </c:pt>
                <c:pt idx="1022">
                  <c:v>1.5590604580486105E-3</c:v>
                </c:pt>
                <c:pt idx="1023">
                  <c:v>6.8393060655466155E-4</c:v>
                </c:pt>
                <c:pt idx="1024">
                  <c:v>1.1964698425103847E-3</c:v>
                </c:pt>
                <c:pt idx="1025">
                  <c:v>9.4702396529849583E-4</c:v>
                </c:pt>
                <c:pt idx="1026">
                  <c:v>1.1047887203478623E-3</c:v>
                </c:pt>
                <c:pt idx="1027">
                  <c:v>7.6825283414113581E-4</c:v>
                </c:pt>
                <c:pt idx="1028">
                  <c:v>7.8329566717162972E-4</c:v>
                </c:pt>
                <c:pt idx="1029">
                  <c:v>1.0049576292893846E-3</c:v>
                </c:pt>
                <c:pt idx="1030">
                  <c:v>1.3050675984175024E-3</c:v>
                </c:pt>
                <c:pt idx="1031">
                  <c:v>6.6407332839463434E-4</c:v>
                </c:pt>
                <c:pt idx="1032">
                  <c:v>1.1416387155737959E-3</c:v>
                </c:pt>
                <c:pt idx="1033">
                  <c:v>1.2409022756404437E-3</c:v>
                </c:pt>
                <c:pt idx="1034">
                  <c:v>1.1352905681318206E-3</c:v>
                </c:pt>
                <c:pt idx="1035">
                  <c:v>1.0941659193168653E-3</c:v>
                </c:pt>
                <c:pt idx="1036">
                  <c:v>1.0418830853891558E-3</c:v>
                </c:pt>
                <c:pt idx="1037">
                  <c:v>7.7280060284583914E-4</c:v>
                </c:pt>
                <c:pt idx="1038">
                  <c:v>9.4644410346053122E-4</c:v>
                </c:pt>
                <c:pt idx="1039">
                  <c:v>5.8999697450168461E-4</c:v>
                </c:pt>
                <c:pt idx="1040">
                  <c:v>1.1212703986460263E-3</c:v>
                </c:pt>
                <c:pt idx="1041">
                  <c:v>6.547208022318142E-4</c:v>
                </c:pt>
                <c:pt idx="1042">
                  <c:v>8.9556482941154309E-4</c:v>
                </c:pt>
                <c:pt idx="1043">
                  <c:v>7.5237570623907482E-4</c:v>
                </c:pt>
                <c:pt idx="1044">
                  <c:v>1.0565424450378869E-3</c:v>
                </c:pt>
                <c:pt idx="1045">
                  <c:v>8.2119727054220243E-4</c:v>
                </c:pt>
                <c:pt idx="1046">
                  <c:v>9.9813452057805215E-4</c:v>
                </c:pt>
                <c:pt idx="1047">
                  <c:v>6.9981266618256112E-4</c:v>
                </c:pt>
                <c:pt idx="1048">
                  <c:v>8.2887895389033208E-4</c:v>
                </c:pt>
                <c:pt idx="1049">
                  <c:v>7.2481769616574419E-4</c:v>
                </c:pt>
                <c:pt idx="1050">
                  <c:v>1.0752778114356885E-3</c:v>
                </c:pt>
                <c:pt idx="1051">
                  <c:v>8.3575791117260787E-4</c:v>
                </c:pt>
                <c:pt idx="1052">
                  <c:v>1.0094249792218773E-3</c:v>
                </c:pt>
                <c:pt idx="1053">
                  <c:v>8.5150924972058869E-4</c:v>
                </c:pt>
                <c:pt idx="1054">
                  <c:v>7.3443641016023866E-4</c:v>
                </c:pt>
                <c:pt idx="1055">
                  <c:v>6.444460922418755E-4</c:v>
                </c:pt>
                <c:pt idx="1056">
                  <c:v>7.4407346916917274E-4</c:v>
                </c:pt>
                <c:pt idx="1057">
                  <c:v>9.6162472138908628E-4</c:v>
                </c:pt>
                <c:pt idx="1058">
                  <c:v>1.1308856538390793E-3</c:v>
                </c:pt>
                <c:pt idx="1059">
                  <c:v>1.1993797345696848E-3</c:v>
                </c:pt>
                <c:pt idx="1060">
                  <c:v>9.9864280079854087E-4</c:v>
                </c:pt>
                <c:pt idx="1061">
                  <c:v>7.577422412620011E-4</c:v>
                </c:pt>
                <c:pt idx="1062">
                  <c:v>6.2052768274212884E-4</c:v>
                </c:pt>
                <c:pt idx="1063">
                  <c:v>1.3142596597421764E-3</c:v>
                </c:pt>
                <c:pt idx="1064">
                  <c:v>8.6169612758579827E-4</c:v>
                </c:pt>
                <c:pt idx="1065">
                  <c:v>2.7766336469236185E-4</c:v>
                </c:pt>
                <c:pt idx="1066">
                  <c:v>1.1263319475329312E-3</c:v>
                </c:pt>
                <c:pt idx="1067">
                  <c:v>1.0084958172952917E-3</c:v>
                </c:pt>
                <c:pt idx="1068">
                  <c:v>1.0940448509014599E-3</c:v>
                </c:pt>
                <c:pt idx="1069">
                  <c:v>1.3154757272417739E-3</c:v>
                </c:pt>
                <c:pt idx="1070">
                  <c:v>1.2880308099489561E-4</c:v>
                </c:pt>
                <c:pt idx="1071">
                  <c:v>9.2532843084059974E-4</c:v>
                </c:pt>
                <c:pt idx="1072">
                  <c:v>1.2303825372487287E-3</c:v>
                </c:pt>
                <c:pt idx="1073">
                  <c:v>1.0197363415750341E-3</c:v>
                </c:pt>
                <c:pt idx="1074">
                  <c:v>1.827797297332629E-4</c:v>
                </c:pt>
                <c:pt idx="1075">
                  <c:v>7.474878288668466E-4</c:v>
                </c:pt>
                <c:pt idx="1076">
                  <c:v>9.0957353371856327E-4</c:v>
                </c:pt>
                <c:pt idx="1077">
                  <c:v>6.4086004817612177E-4</c:v>
                </c:pt>
                <c:pt idx="1078">
                  <c:v>9.9854483869998498E-4</c:v>
                </c:pt>
                <c:pt idx="1079">
                  <c:v>6.516219315189231E-4</c:v>
                </c:pt>
                <c:pt idx="1080">
                  <c:v>9.5607888667415951E-4</c:v>
                </c:pt>
                <c:pt idx="1081">
                  <c:v>2.2376651696199667E-4</c:v>
                </c:pt>
                <c:pt idx="1082">
                  <c:v>7.8866671607593687E-4</c:v>
                </c:pt>
                <c:pt idx="1083">
                  <c:v>7.4214672490342999E-4</c:v>
                </c:pt>
                <c:pt idx="1084">
                  <c:v>3.2575709609982534E-4</c:v>
                </c:pt>
                <c:pt idx="1085">
                  <c:v>2.1469224400764281E-4</c:v>
                </c:pt>
                <c:pt idx="1086">
                  <c:v>1.551111577177467E-3</c:v>
                </c:pt>
                <c:pt idx="1087">
                  <c:v>7.4765050406943006E-4</c:v>
                </c:pt>
                <c:pt idx="1088">
                  <c:v>5.624634001318875E-4</c:v>
                </c:pt>
                <c:pt idx="1089">
                  <c:v>1.0224114289717745E-3</c:v>
                </c:pt>
                <c:pt idx="1090">
                  <c:v>7.3981321596244972E-4</c:v>
                </c:pt>
                <c:pt idx="1091">
                  <c:v>3.1935767559984699E-4</c:v>
                </c:pt>
                <c:pt idx="1092">
                  <c:v>7.8491655428633946E-4</c:v>
                </c:pt>
                <c:pt idx="1093">
                  <c:v>1.1381467856253847E-3</c:v>
                </c:pt>
                <c:pt idx="1094">
                  <c:v>4.600134398868045E-4</c:v>
                </c:pt>
                <c:pt idx="1095">
                  <c:v>5.1260936963005586E-4</c:v>
                </c:pt>
                <c:pt idx="1096">
                  <c:v>7.8387553457192206E-4</c:v>
                </c:pt>
                <c:pt idx="1097">
                  <c:v>1.0345874193929037E-3</c:v>
                </c:pt>
                <c:pt idx="1098">
                  <c:v>2.4760864044662826E-4</c:v>
                </c:pt>
                <c:pt idx="1099">
                  <c:v>8.0470940533799106E-4</c:v>
                </c:pt>
                <c:pt idx="1100">
                  <c:v>3.9163031737977656E-4</c:v>
                </c:pt>
                <c:pt idx="1101">
                  <c:v>5.776308812672703E-4</c:v>
                </c:pt>
                <c:pt idx="1102">
                  <c:v>4.1651187005007636E-4</c:v>
                </c:pt>
                <c:pt idx="1103">
                  <c:v>4.896436917611153E-4</c:v>
                </c:pt>
                <c:pt idx="1104">
                  <c:v>6.2063726633152828E-4</c:v>
                </c:pt>
                <c:pt idx="1105">
                  <c:v>7.1572697275482187E-4</c:v>
                </c:pt>
                <c:pt idx="1106">
                  <c:v>5.6097311899354439E-4</c:v>
                </c:pt>
                <c:pt idx="1107">
                  <c:v>9.1334607605777585E-4</c:v>
                </c:pt>
                <c:pt idx="1108">
                  <c:v>6.3441772683917475E-4</c:v>
                </c:pt>
                <c:pt idx="1109">
                  <c:v>8.3619448441944722E-4</c:v>
                </c:pt>
                <c:pt idx="1110">
                  <c:v>1.1148044784302434E-3</c:v>
                </c:pt>
                <c:pt idx="1111">
                  <c:v>1.4365680351398412E-4</c:v>
                </c:pt>
                <c:pt idx="1112">
                  <c:v>1.181949170942472E-3</c:v>
                </c:pt>
                <c:pt idx="1113">
                  <c:v>7.1819303961344132E-4</c:v>
                </c:pt>
                <c:pt idx="1114">
                  <c:v>5.025970279976691E-4</c:v>
                </c:pt>
                <c:pt idx="1115">
                  <c:v>6.10662661850158E-4</c:v>
                </c:pt>
                <c:pt idx="1116">
                  <c:v>8.4858275679991512E-4</c:v>
                </c:pt>
                <c:pt idx="1117">
                  <c:v>1.3343692209135823E-3</c:v>
                </c:pt>
                <c:pt idx="1118">
                  <c:v>7.602212122556067E-4</c:v>
                </c:pt>
                <c:pt idx="1119">
                  <c:v>1.1467195057782895E-3</c:v>
                </c:pt>
                <c:pt idx="1120">
                  <c:v>1.0762349224975785E-3</c:v>
                </c:pt>
                <c:pt idx="1121">
                  <c:v>8.5161217985509996E-4</c:v>
                </c:pt>
                <c:pt idx="1122">
                  <c:v>1.3349897273609911E-3</c:v>
                </c:pt>
                <c:pt idx="1123">
                  <c:v>4.916867156097085E-4</c:v>
                </c:pt>
                <c:pt idx="1124">
                  <c:v>6.8674869590861084E-4</c:v>
                </c:pt>
                <c:pt idx="1125">
                  <c:v>7.2210190013108507E-4</c:v>
                </c:pt>
                <c:pt idx="1126">
                  <c:v>3.5792269298780336E-4</c:v>
                </c:pt>
                <c:pt idx="1127">
                  <c:v>1.5570391628604776E-3</c:v>
                </c:pt>
                <c:pt idx="1128">
                  <c:v>1.0489288568451382E-3</c:v>
                </c:pt>
                <c:pt idx="1129">
                  <c:v>6.6715435147939224E-4</c:v>
                </c:pt>
                <c:pt idx="1130">
                  <c:v>1.1094427718015068E-3</c:v>
                </c:pt>
                <c:pt idx="1131">
                  <c:v>7.4939388496523412E-4</c:v>
                </c:pt>
                <c:pt idx="1132">
                  <c:v>1.1016046864747392E-3</c:v>
                </c:pt>
                <c:pt idx="1133">
                  <c:v>7.6704931501284795E-4</c:v>
                </c:pt>
                <c:pt idx="1134">
                  <c:v>9.4877146524330986E-4</c:v>
                </c:pt>
                <c:pt idx="1135">
                  <c:v>7.5698305654846223E-4</c:v>
                </c:pt>
                <c:pt idx="1136">
                  <c:v>1.1996108084242657E-3</c:v>
                </c:pt>
                <c:pt idx="1137">
                  <c:v>6.2033344155174388E-4</c:v>
                </c:pt>
                <c:pt idx="1138">
                  <c:v>1.5750288834620624E-3</c:v>
                </c:pt>
                <c:pt idx="1139">
                  <c:v>1.0988122266912673E-3</c:v>
                </c:pt>
                <c:pt idx="1140">
                  <c:v>7.9091458540658072E-4</c:v>
                </c:pt>
                <c:pt idx="1141">
                  <c:v>6.8693632481374716E-4</c:v>
                </c:pt>
                <c:pt idx="1142">
                  <c:v>7.7656642791042879E-4</c:v>
                </c:pt>
                <c:pt idx="1143">
                  <c:v>6.4450076173953408E-4</c:v>
                </c:pt>
                <c:pt idx="1144">
                  <c:v>1.3818029094660887E-3</c:v>
                </c:pt>
                <c:pt idx="1145">
                  <c:v>1.125560174681134E-3</c:v>
                </c:pt>
                <c:pt idx="1146">
                  <c:v>6.6716279880732834E-4</c:v>
                </c:pt>
                <c:pt idx="1147">
                  <c:v>6.9343776863402642E-4</c:v>
                </c:pt>
                <c:pt idx="1148">
                  <c:v>9.8119372087636489E-4</c:v>
                </c:pt>
                <c:pt idx="1149">
                  <c:v>6.9124955881199842E-4</c:v>
                </c:pt>
                <c:pt idx="1150">
                  <c:v>8.5224288221131834E-4</c:v>
                </c:pt>
                <c:pt idx="1151">
                  <c:v>1.3593025872608436E-3</c:v>
                </c:pt>
                <c:pt idx="1152">
                  <c:v>8.9060189258470621E-4</c:v>
                </c:pt>
                <c:pt idx="1153">
                  <c:v>8.1571971484289908E-4</c:v>
                </c:pt>
                <c:pt idx="1154">
                  <c:v>5.9481550729121647E-4</c:v>
                </c:pt>
                <c:pt idx="1155">
                  <c:v>8.2836316908161648E-4</c:v>
                </c:pt>
                <c:pt idx="1156">
                  <c:v>8.4505001930511856E-4</c:v>
                </c:pt>
                <c:pt idx="1157">
                  <c:v>4.4122323178934035E-4</c:v>
                </c:pt>
                <c:pt idx="1158">
                  <c:v>6.6982133650406173E-4</c:v>
                </c:pt>
                <c:pt idx="1159">
                  <c:v>6.0640918781611479E-4</c:v>
                </c:pt>
                <c:pt idx="1160">
                  <c:v>7.5143514661576126E-4</c:v>
                </c:pt>
                <c:pt idx="1161">
                  <c:v>9.4833189763184728E-4</c:v>
                </c:pt>
                <c:pt idx="1162">
                  <c:v>1.3490286205044505E-3</c:v>
                </c:pt>
                <c:pt idx="1163">
                  <c:v>3.1799971634314427E-4</c:v>
                </c:pt>
                <c:pt idx="1164">
                  <c:v>3.0561820083606367E-4</c:v>
                </c:pt>
                <c:pt idx="1165">
                  <c:v>1.0804768575470754E-3</c:v>
                </c:pt>
                <c:pt idx="1166">
                  <c:v>1.3511269314942958E-3</c:v>
                </c:pt>
                <c:pt idx="1167">
                  <c:v>1.0087266185444274E-3</c:v>
                </c:pt>
                <c:pt idx="1168">
                  <c:v>1.3233503485373976E-3</c:v>
                </c:pt>
                <c:pt idx="1169">
                  <c:v>7.3270747084328079E-4</c:v>
                </c:pt>
                <c:pt idx="1170">
                  <c:v>1.3456241014408682E-3</c:v>
                </c:pt>
                <c:pt idx="1171">
                  <c:v>8.8619197508399178E-4</c:v>
                </c:pt>
                <c:pt idx="1172">
                  <c:v>7.1566219586123331E-4</c:v>
                </c:pt>
                <c:pt idx="1173">
                  <c:v>7.7168067919828709E-4</c:v>
                </c:pt>
                <c:pt idx="1174">
                  <c:v>1.1128698211557925E-3</c:v>
                </c:pt>
                <c:pt idx="1175">
                  <c:v>8.0249504942649552E-4</c:v>
                </c:pt>
                <c:pt idx="1176">
                  <c:v>-2.9542109210635702E-5</c:v>
                </c:pt>
                <c:pt idx="1177">
                  <c:v>1.4657543293074146E-3</c:v>
                </c:pt>
                <c:pt idx="1178">
                  <c:v>6.3229808872307673E-4</c:v>
                </c:pt>
                <c:pt idx="1179">
                  <c:v>1.0590710848322764E-3</c:v>
                </c:pt>
                <c:pt idx="1180">
                  <c:v>6.4175969173229047E-4</c:v>
                </c:pt>
                <c:pt idx="1181">
                  <c:v>1.4377047875313294E-3</c:v>
                </c:pt>
                <c:pt idx="1182">
                  <c:v>4.3337484683411649E-4</c:v>
                </c:pt>
                <c:pt idx="1183">
                  <c:v>1.1572672059696856E-3</c:v>
                </c:pt>
                <c:pt idx="1184">
                  <c:v>1.6956817595238844E-3</c:v>
                </c:pt>
                <c:pt idx="1185">
                  <c:v>7.4046356546555851E-4</c:v>
                </c:pt>
                <c:pt idx="1186">
                  <c:v>1.2085397555607663E-3</c:v>
                </c:pt>
                <c:pt idx="1187">
                  <c:v>7.8001005888677396E-4</c:v>
                </c:pt>
                <c:pt idx="1188">
                  <c:v>1.0590849712881875E-3</c:v>
                </c:pt>
                <c:pt idx="1189">
                  <c:v>4.3528905250109635E-4</c:v>
                </c:pt>
                <c:pt idx="1190">
                  <c:v>8.1615208301976771E-4</c:v>
                </c:pt>
                <c:pt idx="1191">
                  <c:v>1.1406601943491385E-3</c:v>
                </c:pt>
                <c:pt idx="1192">
                  <c:v>1.1033638489872726E-3</c:v>
                </c:pt>
                <c:pt idx="1193">
                  <c:v>1.3037127818408979E-3</c:v>
                </c:pt>
                <c:pt idx="1194">
                  <c:v>5.9148427513244079E-4</c:v>
                </c:pt>
                <c:pt idx="1195">
                  <c:v>1.094635319311602E-3</c:v>
                </c:pt>
                <c:pt idx="1196">
                  <c:v>1.2302444797816674E-3</c:v>
                </c:pt>
                <c:pt idx="1197">
                  <c:v>9.9886519244381006E-4</c:v>
                </c:pt>
                <c:pt idx="1198">
                  <c:v>1.1995578111943753E-3</c:v>
                </c:pt>
                <c:pt idx="1199">
                  <c:v>9.2969078062661039E-4</c:v>
                </c:pt>
                <c:pt idx="1200">
                  <c:v>5.7468044419190878E-4</c:v>
                </c:pt>
                <c:pt idx="1201">
                  <c:v>4.8411886049739774E-4</c:v>
                </c:pt>
                <c:pt idx="1202">
                  <c:v>9.1750319246767847E-4</c:v>
                </c:pt>
                <c:pt idx="1203">
                  <c:v>5.0647026547606634E-4</c:v>
                </c:pt>
                <c:pt idx="1204">
                  <c:v>4.4051425740825425E-4</c:v>
                </c:pt>
                <c:pt idx="1205">
                  <c:v>1.1869329305997469E-3</c:v>
                </c:pt>
                <c:pt idx="1206">
                  <c:v>9.8609217415047837E-4</c:v>
                </c:pt>
                <c:pt idx="1207">
                  <c:v>1.1315070093854038E-3</c:v>
                </c:pt>
                <c:pt idx="1208">
                  <c:v>9.4871417134640519E-4</c:v>
                </c:pt>
                <c:pt idx="1209">
                  <c:v>1.2752680147521784E-3</c:v>
                </c:pt>
                <c:pt idx="1210">
                  <c:v>8.9794760605566958E-4</c:v>
                </c:pt>
                <c:pt idx="1211">
                  <c:v>4.9056449516919458E-4</c:v>
                </c:pt>
                <c:pt idx="1212">
                  <c:v>4.4692609662686991E-4</c:v>
                </c:pt>
                <c:pt idx="1213">
                  <c:v>6.2400426825916851E-4</c:v>
                </c:pt>
                <c:pt idx="1214">
                  <c:v>1.1619178173957764E-3</c:v>
                </c:pt>
                <c:pt idx="1215">
                  <c:v>1.2157840720749876E-3</c:v>
                </c:pt>
                <c:pt idx="1216">
                  <c:v>9.5977183587898679E-4</c:v>
                </c:pt>
                <c:pt idx="1217">
                  <c:v>1.354940074897756E-3</c:v>
                </c:pt>
                <c:pt idx="1218">
                  <c:v>4.387779401617011E-4</c:v>
                </c:pt>
                <c:pt idx="1219">
                  <c:v>4.5810518870125307E-4</c:v>
                </c:pt>
                <c:pt idx="1220">
                  <c:v>4.4664465748194861E-4</c:v>
                </c:pt>
                <c:pt idx="1221">
                  <c:v>5.1518022717254256E-4</c:v>
                </c:pt>
                <c:pt idx="1222">
                  <c:v>7.0867147075244063E-4</c:v>
                </c:pt>
                <c:pt idx="1223">
                  <c:v>1.4493063290007761E-3</c:v>
                </c:pt>
                <c:pt idx="1224">
                  <c:v>1.2742556931336709E-3</c:v>
                </c:pt>
                <c:pt idx="1225">
                  <c:v>3.1411470727780327E-4</c:v>
                </c:pt>
                <c:pt idx="1226">
                  <c:v>9.958503733235259E-4</c:v>
                </c:pt>
                <c:pt idx="1227">
                  <c:v>1.2687996022010641E-4</c:v>
                </c:pt>
                <c:pt idx="1228">
                  <c:v>1.4390008812390212E-3</c:v>
                </c:pt>
                <c:pt idx="1229">
                  <c:v>1.0563474133620694E-3</c:v>
                </c:pt>
                <c:pt idx="1230">
                  <c:v>8.3397865291811126E-4</c:v>
                </c:pt>
                <c:pt idx="1231">
                  <c:v>7.2878540120809834E-4</c:v>
                </c:pt>
                <c:pt idx="1232">
                  <c:v>6.0149201847596589E-4</c:v>
                </c:pt>
                <c:pt idx="1233">
                  <c:v>6.8958650437065327E-4</c:v>
                </c:pt>
                <c:pt idx="1234">
                  <c:v>1.2361900136585331E-3</c:v>
                </c:pt>
                <c:pt idx="1235">
                  <c:v>1.700170999522954E-3</c:v>
                </c:pt>
                <c:pt idx="1236">
                  <c:v>2.9831094686490276E-4</c:v>
                </c:pt>
                <c:pt idx="1237">
                  <c:v>7.3450146034512208E-4</c:v>
                </c:pt>
                <c:pt idx="1238">
                  <c:v>6.6901044499532059E-4</c:v>
                </c:pt>
                <c:pt idx="1239">
                  <c:v>1.4539003398099243E-3</c:v>
                </c:pt>
                <c:pt idx="1240">
                  <c:v>6.1347391317927592E-4</c:v>
                </c:pt>
                <c:pt idx="1241">
                  <c:v>1.2512861016529589E-3</c:v>
                </c:pt>
                <c:pt idx="1242">
                  <c:v>1.1463505296674921E-3</c:v>
                </c:pt>
                <c:pt idx="1243">
                  <c:v>5.993839489735473E-4</c:v>
                </c:pt>
                <c:pt idx="1244">
                  <c:v>9.6359731910042508E-4</c:v>
                </c:pt>
                <c:pt idx="1245">
                  <c:v>1.0259024917337117E-3</c:v>
                </c:pt>
                <c:pt idx="1246">
                  <c:v>1.4437290593369381E-3</c:v>
                </c:pt>
                <c:pt idx="1247">
                  <c:v>8.5737593024848139E-4</c:v>
                </c:pt>
                <c:pt idx="1248">
                  <c:v>1.0331349890902539E-3</c:v>
                </c:pt>
                <c:pt idx="1249">
                  <c:v>8.304536508446916E-4</c:v>
                </c:pt>
                <c:pt idx="1250">
                  <c:v>9.7244167651506109E-4</c:v>
                </c:pt>
                <c:pt idx="1251">
                  <c:v>9.4751871581625876E-4</c:v>
                </c:pt>
                <c:pt idx="1252">
                  <c:v>6.116946785124232E-4</c:v>
                </c:pt>
                <c:pt idx="1253">
                  <c:v>9.8881391126770957E-4</c:v>
                </c:pt>
                <c:pt idx="1254">
                  <c:v>8.3010385126808066E-4</c:v>
                </c:pt>
                <c:pt idx="1255">
                  <c:v>3.2643500256825174E-4</c:v>
                </c:pt>
                <c:pt idx="1256">
                  <c:v>2.3701326428400316E-4</c:v>
                </c:pt>
                <c:pt idx="1257">
                  <c:v>1.0630756161494812E-3</c:v>
                </c:pt>
                <c:pt idx="1258">
                  <c:v>9.6141031717217481E-4</c:v>
                </c:pt>
                <c:pt idx="1259">
                  <c:v>1.5622383384841275E-3</c:v>
                </c:pt>
                <c:pt idx="1260">
                  <c:v>6.0729878348861853E-4</c:v>
                </c:pt>
                <c:pt idx="1261">
                  <c:v>1.0733471993893953E-3</c:v>
                </c:pt>
                <c:pt idx="1262">
                  <c:v>8.1517497625140448E-4</c:v>
                </c:pt>
                <c:pt idx="1263">
                  <c:v>6.6254195925751522E-4</c:v>
                </c:pt>
                <c:pt idx="1264">
                  <c:v>8.4878960571877795E-4</c:v>
                </c:pt>
                <c:pt idx="1265">
                  <c:v>6.4496468876101257E-4</c:v>
                </c:pt>
                <c:pt idx="1266">
                  <c:v>4.8583667456581652E-4</c:v>
                </c:pt>
                <c:pt idx="1267">
                  <c:v>6.43175062310085E-4</c:v>
                </c:pt>
                <c:pt idx="1268">
                  <c:v>5.0379435375308554E-4</c:v>
                </c:pt>
                <c:pt idx="1269">
                  <c:v>6.5045955210082322E-4</c:v>
                </c:pt>
                <c:pt idx="1270">
                  <c:v>6.6893627454830192E-4</c:v>
                </c:pt>
                <c:pt idx="1271">
                  <c:v>9.5575485144795257E-4</c:v>
                </c:pt>
                <c:pt idx="1272">
                  <c:v>8.6852133195086981E-4</c:v>
                </c:pt>
                <c:pt idx="1273">
                  <c:v>9.891180423435746E-4</c:v>
                </c:pt>
                <c:pt idx="1274">
                  <c:v>6.3417198481166158E-4</c:v>
                </c:pt>
                <c:pt idx="1275">
                  <c:v>3.7516896065617624E-4</c:v>
                </c:pt>
                <c:pt idx="1276">
                  <c:v>3.3561410029709564E-4</c:v>
                </c:pt>
                <c:pt idx="1277">
                  <c:v>1.0126910106067971E-3</c:v>
                </c:pt>
                <c:pt idx="1278">
                  <c:v>3.8180923113341746E-4</c:v>
                </c:pt>
                <c:pt idx="1279">
                  <c:v>8.5175235358942553E-4</c:v>
                </c:pt>
                <c:pt idx="1280">
                  <c:v>1.079860421946103E-3</c:v>
                </c:pt>
                <c:pt idx="1281">
                  <c:v>6.9378172355266394E-4</c:v>
                </c:pt>
                <c:pt idx="1282">
                  <c:v>6.0007834867649901E-4</c:v>
                </c:pt>
                <c:pt idx="1283">
                  <c:v>6.8738784014501662E-4</c:v>
                </c:pt>
                <c:pt idx="1284">
                  <c:v>1.4531921010756594E-3</c:v>
                </c:pt>
                <c:pt idx="1285">
                  <c:v>8.9106738238770814E-4</c:v>
                </c:pt>
                <c:pt idx="1286">
                  <c:v>1.5055879158875367E-3</c:v>
                </c:pt>
                <c:pt idx="1287">
                  <c:v>9.4826075577408191E-4</c:v>
                </c:pt>
                <c:pt idx="1288">
                  <c:v>2.3883980023233878E-4</c:v>
                </c:pt>
                <c:pt idx="1289">
                  <c:v>1.080929126295556E-3</c:v>
                </c:pt>
                <c:pt idx="1290">
                  <c:v>1.9775811824061746E-4</c:v>
                </c:pt>
                <c:pt idx="1291">
                  <c:v>3.4495133718704003E-4</c:v>
                </c:pt>
                <c:pt idx="1292">
                  <c:v>8.7905141175745371E-4</c:v>
                </c:pt>
                <c:pt idx="1293">
                  <c:v>7.3562083571491847E-4</c:v>
                </c:pt>
                <c:pt idx="1294">
                  <c:v>8.0621332943043536E-4</c:v>
                </c:pt>
                <c:pt idx="1295">
                  <c:v>8.5961239378050955E-4</c:v>
                </c:pt>
                <c:pt idx="1296">
                  <c:v>8.0867236575782396E-4</c:v>
                </c:pt>
                <c:pt idx="1297">
                  <c:v>1.06987649094712E-3</c:v>
                </c:pt>
                <c:pt idx="1298">
                  <c:v>1.0387220018469776E-3</c:v>
                </c:pt>
                <c:pt idx="1299">
                  <c:v>3.919090487949065E-4</c:v>
                </c:pt>
                <c:pt idx="1300">
                  <c:v>6.6783872556444265E-4</c:v>
                </c:pt>
                <c:pt idx="1301">
                  <c:v>7.656957436805149E-4</c:v>
                </c:pt>
                <c:pt idx="1302">
                  <c:v>5.5094218529298214E-4</c:v>
                </c:pt>
                <c:pt idx="1303">
                  <c:v>8.3969226206600102E-4</c:v>
                </c:pt>
                <c:pt idx="1304">
                  <c:v>1.5124224389432255E-3</c:v>
                </c:pt>
                <c:pt idx="1305">
                  <c:v>1.3370257242880251E-3</c:v>
                </c:pt>
                <c:pt idx="1306">
                  <c:v>8.3544839683395028E-4</c:v>
                </c:pt>
                <c:pt idx="1307">
                  <c:v>7.8257618610361364E-4</c:v>
                </c:pt>
                <c:pt idx="1308">
                  <c:v>1.2733478519257227E-3</c:v>
                </c:pt>
                <c:pt idx="1309">
                  <c:v>8.352118302592525E-4</c:v>
                </c:pt>
                <c:pt idx="1310">
                  <c:v>1.3490039982413265E-3</c:v>
                </c:pt>
                <c:pt idx="1311">
                  <c:v>9.4363345127998499E-4</c:v>
                </c:pt>
                <c:pt idx="1312">
                  <c:v>6.3221793199141126E-4</c:v>
                </c:pt>
                <c:pt idx="1313">
                  <c:v>7.4571542059902998E-4</c:v>
                </c:pt>
                <c:pt idx="1314">
                  <c:v>1.6272150798085378E-3</c:v>
                </c:pt>
                <c:pt idx="1315">
                  <c:v>3.7847947840029039E-4</c:v>
                </c:pt>
                <c:pt idx="1316">
                  <c:v>4.491417555957887E-4</c:v>
                </c:pt>
                <c:pt idx="1317">
                  <c:v>8.0877613651598925E-4</c:v>
                </c:pt>
                <c:pt idx="1318">
                  <c:v>6.8377211262028378E-4</c:v>
                </c:pt>
                <c:pt idx="1319">
                  <c:v>1.1816747360892162E-3</c:v>
                </c:pt>
                <c:pt idx="1320">
                  <c:v>1.1708321076221396E-3</c:v>
                </c:pt>
                <c:pt idx="1321">
                  <c:v>1.4564665325932358E-3</c:v>
                </c:pt>
                <c:pt idx="1322">
                  <c:v>1.05987689645485E-3</c:v>
                </c:pt>
                <c:pt idx="1323">
                  <c:v>7.8392896000430211E-4</c:v>
                </c:pt>
                <c:pt idx="1324">
                  <c:v>5.6425653376024321E-4</c:v>
                </c:pt>
                <c:pt idx="1325">
                  <c:v>7.2251582103331216E-4</c:v>
                </c:pt>
                <c:pt idx="1326">
                  <c:v>8.442275233209402E-4</c:v>
                </c:pt>
                <c:pt idx="1327">
                  <c:v>9.819626699901034E-4</c:v>
                </c:pt>
                <c:pt idx="1328">
                  <c:v>1.2241832428606077E-3</c:v>
                </c:pt>
                <c:pt idx="1329">
                  <c:v>6.2601299981263504E-4</c:v>
                </c:pt>
                <c:pt idx="1330">
                  <c:v>7.1175611405869578E-4</c:v>
                </c:pt>
                <c:pt idx="1331">
                  <c:v>1.0477450915803567E-3</c:v>
                </c:pt>
                <c:pt idx="1332">
                  <c:v>7.793782386404601E-4</c:v>
                </c:pt>
                <c:pt idx="1333">
                  <c:v>7.6450813241802284E-4</c:v>
                </c:pt>
                <c:pt idx="1334">
                  <c:v>1.0678453370067187E-3</c:v>
                </c:pt>
                <c:pt idx="1335">
                  <c:v>9.9619545139489722E-4</c:v>
                </c:pt>
                <c:pt idx="1336">
                  <c:v>7.9398545340663015E-4</c:v>
                </c:pt>
                <c:pt idx="1337">
                  <c:v>4.2998718498185113E-4</c:v>
                </c:pt>
                <c:pt idx="1338">
                  <c:v>4.679781262645609E-4</c:v>
                </c:pt>
                <c:pt idx="1339">
                  <c:v>1.4864065633307722E-3</c:v>
                </c:pt>
                <c:pt idx="1340">
                  <c:v>3.7347919263050917E-4</c:v>
                </c:pt>
                <c:pt idx="1341">
                  <c:v>7.9556248545801286E-4</c:v>
                </c:pt>
                <c:pt idx="1342">
                  <c:v>9.193345501740495E-4</c:v>
                </c:pt>
                <c:pt idx="1343">
                  <c:v>8.6557874326439609E-4</c:v>
                </c:pt>
                <c:pt idx="1344">
                  <c:v>5.8421044764786782E-4</c:v>
                </c:pt>
                <c:pt idx="1345">
                  <c:v>1.4239409512844068E-3</c:v>
                </c:pt>
                <c:pt idx="1346">
                  <c:v>5.4134486460179513E-4</c:v>
                </c:pt>
                <c:pt idx="1347">
                  <c:v>8.31460566967826E-4</c:v>
                </c:pt>
                <c:pt idx="1348">
                  <c:v>3.0144532300077945E-4</c:v>
                </c:pt>
                <c:pt idx="1349">
                  <c:v>1.1649894422553389E-3</c:v>
                </c:pt>
                <c:pt idx="1350">
                  <c:v>6.0195985104370252E-4</c:v>
                </c:pt>
                <c:pt idx="1351">
                  <c:v>1.3537164480231139E-3</c:v>
                </c:pt>
                <c:pt idx="1352">
                  <c:v>1.2434808834114824E-3</c:v>
                </c:pt>
                <c:pt idx="1353">
                  <c:v>8.18737315827278E-4</c:v>
                </c:pt>
                <c:pt idx="1354">
                  <c:v>1.2307694285158567E-3</c:v>
                </c:pt>
                <c:pt idx="1355">
                  <c:v>2.4564507984232563E-4</c:v>
                </c:pt>
                <c:pt idx="1356">
                  <c:v>8.0108340384705547E-4</c:v>
                </c:pt>
                <c:pt idx="1357">
                  <c:v>1.0980366684018375E-3</c:v>
                </c:pt>
                <c:pt idx="1358">
                  <c:v>5.9652098644122787E-4</c:v>
                </c:pt>
                <c:pt idx="1359">
                  <c:v>9.8525781954211648E-4</c:v>
                </c:pt>
                <c:pt idx="1360">
                  <c:v>5.7862025330700825E-4</c:v>
                </c:pt>
                <c:pt idx="1361">
                  <c:v>1.1791834427473402E-3</c:v>
                </c:pt>
                <c:pt idx="1362">
                  <c:v>8.8670187677058533E-4</c:v>
                </c:pt>
                <c:pt idx="1363">
                  <c:v>1.0464412661848994E-3</c:v>
                </c:pt>
                <c:pt idx="1364">
                  <c:v>3.5732145828458201E-4</c:v>
                </c:pt>
                <c:pt idx="1365">
                  <c:v>2.4068166467179207E-4</c:v>
                </c:pt>
                <c:pt idx="1366">
                  <c:v>1.8317216042506653E-3</c:v>
                </c:pt>
                <c:pt idx="1367">
                  <c:v>1.2560086839050139E-3</c:v>
                </c:pt>
                <c:pt idx="1368">
                  <c:v>9.4782676639719433E-4</c:v>
                </c:pt>
                <c:pt idx="1369">
                  <c:v>1.0190808571781066E-3</c:v>
                </c:pt>
                <c:pt idx="1370">
                  <c:v>9.0512188370555258E-4</c:v>
                </c:pt>
                <c:pt idx="1371">
                  <c:v>1.5480240778561474E-3</c:v>
                </c:pt>
                <c:pt idx="1372">
                  <c:v>3.0388961431376067E-4</c:v>
                </c:pt>
                <c:pt idx="1373">
                  <c:v>8.0427058166949539E-4</c:v>
                </c:pt>
                <c:pt idx="1374">
                  <c:v>7.4523646937107231E-4</c:v>
                </c:pt>
                <c:pt idx="1375">
                  <c:v>6.8824520236153463E-4</c:v>
                </c:pt>
                <c:pt idx="1376">
                  <c:v>3.9953618040937915E-4</c:v>
                </c:pt>
                <c:pt idx="1377">
                  <c:v>1.1064552295368571E-3</c:v>
                </c:pt>
                <c:pt idx="1378">
                  <c:v>7.8743081070969739E-4</c:v>
                </c:pt>
                <c:pt idx="1379">
                  <c:v>1.0576643718158061E-3</c:v>
                </c:pt>
                <c:pt idx="1380">
                  <c:v>8.7599963374430359E-4</c:v>
                </c:pt>
                <c:pt idx="1381">
                  <c:v>3.3944379592647982E-4</c:v>
                </c:pt>
                <c:pt idx="1382">
                  <c:v>7.7330424364257166E-4</c:v>
                </c:pt>
                <c:pt idx="1383">
                  <c:v>8.0475164922834321E-4</c:v>
                </c:pt>
                <c:pt idx="1384">
                  <c:v>4.8609066064576542E-4</c:v>
                </c:pt>
                <c:pt idx="1385">
                  <c:v>6.9666121139594773E-4</c:v>
                </c:pt>
                <c:pt idx="1386">
                  <c:v>1.2148894785713536E-3</c:v>
                </c:pt>
                <c:pt idx="1387">
                  <c:v>1.1399706043668603E-3</c:v>
                </c:pt>
                <c:pt idx="1388">
                  <c:v>1.4333201274545351E-3</c:v>
                </c:pt>
                <c:pt idx="1389">
                  <c:v>7.1290850699558912E-4</c:v>
                </c:pt>
                <c:pt idx="1390">
                  <c:v>1.1343100542717597E-3</c:v>
                </c:pt>
                <c:pt idx="1391">
                  <c:v>7.3437437798588954E-4</c:v>
                </c:pt>
                <c:pt idx="1392">
                  <c:v>7.1947295283564857E-4</c:v>
                </c:pt>
                <c:pt idx="1393">
                  <c:v>6.9486007490911293E-4</c:v>
                </c:pt>
                <c:pt idx="1394">
                  <c:v>9.787288503389014E-4</c:v>
                </c:pt>
                <c:pt idx="1395">
                  <c:v>4.454167258051346E-4</c:v>
                </c:pt>
                <c:pt idx="1396">
                  <c:v>1.0238302012675515E-3</c:v>
                </c:pt>
                <c:pt idx="1397">
                  <c:v>6.2162143327364693E-4</c:v>
                </c:pt>
                <c:pt idx="1398">
                  <c:v>7.0733727726800027E-4</c:v>
                </c:pt>
                <c:pt idx="1399">
                  <c:v>6.8597902879291117E-4</c:v>
                </c:pt>
                <c:pt idx="1400">
                  <c:v>4.4677836190165534E-4</c:v>
                </c:pt>
                <c:pt idx="1401">
                  <c:v>1.0689465378849856E-3</c:v>
                </c:pt>
                <c:pt idx="1402">
                  <c:v>8.0163454124996376E-4</c:v>
                </c:pt>
                <c:pt idx="1403">
                  <c:v>1.1150387427656754E-3</c:v>
                </c:pt>
                <c:pt idx="1404">
                  <c:v>9.8462860046150016E-4</c:v>
                </c:pt>
                <c:pt idx="1405">
                  <c:v>1.044980796001595E-3</c:v>
                </c:pt>
                <c:pt idx="1406">
                  <c:v>4.6927979302281464E-4</c:v>
                </c:pt>
                <c:pt idx="1407">
                  <c:v>1.0504871448449122E-3</c:v>
                </c:pt>
                <c:pt idx="1408">
                  <c:v>6.8754151905936044E-4</c:v>
                </c:pt>
                <c:pt idx="1409">
                  <c:v>9.6157936383256971E-4</c:v>
                </c:pt>
                <c:pt idx="1410">
                  <c:v>6.9469995990324664E-4</c:v>
                </c:pt>
                <c:pt idx="1411">
                  <c:v>1.3869621085557168E-3</c:v>
                </c:pt>
                <c:pt idx="1412">
                  <c:v>1.1816874392886713E-3</c:v>
                </c:pt>
                <c:pt idx="1413">
                  <c:v>9.0030924331158276E-4</c:v>
                </c:pt>
                <c:pt idx="1414">
                  <c:v>6.858671266964869E-4</c:v>
                </c:pt>
                <c:pt idx="1415">
                  <c:v>1.1243252334461199E-3</c:v>
                </c:pt>
                <c:pt idx="1416">
                  <c:v>4.7958604793512543E-4</c:v>
                </c:pt>
                <c:pt idx="1417">
                  <c:v>4.6889346672699701E-4</c:v>
                </c:pt>
                <c:pt idx="1418">
                  <c:v>7.0332588079984461E-4</c:v>
                </c:pt>
                <c:pt idx="1419">
                  <c:v>1.0921025446051201E-3</c:v>
                </c:pt>
                <c:pt idx="1420">
                  <c:v>5.1799324735006698E-4</c:v>
                </c:pt>
                <c:pt idx="1421">
                  <c:v>1.3137797197042224E-3</c:v>
                </c:pt>
                <c:pt idx="1422">
                  <c:v>1.2617623412930449E-3</c:v>
                </c:pt>
                <c:pt idx="1423">
                  <c:v>9.812522589930186E-4</c:v>
                </c:pt>
                <c:pt idx="1424">
                  <c:v>8.1706133757412621E-4</c:v>
                </c:pt>
                <c:pt idx="1425">
                  <c:v>7.9571988016255749E-4</c:v>
                </c:pt>
                <c:pt idx="1426">
                  <c:v>9.1185178799899145E-4</c:v>
                </c:pt>
                <c:pt idx="1427">
                  <c:v>1.436264176453463E-3</c:v>
                </c:pt>
                <c:pt idx="1428">
                  <c:v>9.1813128104320919E-4</c:v>
                </c:pt>
                <c:pt idx="1429">
                  <c:v>8.5714622709393321E-4</c:v>
                </c:pt>
                <c:pt idx="1430">
                  <c:v>9.7760839334615083E-4</c:v>
                </c:pt>
                <c:pt idx="1431">
                  <c:v>1.048759379938186E-3</c:v>
                </c:pt>
                <c:pt idx="1432">
                  <c:v>1.2480520036470316E-3</c:v>
                </c:pt>
                <c:pt idx="1433">
                  <c:v>9.7272127866064183E-4</c:v>
                </c:pt>
                <c:pt idx="1434">
                  <c:v>8.6260911303332572E-4</c:v>
                </c:pt>
                <c:pt idx="1435">
                  <c:v>8.9321866756285958E-4</c:v>
                </c:pt>
                <c:pt idx="1436">
                  <c:v>7.7763869416425547E-4</c:v>
                </c:pt>
                <c:pt idx="1437">
                  <c:v>1.3717833902655717E-3</c:v>
                </c:pt>
                <c:pt idx="1438">
                  <c:v>1.0023757541791165E-3</c:v>
                </c:pt>
                <c:pt idx="1439">
                  <c:v>8.7204054899798025E-4</c:v>
                </c:pt>
                <c:pt idx="1440">
                  <c:v>9.2655646226855886E-4</c:v>
                </c:pt>
                <c:pt idx="1441">
                  <c:v>9.9462006753654091E-4</c:v>
                </c:pt>
                <c:pt idx="1442">
                  <c:v>7.182095353164648E-4</c:v>
                </c:pt>
                <c:pt idx="1443">
                  <c:v>5.469382093306809E-4</c:v>
                </c:pt>
                <c:pt idx="1444">
                  <c:v>1.4297871597705699E-3</c:v>
                </c:pt>
                <c:pt idx="1445">
                  <c:v>5.1723406749179415E-4</c:v>
                </c:pt>
                <c:pt idx="1446">
                  <c:v>6.7361159734370885E-4</c:v>
                </c:pt>
                <c:pt idx="1447">
                  <c:v>1.0692000248813762E-3</c:v>
                </c:pt>
                <c:pt idx="1448">
                  <c:v>6.260126443681939E-4</c:v>
                </c:pt>
                <c:pt idx="1449">
                  <c:v>8.1949923690497687E-4</c:v>
                </c:pt>
                <c:pt idx="1450">
                  <c:v>1.2615665384285788E-3</c:v>
                </c:pt>
                <c:pt idx="1451">
                  <c:v>1.0055485380753312E-3</c:v>
                </c:pt>
                <c:pt idx="1452">
                  <c:v>9.0871605131119819E-4</c:v>
                </c:pt>
                <c:pt idx="1453">
                  <c:v>6.961022057889746E-4</c:v>
                </c:pt>
                <c:pt idx="1454">
                  <c:v>9.3731269453304212E-4</c:v>
                </c:pt>
                <c:pt idx="1455">
                  <c:v>7.7254113633299585E-4</c:v>
                </c:pt>
                <c:pt idx="1456">
                  <c:v>1.1871454862149775E-3</c:v>
                </c:pt>
                <c:pt idx="1457">
                  <c:v>6.6281007338400331E-4</c:v>
                </c:pt>
                <c:pt idx="1458">
                  <c:v>5.2894784198293464E-4</c:v>
                </c:pt>
                <c:pt idx="1459">
                  <c:v>8.8098544786735359E-4</c:v>
                </c:pt>
                <c:pt idx="1460">
                  <c:v>5.9248789571443616E-4</c:v>
                </c:pt>
                <c:pt idx="1461">
                  <c:v>1.1674914704379012E-3</c:v>
                </c:pt>
                <c:pt idx="1462">
                  <c:v>6.0634156290498699E-4</c:v>
                </c:pt>
                <c:pt idx="1463">
                  <c:v>1.2375840956031449E-3</c:v>
                </c:pt>
                <c:pt idx="1464">
                  <c:v>1.0650347043446745E-3</c:v>
                </c:pt>
                <c:pt idx="1465">
                  <c:v>1.0163579078714575E-3</c:v>
                </c:pt>
                <c:pt idx="1466">
                  <c:v>8.1461160246367804E-4</c:v>
                </c:pt>
                <c:pt idx="1467">
                  <c:v>6.7925804653654845E-4</c:v>
                </c:pt>
                <c:pt idx="1468">
                  <c:v>5.4797455674903935E-4</c:v>
                </c:pt>
                <c:pt idx="1469">
                  <c:v>5.0185321100000839E-4</c:v>
                </c:pt>
                <c:pt idx="1470">
                  <c:v>1.2754317669953735E-3</c:v>
                </c:pt>
                <c:pt idx="1471">
                  <c:v>5.3064503772304122E-4</c:v>
                </c:pt>
                <c:pt idx="1472">
                  <c:v>1.4159210445436297E-3</c:v>
                </c:pt>
                <c:pt idx="1473">
                  <c:v>5.4108957595660665E-4</c:v>
                </c:pt>
                <c:pt idx="1474">
                  <c:v>6.9042443410716517E-4</c:v>
                </c:pt>
                <c:pt idx="1475">
                  <c:v>6.2996950965588723E-4</c:v>
                </c:pt>
                <c:pt idx="1476">
                  <c:v>7.3552512556251178E-4</c:v>
                </c:pt>
                <c:pt idx="1477">
                  <c:v>1.2201433672428396E-3</c:v>
                </c:pt>
                <c:pt idx="1478">
                  <c:v>8.100214233220692E-4</c:v>
                </c:pt>
                <c:pt idx="1479">
                  <c:v>1.0799443089386971E-3</c:v>
                </c:pt>
                <c:pt idx="1480">
                  <c:v>6.1476191457152162E-4</c:v>
                </c:pt>
                <c:pt idx="1481">
                  <c:v>1.2451087766581766E-3</c:v>
                </c:pt>
                <c:pt idx="1482">
                  <c:v>5.8114813618149249E-4</c:v>
                </c:pt>
                <c:pt idx="1483">
                  <c:v>3.5244887079900137E-4</c:v>
                </c:pt>
                <c:pt idx="1484">
                  <c:v>4.1972058480599296E-4</c:v>
                </c:pt>
                <c:pt idx="1485">
                  <c:v>4.8109844865773825E-4</c:v>
                </c:pt>
                <c:pt idx="1486">
                  <c:v>5.6497401819434565E-4</c:v>
                </c:pt>
                <c:pt idx="1487">
                  <c:v>1.0375292098339407E-3</c:v>
                </c:pt>
                <c:pt idx="1488">
                  <c:v>1.2120124124531743E-4</c:v>
                </c:pt>
                <c:pt idx="1489">
                  <c:v>1.3046119842295694E-3</c:v>
                </c:pt>
                <c:pt idx="1490">
                  <c:v>7.7540580196463246E-4</c:v>
                </c:pt>
                <c:pt idx="1491">
                  <c:v>1.2528655382119513E-3</c:v>
                </c:pt>
                <c:pt idx="1492">
                  <c:v>7.2930978472360167E-4</c:v>
                </c:pt>
                <c:pt idx="1493">
                  <c:v>6.5852758397501961E-4</c:v>
                </c:pt>
                <c:pt idx="1494">
                  <c:v>1.3674831660751246E-3</c:v>
                </c:pt>
                <c:pt idx="1495">
                  <c:v>3.2197038562971922E-4</c:v>
                </c:pt>
                <c:pt idx="1496">
                  <c:v>5.5614807082300058E-4</c:v>
                </c:pt>
                <c:pt idx="1497">
                  <c:v>1.0236886238220917E-3</c:v>
                </c:pt>
                <c:pt idx="1498">
                  <c:v>6.0318482562046088E-4</c:v>
                </c:pt>
                <c:pt idx="1499">
                  <c:v>7.4326445190921273E-4</c:v>
                </c:pt>
                <c:pt idx="1500">
                  <c:v>5.7813865100638494E-4</c:v>
                </c:pt>
                <c:pt idx="1501">
                  <c:v>9.5568547746214833E-4</c:v>
                </c:pt>
                <c:pt idx="1502">
                  <c:v>7.7007769769945743E-4</c:v>
                </c:pt>
                <c:pt idx="1503">
                  <c:v>5.8315883272169321E-4</c:v>
                </c:pt>
                <c:pt idx="1504">
                  <c:v>5.4465399641189318E-4</c:v>
                </c:pt>
                <c:pt idx="1505">
                  <c:v>1.0352564553792443E-3</c:v>
                </c:pt>
                <c:pt idx="1506">
                  <c:v>1.0882435961307889E-3</c:v>
                </c:pt>
                <c:pt idx="1507">
                  <c:v>8.9618174039290358E-4</c:v>
                </c:pt>
                <c:pt idx="1508">
                  <c:v>8.4247769844157596E-4</c:v>
                </c:pt>
                <c:pt idx="1509">
                  <c:v>8.2265545719590173E-4</c:v>
                </c:pt>
                <c:pt idx="1510">
                  <c:v>1.2438025688909981E-3</c:v>
                </c:pt>
                <c:pt idx="1511">
                  <c:v>1.0251451731889704E-3</c:v>
                </c:pt>
                <c:pt idx="1512">
                  <c:v>1.318971771095133E-3</c:v>
                </c:pt>
                <c:pt idx="1513">
                  <c:v>1.6768419664459376E-4</c:v>
                </c:pt>
                <c:pt idx="1514">
                  <c:v>1.0702311853377279E-3</c:v>
                </c:pt>
                <c:pt idx="1515">
                  <c:v>8.3506091052179445E-4</c:v>
                </c:pt>
                <c:pt idx="1516">
                  <c:v>7.8160775251172993E-4</c:v>
                </c:pt>
                <c:pt idx="1517">
                  <c:v>6.3098355603965778E-4</c:v>
                </c:pt>
                <c:pt idx="1518">
                  <c:v>3.7334406513318249E-4</c:v>
                </c:pt>
                <c:pt idx="1519">
                  <c:v>5.2224342707056655E-5</c:v>
                </c:pt>
                <c:pt idx="1520">
                  <c:v>9.8335871012172568E-4</c:v>
                </c:pt>
                <c:pt idx="1521">
                  <c:v>5.3077173611043181E-4</c:v>
                </c:pt>
                <c:pt idx="1522">
                  <c:v>1.038275684814181E-3</c:v>
                </c:pt>
                <c:pt idx="1523">
                  <c:v>1.0586548623483739E-3</c:v>
                </c:pt>
                <c:pt idx="1524">
                  <c:v>8.5627507262526516E-4</c:v>
                </c:pt>
                <c:pt idx="1525">
                  <c:v>2.9220079033800896E-4</c:v>
                </c:pt>
                <c:pt idx="1526">
                  <c:v>9.2050548566475316E-4</c:v>
                </c:pt>
                <c:pt idx="1527">
                  <c:v>7.1456680107796311E-4</c:v>
                </c:pt>
                <c:pt idx="1528">
                  <c:v>5.4542315372134529E-4</c:v>
                </c:pt>
                <c:pt idx="1529">
                  <c:v>4.590745776364407E-4</c:v>
                </c:pt>
                <c:pt idx="1530">
                  <c:v>8.6248842944880747E-4</c:v>
                </c:pt>
                <c:pt idx="1531">
                  <c:v>1.2866394897037641E-3</c:v>
                </c:pt>
                <c:pt idx="1532">
                  <c:v>1.8010208578821542E-3</c:v>
                </c:pt>
                <c:pt idx="1533">
                  <c:v>1.7859076225855512E-3</c:v>
                </c:pt>
                <c:pt idx="1534">
                  <c:v>4.8690179421609348E-4</c:v>
                </c:pt>
                <c:pt idx="1535">
                  <c:v>4.8990572835152656E-4</c:v>
                </c:pt>
                <c:pt idx="1536">
                  <c:v>7.0067121895878105E-4</c:v>
                </c:pt>
                <c:pt idx="1537">
                  <c:v>9.8608232883974308E-4</c:v>
                </c:pt>
                <c:pt idx="1538">
                  <c:v>8.331946729357233E-4</c:v>
                </c:pt>
                <c:pt idx="1539">
                  <c:v>5.4239105081345179E-4</c:v>
                </c:pt>
                <c:pt idx="1540">
                  <c:v>9.2974004469293802E-4</c:v>
                </c:pt>
                <c:pt idx="1541">
                  <c:v>1.5905735450695457E-4</c:v>
                </c:pt>
                <c:pt idx="1542">
                  <c:v>8.9148559008257527E-4</c:v>
                </c:pt>
                <c:pt idx="1543">
                  <c:v>8.909436030731789E-4</c:v>
                </c:pt>
                <c:pt idx="1544">
                  <c:v>3.5552303749002438E-4</c:v>
                </c:pt>
                <c:pt idx="1545">
                  <c:v>6.3261168801839664E-4</c:v>
                </c:pt>
                <c:pt idx="1546">
                  <c:v>5.6923793073949481E-4</c:v>
                </c:pt>
                <c:pt idx="1547">
                  <c:v>8.6011023754955184E-4</c:v>
                </c:pt>
                <c:pt idx="1548">
                  <c:v>1.2506467790204269E-3</c:v>
                </c:pt>
                <c:pt idx="1549">
                  <c:v>4.6902585599825235E-4</c:v>
                </c:pt>
                <c:pt idx="1550">
                  <c:v>7.6886276934276477E-4</c:v>
                </c:pt>
                <c:pt idx="1551">
                  <c:v>5.7776036711027661E-4</c:v>
                </c:pt>
                <c:pt idx="1552">
                  <c:v>7.1201402079955735E-4</c:v>
                </c:pt>
                <c:pt idx="1553">
                  <c:v>7.8805807706179619E-4</c:v>
                </c:pt>
                <c:pt idx="1554">
                  <c:v>1.2123357439034321E-3</c:v>
                </c:pt>
                <c:pt idx="1555">
                  <c:v>1.1630015908097079E-3</c:v>
                </c:pt>
                <c:pt idx="1556">
                  <c:v>8.448886139892927E-4</c:v>
                </c:pt>
                <c:pt idx="1557">
                  <c:v>1.1856172002314002E-3</c:v>
                </c:pt>
                <c:pt idx="1558">
                  <c:v>5.2047500917649871E-4</c:v>
                </c:pt>
                <c:pt idx="1559">
                  <c:v>6.5518630503689926E-4</c:v>
                </c:pt>
                <c:pt idx="1560">
                  <c:v>3.7814333848899514E-4</c:v>
                </c:pt>
                <c:pt idx="1561">
                  <c:v>1.1159321960380981E-3</c:v>
                </c:pt>
                <c:pt idx="1562">
                  <c:v>4.9853516835160938E-4</c:v>
                </c:pt>
                <c:pt idx="1563">
                  <c:v>6.4324733381795332E-4</c:v>
                </c:pt>
                <c:pt idx="1564">
                  <c:v>1.3267730035366448E-3</c:v>
                </c:pt>
                <c:pt idx="1565">
                  <c:v>6.8648587672499308E-4</c:v>
                </c:pt>
                <c:pt idx="1566">
                  <c:v>4.203680927144203E-4</c:v>
                </c:pt>
                <c:pt idx="1567">
                  <c:v>7.3779239105795926E-4</c:v>
                </c:pt>
                <c:pt idx="1568">
                  <c:v>9.6001888434253603E-4</c:v>
                </c:pt>
                <c:pt idx="1569">
                  <c:v>8.5763780020649283E-4</c:v>
                </c:pt>
                <c:pt idx="1570">
                  <c:v>1.2251525538990037E-3</c:v>
                </c:pt>
                <c:pt idx="1571">
                  <c:v>3.4817119382625581E-4</c:v>
                </c:pt>
                <c:pt idx="1572">
                  <c:v>8.9615399853699214E-4</c:v>
                </c:pt>
                <c:pt idx="1573">
                  <c:v>5.976202209017319E-4</c:v>
                </c:pt>
                <c:pt idx="1574">
                  <c:v>7.9127482604169123E-4</c:v>
                </c:pt>
                <c:pt idx="1575">
                  <c:v>9.5088974640632109E-4</c:v>
                </c:pt>
                <c:pt idx="1576">
                  <c:v>2.0539897878875583E-4</c:v>
                </c:pt>
                <c:pt idx="1577">
                  <c:v>1.6945795628286655E-3</c:v>
                </c:pt>
                <c:pt idx="1578">
                  <c:v>2.766985730913421E-4</c:v>
                </c:pt>
                <c:pt idx="1579">
                  <c:v>6.5150109787858509E-4</c:v>
                </c:pt>
                <c:pt idx="1580">
                  <c:v>6.4335836241224205E-4</c:v>
                </c:pt>
                <c:pt idx="1581">
                  <c:v>8.6821147445555983E-4</c:v>
                </c:pt>
                <c:pt idx="1582">
                  <c:v>3.9428616413172773E-4</c:v>
                </c:pt>
                <c:pt idx="1583">
                  <c:v>1.0482471172816716E-3</c:v>
                </c:pt>
                <c:pt idx="1584">
                  <c:v>1.0425633217587241E-3</c:v>
                </c:pt>
                <c:pt idx="1585">
                  <c:v>1.0192415948239424E-3</c:v>
                </c:pt>
                <c:pt idx="1586">
                  <c:v>3.3409187757236857E-4</c:v>
                </c:pt>
                <c:pt idx="1587">
                  <c:v>8.5353148989798268E-4</c:v>
                </c:pt>
                <c:pt idx="1588">
                  <c:v>1.0964890161683318E-3</c:v>
                </c:pt>
                <c:pt idx="1589">
                  <c:v>5.2080843659528216E-4</c:v>
                </c:pt>
                <c:pt idx="1590">
                  <c:v>9.2821856831946708E-4</c:v>
                </c:pt>
                <c:pt idx="1591">
                  <c:v>8.3862562371635402E-4</c:v>
                </c:pt>
                <c:pt idx="1592">
                  <c:v>1.100760731737326E-3</c:v>
                </c:pt>
                <c:pt idx="1593">
                  <c:v>9.7163488564755212E-4</c:v>
                </c:pt>
                <c:pt idx="1594">
                  <c:v>7.5431332682625383E-4</c:v>
                </c:pt>
                <c:pt idx="1595">
                  <c:v>6.2495205385515885E-4</c:v>
                </c:pt>
                <c:pt idx="1596">
                  <c:v>1.360623077010907E-3</c:v>
                </c:pt>
                <c:pt idx="1597">
                  <c:v>1.3576322156600225E-3</c:v>
                </c:pt>
                <c:pt idx="1598">
                  <c:v>8.1353735889811297E-4</c:v>
                </c:pt>
                <c:pt idx="1599">
                  <c:v>1.3886145631813755E-3</c:v>
                </c:pt>
                <c:pt idx="1600">
                  <c:v>1.1405791112283046E-3</c:v>
                </c:pt>
                <c:pt idx="1601">
                  <c:v>7.5416020389834745E-4</c:v>
                </c:pt>
                <c:pt idx="1602">
                  <c:v>4.3144162672208928E-4</c:v>
                </c:pt>
                <c:pt idx="1603">
                  <c:v>9.5816300958076668E-4</c:v>
                </c:pt>
                <c:pt idx="1604">
                  <c:v>3.410587050680572E-4</c:v>
                </c:pt>
                <c:pt idx="1605">
                  <c:v>3.2588115148962031E-4</c:v>
                </c:pt>
                <c:pt idx="1606">
                  <c:v>8.0075831302007855E-4</c:v>
                </c:pt>
                <c:pt idx="1607">
                  <c:v>9.7028141065984915E-4</c:v>
                </c:pt>
                <c:pt idx="1608">
                  <c:v>4.6291813868202923E-4</c:v>
                </c:pt>
                <c:pt idx="1609">
                  <c:v>6.3629929501762101E-4</c:v>
                </c:pt>
                <c:pt idx="1610">
                  <c:v>1.3183083235644457E-3</c:v>
                </c:pt>
                <c:pt idx="1611">
                  <c:v>5.286230616348888E-4</c:v>
                </c:pt>
                <c:pt idx="1612">
                  <c:v>6.4451923186823758E-4</c:v>
                </c:pt>
                <c:pt idx="1613">
                  <c:v>1.0067877433326607E-3</c:v>
                </c:pt>
                <c:pt idx="1614">
                  <c:v>7.1092869942729244E-4</c:v>
                </c:pt>
                <c:pt idx="1615">
                  <c:v>1.4215585619581626E-3</c:v>
                </c:pt>
                <c:pt idx="1616">
                  <c:v>7.3173669502960914E-4</c:v>
                </c:pt>
                <c:pt idx="1617">
                  <c:v>4.2828234849402502E-4</c:v>
                </c:pt>
                <c:pt idx="1618">
                  <c:v>6.7497650717854979E-4</c:v>
                </c:pt>
                <c:pt idx="1619">
                  <c:v>9.8844630399992509E-4</c:v>
                </c:pt>
                <c:pt idx="1620">
                  <c:v>8.6189673607871644E-4</c:v>
                </c:pt>
                <c:pt idx="1621">
                  <c:v>1.2418135547996921E-3</c:v>
                </c:pt>
                <c:pt idx="1622">
                  <c:v>6.2232643233978212E-4</c:v>
                </c:pt>
                <c:pt idx="1623">
                  <c:v>7.5786591710442261E-4</c:v>
                </c:pt>
                <c:pt idx="1624">
                  <c:v>4.883683803679614E-4</c:v>
                </c:pt>
                <c:pt idx="1625">
                  <c:v>9.3412882714730399E-4</c:v>
                </c:pt>
                <c:pt idx="1626">
                  <c:v>7.6592519946633785E-4</c:v>
                </c:pt>
                <c:pt idx="1627">
                  <c:v>9.0759195693459246E-4</c:v>
                </c:pt>
                <c:pt idx="1628">
                  <c:v>8.0189647659170216E-4</c:v>
                </c:pt>
                <c:pt idx="1629">
                  <c:v>8.3752187034901544E-4</c:v>
                </c:pt>
                <c:pt idx="1630">
                  <c:v>9.8806739067755348E-4</c:v>
                </c:pt>
                <c:pt idx="1631">
                  <c:v>1.1427736885457169E-3</c:v>
                </c:pt>
                <c:pt idx="1632">
                  <c:v>9.8708933119532813E-4</c:v>
                </c:pt>
                <c:pt idx="1633">
                  <c:v>1.174130499707683E-3</c:v>
                </c:pt>
                <c:pt idx="1634">
                  <c:v>7.8811845463492029E-4</c:v>
                </c:pt>
                <c:pt idx="1635">
                  <c:v>6.58336592252836E-4</c:v>
                </c:pt>
                <c:pt idx="1636">
                  <c:v>1.0583520745169636E-3</c:v>
                </c:pt>
                <c:pt idx="1637">
                  <c:v>6.1019645307354908E-4</c:v>
                </c:pt>
                <c:pt idx="1638">
                  <c:v>6.9085784128342315E-4</c:v>
                </c:pt>
                <c:pt idx="1639">
                  <c:v>5.4656186369024171E-4</c:v>
                </c:pt>
                <c:pt idx="1640">
                  <c:v>1.1852210727858765E-3</c:v>
                </c:pt>
                <c:pt idx="1641">
                  <c:v>8.9505544984277432E-4</c:v>
                </c:pt>
                <c:pt idx="1642">
                  <c:v>9.36483951635885E-4</c:v>
                </c:pt>
                <c:pt idx="1643">
                  <c:v>5.9119719928480547E-4</c:v>
                </c:pt>
                <c:pt idx="1644">
                  <c:v>8.327575447292689E-4</c:v>
                </c:pt>
                <c:pt idx="1645">
                  <c:v>7.7459020574921825E-4</c:v>
                </c:pt>
                <c:pt idx="1646">
                  <c:v>5.0630392478011787E-4</c:v>
                </c:pt>
                <c:pt idx="1647">
                  <c:v>9.3976760480854319E-4</c:v>
                </c:pt>
                <c:pt idx="1648">
                  <c:v>1.0127991386840081E-3</c:v>
                </c:pt>
                <c:pt idx="1649">
                  <c:v>7.1244861793424367E-4</c:v>
                </c:pt>
                <c:pt idx="1650">
                  <c:v>1.1212880123547249E-3</c:v>
                </c:pt>
                <c:pt idx="1651">
                  <c:v>7.6466046838973012E-4</c:v>
                </c:pt>
                <c:pt idx="1652">
                  <c:v>8.242136667682209E-4</c:v>
                </c:pt>
                <c:pt idx="1653">
                  <c:v>8.9347691562528385E-4</c:v>
                </c:pt>
                <c:pt idx="1654">
                  <c:v>7.4803189730999076E-4</c:v>
                </c:pt>
                <c:pt idx="1655">
                  <c:v>8.2338952671211208E-4</c:v>
                </c:pt>
                <c:pt idx="1656">
                  <c:v>1.3042355743950083E-3</c:v>
                </c:pt>
                <c:pt idx="1657">
                  <c:v>5.7362112065237683E-4</c:v>
                </c:pt>
                <c:pt idx="1658">
                  <c:v>1.0352446305097267E-3</c:v>
                </c:pt>
                <c:pt idx="1659">
                  <c:v>9.3465543846133294E-4</c:v>
                </c:pt>
                <c:pt idx="1660">
                  <c:v>1.0549706188343192E-3</c:v>
                </c:pt>
                <c:pt idx="1661">
                  <c:v>8.9739883378838121E-4</c:v>
                </c:pt>
                <c:pt idx="1662">
                  <c:v>9.3136485722949015E-4</c:v>
                </c:pt>
                <c:pt idx="1663">
                  <c:v>1.109433877216805E-3</c:v>
                </c:pt>
                <c:pt idx="1664">
                  <c:v>8.4068429385556701E-4</c:v>
                </c:pt>
                <c:pt idx="1665">
                  <c:v>6.4389078063635562E-4</c:v>
                </c:pt>
                <c:pt idx="1666">
                  <c:v>1.2747890358974546E-3</c:v>
                </c:pt>
                <c:pt idx="1667">
                  <c:v>6.9627182087897443E-4</c:v>
                </c:pt>
                <c:pt idx="1668">
                  <c:v>6.6829192462169724E-4</c:v>
                </c:pt>
                <c:pt idx="1669">
                  <c:v>1.033096465065077E-3</c:v>
                </c:pt>
                <c:pt idx="1670">
                  <c:v>4.2420281781330854E-4</c:v>
                </c:pt>
                <c:pt idx="1671">
                  <c:v>7.6059175944141136E-4</c:v>
                </c:pt>
                <c:pt idx="1672">
                  <c:v>4.3701428979492444E-4</c:v>
                </c:pt>
                <c:pt idx="1673">
                  <c:v>6.6152016941396752E-4</c:v>
                </c:pt>
                <c:pt idx="1674">
                  <c:v>1.1985928350195518E-3</c:v>
                </c:pt>
                <c:pt idx="1675">
                  <c:v>9.6889197314948086E-4</c:v>
                </c:pt>
                <c:pt idx="1676">
                  <c:v>1.357504134532153E-3</c:v>
                </c:pt>
                <c:pt idx="1677">
                  <c:v>4.2853674121658218E-4</c:v>
                </c:pt>
                <c:pt idx="1678">
                  <c:v>5.3720680689585919E-4</c:v>
                </c:pt>
                <c:pt idx="1679">
                  <c:v>1.0778104746296225E-3</c:v>
                </c:pt>
                <c:pt idx="1680">
                  <c:v>5.5025063504613619E-4</c:v>
                </c:pt>
                <c:pt idx="1681">
                  <c:v>1.0980580906363722E-3</c:v>
                </c:pt>
                <c:pt idx="1682">
                  <c:v>5.0887690476696817E-4</c:v>
                </c:pt>
                <c:pt idx="1683">
                  <c:v>1.0207929156900767E-3</c:v>
                </c:pt>
                <c:pt idx="1684">
                  <c:v>9.1502872240720829E-4</c:v>
                </c:pt>
                <c:pt idx="1685">
                  <c:v>7.9988938756219308E-4</c:v>
                </c:pt>
                <c:pt idx="1686">
                  <c:v>1.0027992092403379E-3</c:v>
                </c:pt>
                <c:pt idx="1687">
                  <c:v>1.3047964298663849E-3</c:v>
                </c:pt>
                <c:pt idx="1688">
                  <c:v>5.5379631753764544E-4</c:v>
                </c:pt>
                <c:pt idx="1689">
                  <c:v>6.9325261988647819E-4</c:v>
                </c:pt>
                <c:pt idx="1690">
                  <c:v>9.4731605625267886E-4</c:v>
                </c:pt>
                <c:pt idx="1691">
                  <c:v>1.0413587560415517E-3</c:v>
                </c:pt>
                <c:pt idx="1692">
                  <c:v>6.815730066709807E-4</c:v>
                </c:pt>
                <c:pt idx="1693">
                  <c:v>1.2067451936290841E-3</c:v>
                </c:pt>
                <c:pt idx="1694">
                  <c:v>9.9004239151458985E-4</c:v>
                </c:pt>
                <c:pt idx="1695">
                  <c:v>5.0704456990455606E-4</c:v>
                </c:pt>
                <c:pt idx="1696">
                  <c:v>8.2563728362663319E-4</c:v>
                </c:pt>
                <c:pt idx="1697">
                  <c:v>6.512715733510392E-4</c:v>
                </c:pt>
                <c:pt idx="1698">
                  <c:v>2.560619333282345E-4</c:v>
                </c:pt>
                <c:pt idx="1699">
                  <c:v>8.8381412179903756E-4</c:v>
                </c:pt>
                <c:pt idx="1700">
                  <c:v>7.1695876078158277E-4</c:v>
                </c:pt>
                <c:pt idx="1701">
                  <c:v>1.1343977507576879E-3</c:v>
                </c:pt>
                <c:pt idx="1702">
                  <c:v>4.637001812572566E-4</c:v>
                </c:pt>
                <c:pt idx="1703">
                  <c:v>1.0551434546530367E-3</c:v>
                </c:pt>
                <c:pt idx="1704">
                  <c:v>1.1756238767351339E-3</c:v>
                </c:pt>
                <c:pt idx="1705">
                  <c:v>2.5630723137063836E-4</c:v>
                </c:pt>
                <c:pt idx="1706">
                  <c:v>3.3450375094801871E-5</c:v>
                </c:pt>
                <c:pt idx="1707">
                  <c:v>7.5281803979680424E-4</c:v>
                </c:pt>
                <c:pt idx="1708">
                  <c:v>1.3525398254947689E-3</c:v>
                </c:pt>
                <c:pt idx="1709">
                  <c:v>9.2456612236878073E-4</c:v>
                </c:pt>
                <c:pt idx="1710">
                  <c:v>7.7512089119558892E-4</c:v>
                </c:pt>
                <c:pt idx="1711">
                  <c:v>9.5175516908115878E-4</c:v>
                </c:pt>
                <c:pt idx="1712">
                  <c:v>9.3589248664346979E-4</c:v>
                </c:pt>
                <c:pt idx="1713">
                  <c:v>4.0926006608486078E-4</c:v>
                </c:pt>
                <c:pt idx="1714">
                  <c:v>1.1342677134180286E-3</c:v>
                </c:pt>
                <c:pt idx="1715">
                  <c:v>8.027352746035278E-4</c:v>
                </c:pt>
                <c:pt idx="1716">
                  <c:v>5.7952920568801855E-4</c:v>
                </c:pt>
                <c:pt idx="1717">
                  <c:v>3.8368394785693065E-4</c:v>
                </c:pt>
                <c:pt idx="1718">
                  <c:v>9.9925091175236775E-4</c:v>
                </c:pt>
                <c:pt idx="1719">
                  <c:v>7.3552574159607708E-4</c:v>
                </c:pt>
                <c:pt idx="1720">
                  <c:v>8.5868941087350649E-4</c:v>
                </c:pt>
                <c:pt idx="1721">
                  <c:v>1.3462659921100182E-3</c:v>
                </c:pt>
                <c:pt idx="1722">
                  <c:v>7.6691268742383131E-4</c:v>
                </c:pt>
                <c:pt idx="1723">
                  <c:v>8.3748053376409904E-4</c:v>
                </c:pt>
                <c:pt idx="1724">
                  <c:v>1.2945102774330989E-3</c:v>
                </c:pt>
                <c:pt idx="1725">
                  <c:v>1.0991207707220011E-3</c:v>
                </c:pt>
                <c:pt idx="1726">
                  <c:v>2.0182068531771058E-4</c:v>
                </c:pt>
                <c:pt idx="1727">
                  <c:v>5.5328586839698533E-4</c:v>
                </c:pt>
                <c:pt idx="1728">
                  <c:v>1.182750013276367E-3</c:v>
                </c:pt>
                <c:pt idx="1729">
                  <c:v>7.4199613460915561E-4</c:v>
                </c:pt>
                <c:pt idx="1730">
                  <c:v>7.4204178109416562E-4</c:v>
                </c:pt>
                <c:pt idx="1731">
                  <c:v>4.0946047219975125E-4</c:v>
                </c:pt>
                <c:pt idx="1732">
                  <c:v>8.0138694992618064E-4</c:v>
                </c:pt>
                <c:pt idx="1733">
                  <c:v>1.4392254890186874E-3</c:v>
                </c:pt>
                <c:pt idx="1734">
                  <c:v>9.3138610556189069E-4</c:v>
                </c:pt>
                <c:pt idx="1735">
                  <c:v>8.6955396062819051E-4</c:v>
                </c:pt>
                <c:pt idx="1736">
                  <c:v>4.6467424827159761E-4</c:v>
                </c:pt>
                <c:pt idx="1737">
                  <c:v>6.416599468438409E-4</c:v>
                </c:pt>
                <c:pt idx="1738">
                  <c:v>8.7409561195393953E-4</c:v>
                </c:pt>
                <c:pt idx="1739">
                  <c:v>9.9087808816581617E-4</c:v>
                </c:pt>
                <c:pt idx="1740">
                  <c:v>1.1117909091618414E-3</c:v>
                </c:pt>
                <c:pt idx="1741">
                  <c:v>7.6691055005720561E-4</c:v>
                </c:pt>
                <c:pt idx="1742">
                  <c:v>5.452161834027748E-4</c:v>
                </c:pt>
                <c:pt idx="1743">
                  <c:v>1.0134994901810697E-3</c:v>
                </c:pt>
                <c:pt idx="1744">
                  <c:v>1.6564537041874956E-3</c:v>
                </c:pt>
                <c:pt idx="1745">
                  <c:v>1.1549968155147713E-3</c:v>
                </c:pt>
                <c:pt idx="1746">
                  <c:v>6.0592954056492025E-4</c:v>
                </c:pt>
                <c:pt idx="1747">
                  <c:v>9.2669574511869087E-4</c:v>
                </c:pt>
                <c:pt idx="1748">
                  <c:v>1.0458340951505492E-3</c:v>
                </c:pt>
                <c:pt idx="1749">
                  <c:v>1.0492482065012105E-3</c:v>
                </c:pt>
                <c:pt idx="1750">
                  <c:v>8.3781563259943941E-4</c:v>
                </c:pt>
                <c:pt idx="1751">
                  <c:v>1.459123048856218E-3</c:v>
                </c:pt>
                <c:pt idx="1752">
                  <c:v>8.0448277243913514E-4</c:v>
                </c:pt>
                <c:pt idx="1753">
                  <c:v>1.259690155173659E-3</c:v>
                </c:pt>
                <c:pt idx="1754">
                  <c:v>9.0861092532266681E-4</c:v>
                </c:pt>
                <c:pt idx="1755">
                  <c:v>6.7155980614399147E-4</c:v>
                </c:pt>
                <c:pt idx="1756">
                  <c:v>5.3044730119523637E-4</c:v>
                </c:pt>
                <c:pt idx="1757">
                  <c:v>1.0196845467020685E-3</c:v>
                </c:pt>
                <c:pt idx="1758">
                  <c:v>6.8424482871546613E-4</c:v>
                </c:pt>
                <c:pt idx="1759">
                  <c:v>1.2766867866239459E-3</c:v>
                </c:pt>
                <c:pt idx="1760">
                  <c:v>4.1356032319714016E-4</c:v>
                </c:pt>
                <c:pt idx="1761">
                  <c:v>5.6270071363515072E-4</c:v>
                </c:pt>
                <c:pt idx="1762">
                  <c:v>1.1694568770602755E-3</c:v>
                </c:pt>
                <c:pt idx="1763">
                  <c:v>8.6898778259855572E-4</c:v>
                </c:pt>
                <c:pt idx="1764">
                  <c:v>7.7617971268591625E-4</c:v>
                </c:pt>
                <c:pt idx="1765">
                  <c:v>9.6942796408031951E-4</c:v>
                </c:pt>
                <c:pt idx="1766">
                  <c:v>9.2777084523387808E-4</c:v>
                </c:pt>
                <c:pt idx="1767">
                  <c:v>1.2561316082190467E-3</c:v>
                </c:pt>
                <c:pt idx="1768">
                  <c:v>8.911825588223737E-4</c:v>
                </c:pt>
                <c:pt idx="1769">
                  <c:v>1.1215234318907622E-3</c:v>
                </c:pt>
                <c:pt idx="1770">
                  <c:v>9.1817559969137308E-4</c:v>
                </c:pt>
                <c:pt idx="1771">
                  <c:v>5.236590215182363E-4</c:v>
                </c:pt>
                <c:pt idx="1772">
                  <c:v>5.6496763941763287E-4</c:v>
                </c:pt>
                <c:pt idx="1773">
                  <c:v>1.1773997284816149E-3</c:v>
                </c:pt>
                <c:pt idx="1774">
                  <c:v>5.9522084591973913E-4</c:v>
                </c:pt>
                <c:pt idx="1775">
                  <c:v>9.0975236365778032E-4</c:v>
                </c:pt>
                <c:pt idx="1776">
                  <c:v>3.2931354538265838E-4</c:v>
                </c:pt>
                <c:pt idx="1777">
                  <c:v>4.4305033804173307E-4</c:v>
                </c:pt>
                <c:pt idx="1778">
                  <c:v>5.0646503496910855E-4</c:v>
                </c:pt>
                <c:pt idx="1779">
                  <c:v>4.8571685988716752E-4</c:v>
                </c:pt>
                <c:pt idx="1780">
                  <c:v>9.1746274731669059E-4</c:v>
                </c:pt>
                <c:pt idx="1781">
                  <c:v>4.3380940295376156E-4</c:v>
                </c:pt>
                <c:pt idx="1782">
                  <c:v>1.2172903709025988E-3</c:v>
                </c:pt>
                <c:pt idx="1783">
                  <c:v>8.2322747852455044E-4</c:v>
                </c:pt>
                <c:pt idx="1784">
                  <c:v>9.7876595833290905E-4</c:v>
                </c:pt>
                <c:pt idx="1785">
                  <c:v>1.0010508995779784E-3</c:v>
                </c:pt>
                <c:pt idx="1786">
                  <c:v>7.6059371739189757E-4</c:v>
                </c:pt>
                <c:pt idx="1787">
                  <c:v>1.1917961780491847E-3</c:v>
                </c:pt>
                <c:pt idx="1788">
                  <c:v>9.9860046226782849E-4</c:v>
                </c:pt>
                <c:pt idx="1789">
                  <c:v>1.1208153335555517E-3</c:v>
                </c:pt>
                <c:pt idx="1790">
                  <c:v>9.6857061441545469E-4</c:v>
                </c:pt>
                <c:pt idx="1791">
                  <c:v>8.0227013134909534E-4</c:v>
                </c:pt>
                <c:pt idx="1792">
                  <c:v>8.7469889160792197E-4</c:v>
                </c:pt>
                <c:pt idx="1793">
                  <c:v>6.8350000072804856E-4</c:v>
                </c:pt>
                <c:pt idx="1794">
                  <c:v>4.2817654504051592E-4</c:v>
                </c:pt>
                <c:pt idx="1795">
                  <c:v>8.8269300631059033E-4</c:v>
                </c:pt>
                <c:pt idx="1796">
                  <c:v>7.0780096853786175E-4</c:v>
                </c:pt>
                <c:pt idx="1797">
                  <c:v>4.1760426285452094E-4</c:v>
                </c:pt>
                <c:pt idx="1798">
                  <c:v>1.0185298674819467E-3</c:v>
                </c:pt>
                <c:pt idx="1799">
                  <c:v>7.4563592171465526E-4</c:v>
                </c:pt>
                <c:pt idx="1800">
                  <c:v>1.2157732130805275E-3</c:v>
                </c:pt>
                <c:pt idx="1801">
                  <c:v>9.4894451559059307E-4</c:v>
                </c:pt>
                <c:pt idx="1802">
                  <c:v>6.3569333732025485E-4</c:v>
                </c:pt>
                <c:pt idx="1803">
                  <c:v>6.7445834654680629E-4</c:v>
                </c:pt>
                <c:pt idx="1804">
                  <c:v>8.6254332696478707E-4</c:v>
                </c:pt>
                <c:pt idx="1805">
                  <c:v>1.1301060498108378E-3</c:v>
                </c:pt>
                <c:pt idx="1806">
                  <c:v>4.5142364967125094E-4</c:v>
                </c:pt>
                <c:pt idx="1807">
                  <c:v>3.4190133029125678E-4</c:v>
                </c:pt>
                <c:pt idx="1808">
                  <c:v>1.2298972023850661E-3</c:v>
                </c:pt>
                <c:pt idx="1809">
                  <c:v>5.8907913977326355E-4</c:v>
                </c:pt>
                <c:pt idx="1810">
                  <c:v>6.0375714944498982E-4</c:v>
                </c:pt>
                <c:pt idx="1811">
                  <c:v>1.076861907333277E-3</c:v>
                </c:pt>
                <c:pt idx="1812">
                  <c:v>3.5082064066232615E-4</c:v>
                </c:pt>
                <c:pt idx="1813">
                  <c:v>5.6685229388205949E-4</c:v>
                </c:pt>
                <c:pt idx="1814">
                  <c:v>1.3054085580461367E-3</c:v>
                </c:pt>
                <c:pt idx="1815">
                  <c:v>8.8378396186197762E-4</c:v>
                </c:pt>
                <c:pt idx="1816">
                  <c:v>8.3315714942334485E-4</c:v>
                </c:pt>
                <c:pt idx="1817">
                  <c:v>1.0024014632866035E-3</c:v>
                </c:pt>
                <c:pt idx="1818">
                  <c:v>1.1362142520919512E-3</c:v>
                </c:pt>
                <c:pt idx="1819">
                  <c:v>6.5928162854742272E-4</c:v>
                </c:pt>
                <c:pt idx="1820">
                  <c:v>5.4946160944652363E-4</c:v>
                </c:pt>
                <c:pt idx="1821">
                  <c:v>9.0478683864206018E-4</c:v>
                </c:pt>
                <c:pt idx="1822">
                  <c:v>1.0584525636460008E-3</c:v>
                </c:pt>
                <c:pt idx="1823">
                  <c:v>1.0905694257280646E-3</c:v>
                </c:pt>
                <c:pt idx="1824">
                  <c:v>1.2420523560979038E-3</c:v>
                </c:pt>
                <c:pt idx="1825">
                  <c:v>7.0077497241112518E-4</c:v>
                </c:pt>
                <c:pt idx="1826">
                  <c:v>7.1018793304715108E-4</c:v>
                </c:pt>
                <c:pt idx="1827">
                  <c:v>1.1840492009765067E-3</c:v>
                </c:pt>
                <c:pt idx="1828">
                  <c:v>1.4186049906243982E-3</c:v>
                </c:pt>
                <c:pt idx="1829">
                  <c:v>8.8842002200764712E-4</c:v>
                </c:pt>
                <c:pt idx="1830">
                  <c:v>3.2008199254224268E-4</c:v>
                </c:pt>
                <c:pt idx="1831">
                  <c:v>3.6030447124594069E-4</c:v>
                </c:pt>
                <c:pt idx="1832">
                  <c:v>1.1171434430480426E-3</c:v>
                </c:pt>
                <c:pt idx="1833">
                  <c:v>9.0670614669490065E-4</c:v>
                </c:pt>
                <c:pt idx="1834">
                  <c:v>1.3253440536974835E-3</c:v>
                </c:pt>
                <c:pt idx="1835">
                  <c:v>6.7851100731374718E-4</c:v>
                </c:pt>
                <c:pt idx="1836">
                  <c:v>1.1963747295295475E-3</c:v>
                </c:pt>
                <c:pt idx="1837">
                  <c:v>7.7923039836712586E-4</c:v>
                </c:pt>
                <c:pt idx="1838">
                  <c:v>8.9930424025229958E-4</c:v>
                </c:pt>
                <c:pt idx="1839">
                  <c:v>7.8241739016794232E-4</c:v>
                </c:pt>
                <c:pt idx="1840">
                  <c:v>1.2998942292505569E-3</c:v>
                </c:pt>
                <c:pt idx="1841">
                  <c:v>1.2842776857742047E-3</c:v>
                </c:pt>
                <c:pt idx="1842">
                  <c:v>6.7458492124145486E-4</c:v>
                </c:pt>
                <c:pt idx="1843">
                  <c:v>9.2708688368108581E-4</c:v>
                </c:pt>
                <c:pt idx="1844">
                  <c:v>9.8933030569671519E-4</c:v>
                </c:pt>
                <c:pt idx="1845">
                  <c:v>9.262885418593503E-4</c:v>
                </c:pt>
                <c:pt idx="1846">
                  <c:v>1.0038887428045794E-3</c:v>
                </c:pt>
                <c:pt idx="1847">
                  <c:v>1.1514991825118053E-4</c:v>
                </c:pt>
                <c:pt idx="1848">
                  <c:v>8.1863487675599381E-4</c:v>
                </c:pt>
                <c:pt idx="1849">
                  <c:v>1.1603168220313805E-3</c:v>
                </c:pt>
                <c:pt idx="1850">
                  <c:v>9.2643967638093871E-4</c:v>
                </c:pt>
                <c:pt idx="1851">
                  <c:v>1.0645236695349769E-3</c:v>
                </c:pt>
                <c:pt idx="1852">
                  <c:v>6.9955055648636877E-4</c:v>
                </c:pt>
                <c:pt idx="1853">
                  <c:v>5.0584019216974802E-5</c:v>
                </c:pt>
                <c:pt idx="1854">
                  <c:v>6.3129073823997496E-4</c:v>
                </c:pt>
                <c:pt idx="1855">
                  <c:v>9.4202148238946239E-4</c:v>
                </c:pt>
                <c:pt idx="1856">
                  <c:v>3.4181759898171585E-4</c:v>
                </c:pt>
                <c:pt idx="1857">
                  <c:v>8.6870206899117438E-4</c:v>
                </c:pt>
                <c:pt idx="1858">
                  <c:v>1.4209590633459319E-3</c:v>
                </c:pt>
                <c:pt idx="1859">
                  <c:v>1.0639128780816319E-3</c:v>
                </c:pt>
                <c:pt idx="1860">
                  <c:v>7.2705715113691421E-4</c:v>
                </c:pt>
                <c:pt idx="1861">
                  <c:v>8.1585750206742585E-4</c:v>
                </c:pt>
                <c:pt idx="1862">
                  <c:v>9.6501291810282782E-4</c:v>
                </c:pt>
                <c:pt idx="1863">
                  <c:v>7.5974164461572753E-4</c:v>
                </c:pt>
                <c:pt idx="1864">
                  <c:v>1.1894115860303402E-3</c:v>
                </c:pt>
                <c:pt idx="1865">
                  <c:v>8.9635060673024403E-4</c:v>
                </c:pt>
                <c:pt idx="1866">
                  <c:v>1.1543016947082182E-3</c:v>
                </c:pt>
                <c:pt idx="1867">
                  <c:v>4.2652980272570403E-4</c:v>
                </c:pt>
                <c:pt idx="1868">
                  <c:v>1.0172302699464071E-3</c:v>
                </c:pt>
                <c:pt idx="1869">
                  <c:v>5.0635910769872164E-4</c:v>
                </c:pt>
                <c:pt idx="1870">
                  <c:v>7.6577419999679104E-4</c:v>
                </c:pt>
                <c:pt idx="1871">
                  <c:v>1.0870335190823167E-3</c:v>
                </c:pt>
                <c:pt idx="1872">
                  <c:v>1.0660158540357939E-3</c:v>
                </c:pt>
                <c:pt idx="1873">
                  <c:v>7.6759869154980893E-4</c:v>
                </c:pt>
                <c:pt idx="1874">
                  <c:v>7.2712522724974725E-4</c:v>
                </c:pt>
                <c:pt idx="1875">
                  <c:v>8.9290873446244581E-4</c:v>
                </c:pt>
                <c:pt idx="1876">
                  <c:v>1.1893169875434833E-3</c:v>
                </c:pt>
                <c:pt idx="1877">
                  <c:v>5.0476544692137763E-4</c:v>
                </c:pt>
                <c:pt idx="1878">
                  <c:v>1.1148802472121322E-3</c:v>
                </c:pt>
                <c:pt idx="1879">
                  <c:v>4.8087329237978883E-4</c:v>
                </c:pt>
                <c:pt idx="1880">
                  <c:v>1.0462401880510853E-3</c:v>
                </c:pt>
                <c:pt idx="1881">
                  <c:v>1.072516570000566E-3</c:v>
                </c:pt>
                <c:pt idx="1882">
                  <c:v>6.4614959804968307E-4</c:v>
                </c:pt>
                <c:pt idx="1883">
                  <c:v>8.5672652952897442E-4</c:v>
                </c:pt>
                <c:pt idx="1884">
                  <c:v>8.261922502094596E-4</c:v>
                </c:pt>
                <c:pt idx="1885">
                  <c:v>7.4068899840651586E-4</c:v>
                </c:pt>
                <c:pt idx="1886">
                  <c:v>4.9923780033044756E-4</c:v>
                </c:pt>
                <c:pt idx="1887">
                  <c:v>1.3135566567286381E-3</c:v>
                </c:pt>
                <c:pt idx="1888">
                  <c:v>8.3223443731907597E-4</c:v>
                </c:pt>
                <c:pt idx="1889">
                  <c:v>6.411207193588184E-4</c:v>
                </c:pt>
                <c:pt idx="1890">
                  <c:v>6.5586504738112186E-4</c:v>
                </c:pt>
                <c:pt idx="1891">
                  <c:v>2.4813059400961379E-4</c:v>
                </c:pt>
                <c:pt idx="1892">
                  <c:v>1.9354059529910669E-4</c:v>
                </c:pt>
                <c:pt idx="1893">
                  <c:v>4.099961019497757E-4</c:v>
                </c:pt>
                <c:pt idx="1894">
                  <c:v>6.319000792820961E-4</c:v>
                </c:pt>
                <c:pt idx="1895">
                  <c:v>9.9790835524378257E-4</c:v>
                </c:pt>
                <c:pt idx="1896">
                  <c:v>5.585704705272363E-4</c:v>
                </c:pt>
                <c:pt idx="1897">
                  <c:v>7.3295748795705845E-4</c:v>
                </c:pt>
                <c:pt idx="1898">
                  <c:v>1.3519638561053458E-3</c:v>
                </c:pt>
                <c:pt idx="1899">
                  <c:v>5.2416378231844561E-4</c:v>
                </c:pt>
                <c:pt idx="1900">
                  <c:v>7.0808491258023381E-4</c:v>
                </c:pt>
                <c:pt idx="1901">
                  <c:v>9.259036430680315E-4</c:v>
                </c:pt>
                <c:pt idx="1902">
                  <c:v>1.0134244498849697E-3</c:v>
                </c:pt>
                <c:pt idx="1903">
                  <c:v>4.7663791331596905E-4</c:v>
                </c:pt>
                <c:pt idx="1904">
                  <c:v>1.1202020010812259E-3</c:v>
                </c:pt>
                <c:pt idx="1905">
                  <c:v>7.7294436931830198E-4</c:v>
                </c:pt>
                <c:pt idx="1906">
                  <c:v>7.663677804570602E-4</c:v>
                </c:pt>
                <c:pt idx="1907">
                  <c:v>8.5629822508522186E-4</c:v>
                </c:pt>
                <c:pt idx="1908">
                  <c:v>1.4308524086272005E-3</c:v>
                </c:pt>
                <c:pt idx="1909">
                  <c:v>5.5616598904998185E-4</c:v>
                </c:pt>
                <c:pt idx="1910">
                  <c:v>7.5614193257430326E-4</c:v>
                </c:pt>
                <c:pt idx="1911">
                  <c:v>1.0835943315452264E-3</c:v>
                </c:pt>
                <c:pt idx="1912">
                  <c:v>1.4072447317004389E-3</c:v>
                </c:pt>
                <c:pt idx="1913">
                  <c:v>4.5834669036777509E-4</c:v>
                </c:pt>
                <c:pt idx="1914">
                  <c:v>1.045003375080194E-3</c:v>
                </c:pt>
                <c:pt idx="1915">
                  <c:v>6.5820732133880979E-4</c:v>
                </c:pt>
                <c:pt idx="1916">
                  <c:v>6.0645111546296063E-4</c:v>
                </c:pt>
                <c:pt idx="1917">
                  <c:v>1.1139675229520853E-3</c:v>
                </c:pt>
                <c:pt idx="1918">
                  <c:v>7.6245428088166133E-4</c:v>
                </c:pt>
                <c:pt idx="1919">
                  <c:v>1.3251028163727844E-3</c:v>
                </c:pt>
                <c:pt idx="1920">
                  <c:v>1.258571489380115E-3</c:v>
                </c:pt>
                <c:pt idx="1921">
                  <c:v>1.5679106141938696E-3</c:v>
                </c:pt>
                <c:pt idx="1922">
                  <c:v>1.2245152231941875E-3</c:v>
                </c:pt>
                <c:pt idx="1923">
                  <c:v>7.8844388470135037E-4</c:v>
                </c:pt>
                <c:pt idx="1924">
                  <c:v>7.4375546430933493E-4</c:v>
                </c:pt>
                <c:pt idx="1925">
                  <c:v>9.4799616992151338E-4</c:v>
                </c:pt>
                <c:pt idx="1926">
                  <c:v>6.5479987782595349E-4</c:v>
                </c:pt>
                <c:pt idx="1927">
                  <c:v>1.0542672936378907E-3</c:v>
                </c:pt>
                <c:pt idx="1928">
                  <c:v>1.2455137964973934E-3</c:v>
                </c:pt>
                <c:pt idx="1929">
                  <c:v>6.3923309122253507E-4</c:v>
                </c:pt>
                <c:pt idx="1930">
                  <c:v>1.0437483577892196E-3</c:v>
                </c:pt>
                <c:pt idx="1931">
                  <c:v>1.4155669875218653E-3</c:v>
                </c:pt>
                <c:pt idx="1932">
                  <c:v>1.2219849028368027E-3</c:v>
                </c:pt>
                <c:pt idx="1933">
                  <c:v>4.7599826379617879E-4</c:v>
                </c:pt>
                <c:pt idx="1934">
                  <c:v>7.7011719275753201E-4</c:v>
                </c:pt>
                <c:pt idx="1935">
                  <c:v>9.3418721514951881E-4</c:v>
                </c:pt>
                <c:pt idx="1936">
                  <c:v>8.0658393031834649E-4</c:v>
                </c:pt>
                <c:pt idx="1937">
                  <c:v>1.4228472483233008E-3</c:v>
                </c:pt>
                <c:pt idx="1938">
                  <c:v>1.0372798844174643E-3</c:v>
                </c:pt>
                <c:pt idx="1939">
                  <c:v>7.206782360493451E-4</c:v>
                </c:pt>
                <c:pt idx="1940">
                  <c:v>5.1822471548291474E-4</c:v>
                </c:pt>
                <c:pt idx="1941">
                  <c:v>1.2728108839149784E-3</c:v>
                </c:pt>
                <c:pt idx="1942">
                  <c:v>4.3112807063074292E-4</c:v>
                </c:pt>
                <c:pt idx="1943">
                  <c:v>8.9271276425368642E-4</c:v>
                </c:pt>
                <c:pt idx="1944">
                  <c:v>2.233981094605989E-4</c:v>
                </c:pt>
                <c:pt idx="1945">
                  <c:v>1.0860703239976705E-3</c:v>
                </c:pt>
                <c:pt idx="1946">
                  <c:v>1.2381500101683338E-3</c:v>
                </c:pt>
                <c:pt idx="1947">
                  <c:v>8.7693609965343615E-4</c:v>
                </c:pt>
                <c:pt idx="1948">
                  <c:v>6.9802599105042544E-4</c:v>
                </c:pt>
                <c:pt idx="1949">
                  <c:v>8.9286689933269769E-4</c:v>
                </c:pt>
                <c:pt idx="1950">
                  <c:v>9.3824140091850773E-4</c:v>
                </c:pt>
                <c:pt idx="1951">
                  <c:v>6.275089007739186E-4</c:v>
                </c:pt>
                <c:pt idx="1952">
                  <c:v>1.1768906257808881E-3</c:v>
                </c:pt>
                <c:pt idx="1953">
                  <c:v>6.9863287750689639E-4</c:v>
                </c:pt>
                <c:pt idx="1954">
                  <c:v>9.3791863563905207E-4</c:v>
                </c:pt>
                <c:pt idx="1955">
                  <c:v>9.0341215078151794E-4</c:v>
                </c:pt>
                <c:pt idx="1956">
                  <c:v>6.2479533291999922E-4</c:v>
                </c:pt>
                <c:pt idx="1957">
                  <c:v>1.0110391232447551E-3</c:v>
                </c:pt>
                <c:pt idx="1958">
                  <c:v>3.3558543531833905E-4</c:v>
                </c:pt>
                <c:pt idx="1959">
                  <c:v>9.6349911297153635E-4</c:v>
                </c:pt>
                <c:pt idx="1960">
                  <c:v>6.7512032447925724E-4</c:v>
                </c:pt>
                <c:pt idx="1961">
                  <c:v>3.1908415013162281E-4</c:v>
                </c:pt>
                <c:pt idx="1962">
                  <c:v>1.2243759217248382E-3</c:v>
                </c:pt>
                <c:pt idx="1963">
                  <c:v>7.1162150009379532E-4</c:v>
                </c:pt>
                <c:pt idx="1964">
                  <c:v>1.1566648448081305E-3</c:v>
                </c:pt>
                <c:pt idx="1965">
                  <c:v>1.009735440901813E-3</c:v>
                </c:pt>
                <c:pt idx="1966">
                  <c:v>5.2551817232497741E-4</c:v>
                </c:pt>
                <c:pt idx="1967">
                  <c:v>1.9487446881457458E-4</c:v>
                </c:pt>
                <c:pt idx="1968">
                  <c:v>5.5833237525442577E-4</c:v>
                </c:pt>
                <c:pt idx="1969">
                  <c:v>4.8846054963848579E-4</c:v>
                </c:pt>
                <c:pt idx="1970">
                  <c:v>5.8331536857164678E-4</c:v>
                </c:pt>
                <c:pt idx="1971">
                  <c:v>7.2797612824536189E-4</c:v>
                </c:pt>
                <c:pt idx="1972">
                  <c:v>6.3817551192737576E-4</c:v>
                </c:pt>
                <c:pt idx="1973">
                  <c:v>7.2900131036319679E-4</c:v>
                </c:pt>
                <c:pt idx="1974">
                  <c:v>1.0231747669559527E-3</c:v>
                </c:pt>
                <c:pt idx="1975">
                  <c:v>2.2745239325626761E-4</c:v>
                </c:pt>
                <c:pt idx="1976">
                  <c:v>6.0031057652665297E-4</c:v>
                </c:pt>
                <c:pt idx="1977">
                  <c:v>6.8675345456939798E-4</c:v>
                </c:pt>
                <c:pt idx="1978">
                  <c:v>1.1066175518708136E-3</c:v>
                </c:pt>
                <c:pt idx="1979">
                  <c:v>7.7622510301127254E-4</c:v>
                </c:pt>
                <c:pt idx="1980">
                  <c:v>8.7010316509172317E-4</c:v>
                </c:pt>
                <c:pt idx="1981">
                  <c:v>4.3968173233581328E-4</c:v>
                </c:pt>
                <c:pt idx="1982">
                  <c:v>8.582250918311075E-4</c:v>
                </c:pt>
                <c:pt idx="1983">
                  <c:v>1.0197873199000542E-3</c:v>
                </c:pt>
                <c:pt idx="1984">
                  <c:v>9.4774666008191899E-4</c:v>
                </c:pt>
                <c:pt idx="1985">
                  <c:v>7.5132492293571087E-4</c:v>
                </c:pt>
                <c:pt idx="1986">
                  <c:v>7.3240080639352186E-4</c:v>
                </c:pt>
                <c:pt idx="1987">
                  <c:v>2.2923561009300609E-4</c:v>
                </c:pt>
                <c:pt idx="1988">
                  <c:v>9.8891078211892796E-4</c:v>
                </c:pt>
                <c:pt idx="1989">
                  <c:v>1.0420410987485177E-3</c:v>
                </c:pt>
                <c:pt idx="1990">
                  <c:v>6.9478862596706399E-4</c:v>
                </c:pt>
                <c:pt idx="1991">
                  <c:v>1.2145034329782368E-3</c:v>
                </c:pt>
                <c:pt idx="1992">
                  <c:v>1.3518520957977083E-3</c:v>
                </c:pt>
                <c:pt idx="1993">
                  <c:v>8.6598762986394597E-4</c:v>
                </c:pt>
                <c:pt idx="1994">
                  <c:v>1.4127826964294441E-3</c:v>
                </c:pt>
                <c:pt idx="1995">
                  <c:v>7.6779584060057856E-4</c:v>
                </c:pt>
                <c:pt idx="1996">
                  <c:v>1.1453499900700703E-3</c:v>
                </c:pt>
                <c:pt idx="1997">
                  <c:v>7.2409170790734792E-4</c:v>
                </c:pt>
                <c:pt idx="1998">
                  <c:v>5.8604479853684838E-4</c:v>
                </c:pt>
                <c:pt idx="1999">
                  <c:v>5.0025321537458653E-4</c:v>
                </c:pt>
                <c:pt idx="2000">
                  <c:v>8.4593811729684061E-4</c:v>
                </c:pt>
                <c:pt idx="2001">
                  <c:v>6.9080838496228634E-4</c:v>
                </c:pt>
                <c:pt idx="2002">
                  <c:v>4.5995865520158456E-4</c:v>
                </c:pt>
                <c:pt idx="2003">
                  <c:v>8.2727401237393783E-4</c:v>
                </c:pt>
                <c:pt idx="2004">
                  <c:v>1.0247349378669983E-3</c:v>
                </c:pt>
                <c:pt idx="2005">
                  <c:v>8.2048122077558647E-4</c:v>
                </c:pt>
                <c:pt idx="2006">
                  <c:v>7.046837452651777E-4</c:v>
                </c:pt>
                <c:pt idx="2007">
                  <c:v>8.6832263392856083E-4</c:v>
                </c:pt>
                <c:pt idx="2008">
                  <c:v>8.62088558303487E-4</c:v>
                </c:pt>
                <c:pt idx="2009">
                  <c:v>4.3858932497057662E-4</c:v>
                </c:pt>
                <c:pt idx="2010">
                  <c:v>4.64248191164058E-4</c:v>
                </c:pt>
                <c:pt idx="2011">
                  <c:v>7.058117766208555E-4</c:v>
                </c:pt>
                <c:pt idx="2012">
                  <c:v>2.7926936686163944E-4</c:v>
                </c:pt>
                <c:pt idx="2013">
                  <c:v>1.0406176616996866E-3</c:v>
                </c:pt>
                <c:pt idx="2014">
                  <c:v>6.1239222890418393E-4</c:v>
                </c:pt>
                <c:pt idx="2015">
                  <c:v>1.0002466476579331E-3</c:v>
                </c:pt>
                <c:pt idx="2016">
                  <c:v>7.3807037055954584E-5</c:v>
                </c:pt>
                <c:pt idx="2017">
                  <c:v>5.2342557942478235E-4</c:v>
                </c:pt>
                <c:pt idx="2018">
                  <c:v>9.8268226665653878E-4</c:v>
                </c:pt>
                <c:pt idx="2019">
                  <c:v>1.0735823824884424E-3</c:v>
                </c:pt>
                <c:pt idx="2020">
                  <c:v>9.8089145222656957E-4</c:v>
                </c:pt>
                <c:pt idx="2021">
                  <c:v>1.1424826630975667E-3</c:v>
                </c:pt>
                <c:pt idx="2022">
                  <c:v>6.7431617438784282E-4</c:v>
                </c:pt>
                <c:pt idx="2023">
                  <c:v>6.3729681510930512E-4</c:v>
                </c:pt>
                <c:pt idx="2024">
                  <c:v>1.0588833362721168E-3</c:v>
                </c:pt>
                <c:pt idx="2025">
                  <c:v>6.3111883968515643E-4</c:v>
                </c:pt>
                <c:pt idx="2026">
                  <c:v>9.131334745334426E-4</c:v>
                </c:pt>
                <c:pt idx="2027">
                  <c:v>6.0299773494743361E-4</c:v>
                </c:pt>
                <c:pt idx="2028">
                  <c:v>5.4838569461545584E-4</c:v>
                </c:pt>
                <c:pt idx="2029">
                  <c:v>6.9762468275186946E-4</c:v>
                </c:pt>
                <c:pt idx="2030">
                  <c:v>1.0064519686429517E-3</c:v>
                </c:pt>
                <c:pt idx="2031">
                  <c:v>1.0089674639484267E-3</c:v>
                </c:pt>
                <c:pt idx="2032">
                  <c:v>6.6076076084136217E-4</c:v>
                </c:pt>
                <c:pt idx="2033">
                  <c:v>2.4431939316804131E-4</c:v>
                </c:pt>
                <c:pt idx="2034">
                  <c:v>6.0122799793840582E-4</c:v>
                </c:pt>
                <c:pt idx="2035">
                  <c:v>1.1259918954004103E-3</c:v>
                </c:pt>
                <c:pt idx="2036">
                  <c:v>1.2283354780404123E-3</c:v>
                </c:pt>
                <c:pt idx="2037">
                  <c:v>5.9054983701880941E-4</c:v>
                </c:pt>
                <c:pt idx="2038">
                  <c:v>7.6513757509694949E-4</c:v>
                </c:pt>
                <c:pt idx="2039">
                  <c:v>4.850961841982302E-4</c:v>
                </c:pt>
                <c:pt idx="2040">
                  <c:v>4.1259185669177548E-4</c:v>
                </c:pt>
                <c:pt idx="2041">
                  <c:v>9.0558088854221974E-4</c:v>
                </c:pt>
                <c:pt idx="2042">
                  <c:v>3.509807862573435E-4</c:v>
                </c:pt>
                <c:pt idx="2043">
                  <c:v>3.7319953046637439E-4</c:v>
                </c:pt>
                <c:pt idx="2044">
                  <c:v>8.013091493464619E-4</c:v>
                </c:pt>
                <c:pt idx="2045">
                  <c:v>1.3505567681492252E-3</c:v>
                </c:pt>
                <c:pt idx="2046">
                  <c:v>1.028599073914363E-3</c:v>
                </c:pt>
                <c:pt idx="2047">
                  <c:v>1.211641693527659E-3</c:v>
                </c:pt>
                <c:pt idx="2048">
                  <c:v>2.2231608016227939E-4</c:v>
                </c:pt>
                <c:pt idx="2049">
                  <c:v>3.4711923648291366E-4</c:v>
                </c:pt>
                <c:pt idx="2050">
                  <c:v>1.2518599418110958E-3</c:v>
                </c:pt>
                <c:pt idx="2051">
                  <c:v>7.4791780717145605E-4</c:v>
                </c:pt>
                <c:pt idx="2052">
                  <c:v>7.2496307735511831E-4</c:v>
                </c:pt>
                <c:pt idx="2053">
                  <c:v>7.0678880122719112E-4</c:v>
                </c:pt>
                <c:pt idx="2054">
                  <c:v>6.2688410704741767E-4</c:v>
                </c:pt>
                <c:pt idx="2055">
                  <c:v>1.4264548101478186E-3</c:v>
                </c:pt>
                <c:pt idx="2056">
                  <c:v>1.0137308466708602E-3</c:v>
                </c:pt>
                <c:pt idx="2057">
                  <c:v>1.5539121597094891E-3</c:v>
                </c:pt>
                <c:pt idx="2058">
                  <c:v>9.3102989154054332E-4</c:v>
                </c:pt>
                <c:pt idx="2059">
                  <c:v>5.9721832905063727E-4</c:v>
                </c:pt>
                <c:pt idx="2060">
                  <c:v>6.7735371999868015E-4</c:v>
                </c:pt>
                <c:pt idx="2061">
                  <c:v>9.0123619653686168E-4</c:v>
                </c:pt>
                <c:pt idx="2062">
                  <c:v>8.7437570130268101E-4</c:v>
                </c:pt>
                <c:pt idx="2063">
                  <c:v>5.1785819354392649E-4</c:v>
                </c:pt>
                <c:pt idx="2064">
                  <c:v>8.6498958517850172E-4</c:v>
                </c:pt>
                <c:pt idx="2065">
                  <c:v>4.1302336434904664E-4</c:v>
                </c:pt>
                <c:pt idx="2066">
                  <c:v>5.2895761738620112E-4</c:v>
                </c:pt>
                <c:pt idx="2067">
                  <c:v>1.1602248386189701E-3</c:v>
                </c:pt>
                <c:pt idx="2068">
                  <c:v>5.7734890054579797E-4</c:v>
                </c:pt>
                <c:pt idx="2069">
                  <c:v>8.7927991372673648E-4</c:v>
                </c:pt>
                <c:pt idx="2070">
                  <c:v>5.5968833234502609E-4</c:v>
                </c:pt>
                <c:pt idx="2071">
                  <c:v>1.3232383723479778E-3</c:v>
                </c:pt>
                <c:pt idx="2072">
                  <c:v>9.1766525410557351E-4</c:v>
                </c:pt>
                <c:pt idx="2073">
                  <c:v>1.2563242400530283E-3</c:v>
                </c:pt>
                <c:pt idx="2074">
                  <c:v>1.3828886809308456E-3</c:v>
                </c:pt>
                <c:pt idx="2075">
                  <c:v>1.2110515689658775E-3</c:v>
                </c:pt>
                <c:pt idx="2076">
                  <c:v>4.0686621843379501E-4</c:v>
                </c:pt>
                <c:pt idx="2077">
                  <c:v>8.9890204074310261E-4</c:v>
                </c:pt>
                <c:pt idx="2078">
                  <c:v>7.447503774168935E-4</c:v>
                </c:pt>
                <c:pt idx="2079">
                  <c:v>1.1231861091648204E-3</c:v>
                </c:pt>
                <c:pt idx="2080">
                  <c:v>1.0797069403090402E-3</c:v>
                </c:pt>
                <c:pt idx="2081">
                  <c:v>1.3254515697705138E-3</c:v>
                </c:pt>
                <c:pt idx="2082">
                  <c:v>1.0979934531137364E-3</c:v>
                </c:pt>
                <c:pt idx="2083">
                  <c:v>1.6160921858768113E-3</c:v>
                </c:pt>
                <c:pt idx="2084">
                  <c:v>1.2462809894357102E-3</c:v>
                </c:pt>
                <c:pt idx="2085">
                  <c:v>6.4222456629487747E-4</c:v>
                </c:pt>
                <c:pt idx="2086">
                  <c:v>8.3133487966402422E-4</c:v>
                </c:pt>
                <c:pt idx="2087">
                  <c:v>8.8259721224330078E-4</c:v>
                </c:pt>
                <c:pt idx="2088">
                  <c:v>1.3084113383913642E-3</c:v>
                </c:pt>
                <c:pt idx="2089">
                  <c:v>7.5195116321419547E-4</c:v>
                </c:pt>
                <c:pt idx="2090">
                  <c:v>9.5952481103092689E-4</c:v>
                </c:pt>
                <c:pt idx="2091">
                  <c:v>4.1569417459597535E-4</c:v>
                </c:pt>
                <c:pt idx="2092">
                  <c:v>1.014764524759582E-3</c:v>
                </c:pt>
                <c:pt idx="2093">
                  <c:v>9.1648498558652652E-4</c:v>
                </c:pt>
                <c:pt idx="2094">
                  <c:v>1.4067810348003577E-3</c:v>
                </c:pt>
                <c:pt idx="2095">
                  <c:v>4.6973538570731552E-4</c:v>
                </c:pt>
                <c:pt idx="2096">
                  <c:v>8.624487211911549E-4</c:v>
                </c:pt>
                <c:pt idx="2097">
                  <c:v>2.773390701436656E-4</c:v>
                </c:pt>
                <c:pt idx="2098">
                  <c:v>7.8120662958076144E-4</c:v>
                </c:pt>
                <c:pt idx="2099">
                  <c:v>3.3501330561671211E-4</c:v>
                </c:pt>
                <c:pt idx="2100">
                  <c:v>6.1344481081385864E-4</c:v>
                </c:pt>
                <c:pt idx="2101">
                  <c:v>6.1294731834044122E-4</c:v>
                </c:pt>
                <c:pt idx="2102">
                  <c:v>7.518729067404529E-4</c:v>
                </c:pt>
                <c:pt idx="2103">
                  <c:v>3.1994041026114515E-4</c:v>
                </c:pt>
                <c:pt idx="2104">
                  <c:v>1.2421436667022607E-3</c:v>
                </c:pt>
                <c:pt idx="2105">
                  <c:v>5.8194315807788988E-4</c:v>
                </c:pt>
                <c:pt idx="2106">
                  <c:v>6.9635781609277158E-4</c:v>
                </c:pt>
                <c:pt idx="2107">
                  <c:v>8.2351830225743476E-4</c:v>
                </c:pt>
                <c:pt idx="2108">
                  <c:v>5.4892945131946387E-4</c:v>
                </c:pt>
                <c:pt idx="2109">
                  <c:v>8.1162431753086959E-4</c:v>
                </c:pt>
                <c:pt idx="2110">
                  <c:v>1.0178117599704175E-3</c:v>
                </c:pt>
                <c:pt idx="2111">
                  <c:v>1.697918406961714E-4</c:v>
                </c:pt>
                <c:pt idx="2112">
                  <c:v>7.3140619081731863E-4</c:v>
                </c:pt>
                <c:pt idx="2113">
                  <c:v>1.9840909636371319E-3</c:v>
                </c:pt>
                <c:pt idx="2114">
                  <c:v>5.9156499993054542E-4</c:v>
                </c:pt>
                <c:pt idx="2115">
                  <c:v>4.7266899355334722E-4</c:v>
                </c:pt>
                <c:pt idx="2116">
                  <c:v>5.9077257000502944E-4</c:v>
                </c:pt>
                <c:pt idx="2117">
                  <c:v>4.3855451397279766E-4</c:v>
                </c:pt>
                <c:pt idx="2118">
                  <c:v>6.5140065152158734E-4</c:v>
                </c:pt>
                <c:pt idx="2119">
                  <c:v>6.7968326301400721E-4</c:v>
                </c:pt>
                <c:pt idx="2120">
                  <c:v>5.0956618054148045E-4</c:v>
                </c:pt>
                <c:pt idx="2121">
                  <c:v>7.5561241541694684E-4</c:v>
                </c:pt>
                <c:pt idx="2122">
                  <c:v>8.2361615281461968E-4</c:v>
                </c:pt>
                <c:pt idx="2123">
                  <c:v>5.3847939010258079E-4</c:v>
                </c:pt>
                <c:pt idx="2124">
                  <c:v>1.3416345161296722E-3</c:v>
                </c:pt>
                <c:pt idx="2125">
                  <c:v>1.3097343565647618E-3</c:v>
                </c:pt>
                <c:pt idx="2126">
                  <c:v>6.6776033922256106E-4</c:v>
                </c:pt>
                <c:pt idx="2127">
                  <c:v>5.6848533090155114E-4</c:v>
                </c:pt>
                <c:pt idx="2128">
                  <c:v>3.8510430537047071E-4</c:v>
                </c:pt>
                <c:pt idx="2129">
                  <c:v>1.5729791554589736E-3</c:v>
                </c:pt>
                <c:pt idx="2130">
                  <c:v>9.4253384730576771E-4</c:v>
                </c:pt>
                <c:pt idx="2131">
                  <c:v>1.0345494293127451E-3</c:v>
                </c:pt>
                <c:pt idx="2132">
                  <c:v>9.8715852788863138E-4</c:v>
                </c:pt>
                <c:pt idx="2133">
                  <c:v>3.6821102054131037E-4</c:v>
                </c:pt>
                <c:pt idx="2134">
                  <c:v>1.9794783459855598E-4</c:v>
                </c:pt>
                <c:pt idx="2135">
                  <c:v>7.2984192009321761E-4</c:v>
                </c:pt>
                <c:pt idx="2136">
                  <c:v>7.3813359842029051E-4</c:v>
                </c:pt>
                <c:pt idx="2137">
                  <c:v>1.0406724470666154E-3</c:v>
                </c:pt>
                <c:pt idx="2138">
                  <c:v>1.0698071802354157E-3</c:v>
                </c:pt>
                <c:pt idx="2139">
                  <c:v>1.3424370179292299E-3</c:v>
                </c:pt>
                <c:pt idx="2140">
                  <c:v>3.3069200504877352E-4</c:v>
                </c:pt>
                <c:pt idx="2141">
                  <c:v>1.2408025513854588E-3</c:v>
                </c:pt>
                <c:pt idx="2142">
                  <c:v>7.1366999848891991E-4</c:v>
                </c:pt>
                <c:pt idx="2143">
                  <c:v>6.1998432978562813E-4</c:v>
                </c:pt>
                <c:pt idx="2144">
                  <c:v>1.2233371708838092E-3</c:v>
                </c:pt>
                <c:pt idx="2145">
                  <c:v>2.6886688487055518E-4</c:v>
                </c:pt>
                <c:pt idx="2146">
                  <c:v>7.4402078430655164E-4</c:v>
                </c:pt>
                <c:pt idx="2147">
                  <c:v>8.2108549159447481E-4</c:v>
                </c:pt>
                <c:pt idx="2148">
                  <c:v>7.9586740503772842E-4</c:v>
                </c:pt>
                <c:pt idx="2149">
                  <c:v>4.168925998471177E-4</c:v>
                </c:pt>
                <c:pt idx="2150">
                  <c:v>2.8145527185548193E-4</c:v>
                </c:pt>
                <c:pt idx="2151">
                  <c:v>9.8956301430459304E-4</c:v>
                </c:pt>
                <c:pt idx="2152">
                  <c:v>7.8976693645810574E-4</c:v>
                </c:pt>
                <c:pt idx="2153">
                  <c:v>1.1503009964543703E-3</c:v>
                </c:pt>
                <c:pt idx="2154">
                  <c:v>1.6877445785662716E-3</c:v>
                </c:pt>
                <c:pt idx="2155">
                  <c:v>5.0629769444323074E-4</c:v>
                </c:pt>
                <c:pt idx="2156">
                  <c:v>3.8667838239120702E-4</c:v>
                </c:pt>
                <c:pt idx="2157">
                  <c:v>7.3256954512996512E-4</c:v>
                </c:pt>
                <c:pt idx="2158">
                  <c:v>4.7883348490520942E-4</c:v>
                </c:pt>
                <c:pt idx="2159">
                  <c:v>9.4067183887874969E-4</c:v>
                </c:pt>
                <c:pt idx="2160">
                  <c:v>8.7025233182635889E-4</c:v>
                </c:pt>
                <c:pt idx="2161">
                  <c:v>1.0815044654254107E-3</c:v>
                </c:pt>
                <c:pt idx="2162">
                  <c:v>6.6899376501891475E-4</c:v>
                </c:pt>
                <c:pt idx="2163">
                  <c:v>9.8094259519121213E-4</c:v>
                </c:pt>
                <c:pt idx="2164">
                  <c:v>6.324012344002466E-4</c:v>
                </c:pt>
                <c:pt idx="2165">
                  <c:v>1.6584236768930854E-3</c:v>
                </c:pt>
                <c:pt idx="2166">
                  <c:v>2.9956726584947106E-4</c:v>
                </c:pt>
                <c:pt idx="2167">
                  <c:v>7.2688671676601128E-4</c:v>
                </c:pt>
                <c:pt idx="2168">
                  <c:v>7.1270649759703998E-4</c:v>
                </c:pt>
                <c:pt idx="2169">
                  <c:v>1.1508405850846294E-3</c:v>
                </c:pt>
                <c:pt idx="2170">
                  <c:v>1.1306260405743787E-3</c:v>
                </c:pt>
                <c:pt idx="2171">
                  <c:v>7.0197148442109635E-4</c:v>
                </c:pt>
                <c:pt idx="2172">
                  <c:v>8.8464495306736241E-4</c:v>
                </c:pt>
                <c:pt idx="2173">
                  <c:v>6.7505144851390958E-4</c:v>
                </c:pt>
                <c:pt idx="2174">
                  <c:v>1.3173898497300623E-3</c:v>
                </c:pt>
                <c:pt idx="2175">
                  <c:v>1.139890274787515E-3</c:v>
                </c:pt>
                <c:pt idx="2176">
                  <c:v>1.2939430562702756E-3</c:v>
                </c:pt>
                <c:pt idx="2177">
                  <c:v>7.8683523329840604E-4</c:v>
                </c:pt>
                <c:pt idx="2178">
                  <c:v>1.0242917514544144E-3</c:v>
                </c:pt>
                <c:pt idx="2179">
                  <c:v>7.0069620162166771E-4</c:v>
                </c:pt>
                <c:pt idx="2180">
                  <c:v>1.3721738256064406E-3</c:v>
                </c:pt>
                <c:pt idx="2181">
                  <c:v>7.1579357188357375E-4</c:v>
                </c:pt>
                <c:pt idx="2182">
                  <c:v>9.4347151132247989E-4</c:v>
                </c:pt>
                <c:pt idx="2183">
                  <c:v>1.3047761861260134E-3</c:v>
                </c:pt>
                <c:pt idx="2184">
                  <c:v>1.0746494128083049E-3</c:v>
                </c:pt>
                <c:pt idx="2185">
                  <c:v>9.2600782583526059E-4</c:v>
                </c:pt>
                <c:pt idx="2186">
                  <c:v>6.5904398982951284E-4</c:v>
                </c:pt>
                <c:pt idx="2187">
                  <c:v>5.4131757868054178E-4</c:v>
                </c:pt>
                <c:pt idx="2188">
                  <c:v>1.471308817353611E-3</c:v>
                </c:pt>
                <c:pt idx="2189">
                  <c:v>8.9900888784396889E-4</c:v>
                </c:pt>
                <c:pt idx="2190">
                  <c:v>1.4666000195458124E-3</c:v>
                </c:pt>
                <c:pt idx="2191">
                  <c:v>6.1905150586002056E-4</c:v>
                </c:pt>
                <c:pt idx="2192">
                  <c:v>1.0182212431577992E-3</c:v>
                </c:pt>
                <c:pt idx="2193">
                  <c:v>6.2347276747356454E-4</c:v>
                </c:pt>
                <c:pt idx="2194">
                  <c:v>8.9291991238609934E-4</c:v>
                </c:pt>
                <c:pt idx="2195">
                  <c:v>1.4167937674853589E-3</c:v>
                </c:pt>
                <c:pt idx="2196">
                  <c:v>3.053321857261086E-4</c:v>
                </c:pt>
                <c:pt idx="2197">
                  <c:v>9.0296995292161834E-4</c:v>
                </c:pt>
                <c:pt idx="2198">
                  <c:v>5.279813706252196E-4</c:v>
                </c:pt>
                <c:pt idx="2199">
                  <c:v>8.0405046263698477E-4</c:v>
                </c:pt>
                <c:pt idx="2200">
                  <c:v>6.2472457923659261E-4</c:v>
                </c:pt>
                <c:pt idx="2201">
                  <c:v>8.7680957355834891E-4</c:v>
                </c:pt>
                <c:pt idx="2202">
                  <c:v>7.9882393071802461E-4</c:v>
                </c:pt>
                <c:pt idx="2203">
                  <c:v>9.8125248544162109E-4</c:v>
                </c:pt>
                <c:pt idx="2204">
                  <c:v>7.50727996948973E-4</c:v>
                </c:pt>
                <c:pt idx="2205">
                  <c:v>9.8213630281271543E-4</c:v>
                </c:pt>
                <c:pt idx="2206">
                  <c:v>8.008459146949577E-4</c:v>
                </c:pt>
                <c:pt idx="2207">
                  <c:v>8.5006767916025986E-4</c:v>
                </c:pt>
                <c:pt idx="2208">
                  <c:v>1.2133118545438247E-3</c:v>
                </c:pt>
                <c:pt idx="2209">
                  <c:v>4.3304219912265371E-4</c:v>
                </c:pt>
                <c:pt idx="2210">
                  <c:v>6.6595552104617255E-4</c:v>
                </c:pt>
                <c:pt idx="2211">
                  <c:v>6.3231696237690848E-4</c:v>
                </c:pt>
                <c:pt idx="2212">
                  <c:v>3.5679721011346672E-4</c:v>
                </c:pt>
                <c:pt idx="2213">
                  <c:v>6.2704218382166207E-4</c:v>
                </c:pt>
                <c:pt idx="2214">
                  <c:v>2.0525009438176526E-4</c:v>
                </c:pt>
                <c:pt idx="2215">
                  <c:v>6.5293443872059933E-4</c:v>
                </c:pt>
                <c:pt idx="2216">
                  <c:v>1.3155217612327015E-3</c:v>
                </c:pt>
                <c:pt idx="2217">
                  <c:v>8.3367857044287287E-4</c:v>
                </c:pt>
                <c:pt idx="2218">
                  <c:v>6.3244912304032911E-4</c:v>
                </c:pt>
                <c:pt idx="2219">
                  <c:v>6.5528314274908869E-4</c:v>
                </c:pt>
                <c:pt idx="2220">
                  <c:v>6.6485135899930765E-4</c:v>
                </c:pt>
                <c:pt idx="2221">
                  <c:v>1.5628316788398704E-3</c:v>
                </c:pt>
                <c:pt idx="2222">
                  <c:v>1.5656362489071534E-3</c:v>
                </c:pt>
                <c:pt idx="2223">
                  <c:v>7.9049558142732545E-4</c:v>
                </c:pt>
                <c:pt idx="2224">
                  <c:v>4.3112287091643536E-4</c:v>
                </c:pt>
                <c:pt idx="2225">
                  <c:v>6.4258639016978125E-4</c:v>
                </c:pt>
                <c:pt idx="2226">
                  <c:v>7.5983071630387968E-4</c:v>
                </c:pt>
                <c:pt idx="2227">
                  <c:v>6.5036547344146255E-4</c:v>
                </c:pt>
                <c:pt idx="2228">
                  <c:v>4.3751011461009084E-4</c:v>
                </c:pt>
                <c:pt idx="2229">
                  <c:v>7.9672516618471559E-4</c:v>
                </c:pt>
                <c:pt idx="2230">
                  <c:v>1.076900063605013E-3</c:v>
                </c:pt>
                <c:pt idx="2231">
                  <c:v>9.3976322745891014E-4</c:v>
                </c:pt>
                <c:pt idx="2232">
                  <c:v>1.2233483539367642E-3</c:v>
                </c:pt>
                <c:pt idx="2233">
                  <c:v>7.2842549699235633E-4</c:v>
                </c:pt>
                <c:pt idx="2234">
                  <c:v>6.0034337783877647E-4</c:v>
                </c:pt>
                <c:pt idx="2235">
                  <c:v>1.2801854255073473E-3</c:v>
                </c:pt>
                <c:pt idx="2236">
                  <c:v>7.254500484464414E-4</c:v>
                </c:pt>
                <c:pt idx="2237">
                  <c:v>3.9850243857215745E-4</c:v>
                </c:pt>
                <c:pt idx="2238">
                  <c:v>9.3556353359903425E-4</c:v>
                </c:pt>
                <c:pt idx="2239">
                  <c:v>1.0274566320944037E-3</c:v>
                </c:pt>
                <c:pt idx="2240">
                  <c:v>1.0051098962628089E-3</c:v>
                </c:pt>
                <c:pt idx="2241">
                  <c:v>8.0607385351240098E-4</c:v>
                </c:pt>
                <c:pt idx="2242">
                  <c:v>6.6316183497171189E-4</c:v>
                </c:pt>
                <c:pt idx="2243">
                  <c:v>1.3949220504131854E-3</c:v>
                </c:pt>
                <c:pt idx="2244">
                  <c:v>1.2262883593655977E-3</c:v>
                </c:pt>
                <c:pt idx="2245">
                  <c:v>5.7297252791105042E-4</c:v>
                </c:pt>
                <c:pt idx="2246">
                  <c:v>1.1550349155094578E-3</c:v>
                </c:pt>
                <c:pt idx="2247">
                  <c:v>9.5652256281070853E-4</c:v>
                </c:pt>
                <c:pt idx="2248">
                  <c:v>2.6805542312752071E-4</c:v>
                </c:pt>
                <c:pt idx="2249">
                  <c:v>1.4649368508825862E-3</c:v>
                </c:pt>
                <c:pt idx="2250">
                  <c:v>1.1404647139788941E-3</c:v>
                </c:pt>
                <c:pt idx="2251">
                  <c:v>7.6696787437970115E-4</c:v>
                </c:pt>
                <c:pt idx="2252">
                  <c:v>2.1944121544473357E-5</c:v>
                </c:pt>
                <c:pt idx="2253">
                  <c:v>7.8062257717813398E-4</c:v>
                </c:pt>
                <c:pt idx="2254">
                  <c:v>1.0560199343409972E-3</c:v>
                </c:pt>
                <c:pt idx="2255">
                  <c:v>5.2379588605856915E-4</c:v>
                </c:pt>
                <c:pt idx="2256">
                  <c:v>6.617084137473401E-4</c:v>
                </c:pt>
                <c:pt idx="2257">
                  <c:v>9.8562430315566555E-4</c:v>
                </c:pt>
                <c:pt idx="2258">
                  <c:v>1.5813099729090946E-3</c:v>
                </c:pt>
                <c:pt idx="2259">
                  <c:v>5.4713281538440049E-4</c:v>
                </c:pt>
                <c:pt idx="2260">
                  <c:v>6.3835289935086051E-4</c:v>
                </c:pt>
                <c:pt idx="2261">
                  <c:v>4.4878701962169595E-4</c:v>
                </c:pt>
                <c:pt idx="2262">
                  <c:v>4.5233592265307845E-4</c:v>
                </c:pt>
                <c:pt idx="2263">
                  <c:v>9.7418577449078457E-4</c:v>
                </c:pt>
                <c:pt idx="2264">
                  <c:v>4.6675724559530916E-4</c:v>
                </c:pt>
                <c:pt idx="2265">
                  <c:v>1.2275562162062908E-3</c:v>
                </c:pt>
                <c:pt idx="2266">
                  <c:v>7.0153590623427413E-4</c:v>
                </c:pt>
                <c:pt idx="2267">
                  <c:v>8.7132235624121708E-4</c:v>
                </c:pt>
                <c:pt idx="2268">
                  <c:v>9.6147759960479385E-4</c:v>
                </c:pt>
                <c:pt idx="2269">
                  <c:v>6.8974222558141111E-4</c:v>
                </c:pt>
                <c:pt idx="2270">
                  <c:v>8.4327465362703919E-4</c:v>
                </c:pt>
                <c:pt idx="2271">
                  <c:v>6.7707054045942309E-4</c:v>
                </c:pt>
                <c:pt idx="2272">
                  <c:v>9.8835676377584695E-4</c:v>
                </c:pt>
                <c:pt idx="2273">
                  <c:v>9.636451201387921E-4</c:v>
                </c:pt>
                <c:pt idx="2274">
                  <c:v>5.7697564198500202E-4</c:v>
                </c:pt>
                <c:pt idx="2275">
                  <c:v>7.0614058566067128E-4</c:v>
                </c:pt>
                <c:pt idx="2276">
                  <c:v>9.503035698237148E-4</c:v>
                </c:pt>
                <c:pt idx="2277">
                  <c:v>7.2416253942649033E-4</c:v>
                </c:pt>
                <c:pt idx="2278">
                  <c:v>1.3033131167028938E-3</c:v>
                </c:pt>
                <c:pt idx="2279">
                  <c:v>4.4766701889458469E-4</c:v>
                </c:pt>
                <c:pt idx="2280">
                  <c:v>1.1693503623613564E-3</c:v>
                </c:pt>
                <c:pt idx="2281">
                  <c:v>8.7945203292793639E-4</c:v>
                </c:pt>
                <c:pt idx="2282">
                  <c:v>1.2121928937899064E-3</c:v>
                </c:pt>
                <c:pt idx="2283">
                  <c:v>9.5466207530155807E-4</c:v>
                </c:pt>
                <c:pt idx="2284">
                  <c:v>8.5062637733686482E-4</c:v>
                </c:pt>
                <c:pt idx="2285">
                  <c:v>1.2108218876794564E-3</c:v>
                </c:pt>
                <c:pt idx="2286">
                  <c:v>1.5798620914069829E-3</c:v>
                </c:pt>
                <c:pt idx="2287">
                  <c:v>1.1107512965153352E-3</c:v>
                </c:pt>
                <c:pt idx="2288">
                  <c:v>1.3762294528534399E-3</c:v>
                </c:pt>
                <c:pt idx="2289">
                  <c:v>6.1132541488191736E-4</c:v>
                </c:pt>
                <c:pt idx="2290">
                  <c:v>1.5735605270950011E-4</c:v>
                </c:pt>
                <c:pt idx="2291">
                  <c:v>9.5832433989838893E-4</c:v>
                </c:pt>
                <c:pt idx="2292">
                  <c:v>7.1356918214612191E-4</c:v>
                </c:pt>
                <c:pt idx="2293">
                  <c:v>8.2020039270230317E-4</c:v>
                </c:pt>
                <c:pt idx="2294">
                  <c:v>1.5673525084629806E-3</c:v>
                </c:pt>
                <c:pt idx="2295">
                  <c:v>1.0227526923092894E-3</c:v>
                </c:pt>
                <c:pt idx="2296">
                  <c:v>6.8529716502401352E-4</c:v>
                </c:pt>
                <c:pt idx="2297">
                  <c:v>1.4058897367815791E-3</c:v>
                </c:pt>
                <c:pt idx="2298">
                  <c:v>1.2784319641112696E-3</c:v>
                </c:pt>
                <c:pt idx="2299">
                  <c:v>9.4661034979246406E-4</c:v>
                </c:pt>
                <c:pt idx="2300">
                  <c:v>1.1669000031027414E-3</c:v>
                </c:pt>
                <c:pt idx="2301">
                  <c:v>8.8399065302781127E-4</c:v>
                </c:pt>
                <c:pt idx="2302">
                  <c:v>1.1870027584300342E-3</c:v>
                </c:pt>
                <c:pt idx="2303">
                  <c:v>7.6578408259491348E-4</c:v>
                </c:pt>
                <c:pt idx="2304">
                  <c:v>9.9113011238323814E-4</c:v>
                </c:pt>
                <c:pt idx="2305">
                  <c:v>1.3874021609403446E-3</c:v>
                </c:pt>
                <c:pt idx="2306">
                  <c:v>1.4365338671172114E-3</c:v>
                </c:pt>
                <c:pt idx="2307">
                  <c:v>1.0447888218242522E-3</c:v>
                </c:pt>
                <c:pt idx="2308">
                  <c:v>3.1004821688569815E-4</c:v>
                </c:pt>
                <c:pt idx="2309">
                  <c:v>1.083327816229224E-3</c:v>
                </c:pt>
                <c:pt idx="2310">
                  <c:v>1.1193050973061447E-4</c:v>
                </c:pt>
                <c:pt idx="2311">
                  <c:v>1.0485223470120639E-3</c:v>
                </c:pt>
                <c:pt idx="2312">
                  <c:v>6.3656413439125046E-4</c:v>
                </c:pt>
                <c:pt idx="2313">
                  <c:v>1.6072773741090496E-3</c:v>
                </c:pt>
                <c:pt idx="2314">
                  <c:v>2.9884025558450249E-4</c:v>
                </c:pt>
                <c:pt idx="2315">
                  <c:v>1.3716352586317022E-3</c:v>
                </c:pt>
                <c:pt idx="2316">
                  <c:v>5.4546532946027826E-4</c:v>
                </c:pt>
                <c:pt idx="2317">
                  <c:v>8.7576010716359099E-4</c:v>
                </c:pt>
                <c:pt idx="2318">
                  <c:v>1.0331040871575329E-3</c:v>
                </c:pt>
                <c:pt idx="2319">
                  <c:v>1.1959918852164928E-3</c:v>
                </c:pt>
                <c:pt idx="2320">
                  <c:v>4.7471622734440011E-4</c:v>
                </c:pt>
                <c:pt idx="2321">
                  <c:v>6.3226811530943438E-4</c:v>
                </c:pt>
                <c:pt idx="2322">
                  <c:v>1.2221881114520903E-3</c:v>
                </c:pt>
                <c:pt idx="2323">
                  <c:v>7.2346196502904464E-4</c:v>
                </c:pt>
                <c:pt idx="2324">
                  <c:v>8.486762467582791E-4</c:v>
                </c:pt>
                <c:pt idx="2325">
                  <c:v>4.9460790594964342E-4</c:v>
                </c:pt>
                <c:pt idx="2326">
                  <c:v>1.4574414989734668E-3</c:v>
                </c:pt>
                <c:pt idx="2327">
                  <c:v>8.6376202054672037E-4</c:v>
                </c:pt>
                <c:pt idx="2328">
                  <c:v>2.4704618997312393E-4</c:v>
                </c:pt>
                <c:pt idx="2329">
                  <c:v>1.0062269599042258E-3</c:v>
                </c:pt>
                <c:pt idx="2330">
                  <c:v>6.3035891555088318E-4</c:v>
                </c:pt>
                <c:pt idx="2331">
                  <c:v>7.9765130251288857E-4</c:v>
                </c:pt>
                <c:pt idx="2332">
                  <c:v>4.9049322322831934E-4</c:v>
                </c:pt>
                <c:pt idx="2333">
                  <c:v>1.2844038606087795E-3</c:v>
                </c:pt>
                <c:pt idx="2334">
                  <c:v>1.0683288926135589E-3</c:v>
                </c:pt>
                <c:pt idx="2335">
                  <c:v>9.1346861629031518E-4</c:v>
                </c:pt>
                <c:pt idx="2336">
                  <c:v>5.2211181357034663E-4</c:v>
                </c:pt>
                <c:pt idx="2337">
                  <c:v>5.0785701626142581E-4</c:v>
                </c:pt>
                <c:pt idx="2338">
                  <c:v>4.851898164847236E-4</c:v>
                </c:pt>
                <c:pt idx="2339">
                  <c:v>1.2813412368099721E-4</c:v>
                </c:pt>
                <c:pt idx="2340">
                  <c:v>7.366155637601998E-4</c:v>
                </c:pt>
                <c:pt idx="2341">
                  <c:v>4.1731943034197449E-4</c:v>
                </c:pt>
                <c:pt idx="2342">
                  <c:v>1.0366194299957592E-3</c:v>
                </c:pt>
                <c:pt idx="2343">
                  <c:v>1.0087323999240778E-3</c:v>
                </c:pt>
                <c:pt idx="2344">
                  <c:v>1.0030540954512137E-3</c:v>
                </c:pt>
                <c:pt idx="2345">
                  <c:v>8.0413831989402699E-4</c:v>
                </c:pt>
                <c:pt idx="2346">
                  <c:v>8.822828026847653E-4</c:v>
                </c:pt>
                <c:pt idx="2347">
                  <c:v>8.1884551748525052E-4</c:v>
                </c:pt>
                <c:pt idx="2348">
                  <c:v>1.4021671789966128E-3</c:v>
                </c:pt>
                <c:pt idx="2349">
                  <c:v>4.8541873809487314E-4</c:v>
                </c:pt>
                <c:pt idx="2350">
                  <c:v>8.4002997783833391E-4</c:v>
                </c:pt>
                <c:pt idx="2351">
                  <c:v>1.2683766685159322E-3</c:v>
                </c:pt>
                <c:pt idx="2352">
                  <c:v>1.0667406303387654E-3</c:v>
                </c:pt>
                <c:pt idx="2353">
                  <c:v>5.0240098007451955E-4</c:v>
                </c:pt>
                <c:pt idx="2354">
                  <c:v>1.3463682256326607E-3</c:v>
                </c:pt>
                <c:pt idx="2355">
                  <c:v>6.3937802954000371E-4</c:v>
                </c:pt>
                <c:pt idx="2356">
                  <c:v>5.4819108205048507E-4</c:v>
                </c:pt>
                <c:pt idx="2357">
                  <c:v>1.1719221314959801E-3</c:v>
                </c:pt>
                <c:pt idx="2358">
                  <c:v>6.519341729808194E-4</c:v>
                </c:pt>
                <c:pt idx="2359">
                  <c:v>7.7654134911477859E-4</c:v>
                </c:pt>
                <c:pt idx="2360">
                  <c:v>8.2943161084083087E-4</c:v>
                </c:pt>
                <c:pt idx="2361">
                  <c:v>5.6140039749445747E-4</c:v>
                </c:pt>
                <c:pt idx="2362">
                  <c:v>1.1588337559991994E-3</c:v>
                </c:pt>
                <c:pt idx="2363">
                  <c:v>1.1979302841433755E-3</c:v>
                </c:pt>
                <c:pt idx="2364">
                  <c:v>8.2508381422146358E-4</c:v>
                </c:pt>
                <c:pt idx="2365">
                  <c:v>9.9250162855337256E-4</c:v>
                </c:pt>
                <c:pt idx="2366">
                  <c:v>9.1755037878643087E-4</c:v>
                </c:pt>
                <c:pt idx="2367">
                  <c:v>1.2071859939794284E-3</c:v>
                </c:pt>
                <c:pt idx="2368">
                  <c:v>4.6446730783451426E-4</c:v>
                </c:pt>
                <c:pt idx="2369">
                  <c:v>1.3785338409257079E-3</c:v>
                </c:pt>
                <c:pt idx="2370">
                  <c:v>8.4336242565162414E-4</c:v>
                </c:pt>
                <c:pt idx="2371">
                  <c:v>1.2780899307303268E-3</c:v>
                </c:pt>
                <c:pt idx="2372">
                  <c:v>6.0584301499081632E-4</c:v>
                </c:pt>
                <c:pt idx="2373">
                  <c:v>9.9005019910600634E-4</c:v>
                </c:pt>
                <c:pt idx="2374">
                  <c:v>2.797094831827159E-4</c:v>
                </c:pt>
                <c:pt idx="2375">
                  <c:v>9.2007992017978618E-4</c:v>
                </c:pt>
                <c:pt idx="2376">
                  <c:v>7.3759639582839185E-4</c:v>
                </c:pt>
                <c:pt idx="2377">
                  <c:v>3.7016594241100187E-4</c:v>
                </c:pt>
                <c:pt idx="2378">
                  <c:v>4.9088567141479999E-4</c:v>
                </c:pt>
                <c:pt idx="2379">
                  <c:v>1.0964089834018963E-3</c:v>
                </c:pt>
                <c:pt idx="2380">
                  <c:v>1.0774483556541237E-3</c:v>
                </c:pt>
                <c:pt idx="2381">
                  <c:v>9.3897963581614805E-4</c:v>
                </c:pt>
                <c:pt idx="2382">
                  <c:v>4.8342245528557466E-4</c:v>
                </c:pt>
                <c:pt idx="2383">
                  <c:v>1.0648106334152166E-3</c:v>
                </c:pt>
                <c:pt idx="2384">
                  <c:v>1.3278910767212768E-3</c:v>
                </c:pt>
                <c:pt idx="2385">
                  <c:v>5.7873732962265855E-4</c:v>
                </c:pt>
                <c:pt idx="2386">
                  <c:v>1.0973282590882381E-3</c:v>
                </c:pt>
                <c:pt idx="2387">
                  <c:v>1.0030696402845291E-3</c:v>
                </c:pt>
                <c:pt idx="2388">
                  <c:v>7.2323596680083288E-4</c:v>
                </c:pt>
                <c:pt idx="2389">
                  <c:v>1.3935963007648468E-3</c:v>
                </c:pt>
                <c:pt idx="2390">
                  <c:v>7.2050125764313265E-4</c:v>
                </c:pt>
                <c:pt idx="2391">
                  <c:v>8.0412703783332878E-4</c:v>
                </c:pt>
                <c:pt idx="2392">
                  <c:v>8.4461652420985377E-4</c:v>
                </c:pt>
                <c:pt idx="2393">
                  <c:v>4.3325290963035142E-4</c:v>
                </c:pt>
                <c:pt idx="2394">
                  <c:v>5.2988019733691779E-4</c:v>
                </c:pt>
                <c:pt idx="2395">
                  <c:v>8.8192041722314515E-4</c:v>
                </c:pt>
                <c:pt idx="2396">
                  <c:v>8.9153082538305463E-4</c:v>
                </c:pt>
                <c:pt idx="2397">
                  <c:v>1.1406709569384992E-3</c:v>
                </c:pt>
                <c:pt idx="2398">
                  <c:v>7.0316680483253793E-4</c:v>
                </c:pt>
                <c:pt idx="2399">
                  <c:v>5.2824549851074364E-4</c:v>
                </c:pt>
                <c:pt idx="2400">
                  <c:v>8.2177652027639377E-4</c:v>
                </c:pt>
                <c:pt idx="2401">
                  <c:v>7.7028637721705015E-4</c:v>
                </c:pt>
                <c:pt idx="2402">
                  <c:v>7.3183208029492476E-4</c:v>
                </c:pt>
                <c:pt idx="2403">
                  <c:v>5.6961810566329108E-4</c:v>
                </c:pt>
                <c:pt idx="2404">
                  <c:v>6.8612950068688925E-4</c:v>
                </c:pt>
                <c:pt idx="2405">
                  <c:v>3.7496788286390923E-4</c:v>
                </c:pt>
                <c:pt idx="2406">
                  <c:v>8.8308342100498728E-4</c:v>
                </c:pt>
                <c:pt idx="2407">
                  <c:v>7.5540600787651468E-4</c:v>
                </c:pt>
                <c:pt idx="2408">
                  <c:v>1.3215984447787468E-3</c:v>
                </c:pt>
                <c:pt idx="2409">
                  <c:v>5.3701577944384547E-4</c:v>
                </c:pt>
                <c:pt idx="2410">
                  <c:v>1.0255022020029987E-3</c:v>
                </c:pt>
                <c:pt idx="2411">
                  <c:v>7.6272099261278726E-4</c:v>
                </c:pt>
                <c:pt idx="2412">
                  <c:v>7.7731043047513744E-4</c:v>
                </c:pt>
                <c:pt idx="2413">
                  <c:v>5.95542899543331E-4</c:v>
                </c:pt>
                <c:pt idx="2414">
                  <c:v>5.6056992921954952E-4</c:v>
                </c:pt>
                <c:pt idx="2415">
                  <c:v>9.3577316844507352E-4</c:v>
                </c:pt>
                <c:pt idx="2416">
                  <c:v>4.2157955185260739E-4</c:v>
                </c:pt>
                <c:pt idx="2417">
                  <c:v>1.6296640299500456E-3</c:v>
                </c:pt>
                <c:pt idx="2418">
                  <c:v>2.2841574214998138E-4</c:v>
                </c:pt>
                <c:pt idx="2419">
                  <c:v>7.1615528463665605E-4</c:v>
                </c:pt>
                <c:pt idx="2420">
                  <c:v>1.0161403586870462E-3</c:v>
                </c:pt>
                <c:pt idx="2421">
                  <c:v>7.284379465875377E-4</c:v>
                </c:pt>
                <c:pt idx="2422">
                  <c:v>6.5896027583970383E-4</c:v>
                </c:pt>
                <c:pt idx="2423">
                  <c:v>1.0055106239315267E-3</c:v>
                </c:pt>
                <c:pt idx="2424">
                  <c:v>1.0778468931788392E-3</c:v>
                </c:pt>
                <c:pt idx="2425">
                  <c:v>6.9037560944339518E-4</c:v>
                </c:pt>
                <c:pt idx="2426">
                  <c:v>1.0608613281268134E-3</c:v>
                </c:pt>
                <c:pt idx="2427">
                  <c:v>3.964240127809661E-4</c:v>
                </c:pt>
                <c:pt idx="2428">
                  <c:v>8.1117695885422674E-4</c:v>
                </c:pt>
                <c:pt idx="2429">
                  <c:v>9.4039398452267213E-4</c:v>
                </c:pt>
                <c:pt idx="2430">
                  <c:v>8.9341646106582133E-4</c:v>
                </c:pt>
                <c:pt idx="2431">
                  <c:v>1.153455469634117E-3</c:v>
                </c:pt>
                <c:pt idx="2432">
                  <c:v>1.2630442814806277E-3</c:v>
                </c:pt>
                <c:pt idx="2433">
                  <c:v>8.8872214363164585E-4</c:v>
                </c:pt>
                <c:pt idx="2434">
                  <c:v>6.8218971378095246E-4</c:v>
                </c:pt>
                <c:pt idx="2435">
                  <c:v>9.6926377021620185E-4</c:v>
                </c:pt>
                <c:pt idx="2436">
                  <c:v>6.0930193120116774E-4</c:v>
                </c:pt>
                <c:pt idx="2437">
                  <c:v>8.5298911055738016E-4</c:v>
                </c:pt>
                <c:pt idx="2438">
                  <c:v>5.0285802167691852E-4</c:v>
                </c:pt>
                <c:pt idx="2439">
                  <c:v>5.7336021294552349E-4</c:v>
                </c:pt>
                <c:pt idx="2440">
                  <c:v>9.208888239987563E-4</c:v>
                </c:pt>
                <c:pt idx="2441">
                  <c:v>9.0222096138856079E-4</c:v>
                </c:pt>
                <c:pt idx="2442">
                  <c:v>8.5460622074491502E-4</c:v>
                </c:pt>
                <c:pt idx="2443">
                  <c:v>8.534443745962393E-4</c:v>
                </c:pt>
                <c:pt idx="2444">
                  <c:v>8.9500020539226403E-4</c:v>
                </c:pt>
                <c:pt idx="2445">
                  <c:v>9.3075326787595773E-4</c:v>
                </c:pt>
                <c:pt idx="2446">
                  <c:v>7.9419737015176694E-4</c:v>
                </c:pt>
                <c:pt idx="2447">
                  <c:v>1.173109942851533E-3</c:v>
                </c:pt>
                <c:pt idx="2448">
                  <c:v>5.4654628518135441E-4</c:v>
                </c:pt>
                <c:pt idx="2449">
                  <c:v>5.932025220504128E-4</c:v>
                </c:pt>
                <c:pt idx="2450">
                  <c:v>7.2866062213460729E-4</c:v>
                </c:pt>
                <c:pt idx="2451">
                  <c:v>6.1793373202385839E-4</c:v>
                </c:pt>
                <c:pt idx="2452">
                  <c:v>9.7543596948289509E-4</c:v>
                </c:pt>
                <c:pt idx="2453">
                  <c:v>4.8670044745503685E-4</c:v>
                </c:pt>
                <c:pt idx="2454">
                  <c:v>4.1754724181626861E-4</c:v>
                </c:pt>
                <c:pt idx="2455">
                  <c:v>3.9631690635098847E-4</c:v>
                </c:pt>
                <c:pt idx="2456">
                  <c:v>5.5761471511531051E-4</c:v>
                </c:pt>
                <c:pt idx="2457">
                  <c:v>1.2524581640898961E-3</c:v>
                </c:pt>
                <c:pt idx="2458">
                  <c:v>6.1423206640988555E-4</c:v>
                </c:pt>
                <c:pt idx="2459">
                  <c:v>1.0656320488787708E-3</c:v>
                </c:pt>
                <c:pt idx="2460">
                  <c:v>1.0634781204237774E-3</c:v>
                </c:pt>
                <c:pt idx="2461">
                  <c:v>9.7868502905226794E-4</c:v>
                </c:pt>
                <c:pt idx="2462">
                  <c:v>6.4838838002246875E-4</c:v>
                </c:pt>
                <c:pt idx="2463">
                  <c:v>6.5379091145359924E-4</c:v>
                </c:pt>
                <c:pt idx="2464">
                  <c:v>9.1505986695207282E-4</c:v>
                </c:pt>
                <c:pt idx="2465">
                  <c:v>7.394756455188058E-4</c:v>
                </c:pt>
                <c:pt idx="2466">
                  <c:v>8.8755387449053122E-4</c:v>
                </c:pt>
                <c:pt idx="2467">
                  <c:v>8.9195771833882242E-4</c:v>
                </c:pt>
                <c:pt idx="2468">
                  <c:v>1.1749152989422439E-3</c:v>
                </c:pt>
                <c:pt idx="2469">
                  <c:v>8.5162727540557951E-4</c:v>
                </c:pt>
                <c:pt idx="2470">
                  <c:v>8.0967668668719555E-4</c:v>
                </c:pt>
                <c:pt idx="2471">
                  <c:v>1.069275132477015E-3</c:v>
                </c:pt>
                <c:pt idx="2472">
                  <c:v>6.488757006217462E-4</c:v>
                </c:pt>
                <c:pt idx="2473">
                  <c:v>1.3231155592429522E-3</c:v>
                </c:pt>
                <c:pt idx="2474">
                  <c:v>7.8204395911660337E-4</c:v>
                </c:pt>
                <c:pt idx="2475">
                  <c:v>5.882748890677842E-4</c:v>
                </c:pt>
                <c:pt idx="2476">
                  <c:v>8.5655853953551164E-4</c:v>
                </c:pt>
                <c:pt idx="2477">
                  <c:v>2.25877450404904E-4</c:v>
                </c:pt>
                <c:pt idx="2478">
                  <c:v>3.743650971063639E-4</c:v>
                </c:pt>
                <c:pt idx="2479">
                  <c:v>1.2877790945067594E-3</c:v>
                </c:pt>
                <c:pt idx="2480">
                  <c:v>6.2073997496889341E-4</c:v>
                </c:pt>
                <c:pt idx="2481">
                  <c:v>1.3958329397750827E-3</c:v>
                </c:pt>
                <c:pt idx="2482">
                  <c:v>9.7236990600949751E-4</c:v>
                </c:pt>
                <c:pt idx="2483">
                  <c:v>1.3209533047207E-3</c:v>
                </c:pt>
                <c:pt idx="2484">
                  <c:v>3.827927917228615E-4</c:v>
                </c:pt>
                <c:pt idx="2485">
                  <c:v>1.1249167428566784E-3</c:v>
                </c:pt>
                <c:pt idx="2486">
                  <c:v>6.2990168864231297E-4</c:v>
                </c:pt>
                <c:pt idx="2487">
                  <c:v>8.2422169390044403E-4</c:v>
                </c:pt>
                <c:pt idx="2488">
                  <c:v>4.3706653053614063E-4</c:v>
                </c:pt>
                <c:pt idx="2489">
                  <c:v>4.4280635849552988E-4</c:v>
                </c:pt>
                <c:pt idx="2490">
                  <c:v>3.4523751209284873E-4</c:v>
                </c:pt>
                <c:pt idx="2491">
                  <c:v>6.5923327919469238E-4</c:v>
                </c:pt>
                <c:pt idx="2492">
                  <c:v>8.7238624533149086E-4</c:v>
                </c:pt>
                <c:pt idx="2493">
                  <c:v>1.0882569192290515E-3</c:v>
                </c:pt>
                <c:pt idx="2494">
                  <c:v>5.4736921711112608E-4</c:v>
                </c:pt>
                <c:pt idx="2495">
                  <c:v>2.6187114832903937E-4</c:v>
                </c:pt>
                <c:pt idx="2496">
                  <c:v>9.6901476988135509E-4</c:v>
                </c:pt>
                <c:pt idx="2497">
                  <c:v>7.4113531618529352E-4</c:v>
                </c:pt>
                <c:pt idx="2498">
                  <c:v>4.9113958349315454E-4</c:v>
                </c:pt>
                <c:pt idx="2499">
                  <c:v>7.2195607751474836E-4</c:v>
                </c:pt>
                <c:pt idx="2500">
                  <c:v>8.7571536969080672E-4</c:v>
                </c:pt>
                <c:pt idx="2501">
                  <c:v>1.0863389330282183E-3</c:v>
                </c:pt>
                <c:pt idx="2502">
                  <c:v>7.8607747645557024E-4</c:v>
                </c:pt>
                <c:pt idx="2503">
                  <c:v>1.140932846776079E-3</c:v>
                </c:pt>
                <c:pt idx="2504">
                  <c:v>4.9611076309026526E-4</c:v>
                </c:pt>
                <c:pt idx="2505">
                  <c:v>8.2562930300840139E-4</c:v>
                </c:pt>
                <c:pt idx="2506">
                  <c:v>5.9843618699468627E-4</c:v>
                </c:pt>
                <c:pt idx="2507">
                  <c:v>1.299396704658879E-3</c:v>
                </c:pt>
                <c:pt idx="2508">
                  <c:v>9.7379743855413852E-4</c:v>
                </c:pt>
                <c:pt idx="2509">
                  <c:v>6.9333315258280736E-4</c:v>
                </c:pt>
                <c:pt idx="2510">
                  <c:v>5.779800652189848E-4</c:v>
                </c:pt>
                <c:pt idx="2511">
                  <c:v>8.2800928438819484E-4</c:v>
                </c:pt>
                <c:pt idx="2512">
                  <c:v>6.8535597235190831E-4</c:v>
                </c:pt>
                <c:pt idx="2513">
                  <c:v>4.9713359173330469E-4</c:v>
                </c:pt>
                <c:pt idx="2514">
                  <c:v>1.4448466300249177E-3</c:v>
                </c:pt>
                <c:pt idx="2515">
                  <c:v>7.1618397945026775E-4</c:v>
                </c:pt>
                <c:pt idx="2516">
                  <c:v>7.5402582954010367E-4</c:v>
                </c:pt>
                <c:pt idx="2517">
                  <c:v>1.2979981704018665E-3</c:v>
                </c:pt>
                <c:pt idx="2518">
                  <c:v>4.747106186964762E-4</c:v>
                </c:pt>
                <c:pt idx="2519">
                  <c:v>1.2856438392881331E-3</c:v>
                </c:pt>
                <c:pt idx="2520">
                  <c:v>5.0476789436463816E-4</c:v>
                </c:pt>
                <c:pt idx="2521">
                  <c:v>9.5479985193309405E-4</c:v>
                </c:pt>
                <c:pt idx="2522">
                  <c:v>5.9030357016957445E-4</c:v>
                </c:pt>
                <c:pt idx="2523">
                  <c:v>3.8370485741958093E-4</c:v>
                </c:pt>
                <c:pt idx="2524">
                  <c:v>1.5838158181271237E-4</c:v>
                </c:pt>
                <c:pt idx="2525">
                  <c:v>1.0171725917390085E-3</c:v>
                </c:pt>
                <c:pt idx="2526">
                  <c:v>9.1273023377194673E-4</c:v>
                </c:pt>
                <c:pt idx="2527">
                  <c:v>1.1535361260970394E-3</c:v>
                </c:pt>
                <c:pt idx="2528">
                  <c:v>6.4378996516793394E-4</c:v>
                </c:pt>
                <c:pt idx="2529">
                  <c:v>1.1090837425907179E-3</c:v>
                </c:pt>
                <c:pt idx="2530">
                  <c:v>9.4344806693872892E-4</c:v>
                </c:pt>
                <c:pt idx="2531">
                  <c:v>1.3848273359496346E-3</c:v>
                </c:pt>
                <c:pt idx="2532">
                  <c:v>9.1689447102606767E-4</c:v>
                </c:pt>
                <c:pt idx="2533">
                  <c:v>1.3134096090104733E-3</c:v>
                </c:pt>
                <c:pt idx="2534">
                  <c:v>6.1262479931028179E-4</c:v>
                </c:pt>
                <c:pt idx="2535">
                  <c:v>9.9605311911826755E-4</c:v>
                </c:pt>
                <c:pt idx="2536">
                  <c:v>6.193607158824049E-4</c:v>
                </c:pt>
                <c:pt idx="2537">
                  <c:v>8.231305559652229E-4</c:v>
                </c:pt>
                <c:pt idx="2538">
                  <c:v>1.3785605491951443E-3</c:v>
                </c:pt>
                <c:pt idx="2539">
                  <c:v>9.4755649964557806E-4</c:v>
                </c:pt>
                <c:pt idx="2540">
                  <c:v>1.0821626019101023E-3</c:v>
                </c:pt>
                <c:pt idx="2541">
                  <c:v>6.026305382993471E-4</c:v>
                </c:pt>
                <c:pt idx="2542">
                  <c:v>1.2093892098018566E-3</c:v>
                </c:pt>
                <c:pt idx="2543">
                  <c:v>6.8414146935204061E-4</c:v>
                </c:pt>
                <c:pt idx="2544">
                  <c:v>7.2204397080329974E-4</c:v>
                </c:pt>
                <c:pt idx="2545">
                  <c:v>8.2278011484167475E-4</c:v>
                </c:pt>
                <c:pt idx="2546">
                  <c:v>5.4682369879708887E-4</c:v>
                </c:pt>
                <c:pt idx="2547">
                  <c:v>8.0044637432305824E-4</c:v>
                </c:pt>
                <c:pt idx="2548">
                  <c:v>3.1178365085378021E-4</c:v>
                </c:pt>
                <c:pt idx="2549">
                  <c:v>4.7489367213547737E-4</c:v>
                </c:pt>
                <c:pt idx="2550">
                  <c:v>1.2455864407134836E-3</c:v>
                </c:pt>
                <c:pt idx="2551">
                  <c:v>5.2867727226206713E-4</c:v>
                </c:pt>
                <c:pt idx="2552">
                  <c:v>7.8319772503329221E-4</c:v>
                </c:pt>
                <c:pt idx="2553">
                  <c:v>8.2495758784370456E-4</c:v>
                </c:pt>
                <c:pt idx="2554">
                  <c:v>9.3022074661683015E-4</c:v>
                </c:pt>
                <c:pt idx="2555">
                  <c:v>8.6303007867638071E-4</c:v>
                </c:pt>
                <c:pt idx="2556">
                  <c:v>9.2269610878706223E-4</c:v>
                </c:pt>
                <c:pt idx="2557">
                  <c:v>7.3026780035639113E-4</c:v>
                </c:pt>
                <c:pt idx="2558">
                  <c:v>9.9318000969768924E-4</c:v>
                </c:pt>
                <c:pt idx="2559">
                  <c:v>1.219042618431644E-3</c:v>
                </c:pt>
                <c:pt idx="2560">
                  <c:v>1.3607332281314129E-3</c:v>
                </c:pt>
                <c:pt idx="2561">
                  <c:v>1.0989386830450637E-3</c:v>
                </c:pt>
                <c:pt idx="2562">
                  <c:v>9.1302277416568044E-4</c:v>
                </c:pt>
                <c:pt idx="2563">
                  <c:v>3.0554529995260573E-4</c:v>
                </c:pt>
                <c:pt idx="2564">
                  <c:v>1.3098745964755891E-3</c:v>
                </c:pt>
                <c:pt idx="2565">
                  <c:v>1.0391928357734021E-3</c:v>
                </c:pt>
                <c:pt idx="2566">
                  <c:v>1.2743474599503418E-3</c:v>
                </c:pt>
                <c:pt idx="2567">
                  <c:v>1.2904555342439334E-3</c:v>
                </c:pt>
                <c:pt idx="2568">
                  <c:v>8.2748728027837051E-4</c:v>
                </c:pt>
                <c:pt idx="2569">
                  <c:v>7.3777715128573156E-4</c:v>
                </c:pt>
                <c:pt idx="2570">
                  <c:v>2.3420231809637225E-4</c:v>
                </c:pt>
                <c:pt idx="2571">
                  <c:v>6.5433773584220017E-4</c:v>
                </c:pt>
                <c:pt idx="2572">
                  <c:v>9.0511697460244191E-4</c:v>
                </c:pt>
                <c:pt idx="2573">
                  <c:v>5.128065193779432E-4</c:v>
                </c:pt>
                <c:pt idx="2574">
                  <c:v>8.9260281586048891E-4</c:v>
                </c:pt>
                <c:pt idx="2575">
                  <c:v>5.5270610739736501E-4</c:v>
                </c:pt>
                <c:pt idx="2576">
                  <c:v>5.343898754498164E-4</c:v>
                </c:pt>
                <c:pt idx="2577">
                  <c:v>8.4199816239655285E-4</c:v>
                </c:pt>
                <c:pt idx="2578">
                  <c:v>1.054088940954286E-3</c:v>
                </c:pt>
                <c:pt idx="2579">
                  <c:v>1.413421931030643E-3</c:v>
                </c:pt>
                <c:pt idx="2580">
                  <c:v>1.2828504706750754E-3</c:v>
                </c:pt>
                <c:pt idx="2581">
                  <c:v>3.2826869834476016E-4</c:v>
                </c:pt>
                <c:pt idx="2582">
                  <c:v>8.0392457471150248E-4</c:v>
                </c:pt>
                <c:pt idx="2583">
                  <c:v>2.5138923787447286E-4</c:v>
                </c:pt>
                <c:pt idx="2584">
                  <c:v>6.961761071547914E-4</c:v>
                </c:pt>
                <c:pt idx="2585">
                  <c:v>8.8617513926808372E-4</c:v>
                </c:pt>
                <c:pt idx="2586">
                  <c:v>6.8679559660528961E-4</c:v>
                </c:pt>
                <c:pt idx="2587">
                  <c:v>4.6664652795747107E-4</c:v>
                </c:pt>
                <c:pt idx="2588">
                  <c:v>7.8930253937179254E-4</c:v>
                </c:pt>
                <c:pt idx="2589">
                  <c:v>1.1158384921558888E-3</c:v>
                </c:pt>
                <c:pt idx="2590">
                  <c:v>8.7903990788987057E-4</c:v>
                </c:pt>
                <c:pt idx="2591">
                  <c:v>8.9959230126471213E-4</c:v>
                </c:pt>
                <c:pt idx="2592">
                  <c:v>1.1621724514885223E-3</c:v>
                </c:pt>
                <c:pt idx="2593">
                  <c:v>7.5679518095469111E-4</c:v>
                </c:pt>
                <c:pt idx="2594">
                  <c:v>1.0433654693837108E-3</c:v>
                </c:pt>
                <c:pt idx="2595">
                  <c:v>1.6047133927636552E-3</c:v>
                </c:pt>
                <c:pt idx="2596">
                  <c:v>1.0610243545754912E-3</c:v>
                </c:pt>
                <c:pt idx="2597">
                  <c:v>7.2218698007544559E-4</c:v>
                </c:pt>
                <c:pt idx="2598">
                  <c:v>1.1230154726258623E-3</c:v>
                </c:pt>
                <c:pt idx="2599">
                  <c:v>7.8440755190924746E-4</c:v>
                </c:pt>
                <c:pt idx="2600">
                  <c:v>8.8063632520646036E-4</c:v>
                </c:pt>
                <c:pt idx="2601">
                  <c:v>6.7972624972259868E-4</c:v>
                </c:pt>
                <c:pt idx="2602">
                  <c:v>8.497657770366472E-4</c:v>
                </c:pt>
                <c:pt idx="2603">
                  <c:v>1.241382172926628E-3</c:v>
                </c:pt>
                <c:pt idx="2604">
                  <c:v>8.0710532036115028E-4</c:v>
                </c:pt>
                <c:pt idx="2605">
                  <c:v>9.990434593848171E-4</c:v>
                </c:pt>
                <c:pt idx="2606">
                  <c:v>1.5197310522909505E-3</c:v>
                </c:pt>
                <c:pt idx="2607">
                  <c:v>6.1185167405955791E-4</c:v>
                </c:pt>
                <c:pt idx="2608">
                  <c:v>5.4325046869711129E-4</c:v>
                </c:pt>
                <c:pt idx="2609">
                  <c:v>9.8333604620964854E-4</c:v>
                </c:pt>
                <c:pt idx="2610">
                  <c:v>7.7643416062789542E-4</c:v>
                </c:pt>
                <c:pt idx="2611">
                  <c:v>1.2566891045795343E-3</c:v>
                </c:pt>
                <c:pt idx="2612">
                  <c:v>7.2320499294402808E-4</c:v>
                </c:pt>
                <c:pt idx="2613">
                  <c:v>1.1962362058242023E-3</c:v>
                </c:pt>
                <c:pt idx="2614">
                  <c:v>9.6859835642234074E-4</c:v>
                </c:pt>
                <c:pt idx="2615">
                  <c:v>5.1578788907252326E-4</c:v>
                </c:pt>
                <c:pt idx="2616">
                  <c:v>6.4145676247402E-4</c:v>
                </c:pt>
                <c:pt idx="2617">
                  <c:v>1.0572031826353748E-3</c:v>
                </c:pt>
                <c:pt idx="2618">
                  <c:v>4.6054772571384937E-4</c:v>
                </c:pt>
                <c:pt idx="2619">
                  <c:v>7.9481292304540096E-4</c:v>
                </c:pt>
                <c:pt idx="2620">
                  <c:v>1.7361716788424865E-3</c:v>
                </c:pt>
                <c:pt idx="2621">
                  <c:v>6.7222198571341169E-4</c:v>
                </c:pt>
                <c:pt idx="2622">
                  <c:v>1.0343280496651155E-3</c:v>
                </c:pt>
                <c:pt idx="2623">
                  <c:v>2.7628556968574094E-4</c:v>
                </c:pt>
                <c:pt idx="2624">
                  <c:v>6.7866365153772593E-4</c:v>
                </c:pt>
                <c:pt idx="2625">
                  <c:v>8.1378294489900028E-4</c:v>
                </c:pt>
                <c:pt idx="2626">
                  <c:v>-8.2222259981230242E-5</c:v>
                </c:pt>
                <c:pt idx="2627">
                  <c:v>1.3879450302447297E-3</c:v>
                </c:pt>
                <c:pt idx="2628">
                  <c:v>8.0398156615288201E-4</c:v>
                </c:pt>
                <c:pt idx="2629">
                  <c:v>4.1669692079056503E-4</c:v>
                </c:pt>
                <c:pt idx="2630">
                  <c:v>8.7210828772564216E-4</c:v>
                </c:pt>
                <c:pt idx="2631">
                  <c:v>1.0280706538059261E-3</c:v>
                </c:pt>
                <c:pt idx="2632">
                  <c:v>8.8556295620790051E-4</c:v>
                </c:pt>
                <c:pt idx="2633">
                  <c:v>3.8969752973590498E-4</c:v>
                </c:pt>
                <c:pt idx="2634">
                  <c:v>1.052288991017654E-3</c:v>
                </c:pt>
                <c:pt idx="2635">
                  <c:v>1.0636496196805404E-3</c:v>
                </c:pt>
                <c:pt idx="2636">
                  <c:v>1.1785385450434984E-3</c:v>
                </c:pt>
                <c:pt idx="2637">
                  <c:v>6.8189318966637856E-4</c:v>
                </c:pt>
                <c:pt idx="2638">
                  <c:v>7.5388610544573813E-4</c:v>
                </c:pt>
                <c:pt idx="2639">
                  <c:v>5.0087432823218677E-4</c:v>
                </c:pt>
                <c:pt idx="2640">
                  <c:v>9.254314654438575E-4</c:v>
                </c:pt>
                <c:pt idx="2641">
                  <c:v>1.0537509483269131E-3</c:v>
                </c:pt>
                <c:pt idx="2642">
                  <c:v>8.5860920341921233E-4</c:v>
                </c:pt>
                <c:pt idx="2643">
                  <c:v>1.2828220719080792E-3</c:v>
                </c:pt>
                <c:pt idx="2644">
                  <c:v>8.7285927563339873E-4</c:v>
                </c:pt>
                <c:pt idx="2645">
                  <c:v>2.9822461836509192E-4</c:v>
                </c:pt>
                <c:pt idx="2646">
                  <c:v>8.8971179758288933E-4</c:v>
                </c:pt>
                <c:pt idx="2647">
                  <c:v>1.2972708168845061E-3</c:v>
                </c:pt>
                <c:pt idx="2648">
                  <c:v>6.1973692876082515E-4</c:v>
                </c:pt>
                <c:pt idx="2649">
                  <c:v>1.0611010039707283E-3</c:v>
                </c:pt>
                <c:pt idx="2650">
                  <c:v>1.1128850506666305E-3</c:v>
                </c:pt>
                <c:pt idx="2651">
                  <c:v>7.7036621313244418E-4</c:v>
                </c:pt>
                <c:pt idx="2652">
                  <c:v>1.0531863897794633E-3</c:v>
                </c:pt>
                <c:pt idx="2653">
                  <c:v>1.1289610152048202E-3</c:v>
                </c:pt>
                <c:pt idx="2654">
                  <c:v>6.932282320837159E-4</c:v>
                </c:pt>
                <c:pt idx="2655">
                  <c:v>6.0955176265019978E-4</c:v>
                </c:pt>
                <c:pt idx="2656">
                  <c:v>8.6103536614089626E-4</c:v>
                </c:pt>
                <c:pt idx="2657">
                  <c:v>4.2320987889926599E-4</c:v>
                </c:pt>
                <c:pt idx="2658">
                  <c:v>9.7966029523799229E-4</c:v>
                </c:pt>
                <c:pt idx="2659">
                  <c:v>4.5582532963846716E-4</c:v>
                </c:pt>
                <c:pt idx="2660">
                  <c:v>4.3967277827051385E-4</c:v>
                </c:pt>
                <c:pt idx="2661">
                  <c:v>1.078627447355268E-3</c:v>
                </c:pt>
                <c:pt idx="2662">
                  <c:v>9.7453549664189537E-4</c:v>
                </c:pt>
                <c:pt idx="2663">
                  <c:v>1.3003737186654696E-3</c:v>
                </c:pt>
                <c:pt idx="2664">
                  <c:v>1.3193136525943673E-3</c:v>
                </c:pt>
                <c:pt idx="2665">
                  <c:v>1.0205939127275934E-3</c:v>
                </c:pt>
                <c:pt idx="2666">
                  <c:v>1.0697490499080873E-3</c:v>
                </c:pt>
                <c:pt idx="2667">
                  <c:v>9.6312839531499629E-4</c:v>
                </c:pt>
                <c:pt idx="2668">
                  <c:v>5.787047076745511E-4</c:v>
                </c:pt>
                <c:pt idx="2669">
                  <c:v>7.3304939729569617E-4</c:v>
                </c:pt>
                <c:pt idx="2670">
                  <c:v>4.4652075474973764E-4</c:v>
                </c:pt>
                <c:pt idx="2671">
                  <c:v>6.3083867550913137E-4</c:v>
                </c:pt>
                <c:pt idx="2672">
                  <c:v>1.3584661189526565E-3</c:v>
                </c:pt>
                <c:pt idx="2673">
                  <c:v>7.6768394643245445E-4</c:v>
                </c:pt>
                <c:pt idx="2674">
                  <c:v>2.3209762128571513E-4</c:v>
                </c:pt>
                <c:pt idx="2675">
                  <c:v>1.4961568682339758E-3</c:v>
                </c:pt>
                <c:pt idx="2676">
                  <c:v>3.5904196914143935E-4</c:v>
                </c:pt>
                <c:pt idx="2677">
                  <c:v>1.2382993249385765E-3</c:v>
                </c:pt>
                <c:pt idx="2678">
                  <c:v>4.6251031386681E-4</c:v>
                </c:pt>
                <c:pt idx="2679">
                  <c:v>7.5251248932852073E-4</c:v>
                </c:pt>
                <c:pt idx="2680">
                  <c:v>3.5713472931485655E-4</c:v>
                </c:pt>
                <c:pt idx="2681">
                  <c:v>6.4628978072350037E-4</c:v>
                </c:pt>
                <c:pt idx="2682">
                  <c:v>3.8986582247399677E-4</c:v>
                </c:pt>
                <c:pt idx="2683">
                  <c:v>7.1736181977408121E-4</c:v>
                </c:pt>
                <c:pt idx="2684">
                  <c:v>5.6514733199878708E-4</c:v>
                </c:pt>
                <c:pt idx="2685">
                  <c:v>1.2692887840164578E-3</c:v>
                </c:pt>
                <c:pt idx="2686">
                  <c:v>9.4821133525921017E-4</c:v>
                </c:pt>
                <c:pt idx="2687">
                  <c:v>4.6798879633373644E-4</c:v>
                </c:pt>
                <c:pt idx="2688">
                  <c:v>5.6870806277110409E-4</c:v>
                </c:pt>
                <c:pt idx="2689">
                  <c:v>4.7008916045079038E-4</c:v>
                </c:pt>
                <c:pt idx="2690">
                  <c:v>1.3620583778901243E-3</c:v>
                </c:pt>
                <c:pt idx="2691">
                  <c:v>4.4385643278379812E-4</c:v>
                </c:pt>
                <c:pt idx="2692">
                  <c:v>5.451825248086442E-4</c:v>
                </c:pt>
                <c:pt idx="2693">
                  <c:v>7.4129410843725091E-4</c:v>
                </c:pt>
                <c:pt idx="2694">
                  <c:v>4.6807260460996478E-4</c:v>
                </c:pt>
                <c:pt idx="2695">
                  <c:v>8.9468444694269073E-4</c:v>
                </c:pt>
                <c:pt idx="2696">
                  <c:v>1.0717588487691289E-3</c:v>
                </c:pt>
                <c:pt idx="2697">
                  <c:v>9.9524067125243568E-4</c:v>
                </c:pt>
                <c:pt idx="2698">
                  <c:v>8.3049439061724762E-4</c:v>
                </c:pt>
                <c:pt idx="2699">
                  <c:v>5.1084089289235362E-4</c:v>
                </c:pt>
                <c:pt idx="2700">
                  <c:v>1.0195212892026031E-3</c:v>
                </c:pt>
                <c:pt idx="2701">
                  <c:v>5.9284900460585183E-4</c:v>
                </c:pt>
                <c:pt idx="2702">
                  <c:v>1.2421128064020676E-3</c:v>
                </c:pt>
                <c:pt idx="2703">
                  <c:v>8.2608710276215966E-4</c:v>
                </c:pt>
                <c:pt idx="2704">
                  <c:v>1.0873063858275278E-3</c:v>
                </c:pt>
                <c:pt idx="2705">
                  <c:v>4.7079927382078093E-4</c:v>
                </c:pt>
                <c:pt idx="2706">
                  <c:v>6.3319514522790796E-4</c:v>
                </c:pt>
                <c:pt idx="2707">
                  <c:v>7.5594245577545417E-4</c:v>
                </c:pt>
                <c:pt idx="2708">
                  <c:v>9.4364095053552912E-4</c:v>
                </c:pt>
                <c:pt idx="2709">
                  <c:v>8.4670733896383859E-4</c:v>
                </c:pt>
                <c:pt idx="2710">
                  <c:v>8.6912653525516041E-4</c:v>
                </c:pt>
                <c:pt idx="2711">
                  <c:v>9.719682085726389E-4</c:v>
                </c:pt>
                <c:pt idx="2712">
                  <c:v>5.8700052469651428E-4</c:v>
                </c:pt>
                <c:pt idx="2713">
                  <c:v>1.1541061326649869E-3</c:v>
                </c:pt>
                <c:pt idx="2714">
                  <c:v>1.0387494410306496E-3</c:v>
                </c:pt>
                <c:pt idx="2715">
                  <c:v>5.0019080053258561E-4</c:v>
                </c:pt>
                <c:pt idx="2716">
                  <c:v>8.846453979616596E-4</c:v>
                </c:pt>
                <c:pt idx="2717">
                  <c:v>5.576706911616183E-4</c:v>
                </c:pt>
                <c:pt idx="2718">
                  <c:v>6.8556941769684306E-4</c:v>
                </c:pt>
                <c:pt idx="2719">
                  <c:v>1.380236618351609E-3</c:v>
                </c:pt>
                <c:pt idx="2720">
                  <c:v>4.6280546353160015E-4</c:v>
                </c:pt>
                <c:pt idx="2721">
                  <c:v>1.0805970559183134E-3</c:v>
                </c:pt>
                <c:pt idx="2722">
                  <c:v>4.7284121816241922E-4</c:v>
                </c:pt>
                <c:pt idx="2723">
                  <c:v>3.5750354767640933E-4</c:v>
                </c:pt>
                <c:pt idx="2724">
                  <c:v>8.8803620247148145E-4</c:v>
                </c:pt>
                <c:pt idx="2725">
                  <c:v>1.0999852405949007E-3</c:v>
                </c:pt>
                <c:pt idx="2726">
                  <c:v>8.4323012914646743E-4</c:v>
                </c:pt>
                <c:pt idx="2727">
                  <c:v>5.4445448894219239E-4</c:v>
                </c:pt>
                <c:pt idx="2728">
                  <c:v>6.0979241651753114E-4</c:v>
                </c:pt>
                <c:pt idx="2729">
                  <c:v>2.2206918523613048E-4</c:v>
                </c:pt>
                <c:pt idx="2730">
                  <c:v>1.1743189345746509E-3</c:v>
                </c:pt>
                <c:pt idx="2731">
                  <c:v>1.0917501999585103E-3</c:v>
                </c:pt>
                <c:pt idx="2732">
                  <c:v>9.4495969498724342E-4</c:v>
                </c:pt>
                <c:pt idx="2733">
                  <c:v>8.587422388373696E-4</c:v>
                </c:pt>
                <c:pt idx="2734">
                  <c:v>1.1180057838920492E-3</c:v>
                </c:pt>
                <c:pt idx="2735">
                  <c:v>9.7458477332985005E-4</c:v>
                </c:pt>
                <c:pt idx="2736">
                  <c:v>1.2249645502015382E-3</c:v>
                </c:pt>
                <c:pt idx="2737">
                  <c:v>7.5801880121772883E-4</c:v>
                </c:pt>
                <c:pt idx="2738">
                  <c:v>7.3035748538230428E-4</c:v>
                </c:pt>
                <c:pt idx="2739">
                  <c:v>1.0668592244346029E-3</c:v>
                </c:pt>
                <c:pt idx="2740">
                  <c:v>5.8382367719511869E-4</c:v>
                </c:pt>
                <c:pt idx="2741">
                  <c:v>1.2975788897625908E-3</c:v>
                </c:pt>
                <c:pt idx="2742">
                  <c:v>1.1178634988217397E-3</c:v>
                </c:pt>
                <c:pt idx="2743">
                  <c:v>4.0664696277538858E-4</c:v>
                </c:pt>
                <c:pt idx="2744">
                  <c:v>1.1922944779722601E-3</c:v>
                </c:pt>
                <c:pt idx="2745">
                  <c:v>5.5400192274265023E-4</c:v>
                </c:pt>
                <c:pt idx="2746">
                  <c:v>7.9132298445198414E-4</c:v>
                </c:pt>
                <c:pt idx="2747">
                  <c:v>5.9570493963415246E-4</c:v>
                </c:pt>
                <c:pt idx="2748">
                  <c:v>8.7955752187251926E-4</c:v>
                </c:pt>
                <c:pt idx="2749">
                  <c:v>1.8956627706209037E-4</c:v>
                </c:pt>
                <c:pt idx="2750">
                  <c:v>4.5957239839707645E-4</c:v>
                </c:pt>
                <c:pt idx="2751">
                  <c:v>1.0529677686104131E-3</c:v>
                </c:pt>
                <c:pt idx="2752">
                  <c:v>7.770620224820063E-4</c:v>
                </c:pt>
                <c:pt idx="2753">
                  <c:v>9.8055429289532368E-4</c:v>
                </c:pt>
                <c:pt idx="2754">
                  <c:v>1.120355107021449E-3</c:v>
                </c:pt>
                <c:pt idx="2755">
                  <c:v>5.0827297220059774E-4</c:v>
                </c:pt>
                <c:pt idx="2756">
                  <c:v>5.1678852679876641E-4</c:v>
                </c:pt>
                <c:pt idx="2757">
                  <c:v>1.0492906357290558E-3</c:v>
                </c:pt>
                <c:pt idx="2758">
                  <c:v>8.0727066655632686E-4</c:v>
                </c:pt>
                <c:pt idx="2759">
                  <c:v>3.781267048719553E-4</c:v>
                </c:pt>
                <c:pt idx="2760">
                  <c:v>1.140527621570924E-3</c:v>
                </c:pt>
                <c:pt idx="2761">
                  <c:v>1.0887244978464473E-3</c:v>
                </c:pt>
                <c:pt idx="2762">
                  <c:v>1.2609245327863477E-3</c:v>
                </c:pt>
                <c:pt idx="2763">
                  <c:v>8.1584315487539508E-4</c:v>
                </c:pt>
                <c:pt idx="2764">
                  <c:v>1.1881944707395784E-3</c:v>
                </c:pt>
                <c:pt idx="2765">
                  <c:v>7.4952178991790892E-4</c:v>
                </c:pt>
                <c:pt idx="2766">
                  <c:v>1.0366789380968676E-3</c:v>
                </c:pt>
                <c:pt idx="2767">
                  <c:v>6.4893903634536429E-4</c:v>
                </c:pt>
                <c:pt idx="2768">
                  <c:v>1.7851382144728863E-4</c:v>
                </c:pt>
                <c:pt idx="2769">
                  <c:v>4.1640796421772632E-4</c:v>
                </c:pt>
                <c:pt idx="2770">
                  <c:v>1.0030035954882368E-3</c:v>
                </c:pt>
                <c:pt idx="2771">
                  <c:v>5.023829457699012E-4</c:v>
                </c:pt>
                <c:pt idx="2772">
                  <c:v>4.9327722257662323E-4</c:v>
                </c:pt>
                <c:pt idx="2773">
                  <c:v>5.9097290774877864E-4</c:v>
                </c:pt>
                <c:pt idx="2774">
                  <c:v>9.6438495574921869E-4</c:v>
                </c:pt>
                <c:pt idx="2775">
                  <c:v>8.929752187545987E-4</c:v>
                </c:pt>
                <c:pt idx="2776">
                  <c:v>2.6159920476825601E-4</c:v>
                </c:pt>
                <c:pt idx="2777">
                  <c:v>6.8387123848788489E-4</c:v>
                </c:pt>
                <c:pt idx="2778">
                  <c:v>5.6156062677771286E-4</c:v>
                </c:pt>
                <c:pt idx="2779">
                  <c:v>7.7228056746380476E-4</c:v>
                </c:pt>
                <c:pt idx="2780">
                  <c:v>9.5222382965120958E-4</c:v>
                </c:pt>
                <c:pt idx="2781">
                  <c:v>6.5075498860020205E-4</c:v>
                </c:pt>
                <c:pt idx="2782">
                  <c:v>3.7004366990753479E-4</c:v>
                </c:pt>
                <c:pt idx="2783">
                  <c:v>5.6724072920732657E-4</c:v>
                </c:pt>
                <c:pt idx="2784">
                  <c:v>6.4844538422363402E-4</c:v>
                </c:pt>
                <c:pt idx="2785">
                  <c:v>1.1734570205673845E-3</c:v>
                </c:pt>
                <c:pt idx="2786">
                  <c:v>2.8857859129754337E-4</c:v>
                </c:pt>
                <c:pt idx="2787">
                  <c:v>5.4570874000903148E-4</c:v>
                </c:pt>
                <c:pt idx="2788">
                  <c:v>6.7855119641291653E-4</c:v>
                </c:pt>
                <c:pt idx="2789">
                  <c:v>1.0462377756075777E-3</c:v>
                </c:pt>
                <c:pt idx="2790">
                  <c:v>9.0654661206715189E-4</c:v>
                </c:pt>
                <c:pt idx="2791">
                  <c:v>9.3764407263243323E-4</c:v>
                </c:pt>
                <c:pt idx="2792">
                  <c:v>1.1180991006675607E-3</c:v>
                </c:pt>
                <c:pt idx="2793">
                  <c:v>9.5878436409710106E-4</c:v>
                </c:pt>
                <c:pt idx="2794">
                  <c:v>7.3220434460808087E-4</c:v>
                </c:pt>
                <c:pt idx="2795">
                  <c:v>1.4771913279640557E-3</c:v>
                </c:pt>
                <c:pt idx="2796">
                  <c:v>5.8225564080625046E-4</c:v>
                </c:pt>
                <c:pt idx="2797">
                  <c:v>1.3218173929134089E-3</c:v>
                </c:pt>
                <c:pt idx="2798">
                  <c:v>5.9708572117391683E-4</c:v>
                </c:pt>
                <c:pt idx="2799">
                  <c:v>7.8226855108923027E-4</c:v>
                </c:pt>
                <c:pt idx="2800">
                  <c:v>1.0086774331769426E-3</c:v>
                </c:pt>
                <c:pt idx="2801">
                  <c:v>8.0741416689139795E-4</c:v>
                </c:pt>
                <c:pt idx="2802">
                  <c:v>6.631184025306119E-4</c:v>
                </c:pt>
                <c:pt idx="2803">
                  <c:v>6.9059549811701206E-4</c:v>
                </c:pt>
                <c:pt idx="2804">
                  <c:v>7.745642790978678E-4</c:v>
                </c:pt>
                <c:pt idx="2805">
                  <c:v>6.1605041086895348E-4</c:v>
                </c:pt>
                <c:pt idx="2806">
                  <c:v>9.0432447718043121E-4</c:v>
                </c:pt>
                <c:pt idx="2807">
                  <c:v>6.6640937963160618E-4</c:v>
                </c:pt>
                <c:pt idx="2808">
                  <c:v>1.0105465445148037E-3</c:v>
                </c:pt>
                <c:pt idx="2809">
                  <c:v>7.2145585967586974E-4</c:v>
                </c:pt>
                <c:pt idx="2810">
                  <c:v>8.3194365835143958E-4</c:v>
                </c:pt>
                <c:pt idx="2811">
                  <c:v>1.0187007596769953E-3</c:v>
                </c:pt>
                <c:pt idx="2812">
                  <c:v>6.3428467908690329E-4</c:v>
                </c:pt>
                <c:pt idx="2813">
                  <c:v>1.0150525462255876E-3</c:v>
                </c:pt>
                <c:pt idx="2814">
                  <c:v>9.8425536838047506E-4</c:v>
                </c:pt>
                <c:pt idx="2815">
                  <c:v>7.911603115413298E-4</c:v>
                </c:pt>
                <c:pt idx="2816">
                  <c:v>8.7300419033319574E-4</c:v>
                </c:pt>
                <c:pt idx="2817">
                  <c:v>8.2374039483763025E-4</c:v>
                </c:pt>
                <c:pt idx="2818">
                  <c:v>1.6824053108041473E-3</c:v>
                </c:pt>
                <c:pt idx="2819">
                  <c:v>1.2415147259026604E-3</c:v>
                </c:pt>
                <c:pt idx="2820">
                  <c:v>6.7953582229365221E-4</c:v>
                </c:pt>
                <c:pt idx="2821">
                  <c:v>1.3995103251017288E-3</c:v>
                </c:pt>
                <c:pt idx="2822">
                  <c:v>6.3525127545083074E-4</c:v>
                </c:pt>
                <c:pt idx="2823">
                  <c:v>1.0017636663452801E-3</c:v>
                </c:pt>
                <c:pt idx="2824">
                  <c:v>1.0719435009614307E-3</c:v>
                </c:pt>
                <c:pt idx="2825">
                  <c:v>8.0978975090779731E-4</c:v>
                </c:pt>
                <c:pt idx="2826">
                  <c:v>8.6911270593806973E-4</c:v>
                </c:pt>
                <c:pt idx="2827">
                  <c:v>5.136000746573E-4</c:v>
                </c:pt>
                <c:pt idx="2828">
                  <c:v>7.4580054475212613E-4</c:v>
                </c:pt>
                <c:pt idx="2829">
                  <c:v>7.9074005102487341E-4</c:v>
                </c:pt>
                <c:pt idx="2830">
                  <c:v>3.7024014612619305E-4</c:v>
                </c:pt>
                <c:pt idx="2831">
                  <c:v>1.1391400374096104E-3</c:v>
                </c:pt>
                <c:pt idx="2832">
                  <c:v>9.9071804572086006E-4</c:v>
                </c:pt>
                <c:pt idx="2833">
                  <c:v>1.434018381334132E-3</c:v>
                </c:pt>
                <c:pt idx="2834">
                  <c:v>7.6569822754317309E-4</c:v>
                </c:pt>
                <c:pt idx="2835">
                  <c:v>5.9032486047324955E-4</c:v>
                </c:pt>
                <c:pt idx="2836">
                  <c:v>5.7186415168637011E-4</c:v>
                </c:pt>
                <c:pt idx="2837">
                  <c:v>1.0237544942333899E-3</c:v>
                </c:pt>
                <c:pt idx="2838">
                  <c:v>6.1016641742898785E-4</c:v>
                </c:pt>
                <c:pt idx="2839">
                  <c:v>5.0794239029213644E-4</c:v>
                </c:pt>
                <c:pt idx="2840">
                  <c:v>1.0250169511855987E-3</c:v>
                </c:pt>
                <c:pt idx="2841">
                  <c:v>6.4326305186135932E-4</c:v>
                </c:pt>
                <c:pt idx="2842">
                  <c:v>7.905562441671137E-4</c:v>
                </c:pt>
                <c:pt idx="2843">
                  <c:v>8.7263176302195065E-4</c:v>
                </c:pt>
                <c:pt idx="2844">
                  <c:v>7.7407626251818065E-4</c:v>
                </c:pt>
                <c:pt idx="2845">
                  <c:v>7.0449713837024387E-4</c:v>
                </c:pt>
                <c:pt idx="2846">
                  <c:v>1.3999165863983842E-3</c:v>
                </c:pt>
                <c:pt idx="2847">
                  <c:v>4.9900271577387216E-4</c:v>
                </c:pt>
                <c:pt idx="2848">
                  <c:v>8.8381179293279817E-4</c:v>
                </c:pt>
                <c:pt idx="2849">
                  <c:v>8.1564520165715217E-4</c:v>
                </c:pt>
                <c:pt idx="2850">
                  <c:v>8.4096643466779358E-4</c:v>
                </c:pt>
                <c:pt idx="2851">
                  <c:v>9.941759859665954E-4</c:v>
                </c:pt>
                <c:pt idx="2852">
                  <c:v>3.2941560464820987E-4</c:v>
                </c:pt>
                <c:pt idx="2853">
                  <c:v>7.519287747870827E-4</c:v>
                </c:pt>
                <c:pt idx="2854">
                  <c:v>9.8813993539005975E-4</c:v>
                </c:pt>
                <c:pt idx="2855">
                  <c:v>2.588268898372123E-4</c:v>
                </c:pt>
                <c:pt idx="2856">
                  <c:v>9.054526641440676E-4</c:v>
                </c:pt>
                <c:pt idx="2857">
                  <c:v>7.0882673087865411E-4</c:v>
                </c:pt>
                <c:pt idx="2858">
                  <c:v>8.6748206773222536E-4</c:v>
                </c:pt>
                <c:pt idx="2859">
                  <c:v>1.0262107215735586E-3</c:v>
                </c:pt>
                <c:pt idx="2860">
                  <c:v>8.3998842463254327E-4</c:v>
                </c:pt>
                <c:pt idx="2861">
                  <c:v>1.3923842953425566E-3</c:v>
                </c:pt>
                <c:pt idx="2862">
                  <c:v>9.4953165542504658E-4</c:v>
                </c:pt>
                <c:pt idx="2863">
                  <c:v>6.2054573253392318E-4</c:v>
                </c:pt>
                <c:pt idx="2864">
                  <c:v>7.6213961934564259E-4</c:v>
                </c:pt>
                <c:pt idx="2865">
                  <c:v>6.4309738815888364E-4</c:v>
                </c:pt>
                <c:pt idx="2866">
                  <c:v>8.629773282793512E-4</c:v>
                </c:pt>
                <c:pt idx="2867">
                  <c:v>1.1937116391620205E-3</c:v>
                </c:pt>
                <c:pt idx="2868">
                  <c:v>6.1461945402155208E-4</c:v>
                </c:pt>
                <c:pt idx="2869">
                  <c:v>1.0608616858466761E-3</c:v>
                </c:pt>
                <c:pt idx="2870">
                  <c:v>6.1572772820504612E-4</c:v>
                </c:pt>
                <c:pt idx="2871">
                  <c:v>6.95145455476112E-4</c:v>
                </c:pt>
                <c:pt idx="2872">
                  <c:v>9.4301095947245113E-4</c:v>
                </c:pt>
                <c:pt idx="2873">
                  <c:v>9.0744551370888305E-4</c:v>
                </c:pt>
                <c:pt idx="2874">
                  <c:v>8.0968132230748488E-4</c:v>
                </c:pt>
                <c:pt idx="2875">
                  <c:v>7.4498620275623541E-4</c:v>
                </c:pt>
                <c:pt idx="2876">
                  <c:v>1.3826285267805785E-3</c:v>
                </c:pt>
                <c:pt idx="2877">
                  <c:v>9.3648036327413132E-4</c:v>
                </c:pt>
                <c:pt idx="2878">
                  <c:v>1.0034356859790459E-3</c:v>
                </c:pt>
                <c:pt idx="2879">
                  <c:v>1.0513620381591743E-3</c:v>
                </c:pt>
                <c:pt idx="2880">
                  <c:v>9.3379348368358281E-4</c:v>
                </c:pt>
                <c:pt idx="2881">
                  <c:v>5.349264283174243E-4</c:v>
                </c:pt>
                <c:pt idx="2882">
                  <c:v>1.007367921709113E-3</c:v>
                </c:pt>
                <c:pt idx="2883">
                  <c:v>1.0306244914039177E-3</c:v>
                </c:pt>
                <c:pt idx="2884">
                  <c:v>7.5353476413379827E-4</c:v>
                </c:pt>
                <c:pt idx="2885">
                  <c:v>1.3966401161809036E-3</c:v>
                </c:pt>
                <c:pt idx="2886">
                  <c:v>1.1519583655144098E-3</c:v>
                </c:pt>
                <c:pt idx="2887">
                  <c:v>1.1432288240972354E-3</c:v>
                </c:pt>
                <c:pt idx="2888">
                  <c:v>8.8883124542977067E-4</c:v>
                </c:pt>
                <c:pt idx="2889">
                  <c:v>7.959852342512301E-4</c:v>
                </c:pt>
                <c:pt idx="2890">
                  <c:v>4.1336910191237916E-4</c:v>
                </c:pt>
                <c:pt idx="2891">
                  <c:v>1.0431121489157629E-3</c:v>
                </c:pt>
                <c:pt idx="2892">
                  <c:v>7.1706550377794278E-4</c:v>
                </c:pt>
                <c:pt idx="2893">
                  <c:v>1.0205849855863276E-3</c:v>
                </c:pt>
                <c:pt idx="2894">
                  <c:v>3.3666198451277982E-4</c:v>
                </c:pt>
                <c:pt idx="2895">
                  <c:v>2.2824415934115985E-4</c:v>
                </c:pt>
                <c:pt idx="2896">
                  <c:v>7.5475643896958777E-4</c:v>
                </c:pt>
                <c:pt idx="2897">
                  <c:v>2.7682879152848752E-4</c:v>
                </c:pt>
                <c:pt idx="2898">
                  <c:v>6.024998707046265E-4</c:v>
                </c:pt>
                <c:pt idx="2899">
                  <c:v>1.9500264303530705E-4</c:v>
                </c:pt>
                <c:pt idx="2900">
                  <c:v>1.0308484776503318E-3</c:v>
                </c:pt>
                <c:pt idx="2901">
                  <c:v>7.5472258931073019E-4</c:v>
                </c:pt>
                <c:pt idx="2902">
                  <c:v>1.3418497697121933E-3</c:v>
                </c:pt>
                <c:pt idx="2903">
                  <c:v>9.0852308204192962E-4</c:v>
                </c:pt>
                <c:pt idx="2904">
                  <c:v>8.4950977739995759E-4</c:v>
                </c:pt>
                <c:pt idx="2905">
                  <c:v>1.048899927182759E-3</c:v>
                </c:pt>
                <c:pt idx="2906">
                  <c:v>7.4895236463723143E-4</c:v>
                </c:pt>
                <c:pt idx="2907">
                  <c:v>9.5077409577539872E-4</c:v>
                </c:pt>
                <c:pt idx="2908">
                  <c:v>9.9469928645429641E-4</c:v>
                </c:pt>
                <c:pt idx="2909">
                  <c:v>1.3286509871035354E-3</c:v>
                </c:pt>
                <c:pt idx="2910">
                  <c:v>8.3945099076178516E-4</c:v>
                </c:pt>
                <c:pt idx="2911">
                  <c:v>8.4884477408146361E-4</c:v>
                </c:pt>
                <c:pt idx="2912">
                  <c:v>8.2788157247783438E-4</c:v>
                </c:pt>
                <c:pt idx="2913">
                  <c:v>6.3772918431112113E-4</c:v>
                </c:pt>
                <c:pt idx="2914">
                  <c:v>7.7267243173249531E-4</c:v>
                </c:pt>
                <c:pt idx="2915">
                  <c:v>1.0000990688210738E-3</c:v>
                </c:pt>
                <c:pt idx="2916">
                  <c:v>3.453887466208176E-4</c:v>
                </c:pt>
                <c:pt idx="2917">
                  <c:v>6.42499678875304E-4</c:v>
                </c:pt>
                <c:pt idx="2918">
                  <c:v>6.9583350713813485E-4</c:v>
                </c:pt>
                <c:pt idx="2919">
                  <c:v>7.8147723828840782E-4</c:v>
                </c:pt>
                <c:pt idx="2920">
                  <c:v>6.8142471048405269E-4</c:v>
                </c:pt>
                <c:pt idx="2921">
                  <c:v>1.4639538004045066E-3</c:v>
                </c:pt>
                <c:pt idx="2922">
                  <c:v>8.2145755725101805E-4</c:v>
                </c:pt>
                <c:pt idx="2923">
                  <c:v>1.323565399621853E-3</c:v>
                </c:pt>
                <c:pt idx="2924">
                  <c:v>4.2671099560240094E-4</c:v>
                </c:pt>
                <c:pt idx="2925">
                  <c:v>1.6449294256890975E-4</c:v>
                </c:pt>
                <c:pt idx="2926">
                  <c:v>6.5071134074686703E-4</c:v>
                </c:pt>
                <c:pt idx="2927">
                  <c:v>9.0764359769928771E-4</c:v>
                </c:pt>
                <c:pt idx="2928">
                  <c:v>6.5714374070773615E-4</c:v>
                </c:pt>
                <c:pt idx="2929">
                  <c:v>1.0911319515210503E-3</c:v>
                </c:pt>
                <c:pt idx="2930">
                  <c:v>4.622396825045206E-4</c:v>
                </c:pt>
                <c:pt idx="2931">
                  <c:v>1.12148610502077E-3</c:v>
                </c:pt>
                <c:pt idx="2932">
                  <c:v>7.6631016545195604E-4</c:v>
                </c:pt>
                <c:pt idx="2933">
                  <c:v>1.2467581081937655E-3</c:v>
                </c:pt>
                <c:pt idx="2934">
                  <c:v>4.3250467582957026E-4</c:v>
                </c:pt>
                <c:pt idx="2935">
                  <c:v>6.9638421728029844E-4</c:v>
                </c:pt>
                <c:pt idx="2936">
                  <c:v>1.0338260752988382E-3</c:v>
                </c:pt>
                <c:pt idx="2937">
                  <c:v>4.4715497298121362E-4</c:v>
                </c:pt>
                <c:pt idx="2938">
                  <c:v>1.4466004651687379E-3</c:v>
                </c:pt>
                <c:pt idx="2939">
                  <c:v>1.067533336432255E-3</c:v>
                </c:pt>
                <c:pt idx="2940">
                  <c:v>5.1460028682409327E-4</c:v>
                </c:pt>
                <c:pt idx="2941">
                  <c:v>9.0683297920380061E-4</c:v>
                </c:pt>
                <c:pt idx="2942">
                  <c:v>1.5870083111865869E-3</c:v>
                </c:pt>
                <c:pt idx="2943">
                  <c:v>1.3075918924549846E-3</c:v>
                </c:pt>
                <c:pt idx="2944">
                  <c:v>1.9226453310896272E-4</c:v>
                </c:pt>
                <c:pt idx="2945">
                  <c:v>8.5361822933288059E-4</c:v>
                </c:pt>
                <c:pt idx="2946">
                  <c:v>1.0274138837223939E-3</c:v>
                </c:pt>
                <c:pt idx="2947">
                  <c:v>4.1354335743188215E-4</c:v>
                </c:pt>
                <c:pt idx="2948">
                  <c:v>1.4390704434511217E-3</c:v>
                </c:pt>
                <c:pt idx="2949">
                  <c:v>4.5653431736132123E-4</c:v>
                </c:pt>
                <c:pt idx="2950">
                  <c:v>6.8817120741944632E-4</c:v>
                </c:pt>
                <c:pt idx="2951">
                  <c:v>1.3696867821165191E-3</c:v>
                </c:pt>
                <c:pt idx="2952">
                  <c:v>1.1158181388312592E-3</c:v>
                </c:pt>
                <c:pt idx="2953">
                  <c:v>7.3279088092009228E-4</c:v>
                </c:pt>
                <c:pt idx="2954">
                  <c:v>1.0814566859749389E-3</c:v>
                </c:pt>
                <c:pt idx="2955">
                  <c:v>2.8528877842482175E-4</c:v>
                </c:pt>
                <c:pt idx="2956">
                  <c:v>8.9539670329379865E-4</c:v>
                </c:pt>
                <c:pt idx="2957">
                  <c:v>6.8208685305933816E-4</c:v>
                </c:pt>
                <c:pt idx="2958">
                  <c:v>6.9640587767093841E-4</c:v>
                </c:pt>
                <c:pt idx="2959">
                  <c:v>8.4835984742083958E-4</c:v>
                </c:pt>
                <c:pt idx="2960">
                  <c:v>9.4095996435217613E-4</c:v>
                </c:pt>
                <c:pt idx="2961">
                  <c:v>1.2123752561944705E-3</c:v>
                </c:pt>
                <c:pt idx="2962">
                  <c:v>9.8110914703279802E-4</c:v>
                </c:pt>
                <c:pt idx="2963">
                  <c:v>8.4964982452180799E-4</c:v>
                </c:pt>
                <c:pt idx="2964">
                  <c:v>8.6345436051610681E-4</c:v>
                </c:pt>
                <c:pt idx="2965">
                  <c:v>6.8979344060729486E-4</c:v>
                </c:pt>
                <c:pt idx="2966">
                  <c:v>8.2976898563925624E-4</c:v>
                </c:pt>
                <c:pt idx="2967">
                  <c:v>6.7222900168453477E-4</c:v>
                </c:pt>
                <c:pt idx="2968">
                  <c:v>9.3728141107471733E-4</c:v>
                </c:pt>
                <c:pt idx="2969">
                  <c:v>6.0775497985243591E-4</c:v>
                </c:pt>
                <c:pt idx="2970">
                  <c:v>4.5702406827135449E-4</c:v>
                </c:pt>
                <c:pt idx="2971">
                  <c:v>4.778547420768372E-4</c:v>
                </c:pt>
                <c:pt idx="2972">
                  <c:v>7.0931320854627339E-4</c:v>
                </c:pt>
                <c:pt idx="2973">
                  <c:v>9.3414391833391089E-4</c:v>
                </c:pt>
                <c:pt idx="2974">
                  <c:v>3.5972873824276474E-4</c:v>
                </c:pt>
                <c:pt idx="2975">
                  <c:v>5.91436211237971E-4</c:v>
                </c:pt>
                <c:pt idx="2976">
                  <c:v>6.8241813578391868E-4</c:v>
                </c:pt>
                <c:pt idx="2977">
                  <c:v>1.3112473783914776E-3</c:v>
                </c:pt>
                <c:pt idx="2978">
                  <c:v>9.6950032010957284E-4</c:v>
                </c:pt>
                <c:pt idx="2979">
                  <c:v>1.5615309819318522E-3</c:v>
                </c:pt>
                <c:pt idx="2980">
                  <c:v>1.1694304665745287E-3</c:v>
                </c:pt>
                <c:pt idx="2981">
                  <c:v>1.10476479091755E-3</c:v>
                </c:pt>
                <c:pt idx="2982">
                  <c:v>8.2659062307863425E-4</c:v>
                </c:pt>
                <c:pt idx="2983">
                  <c:v>6.6757123322734048E-4</c:v>
                </c:pt>
                <c:pt idx="2984">
                  <c:v>8.3115162144453193E-4</c:v>
                </c:pt>
                <c:pt idx="2985">
                  <c:v>1.2545746411539642E-3</c:v>
                </c:pt>
                <c:pt idx="2986">
                  <c:v>5.2424734825591893E-4</c:v>
                </c:pt>
                <c:pt idx="2987">
                  <c:v>8.8971521878970468E-4</c:v>
                </c:pt>
                <c:pt idx="2988">
                  <c:v>7.4833807333475329E-4</c:v>
                </c:pt>
                <c:pt idx="2989">
                  <c:v>1.2485926584538554E-3</c:v>
                </c:pt>
                <c:pt idx="2990">
                  <c:v>8.7905273875029137E-4</c:v>
                </c:pt>
                <c:pt idx="2991">
                  <c:v>1.3220058095544326E-3</c:v>
                </c:pt>
                <c:pt idx="2992">
                  <c:v>1.355677382098137E-3</c:v>
                </c:pt>
                <c:pt idx="2993">
                  <c:v>1.2729797281867382E-3</c:v>
                </c:pt>
                <c:pt idx="2994">
                  <c:v>4.4121725520963911E-4</c:v>
                </c:pt>
                <c:pt idx="2995">
                  <c:v>7.6074339859342718E-4</c:v>
                </c:pt>
                <c:pt idx="2996">
                  <c:v>6.994993562653187E-4</c:v>
                </c:pt>
                <c:pt idx="2997">
                  <c:v>6.3525174568911981E-4</c:v>
                </c:pt>
                <c:pt idx="2998">
                  <c:v>1.1801650132334048E-3</c:v>
                </c:pt>
                <c:pt idx="2999">
                  <c:v>4.3946263743040008E-4</c:v>
                </c:pt>
                <c:pt idx="3000">
                  <c:v>1.014322310184564E-3</c:v>
                </c:pt>
                <c:pt idx="3001">
                  <c:v>1.0020138463895285E-3</c:v>
                </c:pt>
                <c:pt idx="3002">
                  <c:v>1.1862481021695098E-3</c:v>
                </c:pt>
                <c:pt idx="3003">
                  <c:v>3.6831955490463725E-4</c:v>
                </c:pt>
                <c:pt idx="3004">
                  <c:v>5.6976644927936456E-4</c:v>
                </c:pt>
                <c:pt idx="3005">
                  <c:v>5.0187014297424363E-4</c:v>
                </c:pt>
                <c:pt idx="3006">
                  <c:v>6.9109233807641856E-4</c:v>
                </c:pt>
                <c:pt idx="3007">
                  <c:v>7.3240314874590672E-4</c:v>
                </c:pt>
                <c:pt idx="3008">
                  <c:v>1.1702177621146794E-3</c:v>
                </c:pt>
                <c:pt idx="3009">
                  <c:v>1.1634082178953119E-3</c:v>
                </c:pt>
                <c:pt idx="3010">
                  <c:v>5.1618140916593767E-4</c:v>
                </c:pt>
                <c:pt idx="3011">
                  <c:v>6.3965833994366976E-4</c:v>
                </c:pt>
                <c:pt idx="3012">
                  <c:v>1.2152776010391918E-3</c:v>
                </c:pt>
                <c:pt idx="3013">
                  <c:v>4.2570852360694552E-4</c:v>
                </c:pt>
                <c:pt idx="3014">
                  <c:v>6.423819946558705E-4</c:v>
                </c:pt>
                <c:pt idx="3015">
                  <c:v>2.9323206122683473E-4</c:v>
                </c:pt>
                <c:pt idx="3016">
                  <c:v>7.1547379623233408E-4</c:v>
                </c:pt>
                <c:pt idx="3017">
                  <c:v>4.8566895734069524E-4</c:v>
                </c:pt>
                <c:pt idx="3018">
                  <c:v>1.2233222294612117E-3</c:v>
                </c:pt>
                <c:pt idx="3019">
                  <c:v>1.0652211097397521E-3</c:v>
                </c:pt>
                <c:pt idx="3020">
                  <c:v>5.0188308193992344E-4</c:v>
                </c:pt>
                <c:pt idx="3021">
                  <c:v>5.6563290474389921E-4</c:v>
                </c:pt>
                <c:pt idx="3022">
                  <c:v>7.9173365159177639E-4</c:v>
                </c:pt>
                <c:pt idx="3023">
                  <c:v>1.0018329750802564E-3</c:v>
                </c:pt>
                <c:pt idx="3024">
                  <c:v>1.2966466827187045E-3</c:v>
                </c:pt>
                <c:pt idx="3025">
                  <c:v>1.1619464926363131E-3</c:v>
                </c:pt>
                <c:pt idx="3026">
                  <c:v>1.3377095704562505E-3</c:v>
                </c:pt>
                <c:pt idx="3027">
                  <c:v>7.4208117775930013E-4</c:v>
                </c:pt>
                <c:pt idx="3028">
                  <c:v>5.7539293563962999E-4</c:v>
                </c:pt>
                <c:pt idx="3029">
                  <c:v>8.0506215159818978E-4</c:v>
                </c:pt>
                <c:pt idx="3030">
                  <c:v>1.1472654575754766E-3</c:v>
                </c:pt>
                <c:pt idx="3031">
                  <c:v>1.1038479831571072E-3</c:v>
                </c:pt>
                <c:pt idx="3032">
                  <c:v>1.8955574848349754E-4</c:v>
                </c:pt>
                <c:pt idx="3033">
                  <c:v>1.1800386630007129E-3</c:v>
                </c:pt>
                <c:pt idx="3034">
                  <c:v>4.4507540092640705E-4</c:v>
                </c:pt>
                <c:pt idx="3035">
                  <c:v>9.9657082277878717E-4</c:v>
                </c:pt>
                <c:pt idx="3036">
                  <c:v>9.7225282093757416E-4</c:v>
                </c:pt>
                <c:pt idx="3037">
                  <c:v>4.416000213565153E-4</c:v>
                </c:pt>
                <c:pt idx="3038">
                  <c:v>6.6704484492854487E-4</c:v>
                </c:pt>
                <c:pt idx="3039">
                  <c:v>7.9003297602644562E-4</c:v>
                </c:pt>
                <c:pt idx="3040">
                  <c:v>3.5038473512559606E-4</c:v>
                </c:pt>
                <c:pt idx="3041">
                  <c:v>1.1036337911243441E-3</c:v>
                </c:pt>
                <c:pt idx="3042">
                  <c:v>6.9503901644161863E-4</c:v>
                </c:pt>
                <c:pt idx="3043">
                  <c:v>4.1521149229645433E-4</c:v>
                </c:pt>
                <c:pt idx="3044">
                  <c:v>6.0499863368748468E-4</c:v>
                </c:pt>
                <c:pt idx="3045">
                  <c:v>6.3826157574589594E-4</c:v>
                </c:pt>
                <c:pt idx="3046">
                  <c:v>1.2493400214021995E-3</c:v>
                </c:pt>
                <c:pt idx="3047">
                  <c:v>8.9939831744509141E-4</c:v>
                </c:pt>
                <c:pt idx="3048">
                  <c:v>6.2958775338615373E-4</c:v>
                </c:pt>
                <c:pt idx="3049">
                  <c:v>1.0518575037882548E-3</c:v>
                </c:pt>
                <c:pt idx="3050">
                  <c:v>8.8487343223775502E-4</c:v>
                </c:pt>
                <c:pt idx="3051">
                  <c:v>8.2101251987150975E-4</c:v>
                </c:pt>
                <c:pt idx="3052">
                  <c:v>7.4719038052578098E-5</c:v>
                </c:pt>
                <c:pt idx="3053">
                  <c:v>8.966514557758005E-4</c:v>
                </c:pt>
                <c:pt idx="3054">
                  <c:v>1.3036879220593013E-3</c:v>
                </c:pt>
                <c:pt idx="3055">
                  <c:v>1.8121123668728601E-4</c:v>
                </c:pt>
                <c:pt idx="3056">
                  <c:v>1.6552009087176937E-3</c:v>
                </c:pt>
                <c:pt idx="3057">
                  <c:v>7.0032887313401968E-4</c:v>
                </c:pt>
                <c:pt idx="3058">
                  <c:v>8.0648793891865815E-4</c:v>
                </c:pt>
                <c:pt idx="3059">
                  <c:v>6.6543280051284577E-4</c:v>
                </c:pt>
                <c:pt idx="3060">
                  <c:v>1.3196330337235703E-3</c:v>
                </c:pt>
                <c:pt idx="3061">
                  <c:v>8.0881503379277798E-4</c:v>
                </c:pt>
                <c:pt idx="3062">
                  <c:v>1.1124473003057357E-3</c:v>
                </c:pt>
                <c:pt idx="3063">
                  <c:v>4.2872673425084929E-4</c:v>
                </c:pt>
                <c:pt idx="3064">
                  <c:v>6.4269690206174724E-4</c:v>
                </c:pt>
                <c:pt idx="3065">
                  <c:v>9.9030227618557981E-4</c:v>
                </c:pt>
                <c:pt idx="3066">
                  <c:v>8.2067176345404134E-4</c:v>
                </c:pt>
                <c:pt idx="3067">
                  <c:v>1.3636477548037889E-3</c:v>
                </c:pt>
                <c:pt idx="3068">
                  <c:v>8.9369831348061685E-4</c:v>
                </c:pt>
                <c:pt idx="3069">
                  <c:v>2.4544420357227941E-4</c:v>
                </c:pt>
                <c:pt idx="3070">
                  <c:v>1.2955308006809955E-3</c:v>
                </c:pt>
                <c:pt idx="3071">
                  <c:v>9.5482824387455815E-4</c:v>
                </c:pt>
                <c:pt idx="3072">
                  <c:v>1.2157630976050288E-3</c:v>
                </c:pt>
                <c:pt idx="3073">
                  <c:v>9.7341809509080262E-4</c:v>
                </c:pt>
                <c:pt idx="3074">
                  <c:v>9.2900983751888287E-4</c:v>
                </c:pt>
                <c:pt idx="3075">
                  <c:v>1.3636366684490503E-3</c:v>
                </c:pt>
                <c:pt idx="3076">
                  <c:v>6.0191841544461524E-4</c:v>
                </c:pt>
                <c:pt idx="3077">
                  <c:v>9.1925223711836071E-4</c:v>
                </c:pt>
                <c:pt idx="3078">
                  <c:v>4.5930776928362611E-4</c:v>
                </c:pt>
                <c:pt idx="3079">
                  <c:v>1.0406572178107466E-3</c:v>
                </c:pt>
                <c:pt idx="3080">
                  <c:v>7.4246693668766591E-4</c:v>
                </c:pt>
                <c:pt idx="3081">
                  <c:v>6.6344288434547769E-4</c:v>
                </c:pt>
                <c:pt idx="3082">
                  <c:v>7.2898050015252069E-4</c:v>
                </c:pt>
                <c:pt idx="3083">
                  <c:v>8.9846665502021255E-4</c:v>
                </c:pt>
                <c:pt idx="3084">
                  <c:v>6.0702447028965721E-4</c:v>
                </c:pt>
                <c:pt idx="3085">
                  <c:v>7.6221891715369831E-4</c:v>
                </c:pt>
                <c:pt idx="3086">
                  <c:v>1.961334118270951E-4</c:v>
                </c:pt>
                <c:pt idx="3087">
                  <c:v>5.2582259473440984E-4</c:v>
                </c:pt>
                <c:pt idx="3088">
                  <c:v>4.594734749285609E-4</c:v>
                </c:pt>
                <c:pt idx="3089">
                  <c:v>4.8151630200357051E-4</c:v>
                </c:pt>
                <c:pt idx="3090">
                  <c:v>6.4095179480628064E-4</c:v>
                </c:pt>
                <c:pt idx="3091">
                  <c:v>6.7644012850016325E-4</c:v>
                </c:pt>
                <c:pt idx="3092">
                  <c:v>5.6458688137404835E-4</c:v>
                </c:pt>
                <c:pt idx="3093">
                  <c:v>9.9251087717082929E-4</c:v>
                </c:pt>
                <c:pt idx="3094">
                  <c:v>6.390977278708487E-4</c:v>
                </c:pt>
                <c:pt idx="3095">
                  <c:v>1.4760216951671349E-3</c:v>
                </c:pt>
                <c:pt idx="3096">
                  <c:v>1.3046226537823846E-3</c:v>
                </c:pt>
                <c:pt idx="3097">
                  <c:v>4.6250594175579617E-4</c:v>
                </c:pt>
                <c:pt idx="3098">
                  <c:v>7.5191061516679733E-4</c:v>
                </c:pt>
                <c:pt idx="3099">
                  <c:v>1.0390023583749324E-3</c:v>
                </c:pt>
                <c:pt idx="3100">
                  <c:v>4.5220964730353648E-4</c:v>
                </c:pt>
                <c:pt idx="3101">
                  <c:v>8.9344012241995548E-4</c:v>
                </c:pt>
                <c:pt idx="3102">
                  <c:v>8.2650293989150665E-4</c:v>
                </c:pt>
                <c:pt idx="3103">
                  <c:v>8.9522638105197583E-4</c:v>
                </c:pt>
                <c:pt idx="3104">
                  <c:v>2.1836364135626138E-4</c:v>
                </c:pt>
                <c:pt idx="3105">
                  <c:v>1.2179848551626968E-3</c:v>
                </c:pt>
                <c:pt idx="3106">
                  <c:v>1.2919300844257472E-3</c:v>
                </c:pt>
                <c:pt idx="3107">
                  <c:v>1.4175454230578777E-3</c:v>
                </c:pt>
                <c:pt idx="3108">
                  <c:v>5.2048553127631862E-4</c:v>
                </c:pt>
                <c:pt idx="3109">
                  <c:v>8.8109146906431362E-4</c:v>
                </c:pt>
                <c:pt idx="3110">
                  <c:v>8.9678100191537317E-4</c:v>
                </c:pt>
                <c:pt idx="3111">
                  <c:v>1.1194029792647177E-3</c:v>
                </c:pt>
                <c:pt idx="3112">
                  <c:v>1.2497073026583475E-3</c:v>
                </c:pt>
                <c:pt idx="3113">
                  <c:v>7.5726859076929889E-4</c:v>
                </c:pt>
                <c:pt idx="3114">
                  <c:v>6.930113083763712E-4</c:v>
                </c:pt>
                <c:pt idx="3115">
                  <c:v>6.2475238905120565E-4</c:v>
                </c:pt>
                <c:pt idx="3116">
                  <c:v>5.1599078617310136E-4</c:v>
                </c:pt>
                <c:pt idx="3117">
                  <c:v>9.8435867959925823E-4</c:v>
                </c:pt>
                <c:pt idx="3118">
                  <c:v>5.2656853730634215E-4</c:v>
                </c:pt>
                <c:pt idx="3119">
                  <c:v>1.0865745980906333E-4</c:v>
                </c:pt>
                <c:pt idx="3120">
                  <c:v>7.8757016045449422E-4</c:v>
                </c:pt>
                <c:pt idx="3121">
                  <c:v>8.6247547808781784E-4</c:v>
                </c:pt>
                <c:pt idx="3122">
                  <c:v>1.1251053110678522E-3</c:v>
                </c:pt>
                <c:pt idx="3123">
                  <c:v>5.7574119507531078E-4</c:v>
                </c:pt>
                <c:pt idx="3124">
                  <c:v>5.5879444216181686E-4</c:v>
                </c:pt>
                <c:pt idx="3125">
                  <c:v>1.0000474918331571E-3</c:v>
                </c:pt>
                <c:pt idx="3126">
                  <c:v>6.770001925907453E-4</c:v>
                </c:pt>
                <c:pt idx="3127">
                  <c:v>1.5682843762129986E-3</c:v>
                </c:pt>
                <c:pt idx="3128">
                  <c:v>1.070778753473618E-3</c:v>
                </c:pt>
                <c:pt idx="3129">
                  <c:v>1.2295379197460486E-3</c:v>
                </c:pt>
                <c:pt idx="3130">
                  <c:v>3.7514412268539879E-4</c:v>
                </c:pt>
                <c:pt idx="3131">
                  <c:v>9.1954805519276362E-4</c:v>
                </c:pt>
                <c:pt idx="3132">
                  <c:v>6.738591486788808E-4</c:v>
                </c:pt>
                <c:pt idx="3133">
                  <c:v>1.3116349405771328E-3</c:v>
                </c:pt>
                <c:pt idx="3134">
                  <c:v>8.6400020208635565E-4</c:v>
                </c:pt>
                <c:pt idx="3135">
                  <c:v>5.210531097746315E-4</c:v>
                </c:pt>
                <c:pt idx="3136">
                  <c:v>4.8465874998899735E-4</c:v>
                </c:pt>
                <c:pt idx="3137">
                  <c:v>6.6912143201264306E-4</c:v>
                </c:pt>
                <c:pt idx="3138">
                  <c:v>1.3297259557734067E-3</c:v>
                </c:pt>
                <c:pt idx="3139">
                  <c:v>1.0503308335736272E-3</c:v>
                </c:pt>
                <c:pt idx="3140">
                  <c:v>9.2862257175465495E-4</c:v>
                </c:pt>
                <c:pt idx="3141">
                  <c:v>1.1888861131251799E-3</c:v>
                </c:pt>
                <c:pt idx="3142">
                  <c:v>1.0789770066224715E-3</c:v>
                </c:pt>
                <c:pt idx="3143">
                  <c:v>7.7933930155459541E-4</c:v>
                </c:pt>
                <c:pt idx="3144">
                  <c:v>8.750578753093345E-4</c:v>
                </c:pt>
                <c:pt idx="3145">
                  <c:v>9.7355008912044778E-4</c:v>
                </c:pt>
                <c:pt idx="3146">
                  <c:v>1.0668287601827201E-3</c:v>
                </c:pt>
                <c:pt idx="3147">
                  <c:v>7.1586838896184248E-4</c:v>
                </c:pt>
                <c:pt idx="3148">
                  <c:v>1.4156338454958878E-3</c:v>
                </c:pt>
                <c:pt idx="3149">
                  <c:v>1.3894881388949471E-3</c:v>
                </c:pt>
                <c:pt idx="3150">
                  <c:v>7.8573015916118109E-4</c:v>
                </c:pt>
                <c:pt idx="3151">
                  <c:v>1.2771728123888671E-3</c:v>
                </c:pt>
                <c:pt idx="3152">
                  <c:v>9.5842638999177028E-4</c:v>
                </c:pt>
                <c:pt idx="3153">
                  <c:v>6.7791109522335742E-4</c:v>
                </c:pt>
                <c:pt idx="3154">
                  <c:v>6.4856195620522435E-4</c:v>
                </c:pt>
                <c:pt idx="3155">
                  <c:v>4.5644540148624755E-4</c:v>
                </c:pt>
                <c:pt idx="3156">
                  <c:v>7.2863218839590131E-4</c:v>
                </c:pt>
                <c:pt idx="3157">
                  <c:v>1.5928942315834834E-3</c:v>
                </c:pt>
                <c:pt idx="3158">
                  <c:v>6.4703807047987623E-4</c:v>
                </c:pt>
                <c:pt idx="3159">
                  <c:v>6.5957731777519174E-4</c:v>
                </c:pt>
                <c:pt idx="3160">
                  <c:v>1.2782349298621201E-3</c:v>
                </c:pt>
                <c:pt idx="3161">
                  <c:v>6.2909995119870752E-4</c:v>
                </c:pt>
                <c:pt idx="3162">
                  <c:v>1.7295866235572546E-4</c:v>
                </c:pt>
                <c:pt idx="3163">
                  <c:v>9.7143505605835543E-4</c:v>
                </c:pt>
                <c:pt idx="3164">
                  <c:v>1.2045127084451815E-3</c:v>
                </c:pt>
                <c:pt idx="3165">
                  <c:v>1.326328392672424E-3</c:v>
                </c:pt>
                <c:pt idx="3166">
                  <c:v>9.967487400679197E-4</c:v>
                </c:pt>
                <c:pt idx="3167">
                  <c:v>1.0259035657402117E-3</c:v>
                </c:pt>
                <c:pt idx="3168">
                  <c:v>1.0989878483818349E-3</c:v>
                </c:pt>
                <c:pt idx="3169">
                  <c:v>6.9037655985722225E-4</c:v>
                </c:pt>
                <c:pt idx="3170">
                  <c:v>4.9863523301223514E-4</c:v>
                </c:pt>
                <c:pt idx="3171">
                  <c:v>9.8765178857402854E-4</c:v>
                </c:pt>
                <c:pt idx="3172">
                  <c:v>8.8252279048601806E-4</c:v>
                </c:pt>
                <c:pt idx="3173">
                  <c:v>1.0408050393761687E-3</c:v>
                </c:pt>
                <c:pt idx="3174">
                  <c:v>9.3210228188378528E-4</c:v>
                </c:pt>
                <c:pt idx="3175">
                  <c:v>1.2930892144374841E-3</c:v>
                </c:pt>
                <c:pt idx="3176">
                  <c:v>5.5321526727535085E-4</c:v>
                </c:pt>
                <c:pt idx="3177">
                  <c:v>8.8570101557042204E-4</c:v>
                </c:pt>
                <c:pt idx="3178">
                  <c:v>1.181832715106555E-3</c:v>
                </c:pt>
                <c:pt idx="3179">
                  <c:v>8.6781639611665639E-4</c:v>
                </c:pt>
                <c:pt idx="3180">
                  <c:v>1.1620949536267839E-3</c:v>
                </c:pt>
                <c:pt idx="3181">
                  <c:v>1.1808085994827473E-3</c:v>
                </c:pt>
                <c:pt idx="3182">
                  <c:v>1.0068282575331053E-3</c:v>
                </c:pt>
                <c:pt idx="3183">
                  <c:v>1.0055893005951955E-3</c:v>
                </c:pt>
                <c:pt idx="3184">
                  <c:v>9.1864959456615207E-4</c:v>
                </c:pt>
                <c:pt idx="3185">
                  <c:v>7.8391236148599034E-4</c:v>
                </c:pt>
                <c:pt idx="3186">
                  <c:v>6.4027731795647199E-4</c:v>
                </c:pt>
                <c:pt idx="3187">
                  <c:v>8.2460835703408123E-4</c:v>
                </c:pt>
                <c:pt idx="3188">
                  <c:v>6.8076831095683916E-4</c:v>
                </c:pt>
                <c:pt idx="3189">
                  <c:v>7.7364379923400858E-4</c:v>
                </c:pt>
                <c:pt idx="3190">
                  <c:v>9.670057000466714E-4</c:v>
                </c:pt>
                <c:pt idx="3191">
                  <c:v>8.8114542891036258E-4</c:v>
                </c:pt>
                <c:pt idx="3192">
                  <c:v>1.2895459316033886E-3</c:v>
                </c:pt>
                <c:pt idx="3193">
                  <c:v>1.2659833086496786E-3</c:v>
                </c:pt>
                <c:pt idx="3194">
                  <c:v>4.9629030445949953E-4</c:v>
                </c:pt>
                <c:pt idx="3195">
                  <c:v>7.244453440155412E-4</c:v>
                </c:pt>
                <c:pt idx="3196">
                  <c:v>1.0834872512014528E-3</c:v>
                </c:pt>
                <c:pt idx="3197">
                  <c:v>6.0976312326007222E-4</c:v>
                </c:pt>
                <c:pt idx="3198">
                  <c:v>1.049533161289294E-3</c:v>
                </c:pt>
                <c:pt idx="3199">
                  <c:v>8.4039430712900534E-4</c:v>
                </c:pt>
                <c:pt idx="3200">
                  <c:v>1.460229844147687E-3</c:v>
                </c:pt>
                <c:pt idx="3201">
                  <c:v>1.0301444769218696E-3</c:v>
                </c:pt>
                <c:pt idx="3202">
                  <c:v>6.4495812801023333E-4</c:v>
                </c:pt>
                <c:pt idx="3203">
                  <c:v>7.5324228045200591E-4</c:v>
                </c:pt>
                <c:pt idx="3204">
                  <c:v>5.5693387291717129E-4</c:v>
                </c:pt>
                <c:pt idx="3205">
                  <c:v>1.1628861288631336E-3</c:v>
                </c:pt>
                <c:pt idx="3206">
                  <c:v>7.2352849397981601E-4</c:v>
                </c:pt>
                <c:pt idx="3207">
                  <c:v>6.9390294131251647E-4</c:v>
                </c:pt>
                <c:pt idx="3208">
                  <c:v>8.4367803493755832E-4</c:v>
                </c:pt>
                <c:pt idx="3209">
                  <c:v>9.0508051236809375E-4</c:v>
                </c:pt>
                <c:pt idx="3210">
                  <c:v>1.2558656249954721E-3</c:v>
                </c:pt>
                <c:pt idx="3211">
                  <c:v>5.0566301955314768E-4</c:v>
                </c:pt>
                <c:pt idx="3212">
                  <c:v>9.0948865468906378E-4</c:v>
                </c:pt>
                <c:pt idx="3213">
                  <c:v>7.0512836506802948E-4</c:v>
                </c:pt>
                <c:pt idx="3214">
                  <c:v>1.2381468378520957E-3</c:v>
                </c:pt>
                <c:pt idx="3215">
                  <c:v>7.1451297741161371E-4</c:v>
                </c:pt>
                <c:pt idx="3216">
                  <c:v>5.6472870087674956E-4</c:v>
                </c:pt>
                <c:pt idx="3217">
                  <c:v>6.4707103638740073E-4</c:v>
                </c:pt>
                <c:pt idx="3218">
                  <c:v>1.0727351973436527E-3</c:v>
                </c:pt>
                <c:pt idx="3219">
                  <c:v>1.3122732132333575E-3</c:v>
                </c:pt>
                <c:pt idx="3220">
                  <c:v>2.3634120190354308E-4</c:v>
                </c:pt>
                <c:pt idx="3221">
                  <c:v>8.1732756528890018E-4</c:v>
                </c:pt>
                <c:pt idx="3222">
                  <c:v>7.4638097997674162E-4</c:v>
                </c:pt>
                <c:pt idx="3223">
                  <c:v>6.4219503416851147E-4</c:v>
                </c:pt>
                <c:pt idx="3224">
                  <c:v>5.4186891815898855E-4</c:v>
                </c:pt>
                <c:pt idx="3225">
                  <c:v>3.0056042636018453E-4</c:v>
                </c:pt>
                <c:pt idx="3226">
                  <c:v>1.1061354959625669E-3</c:v>
                </c:pt>
                <c:pt idx="3227">
                  <c:v>1.3489624817406606E-3</c:v>
                </c:pt>
                <c:pt idx="3228">
                  <c:v>1.1557492249193158E-3</c:v>
                </c:pt>
                <c:pt idx="3229">
                  <c:v>1.2974440183327845E-3</c:v>
                </c:pt>
                <c:pt idx="3230">
                  <c:v>1.3096116470446163E-3</c:v>
                </c:pt>
                <c:pt idx="3231">
                  <c:v>3.6819584210106302E-4</c:v>
                </c:pt>
                <c:pt idx="3232">
                  <c:v>1.5776847271251648E-3</c:v>
                </c:pt>
                <c:pt idx="3233">
                  <c:v>1.1317753357113799E-3</c:v>
                </c:pt>
                <c:pt idx="3234">
                  <c:v>9.1491004709219116E-4</c:v>
                </c:pt>
                <c:pt idx="3235">
                  <c:v>2.5662741936842339E-4</c:v>
                </c:pt>
                <c:pt idx="3236">
                  <c:v>1.2183908307618326E-3</c:v>
                </c:pt>
                <c:pt idx="3237">
                  <c:v>6.6494347249776008E-4</c:v>
                </c:pt>
                <c:pt idx="3238">
                  <c:v>6.3052532563621217E-4</c:v>
                </c:pt>
                <c:pt idx="3239">
                  <c:v>1.0471013680370322E-3</c:v>
                </c:pt>
                <c:pt idx="3240">
                  <c:v>8.3502458363532742E-4</c:v>
                </c:pt>
                <c:pt idx="3241">
                  <c:v>5.1502492060318775E-4</c:v>
                </c:pt>
                <c:pt idx="3242">
                  <c:v>9.6987393089191575E-4</c:v>
                </c:pt>
                <c:pt idx="3243">
                  <c:v>1.001977766112159E-3</c:v>
                </c:pt>
                <c:pt idx="3244">
                  <c:v>1.5584036006024229E-3</c:v>
                </c:pt>
                <c:pt idx="3245">
                  <c:v>1.0857431202879846E-3</c:v>
                </c:pt>
                <c:pt idx="3246">
                  <c:v>5.3904531347392579E-4</c:v>
                </c:pt>
                <c:pt idx="3247">
                  <c:v>7.9245250396756789E-4</c:v>
                </c:pt>
                <c:pt idx="3248">
                  <c:v>1.0956511496054318E-3</c:v>
                </c:pt>
                <c:pt idx="3249">
                  <c:v>1.0174146633030381E-3</c:v>
                </c:pt>
                <c:pt idx="3250">
                  <c:v>1.1184514883284284E-3</c:v>
                </c:pt>
                <c:pt idx="3251">
                  <c:v>6.0771412464873543E-4</c:v>
                </c:pt>
                <c:pt idx="3252">
                  <c:v>5.1451939260876902E-4</c:v>
                </c:pt>
                <c:pt idx="3253">
                  <c:v>4.1670491831689854E-4</c:v>
                </c:pt>
                <c:pt idx="3254">
                  <c:v>6.4238614726867566E-4</c:v>
                </c:pt>
                <c:pt idx="3255">
                  <c:v>9.270924299573356E-4</c:v>
                </c:pt>
                <c:pt idx="3256">
                  <c:v>1.1811625312235753E-3</c:v>
                </c:pt>
                <c:pt idx="3257">
                  <c:v>1.0251047088898012E-3</c:v>
                </c:pt>
                <c:pt idx="3258">
                  <c:v>6.4997564170383103E-4</c:v>
                </c:pt>
                <c:pt idx="3259">
                  <c:v>1.1258143136455984E-3</c:v>
                </c:pt>
                <c:pt idx="3260">
                  <c:v>1.3748806127843178E-3</c:v>
                </c:pt>
                <c:pt idx="3261">
                  <c:v>4.5627543713608836E-4</c:v>
                </c:pt>
                <c:pt idx="3262">
                  <c:v>5.9442599549631384E-4</c:v>
                </c:pt>
                <c:pt idx="3263">
                  <c:v>8.5590194195572789E-4</c:v>
                </c:pt>
                <c:pt idx="3264">
                  <c:v>8.6243841208253041E-4</c:v>
                </c:pt>
                <c:pt idx="3265">
                  <c:v>9.8215155901281532E-4</c:v>
                </c:pt>
                <c:pt idx="3266">
                  <c:v>8.9708277294964971E-4</c:v>
                </c:pt>
                <c:pt idx="3267">
                  <c:v>1.9805193703007843E-4</c:v>
                </c:pt>
                <c:pt idx="3268">
                  <c:v>6.7760202554818382E-4</c:v>
                </c:pt>
                <c:pt idx="3269">
                  <c:v>2.5572908859935415E-4</c:v>
                </c:pt>
                <c:pt idx="3270">
                  <c:v>9.4260244534958302E-4</c:v>
                </c:pt>
                <c:pt idx="3271">
                  <c:v>9.4241274762614014E-4</c:v>
                </c:pt>
                <c:pt idx="3272">
                  <c:v>9.3462608625264373E-4</c:v>
                </c:pt>
                <c:pt idx="3273">
                  <c:v>7.5728048575164218E-4</c:v>
                </c:pt>
                <c:pt idx="3274">
                  <c:v>1.1144529089984609E-3</c:v>
                </c:pt>
                <c:pt idx="3275">
                  <c:v>1.3467268382970875E-3</c:v>
                </c:pt>
                <c:pt idx="3276">
                  <c:v>8.2281079169455257E-4</c:v>
                </c:pt>
                <c:pt idx="3277">
                  <c:v>9.2119511074591784E-4</c:v>
                </c:pt>
                <c:pt idx="3278">
                  <c:v>7.4668008486247208E-4</c:v>
                </c:pt>
                <c:pt idx="3279">
                  <c:v>6.7024360706926384E-4</c:v>
                </c:pt>
                <c:pt idx="3280">
                  <c:v>1.2387970536129084E-3</c:v>
                </c:pt>
                <c:pt idx="3281">
                  <c:v>1.0804117252179515E-3</c:v>
                </c:pt>
                <c:pt idx="3282">
                  <c:v>1.1287459368595789E-3</c:v>
                </c:pt>
                <c:pt idx="3283">
                  <c:v>1.0093006023304469E-3</c:v>
                </c:pt>
                <c:pt idx="3284">
                  <c:v>8.8107014573088598E-4</c:v>
                </c:pt>
                <c:pt idx="3285">
                  <c:v>1.6298327435113884E-3</c:v>
                </c:pt>
                <c:pt idx="3286">
                  <c:v>1.3576399741069799E-3</c:v>
                </c:pt>
                <c:pt idx="3287">
                  <c:v>1.3010379568328264E-3</c:v>
                </c:pt>
                <c:pt idx="3288">
                  <c:v>1.7308578525409492E-3</c:v>
                </c:pt>
                <c:pt idx="3289">
                  <c:v>1.0794455020431536E-3</c:v>
                </c:pt>
                <c:pt idx="3290">
                  <c:v>1.0429819284296065E-3</c:v>
                </c:pt>
                <c:pt idx="3291">
                  <c:v>5.3649612743512476E-4</c:v>
                </c:pt>
                <c:pt idx="3292">
                  <c:v>4.2661785453006933E-4</c:v>
                </c:pt>
                <c:pt idx="3293">
                  <c:v>1.1919140542084627E-3</c:v>
                </c:pt>
                <c:pt idx="3294">
                  <c:v>1.0937640635712922E-3</c:v>
                </c:pt>
                <c:pt idx="3295">
                  <c:v>1.0803189916707557E-3</c:v>
                </c:pt>
                <c:pt idx="3296">
                  <c:v>6.0553960065215366E-4</c:v>
                </c:pt>
                <c:pt idx="3297">
                  <c:v>3.8806316177227961E-4</c:v>
                </c:pt>
                <c:pt idx="3298">
                  <c:v>1.3577067164574806E-3</c:v>
                </c:pt>
                <c:pt idx="3299">
                  <c:v>9.2699015737925734E-4</c:v>
                </c:pt>
                <c:pt idx="3300">
                  <c:v>6.5668598562756812E-4</c:v>
                </c:pt>
                <c:pt idx="3301">
                  <c:v>1.1915959736827372E-3</c:v>
                </c:pt>
                <c:pt idx="3302">
                  <c:v>8.0023209855610913E-4</c:v>
                </c:pt>
                <c:pt idx="3303">
                  <c:v>7.2801632770261705E-4</c:v>
                </c:pt>
                <c:pt idx="3304">
                  <c:v>1.0161222436136175E-3</c:v>
                </c:pt>
                <c:pt idx="3305">
                  <c:v>8.2546129059077886E-4</c:v>
                </c:pt>
                <c:pt idx="3306">
                  <c:v>1.1370161053508336E-3</c:v>
                </c:pt>
                <c:pt idx="3307">
                  <c:v>5.7032030790408008E-4</c:v>
                </c:pt>
                <c:pt idx="3308">
                  <c:v>9.0006042648787231E-4</c:v>
                </c:pt>
                <c:pt idx="3309">
                  <c:v>4.2932689303973987E-4</c:v>
                </c:pt>
                <c:pt idx="3310">
                  <c:v>1.29402577026676E-3</c:v>
                </c:pt>
                <c:pt idx="3311">
                  <c:v>8.9196586241622599E-4</c:v>
                </c:pt>
                <c:pt idx="3312">
                  <c:v>5.4897545491975133E-4</c:v>
                </c:pt>
                <c:pt idx="3313">
                  <c:v>5.9977451043339322E-4</c:v>
                </c:pt>
                <c:pt idx="3314">
                  <c:v>3.9907603414059405E-4</c:v>
                </c:pt>
                <c:pt idx="3315">
                  <c:v>1.0608486381957997E-3</c:v>
                </c:pt>
                <c:pt idx="3316">
                  <c:v>1.1460371215520149E-3</c:v>
                </c:pt>
                <c:pt idx="3317">
                  <c:v>7.7972318920277006E-4</c:v>
                </c:pt>
                <c:pt idx="3318">
                  <c:v>5.2277150873022917E-4</c:v>
                </c:pt>
                <c:pt idx="3319">
                  <c:v>1.2479239905240809E-3</c:v>
                </c:pt>
                <c:pt idx="3320">
                  <c:v>1.1500496268543228E-3</c:v>
                </c:pt>
                <c:pt idx="3321">
                  <c:v>5.3304517101583648E-4</c:v>
                </c:pt>
                <c:pt idx="3322">
                  <c:v>2.992306160559621E-4</c:v>
                </c:pt>
                <c:pt idx="3323">
                  <c:v>1.2248958791160973E-3</c:v>
                </c:pt>
                <c:pt idx="3324">
                  <c:v>7.6450541111478161E-4</c:v>
                </c:pt>
                <c:pt idx="3325">
                  <c:v>7.0537375621712508E-4</c:v>
                </c:pt>
                <c:pt idx="3326">
                  <c:v>9.8147002789074648E-4</c:v>
                </c:pt>
                <c:pt idx="3327">
                  <c:v>8.1880071262970368E-4</c:v>
                </c:pt>
                <c:pt idx="3328">
                  <c:v>4.0352021724752703E-4</c:v>
                </c:pt>
                <c:pt idx="3329">
                  <c:v>1.1208873265551344E-3</c:v>
                </c:pt>
                <c:pt idx="3330">
                  <c:v>5.7306850997119411E-4</c:v>
                </c:pt>
                <c:pt idx="3331">
                  <c:v>7.8027777752599792E-4</c:v>
                </c:pt>
                <c:pt idx="3332">
                  <c:v>8.9542457977828812E-4</c:v>
                </c:pt>
                <c:pt idx="3333">
                  <c:v>7.3388089402409349E-4</c:v>
                </c:pt>
                <c:pt idx="3334">
                  <c:v>8.7664702692851685E-4</c:v>
                </c:pt>
                <c:pt idx="3335">
                  <c:v>7.4759817809352688E-5</c:v>
                </c:pt>
                <c:pt idx="3336">
                  <c:v>6.629387987449768E-4</c:v>
                </c:pt>
                <c:pt idx="3337">
                  <c:v>1.3165962028448702E-3</c:v>
                </c:pt>
                <c:pt idx="3338">
                  <c:v>8.5832365367417168E-4</c:v>
                </c:pt>
                <c:pt idx="3339">
                  <c:v>1.6277082069888118E-3</c:v>
                </c:pt>
                <c:pt idx="3340">
                  <c:v>4.3648742354214807E-4</c:v>
                </c:pt>
                <c:pt idx="3341">
                  <c:v>1.5251848871511273E-3</c:v>
                </c:pt>
                <c:pt idx="3342">
                  <c:v>5.5528034254616278E-4</c:v>
                </c:pt>
                <c:pt idx="3343">
                  <c:v>4.2466589619041974E-4</c:v>
                </c:pt>
                <c:pt idx="3344">
                  <c:v>7.6640262453321899E-4</c:v>
                </c:pt>
                <c:pt idx="3345">
                  <c:v>7.1748823816954557E-4</c:v>
                </c:pt>
                <c:pt idx="3346">
                  <c:v>6.5585872648183372E-4</c:v>
                </c:pt>
                <c:pt idx="3347">
                  <c:v>1.0835814952974948E-3</c:v>
                </c:pt>
                <c:pt idx="3348">
                  <c:v>7.2893409113882195E-4</c:v>
                </c:pt>
                <c:pt idx="3349">
                  <c:v>1.1565120214660977E-3</c:v>
                </c:pt>
                <c:pt idx="3350">
                  <c:v>8.8275947688941717E-4</c:v>
                </c:pt>
                <c:pt idx="3351">
                  <c:v>4.7276650545652712E-4</c:v>
                </c:pt>
                <c:pt idx="3352">
                  <c:v>6.7780351595240628E-4</c:v>
                </c:pt>
                <c:pt idx="3353">
                  <c:v>8.8526187864487738E-4</c:v>
                </c:pt>
                <c:pt idx="3354">
                  <c:v>1.3389061842358644E-3</c:v>
                </c:pt>
                <c:pt idx="3355">
                  <c:v>1.4450821431284408E-3</c:v>
                </c:pt>
                <c:pt idx="3356">
                  <c:v>1.0586360858957213E-3</c:v>
                </c:pt>
                <c:pt idx="3357">
                  <c:v>8.5076195353425287E-4</c:v>
                </c:pt>
                <c:pt idx="3358">
                  <c:v>1.3719244998012436E-3</c:v>
                </c:pt>
                <c:pt idx="3359">
                  <c:v>1.1989158036510919E-3</c:v>
                </c:pt>
                <c:pt idx="3360">
                  <c:v>1.2471149836301987E-3</c:v>
                </c:pt>
                <c:pt idx="3361">
                  <c:v>6.8607354962883034E-4</c:v>
                </c:pt>
                <c:pt idx="3362">
                  <c:v>4.8525035900618638E-4</c:v>
                </c:pt>
                <c:pt idx="3363">
                  <c:v>8.0929863885391157E-4</c:v>
                </c:pt>
                <c:pt idx="3364">
                  <c:v>1.7750357260357266E-4</c:v>
                </c:pt>
                <c:pt idx="3365">
                  <c:v>9.4702532838415265E-4</c:v>
                </c:pt>
                <c:pt idx="3366">
                  <c:v>5.6960346887924534E-4</c:v>
                </c:pt>
                <c:pt idx="3367">
                  <c:v>6.8642254507672053E-4</c:v>
                </c:pt>
                <c:pt idx="3368">
                  <c:v>1.2646148436560221E-3</c:v>
                </c:pt>
                <c:pt idx="3369">
                  <c:v>4.0564827109235396E-4</c:v>
                </c:pt>
                <c:pt idx="3370">
                  <c:v>1.6153563790801903E-3</c:v>
                </c:pt>
                <c:pt idx="3371">
                  <c:v>8.4318022865556845E-4</c:v>
                </c:pt>
                <c:pt idx="3372">
                  <c:v>1.3366746963981576E-3</c:v>
                </c:pt>
                <c:pt idx="3373">
                  <c:v>7.4637148247379194E-4</c:v>
                </c:pt>
                <c:pt idx="3374">
                  <c:v>1.13176646847514E-3</c:v>
                </c:pt>
                <c:pt idx="3375">
                  <c:v>6.9664095478625375E-4</c:v>
                </c:pt>
                <c:pt idx="3376">
                  <c:v>7.7837589030381807E-4</c:v>
                </c:pt>
                <c:pt idx="3377">
                  <c:v>8.1993945798716609E-4</c:v>
                </c:pt>
                <c:pt idx="3378">
                  <c:v>8.4635378141876768E-4</c:v>
                </c:pt>
                <c:pt idx="3379">
                  <c:v>9.6458751193843699E-4</c:v>
                </c:pt>
                <c:pt idx="3380">
                  <c:v>1.2261050845532718E-3</c:v>
                </c:pt>
                <c:pt idx="3381">
                  <c:v>1.2440905126715504E-3</c:v>
                </c:pt>
                <c:pt idx="3382">
                  <c:v>8.0978994993990581E-4</c:v>
                </c:pt>
                <c:pt idx="3383">
                  <c:v>5.7275607936243189E-4</c:v>
                </c:pt>
                <c:pt idx="3384">
                  <c:v>7.2058330937608888E-4</c:v>
                </c:pt>
                <c:pt idx="3385">
                  <c:v>4.4684974804743918E-4</c:v>
                </c:pt>
                <c:pt idx="3386">
                  <c:v>8.8647746442323217E-4</c:v>
                </c:pt>
                <c:pt idx="3387">
                  <c:v>5.844263599977395E-4</c:v>
                </c:pt>
                <c:pt idx="3388">
                  <c:v>1.0807192454870252E-3</c:v>
                </c:pt>
                <c:pt idx="3389">
                  <c:v>4.3298731501586574E-4</c:v>
                </c:pt>
                <c:pt idx="3390">
                  <c:v>7.4576091857486845E-4</c:v>
                </c:pt>
                <c:pt idx="3391">
                  <c:v>3.626369537969164E-4</c:v>
                </c:pt>
                <c:pt idx="3392">
                  <c:v>5.7473266792721549E-4</c:v>
                </c:pt>
                <c:pt idx="3393">
                  <c:v>4.4874042877245915E-4</c:v>
                </c:pt>
                <c:pt idx="3394">
                  <c:v>3.3460344249142013E-4</c:v>
                </c:pt>
                <c:pt idx="3395">
                  <c:v>1.0192007788320816E-3</c:v>
                </c:pt>
                <c:pt idx="3396">
                  <c:v>9.2181367769829706E-4</c:v>
                </c:pt>
                <c:pt idx="3397">
                  <c:v>4.639731083999687E-4</c:v>
                </c:pt>
                <c:pt idx="3398">
                  <c:v>5.6673686873529201E-4</c:v>
                </c:pt>
                <c:pt idx="3399">
                  <c:v>4.1206221166102582E-4</c:v>
                </c:pt>
                <c:pt idx="3400">
                  <c:v>3.8189083000256745E-4</c:v>
                </c:pt>
                <c:pt idx="3401">
                  <c:v>1.9158057360159986E-3</c:v>
                </c:pt>
                <c:pt idx="3402">
                  <c:v>5.4164462264069257E-4</c:v>
                </c:pt>
                <c:pt idx="3403">
                  <c:v>7.904194491172165E-4</c:v>
                </c:pt>
                <c:pt idx="3404">
                  <c:v>1.1247881875253495E-3</c:v>
                </c:pt>
                <c:pt idx="3405">
                  <c:v>1.0119240806928523E-3</c:v>
                </c:pt>
                <c:pt idx="3406">
                  <c:v>8.9282095628234141E-4</c:v>
                </c:pt>
                <c:pt idx="3407">
                  <c:v>1.10324214785001E-3</c:v>
                </c:pt>
                <c:pt idx="3408">
                  <c:v>1.2471029424406276E-3</c:v>
                </c:pt>
                <c:pt idx="3409">
                  <c:v>9.873656643942959E-4</c:v>
                </c:pt>
                <c:pt idx="3410">
                  <c:v>1.2221323537660524E-3</c:v>
                </c:pt>
                <c:pt idx="3411">
                  <c:v>8.2093360882714564E-4</c:v>
                </c:pt>
                <c:pt idx="3412">
                  <c:v>1.0195953899922712E-3</c:v>
                </c:pt>
                <c:pt idx="3413">
                  <c:v>1.4937129769498608E-3</c:v>
                </c:pt>
                <c:pt idx="3414">
                  <c:v>1.1445835502745303E-4</c:v>
                </c:pt>
                <c:pt idx="3415">
                  <c:v>9.9437111053841888E-4</c:v>
                </c:pt>
                <c:pt idx="3416">
                  <c:v>5.2968584024079752E-4</c:v>
                </c:pt>
                <c:pt idx="3417">
                  <c:v>1.171516301040211E-3</c:v>
                </c:pt>
                <c:pt idx="3418">
                  <c:v>1.9955270930955801E-4</c:v>
                </c:pt>
                <c:pt idx="3419">
                  <c:v>7.4552946064525923E-4</c:v>
                </c:pt>
                <c:pt idx="3420">
                  <c:v>1.1331776865015956E-3</c:v>
                </c:pt>
                <c:pt idx="3421">
                  <c:v>9.7809788930613571E-4</c:v>
                </c:pt>
                <c:pt idx="3422">
                  <c:v>8.4571879984264575E-4</c:v>
                </c:pt>
                <c:pt idx="3423">
                  <c:v>3.084783171172437E-4</c:v>
                </c:pt>
                <c:pt idx="3424">
                  <c:v>1.2083253542360904E-3</c:v>
                </c:pt>
                <c:pt idx="3425">
                  <c:v>1.5290834723327813E-3</c:v>
                </c:pt>
                <c:pt idx="3426">
                  <c:v>9.7357656444111026E-4</c:v>
                </c:pt>
                <c:pt idx="3427">
                  <c:v>5.7432928527087381E-4</c:v>
                </c:pt>
                <c:pt idx="3428">
                  <c:v>1.1786557220942262E-3</c:v>
                </c:pt>
                <c:pt idx="3429">
                  <c:v>3.6653377888792366E-4</c:v>
                </c:pt>
                <c:pt idx="3430">
                  <c:v>1.1851469810095655E-3</c:v>
                </c:pt>
                <c:pt idx="3431">
                  <c:v>1.3334496883484533E-3</c:v>
                </c:pt>
                <c:pt idx="3432">
                  <c:v>9.261755497935308E-4</c:v>
                </c:pt>
                <c:pt idx="3433">
                  <c:v>5.7739557114636726E-4</c:v>
                </c:pt>
                <c:pt idx="3434">
                  <c:v>8.2472501086009299E-4</c:v>
                </c:pt>
                <c:pt idx="3435">
                  <c:v>7.9234580118866388E-4</c:v>
                </c:pt>
                <c:pt idx="3436">
                  <c:v>1.1217708438234278E-3</c:v>
                </c:pt>
                <c:pt idx="3437">
                  <c:v>6.078542263307983E-4</c:v>
                </c:pt>
                <c:pt idx="3438">
                  <c:v>1.1571614753639685E-3</c:v>
                </c:pt>
                <c:pt idx="3439">
                  <c:v>6.854285416068237E-4</c:v>
                </c:pt>
                <c:pt idx="3440">
                  <c:v>2.0430048990754051E-4</c:v>
                </c:pt>
                <c:pt idx="3441">
                  <c:v>9.7836463498610516E-4</c:v>
                </c:pt>
                <c:pt idx="3442">
                  <c:v>5.9550826716158649E-4</c:v>
                </c:pt>
                <c:pt idx="3443">
                  <c:v>1.2985037546611879E-4</c:v>
                </c:pt>
                <c:pt idx="3444">
                  <c:v>9.4432220761062643E-4</c:v>
                </c:pt>
                <c:pt idx="3445">
                  <c:v>9.3680601050048816E-4</c:v>
                </c:pt>
                <c:pt idx="3446">
                  <c:v>7.0778707123983215E-4</c:v>
                </c:pt>
                <c:pt idx="3447">
                  <c:v>1.023665918566351E-3</c:v>
                </c:pt>
                <c:pt idx="3448">
                  <c:v>6.1302525267765582E-4</c:v>
                </c:pt>
                <c:pt idx="3449">
                  <c:v>1.0447014867995283E-3</c:v>
                </c:pt>
                <c:pt idx="3450">
                  <c:v>1.1931624153807894E-3</c:v>
                </c:pt>
                <c:pt idx="3451">
                  <c:v>6.5682533214387522E-4</c:v>
                </c:pt>
                <c:pt idx="3452">
                  <c:v>9.7211696483795245E-4</c:v>
                </c:pt>
                <c:pt idx="3453">
                  <c:v>5.7567787221830097E-4</c:v>
                </c:pt>
                <c:pt idx="3454">
                  <c:v>4.8719399339523328E-4</c:v>
                </c:pt>
                <c:pt idx="3455">
                  <c:v>7.5511261816406058E-4</c:v>
                </c:pt>
                <c:pt idx="3456">
                  <c:v>7.8537459938173568E-4</c:v>
                </c:pt>
                <c:pt idx="3457">
                  <c:v>1.4682905484533436E-3</c:v>
                </c:pt>
                <c:pt idx="3458">
                  <c:v>1.0621934947713607E-3</c:v>
                </c:pt>
                <c:pt idx="3459">
                  <c:v>7.8595248515222593E-4</c:v>
                </c:pt>
                <c:pt idx="3460">
                  <c:v>4.9669973568149583E-4</c:v>
                </c:pt>
                <c:pt idx="3461">
                  <c:v>7.270820648097049E-4</c:v>
                </c:pt>
                <c:pt idx="3462">
                  <c:v>1.0922236242735565E-3</c:v>
                </c:pt>
                <c:pt idx="3463">
                  <c:v>8.4159232677473038E-4</c:v>
                </c:pt>
                <c:pt idx="3464">
                  <c:v>2.8316217585046114E-4</c:v>
                </c:pt>
                <c:pt idx="3465">
                  <c:v>5.6363884780707843E-4</c:v>
                </c:pt>
                <c:pt idx="3466">
                  <c:v>9.7613580114579634E-4</c:v>
                </c:pt>
                <c:pt idx="3467">
                  <c:v>1.1019583936550017E-3</c:v>
                </c:pt>
                <c:pt idx="3468">
                  <c:v>9.4789618589854324E-4</c:v>
                </c:pt>
                <c:pt idx="3469">
                  <c:v>6.9511100411941249E-4</c:v>
                </c:pt>
                <c:pt idx="3470">
                  <c:v>1.1186977831437125E-3</c:v>
                </c:pt>
                <c:pt idx="3471">
                  <c:v>4.5225701595416379E-4</c:v>
                </c:pt>
                <c:pt idx="3472">
                  <c:v>8.3449257390399772E-4</c:v>
                </c:pt>
                <c:pt idx="3473">
                  <c:v>1.4874360880298082E-3</c:v>
                </c:pt>
                <c:pt idx="3474">
                  <c:v>7.6757028035286438E-4</c:v>
                </c:pt>
                <c:pt idx="3475">
                  <c:v>1.3287446199231354E-3</c:v>
                </c:pt>
                <c:pt idx="3476">
                  <c:v>1.0902575982296161E-3</c:v>
                </c:pt>
                <c:pt idx="3477">
                  <c:v>4.9262038649377485E-4</c:v>
                </c:pt>
                <c:pt idx="3478">
                  <c:v>6.4407130280138203E-4</c:v>
                </c:pt>
                <c:pt idx="3479">
                  <c:v>1.2327481811956432E-3</c:v>
                </c:pt>
                <c:pt idx="3480">
                  <c:v>1.44371358804891E-3</c:v>
                </c:pt>
                <c:pt idx="3481">
                  <c:v>2.553362606947279E-4</c:v>
                </c:pt>
                <c:pt idx="3482">
                  <c:v>9.4663608900838014E-4</c:v>
                </c:pt>
                <c:pt idx="3483">
                  <c:v>1.139133322013359E-3</c:v>
                </c:pt>
                <c:pt idx="3484">
                  <c:v>1.409724972019059E-4</c:v>
                </c:pt>
                <c:pt idx="3485">
                  <c:v>8.1876167232714122E-4</c:v>
                </c:pt>
                <c:pt idx="3486">
                  <c:v>1.037777082897946E-3</c:v>
                </c:pt>
                <c:pt idx="3487">
                  <c:v>1.2096769725476971E-3</c:v>
                </c:pt>
                <c:pt idx="3488">
                  <c:v>9.7598511111962616E-4</c:v>
                </c:pt>
                <c:pt idx="3489">
                  <c:v>1.0088491494314479E-3</c:v>
                </c:pt>
                <c:pt idx="3490">
                  <c:v>1.0449832082750467E-3</c:v>
                </c:pt>
                <c:pt idx="3491">
                  <c:v>5.5845739075359056E-4</c:v>
                </c:pt>
                <c:pt idx="3492">
                  <c:v>9.5166658269565116E-4</c:v>
                </c:pt>
                <c:pt idx="3493">
                  <c:v>7.2631237822312156E-4</c:v>
                </c:pt>
                <c:pt idx="3494">
                  <c:v>6.3672117723144949E-4</c:v>
                </c:pt>
                <c:pt idx="3495">
                  <c:v>9.5484568731941911E-4</c:v>
                </c:pt>
                <c:pt idx="3496">
                  <c:v>5.576566882779982E-4</c:v>
                </c:pt>
                <c:pt idx="3497">
                  <c:v>9.4239185342764984E-4</c:v>
                </c:pt>
                <c:pt idx="3498">
                  <c:v>1.1289814076361445E-3</c:v>
                </c:pt>
                <c:pt idx="3499">
                  <c:v>6.2087484547466922E-4</c:v>
                </c:pt>
                <c:pt idx="3500">
                  <c:v>4.6968764495484804E-4</c:v>
                </c:pt>
                <c:pt idx="3501">
                  <c:v>1.2354243598779206E-3</c:v>
                </c:pt>
                <c:pt idx="3502">
                  <c:v>1.2342771581318154E-3</c:v>
                </c:pt>
                <c:pt idx="3503">
                  <c:v>9.9841567398128951E-5</c:v>
                </c:pt>
                <c:pt idx="3504">
                  <c:v>1.2971310920217496E-3</c:v>
                </c:pt>
                <c:pt idx="3505">
                  <c:v>1.1160101007963406E-3</c:v>
                </c:pt>
                <c:pt idx="3506">
                  <c:v>1.0242344961455538E-3</c:v>
                </c:pt>
                <c:pt idx="3507">
                  <c:v>9.6590356758439967E-4</c:v>
                </c:pt>
                <c:pt idx="3508">
                  <c:v>7.8338197484338493E-4</c:v>
                </c:pt>
                <c:pt idx="3509">
                  <c:v>6.5106410330992434E-4</c:v>
                </c:pt>
                <c:pt idx="3510">
                  <c:v>1.2368819110876767E-3</c:v>
                </c:pt>
                <c:pt idx="3511">
                  <c:v>9.5942425808276464E-4</c:v>
                </c:pt>
                <c:pt idx="3512">
                  <c:v>7.390532890416252E-4</c:v>
                </c:pt>
                <c:pt idx="3513">
                  <c:v>6.0748149495677012E-4</c:v>
                </c:pt>
                <c:pt idx="3514">
                  <c:v>1.217153667604471E-3</c:v>
                </c:pt>
                <c:pt idx="3515">
                  <c:v>6.6409720454698124E-4</c:v>
                </c:pt>
                <c:pt idx="3516">
                  <c:v>5.191631788840134E-4</c:v>
                </c:pt>
                <c:pt idx="3517">
                  <c:v>2.4977963656200899E-4</c:v>
                </c:pt>
                <c:pt idx="3518">
                  <c:v>8.7590742928583235E-4</c:v>
                </c:pt>
                <c:pt idx="3519">
                  <c:v>1.0820444199730508E-3</c:v>
                </c:pt>
                <c:pt idx="3520">
                  <c:v>7.9019367643031434E-4</c:v>
                </c:pt>
                <c:pt idx="3521">
                  <c:v>1.1185055104257758E-3</c:v>
                </c:pt>
                <c:pt idx="3522">
                  <c:v>6.8479492200773846E-4</c:v>
                </c:pt>
                <c:pt idx="3523">
                  <c:v>8.3210188189880422E-4</c:v>
                </c:pt>
                <c:pt idx="3524">
                  <c:v>9.0506987928246259E-4</c:v>
                </c:pt>
                <c:pt idx="3525">
                  <c:v>1.3699920129640313E-3</c:v>
                </c:pt>
                <c:pt idx="3526">
                  <c:v>5.3838810937274458E-4</c:v>
                </c:pt>
                <c:pt idx="3527">
                  <c:v>5.5594591223194598E-4</c:v>
                </c:pt>
                <c:pt idx="3528">
                  <c:v>6.5759991426263232E-4</c:v>
                </c:pt>
                <c:pt idx="3529">
                  <c:v>1.7674116778468847E-3</c:v>
                </c:pt>
                <c:pt idx="3530">
                  <c:v>1.1915508663169765E-3</c:v>
                </c:pt>
                <c:pt idx="3531">
                  <c:v>7.6726913812170852E-4</c:v>
                </c:pt>
                <c:pt idx="3532">
                  <c:v>1.072692183237212E-3</c:v>
                </c:pt>
                <c:pt idx="3533">
                  <c:v>4.2887088932318696E-4</c:v>
                </c:pt>
                <c:pt idx="3534">
                  <c:v>9.2902366374976409E-4</c:v>
                </c:pt>
                <c:pt idx="3535">
                  <c:v>7.3433056367431442E-4</c:v>
                </c:pt>
                <c:pt idx="3536">
                  <c:v>1.0786220882784022E-3</c:v>
                </c:pt>
                <c:pt idx="3537">
                  <c:v>1.0305813440018422E-3</c:v>
                </c:pt>
                <c:pt idx="3538">
                  <c:v>4.3990360950497672E-4</c:v>
                </c:pt>
                <c:pt idx="3539">
                  <c:v>1.3522375578186076E-3</c:v>
                </c:pt>
                <c:pt idx="3540">
                  <c:v>6.4074712721201945E-4</c:v>
                </c:pt>
                <c:pt idx="3541">
                  <c:v>4.5838331722987538E-4</c:v>
                </c:pt>
                <c:pt idx="3542">
                  <c:v>1.1663183433004661E-3</c:v>
                </c:pt>
                <c:pt idx="3543">
                  <c:v>1.2359503042099363E-3</c:v>
                </c:pt>
                <c:pt idx="3544">
                  <c:v>9.8830769662420592E-4</c:v>
                </c:pt>
                <c:pt idx="3545">
                  <c:v>1.194565247395433E-3</c:v>
                </c:pt>
                <c:pt idx="3546">
                  <c:v>6.8582758007493261E-4</c:v>
                </c:pt>
                <c:pt idx="3547">
                  <c:v>6.1538155435052764E-4</c:v>
                </c:pt>
                <c:pt idx="3548">
                  <c:v>7.8243547331410162E-4</c:v>
                </c:pt>
                <c:pt idx="3549">
                  <c:v>1.0003188766383605E-3</c:v>
                </c:pt>
                <c:pt idx="3550">
                  <c:v>1.0064450065491882E-3</c:v>
                </c:pt>
                <c:pt idx="3551">
                  <c:v>5.3493643114357892E-4</c:v>
                </c:pt>
                <c:pt idx="3552">
                  <c:v>9.7257386864352312E-4</c:v>
                </c:pt>
                <c:pt idx="3553">
                  <c:v>1.0729364161379971E-3</c:v>
                </c:pt>
                <c:pt idx="3554">
                  <c:v>4.8960561296969003E-4</c:v>
                </c:pt>
                <c:pt idx="3555">
                  <c:v>1.0036842500377049E-3</c:v>
                </c:pt>
                <c:pt idx="3556">
                  <c:v>1.6298154036024296E-3</c:v>
                </c:pt>
                <c:pt idx="3557">
                  <c:v>4.8532651864078609E-4</c:v>
                </c:pt>
                <c:pt idx="3558">
                  <c:v>1.448841224777016E-3</c:v>
                </c:pt>
                <c:pt idx="3559">
                  <c:v>8.9455963216033261E-4</c:v>
                </c:pt>
                <c:pt idx="3560">
                  <c:v>9.9846518284996502E-4</c:v>
                </c:pt>
                <c:pt idx="3561">
                  <c:v>5.0862319966818448E-4</c:v>
                </c:pt>
                <c:pt idx="3562">
                  <c:v>5.2136439794542874E-4</c:v>
                </c:pt>
                <c:pt idx="3563">
                  <c:v>6.8041615408970962E-4</c:v>
                </c:pt>
                <c:pt idx="3564">
                  <c:v>6.9954470844280753E-4</c:v>
                </c:pt>
                <c:pt idx="3565">
                  <c:v>1.0981141470383388E-3</c:v>
                </c:pt>
                <c:pt idx="3566">
                  <c:v>8.2911168182474358E-4</c:v>
                </c:pt>
                <c:pt idx="3567">
                  <c:v>7.9578600161833582E-4</c:v>
                </c:pt>
                <c:pt idx="3568">
                  <c:v>1.0945165447360794E-3</c:v>
                </c:pt>
                <c:pt idx="3569">
                  <c:v>1.0633629352030357E-3</c:v>
                </c:pt>
                <c:pt idx="3570">
                  <c:v>8.9563317976555147E-4</c:v>
                </c:pt>
                <c:pt idx="3571">
                  <c:v>9.1188680731653848E-4</c:v>
                </c:pt>
                <c:pt idx="3572">
                  <c:v>9.4654634944913102E-4</c:v>
                </c:pt>
                <c:pt idx="3573">
                  <c:v>2.839760464408411E-4</c:v>
                </c:pt>
                <c:pt idx="3574">
                  <c:v>1.0709658152226018E-3</c:v>
                </c:pt>
                <c:pt idx="3575">
                  <c:v>4.3281244891738897E-4</c:v>
                </c:pt>
                <c:pt idx="3576">
                  <c:v>9.1704314892217774E-4</c:v>
                </c:pt>
                <c:pt idx="3577">
                  <c:v>5.7349816645503333E-4</c:v>
                </c:pt>
                <c:pt idx="3578">
                  <c:v>5.806845193090189E-4</c:v>
                </c:pt>
                <c:pt idx="3579">
                  <c:v>1.5092087139841517E-3</c:v>
                </c:pt>
                <c:pt idx="3580">
                  <c:v>1.4274751863933095E-3</c:v>
                </c:pt>
                <c:pt idx="3581">
                  <c:v>9.5037853468129304E-4</c:v>
                </c:pt>
                <c:pt idx="3582">
                  <c:v>2.4310183156304229E-4</c:v>
                </c:pt>
                <c:pt idx="3583">
                  <c:v>7.9269594816598989E-4</c:v>
                </c:pt>
                <c:pt idx="3584">
                  <c:v>7.663889479071806E-4</c:v>
                </c:pt>
                <c:pt idx="3585">
                  <c:v>1.0020090862842455E-3</c:v>
                </c:pt>
                <c:pt idx="3586">
                  <c:v>8.0930129002397663E-4</c:v>
                </c:pt>
                <c:pt idx="3587">
                  <c:v>9.5484648746086982E-4</c:v>
                </c:pt>
                <c:pt idx="3588">
                  <c:v>8.0942366668873924E-4</c:v>
                </c:pt>
                <c:pt idx="3589">
                  <c:v>8.7032859974162135E-4</c:v>
                </c:pt>
                <c:pt idx="3590">
                  <c:v>1.4659947618223808E-3</c:v>
                </c:pt>
                <c:pt idx="3591">
                  <c:v>6.2252833931493912E-4</c:v>
                </c:pt>
                <c:pt idx="3592">
                  <c:v>1.2789589027017564E-3</c:v>
                </c:pt>
                <c:pt idx="3593">
                  <c:v>6.147200086764166E-4</c:v>
                </c:pt>
                <c:pt idx="3594">
                  <c:v>3.68069225023753E-4</c:v>
                </c:pt>
                <c:pt idx="3595">
                  <c:v>7.3792313853365051E-4</c:v>
                </c:pt>
                <c:pt idx="3596">
                  <c:v>7.504285380405349E-4</c:v>
                </c:pt>
                <c:pt idx="3597">
                  <c:v>1.193255625831874E-3</c:v>
                </c:pt>
                <c:pt idx="3598">
                  <c:v>2.9689639745655253E-4</c:v>
                </c:pt>
                <c:pt idx="3599">
                  <c:v>1.2161486185906245E-3</c:v>
                </c:pt>
                <c:pt idx="3600">
                  <c:v>9.300970001086227E-4</c:v>
                </c:pt>
                <c:pt idx="3601">
                  <c:v>6.1962506155893141E-4</c:v>
                </c:pt>
                <c:pt idx="3602">
                  <c:v>8.9787951677431244E-4</c:v>
                </c:pt>
                <c:pt idx="3603">
                  <c:v>1.1576417894668743E-3</c:v>
                </c:pt>
                <c:pt idx="3604">
                  <c:v>8.2561190232147E-4</c:v>
                </c:pt>
                <c:pt idx="3605">
                  <c:v>2.7789761253496875E-4</c:v>
                </c:pt>
                <c:pt idx="3606">
                  <c:v>9.3384240151831702E-4</c:v>
                </c:pt>
                <c:pt idx="3607">
                  <c:v>8.5366850300525347E-4</c:v>
                </c:pt>
                <c:pt idx="3608">
                  <c:v>8.8135433826318633E-4</c:v>
                </c:pt>
                <c:pt idx="3609">
                  <c:v>6.0852317013726357E-4</c:v>
                </c:pt>
                <c:pt idx="3610">
                  <c:v>1.1241491614483871E-3</c:v>
                </c:pt>
                <c:pt idx="3611">
                  <c:v>1.0351579733519352E-3</c:v>
                </c:pt>
                <c:pt idx="3612">
                  <c:v>4.61154732501624E-4</c:v>
                </c:pt>
                <c:pt idx="3613">
                  <c:v>7.5348506669580581E-4</c:v>
                </c:pt>
                <c:pt idx="3614">
                  <c:v>3.6898711497432052E-4</c:v>
                </c:pt>
                <c:pt idx="3615">
                  <c:v>1.2359806069102194E-3</c:v>
                </c:pt>
                <c:pt idx="3616">
                  <c:v>5.3679735614851204E-4</c:v>
                </c:pt>
                <c:pt idx="3617">
                  <c:v>1.1346362207418457E-3</c:v>
                </c:pt>
                <c:pt idx="3618">
                  <c:v>8.2932704849841702E-4</c:v>
                </c:pt>
                <c:pt idx="3619">
                  <c:v>9.523689998007939E-4</c:v>
                </c:pt>
                <c:pt idx="3620">
                  <c:v>1.4720537943825795E-3</c:v>
                </c:pt>
                <c:pt idx="3621">
                  <c:v>1.4257979383266867E-4</c:v>
                </c:pt>
                <c:pt idx="3622">
                  <c:v>4.8886054085886684E-4</c:v>
                </c:pt>
                <c:pt idx="3623">
                  <c:v>1.3072777704328925E-3</c:v>
                </c:pt>
                <c:pt idx="3624">
                  <c:v>7.1070275164046538E-4</c:v>
                </c:pt>
                <c:pt idx="3625">
                  <c:v>1.2830416070495692E-3</c:v>
                </c:pt>
                <c:pt idx="3626">
                  <c:v>4.6045145883349476E-4</c:v>
                </c:pt>
                <c:pt idx="3627">
                  <c:v>6.191173148658171E-4</c:v>
                </c:pt>
                <c:pt idx="3628">
                  <c:v>1.0797337558216757E-3</c:v>
                </c:pt>
                <c:pt idx="3629">
                  <c:v>1.0548020124067708E-3</c:v>
                </c:pt>
                <c:pt idx="3630">
                  <c:v>1.1447515845614184E-3</c:v>
                </c:pt>
                <c:pt idx="3631">
                  <c:v>1.3783755506832408E-3</c:v>
                </c:pt>
                <c:pt idx="3632">
                  <c:v>1.1255793425529643E-3</c:v>
                </c:pt>
                <c:pt idx="3633">
                  <c:v>1.088398860956579E-3</c:v>
                </c:pt>
                <c:pt idx="3634">
                  <c:v>7.9124585716512912E-4</c:v>
                </c:pt>
                <c:pt idx="3635">
                  <c:v>1.0768611932152916E-3</c:v>
                </c:pt>
                <c:pt idx="3636">
                  <c:v>4.7098153539189053E-4</c:v>
                </c:pt>
                <c:pt idx="3637">
                  <c:v>8.6079618986009297E-4</c:v>
                </c:pt>
                <c:pt idx="3638">
                  <c:v>1.24339032319009E-3</c:v>
                </c:pt>
                <c:pt idx="3639">
                  <c:v>1.086724224935255E-3</c:v>
                </c:pt>
                <c:pt idx="3640">
                  <c:v>9.641943365989909E-4</c:v>
                </c:pt>
                <c:pt idx="3641">
                  <c:v>1.2450243673475176E-3</c:v>
                </c:pt>
                <c:pt idx="3642">
                  <c:v>1.4536303017081494E-3</c:v>
                </c:pt>
                <c:pt idx="3643">
                  <c:v>4.8101192433759647E-4</c:v>
                </c:pt>
                <c:pt idx="3644">
                  <c:v>1.2591233369369586E-3</c:v>
                </c:pt>
                <c:pt idx="3645">
                  <c:v>8.6333758902983103E-4</c:v>
                </c:pt>
                <c:pt idx="3646">
                  <c:v>6.3099715412453454E-4</c:v>
                </c:pt>
                <c:pt idx="3647">
                  <c:v>1.3343835534613047E-3</c:v>
                </c:pt>
                <c:pt idx="3648">
                  <c:v>1.0779039013186879E-3</c:v>
                </c:pt>
                <c:pt idx="3649">
                  <c:v>1.0714000944327881E-3</c:v>
                </c:pt>
                <c:pt idx="3650">
                  <c:v>5.4452350214317718E-4</c:v>
                </c:pt>
                <c:pt idx="3651">
                  <c:v>4.2551916431008568E-4</c:v>
                </c:pt>
                <c:pt idx="3652">
                  <c:v>1.4756998817490154E-3</c:v>
                </c:pt>
                <c:pt idx="3653">
                  <c:v>1.072359914830609E-3</c:v>
                </c:pt>
                <c:pt idx="3654">
                  <c:v>8.8696995474694506E-4</c:v>
                </c:pt>
                <c:pt idx="3655">
                  <c:v>4.6793633437189108E-4</c:v>
                </c:pt>
                <c:pt idx="3656">
                  <c:v>7.7902902106464448E-4</c:v>
                </c:pt>
                <c:pt idx="3657">
                  <c:v>1.1650995009653002E-3</c:v>
                </c:pt>
                <c:pt idx="3658">
                  <c:v>1.1959319797131595E-3</c:v>
                </c:pt>
                <c:pt idx="3659">
                  <c:v>1.1552023093165773E-3</c:v>
                </c:pt>
                <c:pt idx="3660">
                  <c:v>1.1856479971268331E-3</c:v>
                </c:pt>
                <c:pt idx="3661">
                  <c:v>1.0876259852436439E-3</c:v>
                </c:pt>
                <c:pt idx="3662">
                  <c:v>7.8385677917190678E-4</c:v>
                </c:pt>
                <c:pt idx="3663">
                  <c:v>9.9542761700138803E-4</c:v>
                </c:pt>
                <c:pt idx="3664">
                  <c:v>1.3319402895100292E-3</c:v>
                </c:pt>
                <c:pt idx="3665">
                  <c:v>6.6244921102351253E-4</c:v>
                </c:pt>
                <c:pt idx="3666">
                  <c:v>8.1690871658732841E-4</c:v>
                </c:pt>
                <c:pt idx="3667">
                  <c:v>1.2306578853146072E-3</c:v>
                </c:pt>
                <c:pt idx="3668">
                  <c:v>6.916330416137606E-4</c:v>
                </c:pt>
                <c:pt idx="3669">
                  <c:v>8.2833718574954168E-4</c:v>
                </c:pt>
                <c:pt idx="3670">
                  <c:v>8.400696984881312E-4</c:v>
                </c:pt>
                <c:pt idx="3671">
                  <c:v>5.8563206957741695E-4</c:v>
                </c:pt>
                <c:pt idx="3672">
                  <c:v>1.0329240846144528E-3</c:v>
                </c:pt>
                <c:pt idx="3673">
                  <c:v>6.933131512909704E-4</c:v>
                </c:pt>
                <c:pt idx="3674">
                  <c:v>1.0579848857269682E-3</c:v>
                </c:pt>
                <c:pt idx="3675">
                  <c:v>1.0389466634777454E-3</c:v>
                </c:pt>
                <c:pt idx="3676">
                  <c:v>1.1637409275963295E-3</c:v>
                </c:pt>
                <c:pt idx="3677">
                  <c:v>1.0754495457218698E-3</c:v>
                </c:pt>
                <c:pt idx="3678">
                  <c:v>9.7440593613867799E-4</c:v>
                </c:pt>
                <c:pt idx="3679">
                  <c:v>8.0009886092903602E-4</c:v>
                </c:pt>
                <c:pt idx="3680">
                  <c:v>1.014631512871312E-3</c:v>
                </c:pt>
                <c:pt idx="3681">
                  <c:v>1.0536591560970508E-3</c:v>
                </c:pt>
                <c:pt idx="3682">
                  <c:v>9.6988990468708386E-4</c:v>
                </c:pt>
                <c:pt idx="3683">
                  <c:v>8.6308689567840861E-4</c:v>
                </c:pt>
                <c:pt idx="3684">
                  <c:v>4.4397442129353969E-4</c:v>
                </c:pt>
                <c:pt idx="3685">
                  <c:v>1.3501867822750342E-3</c:v>
                </c:pt>
                <c:pt idx="3686">
                  <c:v>7.5494615638750217E-4</c:v>
                </c:pt>
                <c:pt idx="3687">
                  <c:v>9.6406937993881892E-4</c:v>
                </c:pt>
                <c:pt idx="3688">
                  <c:v>4.0081431434897913E-4</c:v>
                </c:pt>
                <c:pt idx="3689">
                  <c:v>1.0523261450988441E-3</c:v>
                </c:pt>
                <c:pt idx="3690">
                  <c:v>7.4658570714252219E-4</c:v>
                </c:pt>
                <c:pt idx="3691">
                  <c:v>8.0344292071134291E-4</c:v>
                </c:pt>
                <c:pt idx="3692">
                  <c:v>1.0263764025721931E-3</c:v>
                </c:pt>
                <c:pt idx="3693">
                  <c:v>3.2223534361991804E-4</c:v>
                </c:pt>
                <c:pt idx="3694">
                  <c:v>7.8889728314336367E-4</c:v>
                </c:pt>
                <c:pt idx="3695">
                  <c:v>1.3114815869181269E-3</c:v>
                </c:pt>
                <c:pt idx="3696">
                  <c:v>1.0769835470982733E-3</c:v>
                </c:pt>
                <c:pt idx="3697">
                  <c:v>2.7952349106908411E-4</c:v>
                </c:pt>
                <c:pt idx="3698">
                  <c:v>1.1728109973908993E-3</c:v>
                </c:pt>
                <c:pt idx="3699">
                  <c:v>5.8949075147442373E-4</c:v>
                </c:pt>
                <c:pt idx="3700">
                  <c:v>1.0429926089306648E-3</c:v>
                </c:pt>
                <c:pt idx="3701">
                  <c:v>7.120030418567326E-4</c:v>
                </c:pt>
                <c:pt idx="3702">
                  <c:v>1.0337443705433701E-3</c:v>
                </c:pt>
                <c:pt idx="3703">
                  <c:v>9.0788650069372812E-4</c:v>
                </c:pt>
                <c:pt idx="3704">
                  <c:v>1.1094826198934894E-3</c:v>
                </c:pt>
                <c:pt idx="3705">
                  <c:v>7.7559702928344941E-4</c:v>
                </c:pt>
                <c:pt idx="3706">
                  <c:v>3.2487509100443817E-4</c:v>
                </c:pt>
                <c:pt idx="3707">
                  <c:v>1.0192408348331159E-3</c:v>
                </c:pt>
                <c:pt idx="3708">
                  <c:v>1.7029365674300621E-3</c:v>
                </c:pt>
                <c:pt idx="3709">
                  <c:v>8.51920375060422E-4</c:v>
                </c:pt>
                <c:pt idx="3710">
                  <c:v>8.7167395715844376E-4</c:v>
                </c:pt>
                <c:pt idx="3711">
                  <c:v>1.1169058465096012E-3</c:v>
                </c:pt>
                <c:pt idx="3712">
                  <c:v>4.7955083367881736E-4</c:v>
                </c:pt>
                <c:pt idx="3713">
                  <c:v>1.00727176320131E-3</c:v>
                </c:pt>
                <c:pt idx="3714">
                  <c:v>9.307310277723702E-4</c:v>
                </c:pt>
                <c:pt idx="3715">
                  <c:v>7.2004895111505741E-4</c:v>
                </c:pt>
                <c:pt idx="3716">
                  <c:v>9.534127363282249E-4</c:v>
                </c:pt>
                <c:pt idx="3717">
                  <c:v>1.2569303373332228E-3</c:v>
                </c:pt>
                <c:pt idx="3718">
                  <c:v>1.244989238640228E-3</c:v>
                </c:pt>
                <c:pt idx="3719">
                  <c:v>7.7957381479391776E-4</c:v>
                </c:pt>
                <c:pt idx="3720">
                  <c:v>1.0700235300997061E-3</c:v>
                </c:pt>
                <c:pt idx="3721">
                  <c:v>1.1086378555105543E-3</c:v>
                </c:pt>
                <c:pt idx="3722">
                  <c:v>3.9417754707195106E-4</c:v>
                </c:pt>
                <c:pt idx="3723">
                  <c:v>3.6555752782892875E-4</c:v>
                </c:pt>
                <c:pt idx="3724">
                  <c:v>1.2599879864179367E-3</c:v>
                </c:pt>
                <c:pt idx="3725">
                  <c:v>9.6826181512667188E-4</c:v>
                </c:pt>
                <c:pt idx="3726">
                  <c:v>1.0142603019949767E-3</c:v>
                </c:pt>
                <c:pt idx="3727">
                  <c:v>7.0801286803645765E-4</c:v>
                </c:pt>
                <c:pt idx="3728">
                  <c:v>1.1176339130738546E-3</c:v>
                </c:pt>
                <c:pt idx="3729">
                  <c:v>4.6447627305021066E-4</c:v>
                </c:pt>
                <c:pt idx="3730">
                  <c:v>3.5372125651937896E-4</c:v>
                </c:pt>
                <c:pt idx="3731">
                  <c:v>7.0933389916363171E-4</c:v>
                </c:pt>
                <c:pt idx="3732">
                  <c:v>1.3441452052169809E-3</c:v>
                </c:pt>
                <c:pt idx="3733">
                  <c:v>5.6629636097365666E-4</c:v>
                </c:pt>
                <c:pt idx="3734">
                  <c:v>1.088315166655732E-3</c:v>
                </c:pt>
                <c:pt idx="3735">
                  <c:v>1.0912726600320992E-3</c:v>
                </c:pt>
                <c:pt idx="3736">
                  <c:v>6.3692516789594074E-4</c:v>
                </c:pt>
                <c:pt idx="3737">
                  <c:v>1.4121220083062188E-3</c:v>
                </c:pt>
                <c:pt idx="3738">
                  <c:v>8.0023541708264961E-4</c:v>
                </c:pt>
                <c:pt idx="3739">
                  <c:v>8.8115384160782843E-4</c:v>
                </c:pt>
                <c:pt idx="3740">
                  <c:v>7.4070631910075064E-4</c:v>
                </c:pt>
                <c:pt idx="3741">
                  <c:v>6.6602292476829065E-4</c:v>
                </c:pt>
                <c:pt idx="3742">
                  <c:v>9.1201456007346737E-4</c:v>
                </c:pt>
                <c:pt idx="3743">
                  <c:v>7.5411664983638619E-4</c:v>
                </c:pt>
                <c:pt idx="3744">
                  <c:v>5.922237975467048E-4</c:v>
                </c:pt>
                <c:pt idx="3745">
                  <c:v>3.6196119566943714E-4</c:v>
                </c:pt>
                <c:pt idx="3746">
                  <c:v>3.227376066557665E-4</c:v>
                </c:pt>
                <c:pt idx="3747">
                  <c:v>9.9555097301403305E-4</c:v>
                </c:pt>
                <c:pt idx="3748">
                  <c:v>8.0440768898411459E-4</c:v>
                </c:pt>
                <c:pt idx="3749">
                  <c:v>1.1230094172633769E-4</c:v>
                </c:pt>
                <c:pt idx="3750">
                  <c:v>8.3743266495383216E-4</c:v>
                </c:pt>
                <c:pt idx="3751">
                  <c:v>6.4293356496235299E-4</c:v>
                </c:pt>
                <c:pt idx="3752">
                  <c:v>3.7827616491809576E-4</c:v>
                </c:pt>
                <c:pt idx="3753">
                  <c:v>1.0784012685223666E-3</c:v>
                </c:pt>
                <c:pt idx="3754">
                  <c:v>5.2913376569084644E-4</c:v>
                </c:pt>
                <c:pt idx="3755">
                  <c:v>5.15962457461747E-4</c:v>
                </c:pt>
                <c:pt idx="3756">
                  <c:v>7.0466793937159426E-4</c:v>
                </c:pt>
                <c:pt idx="3757">
                  <c:v>1.4510258051635913E-3</c:v>
                </c:pt>
                <c:pt idx="3758">
                  <c:v>8.1897597738379358E-4</c:v>
                </c:pt>
                <c:pt idx="3759">
                  <c:v>6.7138343924322632E-4</c:v>
                </c:pt>
                <c:pt idx="3760">
                  <c:v>4.0205641852009166E-4</c:v>
                </c:pt>
                <c:pt idx="3761">
                  <c:v>1.1342056904023658E-3</c:v>
                </c:pt>
                <c:pt idx="3762">
                  <c:v>7.6020958092140156E-4</c:v>
                </c:pt>
                <c:pt idx="3763">
                  <c:v>6.7102417397236081E-4</c:v>
                </c:pt>
                <c:pt idx="3764">
                  <c:v>4.4845491626409643E-4</c:v>
                </c:pt>
                <c:pt idx="3765">
                  <c:v>8.3561640375414206E-4</c:v>
                </c:pt>
                <c:pt idx="3766">
                  <c:v>9.0040612588518538E-4</c:v>
                </c:pt>
                <c:pt idx="3767">
                  <c:v>4.3064269155421311E-4</c:v>
                </c:pt>
                <c:pt idx="3768">
                  <c:v>1.056978341333743E-3</c:v>
                </c:pt>
                <c:pt idx="3769">
                  <c:v>4.4630689560715538E-4</c:v>
                </c:pt>
                <c:pt idx="3770">
                  <c:v>1.0282934596360393E-3</c:v>
                </c:pt>
                <c:pt idx="3771">
                  <c:v>9.1959873161565672E-4</c:v>
                </c:pt>
                <c:pt idx="3772">
                  <c:v>6.6402977664183007E-4</c:v>
                </c:pt>
                <c:pt idx="3773">
                  <c:v>1.2889841232816093E-3</c:v>
                </c:pt>
                <c:pt idx="3774">
                  <c:v>1.4318726948298283E-3</c:v>
                </c:pt>
                <c:pt idx="3775">
                  <c:v>7.6372249096040936E-4</c:v>
                </c:pt>
                <c:pt idx="3776">
                  <c:v>6.0980555187264073E-4</c:v>
                </c:pt>
                <c:pt idx="3777">
                  <c:v>1.2899386892680073E-3</c:v>
                </c:pt>
                <c:pt idx="3778">
                  <c:v>7.8427474632057756E-4</c:v>
                </c:pt>
                <c:pt idx="3779">
                  <c:v>8.0736417706661016E-4</c:v>
                </c:pt>
                <c:pt idx="3780">
                  <c:v>1.3335039139828237E-3</c:v>
                </c:pt>
                <c:pt idx="3781">
                  <c:v>1.2111987280245438E-3</c:v>
                </c:pt>
                <c:pt idx="3782">
                  <c:v>1.211247038346053E-3</c:v>
                </c:pt>
                <c:pt idx="3783">
                  <c:v>8.11488024127128E-4</c:v>
                </c:pt>
                <c:pt idx="3784">
                  <c:v>6.4501108013482751E-4</c:v>
                </c:pt>
                <c:pt idx="3785">
                  <c:v>1.0956482432952818E-3</c:v>
                </c:pt>
                <c:pt idx="3786">
                  <c:v>9.2072835801783846E-4</c:v>
                </c:pt>
                <c:pt idx="3787">
                  <c:v>1.6008331013198263E-3</c:v>
                </c:pt>
                <c:pt idx="3788">
                  <c:v>9.7945537012242008E-4</c:v>
                </c:pt>
                <c:pt idx="3789">
                  <c:v>9.1164215394014042E-4</c:v>
                </c:pt>
                <c:pt idx="3790">
                  <c:v>3.0004569183699425E-4</c:v>
                </c:pt>
                <c:pt idx="3791">
                  <c:v>8.051535875171587E-4</c:v>
                </c:pt>
                <c:pt idx="3792">
                  <c:v>1.572863796572357E-3</c:v>
                </c:pt>
                <c:pt idx="3793">
                  <c:v>6.7314965468839633E-4</c:v>
                </c:pt>
                <c:pt idx="3794">
                  <c:v>5.2740267865903777E-4</c:v>
                </c:pt>
                <c:pt idx="3795">
                  <c:v>8.0456996043997081E-4</c:v>
                </c:pt>
                <c:pt idx="3796">
                  <c:v>5.4015979105263368E-4</c:v>
                </c:pt>
                <c:pt idx="3797">
                  <c:v>7.1402411158735812E-4</c:v>
                </c:pt>
                <c:pt idx="3798">
                  <c:v>1.2396381171481282E-3</c:v>
                </c:pt>
                <c:pt idx="3799">
                  <c:v>1.0275905297297261E-3</c:v>
                </c:pt>
                <c:pt idx="3800">
                  <c:v>1.6499953142672154E-3</c:v>
                </c:pt>
                <c:pt idx="3801">
                  <c:v>1.3179775121641012E-3</c:v>
                </c:pt>
                <c:pt idx="3802">
                  <c:v>1.1091483287796796E-3</c:v>
                </c:pt>
                <c:pt idx="3803">
                  <c:v>1.181875907009409E-3</c:v>
                </c:pt>
                <c:pt idx="3804">
                  <c:v>7.5663603644081541E-4</c:v>
                </c:pt>
                <c:pt idx="3805">
                  <c:v>7.0604248245006887E-4</c:v>
                </c:pt>
                <c:pt idx="3806">
                  <c:v>3.8068290988662836E-4</c:v>
                </c:pt>
                <c:pt idx="3807">
                  <c:v>9.6205591963155718E-4</c:v>
                </c:pt>
                <c:pt idx="3808">
                  <c:v>9.2245166907495692E-4</c:v>
                </c:pt>
                <c:pt idx="3809">
                  <c:v>7.0205163822499518E-4</c:v>
                </c:pt>
                <c:pt idx="3810">
                  <c:v>1.0638367560829769E-3</c:v>
                </c:pt>
                <c:pt idx="3811">
                  <c:v>1.1952030938257548E-3</c:v>
                </c:pt>
                <c:pt idx="3812">
                  <c:v>1.5374569474691682E-3</c:v>
                </c:pt>
                <c:pt idx="3813">
                  <c:v>7.451516851409855E-4</c:v>
                </c:pt>
                <c:pt idx="3814">
                  <c:v>1.5508997092773221E-3</c:v>
                </c:pt>
                <c:pt idx="3815">
                  <c:v>8.5119449869179673E-4</c:v>
                </c:pt>
                <c:pt idx="3816">
                  <c:v>1.22180421916324E-3</c:v>
                </c:pt>
                <c:pt idx="3817">
                  <c:v>1.0857894497724504E-3</c:v>
                </c:pt>
                <c:pt idx="3818">
                  <c:v>7.1664962903378294E-4</c:v>
                </c:pt>
                <c:pt idx="3819">
                  <c:v>5.4970019367936505E-4</c:v>
                </c:pt>
                <c:pt idx="3820">
                  <c:v>7.0368902640059879E-4</c:v>
                </c:pt>
                <c:pt idx="3821">
                  <c:v>5.6552679321838714E-4</c:v>
                </c:pt>
                <c:pt idx="3822">
                  <c:v>2.9269438991038547E-4</c:v>
                </c:pt>
                <c:pt idx="3823">
                  <c:v>1.1896917126736262E-3</c:v>
                </c:pt>
                <c:pt idx="3824">
                  <c:v>5.9803572741509172E-4</c:v>
                </c:pt>
                <c:pt idx="3825">
                  <c:v>1.0978543131486133E-3</c:v>
                </c:pt>
                <c:pt idx="3826">
                  <c:v>1.269465561850568E-3</c:v>
                </c:pt>
                <c:pt idx="3827">
                  <c:v>9.3132963797633035E-4</c:v>
                </c:pt>
                <c:pt idx="3828">
                  <c:v>8.8698838646547032E-4</c:v>
                </c:pt>
                <c:pt idx="3829">
                  <c:v>9.0869722774898566E-4</c:v>
                </c:pt>
                <c:pt idx="3830">
                  <c:v>5.9602762550550661E-4</c:v>
                </c:pt>
                <c:pt idx="3831">
                  <c:v>7.8447848358286583E-4</c:v>
                </c:pt>
                <c:pt idx="3832">
                  <c:v>7.8408816756954814E-4</c:v>
                </c:pt>
                <c:pt idx="3833">
                  <c:v>7.7599800633012747E-4</c:v>
                </c:pt>
                <c:pt idx="3834">
                  <c:v>1.0372979773906827E-3</c:v>
                </c:pt>
                <c:pt idx="3835">
                  <c:v>7.6476730516213836E-4</c:v>
                </c:pt>
                <c:pt idx="3836">
                  <c:v>6.5659987509270154E-4</c:v>
                </c:pt>
                <c:pt idx="3837">
                  <c:v>7.5905132223507462E-4</c:v>
                </c:pt>
                <c:pt idx="3838">
                  <c:v>1.2463647041966947E-3</c:v>
                </c:pt>
                <c:pt idx="3839">
                  <c:v>5.8561415736344533E-4</c:v>
                </c:pt>
                <c:pt idx="3840">
                  <c:v>9.2629630806580459E-4</c:v>
                </c:pt>
                <c:pt idx="3841">
                  <c:v>7.3151051894166947E-4</c:v>
                </c:pt>
                <c:pt idx="3842">
                  <c:v>5.1512524365593664E-4</c:v>
                </c:pt>
                <c:pt idx="3843">
                  <c:v>9.1669542519624359E-4</c:v>
                </c:pt>
                <c:pt idx="3844">
                  <c:v>1.1078671398048654E-3</c:v>
                </c:pt>
                <c:pt idx="3845">
                  <c:v>6.5727908304196705E-4</c:v>
                </c:pt>
                <c:pt idx="3846">
                  <c:v>4.650188678875145E-4</c:v>
                </c:pt>
                <c:pt idx="3847">
                  <c:v>9.8794125405876317E-4</c:v>
                </c:pt>
                <c:pt idx="3848">
                  <c:v>9.6997654112997633E-4</c:v>
                </c:pt>
                <c:pt idx="3849">
                  <c:v>1.1568094490572265E-3</c:v>
                </c:pt>
                <c:pt idx="3850">
                  <c:v>8.7358662779866807E-4</c:v>
                </c:pt>
                <c:pt idx="3851">
                  <c:v>1.0807350277917574E-3</c:v>
                </c:pt>
                <c:pt idx="3852">
                  <c:v>1.1996312088175217E-3</c:v>
                </c:pt>
                <c:pt idx="3853">
                  <c:v>1.0734773677367026E-3</c:v>
                </c:pt>
                <c:pt idx="3854">
                  <c:v>8.5447041815655503E-4</c:v>
                </c:pt>
                <c:pt idx="3855">
                  <c:v>6.3659917956059475E-4</c:v>
                </c:pt>
                <c:pt idx="3856">
                  <c:v>8.4874086373420401E-4</c:v>
                </c:pt>
                <c:pt idx="3857">
                  <c:v>1.188273394435789E-3</c:v>
                </c:pt>
                <c:pt idx="3858">
                  <c:v>1.232260826242768E-3</c:v>
                </c:pt>
                <c:pt idx="3859">
                  <c:v>5.0077744152557337E-4</c:v>
                </c:pt>
                <c:pt idx="3860">
                  <c:v>7.5923849898687631E-4</c:v>
                </c:pt>
                <c:pt idx="3861">
                  <c:v>1.0666293828667723E-3</c:v>
                </c:pt>
                <c:pt idx="3862">
                  <c:v>6.922320675974168E-4</c:v>
                </c:pt>
                <c:pt idx="3863">
                  <c:v>7.9961664161827821E-4</c:v>
                </c:pt>
                <c:pt idx="3864">
                  <c:v>5.2630977517123393E-4</c:v>
                </c:pt>
                <c:pt idx="3865">
                  <c:v>6.363349423354883E-4</c:v>
                </c:pt>
                <c:pt idx="3866">
                  <c:v>7.073294906123302E-4</c:v>
                </c:pt>
                <c:pt idx="3867">
                  <c:v>9.216924830934886E-4</c:v>
                </c:pt>
                <c:pt idx="3868">
                  <c:v>1.1541950717716789E-3</c:v>
                </c:pt>
                <c:pt idx="3869">
                  <c:v>7.9679705260488586E-4</c:v>
                </c:pt>
                <c:pt idx="3870">
                  <c:v>3.9744716091002363E-4</c:v>
                </c:pt>
                <c:pt idx="3871">
                  <c:v>8.9142553766298374E-4</c:v>
                </c:pt>
                <c:pt idx="3872">
                  <c:v>2.981342937199232E-4</c:v>
                </c:pt>
                <c:pt idx="3873">
                  <c:v>5.2277308664986527E-4</c:v>
                </c:pt>
                <c:pt idx="3874">
                  <c:v>4.9537109088263441E-4</c:v>
                </c:pt>
                <c:pt idx="3875">
                  <c:v>7.4841281130323711E-4</c:v>
                </c:pt>
                <c:pt idx="3876">
                  <c:v>7.4469914242747892E-4</c:v>
                </c:pt>
                <c:pt idx="3877">
                  <c:v>5.6461121298088024E-4</c:v>
                </c:pt>
                <c:pt idx="3878">
                  <c:v>5.9118051725279416E-4</c:v>
                </c:pt>
                <c:pt idx="3879">
                  <c:v>1.062759426513629E-3</c:v>
                </c:pt>
                <c:pt idx="3880">
                  <c:v>8.5639928083334604E-4</c:v>
                </c:pt>
                <c:pt idx="3881">
                  <c:v>1.3031312494872268E-3</c:v>
                </c:pt>
                <c:pt idx="3882">
                  <c:v>8.7644350844341776E-4</c:v>
                </c:pt>
                <c:pt idx="3883">
                  <c:v>1.0326771401884193E-3</c:v>
                </c:pt>
                <c:pt idx="3884">
                  <c:v>5.4308596312906338E-4</c:v>
                </c:pt>
                <c:pt idx="3885">
                  <c:v>1.0559877587767053E-3</c:v>
                </c:pt>
                <c:pt idx="3886">
                  <c:v>1.1447246599942907E-3</c:v>
                </c:pt>
                <c:pt idx="3887">
                  <c:v>1.1721186164353856E-3</c:v>
                </c:pt>
                <c:pt idx="3888">
                  <c:v>4.9887271328036015E-4</c:v>
                </c:pt>
                <c:pt idx="3889">
                  <c:v>1.2999461486327584E-3</c:v>
                </c:pt>
                <c:pt idx="3890">
                  <c:v>3.6412636038512657E-4</c:v>
                </c:pt>
                <c:pt idx="3891">
                  <c:v>7.3825048539130698E-4</c:v>
                </c:pt>
                <c:pt idx="3892">
                  <c:v>4.8523057659409345E-4</c:v>
                </c:pt>
                <c:pt idx="3893">
                  <c:v>5.4306467746978665E-4</c:v>
                </c:pt>
                <c:pt idx="3894">
                  <c:v>7.3991511433308473E-4</c:v>
                </c:pt>
                <c:pt idx="3895">
                  <c:v>1.0139795012092095E-3</c:v>
                </c:pt>
                <c:pt idx="3896">
                  <c:v>5.5226281428638472E-4</c:v>
                </c:pt>
                <c:pt idx="3897">
                  <c:v>1.9685112254546407E-4</c:v>
                </c:pt>
                <c:pt idx="3898">
                  <c:v>1.4159118264407528E-3</c:v>
                </c:pt>
                <c:pt idx="3899">
                  <c:v>1.3791609129068961E-3</c:v>
                </c:pt>
                <c:pt idx="3900">
                  <c:v>5.7563258682657493E-4</c:v>
                </c:pt>
                <c:pt idx="3901">
                  <c:v>6.7847517885809261E-4</c:v>
                </c:pt>
                <c:pt idx="3902">
                  <c:v>7.3860944205009975E-4</c:v>
                </c:pt>
                <c:pt idx="3903">
                  <c:v>7.6301420519677104E-4</c:v>
                </c:pt>
                <c:pt idx="3904">
                  <c:v>8.0345137935970614E-4</c:v>
                </c:pt>
                <c:pt idx="3905">
                  <c:v>5.833349305414511E-4</c:v>
                </c:pt>
                <c:pt idx="3906">
                  <c:v>7.6303678595074668E-4</c:v>
                </c:pt>
                <c:pt idx="3907">
                  <c:v>8.9030205071772086E-4</c:v>
                </c:pt>
                <c:pt idx="3908">
                  <c:v>7.5947624827337791E-4</c:v>
                </c:pt>
                <c:pt idx="3909">
                  <c:v>7.8191425162297114E-4</c:v>
                </c:pt>
                <c:pt idx="3910">
                  <c:v>1.0867422121450864E-3</c:v>
                </c:pt>
                <c:pt idx="3911">
                  <c:v>8.4947843037309868E-4</c:v>
                </c:pt>
                <c:pt idx="3912">
                  <c:v>8.0234350762743375E-4</c:v>
                </c:pt>
                <c:pt idx="3913">
                  <c:v>7.1104224296633808E-4</c:v>
                </c:pt>
                <c:pt idx="3914">
                  <c:v>9.9745919462715946E-4</c:v>
                </c:pt>
                <c:pt idx="3915">
                  <c:v>1.1792166569690426E-3</c:v>
                </c:pt>
                <c:pt idx="3916">
                  <c:v>1.196936736484954E-3</c:v>
                </c:pt>
                <c:pt idx="3917">
                  <c:v>9.2118973153253311E-4</c:v>
                </c:pt>
                <c:pt idx="3918">
                  <c:v>1.5531641272384764E-3</c:v>
                </c:pt>
                <c:pt idx="3919">
                  <c:v>1.1056928735106871E-3</c:v>
                </c:pt>
                <c:pt idx="3920">
                  <c:v>3.2122762411053245E-4</c:v>
                </c:pt>
                <c:pt idx="3921">
                  <c:v>5.3874266702506651E-4</c:v>
                </c:pt>
                <c:pt idx="3922">
                  <c:v>8.2560591105028023E-4</c:v>
                </c:pt>
                <c:pt idx="3923">
                  <c:v>7.775918636154707E-4</c:v>
                </c:pt>
                <c:pt idx="3924">
                  <c:v>7.0574596251725549E-4</c:v>
                </c:pt>
                <c:pt idx="3925">
                  <c:v>1.2804229028833066E-3</c:v>
                </c:pt>
                <c:pt idx="3926">
                  <c:v>9.4378057170831607E-4</c:v>
                </c:pt>
                <c:pt idx="3927">
                  <c:v>1.2386787803825643E-3</c:v>
                </c:pt>
                <c:pt idx="3928">
                  <c:v>1.4825316803675497E-4</c:v>
                </c:pt>
                <c:pt idx="3929">
                  <c:v>9.3221412500452171E-4</c:v>
                </c:pt>
                <c:pt idx="3930">
                  <c:v>7.0341570836827234E-4</c:v>
                </c:pt>
                <c:pt idx="3931">
                  <c:v>1.2892277269875864E-3</c:v>
                </c:pt>
                <c:pt idx="3932">
                  <c:v>8.7209557091066535E-4</c:v>
                </c:pt>
                <c:pt idx="3933">
                  <c:v>4.5035702346947801E-4</c:v>
                </c:pt>
                <c:pt idx="3934">
                  <c:v>6.6441719673204303E-4</c:v>
                </c:pt>
                <c:pt idx="3935">
                  <c:v>3.4595797393379275E-4</c:v>
                </c:pt>
                <c:pt idx="3936">
                  <c:v>6.2563719449605963E-4</c:v>
                </c:pt>
                <c:pt idx="3937">
                  <c:v>1.1846551553650309E-3</c:v>
                </c:pt>
                <c:pt idx="3938">
                  <c:v>1.2268903008225585E-3</c:v>
                </c:pt>
                <c:pt idx="3939">
                  <c:v>1.3712105648331194E-3</c:v>
                </c:pt>
                <c:pt idx="3940">
                  <c:v>8.4776284543435279E-4</c:v>
                </c:pt>
                <c:pt idx="3941">
                  <c:v>9.6141749656291427E-4</c:v>
                </c:pt>
                <c:pt idx="3942">
                  <c:v>7.2616856483438794E-4</c:v>
                </c:pt>
                <c:pt idx="3943">
                  <c:v>3.3547423061087978E-4</c:v>
                </c:pt>
                <c:pt idx="3944">
                  <c:v>8.463878196711699E-4</c:v>
                </c:pt>
                <c:pt idx="3945">
                  <c:v>9.0652094908910295E-4</c:v>
                </c:pt>
                <c:pt idx="3946">
                  <c:v>1.0216272135299656E-3</c:v>
                </c:pt>
                <c:pt idx="3947">
                  <c:v>1.022324947228363E-3</c:v>
                </c:pt>
                <c:pt idx="3948">
                  <c:v>1.2267028163875195E-3</c:v>
                </c:pt>
                <c:pt idx="3949">
                  <c:v>1.2968016360651506E-3</c:v>
                </c:pt>
                <c:pt idx="3950">
                  <c:v>3.567031849603606E-4</c:v>
                </c:pt>
                <c:pt idx="3951">
                  <c:v>6.8336211138422332E-4</c:v>
                </c:pt>
                <c:pt idx="3952">
                  <c:v>6.2943483394551844E-4</c:v>
                </c:pt>
                <c:pt idx="3953">
                  <c:v>1.1719757013948532E-3</c:v>
                </c:pt>
                <c:pt idx="3954">
                  <c:v>3.183677910258541E-4</c:v>
                </c:pt>
                <c:pt idx="3955">
                  <c:v>9.9187656368011998E-4</c:v>
                </c:pt>
                <c:pt idx="3956">
                  <c:v>8.2002912595769285E-4</c:v>
                </c:pt>
                <c:pt idx="3957">
                  <c:v>9.9741439727589845E-4</c:v>
                </c:pt>
                <c:pt idx="3958">
                  <c:v>6.4332753783004565E-4</c:v>
                </c:pt>
                <c:pt idx="3959">
                  <c:v>1.3606601719183974E-3</c:v>
                </c:pt>
                <c:pt idx="3960">
                  <c:v>1.2689699483723475E-3</c:v>
                </c:pt>
                <c:pt idx="3961">
                  <c:v>9.4091360085923935E-4</c:v>
                </c:pt>
                <c:pt idx="3962">
                  <c:v>5.1623729132790842E-4</c:v>
                </c:pt>
                <c:pt idx="3963">
                  <c:v>6.3431823299582156E-4</c:v>
                </c:pt>
                <c:pt idx="3964">
                  <c:v>1.2570541943629076E-3</c:v>
                </c:pt>
                <c:pt idx="3965">
                  <c:v>2.8174574183407764E-4</c:v>
                </c:pt>
                <c:pt idx="3966">
                  <c:v>7.0827289589115144E-4</c:v>
                </c:pt>
                <c:pt idx="3967">
                  <c:v>9.4006116486207306E-4</c:v>
                </c:pt>
                <c:pt idx="3968">
                  <c:v>1.0254028344521631E-3</c:v>
                </c:pt>
                <c:pt idx="3969">
                  <c:v>8.0154664523998513E-4</c:v>
                </c:pt>
                <c:pt idx="3970">
                  <c:v>1.2710404489215624E-3</c:v>
                </c:pt>
                <c:pt idx="3971">
                  <c:v>1.3737323402121149E-3</c:v>
                </c:pt>
                <c:pt idx="3972">
                  <c:v>5.16096899204119E-4</c:v>
                </c:pt>
                <c:pt idx="3973">
                  <c:v>7.7130454600352158E-4</c:v>
                </c:pt>
                <c:pt idx="3974">
                  <c:v>1.1377794463036791E-3</c:v>
                </c:pt>
                <c:pt idx="3975">
                  <c:v>6.9987391762642325E-4</c:v>
                </c:pt>
                <c:pt idx="3976">
                  <c:v>9.6718650263089576E-4</c:v>
                </c:pt>
                <c:pt idx="3977">
                  <c:v>8.870330769667488E-4</c:v>
                </c:pt>
                <c:pt idx="3978">
                  <c:v>8.5654192006089579E-4</c:v>
                </c:pt>
                <c:pt idx="3979">
                  <c:v>2.6169521172275683E-4</c:v>
                </c:pt>
                <c:pt idx="3980">
                  <c:v>5.9136387671170076E-4</c:v>
                </c:pt>
                <c:pt idx="3981">
                  <c:v>9.0169267485485987E-4</c:v>
                </c:pt>
                <c:pt idx="3982">
                  <c:v>9.8833718659003069E-4</c:v>
                </c:pt>
                <c:pt idx="3983">
                  <c:v>5.5628133477095634E-4</c:v>
                </c:pt>
                <c:pt idx="3984">
                  <c:v>1.4019326251450807E-3</c:v>
                </c:pt>
                <c:pt idx="3985">
                  <c:v>1.1836728269143252E-3</c:v>
                </c:pt>
                <c:pt idx="3986">
                  <c:v>1.1583997939111032E-3</c:v>
                </c:pt>
                <c:pt idx="3987">
                  <c:v>1.2841795419070337E-3</c:v>
                </c:pt>
                <c:pt idx="3988">
                  <c:v>1.5500209629455231E-3</c:v>
                </c:pt>
                <c:pt idx="3989">
                  <c:v>1.040245437102824E-3</c:v>
                </c:pt>
                <c:pt idx="3990">
                  <c:v>8.1962783020051431E-4</c:v>
                </c:pt>
                <c:pt idx="3991">
                  <c:v>7.2185194619738804E-4</c:v>
                </c:pt>
                <c:pt idx="3992">
                  <c:v>8.4327888198317544E-4</c:v>
                </c:pt>
                <c:pt idx="3993">
                  <c:v>1.1449175603977617E-3</c:v>
                </c:pt>
                <c:pt idx="3994">
                  <c:v>8.8932540379689029E-4</c:v>
                </c:pt>
                <c:pt idx="3995">
                  <c:v>9.4269336323969959E-4</c:v>
                </c:pt>
                <c:pt idx="3996">
                  <c:v>7.6268636357548249E-4</c:v>
                </c:pt>
                <c:pt idx="3997">
                  <c:v>6.8291652624043653E-4</c:v>
                </c:pt>
                <c:pt idx="3998">
                  <c:v>6.1422240162344402E-4</c:v>
                </c:pt>
                <c:pt idx="3999">
                  <c:v>1.177484261721424E-3</c:v>
                </c:pt>
                <c:pt idx="4000">
                  <c:v>4.9445861982754197E-4</c:v>
                </c:pt>
                <c:pt idx="4001">
                  <c:v>1.0918141529259406E-3</c:v>
                </c:pt>
                <c:pt idx="4002">
                  <c:v>1.6475388477073011E-4</c:v>
                </c:pt>
                <c:pt idx="4003">
                  <c:v>1.2149810180049285E-3</c:v>
                </c:pt>
                <c:pt idx="4004">
                  <c:v>1.1464888962246962E-3</c:v>
                </c:pt>
                <c:pt idx="4005">
                  <c:v>1.0341031961523402E-3</c:v>
                </c:pt>
                <c:pt idx="4006">
                  <c:v>1.2066391172975857E-3</c:v>
                </c:pt>
                <c:pt idx="4007">
                  <c:v>9.4004905958791163E-4</c:v>
                </c:pt>
                <c:pt idx="4008">
                  <c:v>1.2594860686708001E-3</c:v>
                </c:pt>
                <c:pt idx="4009">
                  <c:v>5.0958360918093733E-4</c:v>
                </c:pt>
                <c:pt idx="4010">
                  <c:v>1.1177054577218818E-3</c:v>
                </c:pt>
                <c:pt idx="4011">
                  <c:v>1.0134751813098699E-3</c:v>
                </c:pt>
                <c:pt idx="4012">
                  <c:v>4.6934532988895147E-4</c:v>
                </c:pt>
                <c:pt idx="4013">
                  <c:v>8.8949526679797783E-4</c:v>
                </c:pt>
                <c:pt idx="4014">
                  <c:v>9.2553634102825123E-4</c:v>
                </c:pt>
                <c:pt idx="4015">
                  <c:v>3.7475201200588121E-4</c:v>
                </c:pt>
                <c:pt idx="4016">
                  <c:v>1.3513580787801478E-3</c:v>
                </c:pt>
                <c:pt idx="4017">
                  <c:v>1.4685381881091109E-3</c:v>
                </c:pt>
                <c:pt idx="4018">
                  <c:v>6.9958431836502147E-4</c:v>
                </c:pt>
                <c:pt idx="4019">
                  <c:v>3.1256133155142422E-4</c:v>
                </c:pt>
                <c:pt idx="4020">
                  <c:v>3.1493459401584146E-4</c:v>
                </c:pt>
                <c:pt idx="4021">
                  <c:v>9.8793404867522443E-4</c:v>
                </c:pt>
                <c:pt idx="4022">
                  <c:v>5.5174548633725483E-4</c:v>
                </c:pt>
                <c:pt idx="4023">
                  <c:v>1.0088278983842929E-3</c:v>
                </c:pt>
                <c:pt idx="4024">
                  <c:v>1.2165028635944292E-3</c:v>
                </c:pt>
                <c:pt idx="4025">
                  <c:v>4.9951153129327219E-4</c:v>
                </c:pt>
                <c:pt idx="4026">
                  <c:v>1.9261275651341816E-3</c:v>
                </c:pt>
                <c:pt idx="4027">
                  <c:v>7.2744863027413681E-4</c:v>
                </c:pt>
                <c:pt idx="4028">
                  <c:v>1.2225021908432254E-3</c:v>
                </c:pt>
                <c:pt idx="4029">
                  <c:v>6.0164733732647748E-4</c:v>
                </c:pt>
                <c:pt idx="4030">
                  <c:v>7.9541987640581609E-4</c:v>
                </c:pt>
                <c:pt idx="4031">
                  <c:v>4.3837157447823626E-4</c:v>
                </c:pt>
                <c:pt idx="4032">
                  <c:v>8.418424249773892E-4</c:v>
                </c:pt>
                <c:pt idx="4033">
                  <c:v>1.2060281491763989E-3</c:v>
                </c:pt>
                <c:pt idx="4034">
                  <c:v>1.2714238627108355E-3</c:v>
                </c:pt>
                <c:pt idx="4035">
                  <c:v>8.7971803283705993E-4</c:v>
                </c:pt>
                <c:pt idx="4036">
                  <c:v>1.0909942178167036E-3</c:v>
                </c:pt>
                <c:pt idx="4037">
                  <c:v>1.4121481171451658E-3</c:v>
                </c:pt>
                <c:pt idx="4038">
                  <c:v>3.0374240179822562E-4</c:v>
                </c:pt>
                <c:pt idx="4039">
                  <c:v>5.6797934358843963E-4</c:v>
                </c:pt>
                <c:pt idx="4040">
                  <c:v>9.3254742970719359E-4</c:v>
                </c:pt>
                <c:pt idx="4041">
                  <c:v>1.1015206184179971E-3</c:v>
                </c:pt>
                <c:pt idx="4042">
                  <c:v>8.2921670005199838E-4</c:v>
                </c:pt>
                <c:pt idx="4043">
                  <c:v>1.4415567990941438E-3</c:v>
                </c:pt>
                <c:pt idx="4044">
                  <c:v>9.8162944643536299E-4</c:v>
                </c:pt>
                <c:pt idx="4045">
                  <c:v>1.1182529668313742E-3</c:v>
                </c:pt>
                <c:pt idx="4046">
                  <c:v>9.4890268177447818E-4</c:v>
                </c:pt>
                <c:pt idx="4047">
                  <c:v>8.9926861005244264E-4</c:v>
                </c:pt>
                <c:pt idx="4048">
                  <c:v>6.7208819131193824E-4</c:v>
                </c:pt>
                <c:pt idx="4049">
                  <c:v>6.1138339432964474E-4</c:v>
                </c:pt>
                <c:pt idx="4050">
                  <c:v>1.009391765797998E-3</c:v>
                </c:pt>
                <c:pt idx="4051">
                  <c:v>8.919589446215639E-4</c:v>
                </c:pt>
                <c:pt idx="4052">
                  <c:v>1.0828528405042372E-3</c:v>
                </c:pt>
                <c:pt idx="4053">
                  <c:v>7.9969789252321488E-4</c:v>
                </c:pt>
                <c:pt idx="4054">
                  <c:v>1.0663375048706031E-3</c:v>
                </c:pt>
                <c:pt idx="4055">
                  <c:v>1.3089013543160948E-3</c:v>
                </c:pt>
                <c:pt idx="4056">
                  <c:v>7.868160113832642E-4</c:v>
                </c:pt>
                <c:pt idx="4057">
                  <c:v>7.3006073722679419E-4</c:v>
                </c:pt>
                <c:pt idx="4058">
                  <c:v>3.6921422683186479E-4</c:v>
                </c:pt>
                <c:pt idx="4059">
                  <c:v>4.7796397543824464E-4</c:v>
                </c:pt>
                <c:pt idx="4060">
                  <c:v>9.2118795074664815E-4</c:v>
                </c:pt>
                <c:pt idx="4061">
                  <c:v>1.0128666778524908E-3</c:v>
                </c:pt>
                <c:pt idx="4062">
                  <c:v>8.7629767249722984E-4</c:v>
                </c:pt>
                <c:pt idx="4063">
                  <c:v>1.0439814467330304E-3</c:v>
                </c:pt>
                <c:pt idx="4064">
                  <c:v>5.0686842234109737E-4</c:v>
                </c:pt>
                <c:pt idx="4065">
                  <c:v>5.2025924658492568E-4</c:v>
                </c:pt>
                <c:pt idx="4066">
                  <c:v>5.7510077031872032E-4</c:v>
                </c:pt>
                <c:pt idx="4067">
                  <c:v>6.0318593589087565E-4</c:v>
                </c:pt>
                <c:pt idx="4068">
                  <c:v>9.2741074350576752E-4</c:v>
                </c:pt>
                <c:pt idx="4069">
                  <c:v>8.6360666974713725E-4</c:v>
                </c:pt>
                <c:pt idx="4070">
                  <c:v>1.7815484553848873E-3</c:v>
                </c:pt>
                <c:pt idx="4071">
                  <c:v>5.8312578519206847E-4</c:v>
                </c:pt>
                <c:pt idx="4072">
                  <c:v>4.9888157194807501E-4</c:v>
                </c:pt>
                <c:pt idx="4073">
                  <c:v>7.5250536111761128E-4</c:v>
                </c:pt>
                <c:pt idx="4074">
                  <c:v>1.4126157641861082E-3</c:v>
                </c:pt>
                <c:pt idx="4075">
                  <c:v>3.5930075536182155E-4</c:v>
                </c:pt>
                <c:pt idx="4076">
                  <c:v>8.4333704668791546E-4</c:v>
                </c:pt>
                <c:pt idx="4077">
                  <c:v>1.0822833208343819E-3</c:v>
                </c:pt>
                <c:pt idx="4078">
                  <c:v>1.3247623033347366E-3</c:v>
                </c:pt>
                <c:pt idx="4079">
                  <c:v>5.8120722146258604E-4</c:v>
                </c:pt>
                <c:pt idx="4080">
                  <c:v>5.6553046861993644E-4</c:v>
                </c:pt>
                <c:pt idx="4081">
                  <c:v>6.876597676929992E-4</c:v>
                </c:pt>
                <c:pt idx="4082">
                  <c:v>1.0047050637283874E-3</c:v>
                </c:pt>
                <c:pt idx="4083">
                  <c:v>6.9458821750967607E-4</c:v>
                </c:pt>
                <c:pt idx="4084">
                  <c:v>1.0087778830733061E-3</c:v>
                </c:pt>
                <c:pt idx="4085">
                  <c:v>5.3925164848380098E-4</c:v>
                </c:pt>
                <c:pt idx="4086">
                  <c:v>1.1448472987195364E-3</c:v>
                </c:pt>
                <c:pt idx="4087">
                  <c:v>9.4664425542280971E-4</c:v>
                </c:pt>
                <c:pt idx="4088">
                  <c:v>9.0963306928079808E-4</c:v>
                </c:pt>
                <c:pt idx="4089">
                  <c:v>7.2309899839211164E-4</c:v>
                </c:pt>
                <c:pt idx="4090">
                  <c:v>4.9672690435510237E-4</c:v>
                </c:pt>
                <c:pt idx="4091">
                  <c:v>6.0499142814174475E-4</c:v>
                </c:pt>
                <c:pt idx="4092">
                  <c:v>1.0238467413653278E-3</c:v>
                </c:pt>
                <c:pt idx="4093">
                  <c:v>6.7937897168881471E-4</c:v>
                </c:pt>
                <c:pt idx="4094">
                  <c:v>9.5330698834571864E-4</c:v>
                </c:pt>
                <c:pt idx="4095">
                  <c:v>2.5030600255293047E-4</c:v>
                </c:pt>
                <c:pt idx="4096">
                  <c:v>4.91239302927702E-4</c:v>
                </c:pt>
                <c:pt idx="4097">
                  <c:v>1.1489266206186693E-3</c:v>
                </c:pt>
                <c:pt idx="4098">
                  <c:v>3.5084022945376458E-4</c:v>
                </c:pt>
                <c:pt idx="4099">
                  <c:v>1.4651637706461725E-3</c:v>
                </c:pt>
                <c:pt idx="4100">
                  <c:v>8.2438076439572173E-4</c:v>
                </c:pt>
                <c:pt idx="4101">
                  <c:v>5.4932735748245527E-4</c:v>
                </c:pt>
                <c:pt idx="4102">
                  <c:v>8.6135451202396863E-4</c:v>
                </c:pt>
                <c:pt idx="4103">
                  <c:v>1.1353921659436517E-3</c:v>
                </c:pt>
                <c:pt idx="4104">
                  <c:v>7.4590074422307485E-4</c:v>
                </c:pt>
                <c:pt idx="4105">
                  <c:v>9.6487241653408086E-4</c:v>
                </c:pt>
                <c:pt idx="4106">
                  <c:v>1.0677229277197887E-3</c:v>
                </c:pt>
                <c:pt idx="4107">
                  <c:v>2.3207654239001463E-4</c:v>
                </c:pt>
                <c:pt idx="4108">
                  <c:v>8.1055416005406159E-4</c:v>
                </c:pt>
                <c:pt idx="4109">
                  <c:v>3.5905722114422883E-4</c:v>
                </c:pt>
                <c:pt idx="4110">
                  <c:v>1.032638860353337E-3</c:v>
                </c:pt>
                <c:pt idx="4111">
                  <c:v>9.1466410684511103E-4</c:v>
                </c:pt>
                <c:pt idx="4112">
                  <c:v>1.0147877158074991E-3</c:v>
                </c:pt>
                <c:pt idx="4113">
                  <c:v>8.1144859817685157E-4</c:v>
                </c:pt>
                <c:pt idx="4114">
                  <c:v>4.7258801950163779E-4</c:v>
                </c:pt>
                <c:pt idx="4115">
                  <c:v>8.0028997093582114E-4</c:v>
                </c:pt>
                <c:pt idx="4116">
                  <c:v>5.048925797674264E-4</c:v>
                </c:pt>
                <c:pt idx="4117">
                  <c:v>8.5223230582913228E-4</c:v>
                </c:pt>
                <c:pt idx="4118">
                  <c:v>4.6140398035277171E-4</c:v>
                </c:pt>
                <c:pt idx="4119">
                  <c:v>4.9882802397559027E-4</c:v>
                </c:pt>
                <c:pt idx="4120">
                  <c:v>7.426707609297957E-4</c:v>
                </c:pt>
                <c:pt idx="4121">
                  <c:v>1.2517127473324126E-3</c:v>
                </c:pt>
                <c:pt idx="4122">
                  <c:v>1.1878657610735143E-3</c:v>
                </c:pt>
                <c:pt idx="4123">
                  <c:v>5.8828795655227278E-4</c:v>
                </c:pt>
                <c:pt idx="4124">
                  <c:v>6.7818090776097274E-4</c:v>
                </c:pt>
                <c:pt idx="4125">
                  <c:v>4.8276280020088773E-4</c:v>
                </c:pt>
                <c:pt idx="4126">
                  <c:v>2.3593152895971049E-4</c:v>
                </c:pt>
                <c:pt idx="4127">
                  <c:v>8.5158669073720104E-4</c:v>
                </c:pt>
                <c:pt idx="4128">
                  <c:v>6.5316278714231779E-4</c:v>
                </c:pt>
                <c:pt idx="4129">
                  <c:v>5.0924269521368689E-4</c:v>
                </c:pt>
                <c:pt idx="4130">
                  <c:v>6.9987514958832716E-4</c:v>
                </c:pt>
                <c:pt idx="4131">
                  <c:v>1.0046557161381394E-3</c:v>
                </c:pt>
                <c:pt idx="4132">
                  <c:v>6.5021481774683637E-4</c:v>
                </c:pt>
                <c:pt idx="4133">
                  <c:v>6.5988527129446511E-4</c:v>
                </c:pt>
                <c:pt idx="4134">
                  <c:v>8.250907572902856E-4</c:v>
                </c:pt>
                <c:pt idx="4135">
                  <c:v>1.1455777617987283E-3</c:v>
                </c:pt>
                <c:pt idx="4136">
                  <c:v>8.9904160051944206E-4</c:v>
                </c:pt>
                <c:pt idx="4137">
                  <c:v>1.1194436959960511E-3</c:v>
                </c:pt>
                <c:pt idx="4138">
                  <c:v>1.1790672150338104E-3</c:v>
                </c:pt>
                <c:pt idx="4139">
                  <c:v>1.1288169720473956E-3</c:v>
                </c:pt>
                <c:pt idx="4140">
                  <c:v>6.9459122396905363E-4</c:v>
                </c:pt>
                <c:pt idx="4141">
                  <c:v>1.8377929346120863E-3</c:v>
                </c:pt>
                <c:pt idx="4142">
                  <c:v>1.7043309575575364E-4</c:v>
                </c:pt>
                <c:pt idx="4143">
                  <c:v>1.7376546936505113E-3</c:v>
                </c:pt>
                <c:pt idx="4144">
                  <c:v>3.7197364156716896E-4</c:v>
                </c:pt>
                <c:pt idx="4145">
                  <c:v>9.1604419984537785E-4</c:v>
                </c:pt>
                <c:pt idx="4146">
                  <c:v>4.7096577911837523E-4</c:v>
                </c:pt>
                <c:pt idx="4147">
                  <c:v>9.3265464546516102E-4</c:v>
                </c:pt>
                <c:pt idx="4148">
                  <c:v>6.8206249700996572E-4</c:v>
                </c:pt>
                <c:pt idx="4149">
                  <c:v>8.7584464121523518E-4</c:v>
                </c:pt>
                <c:pt idx="4150">
                  <c:v>1.0561293358962772E-3</c:v>
                </c:pt>
                <c:pt idx="4151">
                  <c:v>6.6912188238238608E-4</c:v>
                </c:pt>
                <c:pt idx="4152">
                  <c:v>1.0295561011236917E-3</c:v>
                </c:pt>
                <c:pt idx="4153">
                  <c:v>9.0812013351622737E-4</c:v>
                </c:pt>
                <c:pt idx="4154">
                  <c:v>1.223594781090254E-3</c:v>
                </c:pt>
                <c:pt idx="4155">
                  <c:v>7.944637735547808E-4</c:v>
                </c:pt>
                <c:pt idx="4156">
                  <c:v>3.7457109445019878E-4</c:v>
                </c:pt>
                <c:pt idx="4157">
                  <c:v>4.5370480382590398E-4</c:v>
                </c:pt>
                <c:pt idx="4158">
                  <c:v>4.2481047038532002E-4</c:v>
                </c:pt>
                <c:pt idx="4159">
                  <c:v>5.3190331120212399E-4</c:v>
                </c:pt>
                <c:pt idx="4160">
                  <c:v>1.045078686241656E-3</c:v>
                </c:pt>
                <c:pt idx="4161">
                  <c:v>8.2947921837754689E-4</c:v>
                </c:pt>
                <c:pt idx="4162">
                  <c:v>5.5370348097267359E-4</c:v>
                </c:pt>
                <c:pt idx="4163">
                  <c:v>1.000169230618727E-3</c:v>
                </c:pt>
                <c:pt idx="4164">
                  <c:v>6.5278820784229043E-4</c:v>
                </c:pt>
                <c:pt idx="4165">
                  <c:v>1.2664788872147664E-3</c:v>
                </c:pt>
                <c:pt idx="4166">
                  <c:v>5.7460448029767039E-4</c:v>
                </c:pt>
                <c:pt idx="4167">
                  <c:v>1.3461237276445207E-3</c:v>
                </c:pt>
                <c:pt idx="4168">
                  <c:v>6.5741124481127715E-4</c:v>
                </c:pt>
                <c:pt idx="4169">
                  <c:v>1.1165885746411603E-3</c:v>
                </c:pt>
                <c:pt idx="4170">
                  <c:v>7.812437055054126E-4</c:v>
                </c:pt>
                <c:pt idx="4171">
                  <c:v>6.7271506461716367E-4</c:v>
                </c:pt>
                <c:pt idx="4172">
                  <c:v>1.0363672231409275E-3</c:v>
                </c:pt>
                <c:pt idx="4173">
                  <c:v>1.1729062837356153E-3</c:v>
                </c:pt>
                <c:pt idx="4174">
                  <c:v>1.3814047582534103E-3</c:v>
                </c:pt>
                <c:pt idx="4175">
                  <c:v>1.1445737025241381E-3</c:v>
                </c:pt>
                <c:pt idx="4176">
                  <c:v>7.0979398254142128E-4</c:v>
                </c:pt>
                <c:pt idx="4177">
                  <c:v>3.2891932325385185E-4</c:v>
                </c:pt>
                <c:pt idx="4178">
                  <c:v>3.8071069223332256E-4</c:v>
                </c:pt>
                <c:pt idx="4179">
                  <c:v>3.862972200765321E-4</c:v>
                </c:pt>
                <c:pt idx="4180">
                  <c:v>1.0368092270041944E-3</c:v>
                </c:pt>
                <c:pt idx="4181">
                  <c:v>1.3969130475352158E-3</c:v>
                </c:pt>
                <c:pt idx="4182">
                  <c:v>1.1188033652273451E-3</c:v>
                </c:pt>
                <c:pt idx="4183">
                  <c:v>7.750702007867428E-4</c:v>
                </c:pt>
                <c:pt idx="4184">
                  <c:v>4.134834577211807E-4</c:v>
                </c:pt>
                <c:pt idx="4185">
                  <c:v>7.7215750448233415E-4</c:v>
                </c:pt>
                <c:pt idx="4186">
                  <c:v>1.244245010995502E-3</c:v>
                </c:pt>
                <c:pt idx="4187">
                  <c:v>8.1404526254829778E-4</c:v>
                </c:pt>
                <c:pt idx="4188">
                  <c:v>1.2856357228979889E-3</c:v>
                </c:pt>
                <c:pt idx="4189">
                  <c:v>3.4184059645812811E-4</c:v>
                </c:pt>
                <c:pt idx="4190">
                  <c:v>7.6322817340765436E-4</c:v>
                </c:pt>
                <c:pt idx="4191">
                  <c:v>8.8225531970344338E-4</c:v>
                </c:pt>
                <c:pt idx="4192">
                  <c:v>8.323366444961428E-4</c:v>
                </c:pt>
                <c:pt idx="4193">
                  <c:v>1.0386749424747164E-3</c:v>
                </c:pt>
                <c:pt idx="4194">
                  <c:v>6.5026302276230906E-4</c:v>
                </c:pt>
                <c:pt idx="4195">
                  <c:v>1.4621003811938639E-4</c:v>
                </c:pt>
                <c:pt idx="4196">
                  <c:v>1.0255785336862322E-3</c:v>
                </c:pt>
                <c:pt idx="4197">
                  <c:v>9.4896860636362263E-4</c:v>
                </c:pt>
                <c:pt idx="4198">
                  <c:v>5.9261517748625627E-4</c:v>
                </c:pt>
                <c:pt idx="4199">
                  <c:v>8.459931675217743E-4</c:v>
                </c:pt>
                <c:pt idx="4200">
                  <c:v>1.1851464293775392E-3</c:v>
                </c:pt>
                <c:pt idx="4201">
                  <c:v>8.5614371582054375E-4</c:v>
                </c:pt>
                <c:pt idx="4202">
                  <c:v>3.650047581731093E-4</c:v>
                </c:pt>
                <c:pt idx="4203">
                  <c:v>1.8422697975295067E-3</c:v>
                </c:pt>
                <c:pt idx="4204">
                  <c:v>6.8871923411084428E-4</c:v>
                </c:pt>
                <c:pt idx="4205">
                  <c:v>1.177041894413275E-3</c:v>
                </c:pt>
                <c:pt idx="4206">
                  <c:v>6.4789020571546802E-4</c:v>
                </c:pt>
                <c:pt idx="4207">
                  <c:v>6.0302799762110824E-4</c:v>
                </c:pt>
                <c:pt idx="4208">
                  <c:v>7.6586758144858442E-4</c:v>
                </c:pt>
                <c:pt idx="4209">
                  <c:v>6.5818162959255971E-4</c:v>
                </c:pt>
                <c:pt idx="4210">
                  <c:v>7.5785721273025758E-4</c:v>
                </c:pt>
                <c:pt idx="4211">
                  <c:v>1.1616690908976839E-3</c:v>
                </c:pt>
                <c:pt idx="4212">
                  <c:v>4.9360404405150737E-4</c:v>
                </c:pt>
                <c:pt idx="4213">
                  <c:v>1.2659979127017031E-3</c:v>
                </c:pt>
                <c:pt idx="4214">
                  <c:v>4.3994137290403264E-4</c:v>
                </c:pt>
                <c:pt idx="4215">
                  <c:v>6.5875757348347874E-4</c:v>
                </c:pt>
                <c:pt idx="4216">
                  <c:v>1.2762330636728841E-3</c:v>
                </c:pt>
                <c:pt idx="4217">
                  <c:v>3.0851679368796756E-4</c:v>
                </c:pt>
                <c:pt idx="4218">
                  <c:v>5.7653358697774479E-4</c:v>
                </c:pt>
                <c:pt idx="4219">
                  <c:v>7.6738402984292031E-4</c:v>
                </c:pt>
                <c:pt idx="4220">
                  <c:v>4.9372072884912451E-4</c:v>
                </c:pt>
                <c:pt idx="4221">
                  <c:v>6.6002399316959705E-4</c:v>
                </c:pt>
                <c:pt idx="4222">
                  <c:v>1.0696400705764544E-3</c:v>
                </c:pt>
                <c:pt idx="4223">
                  <c:v>9.7169244882225239E-4</c:v>
                </c:pt>
                <c:pt idx="4224">
                  <c:v>4.3605443989476965E-4</c:v>
                </c:pt>
                <c:pt idx="4225">
                  <c:v>1.2712024290677261E-3</c:v>
                </c:pt>
                <c:pt idx="4226">
                  <c:v>5.6736380036482615E-4</c:v>
                </c:pt>
                <c:pt idx="4227">
                  <c:v>6.4766573469693205E-4</c:v>
                </c:pt>
                <c:pt idx="4228">
                  <c:v>1.3360660977897766E-3</c:v>
                </c:pt>
                <c:pt idx="4229">
                  <c:v>6.9173866717717289E-4</c:v>
                </c:pt>
                <c:pt idx="4230">
                  <c:v>1.0557083481561697E-3</c:v>
                </c:pt>
                <c:pt idx="4231">
                  <c:v>4.7286748831691986E-4</c:v>
                </c:pt>
                <c:pt idx="4232">
                  <c:v>7.8559460899755283E-4</c:v>
                </c:pt>
                <c:pt idx="4233">
                  <c:v>1.2870060507458698E-3</c:v>
                </c:pt>
                <c:pt idx="4234">
                  <c:v>9.0168453447585879E-4</c:v>
                </c:pt>
                <c:pt idx="4235">
                  <c:v>4.4788900272215229E-4</c:v>
                </c:pt>
                <c:pt idx="4236">
                  <c:v>8.4139254015719116E-4</c:v>
                </c:pt>
                <c:pt idx="4237">
                  <c:v>1.0738509895049054E-3</c:v>
                </c:pt>
                <c:pt idx="4238">
                  <c:v>8.5124768418035903E-4</c:v>
                </c:pt>
                <c:pt idx="4239">
                  <c:v>8.4672770326043754E-4</c:v>
                </c:pt>
                <c:pt idx="4240">
                  <c:v>9.9305282419657765E-4</c:v>
                </c:pt>
                <c:pt idx="4241">
                  <c:v>1.3304306770172674E-3</c:v>
                </c:pt>
                <c:pt idx="4242">
                  <c:v>7.5327477718306515E-4</c:v>
                </c:pt>
                <c:pt idx="4243">
                  <c:v>1.4153643315746086E-3</c:v>
                </c:pt>
                <c:pt idx="4244">
                  <c:v>3.4870394765468168E-4</c:v>
                </c:pt>
                <c:pt idx="4245">
                  <c:v>9.4030411416899044E-4</c:v>
                </c:pt>
                <c:pt idx="4246">
                  <c:v>1.4285574539016159E-3</c:v>
                </c:pt>
                <c:pt idx="4247">
                  <c:v>7.9111433397823969E-4</c:v>
                </c:pt>
                <c:pt idx="4248">
                  <c:v>4.6082330077277741E-4</c:v>
                </c:pt>
                <c:pt idx="4249">
                  <c:v>7.7207914829348877E-4</c:v>
                </c:pt>
                <c:pt idx="4250">
                  <c:v>8.5795816951098969E-4</c:v>
                </c:pt>
                <c:pt idx="4251">
                  <c:v>1.433137786108062E-3</c:v>
                </c:pt>
                <c:pt idx="4252">
                  <c:v>1.3632437391682909E-3</c:v>
                </c:pt>
                <c:pt idx="4253">
                  <c:v>4.4658739541385408E-4</c:v>
                </c:pt>
                <c:pt idx="4254">
                  <c:v>1.2623990012027931E-3</c:v>
                </c:pt>
                <c:pt idx="4255">
                  <c:v>5.9420330479756302E-4</c:v>
                </c:pt>
                <c:pt idx="4256">
                  <c:v>2.2391137340277672E-4</c:v>
                </c:pt>
                <c:pt idx="4257">
                  <c:v>8.5657233926678871E-4</c:v>
                </c:pt>
                <c:pt idx="4258">
                  <c:v>1.3208633293228149E-3</c:v>
                </c:pt>
                <c:pt idx="4259">
                  <c:v>1.2152442519491938E-3</c:v>
                </c:pt>
                <c:pt idx="4260">
                  <c:v>8.5580964224129359E-4</c:v>
                </c:pt>
                <c:pt idx="4261">
                  <c:v>6.618448338533944E-4</c:v>
                </c:pt>
                <c:pt idx="4262">
                  <c:v>1.0642452786157621E-3</c:v>
                </c:pt>
                <c:pt idx="4263">
                  <c:v>5.5037739908845153E-4</c:v>
                </c:pt>
                <c:pt idx="4264">
                  <c:v>8.5323474383554776E-4</c:v>
                </c:pt>
                <c:pt idx="4265">
                  <c:v>7.7998974428343201E-4</c:v>
                </c:pt>
                <c:pt idx="4266">
                  <c:v>9.6538930716205435E-4</c:v>
                </c:pt>
                <c:pt idx="4267">
                  <c:v>7.1751079763641187E-4</c:v>
                </c:pt>
                <c:pt idx="4268">
                  <c:v>9.4582941876235533E-4</c:v>
                </c:pt>
                <c:pt idx="4269">
                  <c:v>9.0462737366166809E-4</c:v>
                </c:pt>
                <c:pt idx="4270">
                  <c:v>6.692288656903805E-4</c:v>
                </c:pt>
                <c:pt idx="4271">
                  <c:v>1.2068087992966216E-4</c:v>
                </c:pt>
                <c:pt idx="4272">
                  <c:v>1.508497443465972E-3</c:v>
                </c:pt>
                <c:pt idx="4273">
                  <c:v>1.0623836037118445E-3</c:v>
                </c:pt>
                <c:pt idx="4274">
                  <c:v>5.0352133665808156E-4</c:v>
                </c:pt>
                <c:pt idx="4275">
                  <c:v>1.4971676897157856E-3</c:v>
                </c:pt>
                <c:pt idx="4276">
                  <c:v>6.8473259608451873E-4</c:v>
                </c:pt>
                <c:pt idx="4277">
                  <c:v>5.5853675403142182E-4</c:v>
                </c:pt>
                <c:pt idx="4278">
                  <c:v>4.0983716196024337E-4</c:v>
                </c:pt>
                <c:pt idx="4279">
                  <c:v>8.6599398328044818E-4</c:v>
                </c:pt>
                <c:pt idx="4280">
                  <c:v>9.8004346776109884E-4</c:v>
                </c:pt>
                <c:pt idx="4281">
                  <c:v>2.3318890649155516E-4</c:v>
                </c:pt>
                <c:pt idx="4282">
                  <c:v>5.1334127464958547E-4</c:v>
                </c:pt>
                <c:pt idx="4283">
                  <c:v>6.844255876372672E-4</c:v>
                </c:pt>
                <c:pt idx="4284">
                  <c:v>7.5872611632270769E-4</c:v>
                </c:pt>
                <c:pt idx="4285">
                  <c:v>9.4709360629600362E-4</c:v>
                </c:pt>
                <c:pt idx="4286">
                  <c:v>8.1207115967666185E-5</c:v>
                </c:pt>
                <c:pt idx="4287">
                  <c:v>7.3032532837523552E-4</c:v>
                </c:pt>
                <c:pt idx="4288">
                  <c:v>8.6788697941207532E-4</c:v>
                </c:pt>
                <c:pt idx="4289">
                  <c:v>8.0987575771678791E-4</c:v>
                </c:pt>
                <c:pt idx="4290">
                  <c:v>1.0783688437014023E-3</c:v>
                </c:pt>
                <c:pt idx="4291">
                  <c:v>1.1334654493963517E-3</c:v>
                </c:pt>
                <c:pt idx="4292">
                  <c:v>2.8102460528212233E-4</c:v>
                </c:pt>
                <c:pt idx="4293">
                  <c:v>8.4335062336798406E-4</c:v>
                </c:pt>
                <c:pt idx="4294">
                  <c:v>1.1957424196683782E-3</c:v>
                </c:pt>
                <c:pt idx="4295">
                  <c:v>3.6498422513938348E-4</c:v>
                </c:pt>
                <c:pt idx="4296">
                  <c:v>1.0799290672562148E-3</c:v>
                </c:pt>
                <c:pt idx="4297">
                  <c:v>8.8079924525828041E-4</c:v>
                </c:pt>
                <c:pt idx="4298">
                  <c:v>7.9828613494641639E-4</c:v>
                </c:pt>
                <c:pt idx="4299">
                  <c:v>1.0024499162814419E-3</c:v>
                </c:pt>
                <c:pt idx="4300">
                  <c:v>1.0354404076890187E-3</c:v>
                </c:pt>
                <c:pt idx="4301">
                  <c:v>9.5655222921223887E-4</c:v>
                </c:pt>
                <c:pt idx="4302">
                  <c:v>1.0850732080130939E-3</c:v>
                </c:pt>
                <c:pt idx="4303">
                  <c:v>2.6169690034089034E-4</c:v>
                </c:pt>
                <c:pt idx="4304">
                  <c:v>6.4537571962988466E-4</c:v>
                </c:pt>
                <c:pt idx="4305">
                  <c:v>1.3093902672465826E-3</c:v>
                </c:pt>
                <c:pt idx="4306">
                  <c:v>8.6624136280246398E-4</c:v>
                </c:pt>
                <c:pt idx="4307">
                  <c:v>1.033104191933115E-3</c:v>
                </c:pt>
                <c:pt idx="4308">
                  <c:v>5.0163169798830007E-4</c:v>
                </c:pt>
                <c:pt idx="4309">
                  <c:v>6.8940923420692597E-4</c:v>
                </c:pt>
                <c:pt idx="4310">
                  <c:v>9.0436359766884219E-4</c:v>
                </c:pt>
                <c:pt idx="4311">
                  <c:v>9.1092520055304123E-4</c:v>
                </c:pt>
                <c:pt idx="4312">
                  <c:v>9.5772902483775343E-4</c:v>
                </c:pt>
                <c:pt idx="4313">
                  <c:v>3.5227771232530477E-4</c:v>
                </c:pt>
                <c:pt idx="4314">
                  <c:v>6.5633764752481936E-4</c:v>
                </c:pt>
                <c:pt idx="4315">
                  <c:v>1.3314934811305349E-3</c:v>
                </c:pt>
                <c:pt idx="4316">
                  <c:v>4.1611521602964962E-4</c:v>
                </c:pt>
                <c:pt idx="4317">
                  <c:v>6.3810262269960584E-4</c:v>
                </c:pt>
                <c:pt idx="4318">
                  <c:v>8.5756844210702402E-4</c:v>
                </c:pt>
                <c:pt idx="4319">
                  <c:v>6.0623491267406413E-4</c:v>
                </c:pt>
                <c:pt idx="4320">
                  <c:v>1.5130823348148156E-3</c:v>
                </c:pt>
                <c:pt idx="4321">
                  <c:v>1.0266997509519578E-3</c:v>
                </c:pt>
                <c:pt idx="4322">
                  <c:v>1.3990363010019503E-4</c:v>
                </c:pt>
                <c:pt idx="4323">
                  <c:v>7.0040996403423323E-4</c:v>
                </c:pt>
                <c:pt idx="4324">
                  <c:v>4.6429595347362643E-4</c:v>
                </c:pt>
                <c:pt idx="4325">
                  <c:v>5.1233762287959152E-4</c:v>
                </c:pt>
                <c:pt idx="4326">
                  <c:v>1.1716422868073265E-3</c:v>
                </c:pt>
                <c:pt idx="4327">
                  <c:v>7.4433376832666153E-4</c:v>
                </c:pt>
                <c:pt idx="4328">
                  <c:v>5.2110848636339547E-4</c:v>
                </c:pt>
                <c:pt idx="4329">
                  <c:v>9.9296945215765226E-4</c:v>
                </c:pt>
                <c:pt idx="4330">
                  <c:v>7.2762933699406192E-4</c:v>
                </c:pt>
                <c:pt idx="4331">
                  <c:v>8.9921919822637795E-4</c:v>
                </c:pt>
                <c:pt idx="4332">
                  <c:v>1.7776670634985785E-3</c:v>
                </c:pt>
                <c:pt idx="4333">
                  <c:v>6.0250072584761526E-4</c:v>
                </c:pt>
                <c:pt idx="4334">
                  <c:v>9.5181415620341331E-4</c:v>
                </c:pt>
                <c:pt idx="4335">
                  <c:v>8.1461111745710917E-4</c:v>
                </c:pt>
                <c:pt idx="4336">
                  <c:v>1.2642074104039372E-3</c:v>
                </c:pt>
                <c:pt idx="4337">
                  <c:v>1.3187054448993369E-3</c:v>
                </c:pt>
                <c:pt idx="4338">
                  <c:v>9.5029636996031108E-4</c:v>
                </c:pt>
                <c:pt idx="4339">
                  <c:v>1.0287663310954384E-3</c:v>
                </c:pt>
                <c:pt idx="4340">
                  <c:v>9.4287576165951641E-4</c:v>
                </c:pt>
                <c:pt idx="4341">
                  <c:v>7.9380048452167625E-4</c:v>
                </c:pt>
                <c:pt idx="4342">
                  <c:v>8.9865722965976882E-4</c:v>
                </c:pt>
                <c:pt idx="4343">
                  <c:v>1.1032572977594402E-3</c:v>
                </c:pt>
                <c:pt idx="4344">
                  <c:v>7.2073502550188285E-4</c:v>
                </c:pt>
                <c:pt idx="4345">
                  <c:v>1.277748245411231E-3</c:v>
                </c:pt>
                <c:pt idx="4346">
                  <c:v>8.24344575960261E-4</c:v>
                </c:pt>
                <c:pt idx="4347">
                  <c:v>7.9096340133260777E-4</c:v>
                </c:pt>
                <c:pt idx="4348">
                  <c:v>4.4715502608703409E-4</c:v>
                </c:pt>
                <c:pt idx="4349">
                  <c:v>7.3813456592466574E-4</c:v>
                </c:pt>
                <c:pt idx="4350">
                  <c:v>8.9610605607718394E-4</c:v>
                </c:pt>
                <c:pt idx="4351">
                  <c:v>9.116657339364306E-4</c:v>
                </c:pt>
                <c:pt idx="4352">
                  <c:v>7.2769199615514886E-4</c:v>
                </c:pt>
                <c:pt idx="4353">
                  <c:v>6.1386497341524662E-4</c:v>
                </c:pt>
                <c:pt idx="4354">
                  <c:v>3.3289198888774424E-4</c:v>
                </c:pt>
                <c:pt idx="4355">
                  <c:v>1.0545454976242066E-3</c:v>
                </c:pt>
                <c:pt idx="4356">
                  <c:v>9.6988836065753554E-4</c:v>
                </c:pt>
                <c:pt idx="4357">
                  <c:v>7.8166762053577836E-4</c:v>
                </c:pt>
                <c:pt idx="4358">
                  <c:v>6.8809733547788693E-4</c:v>
                </c:pt>
                <c:pt idx="4359">
                  <c:v>1.6307942104185425E-3</c:v>
                </c:pt>
                <c:pt idx="4360">
                  <c:v>9.1949368195716984E-4</c:v>
                </c:pt>
                <c:pt idx="4361">
                  <c:v>7.1096125032195487E-4</c:v>
                </c:pt>
                <c:pt idx="4362">
                  <c:v>7.7558527304480928E-4</c:v>
                </c:pt>
                <c:pt idx="4363">
                  <c:v>6.5579565744703424E-4</c:v>
                </c:pt>
                <c:pt idx="4364">
                  <c:v>1.2001754205268839E-3</c:v>
                </c:pt>
                <c:pt idx="4365">
                  <c:v>9.2737290881456298E-4</c:v>
                </c:pt>
                <c:pt idx="4366">
                  <c:v>7.678919966270253E-4</c:v>
                </c:pt>
                <c:pt idx="4367">
                  <c:v>8.0995101843705879E-4</c:v>
                </c:pt>
                <c:pt idx="4368">
                  <c:v>9.0183407770637542E-4</c:v>
                </c:pt>
                <c:pt idx="4369">
                  <c:v>3.399519837972693E-4</c:v>
                </c:pt>
                <c:pt idx="4370">
                  <c:v>6.5209323018449784E-4</c:v>
                </c:pt>
                <c:pt idx="4371">
                  <c:v>1.1736333695231116E-3</c:v>
                </c:pt>
                <c:pt idx="4372">
                  <c:v>6.3660704835443078E-4</c:v>
                </c:pt>
                <c:pt idx="4373">
                  <c:v>2.8354939785402606E-4</c:v>
                </c:pt>
                <c:pt idx="4374">
                  <c:v>7.3596080635633546E-4</c:v>
                </c:pt>
                <c:pt idx="4375">
                  <c:v>1.0106793488065906E-3</c:v>
                </c:pt>
                <c:pt idx="4376">
                  <c:v>6.9368378031604394E-4</c:v>
                </c:pt>
                <c:pt idx="4377">
                  <c:v>1.3150315167781371E-3</c:v>
                </c:pt>
                <c:pt idx="4378">
                  <c:v>7.1560945878259674E-4</c:v>
                </c:pt>
                <c:pt idx="4379">
                  <c:v>9.3462851745491785E-4</c:v>
                </c:pt>
                <c:pt idx="4380">
                  <c:v>8.1402890231935384E-4</c:v>
                </c:pt>
                <c:pt idx="4381">
                  <c:v>1.1753136925503047E-3</c:v>
                </c:pt>
                <c:pt idx="4382">
                  <c:v>6.7100346852584061E-4</c:v>
                </c:pt>
                <c:pt idx="4383">
                  <c:v>1.2317029375788398E-3</c:v>
                </c:pt>
                <c:pt idx="4384">
                  <c:v>4.3307185365952571E-4</c:v>
                </c:pt>
                <c:pt idx="4385">
                  <c:v>1.1938426121010483E-3</c:v>
                </c:pt>
                <c:pt idx="4386">
                  <c:v>1.0472968150525125E-3</c:v>
                </c:pt>
                <c:pt idx="4387">
                  <c:v>5.2399645909955556E-4</c:v>
                </c:pt>
                <c:pt idx="4388">
                  <c:v>5.4990337527018865E-4</c:v>
                </c:pt>
                <c:pt idx="4389">
                  <c:v>1.0119386907507921E-3</c:v>
                </c:pt>
                <c:pt idx="4390">
                  <c:v>4.0552044098059214E-4</c:v>
                </c:pt>
                <c:pt idx="4391">
                  <c:v>9.1034263115478465E-4</c:v>
                </c:pt>
                <c:pt idx="4392">
                  <c:v>1.150786174006912E-3</c:v>
                </c:pt>
                <c:pt idx="4393">
                  <c:v>5.6780741572997359E-4</c:v>
                </c:pt>
                <c:pt idx="4394">
                  <c:v>6.5104888174856337E-4</c:v>
                </c:pt>
                <c:pt idx="4395">
                  <c:v>5.42800308534809E-4</c:v>
                </c:pt>
                <c:pt idx="4396">
                  <c:v>9.658600856252941E-4</c:v>
                </c:pt>
                <c:pt idx="4397">
                  <c:v>5.4425327875988049E-4</c:v>
                </c:pt>
                <c:pt idx="4398">
                  <c:v>1.0549312571037348E-3</c:v>
                </c:pt>
                <c:pt idx="4399">
                  <c:v>7.7062383087846858E-4</c:v>
                </c:pt>
                <c:pt idx="4400">
                  <c:v>8.8310217247036604E-5</c:v>
                </c:pt>
                <c:pt idx="4401">
                  <c:v>8.59412635274278E-4</c:v>
                </c:pt>
                <c:pt idx="4402">
                  <c:v>1.342199262122351E-3</c:v>
                </c:pt>
                <c:pt idx="4403">
                  <c:v>9.0453634220036348E-4</c:v>
                </c:pt>
                <c:pt idx="4404">
                  <c:v>1.1685124267672624E-3</c:v>
                </c:pt>
                <c:pt idx="4405">
                  <c:v>8.8856147893178698E-4</c:v>
                </c:pt>
                <c:pt idx="4406">
                  <c:v>6.2675712418605633E-4</c:v>
                </c:pt>
                <c:pt idx="4407">
                  <c:v>1.053127595204419E-3</c:v>
                </c:pt>
                <c:pt idx="4408">
                  <c:v>2.7903010673874137E-4</c:v>
                </c:pt>
                <c:pt idx="4409">
                  <c:v>8.8631393471003269E-4</c:v>
                </c:pt>
                <c:pt idx="4410">
                  <c:v>5.5586837698778663E-4</c:v>
                </c:pt>
                <c:pt idx="4411">
                  <c:v>8.1368882559270034E-4</c:v>
                </c:pt>
                <c:pt idx="4412">
                  <c:v>5.3396162587134098E-4</c:v>
                </c:pt>
                <c:pt idx="4413">
                  <c:v>7.042246813346322E-4</c:v>
                </c:pt>
                <c:pt idx="4414">
                  <c:v>8.4314117419178767E-4</c:v>
                </c:pt>
                <c:pt idx="4415">
                  <c:v>9.2359472404461411E-4</c:v>
                </c:pt>
                <c:pt idx="4416">
                  <c:v>5.6313288938964075E-4</c:v>
                </c:pt>
                <c:pt idx="4417">
                  <c:v>1.5960483400988381E-3</c:v>
                </c:pt>
                <c:pt idx="4418">
                  <c:v>1.0713071920683249E-3</c:v>
                </c:pt>
                <c:pt idx="4419">
                  <c:v>6.5608183582970675E-4</c:v>
                </c:pt>
                <c:pt idx="4420">
                  <c:v>1.0975183143146926E-3</c:v>
                </c:pt>
                <c:pt idx="4421">
                  <c:v>8.1059701232744227E-4</c:v>
                </c:pt>
                <c:pt idx="4422">
                  <c:v>1.4196604989098536E-3</c:v>
                </c:pt>
                <c:pt idx="4423">
                  <c:v>5.5467389370521258E-4</c:v>
                </c:pt>
                <c:pt idx="4424">
                  <c:v>1.0978556250671198E-3</c:v>
                </c:pt>
                <c:pt idx="4425">
                  <c:v>8.226410832800063E-4</c:v>
                </c:pt>
                <c:pt idx="4426">
                  <c:v>9.2846493535638593E-4</c:v>
                </c:pt>
                <c:pt idx="4427">
                  <c:v>1.3238303277172069E-3</c:v>
                </c:pt>
                <c:pt idx="4428">
                  <c:v>1.0703222591096483E-3</c:v>
                </c:pt>
                <c:pt idx="4429">
                  <c:v>1.5971925075693374E-3</c:v>
                </c:pt>
                <c:pt idx="4430">
                  <c:v>9.6566034521897832E-4</c:v>
                </c:pt>
                <c:pt idx="4431">
                  <c:v>2.6264033985195926E-4</c:v>
                </c:pt>
                <c:pt idx="4432">
                  <c:v>7.4684268033558317E-4</c:v>
                </c:pt>
                <c:pt idx="4433">
                  <c:v>9.0442730013534829E-4</c:v>
                </c:pt>
                <c:pt idx="4434">
                  <c:v>1.0659021941837568E-3</c:v>
                </c:pt>
                <c:pt idx="4435">
                  <c:v>1.0504658747787137E-3</c:v>
                </c:pt>
                <c:pt idx="4436">
                  <c:v>6.652014956035245E-4</c:v>
                </c:pt>
                <c:pt idx="4437">
                  <c:v>2.8259344412534743E-4</c:v>
                </c:pt>
                <c:pt idx="4438">
                  <c:v>7.0633989426753627E-4</c:v>
                </c:pt>
                <c:pt idx="4439">
                  <c:v>5.0580366468939682E-4</c:v>
                </c:pt>
                <c:pt idx="4440">
                  <c:v>6.4206617132485204E-4</c:v>
                </c:pt>
                <c:pt idx="4441">
                  <c:v>1.2564394699263247E-3</c:v>
                </c:pt>
                <c:pt idx="4442">
                  <c:v>3.7955155633307287E-4</c:v>
                </c:pt>
                <c:pt idx="4443">
                  <c:v>6.1333728761034552E-4</c:v>
                </c:pt>
                <c:pt idx="4444">
                  <c:v>4.487913145508162E-4</c:v>
                </c:pt>
                <c:pt idx="4445">
                  <c:v>5.7963846816071294E-4</c:v>
                </c:pt>
                <c:pt idx="4446">
                  <c:v>7.3678866496476928E-4</c:v>
                </c:pt>
                <c:pt idx="4447">
                  <c:v>8.7268847692359463E-4</c:v>
                </c:pt>
                <c:pt idx="4448">
                  <c:v>1.016922296165422E-3</c:v>
                </c:pt>
                <c:pt idx="4449">
                  <c:v>5.61371746488737E-4</c:v>
                </c:pt>
                <c:pt idx="4450">
                  <c:v>7.9035079860183331E-4</c:v>
                </c:pt>
                <c:pt idx="4451">
                  <c:v>5.7659682729120252E-4</c:v>
                </c:pt>
                <c:pt idx="4452">
                  <c:v>5.823783399218032E-4</c:v>
                </c:pt>
                <c:pt idx="4453">
                  <c:v>5.4817907399406954E-4</c:v>
                </c:pt>
                <c:pt idx="4454">
                  <c:v>4.2853722914265146E-4</c:v>
                </c:pt>
                <c:pt idx="4455">
                  <c:v>6.07730113600151E-4</c:v>
                </c:pt>
                <c:pt idx="4456">
                  <c:v>6.6093731507579554E-4</c:v>
                </c:pt>
                <c:pt idx="4457">
                  <c:v>1.1185147508268876E-3</c:v>
                </c:pt>
                <c:pt idx="4458">
                  <c:v>4.5929333730926157E-4</c:v>
                </c:pt>
                <c:pt idx="4459">
                  <c:v>1.3114868290090191E-3</c:v>
                </c:pt>
                <c:pt idx="4460">
                  <c:v>1.1366762534080494E-3</c:v>
                </c:pt>
                <c:pt idx="4461">
                  <c:v>9.8658011368856955E-4</c:v>
                </c:pt>
                <c:pt idx="4462">
                  <c:v>1.1823001104483703E-3</c:v>
                </c:pt>
                <c:pt idx="4463">
                  <c:v>8.4084902103742989E-4</c:v>
                </c:pt>
                <c:pt idx="4464">
                  <c:v>1.2185345121514548E-3</c:v>
                </c:pt>
                <c:pt idx="4465">
                  <c:v>9.9384772957271123E-4</c:v>
                </c:pt>
                <c:pt idx="4466">
                  <c:v>6.8359288687744975E-4</c:v>
                </c:pt>
                <c:pt idx="4467">
                  <c:v>1.3172127607993071E-3</c:v>
                </c:pt>
                <c:pt idx="4468">
                  <c:v>8.2052394781827848E-4</c:v>
                </c:pt>
                <c:pt idx="4469">
                  <c:v>9.5928994647296434E-4</c:v>
                </c:pt>
                <c:pt idx="4470">
                  <c:v>4.3547654658515487E-4</c:v>
                </c:pt>
                <c:pt idx="4471">
                  <c:v>8.5864604583615097E-4</c:v>
                </c:pt>
                <c:pt idx="4472">
                  <c:v>6.7653685072436112E-4</c:v>
                </c:pt>
                <c:pt idx="4473">
                  <c:v>3.3938340998056638E-4</c:v>
                </c:pt>
                <c:pt idx="4474">
                  <c:v>1.6761917654263179E-3</c:v>
                </c:pt>
                <c:pt idx="4475">
                  <c:v>1.0916918685329748E-3</c:v>
                </c:pt>
                <c:pt idx="4476">
                  <c:v>2.7897827466704268E-4</c:v>
                </c:pt>
                <c:pt idx="4477">
                  <c:v>1.0324332649148654E-3</c:v>
                </c:pt>
                <c:pt idx="4478">
                  <c:v>1.2686150909401474E-3</c:v>
                </c:pt>
                <c:pt idx="4479">
                  <c:v>9.1496165880035948E-4</c:v>
                </c:pt>
                <c:pt idx="4480">
                  <c:v>8.9768176512831422E-4</c:v>
                </c:pt>
                <c:pt idx="4481">
                  <c:v>1.9301103415977281E-4</c:v>
                </c:pt>
                <c:pt idx="4482">
                  <c:v>9.815073752780575E-4</c:v>
                </c:pt>
                <c:pt idx="4483">
                  <c:v>9.9919225324109182E-4</c:v>
                </c:pt>
                <c:pt idx="4484">
                  <c:v>4.3548493401733524E-4</c:v>
                </c:pt>
                <c:pt idx="4485">
                  <c:v>4.5572375263651615E-4</c:v>
                </c:pt>
                <c:pt idx="4486">
                  <c:v>8.3044911815871548E-4</c:v>
                </c:pt>
                <c:pt idx="4487">
                  <c:v>8.4780125364182209E-4</c:v>
                </c:pt>
                <c:pt idx="4488">
                  <c:v>1.1823207959710787E-3</c:v>
                </c:pt>
                <c:pt idx="4489">
                  <c:v>8.4562215192858872E-4</c:v>
                </c:pt>
                <c:pt idx="4490">
                  <c:v>1.1475460089290423E-3</c:v>
                </c:pt>
                <c:pt idx="4491">
                  <c:v>5.4665320863570856E-4</c:v>
                </c:pt>
                <c:pt idx="4492">
                  <c:v>5.3047415419916273E-4</c:v>
                </c:pt>
                <c:pt idx="4493">
                  <c:v>1.0107655556381404E-3</c:v>
                </c:pt>
                <c:pt idx="4494">
                  <c:v>6.0246447538049976E-4</c:v>
                </c:pt>
                <c:pt idx="4495">
                  <c:v>8.2221016720518229E-4</c:v>
                </c:pt>
                <c:pt idx="4496">
                  <c:v>8.3531567605337853E-4</c:v>
                </c:pt>
                <c:pt idx="4497">
                  <c:v>6.4273819398902939E-4</c:v>
                </c:pt>
                <c:pt idx="4498">
                  <c:v>8.6338023897638942E-4</c:v>
                </c:pt>
                <c:pt idx="4499">
                  <c:v>5.5625855899760516E-4</c:v>
                </c:pt>
                <c:pt idx="4500">
                  <c:v>1.081358608701686E-3</c:v>
                </c:pt>
                <c:pt idx="4501">
                  <c:v>1.1639381001948999E-3</c:v>
                </c:pt>
                <c:pt idx="4502">
                  <c:v>4.2139446327405791E-4</c:v>
                </c:pt>
                <c:pt idx="4503">
                  <c:v>1.047021371294184E-3</c:v>
                </c:pt>
                <c:pt idx="4504">
                  <c:v>6.9301618991471792E-4</c:v>
                </c:pt>
                <c:pt idx="4505">
                  <c:v>3.4969299630663038E-4</c:v>
                </c:pt>
                <c:pt idx="4506">
                  <c:v>9.3310214224062151E-4</c:v>
                </c:pt>
                <c:pt idx="4507">
                  <c:v>1.3135697313226436E-3</c:v>
                </c:pt>
                <c:pt idx="4508">
                  <c:v>8.2180020402608056E-4</c:v>
                </c:pt>
                <c:pt idx="4509">
                  <c:v>1.4681551391059998E-3</c:v>
                </c:pt>
                <c:pt idx="4510">
                  <c:v>6.7588870757926778E-4</c:v>
                </c:pt>
                <c:pt idx="4511">
                  <c:v>6.3747073658125888E-4</c:v>
                </c:pt>
                <c:pt idx="4512">
                  <c:v>7.6809588704119961E-4</c:v>
                </c:pt>
                <c:pt idx="4513">
                  <c:v>1.4223074834559695E-3</c:v>
                </c:pt>
                <c:pt idx="4514">
                  <c:v>1.5785407983430976E-3</c:v>
                </c:pt>
                <c:pt idx="4515">
                  <c:v>8.7707538791037575E-4</c:v>
                </c:pt>
                <c:pt idx="4516">
                  <c:v>8.5321747891042886E-4</c:v>
                </c:pt>
                <c:pt idx="4517">
                  <c:v>1.0584623706664002E-3</c:v>
                </c:pt>
                <c:pt idx="4518">
                  <c:v>5.2382606042645032E-4</c:v>
                </c:pt>
                <c:pt idx="4519">
                  <c:v>7.9079398783177366E-4</c:v>
                </c:pt>
                <c:pt idx="4520">
                  <c:v>8.6896314459963874E-4</c:v>
                </c:pt>
                <c:pt idx="4521">
                  <c:v>7.2907899374800302E-4</c:v>
                </c:pt>
                <c:pt idx="4522">
                  <c:v>8.2480496059721684E-4</c:v>
                </c:pt>
                <c:pt idx="4523">
                  <c:v>1.2198444605234851E-3</c:v>
                </c:pt>
                <c:pt idx="4524">
                  <c:v>6.1060385913368762E-4</c:v>
                </c:pt>
                <c:pt idx="4525">
                  <c:v>1.2097348923042559E-3</c:v>
                </c:pt>
                <c:pt idx="4526">
                  <c:v>5.6916659639596817E-4</c:v>
                </c:pt>
                <c:pt idx="4527">
                  <c:v>7.4162164717141328E-4</c:v>
                </c:pt>
                <c:pt idx="4528">
                  <c:v>3.9841871319097892E-4</c:v>
                </c:pt>
                <c:pt idx="4529">
                  <c:v>1.011637698500433E-3</c:v>
                </c:pt>
                <c:pt idx="4530">
                  <c:v>1.1075445767650177E-3</c:v>
                </c:pt>
                <c:pt idx="4531">
                  <c:v>9.9859636299168817E-4</c:v>
                </c:pt>
                <c:pt idx="4532">
                  <c:v>1.0409496765507258E-3</c:v>
                </c:pt>
                <c:pt idx="4533">
                  <c:v>8.9847796035061908E-4</c:v>
                </c:pt>
                <c:pt idx="4534">
                  <c:v>8.134144303679245E-4</c:v>
                </c:pt>
                <c:pt idx="4535">
                  <c:v>6.4785745895298158E-4</c:v>
                </c:pt>
                <c:pt idx="4536">
                  <c:v>1.1799850705594478E-3</c:v>
                </c:pt>
                <c:pt idx="4537">
                  <c:v>5.6330390342884153E-4</c:v>
                </c:pt>
                <c:pt idx="4538">
                  <c:v>3.0061678399252506E-4</c:v>
                </c:pt>
                <c:pt idx="4539">
                  <c:v>6.078882777910624E-4</c:v>
                </c:pt>
                <c:pt idx="4540">
                  <c:v>1.0021860693652086E-3</c:v>
                </c:pt>
                <c:pt idx="4541">
                  <c:v>1.7495564710874941E-3</c:v>
                </c:pt>
                <c:pt idx="4542">
                  <c:v>4.5939243477085092E-4</c:v>
                </c:pt>
                <c:pt idx="4543">
                  <c:v>9.6092970434004572E-4</c:v>
                </c:pt>
                <c:pt idx="4544">
                  <c:v>4.2757190369238927E-4</c:v>
                </c:pt>
                <c:pt idx="4545">
                  <c:v>1.2207240839074262E-3</c:v>
                </c:pt>
                <c:pt idx="4546">
                  <c:v>6.7063725544208184E-4</c:v>
                </c:pt>
                <c:pt idx="4547">
                  <c:v>4.9208275840358128E-4</c:v>
                </c:pt>
                <c:pt idx="4548">
                  <c:v>1.416505344609827E-3</c:v>
                </c:pt>
                <c:pt idx="4549">
                  <c:v>1.1895854896940507E-3</c:v>
                </c:pt>
                <c:pt idx="4550">
                  <c:v>7.5882505882410062E-4</c:v>
                </c:pt>
                <c:pt idx="4551">
                  <c:v>3.9992614761995938E-4</c:v>
                </c:pt>
                <c:pt idx="4552">
                  <c:v>6.812080857489999E-4</c:v>
                </c:pt>
                <c:pt idx="4553">
                  <c:v>9.370012062962505E-4</c:v>
                </c:pt>
                <c:pt idx="4554">
                  <c:v>6.4844697424686786E-4</c:v>
                </c:pt>
                <c:pt idx="4555">
                  <c:v>6.4343541970951403E-4</c:v>
                </c:pt>
                <c:pt idx="4556">
                  <c:v>7.306792503998581E-4</c:v>
                </c:pt>
                <c:pt idx="4557">
                  <c:v>6.3330869857810212E-4</c:v>
                </c:pt>
                <c:pt idx="4558">
                  <c:v>1.0017444825948085E-3</c:v>
                </c:pt>
                <c:pt idx="4559">
                  <c:v>1.3680880618262398E-3</c:v>
                </c:pt>
                <c:pt idx="4560">
                  <c:v>9.4352918498249051E-4</c:v>
                </c:pt>
                <c:pt idx="4561">
                  <c:v>1.2722083790629884E-3</c:v>
                </c:pt>
                <c:pt idx="4562">
                  <c:v>3.9100191826573735E-4</c:v>
                </c:pt>
                <c:pt idx="4563">
                  <c:v>6.3976595866505233E-4</c:v>
                </c:pt>
                <c:pt idx="4564">
                  <c:v>1.0416060944696227E-3</c:v>
                </c:pt>
                <c:pt idx="4565">
                  <c:v>1.391414227204512E-3</c:v>
                </c:pt>
                <c:pt idx="4566">
                  <c:v>8.7581704082500254E-4</c:v>
                </c:pt>
                <c:pt idx="4567">
                  <c:v>6.0614187532181713E-4</c:v>
                </c:pt>
                <c:pt idx="4568">
                  <c:v>5.8551530278513886E-4</c:v>
                </c:pt>
                <c:pt idx="4569">
                  <c:v>1.7915428133343341E-4</c:v>
                </c:pt>
                <c:pt idx="4570">
                  <c:v>5.17955882364755E-4</c:v>
                </c:pt>
                <c:pt idx="4571">
                  <c:v>9.0603242585680878E-4</c:v>
                </c:pt>
                <c:pt idx="4572">
                  <c:v>3.7014231770676076E-4</c:v>
                </c:pt>
                <c:pt idx="4573">
                  <c:v>8.2060508962132823E-4</c:v>
                </c:pt>
                <c:pt idx="4574">
                  <c:v>7.6276896951614872E-4</c:v>
                </c:pt>
                <c:pt idx="4575">
                  <c:v>1.4937281758309392E-3</c:v>
                </c:pt>
                <c:pt idx="4576">
                  <c:v>5.5575524866454675E-4</c:v>
                </c:pt>
                <c:pt idx="4577">
                  <c:v>5.4395968606282276E-4</c:v>
                </c:pt>
                <c:pt idx="4578">
                  <c:v>6.0949325159363645E-4</c:v>
                </c:pt>
                <c:pt idx="4579">
                  <c:v>5.0795792557962408E-4</c:v>
                </c:pt>
                <c:pt idx="4580">
                  <c:v>7.1199557969135784E-4</c:v>
                </c:pt>
                <c:pt idx="4581">
                  <c:v>1.2085538249495564E-3</c:v>
                </c:pt>
                <c:pt idx="4582">
                  <c:v>9.9604595053313992E-4</c:v>
                </c:pt>
                <c:pt idx="4583">
                  <c:v>6.5274614298869917E-4</c:v>
                </c:pt>
                <c:pt idx="4584">
                  <c:v>4.1307098818547049E-4</c:v>
                </c:pt>
                <c:pt idx="4585">
                  <c:v>2.8587847458914418E-4</c:v>
                </c:pt>
                <c:pt idx="4586">
                  <c:v>5.1511938732274622E-4</c:v>
                </c:pt>
                <c:pt idx="4587">
                  <c:v>9.5415968586223343E-4</c:v>
                </c:pt>
                <c:pt idx="4588">
                  <c:v>4.1485776365343755E-4</c:v>
                </c:pt>
                <c:pt idx="4589">
                  <c:v>8.6187599432419949E-4</c:v>
                </c:pt>
                <c:pt idx="4590">
                  <c:v>7.9448020834093735E-4</c:v>
                </c:pt>
                <c:pt idx="4591">
                  <c:v>9.9337866256612724E-4</c:v>
                </c:pt>
                <c:pt idx="4592">
                  <c:v>1.2607571387552698E-3</c:v>
                </c:pt>
                <c:pt idx="4593">
                  <c:v>1.2672039759272294E-3</c:v>
                </c:pt>
                <c:pt idx="4594">
                  <c:v>1.0440295060900994E-3</c:v>
                </c:pt>
                <c:pt idx="4595">
                  <c:v>8.6860022119551012E-4</c:v>
                </c:pt>
                <c:pt idx="4596">
                  <c:v>1.1000646495809305E-3</c:v>
                </c:pt>
                <c:pt idx="4597">
                  <c:v>1.312013974367704E-3</c:v>
                </c:pt>
                <c:pt idx="4598">
                  <c:v>5.5197036151818511E-4</c:v>
                </c:pt>
                <c:pt idx="4599">
                  <c:v>1.3056054854204892E-3</c:v>
                </c:pt>
                <c:pt idx="4600">
                  <c:v>8.9362302110897846E-4</c:v>
                </c:pt>
                <c:pt idx="4601">
                  <c:v>6.8423415820998389E-4</c:v>
                </c:pt>
                <c:pt idx="4602">
                  <c:v>6.2386598751535067E-4</c:v>
                </c:pt>
                <c:pt idx="4603">
                  <c:v>2.5011316939125303E-4</c:v>
                </c:pt>
                <c:pt idx="4604">
                  <c:v>1.0027338890821981E-3</c:v>
                </c:pt>
                <c:pt idx="4605">
                  <c:v>4.4886229691430034E-4</c:v>
                </c:pt>
                <c:pt idx="4606">
                  <c:v>9.4665535487810848E-4</c:v>
                </c:pt>
                <c:pt idx="4607">
                  <c:v>8.120439980162851E-4</c:v>
                </c:pt>
                <c:pt idx="4608">
                  <c:v>2.9326627022355272E-4</c:v>
                </c:pt>
                <c:pt idx="4609">
                  <c:v>1.0082363831036873E-3</c:v>
                </c:pt>
                <c:pt idx="4610">
                  <c:v>6.8239554250354418E-4</c:v>
                </c:pt>
                <c:pt idx="4611">
                  <c:v>1.755934870156662E-3</c:v>
                </c:pt>
                <c:pt idx="4612">
                  <c:v>1.4653912325566557E-3</c:v>
                </c:pt>
                <c:pt idx="4613">
                  <c:v>7.0621081953204127E-4</c:v>
                </c:pt>
                <c:pt idx="4614">
                  <c:v>5.4770614862975609E-4</c:v>
                </c:pt>
                <c:pt idx="4615">
                  <c:v>4.4101090239723607E-4</c:v>
                </c:pt>
                <c:pt idx="4616">
                  <c:v>1.099801802551751E-3</c:v>
                </c:pt>
                <c:pt idx="4617">
                  <c:v>4.1284940939773963E-4</c:v>
                </c:pt>
                <c:pt idx="4618">
                  <c:v>1.0007057476956545E-3</c:v>
                </c:pt>
                <c:pt idx="4619">
                  <c:v>6.2386342240611779E-4</c:v>
                </c:pt>
                <c:pt idx="4620">
                  <c:v>1.1775221027638147E-3</c:v>
                </c:pt>
                <c:pt idx="4621">
                  <c:v>4.8862796620171667E-4</c:v>
                </c:pt>
                <c:pt idx="4622">
                  <c:v>1.1351744544411898E-3</c:v>
                </c:pt>
                <c:pt idx="4623">
                  <c:v>8.7320469070386773E-4</c:v>
                </c:pt>
                <c:pt idx="4624">
                  <c:v>1.2393469195335653E-3</c:v>
                </c:pt>
                <c:pt idx="4625">
                  <c:v>6.2772773289958186E-4</c:v>
                </c:pt>
                <c:pt idx="4626">
                  <c:v>4.5453078809166666E-4</c:v>
                </c:pt>
                <c:pt idx="4627">
                  <c:v>2.5906833874035125E-4</c:v>
                </c:pt>
                <c:pt idx="4628">
                  <c:v>1.7363359839823809E-3</c:v>
                </c:pt>
                <c:pt idx="4629">
                  <c:v>7.7627446388332929E-4</c:v>
                </c:pt>
                <c:pt idx="4630">
                  <c:v>7.709517180641732E-4</c:v>
                </c:pt>
                <c:pt idx="4631">
                  <c:v>6.8448064078709256E-4</c:v>
                </c:pt>
                <c:pt idx="4632">
                  <c:v>8.7134221848974712E-4</c:v>
                </c:pt>
                <c:pt idx="4633">
                  <c:v>1.2429961236583445E-3</c:v>
                </c:pt>
                <c:pt idx="4634">
                  <c:v>5.3922842158952338E-4</c:v>
                </c:pt>
                <c:pt idx="4635">
                  <c:v>1.0228130802328833E-3</c:v>
                </c:pt>
                <c:pt idx="4636">
                  <c:v>9.1400833020251519E-4</c:v>
                </c:pt>
                <c:pt idx="4637">
                  <c:v>1.1783822102714718E-3</c:v>
                </c:pt>
                <c:pt idx="4638">
                  <c:v>6.6727723587902993E-4</c:v>
                </c:pt>
                <c:pt idx="4639">
                  <c:v>1.2302886722309137E-3</c:v>
                </c:pt>
                <c:pt idx="4640">
                  <c:v>5.0347349329772477E-4</c:v>
                </c:pt>
                <c:pt idx="4641">
                  <c:v>1.0942007838500131E-3</c:v>
                </c:pt>
                <c:pt idx="4642">
                  <c:v>1.2188880291082393E-3</c:v>
                </c:pt>
                <c:pt idx="4643">
                  <c:v>1.1961298528696943E-3</c:v>
                </c:pt>
                <c:pt idx="4644">
                  <c:v>7.7772230394879225E-4</c:v>
                </c:pt>
                <c:pt idx="4645">
                  <c:v>1.1534560882314475E-3</c:v>
                </c:pt>
                <c:pt idx="4646">
                  <c:v>1.0429589883266888E-3</c:v>
                </c:pt>
                <c:pt idx="4647">
                  <c:v>1.5374786877925797E-3</c:v>
                </c:pt>
                <c:pt idx="4648">
                  <c:v>1.3711860807203457E-3</c:v>
                </c:pt>
                <c:pt idx="4649">
                  <c:v>1.0113554356871038E-3</c:v>
                </c:pt>
                <c:pt idx="4650">
                  <c:v>1.1425675419511796E-3</c:v>
                </c:pt>
                <c:pt idx="4651">
                  <c:v>4.9401742375287163E-5</c:v>
                </c:pt>
                <c:pt idx="4652">
                  <c:v>7.3226695169342348E-4</c:v>
                </c:pt>
                <c:pt idx="4653">
                  <c:v>1.2246850900535572E-3</c:v>
                </c:pt>
                <c:pt idx="4654">
                  <c:v>1.0324654707530999E-3</c:v>
                </c:pt>
                <c:pt idx="4655">
                  <c:v>1.0425372091388597E-3</c:v>
                </c:pt>
                <c:pt idx="4656">
                  <c:v>3.3571639605322798E-4</c:v>
                </c:pt>
                <c:pt idx="4657">
                  <c:v>9.3197106579820074E-4</c:v>
                </c:pt>
                <c:pt idx="4658">
                  <c:v>5.2048061697190188E-4</c:v>
                </c:pt>
                <c:pt idx="4659">
                  <c:v>1.1091146602830882E-3</c:v>
                </c:pt>
                <c:pt idx="4660">
                  <c:v>1.3755776517638135E-3</c:v>
                </c:pt>
                <c:pt idx="4661">
                  <c:v>8.4398245766162307E-4</c:v>
                </c:pt>
                <c:pt idx="4662">
                  <c:v>1.5144441026324544E-3</c:v>
                </c:pt>
                <c:pt idx="4663">
                  <c:v>7.7506417854575262E-4</c:v>
                </c:pt>
                <c:pt idx="4664">
                  <c:v>9.0999376071982448E-4</c:v>
                </c:pt>
                <c:pt idx="4665">
                  <c:v>7.2856742428123911E-4</c:v>
                </c:pt>
                <c:pt idx="4666">
                  <c:v>7.7858555539002069E-4</c:v>
                </c:pt>
                <c:pt idx="4667">
                  <c:v>8.4291942688356986E-4</c:v>
                </c:pt>
                <c:pt idx="4668">
                  <c:v>1.0611744913735842E-3</c:v>
                </c:pt>
                <c:pt idx="4669">
                  <c:v>7.9775178382438124E-4</c:v>
                </c:pt>
                <c:pt idx="4670">
                  <c:v>1.1747411282888214E-3</c:v>
                </c:pt>
                <c:pt idx="4671">
                  <c:v>1.2092323942009325E-3</c:v>
                </c:pt>
                <c:pt idx="4672">
                  <c:v>9.01865014666852E-4</c:v>
                </c:pt>
                <c:pt idx="4673">
                  <c:v>7.0408434737140573E-4</c:v>
                </c:pt>
                <c:pt idx="4674">
                  <c:v>5.0259079447303578E-4</c:v>
                </c:pt>
                <c:pt idx="4675">
                  <c:v>9.0648395779315742E-4</c:v>
                </c:pt>
                <c:pt idx="4676">
                  <c:v>3.0750344988118492E-4</c:v>
                </c:pt>
                <c:pt idx="4677">
                  <c:v>1.026629655382221E-3</c:v>
                </c:pt>
                <c:pt idx="4678">
                  <c:v>1.2251174314391749E-3</c:v>
                </c:pt>
                <c:pt idx="4679">
                  <c:v>3.0836307076191843E-4</c:v>
                </c:pt>
                <c:pt idx="4680">
                  <c:v>7.8973700988422667E-4</c:v>
                </c:pt>
                <c:pt idx="4681">
                  <c:v>1.3124965814087148E-3</c:v>
                </c:pt>
                <c:pt idx="4682">
                  <c:v>4.1560253502157196E-4</c:v>
                </c:pt>
                <c:pt idx="4683">
                  <c:v>7.5152868393270789E-4</c:v>
                </c:pt>
                <c:pt idx="4684">
                  <c:v>1.6115693108057156E-4</c:v>
                </c:pt>
                <c:pt idx="4685">
                  <c:v>7.8609103144350041E-4</c:v>
                </c:pt>
                <c:pt idx="4686">
                  <c:v>1.1623727495177166E-3</c:v>
                </c:pt>
                <c:pt idx="4687">
                  <c:v>1.2263886596546132E-3</c:v>
                </c:pt>
                <c:pt idx="4688">
                  <c:v>9.4385495966466722E-4</c:v>
                </c:pt>
                <c:pt idx="4689">
                  <c:v>4.7441428195987113E-4</c:v>
                </c:pt>
                <c:pt idx="4690">
                  <c:v>8.7766582767071833E-4</c:v>
                </c:pt>
                <c:pt idx="4691">
                  <c:v>6.9714458773786111E-4</c:v>
                </c:pt>
                <c:pt idx="4692">
                  <c:v>1.0021129182107209E-3</c:v>
                </c:pt>
                <c:pt idx="4693">
                  <c:v>5.3699943739092461E-4</c:v>
                </c:pt>
                <c:pt idx="4694">
                  <c:v>3.0531760829232823E-4</c:v>
                </c:pt>
                <c:pt idx="4695">
                  <c:v>8.1507409172889591E-4</c:v>
                </c:pt>
                <c:pt idx="4696">
                  <c:v>7.2760899555016068E-4</c:v>
                </c:pt>
                <c:pt idx="4697">
                  <c:v>1.1031523285978744E-3</c:v>
                </c:pt>
                <c:pt idx="4698">
                  <c:v>6.9895468749025798E-4</c:v>
                </c:pt>
                <c:pt idx="4699">
                  <c:v>1.247561629004134E-3</c:v>
                </c:pt>
                <c:pt idx="4700">
                  <c:v>6.3402534019953291E-4</c:v>
                </c:pt>
                <c:pt idx="4701">
                  <c:v>4.8250609741151956E-4</c:v>
                </c:pt>
                <c:pt idx="4702">
                  <c:v>7.3665208532862488E-4</c:v>
                </c:pt>
                <c:pt idx="4703">
                  <c:v>5.2753942947169068E-4</c:v>
                </c:pt>
                <c:pt idx="4704">
                  <c:v>8.3081216276155261E-4</c:v>
                </c:pt>
                <c:pt idx="4705">
                  <c:v>8.3858028017256832E-4</c:v>
                </c:pt>
                <c:pt idx="4706">
                  <c:v>4.7303038705247692E-4</c:v>
                </c:pt>
                <c:pt idx="4707">
                  <c:v>5.4347203935777011E-4</c:v>
                </c:pt>
                <c:pt idx="4708">
                  <c:v>9.8737496451501068E-4</c:v>
                </c:pt>
                <c:pt idx="4709">
                  <c:v>1.2992507003186675E-3</c:v>
                </c:pt>
                <c:pt idx="4710">
                  <c:v>1.0193154482059125E-3</c:v>
                </c:pt>
                <c:pt idx="4711">
                  <c:v>1.3418368552831779E-3</c:v>
                </c:pt>
                <c:pt idx="4712">
                  <c:v>1.4105143155342418E-3</c:v>
                </c:pt>
                <c:pt idx="4713">
                  <c:v>4.2129072375194873E-4</c:v>
                </c:pt>
                <c:pt idx="4714">
                  <c:v>5.6411564669390558E-4</c:v>
                </c:pt>
                <c:pt idx="4715">
                  <c:v>6.6574573328892809E-4</c:v>
                </c:pt>
                <c:pt idx="4716">
                  <c:v>6.543730175656336E-4</c:v>
                </c:pt>
                <c:pt idx="4717">
                  <c:v>4.0546169304448158E-4</c:v>
                </c:pt>
                <c:pt idx="4718">
                  <c:v>1.3326619439373284E-3</c:v>
                </c:pt>
                <c:pt idx="4719">
                  <c:v>1.3977722818886691E-3</c:v>
                </c:pt>
                <c:pt idx="4720">
                  <c:v>4.1549932689004059E-4</c:v>
                </c:pt>
                <c:pt idx="4721">
                  <c:v>7.1868444405624602E-4</c:v>
                </c:pt>
                <c:pt idx="4722">
                  <c:v>5.8105121001785333E-4</c:v>
                </c:pt>
                <c:pt idx="4723">
                  <c:v>1.0921030118697407E-3</c:v>
                </c:pt>
                <c:pt idx="4724">
                  <c:v>1.192639045948821E-3</c:v>
                </c:pt>
                <c:pt idx="4725">
                  <c:v>1.4206716095474233E-3</c:v>
                </c:pt>
                <c:pt idx="4726">
                  <c:v>5.6978419611162482E-4</c:v>
                </c:pt>
                <c:pt idx="4727">
                  <c:v>1.0142138184682421E-3</c:v>
                </c:pt>
                <c:pt idx="4728">
                  <c:v>1.3466234167661454E-3</c:v>
                </c:pt>
                <c:pt idx="4729">
                  <c:v>1.2275287854092776E-3</c:v>
                </c:pt>
                <c:pt idx="4730">
                  <c:v>2.3736626406265188E-4</c:v>
                </c:pt>
                <c:pt idx="4731">
                  <c:v>1.1342370642541757E-3</c:v>
                </c:pt>
                <c:pt idx="4732">
                  <c:v>9.8603325436062619E-4</c:v>
                </c:pt>
                <c:pt idx="4733">
                  <c:v>9.6983018983442658E-4</c:v>
                </c:pt>
                <c:pt idx="4734">
                  <c:v>8.1101631825036401E-4</c:v>
                </c:pt>
                <c:pt idx="4735">
                  <c:v>1.4960949672009564E-3</c:v>
                </c:pt>
                <c:pt idx="4736">
                  <c:v>9.5946894344261168E-4</c:v>
                </c:pt>
                <c:pt idx="4737">
                  <c:v>1.1591787038341399E-3</c:v>
                </c:pt>
                <c:pt idx="4738">
                  <c:v>1.2764354364251558E-3</c:v>
                </c:pt>
                <c:pt idx="4739">
                  <c:v>4.6981229702187683E-4</c:v>
                </c:pt>
                <c:pt idx="4740">
                  <c:v>8.9359865964812302E-4</c:v>
                </c:pt>
                <c:pt idx="4741">
                  <c:v>4.9579269674146552E-4</c:v>
                </c:pt>
                <c:pt idx="4742">
                  <c:v>1.6340085703581862E-3</c:v>
                </c:pt>
                <c:pt idx="4743">
                  <c:v>8.6633019126150892E-4</c:v>
                </c:pt>
                <c:pt idx="4744">
                  <c:v>9.476803051907556E-4</c:v>
                </c:pt>
                <c:pt idx="4745">
                  <c:v>6.695864433590474E-4</c:v>
                </c:pt>
                <c:pt idx="4746">
                  <c:v>1.1250260855957001E-3</c:v>
                </c:pt>
                <c:pt idx="4747">
                  <c:v>5.8298484253822521E-4</c:v>
                </c:pt>
                <c:pt idx="4748">
                  <c:v>5.3957684423888556E-4</c:v>
                </c:pt>
                <c:pt idx="4749">
                  <c:v>8.297098776356203E-4</c:v>
                </c:pt>
                <c:pt idx="4750">
                  <c:v>7.2801243159983193E-4</c:v>
                </c:pt>
                <c:pt idx="4751">
                  <c:v>7.6737854794851109E-4</c:v>
                </c:pt>
                <c:pt idx="4752">
                  <c:v>9.7213730682707295E-4</c:v>
                </c:pt>
                <c:pt idx="4753">
                  <c:v>9.0625116036958703E-4</c:v>
                </c:pt>
                <c:pt idx="4754">
                  <c:v>4.6850603350330456E-4</c:v>
                </c:pt>
                <c:pt idx="4755">
                  <c:v>1.180782578250397E-3</c:v>
                </c:pt>
                <c:pt idx="4756">
                  <c:v>1.1979448596357723E-3</c:v>
                </c:pt>
                <c:pt idx="4757">
                  <c:v>7.9880355807726306E-4</c:v>
                </c:pt>
                <c:pt idx="4758">
                  <c:v>6.0968643667678188E-4</c:v>
                </c:pt>
                <c:pt idx="4759">
                  <c:v>1.0808735215877376E-3</c:v>
                </c:pt>
                <c:pt idx="4760">
                  <c:v>3.0962870184190973E-4</c:v>
                </c:pt>
                <c:pt idx="4761">
                  <c:v>1.2945912260600055E-3</c:v>
                </c:pt>
                <c:pt idx="4762">
                  <c:v>1.1161480687024751E-3</c:v>
                </c:pt>
                <c:pt idx="4763">
                  <c:v>2.7411227262609181E-4</c:v>
                </c:pt>
                <c:pt idx="4764">
                  <c:v>1.2582367370130754E-3</c:v>
                </c:pt>
                <c:pt idx="4765">
                  <c:v>1.240657752337463E-3</c:v>
                </c:pt>
                <c:pt idx="4766">
                  <c:v>1.2525274514740834E-3</c:v>
                </c:pt>
                <c:pt idx="4767">
                  <c:v>7.9969271636403045E-4</c:v>
                </c:pt>
                <c:pt idx="4768">
                  <c:v>7.5054776167242821E-4</c:v>
                </c:pt>
                <c:pt idx="4769">
                  <c:v>4.6440373043913242E-4</c:v>
                </c:pt>
                <c:pt idx="4770">
                  <c:v>6.5740186095861728E-4</c:v>
                </c:pt>
                <c:pt idx="4771">
                  <c:v>1.0122124135676332E-3</c:v>
                </c:pt>
                <c:pt idx="4772">
                  <c:v>1.0861378782518229E-3</c:v>
                </c:pt>
                <c:pt idx="4773">
                  <c:v>6.5758026112387323E-4</c:v>
                </c:pt>
                <c:pt idx="4774">
                  <c:v>1.1625783098388038E-3</c:v>
                </c:pt>
                <c:pt idx="4775">
                  <c:v>7.9202368403771383E-4</c:v>
                </c:pt>
                <c:pt idx="4776">
                  <c:v>5.7618135970852712E-4</c:v>
                </c:pt>
                <c:pt idx="4777">
                  <c:v>1.4537866973050354E-3</c:v>
                </c:pt>
                <c:pt idx="4778">
                  <c:v>1.2255082454303387E-3</c:v>
                </c:pt>
                <c:pt idx="4779">
                  <c:v>2.7610728346744374E-4</c:v>
                </c:pt>
                <c:pt idx="4780">
                  <c:v>6.4863076173864165E-4</c:v>
                </c:pt>
                <c:pt idx="4781">
                  <c:v>6.0602819406194565E-4</c:v>
                </c:pt>
                <c:pt idx="4782">
                  <c:v>1.2941265798400449E-3</c:v>
                </c:pt>
                <c:pt idx="4783">
                  <c:v>3.6321865650687372E-4</c:v>
                </c:pt>
                <c:pt idx="4784">
                  <c:v>6.3033251728695551E-4</c:v>
                </c:pt>
                <c:pt idx="4785">
                  <c:v>1.1102836510388132E-3</c:v>
                </c:pt>
                <c:pt idx="4786">
                  <c:v>9.0282049646900049E-4</c:v>
                </c:pt>
                <c:pt idx="4787">
                  <c:v>8.5545230658692038E-4</c:v>
                </c:pt>
                <c:pt idx="4788">
                  <c:v>9.9894340106791366E-4</c:v>
                </c:pt>
                <c:pt idx="4789">
                  <c:v>5.3251276210327823E-4</c:v>
                </c:pt>
                <c:pt idx="4790">
                  <c:v>5.9782020398159463E-4</c:v>
                </c:pt>
                <c:pt idx="4791">
                  <c:v>2.9001782881079766E-4</c:v>
                </c:pt>
                <c:pt idx="4792">
                  <c:v>1.2687766820446936E-3</c:v>
                </c:pt>
                <c:pt idx="4793">
                  <c:v>5.3089405106403306E-4</c:v>
                </c:pt>
                <c:pt idx="4794">
                  <c:v>8.9573848144503085E-4</c:v>
                </c:pt>
                <c:pt idx="4795">
                  <c:v>6.2041289362308241E-4</c:v>
                </c:pt>
                <c:pt idx="4796">
                  <c:v>1.0787654204810063E-3</c:v>
                </c:pt>
                <c:pt idx="4797">
                  <c:v>9.5145456014776987E-4</c:v>
                </c:pt>
                <c:pt idx="4798">
                  <c:v>9.0260081116103183E-4</c:v>
                </c:pt>
                <c:pt idx="4799">
                  <c:v>7.3895964855626335E-4</c:v>
                </c:pt>
                <c:pt idx="4800">
                  <c:v>2.5093268580005953E-4</c:v>
                </c:pt>
                <c:pt idx="4801">
                  <c:v>6.292447689385946E-4</c:v>
                </c:pt>
                <c:pt idx="4802">
                  <c:v>4.0131076429940902E-4</c:v>
                </c:pt>
                <c:pt idx="4803">
                  <c:v>4.303966815380185E-4</c:v>
                </c:pt>
                <c:pt idx="4804">
                  <c:v>1.7283502106573694E-3</c:v>
                </c:pt>
                <c:pt idx="4805">
                  <c:v>9.4382771925062266E-4</c:v>
                </c:pt>
                <c:pt idx="4806">
                  <c:v>3.5908717327251549E-4</c:v>
                </c:pt>
                <c:pt idx="4807">
                  <c:v>1.2108799656602278E-3</c:v>
                </c:pt>
                <c:pt idx="4808">
                  <c:v>6.6955193515797504E-4</c:v>
                </c:pt>
                <c:pt idx="4809">
                  <c:v>6.0919776576987927E-4</c:v>
                </c:pt>
                <c:pt idx="4810">
                  <c:v>7.0307518995635365E-4</c:v>
                </c:pt>
                <c:pt idx="4811">
                  <c:v>8.9630287460431678E-4</c:v>
                </c:pt>
                <c:pt idx="4812">
                  <c:v>1.0362847289099079E-3</c:v>
                </c:pt>
                <c:pt idx="4813">
                  <c:v>9.3702604406010754E-4</c:v>
                </c:pt>
                <c:pt idx="4814">
                  <c:v>6.8697453086874645E-4</c:v>
                </c:pt>
                <c:pt idx="4815">
                  <c:v>1.3279916768796085E-3</c:v>
                </c:pt>
                <c:pt idx="4816">
                  <c:v>8.9159929500037545E-4</c:v>
                </c:pt>
                <c:pt idx="4817">
                  <c:v>9.4313829714329277E-4</c:v>
                </c:pt>
                <c:pt idx="4818">
                  <c:v>5.0924655535523531E-4</c:v>
                </c:pt>
                <c:pt idx="4819">
                  <c:v>1.0383576905506895E-3</c:v>
                </c:pt>
                <c:pt idx="4820">
                  <c:v>6.0802720110241047E-4</c:v>
                </c:pt>
                <c:pt idx="4821">
                  <c:v>1.0266777246846889E-3</c:v>
                </c:pt>
                <c:pt idx="4822">
                  <c:v>6.0470816231398444E-4</c:v>
                </c:pt>
                <c:pt idx="4823">
                  <c:v>8.8354102176503558E-4</c:v>
                </c:pt>
                <c:pt idx="4824">
                  <c:v>5.8369466697058092E-4</c:v>
                </c:pt>
                <c:pt idx="4825">
                  <c:v>1.0380088812388141E-3</c:v>
                </c:pt>
                <c:pt idx="4826">
                  <c:v>5.5206953903939524E-4</c:v>
                </c:pt>
                <c:pt idx="4827">
                  <c:v>7.1425538814554621E-4</c:v>
                </c:pt>
                <c:pt idx="4828">
                  <c:v>5.1563713728741841E-4</c:v>
                </c:pt>
                <c:pt idx="4829">
                  <c:v>1.2196171365685875E-3</c:v>
                </c:pt>
                <c:pt idx="4830">
                  <c:v>5.1535989479541675E-4</c:v>
                </c:pt>
                <c:pt idx="4831">
                  <c:v>1.0133474917171038E-3</c:v>
                </c:pt>
                <c:pt idx="4832">
                  <c:v>8.1756231666448053E-4</c:v>
                </c:pt>
                <c:pt idx="4833">
                  <c:v>7.1347982821142516E-4</c:v>
                </c:pt>
                <c:pt idx="4834">
                  <c:v>1.3957484856898551E-3</c:v>
                </c:pt>
                <c:pt idx="4835">
                  <c:v>6.5980848968872773E-4</c:v>
                </c:pt>
                <c:pt idx="4836">
                  <c:v>1.2935295786364544E-3</c:v>
                </c:pt>
                <c:pt idx="4837">
                  <c:v>1.1615570711151855E-3</c:v>
                </c:pt>
                <c:pt idx="4838">
                  <c:v>1.2350077423406445E-3</c:v>
                </c:pt>
                <c:pt idx="4839">
                  <c:v>1.1664093321809969E-3</c:v>
                </c:pt>
                <c:pt idx="4840">
                  <c:v>6.5106301971622855E-4</c:v>
                </c:pt>
                <c:pt idx="4841">
                  <c:v>1.2531242690107594E-3</c:v>
                </c:pt>
                <c:pt idx="4842">
                  <c:v>1.0582944714101993E-3</c:v>
                </c:pt>
                <c:pt idx="4843">
                  <c:v>3.9884511108790916E-4</c:v>
                </c:pt>
                <c:pt idx="4844">
                  <c:v>8.4125578342033366E-4</c:v>
                </c:pt>
                <c:pt idx="4845">
                  <c:v>8.4049478838238271E-4</c:v>
                </c:pt>
                <c:pt idx="4846">
                  <c:v>1.5167997420384625E-3</c:v>
                </c:pt>
                <c:pt idx="4847">
                  <c:v>1.6067090145938817E-3</c:v>
                </c:pt>
                <c:pt idx="4848">
                  <c:v>1.2296254856372958E-3</c:v>
                </c:pt>
                <c:pt idx="4849">
                  <c:v>1.0693397818958695E-3</c:v>
                </c:pt>
                <c:pt idx="4850">
                  <c:v>9.5871085100096489E-4</c:v>
                </c:pt>
                <c:pt idx="4851">
                  <c:v>7.9325079690168907E-4</c:v>
                </c:pt>
                <c:pt idx="4852">
                  <c:v>1.1182631584746819E-3</c:v>
                </c:pt>
                <c:pt idx="4853">
                  <c:v>1.6741166577090697E-3</c:v>
                </c:pt>
                <c:pt idx="4854">
                  <c:v>1.3912214238761436E-3</c:v>
                </c:pt>
                <c:pt idx="4855">
                  <c:v>9.2038160758545467E-4</c:v>
                </c:pt>
                <c:pt idx="4856">
                  <c:v>1.0476035562046045E-3</c:v>
                </c:pt>
                <c:pt idx="4857">
                  <c:v>8.2955968118371914E-4</c:v>
                </c:pt>
                <c:pt idx="4858">
                  <c:v>6.631024808918778E-4</c:v>
                </c:pt>
                <c:pt idx="4859">
                  <c:v>1.1587905570116092E-3</c:v>
                </c:pt>
                <c:pt idx="4860">
                  <c:v>6.0792308133023922E-4</c:v>
                </c:pt>
                <c:pt idx="4861">
                  <c:v>5.117359568368665E-4</c:v>
                </c:pt>
                <c:pt idx="4862">
                  <c:v>7.34174387141408E-4</c:v>
                </c:pt>
                <c:pt idx="4863">
                  <c:v>5.9337721797870797E-4</c:v>
                </c:pt>
                <c:pt idx="4864">
                  <c:v>3.9221528316979464E-4</c:v>
                </c:pt>
                <c:pt idx="4865">
                  <c:v>5.4100944729677954E-4</c:v>
                </c:pt>
                <c:pt idx="4866">
                  <c:v>8.8783694331345244E-4</c:v>
                </c:pt>
                <c:pt idx="4867">
                  <c:v>2.3035608669546849E-4</c:v>
                </c:pt>
                <c:pt idx="4868">
                  <c:v>1.9683282229675624E-4</c:v>
                </c:pt>
                <c:pt idx="4869">
                  <c:v>5.1380823370950025E-4</c:v>
                </c:pt>
                <c:pt idx="4870">
                  <c:v>1.0458022451449915E-3</c:v>
                </c:pt>
                <c:pt idx="4871">
                  <c:v>1.2699903208768216E-3</c:v>
                </c:pt>
                <c:pt idx="4872">
                  <c:v>1.1264282199308561E-3</c:v>
                </c:pt>
                <c:pt idx="4873">
                  <c:v>9.7249166429057765E-4</c:v>
                </c:pt>
                <c:pt idx="4874">
                  <c:v>1.3468248136595056E-3</c:v>
                </c:pt>
                <c:pt idx="4875">
                  <c:v>6.2386134049484258E-4</c:v>
                </c:pt>
                <c:pt idx="4876">
                  <c:v>1.7223490358534146E-3</c:v>
                </c:pt>
                <c:pt idx="4877">
                  <c:v>7.2119763701503211E-4</c:v>
                </c:pt>
                <c:pt idx="4878">
                  <c:v>1.0794718647564015E-3</c:v>
                </c:pt>
                <c:pt idx="4879">
                  <c:v>9.5255317397197655E-4</c:v>
                </c:pt>
                <c:pt idx="4880">
                  <c:v>9.9991192828171167E-5</c:v>
                </c:pt>
                <c:pt idx="4881">
                  <c:v>5.730121782908154E-4</c:v>
                </c:pt>
                <c:pt idx="4882">
                  <c:v>1.5599464935230241E-3</c:v>
                </c:pt>
                <c:pt idx="4883">
                  <c:v>1.3306128792734886E-3</c:v>
                </c:pt>
                <c:pt idx="4884">
                  <c:v>7.7080043288861816E-4</c:v>
                </c:pt>
                <c:pt idx="4885">
                  <c:v>4.2751488822708036E-4</c:v>
                </c:pt>
                <c:pt idx="4886">
                  <c:v>8.0490895191631141E-4</c:v>
                </c:pt>
                <c:pt idx="4887">
                  <c:v>1.2054056934461784E-3</c:v>
                </c:pt>
                <c:pt idx="4888">
                  <c:v>6.6878446312357048E-4</c:v>
                </c:pt>
                <c:pt idx="4889">
                  <c:v>1.203772673010968E-3</c:v>
                </c:pt>
                <c:pt idx="4890">
                  <c:v>5.3619443165829888E-4</c:v>
                </c:pt>
                <c:pt idx="4891">
                  <c:v>6.8455858382025303E-4</c:v>
                </c:pt>
                <c:pt idx="4892">
                  <c:v>1.1737088625956757E-3</c:v>
                </c:pt>
                <c:pt idx="4893">
                  <c:v>8.5666631780152518E-4</c:v>
                </c:pt>
                <c:pt idx="4894">
                  <c:v>1.1484384416098929E-3</c:v>
                </c:pt>
                <c:pt idx="4895">
                  <c:v>1.1370570277818976E-3</c:v>
                </c:pt>
                <c:pt idx="4896">
                  <c:v>5.0668138143117206E-4</c:v>
                </c:pt>
                <c:pt idx="4897">
                  <c:v>5.0128189919263855E-4</c:v>
                </c:pt>
                <c:pt idx="4898">
                  <c:v>9.2603181302696022E-4</c:v>
                </c:pt>
                <c:pt idx="4899">
                  <c:v>1.234956864397684E-3</c:v>
                </c:pt>
                <c:pt idx="4900">
                  <c:v>8.1694431164898418E-4</c:v>
                </c:pt>
                <c:pt idx="4901">
                  <c:v>1.0746293355589679E-3</c:v>
                </c:pt>
                <c:pt idx="4902">
                  <c:v>9.2455110209598501E-4</c:v>
                </c:pt>
                <c:pt idx="4903">
                  <c:v>6.276951170410825E-4</c:v>
                </c:pt>
                <c:pt idx="4904">
                  <c:v>9.722331613421718E-4</c:v>
                </c:pt>
                <c:pt idx="4905">
                  <c:v>1.0414345054328583E-3</c:v>
                </c:pt>
                <c:pt idx="4906">
                  <c:v>9.2726518784255535E-4</c:v>
                </c:pt>
                <c:pt idx="4907">
                  <c:v>8.7232716998357474E-4</c:v>
                </c:pt>
                <c:pt idx="4908">
                  <c:v>4.3702903482972539E-4</c:v>
                </c:pt>
                <c:pt idx="4909">
                  <c:v>1.1468111396915654E-3</c:v>
                </c:pt>
                <c:pt idx="4910">
                  <c:v>1.024153716460174E-3</c:v>
                </c:pt>
                <c:pt idx="4911">
                  <c:v>1.2826311626191959E-3</c:v>
                </c:pt>
                <c:pt idx="4912">
                  <c:v>1.1137447090526918E-3</c:v>
                </c:pt>
                <c:pt idx="4913">
                  <c:v>4.9241907129865135E-4</c:v>
                </c:pt>
                <c:pt idx="4914">
                  <c:v>9.1228234827389339E-4</c:v>
                </c:pt>
                <c:pt idx="4915">
                  <c:v>8.7236330979192911E-4</c:v>
                </c:pt>
                <c:pt idx="4916">
                  <c:v>8.2912154550695292E-4</c:v>
                </c:pt>
                <c:pt idx="4917">
                  <c:v>9.9101998880398215E-4</c:v>
                </c:pt>
                <c:pt idx="4918">
                  <c:v>7.3338899896601762E-4</c:v>
                </c:pt>
                <c:pt idx="4919">
                  <c:v>5.9243502906623053E-4</c:v>
                </c:pt>
                <c:pt idx="4920">
                  <c:v>1.0105595463110843E-3</c:v>
                </c:pt>
                <c:pt idx="4921">
                  <c:v>1.0752123129333943E-3</c:v>
                </c:pt>
                <c:pt idx="4922">
                  <c:v>5.2638575941255691E-4</c:v>
                </c:pt>
                <c:pt idx="4923">
                  <c:v>2.5378010942083036E-4</c:v>
                </c:pt>
                <c:pt idx="4924">
                  <c:v>1.2280185390990859E-3</c:v>
                </c:pt>
                <c:pt idx="4925">
                  <c:v>8.1891876819170238E-4</c:v>
                </c:pt>
                <c:pt idx="4926">
                  <c:v>8.0377482461530458E-4</c:v>
                </c:pt>
                <c:pt idx="4927">
                  <c:v>1.1463774920080689E-3</c:v>
                </c:pt>
                <c:pt idx="4928">
                  <c:v>1.3497997896437072E-3</c:v>
                </c:pt>
                <c:pt idx="4929">
                  <c:v>8.3990813560324889E-4</c:v>
                </c:pt>
                <c:pt idx="4930">
                  <c:v>1.0070388687297071E-3</c:v>
                </c:pt>
                <c:pt idx="4931">
                  <c:v>1.0565000537358735E-3</c:v>
                </c:pt>
                <c:pt idx="4932">
                  <c:v>1.0117487543636412E-3</c:v>
                </c:pt>
                <c:pt idx="4933">
                  <c:v>2.9147033890273677E-4</c:v>
                </c:pt>
                <c:pt idx="4934">
                  <c:v>8.0930943195328632E-4</c:v>
                </c:pt>
                <c:pt idx="4935">
                  <c:v>1.0320833516691869E-3</c:v>
                </c:pt>
                <c:pt idx="4936">
                  <c:v>6.595767945049289E-4</c:v>
                </c:pt>
                <c:pt idx="4937">
                  <c:v>9.9084144799292673E-4</c:v>
                </c:pt>
                <c:pt idx="4938">
                  <c:v>9.5626159234252152E-4</c:v>
                </c:pt>
                <c:pt idx="4939">
                  <c:v>1.7167596988703984E-3</c:v>
                </c:pt>
                <c:pt idx="4940">
                  <c:v>8.9655137739884198E-4</c:v>
                </c:pt>
                <c:pt idx="4941">
                  <c:v>1.0601598408959728E-3</c:v>
                </c:pt>
                <c:pt idx="4942">
                  <c:v>4.3313666440288588E-4</c:v>
                </c:pt>
                <c:pt idx="4943">
                  <c:v>1.8234778211708379E-3</c:v>
                </c:pt>
                <c:pt idx="4944">
                  <c:v>1.5199302484921213E-3</c:v>
                </c:pt>
                <c:pt idx="4945">
                  <c:v>5.365587671371558E-4</c:v>
                </c:pt>
                <c:pt idx="4946">
                  <c:v>1.2100422001410105E-3</c:v>
                </c:pt>
                <c:pt idx="4947">
                  <c:v>1.1238445433217647E-3</c:v>
                </c:pt>
                <c:pt idx="4948">
                  <c:v>8.1048577484819993E-4</c:v>
                </c:pt>
                <c:pt idx="4949">
                  <c:v>1.2165547422897827E-3</c:v>
                </c:pt>
                <c:pt idx="4950">
                  <c:v>2.7747255787584E-4</c:v>
                </c:pt>
                <c:pt idx="4951">
                  <c:v>3.3910043377472274E-4</c:v>
                </c:pt>
                <c:pt idx="4952">
                  <c:v>1.1433918516908757E-3</c:v>
                </c:pt>
                <c:pt idx="4953">
                  <c:v>9.6212853338319094E-4</c:v>
                </c:pt>
                <c:pt idx="4954">
                  <c:v>9.2524933806483107E-4</c:v>
                </c:pt>
                <c:pt idx="4955">
                  <c:v>5.1509274624608845E-4</c:v>
                </c:pt>
                <c:pt idx="4956">
                  <c:v>8.2240337731518147E-4</c:v>
                </c:pt>
                <c:pt idx="4957">
                  <c:v>9.6616104881080533E-4</c:v>
                </c:pt>
                <c:pt idx="4958">
                  <c:v>1.1444128149561187E-3</c:v>
                </c:pt>
                <c:pt idx="4959">
                  <c:v>7.8169585955250079E-4</c:v>
                </c:pt>
                <c:pt idx="4960">
                  <c:v>6.0082332026689818E-4</c:v>
                </c:pt>
                <c:pt idx="4961">
                  <c:v>1.2228677566057033E-3</c:v>
                </c:pt>
                <c:pt idx="4962">
                  <c:v>1.0966410234428251E-3</c:v>
                </c:pt>
                <c:pt idx="4963">
                  <c:v>1.0767306285769224E-3</c:v>
                </c:pt>
                <c:pt idx="4964">
                  <c:v>6.359881019254945E-4</c:v>
                </c:pt>
                <c:pt idx="4965">
                  <c:v>9.6543641456590999E-4</c:v>
                </c:pt>
                <c:pt idx="4966">
                  <c:v>1.0671485730612566E-3</c:v>
                </c:pt>
                <c:pt idx="4967">
                  <c:v>7.1464104452255233E-4</c:v>
                </c:pt>
                <c:pt idx="4968">
                  <c:v>1.1575786972930957E-3</c:v>
                </c:pt>
                <c:pt idx="4969">
                  <c:v>4.9902059900597707E-4</c:v>
                </c:pt>
                <c:pt idx="4970">
                  <c:v>5.0006646989403803E-4</c:v>
                </c:pt>
                <c:pt idx="4971">
                  <c:v>8.3863411138519783E-4</c:v>
                </c:pt>
                <c:pt idx="4972">
                  <c:v>4.8055984520224151E-4</c:v>
                </c:pt>
                <c:pt idx="4973">
                  <c:v>4.5528219828558987E-4</c:v>
                </c:pt>
                <c:pt idx="4974">
                  <c:v>5.2928837630051467E-4</c:v>
                </c:pt>
                <c:pt idx="4975">
                  <c:v>1.3697345641882602E-3</c:v>
                </c:pt>
                <c:pt idx="4976">
                  <c:v>7.93043104882945E-4</c:v>
                </c:pt>
                <c:pt idx="4977">
                  <c:v>8.8236517996352886E-4</c:v>
                </c:pt>
                <c:pt idx="4978">
                  <c:v>1.2714146316155808E-3</c:v>
                </c:pt>
                <c:pt idx="4979">
                  <c:v>1.09652339511842E-3</c:v>
                </c:pt>
                <c:pt idx="4980">
                  <c:v>1.5433944644738054E-3</c:v>
                </c:pt>
                <c:pt idx="4981">
                  <c:v>7.1082598029919512E-4</c:v>
                </c:pt>
                <c:pt idx="4982">
                  <c:v>4.9137124282027538E-4</c:v>
                </c:pt>
                <c:pt idx="4983">
                  <c:v>6.9520197686823919E-4</c:v>
                </c:pt>
                <c:pt idx="4984">
                  <c:v>8.3536216399663005E-4</c:v>
                </c:pt>
                <c:pt idx="4985">
                  <c:v>1.3425512894408242E-3</c:v>
                </c:pt>
                <c:pt idx="4986">
                  <c:v>3.6839062839700502E-5</c:v>
                </c:pt>
                <c:pt idx="4987">
                  <c:v>5.2511683807921448E-4</c:v>
                </c:pt>
                <c:pt idx="4988">
                  <c:v>7.8111901040802626E-4</c:v>
                </c:pt>
                <c:pt idx="4989">
                  <c:v>1.0319250592882763E-3</c:v>
                </c:pt>
                <c:pt idx="4990">
                  <c:v>8.9732985845332068E-4</c:v>
                </c:pt>
                <c:pt idx="4991">
                  <c:v>9.3767844359933798E-4</c:v>
                </c:pt>
                <c:pt idx="4992">
                  <c:v>8.9256736746089703E-4</c:v>
                </c:pt>
                <c:pt idx="4993">
                  <c:v>1.0335262375099324E-3</c:v>
                </c:pt>
                <c:pt idx="4994">
                  <c:v>8.848503624795343E-4</c:v>
                </c:pt>
                <c:pt idx="4995">
                  <c:v>9.0630256387761517E-4</c:v>
                </c:pt>
                <c:pt idx="4996">
                  <c:v>7.3032956615822636E-4</c:v>
                </c:pt>
                <c:pt idx="4997">
                  <c:v>6.951652406192928E-4</c:v>
                </c:pt>
                <c:pt idx="4998">
                  <c:v>7.5317958433687964E-4</c:v>
                </c:pt>
                <c:pt idx="4999">
                  <c:v>1.1329760603321149E-3</c:v>
                </c:pt>
                <c:pt idx="5000">
                  <c:v>1.1509083341471138E-3</c:v>
                </c:pt>
                <c:pt idx="5001">
                  <c:v>1.7398041253241727E-3</c:v>
                </c:pt>
                <c:pt idx="5002">
                  <c:v>4.4586837805627854E-4</c:v>
                </c:pt>
                <c:pt idx="5003">
                  <c:v>9.5968288608401834E-4</c:v>
                </c:pt>
                <c:pt idx="5004">
                  <c:v>1.3996002607390208E-3</c:v>
                </c:pt>
                <c:pt idx="5005">
                  <c:v>7.4089129193185763E-4</c:v>
                </c:pt>
                <c:pt idx="5006">
                  <c:v>5.4904219496878246E-4</c:v>
                </c:pt>
                <c:pt idx="5007">
                  <c:v>6.4454684571140799E-4</c:v>
                </c:pt>
                <c:pt idx="5008">
                  <c:v>1.3297081911301089E-3</c:v>
                </c:pt>
                <c:pt idx="5009">
                  <c:v>4.5426207093650025E-4</c:v>
                </c:pt>
                <c:pt idx="5010">
                  <c:v>4.9007863288336314E-4</c:v>
                </c:pt>
                <c:pt idx="5011">
                  <c:v>9.7381528303102543E-4</c:v>
                </c:pt>
                <c:pt idx="5012">
                  <c:v>9.8516078303151496E-4</c:v>
                </c:pt>
                <c:pt idx="5013">
                  <c:v>7.4735501072312888E-4</c:v>
                </c:pt>
                <c:pt idx="5014">
                  <c:v>8.5880368208925183E-4</c:v>
                </c:pt>
                <c:pt idx="5015">
                  <c:v>6.6261279710453313E-4</c:v>
                </c:pt>
                <c:pt idx="5016">
                  <c:v>7.1290714536790493E-4</c:v>
                </c:pt>
                <c:pt idx="5017">
                  <c:v>1.2941202282284639E-3</c:v>
                </c:pt>
                <c:pt idx="5018">
                  <c:v>5.1170143772309436E-4</c:v>
                </c:pt>
                <c:pt idx="5019">
                  <c:v>7.4535511767775682E-4</c:v>
                </c:pt>
                <c:pt idx="5020">
                  <c:v>9.3214977694759866E-4</c:v>
                </c:pt>
                <c:pt idx="5021">
                  <c:v>1.2839426233819807E-3</c:v>
                </c:pt>
                <c:pt idx="5022">
                  <c:v>3.7401529677210131E-4</c:v>
                </c:pt>
                <c:pt idx="5023">
                  <c:v>9.9361367951646086E-4</c:v>
                </c:pt>
                <c:pt idx="5024">
                  <c:v>4.8340488022186121E-4</c:v>
                </c:pt>
                <c:pt idx="5025">
                  <c:v>9.6179703080296881E-4</c:v>
                </c:pt>
                <c:pt idx="5026">
                  <c:v>8.331403526399021E-4</c:v>
                </c:pt>
                <c:pt idx="5027">
                  <c:v>6.5048326142590272E-4</c:v>
                </c:pt>
                <c:pt idx="5028">
                  <c:v>3.5174802468194099E-4</c:v>
                </c:pt>
                <c:pt idx="5029">
                  <c:v>5.1115672989636158E-4</c:v>
                </c:pt>
                <c:pt idx="5030">
                  <c:v>1.1429300211183017E-3</c:v>
                </c:pt>
                <c:pt idx="5031">
                  <c:v>1.5227679153894873E-3</c:v>
                </c:pt>
                <c:pt idx="5032">
                  <c:v>1.0863832123398076E-3</c:v>
                </c:pt>
                <c:pt idx="5033">
                  <c:v>6.7578242910743794E-4</c:v>
                </c:pt>
                <c:pt idx="5034">
                  <c:v>9.2654984560014354E-4</c:v>
                </c:pt>
                <c:pt idx="5035">
                  <c:v>1.0875297688195287E-3</c:v>
                </c:pt>
                <c:pt idx="5036">
                  <c:v>4.4131003037696265E-4</c:v>
                </c:pt>
                <c:pt idx="5037">
                  <c:v>1.083022780786464E-3</c:v>
                </c:pt>
                <c:pt idx="5038">
                  <c:v>1.0186136522685968E-3</c:v>
                </c:pt>
                <c:pt idx="5039">
                  <c:v>1.1901324260279655E-3</c:v>
                </c:pt>
                <c:pt idx="5040">
                  <c:v>4.4044661355929483E-4</c:v>
                </c:pt>
                <c:pt idx="5041">
                  <c:v>9.0969227797326455E-4</c:v>
                </c:pt>
                <c:pt idx="5042">
                  <c:v>5.018969389326552E-4</c:v>
                </c:pt>
                <c:pt idx="5043">
                  <c:v>1.1862956878760976E-3</c:v>
                </c:pt>
                <c:pt idx="5044">
                  <c:v>1.1221379000038458E-3</c:v>
                </c:pt>
                <c:pt idx="5045">
                  <c:v>9.4601988196187233E-4</c:v>
                </c:pt>
                <c:pt idx="5046">
                  <c:v>9.6080047914197083E-4</c:v>
                </c:pt>
                <c:pt idx="5047">
                  <c:v>5.09342989551785E-4</c:v>
                </c:pt>
                <c:pt idx="5048">
                  <c:v>5.8384748611587463E-4</c:v>
                </c:pt>
                <c:pt idx="5049">
                  <c:v>1.355632513118757E-3</c:v>
                </c:pt>
                <c:pt idx="5050">
                  <c:v>5.7030821709373541E-4</c:v>
                </c:pt>
                <c:pt idx="5051">
                  <c:v>7.6395204491897461E-4</c:v>
                </c:pt>
                <c:pt idx="5052">
                  <c:v>1.0941725923341175E-3</c:v>
                </c:pt>
                <c:pt idx="5053">
                  <c:v>1.0403157885600952E-3</c:v>
                </c:pt>
                <c:pt idx="5054">
                  <c:v>9.5998563571919073E-4</c:v>
                </c:pt>
                <c:pt idx="5055">
                  <c:v>4.6156768409420058E-4</c:v>
                </c:pt>
                <c:pt idx="5056">
                  <c:v>8.4856536170795506E-4</c:v>
                </c:pt>
                <c:pt idx="5057">
                  <c:v>7.7875596395213069E-4</c:v>
                </c:pt>
                <c:pt idx="5058">
                  <c:v>1.0918273086462824E-3</c:v>
                </c:pt>
                <c:pt idx="5059">
                  <c:v>1.352850626828547E-3</c:v>
                </c:pt>
                <c:pt idx="5060">
                  <c:v>1.3653829177098569E-3</c:v>
                </c:pt>
                <c:pt idx="5061">
                  <c:v>8.1465772298364137E-4</c:v>
                </c:pt>
                <c:pt idx="5062">
                  <c:v>7.5568260128338846E-4</c:v>
                </c:pt>
                <c:pt idx="5063">
                  <c:v>3.6632329988486043E-4</c:v>
                </c:pt>
                <c:pt idx="5064">
                  <c:v>4.3922347342048628E-4</c:v>
                </c:pt>
                <c:pt idx="5065">
                  <c:v>1.4254841107409707E-3</c:v>
                </c:pt>
                <c:pt idx="5066">
                  <c:v>6.5476564186072795E-4</c:v>
                </c:pt>
                <c:pt idx="5067">
                  <c:v>5.1840392800344001E-4</c:v>
                </c:pt>
                <c:pt idx="5068">
                  <c:v>3.4916701164737263E-4</c:v>
                </c:pt>
                <c:pt idx="5069">
                  <c:v>4.2129496496765971E-5</c:v>
                </c:pt>
                <c:pt idx="5070">
                  <c:v>6.8966147471112506E-4</c:v>
                </c:pt>
                <c:pt idx="5071">
                  <c:v>1.324973232959663E-3</c:v>
                </c:pt>
                <c:pt idx="5072">
                  <c:v>1.0356448390640327E-3</c:v>
                </c:pt>
                <c:pt idx="5073">
                  <c:v>8.9070460223330226E-4</c:v>
                </c:pt>
                <c:pt idx="5074">
                  <c:v>7.7493913738026958E-4</c:v>
                </c:pt>
                <c:pt idx="5075">
                  <c:v>6.8230505581577954E-4</c:v>
                </c:pt>
                <c:pt idx="5076">
                  <c:v>8.077276750371393E-4</c:v>
                </c:pt>
                <c:pt idx="5077">
                  <c:v>9.8259590121258845E-4</c:v>
                </c:pt>
                <c:pt idx="5078">
                  <c:v>6.3572138351003439E-4</c:v>
                </c:pt>
                <c:pt idx="5079">
                  <c:v>1.0798230032743597E-3</c:v>
                </c:pt>
                <c:pt idx="5080">
                  <c:v>9.4760653224789141E-4</c:v>
                </c:pt>
                <c:pt idx="5081">
                  <c:v>8.4868477418377649E-4</c:v>
                </c:pt>
                <c:pt idx="5082">
                  <c:v>1.0079649570610286E-3</c:v>
                </c:pt>
                <c:pt idx="5083">
                  <c:v>1.0960447176563935E-3</c:v>
                </c:pt>
                <c:pt idx="5084">
                  <c:v>4.7096167090776494E-4</c:v>
                </c:pt>
                <c:pt idx="5085">
                  <c:v>1.0272779348860916E-3</c:v>
                </c:pt>
                <c:pt idx="5086">
                  <c:v>4.5713762429665488E-4</c:v>
                </c:pt>
                <c:pt idx="5087">
                  <c:v>7.3743055849029976E-4</c:v>
                </c:pt>
                <c:pt idx="5088">
                  <c:v>2.9560557010319295E-4</c:v>
                </c:pt>
                <c:pt idx="5089">
                  <c:v>2.8117239756702357E-4</c:v>
                </c:pt>
                <c:pt idx="5090">
                  <c:v>1.0260994606435397E-3</c:v>
                </c:pt>
                <c:pt idx="5091">
                  <c:v>4.5131263238295524E-4</c:v>
                </c:pt>
                <c:pt idx="5092">
                  <c:v>1.4245224296976853E-3</c:v>
                </c:pt>
                <c:pt idx="5093">
                  <c:v>8.3291489880323857E-4</c:v>
                </c:pt>
                <c:pt idx="5094">
                  <c:v>1.6431429162419263E-3</c:v>
                </c:pt>
                <c:pt idx="5095">
                  <c:v>6.7835005117991229E-4</c:v>
                </c:pt>
                <c:pt idx="5096">
                  <c:v>1.1782346443485593E-3</c:v>
                </c:pt>
                <c:pt idx="5097">
                  <c:v>7.6020302541751888E-4</c:v>
                </c:pt>
                <c:pt idx="5098">
                  <c:v>1.0126890607461835E-3</c:v>
                </c:pt>
                <c:pt idx="5099">
                  <c:v>7.3202562414109403E-4</c:v>
                </c:pt>
                <c:pt idx="5100">
                  <c:v>1.2181843559167377E-3</c:v>
                </c:pt>
                <c:pt idx="5101">
                  <c:v>8.9340654848121858E-4</c:v>
                </c:pt>
                <c:pt idx="5102">
                  <c:v>8.1757912172002905E-4</c:v>
                </c:pt>
                <c:pt idx="5103">
                  <c:v>7.5342224344890135E-4</c:v>
                </c:pt>
                <c:pt idx="5104">
                  <c:v>1.2371682760165721E-3</c:v>
                </c:pt>
                <c:pt idx="5105">
                  <c:v>1.4223416860834458E-3</c:v>
                </c:pt>
                <c:pt idx="5106">
                  <c:v>4.3057897605936792E-4</c:v>
                </c:pt>
                <c:pt idx="5107">
                  <c:v>1.0042243528439233E-3</c:v>
                </c:pt>
                <c:pt idx="5108">
                  <c:v>5.7637028119745463E-4</c:v>
                </c:pt>
                <c:pt idx="5109">
                  <c:v>1.2491732836864948E-3</c:v>
                </c:pt>
                <c:pt idx="5110">
                  <c:v>9.2455531736649666E-4</c:v>
                </c:pt>
                <c:pt idx="5111">
                  <c:v>1.5371034567009559E-4</c:v>
                </c:pt>
                <c:pt idx="5112">
                  <c:v>4.3520640201532928E-4</c:v>
                </c:pt>
                <c:pt idx="5113">
                  <c:v>7.5653571254001442E-4</c:v>
                </c:pt>
                <c:pt idx="5114">
                  <c:v>7.4177637524842585E-4</c:v>
                </c:pt>
                <c:pt idx="5115">
                  <c:v>8.7572193620417428E-4</c:v>
                </c:pt>
                <c:pt idx="5116">
                  <c:v>1.1558831043504734E-4</c:v>
                </c:pt>
                <c:pt idx="5117">
                  <c:v>5.0956685010297112E-4</c:v>
                </c:pt>
                <c:pt idx="5118">
                  <c:v>2.0268738718704456E-4</c:v>
                </c:pt>
                <c:pt idx="5119">
                  <c:v>1.1797381902371173E-3</c:v>
                </c:pt>
                <c:pt idx="5120">
                  <c:v>1.5100727872770679E-3</c:v>
                </c:pt>
                <c:pt idx="5121">
                  <c:v>7.2216902130558061E-4</c:v>
                </c:pt>
                <c:pt idx="5122">
                  <c:v>8.9258484425325019E-4</c:v>
                </c:pt>
                <c:pt idx="5123">
                  <c:v>3.9945487887403631E-4</c:v>
                </c:pt>
                <c:pt idx="5124">
                  <c:v>6.5346999513022047E-4</c:v>
                </c:pt>
                <c:pt idx="5125">
                  <c:v>7.8959352406114713E-4</c:v>
                </c:pt>
                <c:pt idx="5126">
                  <c:v>6.7386614664442302E-4</c:v>
                </c:pt>
                <c:pt idx="5127">
                  <c:v>5.2080465580884618E-4</c:v>
                </c:pt>
                <c:pt idx="5128">
                  <c:v>1.0535667348466403E-3</c:v>
                </c:pt>
                <c:pt idx="5129">
                  <c:v>4.149952091700098E-4</c:v>
                </c:pt>
                <c:pt idx="5130">
                  <c:v>9.1736971782588089E-4</c:v>
                </c:pt>
                <c:pt idx="5131">
                  <c:v>9.3749933378192588E-4</c:v>
                </c:pt>
                <c:pt idx="5132">
                  <c:v>1.038805799658288E-3</c:v>
                </c:pt>
                <c:pt idx="5133">
                  <c:v>6.547127821911865E-4</c:v>
                </c:pt>
                <c:pt idx="5134">
                  <c:v>8.1313331816863202E-4</c:v>
                </c:pt>
                <c:pt idx="5135">
                  <c:v>1.003509247883814E-3</c:v>
                </c:pt>
                <c:pt idx="5136">
                  <c:v>8.6227521823922933E-4</c:v>
                </c:pt>
                <c:pt idx="5137">
                  <c:v>6.6362667530192306E-4</c:v>
                </c:pt>
                <c:pt idx="5138">
                  <c:v>9.6032384391077526E-4</c:v>
                </c:pt>
                <c:pt idx="5139">
                  <c:v>1.3064977584300111E-3</c:v>
                </c:pt>
                <c:pt idx="5140">
                  <c:v>5.9789060447195015E-4</c:v>
                </c:pt>
                <c:pt idx="5141">
                  <c:v>1.544075574834239E-3</c:v>
                </c:pt>
                <c:pt idx="5142">
                  <c:v>8.1962468563165521E-4</c:v>
                </c:pt>
                <c:pt idx="5143">
                  <c:v>4.7118282425124159E-4</c:v>
                </c:pt>
                <c:pt idx="5144">
                  <c:v>4.4044667436802268E-4</c:v>
                </c:pt>
                <c:pt idx="5145">
                  <c:v>9.291551481929955E-4</c:v>
                </c:pt>
                <c:pt idx="5146">
                  <c:v>6.5884952024969703E-4</c:v>
                </c:pt>
                <c:pt idx="5147">
                  <c:v>1.1333318781949079E-3</c:v>
                </c:pt>
                <c:pt idx="5148">
                  <c:v>2.0101192451718404E-4</c:v>
                </c:pt>
                <c:pt idx="5149">
                  <c:v>4.3124347624196182E-4</c:v>
                </c:pt>
                <c:pt idx="5150">
                  <c:v>6.7109687418901527E-4</c:v>
                </c:pt>
                <c:pt idx="5151">
                  <c:v>1.1920189929516421E-3</c:v>
                </c:pt>
                <c:pt idx="5152">
                  <c:v>7.6698712105752946E-4</c:v>
                </c:pt>
                <c:pt idx="5153">
                  <c:v>8.5544037070555724E-4</c:v>
                </c:pt>
                <c:pt idx="5154">
                  <c:v>1.0254637612875585E-3</c:v>
                </c:pt>
                <c:pt idx="5155">
                  <c:v>1.1239939980908259E-3</c:v>
                </c:pt>
                <c:pt idx="5156">
                  <c:v>5.5562630390470374E-4</c:v>
                </c:pt>
                <c:pt idx="5157">
                  <c:v>1.0196171977849516E-3</c:v>
                </c:pt>
                <c:pt idx="5158">
                  <c:v>9.6814591470758876E-4</c:v>
                </c:pt>
                <c:pt idx="5159">
                  <c:v>5.1783780839718702E-4</c:v>
                </c:pt>
                <c:pt idx="5160">
                  <c:v>5.8162448356025931E-4</c:v>
                </c:pt>
                <c:pt idx="5161">
                  <c:v>7.0915645050271679E-4</c:v>
                </c:pt>
                <c:pt idx="5162">
                  <c:v>1.2405993580379172E-3</c:v>
                </c:pt>
                <c:pt idx="5163">
                  <c:v>6.0220390296635007E-4</c:v>
                </c:pt>
                <c:pt idx="5164">
                  <c:v>3.4922637759599365E-4</c:v>
                </c:pt>
                <c:pt idx="5165">
                  <c:v>1.0242080634492437E-3</c:v>
                </c:pt>
                <c:pt idx="5166">
                  <c:v>1.3794028142868815E-3</c:v>
                </c:pt>
                <c:pt idx="5167">
                  <c:v>7.3889053564055152E-4</c:v>
                </c:pt>
                <c:pt idx="5168">
                  <c:v>8.4982257993821038E-4</c:v>
                </c:pt>
                <c:pt idx="5169">
                  <c:v>4.6698778236299024E-4</c:v>
                </c:pt>
                <c:pt idx="5170">
                  <c:v>1.0359308802759947E-3</c:v>
                </c:pt>
                <c:pt idx="5171">
                  <c:v>9.1081008594391492E-4</c:v>
                </c:pt>
                <c:pt idx="5172">
                  <c:v>7.7706011485324019E-4</c:v>
                </c:pt>
                <c:pt idx="5173">
                  <c:v>8.8235123159613558E-4</c:v>
                </c:pt>
                <c:pt idx="5174">
                  <c:v>9.0277734415717249E-4</c:v>
                </c:pt>
                <c:pt idx="5175">
                  <c:v>8.0599542722107123E-4</c:v>
                </c:pt>
                <c:pt idx="5176">
                  <c:v>8.8698472371291951E-4</c:v>
                </c:pt>
                <c:pt idx="5177">
                  <c:v>6.3182315641159234E-4</c:v>
                </c:pt>
                <c:pt idx="5178">
                  <c:v>8.782819474119749E-4</c:v>
                </c:pt>
                <c:pt idx="5179">
                  <c:v>5.0230803251158894E-4</c:v>
                </c:pt>
                <c:pt idx="5180">
                  <c:v>1.1842964191559017E-3</c:v>
                </c:pt>
                <c:pt idx="5181">
                  <c:v>9.9441272851837829E-4</c:v>
                </c:pt>
                <c:pt idx="5182">
                  <c:v>9.7463879396734576E-4</c:v>
                </c:pt>
                <c:pt idx="5183">
                  <c:v>4.0771830441118593E-4</c:v>
                </c:pt>
                <c:pt idx="5184">
                  <c:v>8.0096736761162992E-4</c:v>
                </c:pt>
                <c:pt idx="5185">
                  <c:v>1.1219593974356938E-3</c:v>
                </c:pt>
                <c:pt idx="5186">
                  <c:v>9.6264840658028276E-4</c:v>
                </c:pt>
                <c:pt idx="5187">
                  <c:v>9.9095054806518416E-4</c:v>
                </c:pt>
                <c:pt idx="5188">
                  <c:v>8.1704797515710795E-4</c:v>
                </c:pt>
                <c:pt idx="5189">
                  <c:v>3.5760579776028886E-4</c:v>
                </c:pt>
                <c:pt idx="5190">
                  <c:v>1.9758545629937883E-4</c:v>
                </c:pt>
                <c:pt idx="5191">
                  <c:v>8.3018755098267238E-4</c:v>
                </c:pt>
                <c:pt idx="5192">
                  <c:v>5.8312372776494353E-4</c:v>
                </c:pt>
                <c:pt idx="5193">
                  <c:v>1.0967107659266384E-3</c:v>
                </c:pt>
                <c:pt idx="5194">
                  <c:v>9.6769005163949444E-4</c:v>
                </c:pt>
                <c:pt idx="5195">
                  <c:v>8.9552251962118532E-4</c:v>
                </c:pt>
                <c:pt idx="5196">
                  <c:v>1.4244651465677985E-3</c:v>
                </c:pt>
                <c:pt idx="5197">
                  <c:v>9.0730796734661079E-4</c:v>
                </c:pt>
                <c:pt idx="5198">
                  <c:v>9.7922175148550572E-4</c:v>
                </c:pt>
                <c:pt idx="5199">
                  <c:v>5.7176060030613123E-4</c:v>
                </c:pt>
                <c:pt idx="5200">
                  <c:v>4.7251984766390231E-4</c:v>
                </c:pt>
                <c:pt idx="5201">
                  <c:v>9.0338979423932534E-4</c:v>
                </c:pt>
                <c:pt idx="5202">
                  <c:v>5.6531823416427769E-4</c:v>
                </c:pt>
                <c:pt idx="5203">
                  <c:v>4.2487682184638953E-4</c:v>
                </c:pt>
                <c:pt idx="5204">
                  <c:v>4.4574306534249847E-4</c:v>
                </c:pt>
                <c:pt idx="5205">
                  <c:v>1.24384165768159E-3</c:v>
                </c:pt>
                <c:pt idx="5206">
                  <c:v>7.8620652795023714E-4</c:v>
                </c:pt>
                <c:pt idx="5207">
                  <c:v>9.7597216618979345E-4</c:v>
                </c:pt>
                <c:pt idx="5208">
                  <c:v>1.2639018562232566E-3</c:v>
                </c:pt>
                <c:pt idx="5209">
                  <c:v>6.334300053471815E-4</c:v>
                </c:pt>
                <c:pt idx="5210">
                  <c:v>1.0180071026672786E-3</c:v>
                </c:pt>
                <c:pt idx="5211">
                  <c:v>1.3897038594374714E-3</c:v>
                </c:pt>
                <c:pt idx="5212">
                  <c:v>5.7870785942734854E-4</c:v>
                </c:pt>
                <c:pt idx="5213">
                  <c:v>6.7451971378386204E-4</c:v>
                </c:pt>
                <c:pt idx="5214">
                  <c:v>1.061234186691768E-3</c:v>
                </c:pt>
                <c:pt idx="5215">
                  <c:v>7.5916998654031675E-4</c:v>
                </c:pt>
                <c:pt idx="5216">
                  <c:v>1.0580988597867064E-3</c:v>
                </c:pt>
                <c:pt idx="5217">
                  <c:v>4.3716922127597058E-4</c:v>
                </c:pt>
                <c:pt idx="5218">
                  <c:v>1.182088880922169E-3</c:v>
                </c:pt>
                <c:pt idx="5219">
                  <c:v>1.0480098922461825E-3</c:v>
                </c:pt>
                <c:pt idx="5220">
                  <c:v>1.295766514498134E-3</c:v>
                </c:pt>
                <c:pt idx="5221">
                  <c:v>1.1231393006363864E-3</c:v>
                </c:pt>
                <c:pt idx="5222">
                  <c:v>7.2444823148737532E-4</c:v>
                </c:pt>
                <c:pt idx="5223">
                  <c:v>1.2825711593329515E-3</c:v>
                </c:pt>
                <c:pt idx="5224">
                  <c:v>1.2252705981699067E-3</c:v>
                </c:pt>
                <c:pt idx="5225">
                  <c:v>1.3477530404253884E-3</c:v>
                </c:pt>
                <c:pt idx="5226">
                  <c:v>7.4525416812269403E-4</c:v>
                </c:pt>
                <c:pt idx="5227">
                  <c:v>7.3276720276831619E-4</c:v>
                </c:pt>
                <c:pt idx="5228">
                  <c:v>3.7507431107393531E-4</c:v>
                </c:pt>
                <c:pt idx="5229">
                  <c:v>5.3033569178766009E-4</c:v>
                </c:pt>
                <c:pt idx="5230">
                  <c:v>6.189487691261236E-4</c:v>
                </c:pt>
                <c:pt idx="5231">
                  <c:v>1.605057412298367E-4</c:v>
                </c:pt>
                <c:pt idx="5232">
                  <c:v>3.8740115791087378E-4</c:v>
                </c:pt>
                <c:pt idx="5233">
                  <c:v>3.1256238674194625E-4</c:v>
                </c:pt>
                <c:pt idx="5234">
                  <c:v>3.2278443580686011E-4</c:v>
                </c:pt>
                <c:pt idx="5235">
                  <c:v>6.542727455219956E-4</c:v>
                </c:pt>
                <c:pt idx="5236">
                  <c:v>8.9662204903461005E-4</c:v>
                </c:pt>
                <c:pt idx="5237">
                  <c:v>9.3315220513426431E-4</c:v>
                </c:pt>
                <c:pt idx="5238">
                  <c:v>8.9087964769871152E-4</c:v>
                </c:pt>
                <c:pt idx="5239">
                  <c:v>1.2319757491772612E-3</c:v>
                </c:pt>
                <c:pt idx="5240">
                  <c:v>7.6344616572364887E-4</c:v>
                </c:pt>
                <c:pt idx="5241">
                  <c:v>9.544363612228494E-4</c:v>
                </c:pt>
                <c:pt idx="5242">
                  <c:v>8.6855946180291012E-4</c:v>
                </c:pt>
                <c:pt idx="5243">
                  <c:v>6.9993875848693872E-4</c:v>
                </c:pt>
                <c:pt idx="5244">
                  <c:v>8.388920775520178E-4</c:v>
                </c:pt>
                <c:pt idx="5245">
                  <c:v>8.7961573145471845E-4</c:v>
                </c:pt>
                <c:pt idx="5246">
                  <c:v>4.2251176994894237E-4</c:v>
                </c:pt>
                <c:pt idx="5247">
                  <c:v>3.0419406981221442E-4</c:v>
                </c:pt>
                <c:pt idx="5248">
                  <c:v>1.313347214802659E-3</c:v>
                </c:pt>
                <c:pt idx="5249">
                  <c:v>8.8760373374106773E-4</c:v>
                </c:pt>
                <c:pt idx="5250">
                  <c:v>7.4569768309585541E-4</c:v>
                </c:pt>
                <c:pt idx="5251">
                  <c:v>7.8691289028283765E-4</c:v>
                </c:pt>
                <c:pt idx="5252">
                  <c:v>6.8427763544608785E-4</c:v>
                </c:pt>
                <c:pt idx="5253">
                  <c:v>7.9392077054302754E-4</c:v>
                </c:pt>
                <c:pt idx="5254">
                  <c:v>3.7711241213592969E-4</c:v>
                </c:pt>
                <c:pt idx="5255">
                  <c:v>1.1015187477897677E-3</c:v>
                </c:pt>
                <c:pt idx="5256">
                  <c:v>8.7319981317634122E-4</c:v>
                </c:pt>
                <c:pt idx="5257">
                  <c:v>8.1553329638416061E-4</c:v>
                </c:pt>
                <c:pt idx="5258">
                  <c:v>1.3246264226482946E-3</c:v>
                </c:pt>
                <c:pt idx="5259">
                  <c:v>5.5967435870960512E-4</c:v>
                </c:pt>
                <c:pt idx="5260">
                  <c:v>1.191729563950862E-3</c:v>
                </c:pt>
                <c:pt idx="5261">
                  <c:v>1.0056460736131948E-3</c:v>
                </c:pt>
                <c:pt idx="5262">
                  <c:v>1.3808230174298883E-3</c:v>
                </c:pt>
                <c:pt idx="5263">
                  <c:v>1.074917882491785E-3</c:v>
                </c:pt>
                <c:pt idx="5264">
                  <c:v>8.6072966395930753E-4</c:v>
                </c:pt>
                <c:pt idx="5265">
                  <c:v>6.9798921804396915E-4</c:v>
                </c:pt>
                <c:pt idx="5266">
                  <c:v>4.5109975105384612E-4</c:v>
                </c:pt>
                <c:pt idx="5267">
                  <c:v>1.1245764891194008E-3</c:v>
                </c:pt>
                <c:pt idx="5268">
                  <c:v>3.802734783839532E-4</c:v>
                </c:pt>
                <c:pt idx="5269">
                  <c:v>7.5900025312154197E-4</c:v>
                </c:pt>
                <c:pt idx="5270">
                  <c:v>9.9070926001855464E-4</c:v>
                </c:pt>
                <c:pt idx="5271">
                  <c:v>7.6674136690121203E-4</c:v>
                </c:pt>
                <c:pt idx="5272">
                  <c:v>9.9110875652367952E-4</c:v>
                </c:pt>
                <c:pt idx="5273">
                  <c:v>1.5406607795575842E-3</c:v>
                </c:pt>
                <c:pt idx="5274">
                  <c:v>7.3544655691975397E-4</c:v>
                </c:pt>
                <c:pt idx="5275">
                  <c:v>8.2147557710763881E-4</c:v>
                </c:pt>
                <c:pt idx="5276">
                  <c:v>3.1926714976513099E-4</c:v>
                </c:pt>
                <c:pt idx="5277">
                  <c:v>8.3138411211467931E-4</c:v>
                </c:pt>
                <c:pt idx="5278">
                  <c:v>4.6491802439934543E-4</c:v>
                </c:pt>
                <c:pt idx="5279">
                  <c:v>8.3238128414263887E-4</c:v>
                </c:pt>
                <c:pt idx="5280">
                  <c:v>8.5670045518565334E-4</c:v>
                </c:pt>
                <c:pt idx="5281">
                  <c:v>1.55636822063174E-4</c:v>
                </c:pt>
                <c:pt idx="5282">
                  <c:v>1.1918698733228092E-3</c:v>
                </c:pt>
                <c:pt idx="5283">
                  <c:v>9.5853781777558128E-4</c:v>
                </c:pt>
                <c:pt idx="5284">
                  <c:v>1.8352333074617188E-3</c:v>
                </c:pt>
                <c:pt idx="5285">
                  <c:v>5.8780753273223298E-4</c:v>
                </c:pt>
                <c:pt idx="5286">
                  <c:v>1.3529590429539394E-3</c:v>
                </c:pt>
                <c:pt idx="5287">
                  <c:v>4.6433627177733532E-4</c:v>
                </c:pt>
                <c:pt idx="5288">
                  <c:v>1.0555695896425472E-3</c:v>
                </c:pt>
                <c:pt idx="5289">
                  <c:v>2.867137253289916E-4</c:v>
                </c:pt>
                <c:pt idx="5290">
                  <c:v>1.0337956473304953E-3</c:v>
                </c:pt>
                <c:pt idx="5291">
                  <c:v>5.9209984031935393E-4</c:v>
                </c:pt>
                <c:pt idx="5292">
                  <c:v>4.7955704267672324E-4</c:v>
                </c:pt>
                <c:pt idx="5293">
                  <c:v>5.7019455043124843E-4</c:v>
                </c:pt>
                <c:pt idx="5294">
                  <c:v>5.7298497361678378E-4</c:v>
                </c:pt>
                <c:pt idx="5295">
                  <c:v>4.9964343691775667E-4</c:v>
                </c:pt>
                <c:pt idx="5296">
                  <c:v>1.2906375940994331E-3</c:v>
                </c:pt>
                <c:pt idx="5297">
                  <c:v>1.4757607311844201E-3</c:v>
                </c:pt>
                <c:pt idx="5298">
                  <c:v>8.011657030027418E-4</c:v>
                </c:pt>
                <c:pt idx="5299">
                  <c:v>8.3365540156831689E-4</c:v>
                </c:pt>
                <c:pt idx="5300">
                  <c:v>5.9990071152920968E-4</c:v>
                </c:pt>
                <c:pt idx="5301">
                  <c:v>9.0111511195543643E-4</c:v>
                </c:pt>
                <c:pt idx="5302">
                  <c:v>7.007214251748353E-4</c:v>
                </c:pt>
                <c:pt idx="5303">
                  <c:v>1.203106028230889E-3</c:v>
                </c:pt>
                <c:pt idx="5304">
                  <c:v>8.0091041082031955E-4</c:v>
                </c:pt>
                <c:pt idx="5305">
                  <c:v>1.0813809554609827E-3</c:v>
                </c:pt>
                <c:pt idx="5306">
                  <c:v>6.286217688439785E-4</c:v>
                </c:pt>
                <c:pt idx="5307">
                  <c:v>1.1280068270621802E-3</c:v>
                </c:pt>
                <c:pt idx="5308">
                  <c:v>8.5451826568722869E-4</c:v>
                </c:pt>
                <c:pt idx="5309">
                  <c:v>9.0345802911830726E-4</c:v>
                </c:pt>
                <c:pt idx="5310">
                  <c:v>4.3830151550160862E-4</c:v>
                </c:pt>
                <c:pt idx="5311">
                  <c:v>1.190715193157374E-4</c:v>
                </c:pt>
                <c:pt idx="5312">
                  <c:v>6.2477259391391902E-4</c:v>
                </c:pt>
                <c:pt idx="5313">
                  <c:v>1.0541881304374496E-3</c:v>
                </c:pt>
                <c:pt idx="5314">
                  <c:v>4.9656224944654619E-4</c:v>
                </c:pt>
                <c:pt idx="5315">
                  <c:v>7.5376429379037774E-4</c:v>
                </c:pt>
                <c:pt idx="5316">
                  <c:v>4.8569414049434945E-4</c:v>
                </c:pt>
                <c:pt idx="5317">
                  <c:v>8.8892773799363817E-4</c:v>
                </c:pt>
                <c:pt idx="5318">
                  <c:v>1.8026808113108337E-3</c:v>
                </c:pt>
                <c:pt idx="5319">
                  <c:v>9.7100267128553096E-4</c:v>
                </c:pt>
                <c:pt idx="5320">
                  <c:v>5.5197671797776516E-4</c:v>
                </c:pt>
                <c:pt idx="5321">
                  <c:v>1.4069316261258245E-3</c:v>
                </c:pt>
                <c:pt idx="5322">
                  <c:v>8.8355388995814096E-4</c:v>
                </c:pt>
                <c:pt idx="5323">
                  <c:v>5.3387007620556354E-4</c:v>
                </c:pt>
                <c:pt idx="5324">
                  <c:v>8.9482792075945951E-4</c:v>
                </c:pt>
                <c:pt idx="5325">
                  <c:v>7.7931125385154686E-4</c:v>
                </c:pt>
                <c:pt idx="5326">
                  <c:v>9.672264942178309E-4</c:v>
                </c:pt>
                <c:pt idx="5327">
                  <c:v>7.524188048665376E-4</c:v>
                </c:pt>
                <c:pt idx="5328">
                  <c:v>1.2645177353104683E-3</c:v>
                </c:pt>
                <c:pt idx="5329">
                  <c:v>1.0374405118613755E-3</c:v>
                </c:pt>
                <c:pt idx="5330">
                  <c:v>9.5235352764342729E-4</c:v>
                </c:pt>
                <c:pt idx="5331">
                  <c:v>7.65416978414532E-4</c:v>
                </c:pt>
                <c:pt idx="5332">
                  <c:v>7.4402944845021631E-4</c:v>
                </c:pt>
                <c:pt idx="5333">
                  <c:v>1.0840977141318129E-3</c:v>
                </c:pt>
                <c:pt idx="5334">
                  <c:v>1.1050471409748928E-3</c:v>
                </c:pt>
                <c:pt idx="5335">
                  <c:v>1.3657181595566469E-3</c:v>
                </c:pt>
                <c:pt idx="5336">
                  <c:v>4.8303029043304769E-4</c:v>
                </c:pt>
                <c:pt idx="5337">
                  <c:v>1.2008993054556767E-3</c:v>
                </c:pt>
                <c:pt idx="5338">
                  <c:v>1.1876190824028484E-3</c:v>
                </c:pt>
                <c:pt idx="5339">
                  <c:v>6.6534359957497906E-4</c:v>
                </c:pt>
                <c:pt idx="5340">
                  <c:v>1.0868859866988883E-3</c:v>
                </c:pt>
                <c:pt idx="5341">
                  <c:v>1.1427182423989484E-3</c:v>
                </c:pt>
                <c:pt idx="5342">
                  <c:v>4.4851208617387433E-4</c:v>
                </c:pt>
                <c:pt idx="5343">
                  <c:v>3.8827739396707784E-4</c:v>
                </c:pt>
                <c:pt idx="5344">
                  <c:v>6.1413340757990494E-4</c:v>
                </c:pt>
                <c:pt idx="5345">
                  <c:v>7.6909655977967664E-4</c:v>
                </c:pt>
                <c:pt idx="5346">
                  <c:v>6.9946469754179777E-4</c:v>
                </c:pt>
                <c:pt idx="5347">
                  <c:v>9.0483290544710352E-4</c:v>
                </c:pt>
                <c:pt idx="5348">
                  <c:v>6.7933380999597574E-4</c:v>
                </c:pt>
                <c:pt idx="5349">
                  <c:v>5.6298630926555134E-4</c:v>
                </c:pt>
                <c:pt idx="5350">
                  <c:v>7.5187948359744638E-4</c:v>
                </c:pt>
                <c:pt idx="5351">
                  <c:v>2.258911621715978E-4</c:v>
                </c:pt>
                <c:pt idx="5352">
                  <c:v>7.6564558955331081E-4</c:v>
                </c:pt>
                <c:pt idx="5353">
                  <c:v>9.4854455756409575E-4</c:v>
                </c:pt>
                <c:pt idx="5354">
                  <c:v>7.9974347673799392E-4</c:v>
                </c:pt>
                <c:pt idx="5355">
                  <c:v>7.4265963015014474E-4</c:v>
                </c:pt>
                <c:pt idx="5356">
                  <c:v>4.9466825339380049E-4</c:v>
                </c:pt>
                <c:pt idx="5357">
                  <c:v>1.305849432443283E-3</c:v>
                </c:pt>
                <c:pt idx="5358">
                  <c:v>6.5482360931861164E-4</c:v>
                </c:pt>
                <c:pt idx="5359">
                  <c:v>1.0674340891114673E-3</c:v>
                </c:pt>
                <c:pt idx="5360">
                  <c:v>7.9089320125040597E-4</c:v>
                </c:pt>
                <c:pt idx="5361">
                  <c:v>1.083074680637145E-3</c:v>
                </c:pt>
                <c:pt idx="5362">
                  <c:v>8.0822684241537714E-4</c:v>
                </c:pt>
                <c:pt idx="5363">
                  <c:v>1.1823078470310066E-3</c:v>
                </c:pt>
                <c:pt idx="5364">
                  <c:v>7.6986732830848319E-4</c:v>
                </c:pt>
                <c:pt idx="5365">
                  <c:v>1.3987462959011499E-3</c:v>
                </c:pt>
                <c:pt idx="5366">
                  <c:v>7.1703048669594126E-4</c:v>
                </c:pt>
                <c:pt idx="5367">
                  <c:v>1.068552025728333E-3</c:v>
                </c:pt>
                <c:pt idx="5368">
                  <c:v>9.1586096088018727E-4</c:v>
                </c:pt>
                <c:pt idx="5369">
                  <c:v>9.6270276988213348E-4</c:v>
                </c:pt>
                <c:pt idx="5370">
                  <c:v>1.794300569590191E-3</c:v>
                </c:pt>
                <c:pt idx="5371">
                  <c:v>6.0394034986889912E-4</c:v>
                </c:pt>
                <c:pt idx="5372">
                  <c:v>5.4456119405064723E-4</c:v>
                </c:pt>
                <c:pt idx="5373">
                  <c:v>3.9431716398784559E-4</c:v>
                </c:pt>
                <c:pt idx="5374">
                  <c:v>9.3148705396568071E-4</c:v>
                </c:pt>
                <c:pt idx="5375">
                  <c:v>6.6898177475630905E-4</c:v>
                </c:pt>
                <c:pt idx="5376">
                  <c:v>1.1976399877526357E-3</c:v>
                </c:pt>
                <c:pt idx="5377">
                  <c:v>6.474745756902421E-4</c:v>
                </c:pt>
                <c:pt idx="5378">
                  <c:v>4.4251609948446152E-4</c:v>
                </c:pt>
                <c:pt idx="5379">
                  <c:v>6.8816428389381276E-4</c:v>
                </c:pt>
                <c:pt idx="5380">
                  <c:v>1.1561006169664449E-3</c:v>
                </c:pt>
                <c:pt idx="5381">
                  <c:v>8.4045527979132589E-4</c:v>
                </c:pt>
                <c:pt idx="5382">
                  <c:v>1.1014125845579706E-3</c:v>
                </c:pt>
                <c:pt idx="5383">
                  <c:v>2.414130287155357E-4</c:v>
                </c:pt>
                <c:pt idx="5384">
                  <c:v>1.1118260445075611E-3</c:v>
                </c:pt>
                <c:pt idx="5385">
                  <c:v>7.6914264928166435E-4</c:v>
                </c:pt>
                <c:pt idx="5386">
                  <c:v>1.9059498333190304E-3</c:v>
                </c:pt>
                <c:pt idx="5387">
                  <c:v>9.3979975346035406E-4</c:v>
                </c:pt>
                <c:pt idx="5388">
                  <c:v>7.7440385095009902E-4</c:v>
                </c:pt>
                <c:pt idx="5389">
                  <c:v>9.5938734177592323E-4</c:v>
                </c:pt>
                <c:pt idx="5390">
                  <c:v>1.3955633052795938E-3</c:v>
                </c:pt>
                <c:pt idx="5391">
                  <c:v>7.9984463378888386E-4</c:v>
                </c:pt>
                <c:pt idx="5392">
                  <c:v>6.5959625663503324E-4</c:v>
                </c:pt>
                <c:pt idx="5393">
                  <c:v>1.1076174933039396E-3</c:v>
                </c:pt>
                <c:pt idx="5394">
                  <c:v>7.4807883414614788E-4</c:v>
                </c:pt>
                <c:pt idx="5395">
                  <c:v>6.5335286854830863E-4</c:v>
                </c:pt>
                <c:pt idx="5396">
                  <c:v>6.6755129250365428E-4</c:v>
                </c:pt>
                <c:pt idx="5397">
                  <c:v>8.6577419395598618E-4</c:v>
                </c:pt>
                <c:pt idx="5398">
                  <c:v>7.2137617000368011E-4</c:v>
                </c:pt>
                <c:pt idx="5399">
                  <c:v>9.7698283014137116E-4</c:v>
                </c:pt>
                <c:pt idx="5400">
                  <c:v>1.0398391380895637E-3</c:v>
                </c:pt>
                <c:pt idx="5401">
                  <c:v>4.4690654214381921E-4</c:v>
                </c:pt>
                <c:pt idx="5402">
                  <c:v>3.8450868821241673E-4</c:v>
                </c:pt>
                <c:pt idx="5403">
                  <c:v>3.5022595506916027E-4</c:v>
                </c:pt>
                <c:pt idx="5404">
                  <c:v>7.8151586643260317E-4</c:v>
                </c:pt>
                <c:pt idx="5405">
                  <c:v>6.2029912684395455E-4</c:v>
                </c:pt>
                <c:pt idx="5406">
                  <c:v>1.133486523538693E-3</c:v>
                </c:pt>
                <c:pt idx="5407">
                  <c:v>1.0721330888202026E-3</c:v>
                </c:pt>
                <c:pt idx="5408">
                  <c:v>9.9019244257212108E-4</c:v>
                </c:pt>
                <c:pt idx="5409">
                  <c:v>6.1995875059839257E-4</c:v>
                </c:pt>
                <c:pt idx="5410">
                  <c:v>9.5875837133262728E-4</c:v>
                </c:pt>
                <c:pt idx="5411">
                  <c:v>1.0253115296267451E-3</c:v>
                </c:pt>
                <c:pt idx="5412">
                  <c:v>5.9700819588670519E-4</c:v>
                </c:pt>
                <c:pt idx="5413">
                  <c:v>4.8873141109137693E-4</c:v>
                </c:pt>
                <c:pt idx="5414">
                  <c:v>1.1770903629478573E-3</c:v>
                </c:pt>
                <c:pt idx="5415">
                  <c:v>8.4778138652759902E-4</c:v>
                </c:pt>
                <c:pt idx="5416">
                  <c:v>1.106733238498923E-3</c:v>
                </c:pt>
                <c:pt idx="5417">
                  <c:v>5.4423151149816614E-4</c:v>
                </c:pt>
                <c:pt idx="5418">
                  <c:v>9.2143356012226859E-4</c:v>
                </c:pt>
                <c:pt idx="5419">
                  <c:v>9.0584425170806763E-4</c:v>
                </c:pt>
                <c:pt idx="5420">
                  <c:v>9.8431682221907174E-4</c:v>
                </c:pt>
                <c:pt idx="5421">
                  <c:v>9.017418446666184E-4</c:v>
                </c:pt>
                <c:pt idx="5422">
                  <c:v>1.2962383947816741E-3</c:v>
                </c:pt>
                <c:pt idx="5423">
                  <c:v>3.1248714477261888E-4</c:v>
                </c:pt>
                <c:pt idx="5424">
                  <c:v>4.5106743103439604E-4</c:v>
                </c:pt>
                <c:pt idx="5425">
                  <c:v>5.0488672521894335E-4</c:v>
                </c:pt>
                <c:pt idx="5426">
                  <c:v>4.5350221443224751E-4</c:v>
                </c:pt>
                <c:pt idx="5427">
                  <c:v>8.237009761312428E-4</c:v>
                </c:pt>
                <c:pt idx="5428">
                  <c:v>6.4976548706974712E-4</c:v>
                </c:pt>
                <c:pt idx="5429">
                  <c:v>8.3959222239984659E-4</c:v>
                </c:pt>
                <c:pt idx="5430">
                  <c:v>1.0089792852592393E-3</c:v>
                </c:pt>
                <c:pt idx="5431">
                  <c:v>1.1407652045940305E-3</c:v>
                </c:pt>
                <c:pt idx="5432">
                  <c:v>1.138159208489586E-3</c:v>
                </c:pt>
                <c:pt idx="5433">
                  <c:v>1.0406709750061065E-3</c:v>
                </c:pt>
                <c:pt idx="5434">
                  <c:v>8.6641896771517263E-4</c:v>
                </c:pt>
                <c:pt idx="5435">
                  <c:v>1.2086294295346313E-3</c:v>
                </c:pt>
                <c:pt idx="5436">
                  <c:v>7.4634830087569955E-4</c:v>
                </c:pt>
                <c:pt idx="5437">
                  <c:v>6.1020359218046799E-4</c:v>
                </c:pt>
                <c:pt idx="5438">
                  <c:v>8.7982603719901264E-4</c:v>
                </c:pt>
                <c:pt idx="5439">
                  <c:v>4.7214752788673987E-4</c:v>
                </c:pt>
                <c:pt idx="5440">
                  <c:v>9.8438623017164592E-4</c:v>
                </c:pt>
                <c:pt idx="5441">
                  <c:v>1.2907994088526191E-3</c:v>
                </c:pt>
                <c:pt idx="5442">
                  <c:v>1.0722792131493057E-3</c:v>
                </c:pt>
                <c:pt idx="5443">
                  <c:v>4.558728939152018E-4</c:v>
                </c:pt>
                <c:pt idx="5444">
                  <c:v>3.6863937476634923E-4</c:v>
                </c:pt>
                <c:pt idx="5445">
                  <c:v>1.2937021647682423E-3</c:v>
                </c:pt>
                <c:pt idx="5446">
                  <c:v>3.9613253566559477E-4</c:v>
                </c:pt>
                <c:pt idx="5447">
                  <c:v>1.1489503301120277E-3</c:v>
                </c:pt>
                <c:pt idx="5448">
                  <c:v>1.3439202088886544E-3</c:v>
                </c:pt>
                <c:pt idx="5449">
                  <c:v>6.0049429136200671E-4</c:v>
                </c:pt>
                <c:pt idx="5450">
                  <c:v>6.9836931891759731E-4</c:v>
                </c:pt>
                <c:pt idx="5451">
                  <c:v>5.677143843834479E-4</c:v>
                </c:pt>
                <c:pt idx="5452">
                  <c:v>9.1016755672165643E-4</c:v>
                </c:pt>
                <c:pt idx="5453">
                  <c:v>7.6439781919104941E-4</c:v>
                </c:pt>
                <c:pt idx="5454">
                  <c:v>1.0330058724943854E-3</c:v>
                </c:pt>
                <c:pt idx="5455">
                  <c:v>1.0336327334126393E-3</c:v>
                </c:pt>
                <c:pt idx="5456">
                  <c:v>9.877126480646657E-4</c:v>
                </c:pt>
                <c:pt idx="5457">
                  <c:v>7.6820374040692063E-4</c:v>
                </c:pt>
                <c:pt idx="5458">
                  <c:v>1.2049291046561657E-3</c:v>
                </c:pt>
                <c:pt idx="5459">
                  <c:v>5.7600430693821255E-4</c:v>
                </c:pt>
                <c:pt idx="5460">
                  <c:v>1.1707433644225639E-3</c:v>
                </c:pt>
                <c:pt idx="5461">
                  <c:v>3.625536141377727E-4</c:v>
                </c:pt>
                <c:pt idx="5462">
                  <c:v>1.2364001908152112E-3</c:v>
                </c:pt>
                <c:pt idx="5463">
                  <c:v>5.6703058147569371E-4</c:v>
                </c:pt>
                <c:pt idx="5464">
                  <c:v>1.1139459812862147E-3</c:v>
                </c:pt>
                <c:pt idx="5465">
                  <c:v>8.4889281163409778E-4</c:v>
                </c:pt>
                <c:pt idx="5466">
                  <c:v>1.2532140590965414E-3</c:v>
                </c:pt>
                <c:pt idx="5467">
                  <c:v>9.8000636195575992E-4</c:v>
                </c:pt>
                <c:pt idx="5468">
                  <c:v>9.0202883485157202E-4</c:v>
                </c:pt>
                <c:pt idx="5469">
                  <c:v>1.0797730745986129E-3</c:v>
                </c:pt>
                <c:pt idx="5470">
                  <c:v>1.3077503861366508E-3</c:v>
                </c:pt>
                <c:pt idx="5471">
                  <c:v>7.7124706606904376E-4</c:v>
                </c:pt>
                <c:pt idx="5472">
                  <c:v>8.755318385432017E-4</c:v>
                </c:pt>
                <c:pt idx="5473">
                  <c:v>1.0267913312190847E-3</c:v>
                </c:pt>
                <c:pt idx="5474">
                  <c:v>4.9619787867873869E-4</c:v>
                </c:pt>
                <c:pt idx="5475">
                  <c:v>8.7435225302417703E-4</c:v>
                </c:pt>
                <c:pt idx="5476">
                  <c:v>4.8108319883365607E-4</c:v>
                </c:pt>
                <c:pt idx="5477">
                  <c:v>5.9296046960131217E-4</c:v>
                </c:pt>
                <c:pt idx="5478">
                  <c:v>1.2280236103335955E-3</c:v>
                </c:pt>
                <c:pt idx="5479">
                  <c:v>1.3578325564790334E-3</c:v>
                </c:pt>
                <c:pt idx="5480">
                  <c:v>1.1897598003750096E-3</c:v>
                </c:pt>
                <c:pt idx="5481">
                  <c:v>9.5740623772664485E-4</c:v>
                </c:pt>
                <c:pt idx="5482">
                  <c:v>8.6459073457756982E-4</c:v>
                </c:pt>
                <c:pt idx="5483">
                  <c:v>1.2813887075125191E-3</c:v>
                </c:pt>
                <c:pt idx="5484">
                  <c:v>1.0970437894093656E-3</c:v>
                </c:pt>
                <c:pt idx="5485">
                  <c:v>9.5241304279499199E-4</c:v>
                </c:pt>
                <c:pt idx="5486">
                  <c:v>1.161275439684503E-3</c:v>
                </c:pt>
                <c:pt idx="5487">
                  <c:v>1.1385010402205655E-3</c:v>
                </c:pt>
                <c:pt idx="5488">
                  <c:v>3.1545958397439643E-4</c:v>
                </c:pt>
                <c:pt idx="5489">
                  <c:v>1.2698810373947831E-3</c:v>
                </c:pt>
                <c:pt idx="5490">
                  <c:v>1.0083046061510489E-3</c:v>
                </c:pt>
                <c:pt idx="5491">
                  <c:v>6.3925991753098575E-4</c:v>
                </c:pt>
                <c:pt idx="5492">
                  <c:v>1.2250969433854095E-3</c:v>
                </c:pt>
                <c:pt idx="5493">
                  <c:v>1.0676371970709873E-3</c:v>
                </c:pt>
                <c:pt idx="5494">
                  <c:v>8.5872896152479317E-4</c:v>
                </c:pt>
                <c:pt idx="5495">
                  <c:v>1.4529392216648782E-4</c:v>
                </c:pt>
                <c:pt idx="5496">
                  <c:v>6.5523951581312014E-4</c:v>
                </c:pt>
                <c:pt idx="5497">
                  <c:v>1.3014299402852145E-3</c:v>
                </c:pt>
                <c:pt idx="5498">
                  <c:v>1.0568107386503187E-3</c:v>
                </c:pt>
                <c:pt idx="5499">
                  <c:v>9.119549444268414E-4</c:v>
                </c:pt>
                <c:pt idx="5500">
                  <c:v>1.0646602600677701E-3</c:v>
                </c:pt>
                <c:pt idx="5501">
                  <c:v>8.4003760855382405E-4</c:v>
                </c:pt>
                <c:pt idx="5502">
                  <c:v>5.9810228036059714E-4</c:v>
                </c:pt>
                <c:pt idx="5503">
                  <c:v>9.5926555179537691E-4</c:v>
                </c:pt>
                <c:pt idx="5504">
                  <c:v>1.0554042449354261E-3</c:v>
                </c:pt>
                <c:pt idx="5505">
                  <c:v>9.3926041799799497E-4</c:v>
                </c:pt>
                <c:pt idx="5506">
                  <c:v>9.1439355202030349E-4</c:v>
                </c:pt>
                <c:pt idx="5507">
                  <c:v>5.3760937496436097E-4</c:v>
                </c:pt>
                <c:pt idx="5508">
                  <c:v>1.5455336407921003E-3</c:v>
                </c:pt>
                <c:pt idx="5509">
                  <c:v>1.4455820406891863E-3</c:v>
                </c:pt>
                <c:pt idx="5510">
                  <c:v>1.1841546362365764E-3</c:v>
                </c:pt>
                <c:pt idx="5511">
                  <c:v>9.3837634302692185E-4</c:v>
                </c:pt>
                <c:pt idx="5512">
                  <c:v>1.1027766562474262E-3</c:v>
                </c:pt>
                <c:pt idx="5513">
                  <c:v>1.1352189407886843E-3</c:v>
                </c:pt>
                <c:pt idx="5514">
                  <c:v>6.5565763831731689E-4</c:v>
                </c:pt>
                <c:pt idx="5515">
                  <c:v>6.0875330798563522E-4</c:v>
                </c:pt>
                <c:pt idx="5516">
                  <c:v>1.599664351518906E-3</c:v>
                </c:pt>
                <c:pt idx="5517">
                  <c:v>7.5370539165297722E-4</c:v>
                </c:pt>
                <c:pt idx="5518">
                  <c:v>9.7620962343813815E-4</c:v>
                </c:pt>
                <c:pt idx="5519">
                  <c:v>8.5850290225446561E-4</c:v>
                </c:pt>
                <c:pt idx="5520">
                  <c:v>6.3807091984249473E-4</c:v>
                </c:pt>
                <c:pt idx="5521">
                  <c:v>1.3375015835524319E-3</c:v>
                </c:pt>
                <c:pt idx="5522">
                  <c:v>1.1682413732460794E-3</c:v>
                </c:pt>
                <c:pt idx="5523">
                  <c:v>1.616358753215456E-3</c:v>
                </c:pt>
                <c:pt idx="5524">
                  <c:v>9.8230235217088404E-4</c:v>
                </c:pt>
                <c:pt idx="5525">
                  <c:v>6.0599529402737863E-4</c:v>
                </c:pt>
                <c:pt idx="5526">
                  <c:v>9.047135229910189E-4</c:v>
                </c:pt>
                <c:pt idx="5527">
                  <c:v>1.137819207513584E-3</c:v>
                </c:pt>
                <c:pt idx="5528">
                  <c:v>9.912548711246659E-4</c:v>
                </c:pt>
                <c:pt idx="5529">
                  <c:v>7.228581386282553E-4</c:v>
                </c:pt>
                <c:pt idx="5530">
                  <c:v>8.8060904394693222E-4</c:v>
                </c:pt>
                <c:pt idx="5531">
                  <c:v>5.6892789444235351E-4</c:v>
                </c:pt>
                <c:pt idx="5532">
                  <c:v>1.2088254847447087E-3</c:v>
                </c:pt>
                <c:pt idx="5533">
                  <c:v>9.5731337215292209E-4</c:v>
                </c:pt>
                <c:pt idx="5534">
                  <c:v>1.2374073651766839E-3</c:v>
                </c:pt>
                <c:pt idx="5535">
                  <c:v>1.4266793884237163E-3</c:v>
                </c:pt>
                <c:pt idx="5536">
                  <c:v>2.7145918269981442E-4</c:v>
                </c:pt>
                <c:pt idx="5537">
                  <c:v>7.8113693455691274E-4</c:v>
                </c:pt>
                <c:pt idx="5538">
                  <c:v>5.7547519489267642E-4</c:v>
                </c:pt>
                <c:pt idx="5539">
                  <c:v>1.6714558921124174E-3</c:v>
                </c:pt>
                <c:pt idx="5540">
                  <c:v>9.3821191006657797E-4</c:v>
                </c:pt>
                <c:pt idx="5541">
                  <c:v>1.157951838560839E-3</c:v>
                </c:pt>
                <c:pt idx="5542">
                  <c:v>9.119538146702635E-4</c:v>
                </c:pt>
                <c:pt idx="5543">
                  <c:v>1.049402628519792E-3</c:v>
                </c:pt>
                <c:pt idx="5544">
                  <c:v>6.6587616944190141E-4</c:v>
                </c:pt>
                <c:pt idx="5545">
                  <c:v>8.8536139201055096E-4</c:v>
                </c:pt>
                <c:pt idx="5546">
                  <c:v>9.6604575744947327E-4</c:v>
                </c:pt>
                <c:pt idx="5547">
                  <c:v>1.197674830969292E-3</c:v>
                </c:pt>
                <c:pt idx="5548">
                  <c:v>1.5201410372508019E-3</c:v>
                </c:pt>
                <c:pt idx="5549">
                  <c:v>8.8084598532317938E-4</c:v>
                </c:pt>
                <c:pt idx="5550">
                  <c:v>9.6352252709822463E-4</c:v>
                </c:pt>
                <c:pt idx="5551">
                  <c:v>1.3464785626664773E-3</c:v>
                </c:pt>
                <c:pt idx="5552">
                  <c:v>1.1442729286338979E-3</c:v>
                </c:pt>
                <c:pt idx="5553">
                  <c:v>1.3782915498735764E-3</c:v>
                </c:pt>
                <c:pt idx="5554">
                  <c:v>7.6157313266959957E-4</c:v>
                </c:pt>
                <c:pt idx="5555">
                  <c:v>1.277276085073008E-3</c:v>
                </c:pt>
                <c:pt idx="5556">
                  <c:v>7.9566843178328624E-4</c:v>
                </c:pt>
                <c:pt idx="5557">
                  <c:v>5.9043157913316198E-4</c:v>
                </c:pt>
                <c:pt idx="5558">
                  <c:v>1.022984174037656E-3</c:v>
                </c:pt>
                <c:pt idx="5559">
                  <c:v>7.6903907639141013E-4</c:v>
                </c:pt>
                <c:pt idx="5560">
                  <c:v>6.0938739386871756E-4</c:v>
                </c:pt>
                <c:pt idx="5561">
                  <c:v>7.1931470449197884E-4</c:v>
                </c:pt>
                <c:pt idx="5562">
                  <c:v>8.8271938435223202E-4</c:v>
                </c:pt>
                <c:pt idx="5563">
                  <c:v>3.1071729284890557E-4</c:v>
                </c:pt>
                <c:pt idx="5564">
                  <c:v>1.1686102025371492E-3</c:v>
                </c:pt>
                <c:pt idx="5565">
                  <c:v>6.5258070293135791E-4</c:v>
                </c:pt>
                <c:pt idx="5566">
                  <c:v>8.097297289559759E-4</c:v>
                </c:pt>
                <c:pt idx="5567">
                  <c:v>1.043676425345711E-3</c:v>
                </c:pt>
                <c:pt idx="5568">
                  <c:v>5.1044454309959772E-4</c:v>
                </c:pt>
                <c:pt idx="5569">
                  <c:v>1.0033352826728896E-3</c:v>
                </c:pt>
                <c:pt idx="5570">
                  <c:v>9.7547127437696722E-4</c:v>
                </c:pt>
                <c:pt idx="5571">
                  <c:v>7.3283475368326198E-4</c:v>
                </c:pt>
                <c:pt idx="5572">
                  <c:v>1.0735597658761734E-3</c:v>
                </c:pt>
                <c:pt idx="5573">
                  <c:v>9.5102088605465078E-4</c:v>
                </c:pt>
                <c:pt idx="5574">
                  <c:v>3.1358264039375524E-4</c:v>
                </c:pt>
                <c:pt idx="5575">
                  <c:v>1.0109691848298706E-3</c:v>
                </c:pt>
                <c:pt idx="5576">
                  <c:v>6.4960087050214765E-4</c:v>
                </c:pt>
                <c:pt idx="5577">
                  <c:v>4.4833309869578584E-4</c:v>
                </c:pt>
                <c:pt idx="5578">
                  <c:v>7.3050248574155446E-4</c:v>
                </c:pt>
                <c:pt idx="5579">
                  <c:v>9.5917035926488441E-4</c:v>
                </c:pt>
                <c:pt idx="5580">
                  <c:v>8.0193162570209558E-4</c:v>
                </c:pt>
                <c:pt idx="5581">
                  <c:v>8.9992386285587438E-4</c:v>
                </c:pt>
                <c:pt idx="5582">
                  <c:v>6.2076613401413217E-4</c:v>
                </c:pt>
                <c:pt idx="5583">
                  <c:v>1.3585076427879098E-3</c:v>
                </c:pt>
                <c:pt idx="5584">
                  <c:v>7.1381127073148927E-4</c:v>
                </c:pt>
                <c:pt idx="5585">
                  <c:v>2.8632656867214127E-4</c:v>
                </c:pt>
                <c:pt idx="5586">
                  <c:v>1.0884578878548252E-3</c:v>
                </c:pt>
                <c:pt idx="5587">
                  <c:v>1.077188821009169E-3</c:v>
                </c:pt>
                <c:pt idx="5588">
                  <c:v>1.2061043209786373E-3</c:v>
                </c:pt>
                <c:pt idx="5589">
                  <c:v>6.0289571688853019E-4</c:v>
                </c:pt>
                <c:pt idx="5590">
                  <c:v>8.2698496497418607E-4</c:v>
                </c:pt>
                <c:pt idx="5591">
                  <c:v>5.659241797131107E-4</c:v>
                </c:pt>
                <c:pt idx="5592">
                  <c:v>3.7686271705801442E-4</c:v>
                </c:pt>
                <c:pt idx="5593">
                  <c:v>5.9619897056408715E-4</c:v>
                </c:pt>
                <c:pt idx="5594">
                  <c:v>1.8805496119872539E-3</c:v>
                </c:pt>
                <c:pt idx="5595">
                  <c:v>5.471907260477906E-4</c:v>
                </c:pt>
                <c:pt idx="5596">
                  <c:v>1.2860606638897974E-3</c:v>
                </c:pt>
                <c:pt idx="5597">
                  <c:v>7.9771556331939596E-4</c:v>
                </c:pt>
                <c:pt idx="5598">
                  <c:v>5.8373230079886845E-4</c:v>
                </c:pt>
                <c:pt idx="5599">
                  <c:v>6.3774035429422994E-4</c:v>
                </c:pt>
                <c:pt idx="5600">
                  <c:v>7.2930344231207124E-4</c:v>
                </c:pt>
                <c:pt idx="5601">
                  <c:v>8.2837509763995082E-4</c:v>
                </c:pt>
                <c:pt idx="5602">
                  <c:v>6.0160100403918186E-4</c:v>
                </c:pt>
                <c:pt idx="5603">
                  <c:v>9.7625300128785215E-4</c:v>
                </c:pt>
                <c:pt idx="5604">
                  <c:v>5.1576201816951788E-4</c:v>
                </c:pt>
                <c:pt idx="5605">
                  <c:v>6.1395282507849822E-4</c:v>
                </c:pt>
                <c:pt idx="5606">
                  <c:v>1.2049587538056588E-3</c:v>
                </c:pt>
                <c:pt idx="5607">
                  <c:v>8.0185886673069266E-4</c:v>
                </c:pt>
                <c:pt idx="5608">
                  <c:v>4.9555899155399581E-4</c:v>
                </c:pt>
                <c:pt idx="5609">
                  <c:v>6.1660317992132184E-4</c:v>
                </c:pt>
                <c:pt idx="5610">
                  <c:v>9.4576277168884645E-4</c:v>
                </c:pt>
                <c:pt idx="5611">
                  <c:v>4.4698922666966965E-4</c:v>
                </c:pt>
                <c:pt idx="5612">
                  <c:v>7.3241161246947735E-4</c:v>
                </c:pt>
                <c:pt idx="5613">
                  <c:v>1.1062603352502615E-3</c:v>
                </c:pt>
                <c:pt idx="5614">
                  <c:v>1.3989024024625384E-3</c:v>
                </c:pt>
                <c:pt idx="5615">
                  <c:v>5.1103658528997358E-4</c:v>
                </c:pt>
                <c:pt idx="5616">
                  <c:v>8.739294394694069E-4</c:v>
                </c:pt>
                <c:pt idx="5617">
                  <c:v>9.1531557097004521E-4</c:v>
                </c:pt>
                <c:pt idx="5618">
                  <c:v>9.4813409679671322E-4</c:v>
                </c:pt>
                <c:pt idx="5619">
                  <c:v>1.0012982021507587E-3</c:v>
                </c:pt>
                <c:pt idx="5620">
                  <c:v>4.9913758441130188E-4</c:v>
                </c:pt>
                <c:pt idx="5621">
                  <c:v>5.5239921979083318E-4</c:v>
                </c:pt>
                <c:pt idx="5622">
                  <c:v>6.7554905730138511E-4</c:v>
                </c:pt>
                <c:pt idx="5623">
                  <c:v>7.9323063759090631E-4</c:v>
                </c:pt>
                <c:pt idx="5624">
                  <c:v>1.3914921794957564E-3</c:v>
                </c:pt>
                <c:pt idx="5625">
                  <c:v>7.418403377215466E-4</c:v>
                </c:pt>
                <c:pt idx="5626">
                  <c:v>4.5481648727438374E-4</c:v>
                </c:pt>
                <c:pt idx="5627">
                  <c:v>1.1592021573248756E-3</c:v>
                </c:pt>
                <c:pt idx="5628">
                  <c:v>6.1193710149107195E-4</c:v>
                </c:pt>
                <c:pt idx="5629">
                  <c:v>9.607916614522709E-4</c:v>
                </c:pt>
                <c:pt idx="5630">
                  <c:v>9.9553187738878361E-4</c:v>
                </c:pt>
                <c:pt idx="5631">
                  <c:v>1.0297359159644793E-3</c:v>
                </c:pt>
                <c:pt idx="5632">
                  <c:v>3.0321371810520809E-4</c:v>
                </c:pt>
                <c:pt idx="5633">
                  <c:v>5.1921969574186214E-4</c:v>
                </c:pt>
                <c:pt idx="5634">
                  <c:v>9.7935103006079115E-4</c:v>
                </c:pt>
                <c:pt idx="5635">
                  <c:v>1.0706502002990617E-3</c:v>
                </c:pt>
                <c:pt idx="5636">
                  <c:v>7.3165958646424236E-4</c:v>
                </c:pt>
                <c:pt idx="5637">
                  <c:v>8.8166619977709474E-4</c:v>
                </c:pt>
                <c:pt idx="5638">
                  <c:v>1.1017093338090973E-3</c:v>
                </c:pt>
                <c:pt idx="5639">
                  <c:v>1.0301055575737481E-3</c:v>
                </c:pt>
                <c:pt idx="5640">
                  <c:v>4.6703014215766802E-4</c:v>
                </c:pt>
                <c:pt idx="5641">
                  <c:v>7.7886563200911605E-4</c:v>
                </c:pt>
                <c:pt idx="5642">
                  <c:v>7.2887765164122553E-4</c:v>
                </c:pt>
                <c:pt idx="5643">
                  <c:v>7.6352557171500567E-4</c:v>
                </c:pt>
                <c:pt idx="5644">
                  <c:v>1.2684389614292953E-3</c:v>
                </c:pt>
                <c:pt idx="5645">
                  <c:v>7.5937624696162723E-4</c:v>
                </c:pt>
                <c:pt idx="5646">
                  <c:v>1.3174360143149799E-3</c:v>
                </c:pt>
                <c:pt idx="5647">
                  <c:v>6.3900706309678076E-4</c:v>
                </c:pt>
                <c:pt idx="5648">
                  <c:v>1.2417772668517524E-3</c:v>
                </c:pt>
                <c:pt idx="5649">
                  <c:v>5.7674158944557067E-4</c:v>
                </c:pt>
                <c:pt idx="5650">
                  <c:v>7.34147791878936E-4</c:v>
                </c:pt>
                <c:pt idx="5651">
                  <c:v>1.3725299030396966E-3</c:v>
                </c:pt>
                <c:pt idx="5652">
                  <c:v>5.8826832903594549E-4</c:v>
                </c:pt>
                <c:pt idx="5653">
                  <c:v>1.3544861231932883E-3</c:v>
                </c:pt>
                <c:pt idx="5654">
                  <c:v>4.9841940258880685E-4</c:v>
                </c:pt>
                <c:pt idx="5655">
                  <c:v>8.8685552463731534E-4</c:v>
                </c:pt>
                <c:pt idx="5656">
                  <c:v>5.1660628163636556E-4</c:v>
                </c:pt>
                <c:pt idx="5657">
                  <c:v>1.2528209574791786E-3</c:v>
                </c:pt>
                <c:pt idx="5658">
                  <c:v>1.0894774399730889E-3</c:v>
                </c:pt>
                <c:pt idx="5659">
                  <c:v>8.4652619272518694E-4</c:v>
                </c:pt>
                <c:pt idx="5660">
                  <c:v>7.0046434286413783E-4</c:v>
                </c:pt>
                <c:pt idx="5661">
                  <c:v>7.6539933439143473E-4</c:v>
                </c:pt>
                <c:pt idx="5662">
                  <c:v>9.9147309587557298E-4</c:v>
                </c:pt>
                <c:pt idx="5663">
                  <c:v>1.302748746799398E-3</c:v>
                </c:pt>
                <c:pt idx="5664">
                  <c:v>8.8597980837002983E-4</c:v>
                </c:pt>
                <c:pt idx="5665">
                  <c:v>1.0215614542154754E-3</c:v>
                </c:pt>
                <c:pt idx="5666">
                  <c:v>5.1166586172485186E-4</c:v>
                </c:pt>
                <c:pt idx="5667">
                  <c:v>1.2344769367177125E-3</c:v>
                </c:pt>
                <c:pt idx="5668">
                  <c:v>1.184114800615154E-3</c:v>
                </c:pt>
                <c:pt idx="5669">
                  <c:v>9.3745547542433999E-4</c:v>
                </c:pt>
                <c:pt idx="5670">
                  <c:v>1.1958388622751281E-3</c:v>
                </c:pt>
                <c:pt idx="5671">
                  <c:v>5.787482625673224E-4</c:v>
                </c:pt>
                <c:pt idx="5672">
                  <c:v>1.0320768906112805E-3</c:v>
                </c:pt>
                <c:pt idx="5673">
                  <c:v>1.0008990463402857E-3</c:v>
                </c:pt>
                <c:pt idx="5674">
                  <c:v>9.6463491805672246E-4</c:v>
                </c:pt>
                <c:pt idx="5675">
                  <c:v>5.8753687973781541E-4</c:v>
                </c:pt>
                <c:pt idx="5676">
                  <c:v>7.6929847195769338E-4</c:v>
                </c:pt>
                <c:pt idx="5677">
                  <c:v>1.8572612262010725E-4</c:v>
                </c:pt>
                <c:pt idx="5678">
                  <c:v>1.094268023329232E-3</c:v>
                </c:pt>
                <c:pt idx="5679">
                  <c:v>6.9501368542972109E-4</c:v>
                </c:pt>
                <c:pt idx="5680">
                  <c:v>1.5026892072167522E-3</c:v>
                </c:pt>
                <c:pt idx="5681">
                  <c:v>5.3186023629390186E-4</c:v>
                </c:pt>
                <c:pt idx="5682">
                  <c:v>6.1353918210529294E-4</c:v>
                </c:pt>
                <c:pt idx="5683">
                  <c:v>7.5685479822675396E-4</c:v>
                </c:pt>
                <c:pt idx="5684">
                  <c:v>5.7884081395549085E-4</c:v>
                </c:pt>
                <c:pt idx="5685">
                  <c:v>1.0529555069359836E-3</c:v>
                </c:pt>
                <c:pt idx="5686">
                  <c:v>9.834761049451119E-4</c:v>
                </c:pt>
                <c:pt idx="5687">
                  <c:v>7.8007789725488411E-4</c:v>
                </c:pt>
                <c:pt idx="5688">
                  <c:v>3.203215403909543E-4</c:v>
                </c:pt>
                <c:pt idx="5689">
                  <c:v>1.4478508448330138E-3</c:v>
                </c:pt>
                <c:pt idx="5690">
                  <c:v>9.1934325166249118E-4</c:v>
                </c:pt>
                <c:pt idx="5691">
                  <c:v>8.2949096338613216E-4</c:v>
                </c:pt>
                <c:pt idx="5692">
                  <c:v>3.7615723847960511E-4</c:v>
                </c:pt>
                <c:pt idx="5693">
                  <c:v>3.8560769120128549E-4</c:v>
                </c:pt>
                <c:pt idx="5694">
                  <c:v>1.5140530281818705E-3</c:v>
                </c:pt>
                <c:pt idx="5695">
                  <c:v>9.2518096110213457E-4</c:v>
                </c:pt>
                <c:pt idx="5696">
                  <c:v>1.2310333939309804E-3</c:v>
                </c:pt>
                <c:pt idx="5697">
                  <c:v>7.1736823454778052E-4</c:v>
                </c:pt>
                <c:pt idx="5698">
                  <c:v>1.2355018894352717E-3</c:v>
                </c:pt>
                <c:pt idx="5699">
                  <c:v>1.5212948501181734E-3</c:v>
                </c:pt>
                <c:pt idx="5700">
                  <c:v>5.7318493529746309E-4</c:v>
                </c:pt>
                <c:pt idx="5701">
                  <c:v>4.5939933124487651E-4</c:v>
                </c:pt>
                <c:pt idx="5702">
                  <c:v>1.0461086659129413E-3</c:v>
                </c:pt>
                <c:pt idx="5703">
                  <c:v>1.2371602435300843E-3</c:v>
                </c:pt>
                <c:pt idx="5704">
                  <c:v>1.0333008383038569E-3</c:v>
                </c:pt>
                <c:pt idx="5705">
                  <c:v>9.4561588241248696E-4</c:v>
                </c:pt>
                <c:pt idx="5706">
                  <c:v>4.992170438217296E-4</c:v>
                </c:pt>
                <c:pt idx="5707">
                  <c:v>6.3389070153851838E-4</c:v>
                </c:pt>
                <c:pt idx="5708">
                  <c:v>4.1686131302134764E-4</c:v>
                </c:pt>
                <c:pt idx="5709">
                  <c:v>1.2297387631410902E-3</c:v>
                </c:pt>
                <c:pt idx="5710">
                  <c:v>1.1913332795095316E-3</c:v>
                </c:pt>
                <c:pt idx="5711">
                  <c:v>-8.986950346667085E-5</c:v>
                </c:pt>
                <c:pt idx="5712">
                  <c:v>1.2181530118363971E-3</c:v>
                </c:pt>
                <c:pt idx="5713">
                  <c:v>9.0673484699466535E-4</c:v>
                </c:pt>
                <c:pt idx="5714">
                  <c:v>8.6203060890665802E-4</c:v>
                </c:pt>
                <c:pt idx="5715">
                  <c:v>1.1227305303510434E-3</c:v>
                </c:pt>
                <c:pt idx="5716">
                  <c:v>5.2866700899942038E-4</c:v>
                </c:pt>
                <c:pt idx="5717">
                  <c:v>8.5208768293106073E-4</c:v>
                </c:pt>
                <c:pt idx="5718">
                  <c:v>5.3471410015064607E-4</c:v>
                </c:pt>
                <c:pt idx="5719">
                  <c:v>6.1360401440703515E-4</c:v>
                </c:pt>
                <c:pt idx="5720">
                  <c:v>7.9195219040303075E-4</c:v>
                </c:pt>
                <c:pt idx="5721">
                  <c:v>1.0771078702679069E-3</c:v>
                </c:pt>
                <c:pt idx="5722">
                  <c:v>1.8698681950559548E-4</c:v>
                </c:pt>
                <c:pt idx="5723">
                  <c:v>1.1616142224400302E-3</c:v>
                </c:pt>
                <c:pt idx="5724">
                  <c:v>7.361194282950634E-4</c:v>
                </c:pt>
                <c:pt idx="5725">
                  <c:v>1.069748846698944E-3</c:v>
                </c:pt>
                <c:pt idx="5726">
                  <c:v>7.0895824307404655E-4</c:v>
                </c:pt>
                <c:pt idx="5727">
                  <c:v>4.8419911014192129E-4</c:v>
                </c:pt>
                <c:pt idx="5728">
                  <c:v>1.6247880671713232E-3</c:v>
                </c:pt>
                <c:pt idx="5729">
                  <c:v>1.033483165795879E-3</c:v>
                </c:pt>
                <c:pt idx="5730">
                  <c:v>6.3668787142656365E-4</c:v>
                </c:pt>
                <c:pt idx="5731">
                  <c:v>1.0152230117541053E-3</c:v>
                </c:pt>
                <c:pt idx="5732">
                  <c:v>5.4040910921224281E-4</c:v>
                </c:pt>
                <c:pt idx="5733">
                  <c:v>8.9332234555529217E-4</c:v>
                </c:pt>
                <c:pt idx="5734">
                  <c:v>6.1305766317534501E-4</c:v>
                </c:pt>
                <c:pt idx="5735">
                  <c:v>1.1750719422740292E-3</c:v>
                </c:pt>
                <c:pt idx="5736">
                  <c:v>9.5817969576054442E-4</c:v>
                </c:pt>
                <c:pt idx="5737">
                  <c:v>9.5865056648537924E-4</c:v>
                </c:pt>
                <c:pt idx="5738">
                  <c:v>7.4803898266434033E-4</c:v>
                </c:pt>
                <c:pt idx="5739">
                  <c:v>1.108108329243715E-3</c:v>
                </c:pt>
                <c:pt idx="5740">
                  <c:v>7.9570239304566938E-4</c:v>
                </c:pt>
                <c:pt idx="5741">
                  <c:v>1.2121482692208031E-3</c:v>
                </c:pt>
                <c:pt idx="5742">
                  <c:v>1.1325136027112528E-3</c:v>
                </c:pt>
                <c:pt idx="5743">
                  <c:v>8.1263029891284939E-4</c:v>
                </c:pt>
                <c:pt idx="5744">
                  <c:v>1.0729540063747847E-3</c:v>
                </c:pt>
                <c:pt idx="5745">
                  <c:v>9.7322596888904601E-4</c:v>
                </c:pt>
                <c:pt idx="5746">
                  <c:v>5.5850536058074749E-4</c:v>
                </c:pt>
                <c:pt idx="5747">
                  <c:v>1.7562827022663892E-3</c:v>
                </c:pt>
                <c:pt idx="5748">
                  <c:v>6.8265147781033014E-5</c:v>
                </c:pt>
                <c:pt idx="5749">
                  <c:v>5.3451203045811304E-4</c:v>
                </c:pt>
                <c:pt idx="5750">
                  <c:v>1.0253998679370655E-3</c:v>
                </c:pt>
                <c:pt idx="5751">
                  <c:v>1.6743956481406108E-3</c:v>
                </c:pt>
                <c:pt idx="5752">
                  <c:v>6.3402331698710697E-4</c:v>
                </c:pt>
                <c:pt idx="5753">
                  <c:v>1.2373895097229067E-3</c:v>
                </c:pt>
                <c:pt idx="5754">
                  <c:v>8.1809754199008025E-4</c:v>
                </c:pt>
                <c:pt idx="5755">
                  <c:v>7.3549516752906578E-4</c:v>
                </c:pt>
                <c:pt idx="5756">
                  <c:v>1.8409921636176158E-4</c:v>
                </c:pt>
                <c:pt idx="5757">
                  <c:v>6.2919405819686564E-4</c:v>
                </c:pt>
                <c:pt idx="5758">
                  <c:v>1.2306919385776016E-3</c:v>
                </c:pt>
                <c:pt idx="5759">
                  <c:v>1.0236606637782351E-3</c:v>
                </c:pt>
                <c:pt idx="5760">
                  <c:v>7.8721470182117393E-4</c:v>
                </c:pt>
                <c:pt idx="5761">
                  <c:v>1.0534508339955276E-3</c:v>
                </c:pt>
                <c:pt idx="5762">
                  <c:v>1.0957754052412629E-3</c:v>
                </c:pt>
                <c:pt idx="5763">
                  <c:v>8.8411926912455321E-4</c:v>
                </c:pt>
                <c:pt idx="5764">
                  <c:v>7.471731794312116E-4</c:v>
                </c:pt>
                <c:pt idx="5765">
                  <c:v>1.0880110999062439E-3</c:v>
                </c:pt>
                <c:pt idx="5766">
                  <c:v>8.9488231429753532E-4</c:v>
                </c:pt>
                <c:pt idx="5767">
                  <c:v>5.5251922084008853E-4</c:v>
                </c:pt>
                <c:pt idx="5768">
                  <c:v>4.8906129759995211E-4</c:v>
                </c:pt>
                <c:pt idx="5769">
                  <c:v>9.7009758954565161E-4</c:v>
                </c:pt>
                <c:pt idx="5770">
                  <c:v>7.4537642516509179E-4</c:v>
                </c:pt>
                <c:pt idx="5771">
                  <c:v>1.009454580450105E-3</c:v>
                </c:pt>
                <c:pt idx="5772">
                  <c:v>8.1525624746009461E-4</c:v>
                </c:pt>
                <c:pt idx="5773">
                  <c:v>9.8334961785624545E-4</c:v>
                </c:pt>
                <c:pt idx="5774">
                  <c:v>1.4037332817428464E-3</c:v>
                </c:pt>
                <c:pt idx="5775">
                  <c:v>8.7249227674049651E-4</c:v>
                </c:pt>
                <c:pt idx="5776">
                  <c:v>8.7952381952382782E-4</c:v>
                </c:pt>
                <c:pt idx="5777">
                  <c:v>7.5325084259835048E-4</c:v>
                </c:pt>
                <c:pt idx="5778">
                  <c:v>1.1158348739325511E-3</c:v>
                </c:pt>
                <c:pt idx="5779">
                  <c:v>2.4683717946358339E-4</c:v>
                </c:pt>
                <c:pt idx="5780">
                  <c:v>8.7672290319256916E-4</c:v>
                </c:pt>
                <c:pt idx="5781">
                  <c:v>1.3705298729392269E-3</c:v>
                </c:pt>
                <c:pt idx="5782">
                  <c:v>9.8197532615116353E-4</c:v>
                </c:pt>
                <c:pt idx="5783">
                  <c:v>9.576837670525497E-4</c:v>
                </c:pt>
                <c:pt idx="5784">
                  <c:v>4.8804456785134969E-4</c:v>
                </c:pt>
                <c:pt idx="5785">
                  <c:v>1.5481531906260223E-4</c:v>
                </c:pt>
                <c:pt idx="5786">
                  <c:v>5.2979586125830838E-4</c:v>
                </c:pt>
                <c:pt idx="5787">
                  <c:v>1.0621876322131775E-3</c:v>
                </c:pt>
                <c:pt idx="5788">
                  <c:v>7.5967494810162618E-4</c:v>
                </c:pt>
                <c:pt idx="5789">
                  <c:v>1.3858176948775599E-3</c:v>
                </c:pt>
                <c:pt idx="5790">
                  <c:v>1.1039016375525856E-3</c:v>
                </c:pt>
                <c:pt idx="5791">
                  <c:v>1.0310994912950161E-3</c:v>
                </c:pt>
                <c:pt idx="5792">
                  <c:v>9.8780687261416597E-4</c:v>
                </c:pt>
                <c:pt idx="5793">
                  <c:v>1.0989728999640674E-3</c:v>
                </c:pt>
                <c:pt idx="5794">
                  <c:v>7.4968960315851911E-4</c:v>
                </c:pt>
                <c:pt idx="5795">
                  <c:v>8.4128698115161482E-4</c:v>
                </c:pt>
                <c:pt idx="5796">
                  <c:v>1.2443483490076142E-3</c:v>
                </c:pt>
                <c:pt idx="5797">
                  <c:v>8.7151872308263397E-4</c:v>
                </c:pt>
                <c:pt idx="5798">
                  <c:v>7.1956717368830913E-4</c:v>
                </c:pt>
                <c:pt idx="5799">
                  <c:v>9.913937728374283E-4</c:v>
                </c:pt>
                <c:pt idx="5800">
                  <c:v>5.906701741506859E-4</c:v>
                </c:pt>
                <c:pt idx="5801">
                  <c:v>2.5002476520399923E-4</c:v>
                </c:pt>
                <c:pt idx="5802">
                  <c:v>9.3701316075680944E-4</c:v>
                </c:pt>
                <c:pt idx="5803">
                  <c:v>9.1785790859641838E-4</c:v>
                </c:pt>
                <c:pt idx="5804">
                  <c:v>1.4107723280870972E-3</c:v>
                </c:pt>
                <c:pt idx="5805">
                  <c:v>3.60812129618678E-4</c:v>
                </c:pt>
                <c:pt idx="5806">
                  <c:v>1.2841635042728859E-3</c:v>
                </c:pt>
                <c:pt idx="5807">
                  <c:v>9.1009204214758158E-4</c:v>
                </c:pt>
                <c:pt idx="5808">
                  <c:v>1.2051736484731232E-3</c:v>
                </c:pt>
                <c:pt idx="5809">
                  <c:v>1.5792109732181922E-3</c:v>
                </c:pt>
                <c:pt idx="5810">
                  <c:v>1.2392521188202567E-3</c:v>
                </c:pt>
                <c:pt idx="5811">
                  <c:v>1.1311468524280264E-3</c:v>
                </c:pt>
                <c:pt idx="5812">
                  <c:v>1.3275431202505548E-3</c:v>
                </c:pt>
                <c:pt idx="5813">
                  <c:v>1.1590207615048498E-3</c:v>
                </c:pt>
                <c:pt idx="5814">
                  <c:v>1.1013339364674929E-3</c:v>
                </c:pt>
                <c:pt idx="5815">
                  <c:v>4.7133782044541159E-4</c:v>
                </c:pt>
                <c:pt idx="5816">
                  <c:v>3.7980344506788831E-4</c:v>
                </c:pt>
                <c:pt idx="5817">
                  <c:v>5.5442980309344532E-4</c:v>
                </c:pt>
                <c:pt idx="5818">
                  <c:v>1.0399614110011364E-3</c:v>
                </c:pt>
                <c:pt idx="5819">
                  <c:v>1.0713697448982292E-3</c:v>
                </c:pt>
                <c:pt idx="5820">
                  <c:v>7.3023735413846672E-4</c:v>
                </c:pt>
                <c:pt idx="5821">
                  <c:v>8.5019367267091144E-4</c:v>
                </c:pt>
                <c:pt idx="5822">
                  <c:v>9.2422259228789542E-4</c:v>
                </c:pt>
                <c:pt idx="5823">
                  <c:v>8.0031433170101778E-4</c:v>
                </c:pt>
                <c:pt idx="5824">
                  <c:v>7.1027698474683922E-4</c:v>
                </c:pt>
                <c:pt idx="5825">
                  <c:v>9.1592638663893805E-4</c:v>
                </c:pt>
                <c:pt idx="5826">
                  <c:v>7.9152467823285447E-4</c:v>
                </c:pt>
                <c:pt idx="5827">
                  <c:v>9.6566172874789063E-4</c:v>
                </c:pt>
                <c:pt idx="5828">
                  <c:v>1.5769441842478262E-3</c:v>
                </c:pt>
                <c:pt idx="5829">
                  <c:v>1.0462494050461849E-3</c:v>
                </c:pt>
                <c:pt idx="5830">
                  <c:v>6.4625732475493336E-4</c:v>
                </c:pt>
                <c:pt idx="5831">
                  <c:v>1.1531325723393583E-3</c:v>
                </c:pt>
                <c:pt idx="5832">
                  <c:v>4.9801001819308377E-4</c:v>
                </c:pt>
                <c:pt idx="5833">
                  <c:v>2.2141309585580615E-4</c:v>
                </c:pt>
                <c:pt idx="5834">
                  <c:v>6.0777493064920923E-4</c:v>
                </c:pt>
                <c:pt idx="5835">
                  <c:v>6.9448190995459046E-4</c:v>
                </c:pt>
                <c:pt idx="5836">
                  <c:v>6.9259220896331986E-4</c:v>
                </c:pt>
                <c:pt idx="5837">
                  <c:v>3.8129118167620264E-4</c:v>
                </c:pt>
                <c:pt idx="5838">
                  <c:v>1.0092464610028686E-3</c:v>
                </c:pt>
                <c:pt idx="5839">
                  <c:v>1.4372395854309378E-3</c:v>
                </c:pt>
                <c:pt idx="5840">
                  <c:v>1.4445196194570475E-3</c:v>
                </c:pt>
                <c:pt idx="5841">
                  <c:v>4.8771238617029291E-4</c:v>
                </c:pt>
                <c:pt idx="5842">
                  <c:v>1.3605178117167078E-3</c:v>
                </c:pt>
                <c:pt idx="5843">
                  <c:v>8.0591691144450423E-4</c:v>
                </c:pt>
                <c:pt idx="5844">
                  <c:v>5.9263999958389336E-4</c:v>
                </c:pt>
                <c:pt idx="5845">
                  <c:v>3.6822665831136937E-6</c:v>
                </c:pt>
                <c:pt idx="5846">
                  <c:v>8.8969422420123398E-4</c:v>
                </c:pt>
                <c:pt idx="5847">
                  <c:v>8.0378675108644241E-4</c:v>
                </c:pt>
                <c:pt idx="5848">
                  <c:v>3.3175881088200697E-4</c:v>
                </c:pt>
                <c:pt idx="5849">
                  <c:v>7.8110455175246459E-4</c:v>
                </c:pt>
                <c:pt idx="5850">
                  <c:v>6.681570052448001E-4</c:v>
                </c:pt>
                <c:pt idx="5851">
                  <c:v>6.1519293389004979E-4</c:v>
                </c:pt>
                <c:pt idx="5852">
                  <c:v>5.1736133915262898E-4</c:v>
                </c:pt>
                <c:pt idx="5853">
                  <c:v>7.4310232913576025E-4</c:v>
                </c:pt>
                <c:pt idx="5854">
                  <c:v>1.0375872944377547E-3</c:v>
                </c:pt>
                <c:pt idx="5855">
                  <c:v>2.4145998097763641E-4</c:v>
                </c:pt>
                <c:pt idx="5856">
                  <c:v>5.0830213905188857E-4</c:v>
                </c:pt>
                <c:pt idx="5857">
                  <c:v>7.5846975915446055E-4</c:v>
                </c:pt>
                <c:pt idx="5858">
                  <c:v>6.702659834876203E-4</c:v>
                </c:pt>
                <c:pt idx="5859">
                  <c:v>2.7704192324430192E-4</c:v>
                </c:pt>
                <c:pt idx="5860">
                  <c:v>1.1012110539813291E-3</c:v>
                </c:pt>
                <c:pt idx="5861">
                  <c:v>9.8489020104982174E-4</c:v>
                </c:pt>
                <c:pt idx="5862">
                  <c:v>1.1508071458076643E-3</c:v>
                </c:pt>
                <c:pt idx="5863">
                  <c:v>9.6696835778850359E-4</c:v>
                </c:pt>
                <c:pt idx="5864">
                  <c:v>5.3901596012702032E-4</c:v>
                </c:pt>
                <c:pt idx="5865">
                  <c:v>1.1391707997091963E-3</c:v>
                </c:pt>
                <c:pt idx="5866">
                  <c:v>7.940821207695055E-4</c:v>
                </c:pt>
                <c:pt idx="5867">
                  <c:v>1.0418162713257159E-3</c:v>
                </c:pt>
                <c:pt idx="5868">
                  <c:v>4.2822909605404929E-4</c:v>
                </c:pt>
                <c:pt idx="5869">
                  <c:v>9.7602169661749468E-4</c:v>
                </c:pt>
                <c:pt idx="5870">
                  <c:v>1.138650311755935E-3</c:v>
                </c:pt>
                <c:pt idx="5871">
                  <c:v>4.73231754231239E-4</c:v>
                </c:pt>
                <c:pt idx="5872">
                  <c:v>7.6647566300478722E-4</c:v>
                </c:pt>
                <c:pt idx="5873">
                  <c:v>7.7207461059876305E-4</c:v>
                </c:pt>
                <c:pt idx="5874">
                  <c:v>6.6777467271914037E-4</c:v>
                </c:pt>
                <c:pt idx="5875">
                  <c:v>1.2640963765121055E-3</c:v>
                </c:pt>
                <c:pt idx="5876">
                  <c:v>8.9340679667306434E-4</c:v>
                </c:pt>
                <c:pt idx="5877">
                  <c:v>9.8820467472424925E-4</c:v>
                </c:pt>
                <c:pt idx="5878">
                  <c:v>7.2360065259131738E-4</c:v>
                </c:pt>
                <c:pt idx="5879">
                  <c:v>1.0749963218613296E-3</c:v>
                </c:pt>
                <c:pt idx="5880">
                  <c:v>5.710005882542333E-4</c:v>
                </c:pt>
                <c:pt idx="5881">
                  <c:v>6.618769738524988E-4</c:v>
                </c:pt>
                <c:pt idx="5882">
                  <c:v>6.7437906458523583E-4</c:v>
                </c:pt>
                <c:pt idx="5883">
                  <c:v>5.952298432243577E-4</c:v>
                </c:pt>
                <c:pt idx="5884">
                  <c:v>9.7715997045850198E-4</c:v>
                </c:pt>
                <c:pt idx="5885">
                  <c:v>5.0012904743305248E-4</c:v>
                </c:pt>
                <c:pt idx="5886">
                  <c:v>9.8719203549706819E-4</c:v>
                </c:pt>
                <c:pt idx="5887">
                  <c:v>6.6108040563199878E-4</c:v>
                </c:pt>
                <c:pt idx="5888">
                  <c:v>1.0177504508663254E-3</c:v>
                </c:pt>
                <c:pt idx="5889">
                  <c:v>5.5794199264060562E-4</c:v>
                </c:pt>
                <c:pt idx="5890">
                  <c:v>3.9975746553449804E-4</c:v>
                </c:pt>
                <c:pt idx="5891">
                  <c:v>4.3157816907616345E-4</c:v>
                </c:pt>
                <c:pt idx="5892">
                  <c:v>8.7693888446879363E-4</c:v>
                </c:pt>
                <c:pt idx="5893">
                  <c:v>3.5620471686650343E-4</c:v>
                </c:pt>
                <c:pt idx="5894">
                  <c:v>9.5290962696693274E-4</c:v>
                </c:pt>
                <c:pt idx="5895">
                  <c:v>9.9508665434859859E-4</c:v>
                </c:pt>
                <c:pt idx="5896">
                  <c:v>1.0462573108440685E-3</c:v>
                </c:pt>
                <c:pt idx="5897">
                  <c:v>8.2163967039981247E-4</c:v>
                </c:pt>
                <c:pt idx="5898">
                  <c:v>6.102163589735087E-4</c:v>
                </c:pt>
                <c:pt idx="5899">
                  <c:v>8.7122220446257594E-4</c:v>
                </c:pt>
                <c:pt idx="5900">
                  <c:v>4.9154833624151365E-4</c:v>
                </c:pt>
                <c:pt idx="5901">
                  <c:v>9.8284057569916002E-4</c:v>
                </c:pt>
                <c:pt idx="5902">
                  <c:v>1.349357183467931E-3</c:v>
                </c:pt>
                <c:pt idx="5903">
                  <c:v>1.2923027613453652E-3</c:v>
                </c:pt>
                <c:pt idx="5904">
                  <c:v>6.1296181525541166E-4</c:v>
                </c:pt>
                <c:pt idx="5905">
                  <c:v>9.1160688102612925E-4</c:v>
                </c:pt>
                <c:pt idx="5906">
                  <c:v>9.7199629429936204E-4</c:v>
                </c:pt>
                <c:pt idx="5907">
                  <c:v>1.0686542596360159E-3</c:v>
                </c:pt>
                <c:pt idx="5908">
                  <c:v>9.1694845390347612E-4</c:v>
                </c:pt>
                <c:pt idx="5909">
                  <c:v>9.5131914657179285E-4</c:v>
                </c:pt>
                <c:pt idx="5910">
                  <c:v>1.4962054703170019E-3</c:v>
                </c:pt>
                <c:pt idx="5911">
                  <c:v>9.6274492572708827E-4</c:v>
                </c:pt>
                <c:pt idx="5912">
                  <c:v>4.2760174889293519E-4</c:v>
                </c:pt>
                <c:pt idx="5913">
                  <c:v>6.9848033554798406E-4</c:v>
                </c:pt>
                <c:pt idx="5914">
                  <c:v>1.068128217358136E-3</c:v>
                </c:pt>
                <c:pt idx="5915">
                  <c:v>8.6526482835328714E-4</c:v>
                </c:pt>
                <c:pt idx="5916">
                  <c:v>5.9194931995177995E-4</c:v>
                </c:pt>
                <c:pt idx="5917">
                  <c:v>1.3367631476364716E-3</c:v>
                </c:pt>
                <c:pt idx="5918">
                  <c:v>1.0314106315797847E-3</c:v>
                </c:pt>
                <c:pt idx="5919">
                  <c:v>1.0738706918585069E-3</c:v>
                </c:pt>
                <c:pt idx="5920">
                  <c:v>5.2637682635537568E-4</c:v>
                </c:pt>
                <c:pt idx="5921">
                  <c:v>4.5306156534650544E-4</c:v>
                </c:pt>
                <c:pt idx="5922">
                  <c:v>2.8687827200190978E-4</c:v>
                </c:pt>
                <c:pt idx="5923">
                  <c:v>9.324265210367813E-4</c:v>
                </c:pt>
                <c:pt idx="5924">
                  <c:v>6.6093324992030759E-4</c:v>
                </c:pt>
                <c:pt idx="5925">
                  <c:v>7.3737928120408218E-4</c:v>
                </c:pt>
                <c:pt idx="5926">
                  <c:v>1.2903182070567764E-3</c:v>
                </c:pt>
                <c:pt idx="5927">
                  <c:v>4.8682308108900123E-4</c:v>
                </c:pt>
                <c:pt idx="5928">
                  <c:v>8.3434814016673093E-4</c:v>
                </c:pt>
                <c:pt idx="5929">
                  <c:v>3.3787338082065592E-4</c:v>
                </c:pt>
                <c:pt idx="5930">
                  <c:v>5.8089619221749866E-4</c:v>
                </c:pt>
                <c:pt idx="5931">
                  <c:v>1.1297013614549195E-3</c:v>
                </c:pt>
                <c:pt idx="5932">
                  <c:v>7.1982268907212581E-4</c:v>
                </c:pt>
                <c:pt idx="5933">
                  <c:v>9.2545422956568269E-4</c:v>
                </c:pt>
                <c:pt idx="5934">
                  <c:v>8.4406313748764869E-4</c:v>
                </c:pt>
                <c:pt idx="5935">
                  <c:v>8.5013444159935528E-4</c:v>
                </c:pt>
                <c:pt idx="5936">
                  <c:v>5.6047396879358043E-4</c:v>
                </c:pt>
                <c:pt idx="5937">
                  <c:v>5.1405869371451461E-4</c:v>
                </c:pt>
                <c:pt idx="5938">
                  <c:v>1.3699987943637775E-3</c:v>
                </c:pt>
                <c:pt idx="5939">
                  <c:v>9.6087519817612767E-4</c:v>
                </c:pt>
                <c:pt idx="5940">
                  <c:v>5.6746226793564364E-4</c:v>
                </c:pt>
                <c:pt idx="5941">
                  <c:v>9.226733865437891E-4</c:v>
                </c:pt>
                <c:pt idx="5942">
                  <c:v>4.8541958602489079E-4</c:v>
                </c:pt>
                <c:pt idx="5943">
                  <c:v>7.7250934364917899E-4</c:v>
                </c:pt>
                <c:pt idx="5944">
                  <c:v>9.2181738245231929E-4</c:v>
                </c:pt>
                <c:pt idx="5945">
                  <c:v>6.3023497709126166E-4</c:v>
                </c:pt>
                <c:pt idx="5946">
                  <c:v>1.2931729924892707E-3</c:v>
                </c:pt>
                <c:pt idx="5947">
                  <c:v>6.9514612770056312E-4</c:v>
                </c:pt>
                <c:pt idx="5948">
                  <c:v>7.3625434770410486E-4</c:v>
                </c:pt>
                <c:pt idx="5949">
                  <c:v>1.679290296298281E-3</c:v>
                </c:pt>
                <c:pt idx="5950">
                  <c:v>9.2547124425138483E-4</c:v>
                </c:pt>
                <c:pt idx="5951">
                  <c:v>1.0563455504750024E-3</c:v>
                </c:pt>
                <c:pt idx="5952">
                  <c:v>2.2126316614871119E-4</c:v>
                </c:pt>
                <c:pt idx="5953">
                  <c:v>1.0064128127585338E-3</c:v>
                </c:pt>
                <c:pt idx="5954">
                  <c:v>8.9353953775273248E-4</c:v>
                </c:pt>
                <c:pt idx="5955">
                  <c:v>1.4625446303079906E-3</c:v>
                </c:pt>
                <c:pt idx="5956">
                  <c:v>1.8407104686340701E-3</c:v>
                </c:pt>
                <c:pt idx="5957">
                  <c:v>1.0120634122330724E-3</c:v>
                </c:pt>
                <c:pt idx="5958">
                  <c:v>4.9134048085620712E-4</c:v>
                </c:pt>
                <c:pt idx="5959">
                  <c:v>9.3646124840285339E-4</c:v>
                </c:pt>
                <c:pt idx="5960">
                  <c:v>8.4859927633402913E-4</c:v>
                </c:pt>
                <c:pt idx="5961">
                  <c:v>4.2031442978059005E-4</c:v>
                </c:pt>
                <c:pt idx="5962">
                  <c:v>7.6689464003422295E-4</c:v>
                </c:pt>
                <c:pt idx="5963">
                  <c:v>5.6348227564637868E-4</c:v>
                </c:pt>
                <c:pt idx="5964">
                  <c:v>8.0959457931177755E-4</c:v>
                </c:pt>
                <c:pt idx="5965">
                  <c:v>5.8141631663945529E-4</c:v>
                </c:pt>
                <c:pt idx="5966">
                  <c:v>7.9335352655956657E-4</c:v>
                </c:pt>
                <c:pt idx="5967">
                  <c:v>1.0887750229909027E-3</c:v>
                </c:pt>
                <c:pt idx="5968">
                  <c:v>8.2116408707810209E-4</c:v>
                </c:pt>
                <c:pt idx="5969">
                  <c:v>9.6829432688568863E-4</c:v>
                </c:pt>
                <c:pt idx="5970">
                  <c:v>1.182063868280022E-3</c:v>
                </c:pt>
                <c:pt idx="5971">
                  <c:v>1.8558081543392372E-4</c:v>
                </c:pt>
                <c:pt idx="5972">
                  <c:v>1.179866381220964E-3</c:v>
                </c:pt>
                <c:pt idx="5973">
                  <c:v>7.0234944730730308E-4</c:v>
                </c:pt>
                <c:pt idx="5974">
                  <c:v>3.0154678140103863E-4</c:v>
                </c:pt>
                <c:pt idx="5975">
                  <c:v>3.4550484025609762E-4</c:v>
                </c:pt>
                <c:pt idx="5976">
                  <c:v>1.0091040443731259E-3</c:v>
                </c:pt>
                <c:pt idx="5977">
                  <c:v>5.184932276646885E-4</c:v>
                </c:pt>
                <c:pt idx="5978">
                  <c:v>1.1363845454897561E-3</c:v>
                </c:pt>
                <c:pt idx="5979">
                  <c:v>6.5697661102638789E-4</c:v>
                </c:pt>
                <c:pt idx="5980">
                  <c:v>9.8700579116082088E-4</c:v>
                </c:pt>
                <c:pt idx="5981">
                  <c:v>1.370690387527505E-3</c:v>
                </c:pt>
                <c:pt idx="5982">
                  <c:v>1.1683279623571198E-3</c:v>
                </c:pt>
                <c:pt idx="5983">
                  <c:v>9.1782485343703895E-4</c:v>
                </c:pt>
                <c:pt idx="5984">
                  <c:v>7.0903546950865049E-4</c:v>
                </c:pt>
                <c:pt idx="5985">
                  <c:v>8.706592389052469E-4</c:v>
                </c:pt>
                <c:pt idx="5986">
                  <c:v>7.8742471552560437E-4</c:v>
                </c:pt>
                <c:pt idx="5987">
                  <c:v>6.1173991107217076E-4</c:v>
                </c:pt>
                <c:pt idx="5988">
                  <c:v>7.0528110467316856E-4</c:v>
                </c:pt>
                <c:pt idx="5989">
                  <c:v>1.098351669504278E-3</c:v>
                </c:pt>
                <c:pt idx="5990">
                  <c:v>1.1926250731149101E-3</c:v>
                </c:pt>
                <c:pt idx="5991">
                  <c:v>9.4423964708000062E-4</c:v>
                </c:pt>
                <c:pt idx="5992">
                  <c:v>8.2328769445578782E-4</c:v>
                </c:pt>
                <c:pt idx="5993">
                  <c:v>1.1865421142820661E-3</c:v>
                </c:pt>
                <c:pt idx="5994">
                  <c:v>9.2632390184795173E-4</c:v>
                </c:pt>
                <c:pt idx="5995">
                  <c:v>1.049587403205612E-3</c:v>
                </c:pt>
                <c:pt idx="5996">
                  <c:v>1.2168787310979244E-3</c:v>
                </c:pt>
                <c:pt idx="5997">
                  <c:v>3.7221612670334874E-4</c:v>
                </c:pt>
                <c:pt idx="5998">
                  <c:v>7.7717213571657038E-4</c:v>
                </c:pt>
                <c:pt idx="5999">
                  <c:v>7.4903993020570864E-4</c:v>
                </c:pt>
                <c:pt idx="6000">
                  <c:v>1.1466525414406963E-3</c:v>
                </c:pt>
                <c:pt idx="6001">
                  <c:v>3.3448046468253026E-4</c:v>
                </c:pt>
                <c:pt idx="6002">
                  <c:v>7.9751647100422852E-4</c:v>
                </c:pt>
                <c:pt idx="6003">
                  <c:v>1.4357919130811201E-3</c:v>
                </c:pt>
                <c:pt idx="6004">
                  <c:v>6.4173281741437371E-4</c:v>
                </c:pt>
                <c:pt idx="6005">
                  <c:v>7.8581478979538558E-4</c:v>
                </c:pt>
                <c:pt idx="6006">
                  <c:v>1.4170957737727916E-4</c:v>
                </c:pt>
                <c:pt idx="6007">
                  <c:v>1.1015104640765239E-3</c:v>
                </c:pt>
                <c:pt idx="6008">
                  <c:v>6.3833535204302686E-4</c:v>
                </c:pt>
                <c:pt idx="6009">
                  <c:v>8.8862140216740357E-4</c:v>
                </c:pt>
                <c:pt idx="6010">
                  <c:v>1.2380272780901985E-3</c:v>
                </c:pt>
                <c:pt idx="6011">
                  <c:v>1.0959715020408443E-3</c:v>
                </c:pt>
                <c:pt idx="6012">
                  <c:v>4.3363421495074223E-4</c:v>
                </c:pt>
                <c:pt idx="6013">
                  <c:v>9.004850672609902E-4</c:v>
                </c:pt>
                <c:pt idx="6014">
                  <c:v>3.9204173384999681E-4</c:v>
                </c:pt>
                <c:pt idx="6015">
                  <c:v>7.8379825445212142E-4</c:v>
                </c:pt>
                <c:pt idx="6016">
                  <c:v>6.3500260374010106E-4</c:v>
                </c:pt>
                <c:pt idx="6017">
                  <c:v>8.4398286207175172E-4</c:v>
                </c:pt>
                <c:pt idx="6018">
                  <c:v>1.1178937414185396E-3</c:v>
                </c:pt>
                <c:pt idx="6019">
                  <c:v>6.5763930683681259E-4</c:v>
                </c:pt>
                <c:pt idx="6020">
                  <c:v>6.3708389784850094E-4</c:v>
                </c:pt>
                <c:pt idx="6021">
                  <c:v>8.457363874475862E-4</c:v>
                </c:pt>
                <c:pt idx="6022">
                  <c:v>6.6264977578963248E-4</c:v>
                </c:pt>
                <c:pt idx="6023">
                  <c:v>1.0009640271490907E-3</c:v>
                </c:pt>
                <c:pt idx="6024">
                  <c:v>4.7425506856705056E-4</c:v>
                </c:pt>
                <c:pt idx="6025">
                  <c:v>1.1367591503645387E-3</c:v>
                </c:pt>
                <c:pt idx="6026">
                  <c:v>1.5107424062845401E-3</c:v>
                </c:pt>
                <c:pt idx="6027">
                  <c:v>8.8698990336790948E-4</c:v>
                </c:pt>
                <c:pt idx="6028">
                  <c:v>9.6453399915210031E-4</c:v>
                </c:pt>
                <c:pt idx="6029">
                  <c:v>1.0832879346961792E-3</c:v>
                </c:pt>
                <c:pt idx="6030">
                  <c:v>1.2737093168469385E-3</c:v>
                </c:pt>
                <c:pt idx="6031">
                  <c:v>1.0426156392083863E-3</c:v>
                </c:pt>
                <c:pt idx="6032">
                  <c:v>9.5294316362661198E-4</c:v>
                </c:pt>
                <c:pt idx="6033">
                  <c:v>8.8467160685950683E-4</c:v>
                </c:pt>
                <c:pt idx="6034">
                  <c:v>8.8422127804664965E-4</c:v>
                </c:pt>
                <c:pt idx="6035">
                  <c:v>1.0292589251082605E-3</c:v>
                </c:pt>
                <c:pt idx="6036">
                  <c:v>3.8204091225476093E-4</c:v>
                </c:pt>
                <c:pt idx="6037">
                  <c:v>1.2132543848407159E-3</c:v>
                </c:pt>
                <c:pt idx="6038">
                  <c:v>1.7113264688757865E-3</c:v>
                </c:pt>
                <c:pt idx="6039">
                  <c:v>9.333293489030371E-4</c:v>
                </c:pt>
                <c:pt idx="6040">
                  <c:v>3.4080008406042468E-4</c:v>
                </c:pt>
                <c:pt idx="6041">
                  <c:v>3.9197119258663324E-4</c:v>
                </c:pt>
                <c:pt idx="6042">
                  <c:v>6.8194317345383361E-4</c:v>
                </c:pt>
                <c:pt idx="6043">
                  <c:v>9.100568573779241E-4</c:v>
                </c:pt>
                <c:pt idx="6044">
                  <c:v>1.2440739449231708E-3</c:v>
                </c:pt>
                <c:pt idx="6045">
                  <c:v>1.0444649718415401E-3</c:v>
                </c:pt>
                <c:pt idx="6046">
                  <c:v>6.4874612276649419E-4</c:v>
                </c:pt>
                <c:pt idx="6047">
                  <c:v>1.170785946645861E-3</c:v>
                </c:pt>
                <c:pt idx="6048">
                  <c:v>9.6011415778645966E-4</c:v>
                </c:pt>
                <c:pt idx="6049">
                  <c:v>6.5269548780807151E-4</c:v>
                </c:pt>
                <c:pt idx="6050">
                  <c:v>1.990850553639086E-4</c:v>
                </c:pt>
                <c:pt idx="6051">
                  <c:v>6.7046833304192392E-4</c:v>
                </c:pt>
                <c:pt idx="6052">
                  <c:v>1.1437575444059288E-3</c:v>
                </c:pt>
                <c:pt idx="6053">
                  <c:v>5.7429157931728077E-4</c:v>
                </c:pt>
                <c:pt idx="6054">
                  <c:v>1.0856360081433955E-3</c:v>
                </c:pt>
                <c:pt idx="6055">
                  <c:v>6.5430982462735766E-4</c:v>
                </c:pt>
                <c:pt idx="6056">
                  <c:v>7.800099904524191E-4</c:v>
                </c:pt>
                <c:pt idx="6057">
                  <c:v>7.4646485230558035E-4</c:v>
                </c:pt>
                <c:pt idx="6058">
                  <c:v>1.2767775612413559E-3</c:v>
                </c:pt>
                <c:pt idx="6059">
                  <c:v>5.4607419568086975E-4</c:v>
                </c:pt>
                <c:pt idx="6060">
                  <c:v>1.2110696399589976E-3</c:v>
                </c:pt>
                <c:pt idx="6061">
                  <c:v>1.0938220121303266E-3</c:v>
                </c:pt>
                <c:pt idx="6062">
                  <c:v>1.2140764576990901E-3</c:v>
                </c:pt>
                <c:pt idx="6063">
                  <c:v>2.7677854091355959E-4</c:v>
                </c:pt>
                <c:pt idx="6064">
                  <c:v>2.8127096655756768E-4</c:v>
                </c:pt>
                <c:pt idx="6065">
                  <c:v>5.3765587457998997E-4</c:v>
                </c:pt>
                <c:pt idx="6066">
                  <c:v>5.5687643420387965E-4</c:v>
                </c:pt>
                <c:pt idx="6067">
                  <c:v>1.3510395605297457E-3</c:v>
                </c:pt>
                <c:pt idx="6068">
                  <c:v>1.0327811015720392E-3</c:v>
                </c:pt>
                <c:pt idx="6069">
                  <c:v>1.4605266088423513E-3</c:v>
                </c:pt>
                <c:pt idx="6070">
                  <c:v>4.1079422525111661E-4</c:v>
                </c:pt>
                <c:pt idx="6071">
                  <c:v>8.830463218288643E-4</c:v>
                </c:pt>
                <c:pt idx="6072">
                  <c:v>2.7295091119156203E-4</c:v>
                </c:pt>
                <c:pt idx="6073">
                  <c:v>4.1624986213141551E-4</c:v>
                </c:pt>
                <c:pt idx="6074">
                  <c:v>4.703893863120856E-4</c:v>
                </c:pt>
                <c:pt idx="6075">
                  <c:v>1.1358408612988863E-3</c:v>
                </c:pt>
                <c:pt idx="6076">
                  <c:v>6.3527363349352467E-4</c:v>
                </c:pt>
                <c:pt idx="6077">
                  <c:v>1.2366858124902764E-3</c:v>
                </c:pt>
                <c:pt idx="6078">
                  <c:v>1.1759325400174368E-3</c:v>
                </c:pt>
                <c:pt idx="6079">
                  <c:v>1.0344963119696493E-3</c:v>
                </c:pt>
                <c:pt idx="6080">
                  <c:v>4.8936998460700641E-4</c:v>
                </c:pt>
                <c:pt idx="6081">
                  <c:v>8.1246285864934641E-4</c:v>
                </c:pt>
                <c:pt idx="6082">
                  <c:v>6.100407017129891E-4</c:v>
                </c:pt>
                <c:pt idx="6083">
                  <c:v>4.6586959885167294E-4</c:v>
                </c:pt>
                <c:pt idx="6084">
                  <c:v>9.2319707114093868E-4</c:v>
                </c:pt>
                <c:pt idx="6085">
                  <c:v>7.4554594308289305E-4</c:v>
                </c:pt>
                <c:pt idx="6086">
                  <c:v>4.5707675852466105E-4</c:v>
                </c:pt>
                <c:pt idx="6087">
                  <c:v>4.2880872167598929E-4</c:v>
                </c:pt>
                <c:pt idx="6088">
                  <c:v>5.2746036265359346E-4</c:v>
                </c:pt>
                <c:pt idx="6089">
                  <c:v>1.3494966222848761E-3</c:v>
                </c:pt>
                <c:pt idx="6090">
                  <c:v>1.1421176627541385E-3</c:v>
                </c:pt>
                <c:pt idx="6091">
                  <c:v>8.5997838164138414E-4</c:v>
                </c:pt>
                <c:pt idx="6092">
                  <c:v>1.1921490205178545E-3</c:v>
                </c:pt>
                <c:pt idx="6093">
                  <c:v>9.7872127772371371E-4</c:v>
                </c:pt>
                <c:pt idx="6094">
                  <c:v>7.2228892717923657E-4</c:v>
                </c:pt>
                <c:pt idx="6095">
                  <c:v>7.8386656807821493E-4</c:v>
                </c:pt>
                <c:pt idx="6096">
                  <c:v>1.038540952782789E-3</c:v>
                </c:pt>
                <c:pt idx="6097">
                  <c:v>1.1527007879990462E-3</c:v>
                </c:pt>
                <c:pt idx="6098">
                  <c:v>7.8489407726560305E-4</c:v>
                </c:pt>
                <c:pt idx="6099">
                  <c:v>7.7504005915033573E-4</c:v>
                </c:pt>
                <c:pt idx="6100">
                  <c:v>1.0470342061118644E-3</c:v>
                </c:pt>
                <c:pt idx="6101">
                  <c:v>5.5012778469002961E-4</c:v>
                </c:pt>
                <c:pt idx="6102">
                  <c:v>1.9468758229466213E-3</c:v>
                </c:pt>
                <c:pt idx="6103">
                  <c:v>9.8776576199731923E-4</c:v>
                </c:pt>
                <c:pt idx="6104">
                  <c:v>7.8223300026747421E-4</c:v>
                </c:pt>
                <c:pt idx="6105">
                  <c:v>9.5265307583606109E-4</c:v>
                </c:pt>
                <c:pt idx="6106">
                  <c:v>5.2351990729301108E-4</c:v>
                </c:pt>
                <c:pt idx="6107">
                  <c:v>3.9150926716834393E-4</c:v>
                </c:pt>
                <c:pt idx="6108">
                  <c:v>6.1116769672587851E-4</c:v>
                </c:pt>
                <c:pt idx="6109">
                  <c:v>7.5069399899292579E-4</c:v>
                </c:pt>
                <c:pt idx="6110">
                  <c:v>4.8343731480648792E-4</c:v>
                </c:pt>
                <c:pt idx="6111">
                  <c:v>1.31612755218194E-3</c:v>
                </c:pt>
                <c:pt idx="6112">
                  <c:v>5.2058634655139453E-4</c:v>
                </c:pt>
                <c:pt idx="6113">
                  <c:v>8.218194923988282E-4</c:v>
                </c:pt>
                <c:pt idx="6114">
                  <c:v>4.3830091526578387E-4</c:v>
                </c:pt>
                <c:pt idx="6115">
                  <c:v>7.9584497822820436E-4</c:v>
                </c:pt>
                <c:pt idx="6116">
                  <c:v>3.9473888976495052E-4</c:v>
                </c:pt>
                <c:pt idx="6117">
                  <c:v>6.6927339559578558E-4</c:v>
                </c:pt>
                <c:pt idx="6118">
                  <c:v>8.4526765295059498E-4</c:v>
                </c:pt>
                <c:pt idx="6119">
                  <c:v>5.587317800938512E-4</c:v>
                </c:pt>
                <c:pt idx="6120">
                  <c:v>5.9782906130466981E-4</c:v>
                </c:pt>
                <c:pt idx="6121">
                  <c:v>7.4521745936228319E-4</c:v>
                </c:pt>
                <c:pt idx="6122">
                  <c:v>5.9053485347004809E-4</c:v>
                </c:pt>
                <c:pt idx="6123">
                  <c:v>1.0506904374755677E-3</c:v>
                </c:pt>
                <c:pt idx="6124">
                  <c:v>6.9904519053008067E-4</c:v>
                </c:pt>
                <c:pt idx="6125">
                  <c:v>1.0668509943900176E-3</c:v>
                </c:pt>
                <c:pt idx="6126">
                  <c:v>3.1662821448035812E-4</c:v>
                </c:pt>
                <c:pt idx="6127">
                  <c:v>8.154239909201785E-4</c:v>
                </c:pt>
                <c:pt idx="6128">
                  <c:v>5.7712081658984487E-4</c:v>
                </c:pt>
                <c:pt idx="6129">
                  <c:v>5.4196936337463594E-4</c:v>
                </c:pt>
                <c:pt idx="6130">
                  <c:v>4.849640394181667E-4</c:v>
                </c:pt>
                <c:pt idx="6131">
                  <c:v>1.1485931334645611E-3</c:v>
                </c:pt>
                <c:pt idx="6132">
                  <c:v>1.2468196897803766E-3</c:v>
                </c:pt>
                <c:pt idx="6133">
                  <c:v>1.4762308365710978E-3</c:v>
                </c:pt>
                <c:pt idx="6134">
                  <c:v>1.0110339906624932E-3</c:v>
                </c:pt>
                <c:pt idx="6135">
                  <c:v>8.0774855033608774E-4</c:v>
                </c:pt>
                <c:pt idx="6136">
                  <c:v>1.1687524106703128E-3</c:v>
                </c:pt>
                <c:pt idx="6137">
                  <c:v>5.928320429152375E-4</c:v>
                </c:pt>
                <c:pt idx="6138">
                  <c:v>7.3325762498101764E-4</c:v>
                </c:pt>
                <c:pt idx="6139">
                  <c:v>9.7127046810705918E-4</c:v>
                </c:pt>
                <c:pt idx="6140">
                  <c:v>5.3602391632636239E-4</c:v>
                </c:pt>
                <c:pt idx="6141">
                  <c:v>1.1076876760016288E-3</c:v>
                </c:pt>
                <c:pt idx="6142">
                  <c:v>3.5250320966234065E-4</c:v>
                </c:pt>
                <c:pt idx="6143">
                  <c:v>1.1798336900511227E-3</c:v>
                </c:pt>
                <c:pt idx="6144">
                  <c:v>1.1243425498793035E-3</c:v>
                </c:pt>
                <c:pt idx="6145">
                  <c:v>9.9853701582302049E-4</c:v>
                </c:pt>
                <c:pt idx="6146">
                  <c:v>9.1963734699463642E-4</c:v>
                </c:pt>
                <c:pt idx="6147">
                  <c:v>8.3320289404355198E-4</c:v>
                </c:pt>
                <c:pt idx="6148">
                  <c:v>1.1236274882668945E-3</c:v>
                </c:pt>
                <c:pt idx="6149">
                  <c:v>1.2978985040004506E-3</c:v>
                </c:pt>
                <c:pt idx="6150">
                  <c:v>4.4221903682258848E-4</c:v>
                </c:pt>
                <c:pt idx="6151">
                  <c:v>8.4926582962030971E-4</c:v>
                </c:pt>
                <c:pt idx="6152">
                  <c:v>1.0880415596215918E-3</c:v>
                </c:pt>
                <c:pt idx="6153">
                  <c:v>6.6631062339685631E-4</c:v>
                </c:pt>
                <c:pt idx="6154">
                  <c:v>1.1268258063795297E-3</c:v>
                </c:pt>
                <c:pt idx="6155">
                  <c:v>1.2598628542496129E-3</c:v>
                </c:pt>
                <c:pt idx="6156">
                  <c:v>6.4528420433930197E-4</c:v>
                </c:pt>
                <c:pt idx="6157">
                  <c:v>4.2289064435681062E-4</c:v>
                </c:pt>
                <c:pt idx="6158">
                  <c:v>4.2776161284255906E-4</c:v>
                </c:pt>
                <c:pt idx="6159">
                  <c:v>9.9840161796773113E-4</c:v>
                </c:pt>
                <c:pt idx="6160">
                  <c:v>9.5464957326638002E-4</c:v>
                </c:pt>
                <c:pt idx="6161">
                  <c:v>6.866421979854206E-4</c:v>
                </c:pt>
                <c:pt idx="6162">
                  <c:v>2.992086716805652E-4</c:v>
                </c:pt>
                <c:pt idx="6163">
                  <c:v>8.5908397159172912E-4</c:v>
                </c:pt>
                <c:pt idx="6164">
                  <c:v>6.7573054691018092E-4</c:v>
                </c:pt>
                <c:pt idx="6165">
                  <c:v>6.0777141495593182E-4</c:v>
                </c:pt>
                <c:pt idx="6166">
                  <c:v>8.6899407418663524E-4</c:v>
                </c:pt>
                <c:pt idx="6167">
                  <c:v>8.3748797594601794E-4</c:v>
                </c:pt>
                <c:pt idx="6168">
                  <c:v>6.8767656690005145E-4</c:v>
                </c:pt>
                <c:pt idx="6169">
                  <c:v>1.1332809318766843E-3</c:v>
                </c:pt>
                <c:pt idx="6170">
                  <c:v>6.5952385290257731E-4</c:v>
                </c:pt>
                <c:pt idx="6171">
                  <c:v>8.2927168838730595E-4</c:v>
                </c:pt>
                <c:pt idx="6172">
                  <c:v>4.8404865381514704E-4</c:v>
                </c:pt>
                <c:pt idx="6173">
                  <c:v>8.4091493071510764E-4</c:v>
                </c:pt>
                <c:pt idx="6174">
                  <c:v>5.5206341267328995E-4</c:v>
                </c:pt>
                <c:pt idx="6175">
                  <c:v>1.2981295892416373E-3</c:v>
                </c:pt>
                <c:pt idx="6176">
                  <c:v>6.9033560051313123E-4</c:v>
                </c:pt>
                <c:pt idx="6177">
                  <c:v>6.7270997275752E-4</c:v>
                </c:pt>
                <c:pt idx="6178">
                  <c:v>1.0626276621896473E-3</c:v>
                </c:pt>
                <c:pt idx="6179">
                  <c:v>9.4033164151156022E-4</c:v>
                </c:pt>
                <c:pt idx="6180">
                  <c:v>9.2907131935041553E-4</c:v>
                </c:pt>
                <c:pt idx="6181">
                  <c:v>6.516446349204496E-4</c:v>
                </c:pt>
                <c:pt idx="6182">
                  <c:v>8.5999584706496646E-4</c:v>
                </c:pt>
                <c:pt idx="6183">
                  <c:v>9.1995123806654674E-4</c:v>
                </c:pt>
                <c:pt idx="6184">
                  <c:v>1.0720718914569102E-3</c:v>
                </c:pt>
                <c:pt idx="6185">
                  <c:v>8.0663898055798272E-4</c:v>
                </c:pt>
                <c:pt idx="6186">
                  <c:v>7.3024854280336602E-4</c:v>
                </c:pt>
                <c:pt idx="6187">
                  <c:v>1.3270234660337425E-3</c:v>
                </c:pt>
                <c:pt idx="6188">
                  <c:v>7.4802387592562381E-4</c:v>
                </c:pt>
                <c:pt idx="6189">
                  <c:v>8.771946491838089E-4</c:v>
                </c:pt>
                <c:pt idx="6190">
                  <c:v>8.7672925037246574E-4</c:v>
                </c:pt>
                <c:pt idx="6191">
                  <c:v>1.4990957039442408E-3</c:v>
                </c:pt>
                <c:pt idx="6192">
                  <c:v>9.0806876025522211E-4</c:v>
                </c:pt>
                <c:pt idx="6193">
                  <c:v>6.3261845589747542E-4</c:v>
                </c:pt>
                <c:pt idx="6194">
                  <c:v>1.3399665785921268E-3</c:v>
                </c:pt>
                <c:pt idx="6195">
                  <c:v>1.3438011038140461E-3</c:v>
                </c:pt>
                <c:pt idx="6196">
                  <c:v>6.7211086414915898E-4</c:v>
                </c:pt>
                <c:pt idx="6197">
                  <c:v>1.5446203373249423E-3</c:v>
                </c:pt>
                <c:pt idx="6198">
                  <c:v>1.0155932839047241E-3</c:v>
                </c:pt>
                <c:pt idx="6199">
                  <c:v>3.5077529886562008E-4</c:v>
                </c:pt>
                <c:pt idx="6200">
                  <c:v>1.034861669243402E-3</c:v>
                </c:pt>
                <c:pt idx="6201">
                  <c:v>3.9210995830189066E-4</c:v>
                </c:pt>
                <c:pt idx="6202">
                  <c:v>1.2932535770659001E-3</c:v>
                </c:pt>
                <c:pt idx="6203">
                  <c:v>1.0490554424046116E-3</c:v>
                </c:pt>
                <c:pt idx="6204">
                  <c:v>9.9967615176977938E-4</c:v>
                </c:pt>
                <c:pt idx="6205">
                  <c:v>9.5949809055331065E-4</c:v>
                </c:pt>
                <c:pt idx="6206">
                  <c:v>6.9999237726689012E-4</c:v>
                </c:pt>
                <c:pt idx="6207">
                  <c:v>4.4588484739005847E-4</c:v>
                </c:pt>
                <c:pt idx="6208">
                  <c:v>4.1290534555655974E-4</c:v>
                </c:pt>
                <c:pt idx="6209">
                  <c:v>7.4333802648582099E-4</c:v>
                </c:pt>
                <c:pt idx="6210">
                  <c:v>1.3020506827283171E-3</c:v>
                </c:pt>
                <c:pt idx="6211">
                  <c:v>7.1755042007310267E-4</c:v>
                </c:pt>
                <c:pt idx="6212">
                  <c:v>7.6486759381653167E-4</c:v>
                </c:pt>
                <c:pt idx="6213">
                  <c:v>5.8266159796681956E-4</c:v>
                </c:pt>
                <c:pt idx="6214">
                  <c:v>5.786599822692433E-4</c:v>
                </c:pt>
                <c:pt idx="6215">
                  <c:v>1.1140932971885256E-3</c:v>
                </c:pt>
                <c:pt idx="6216">
                  <c:v>4.6261874502070131E-4</c:v>
                </c:pt>
                <c:pt idx="6217">
                  <c:v>8.0490077644666022E-4</c:v>
                </c:pt>
                <c:pt idx="6218">
                  <c:v>1.2606539311117973E-3</c:v>
                </c:pt>
                <c:pt idx="6219">
                  <c:v>8.2884400361442573E-4</c:v>
                </c:pt>
                <c:pt idx="6220">
                  <c:v>6.694397795667514E-4</c:v>
                </c:pt>
                <c:pt idx="6221">
                  <c:v>5.583322263976538E-4</c:v>
                </c:pt>
                <c:pt idx="6222">
                  <c:v>9.400906345930247E-4</c:v>
                </c:pt>
                <c:pt idx="6223">
                  <c:v>4.5089187112254316E-4</c:v>
                </c:pt>
                <c:pt idx="6224">
                  <c:v>6.6589494492542978E-4</c:v>
                </c:pt>
                <c:pt idx="6225">
                  <c:v>7.9907554295618403E-4</c:v>
                </c:pt>
                <c:pt idx="6226">
                  <c:v>5.8265921813153033E-4</c:v>
                </c:pt>
                <c:pt idx="6227">
                  <c:v>5.2248290782180081E-4</c:v>
                </c:pt>
                <c:pt idx="6228">
                  <c:v>9.4518182160477696E-4</c:v>
                </c:pt>
                <c:pt idx="6229">
                  <c:v>6.8894108408320458E-4</c:v>
                </c:pt>
                <c:pt idx="6230">
                  <c:v>8.5956259388192651E-4</c:v>
                </c:pt>
                <c:pt idx="6231">
                  <c:v>5.609378296981991E-4</c:v>
                </c:pt>
                <c:pt idx="6232">
                  <c:v>5.0168970334186634E-4</c:v>
                </c:pt>
                <c:pt idx="6233">
                  <c:v>1.0258187187819478E-3</c:v>
                </c:pt>
                <c:pt idx="6234">
                  <c:v>1.213722912565393E-3</c:v>
                </c:pt>
                <c:pt idx="6235">
                  <c:v>8.3992123604767228E-4</c:v>
                </c:pt>
                <c:pt idx="6236">
                  <c:v>9.1153602343314888E-4</c:v>
                </c:pt>
                <c:pt idx="6237">
                  <c:v>3.6317944852976697E-4</c:v>
                </c:pt>
                <c:pt idx="6238">
                  <c:v>4.6924894935673327E-4</c:v>
                </c:pt>
                <c:pt idx="6239">
                  <c:v>7.7152321797787661E-4</c:v>
                </c:pt>
                <c:pt idx="6240">
                  <c:v>4.3876103156492512E-4</c:v>
                </c:pt>
                <c:pt idx="6241">
                  <c:v>6.870396411836451E-4</c:v>
                </c:pt>
                <c:pt idx="6242">
                  <c:v>1.0942005850224418E-3</c:v>
                </c:pt>
                <c:pt idx="6243">
                  <c:v>7.8661919365781647E-4</c:v>
                </c:pt>
                <c:pt idx="6244">
                  <c:v>8.2383402643908623E-4</c:v>
                </c:pt>
                <c:pt idx="6245">
                  <c:v>6.473836375329332E-4</c:v>
                </c:pt>
                <c:pt idx="6246">
                  <c:v>7.5338081810923411E-4</c:v>
                </c:pt>
                <c:pt idx="6247">
                  <c:v>8.5781783613302553E-4</c:v>
                </c:pt>
                <c:pt idx="6248">
                  <c:v>5.8323610364140513E-4</c:v>
                </c:pt>
                <c:pt idx="6249">
                  <c:v>7.438141355610939E-4</c:v>
                </c:pt>
                <c:pt idx="6250">
                  <c:v>6.9090380885907627E-4</c:v>
                </c:pt>
                <c:pt idx="6251">
                  <c:v>5.4728314272503814E-4</c:v>
                </c:pt>
                <c:pt idx="6252">
                  <c:v>6.7582731805639973E-4</c:v>
                </c:pt>
                <c:pt idx="6253">
                  <c:v>8.9799280965920157E-4</c:v>
                </c:pt>
                <c:pt idx="6254">
                  <c:v>1.2396660856733115E-3</c:v>
                </c:pt>
                <c:pt idx="6255">
                  <c:v>2.3536962753211631E-4</c:v>
                </c:pt>
                <c:pt idx="6256">
                  <c:v>4.758586806269565E-4</c:v>
                </c:pt>
                <c:pt idx="6257">
                  <c:v>1.051481731396024E-3</c:v>
                </c:pt>
                <c:pt idx="6258">
                  <c:v>1.1059361444015555E-3</c:v>
                </c:pt>
                <c:pt idx="6259">
                  <c:v>6.4516350106652511E-4</c:v>
                </c:pt>
                <c:pt idx="6260">
                  <c:v>8.0814546049640058E-4</c:v>
                </c:pt>
                <c:pt idx="6261">
                  <c:v>1.040241513208105E-3</c:v>
                </c:pt>
                <c:pt idx="6262">
                  <c:v>1.0279773107772382E-3</c:v>
                </c:pt>
                <c:pt idx="6263">
                  <c:v>1.5355896342782636E-3</c:v>
                </c:pt>
                <c:pt idx="6264">
                  <c:v>1.1579161040572547E-3</c:v>
                </c:pt>
                <c:pt idx="6265">
                  <c:v>7.1644938384976596E-4</c:v>
                </c:pt>
                <c:pt idx="6266">
                  <c:v>1.0317525129486952E-3</c:v>
                </c:pt>
                <c:pt idx="6267">
                  <c:v>7.7211218810054744E-4</c:v>
                </c:pt>
                <c:pt idx="6268">
                  <c:v>1.319262845004342E-3</c:v>
                </c:pt>
                <c:pt idx="6269">
                  <c:v>5.4201657167221682E-4</c:v>
                </c:pt>
                <c:pt idx="6270">
                  <c:v>5.9770037233364292E-4</c:v>
                </c:pt>
                <c:pt idx="6271">
                  <c:v>6.3907336265033607E-4</c:v>
                </c:pt>
                <c:pt idx="6272">
                  <c:v>7.9428809265975691E-4</c:v>
                </c:pt>
                <c:pt idx="6273">
                  <c:v>4.2276156580690991E-4</c:v>
                </c:pt>
                <c:pt idx="6274">
                  <c:v>1.0423638936553621E-3</c:v>
                </c:pt>
                <c:pt idx="6275">
                  <c:v>5.3852125066189882E-4</c:v>
                </c:pt>
                <c:pt idx="6276">
                  <c:v>9.2845080725653033E-4</c:v>
                </c:pt>
                <c:pt idx="6277">
                  <c:v>9.9941554946590466E-4</c:v>
                </c:pt>
                <c:pt idx="6278">
                  <c:v>1.1532510328055676E-3</c:v>
                </c:pt>
                <c:pt idx="6279">
                  <c:v>5.9012958851959569E-4</c:v>
                </c:pt>
                <c:pt idx="6280">
                  <c:v>1.1767243896065418E-3</c:v>
                </c:pt>
                <c:pt idx="6281">
                  <c:v>8.9661700253911567E-4</c:v>
                </c:pt>
                <c:pt idx="6282">
                  <c:v>8.2431892824555832E-4</c:v>
                </c:pt>
                <c:pt idx="6283">
                  <c:v>7.689685301816517E-4</c:v>
                </c:pt>
                <c:pt idx="6284">
                  <c:v>9.5639910148533243E-4</c:v>
                </c:pt>
                <c:pt idx="6285">
                  <c:v>6.6741202005118851E-4</c:v>
                </c:pt>
                <c:pt idx="6286">
                  <c:v>9.2963503496719716E-4</c:v>
                </c:pt>
                <c:pt idx="6287">
                  <c:v>4.8527754762857421E-4</c:v>
                </c:pt>
                <c:pt idx="6288">
                  <c:v>1.0802146335117525E-3</c:v>
                </c:pt>
                <c:pt idx="6289">
                  <c:v>4.2352892597331306E-4</c:v>
                </c:pt>
                <c:pt idx="6290">
                  <c:v>1.4093014483634052E-3</c:v>
                </c:pt>
                <c:pt idx="6291">
                  <c:v>1.1459683300293084E-3</c:v>
                </c:pt>
                <c:pt idx="6292">
                  <c:v>1.2007368472213228E-3</c:v>
                </c:pt>
                <c:pt idx="6293">
                  <c:v>7.7472849749775342E-4</c:v>
                </c:pt>
                <c:pt idx="6294">
                  <c:v>6.3994700384403368E-4</c:v>
                </c:pt>
                <c:pt idx="6295">
                  <c:v>8.0614478672442894E-4</c:v>
                </c:pt>
                <c:pt idx="6296">
                  <c:v>1.0144887640917142E-3</c:v>
                </c:pt>
                <c:pt idx="6297">
                  <c:v>8.8506839658939829E-4</c:v>
                </c:pt>
                <c:pt idx="6298">
                  <c:v>5.4364210546267537E-4</c:v>
                </c:pt>
                <c:pt idx="6299">
                  <c:v>1.1945996722720158E-3</c:v>
                </c:pt>
                <c:pt idx="6300">
                  <c:v>3.3825579556860132E-4</c:v>
                </c:pt>
                <c:pt idx="6301">
                  <c:v>7.8855702296779439E-4</c:v>
                </c:pt>
                <c:pt idx="6302">
                  <c:v>8.1486604410204279E-4</c:v>
                </c:pt>
                <c:pt idx="6303">
                  <c:v>1.214743963765809E-3</c:v>
                </c:pt>
                <c:pt idx="6304">
                  <c:v>1.0414321272382676E-3</c:v>
                </c:pt>
                <c:pt idx="6305">
                  <c:v>1.0594839200868042E-3</c:v>
                </c:pt>
                <c:pt idx="6306">
                  <c:v>3.9629742132498341E-4</c:v>
                </c:pt>
                <c:pt idx="6307">
                  <c:v>1.1507336058157308E-3</c:v>
                </c:pt>
                <c:pt idx="6308">
                  <c:v>1.0696706462179797E-3</c:v>
                </c:pt>
                <c:pt idx="6309">
                  <c:v>6.1262999956263758E-4</c:v>
                </c:pt>
                <c:pt idx="6310">
                  <c:v>9.021524869167538E-4</c:v>
                </c:pt>
                <c:pt idx="6311">
                  <c:v>1.148951538012134E-3</c:v>
                </c:pt>
                <c:pt idx="6312">
                  <c:v>1.1856535922601746E-3</c:v>
                </c:pt>
                <c:pt idx="6313">
                  <c:v>4.0691842695801358E-4</c:v>
                </c:pt>
                <c:pt idx="6314">
                  <c:v>7.0066066825377716E-4</c:v>
                </c:pt>
                <c:pt idx="6315">
                  <c:v>5.406237184844545E-4</c:v>
                </c:pt>
                <c:pt idx="6316">
                  <c:v>1.1549015519806492E-3</c:v>
                </c:pt>
                <c:pt idx="6317">
                  <c:v>5.5133029181159078E-4</c:v>
                </c:pt>
                <c:pt idx="6318">
                  <c:v>1.0461239185200941E-3</c:v>
                </c:pt>
                <c:pt idx="6319">
                  <c:v>1.1890187262499966E-3</c:v>
                </c:pt>
                <c:pt idx="6320">
                  <c:v>1.0019894963210832E-3</c:v>
                </c:pt>
                <c:pt idx="6321">
                  <c:v>5.8724465788792361E-4</c:v>
                </c:pt>
                <c:pt idx="6322">
                  <c:v>1.8956214699831548E-4</c:v>
                </c:pt>
                <c:pt idx="6323">
                  <c:v>1.0267846361016772E-3</c:v>
                </c:pt>
                <c:pt idx="6324">
                  <c:v>6.2576000866730261E-4</c:v>
                </c:pt>
                <c:pt idx="6325">
                  <c:v>1.0272070539501369E-3</c:v>
                </c:pt>
                <c:pt idx="6326">
                  <c:v>4.2498156645822988E-4</c:v>
                </c:pt>
                <c:pt idx="6327">
                  <c:v>8.9507811856926324E-4</c:v>
                </c:pt>
                <c:pt idx="6328">
                  <c:v>1.1505923531601491E-3</c:v>
                </c:pt>
                <c:pt idx="6329">
                  <c:v>9.7073597750178201E-4</c:v>
                </c:pt>
                <c:pt idx="6330">
                  <c:v>7.6650736375974253E-4</c:v>
                </c:pt>
                <c:pt idx="6331">
                  <c:v>1.3600780176406455E-3</c:v>
                </c:pt>
                <c:pt idx="6332">
                  <c:v>7.0722799163279307E-4</c:v>
                </c:pt>
                <c:pt idx="6333">
                  <c:v>1.2203836951579581E-3</c:v>
                </c:pt>
                <c:pt idx="6334">
                  <c:v>6.435356377180396E-4</c:v>
                </c:pt>
                <c:pt idx="6335">
                  <c:v>8.5390201906495244E-4</c:v>
                </c:pt>
                <c:pt idx="6336">
                  <c:v>1.4723805996970372E-3</c:v>
                </c:pt>
                <c:pt idx="6337">
                  <c:v>1.1876212423094837E-3</c:v>
                </c:pt>
                <c:pt idx="6338">
                  <c:v>3.2749566596691439E-4</c:v>
                </c:pt>
                <c:pt idx="6339">
                  <c:v>7.7780488304164761E-4</c:v>
                </c:pt>
                <c:pt idx="6340">
                  <c:v>8.5417199241913312E-4</c:v>
                </c:pt>
                <c:pt idx="6341">
                  <c:v>1.1121319431107062E-3</c:v>
                </c:pt>
                <c:pt idx="6342">
                  <c:v>6.4907045325198224E-4</c:v>
                </c:pt>
                <c:pt idx="6343">
                  <c:v>9.5045449514049034E-4</c:v>
                </c:pt>
                <c:pt idx="6344">
                  <c:v>1.0918472677827393E-3</c:v>
                </c:pt>
                <c:pt idx="6345">
                  <c:v>1.3333038065373188E-3</c:v>
                </c:pt>
                <c:pt idx="6346">
                  <c:v>5.6504148292245426E-4</c:v>
                </c:pt>
                <c:pt idx="6347">
                  <c:v>1.1816010095972839E-3</c:v>
                </c:pt>
                <c:pt idx="6348">
                  <c:v>6.9449638715368103E-4</c:v>
                </c:pt>
                <c:pt idx="6349">
                  <c:v>6.4076860632245177E-4</c:v>
                </c:pt>
                <c:pt idx="6350">
                  <c:v>9.0744405783062417E-4</c:v>
                </c:pt>
                <c:pt idx="6351">
                  <c:v>8.8923196416313072E-4</c:v>
                </c:pt>
                <c:pt idx="6352">
                  <c:v>1.6117252581895875E-4</c:v>
                </c:pt>
                <c:pt idx="6353">
                  <c:v>9.9499532763258668E-4</c:v>
                </c:pt>
                <c:pt idx="6354">
                  <c:v>1.1825430105057674E-3</c:v>
                </c:pt>
                <c:pt idx="6355">
                  <c:v>4.4219842351018047E-4</c:v>
                </c:pt>
                <c:pt idx="6356">
                  <c:v>5.3073138247762542E-4</c:v>
                </c:pt>
                <c:pt idx="6357">
                  <c:v>9.7669620306416356E-4</c:v>
                </c:pt>
                <c:pt idx="6358">
                  <c:v>7.6592200825828386E-4</c:v>
                </c:pt>
                <c:pt idx="6359">
                  <c:v>5.8669847467403323E-4</c:v>
                </c:pt>
                <c:pt idx="6360">
                  <c:v>6.7911946189476609E-4</c:v>
                </c:pt>
                <c:pt idx="6361">
                  <c:v>1.2591695688904023E-3</c:v>
                </c:pt>
                <c:pt idx="6362">
                  <c:v>1.1061809543220125E-3</c:v>
                </c:pt>
                <c:pt idx="6363">
                  <c:v>4.3445245620172114E-4</c:v>
                </c:pt>
                <c:pt idx="6364">
                  <c:v>1.0359133924870804E-3</c:v>
                </c:pt>
                <c:pt idx="6365">
                  <c:v>8.0922207814153931E-4</c:v>
                </c:pt>
                <c:pt idx="6366">
                  <c:v>7.4820607658959194E-4</c:v>
                </c:pt>
                <c:pt idx="6367">
                  <c:v>6.6202870529111766E-4</c:v>
                </c:pt>
                <c:pt idx="6368">
                  <c:v>8.2450446112513167E-4</c:v>
                </c:pt>
                <c:pt idx="6369">
                  <c:v>4.1947274812877372E-4</c:v>
                </c:pt>
                <c:pt idx="6370">
                  <c:v>8.9821328396308799E-4</c:v>
                </c:pt>
                <c:pt idx="6371">
                  <c:v>6.2609124687389855E-4</c:v>
                </c:pt>
                <c:pt idx="6372">
                  <c:v>9.2604304653076924E-4</c:v>
                </c:pt>
                <c:pt idx="6373">
                  <c:v>1.0989368928770705E-3</c:v>
                </c:pt>
                <c:pt idx="6374">
                  <c:v>1.2037795946149969E-3</c:v>
                </c:pt>
                <c:pt idx="6375">
                  <c:v>1.1591273586534011E-3</c:v>
                </c:pt>
                <c:pt idx="6376">
                  <c:v>3.6250187537951306E-4</c:v>
                </c:pt>
                <c:pt idx="6377">
                  <c:v>1.8230014295540816E-4</c:v>
                </c:pt>
                <c:pt idx="6378">
                  <c:v>1.0882458951370496E-3</c:v>
                </c:pt>
                <c:pt idx="6379">
                  <c:v>8.9621760717774942E-4</c:v>
                </c:pt>
                <c:pt idx="6380">
                  <c:v>1.2799524837826723E-3</c:v>
                </c:pt>
                <c:pt idx="6381">
                  <c:v>6.9362505679298569E-4</c:v>
                </c:pt>
                <c:pt idx="6382">
                  <c:v>1.3298265510769416E-3</c:v>
                </c:pt>
                <c:pt idx="6383">
                  <c:v>3.5928074807384128E-4</c:v>
                </c:pt>
                <c:pt idx="6384">
                  <c:v>1.2850145413434485E-3</c:v>
                </c:pt>
                <c:pt idx="6385">
                  <c:v>4.7967608099854436E-4</c:v>
                </c:pt>
                <c:pt idx="6386">
                  <c:v>1.3351257370720466E-3</c:v>
                </c:pt>
                <c:pt idx="6387">
                  <c:v>1.2894751453223191E-3</c:v>
                </c:pt>
                <c:pt idx="6388">
                  <c:v>8.7417096642099256E-4</c:v>
                </c:pt>
                <c:pt idx="6389">
                  <c:v>7.0176656582933092E-4</c:v>
                </c:pt>
                <c:pt idx="6390">
                  <c:v>4.8937957789060643E-4</c:v>
                </c:pt>
                <c:pt idx="6391">
                  <c:v>4.7281952607109486E-4</c:v>
                </c:pt>
                <c:pt idx="6392">
                  <c:v>9.0565112077065231E-4</c:v>
                </c:pt>
                <c:pt idx="6393">
                  <c:v>9.7206724684284094E-4</c:v>
                </c:pt>
                <c:pt idx="6394">
                  <c:v>1.5718413131266223E-3</c:v>
                </c:pt>
                <c:pt idx="6395">
                  <c:v>1.1079963550044811E-3</c:v>
                </c:pt>
                <c:pt idx="6396">
                  <c:v>4.8332049627773589E-4</c:v>
                </c:pt>
                <c:pt idx="6397">
                  <c:v>9.128059185633167E-4</c:v>
                </c:pt>
                <c:pt idx="6398">
                  <c:v>9.1431960343843911E-4</c:v>
                </c:pt>
                <c:pt idx="6399">
                  <c:v>6.737467958009499E-4</c:v>
                </c:pt>
                <c:pt idx="6400">
                  <c:v>6.5130237541503942E-4</c:v>
                </c:pt>
                <c:pt idx="6401">
                  <c:v>9.789040169183548E-4</c:v>
                </c:pt>
                <c:pt idx="6402">
                  <c:v>1.1574500948339928E-3</c:v>
                </c:pt>
                <c:pt idx="6403">
                  <c:v>3.7071085925038786E-4</c:v>
                </c:pt>
                <c:pt idx="6404">
                  <c:v>9.4445244511529806E-4</c:v>
                </c:pt>
                <c:pt idx="6405">
                  <c:v>8.3140403222755114E-4</c:v>
                </c:pt>
                <c:pt idx="6406">
                  <c:v>8.7097106790646567E-5</c:v>
                </c:pt>
                <c:pt idx="6407">
                  <c:v>1.4478229971163917E-3</c:v>
                </c:pt>
                <c:pt idx="6408">
                  <c:v>7.032744868087483E-4</c:v>
                </c:pt>
                <c:pt idx="6409">
                  <c:v>1.0433649689480528E-3</c:v>
                </c:pt>
                <c:pt idx="6410">
                  <c:v>6.5880747778694257E-4</c:v>
                </c:pt>
                <c:pt idx="6411">
                  <c:v>6.8606254499274167E-4</c:v>
                </c:pt>
                <c:pt idx="6412">
                  <c:v>1.4213850761584177E-3</c:v>
                </c:pt>
                <c:pt idx="6413">
                  <c:v>5.6378588357346236E-4</c:v>
                </c:pt>
                <c:pt idx="6414">
                  <c:v>6.473743953941671E-4</c:v>
                </c:pt>
                <c:pt idx="6415">
                  <c:v>1.0920278782732677E-3</c:v>
                </c:pt>
                <c:pt idx="6416">
                  <c:v>9.2000432973928057E-4</c:v>
                </c:pt>
                <c:pt idx="6417">
                  <c:v>8.6818512324662606E-4</c:v>
                </c:pt>
                <c:pt idx="6418">
                  <c:v>8.4007209856832676E-4</c:v>
                </c:pt>
                <c:pt idx="6419">
                  <c:v>1.0719952727879861E-3</c:v>
                </c:pt>
                <c:pt idx="6420">
                  <c:v>6.4687931317899592E-4</c:v>
                </c:pt>
                <c:pt idx="6421">
                  <c:v>7.8762371942648832E-4</c:v>
                </c:pt>
                <c:pt idx="6422">
                  <c:v>1.0948577902631833E-3</c:v>
                </c:pt>
                <c:pt idx="6423">
                  <c:v>7.8487766820134626E-4</c:v>
                </c:pt>
                <c:pt idx="6424">
                  <c:v>9.6366240304890437E-4</c:v>
                </c:pt>
                <c:pt idx="6425">
                  <c:v>5.8268007678424381E-4</c:v>
                </c:pt>
                <c:pt idx="6426">
                  <c:v>9.5069909221514714E-4</c:v>
                </c:pt>
                <c:pt idx="6427">
                  <c:v>5.2080034388961554E-4</c:v>
                </c:pt>
                <c:pt idx="6428">
                  <c:v>1.1911356741771172E-3</c:v>
                </c:pt>
                <c:pt idx="6429">
                  <c:v>1.6575148255913938E-3</c:v>
                </c:pt>
                <c:pt idx="6430">
                  <c:v>6.3085447756356403E-4</c:v>
                </c:pt>
                <c:pt idx="6431">
                  <c:v>7.7143064166312674E-4</c:v>
                </c:pt>
                <c:pt idx="6432">
                  <c:v>9.9878561213387318E-4</c:v>
                </c:pt>
                <c:pt idx="6433">
                  <c:v>2.2156263519173958E-4</c:v>
                </c:pt>
                <c:pt idx="6434">
                  <c:v>4.3246044633361022E-4</c:v>
                </c:pt>
                <c:pt idx="6435">
                  <c:v>1.2101231154197241E-3</c:v>
                </c:pt>
                <c:pt idx="6436">
                  <c:v>2.7742301827292956E-4</c:v>
                </c:pt>
                <c:pt idx="6437">
                  <c:v>9.1683053696365376E-4</c:v>
                </c:pt>
                <c:pt idx="6438">
                  <c:v>9.7729603444202682E-4</c:v>
                </c:pt>
                <c:pt idx="6439">
                  <c:v>4.9194015678764207E-4</c:v>
                </c:pt>
                <c:pt idx="6440">
                  <c:v>3.6229776917128697E-4</c:v>
                </c:pt>
                <c:pt idx="6441">
                  <c:v>7.5234351174262933E-4</c:v>
                </c:pt>
                <c:pt idx="6442">
                  <c:v>6.8942994160541753E-4</c:v>
                </c:pt>
                <c:pt idx="6443">
                  <c:v>5.6727914501207989E-4</c:v>
                </c:pt>
                <c:pt idx="6444">
                  <c:v>1.1153944889487014E-3</c:v>
                </c:pt>
                <c:pt idx="6445">
                  <c:v>6.3465282427744066E-4</c:v>
                </c:pt>
                <c:pt idx="6446">
                  <c:v>1.2823869819170589E-3</c:v>
                </c:pt>
                <c:pt idx="6447">
                  <c:v>9.0486216576005703E-4</c:v>
                </c:pt>
                <c:pt idx="6448">
                  <c:v>1.0288302949025732E-3</c:v>
                </c:pt>
                <c:pt idx="6449">
                  <c:v>7.4030388266459191E-4</c:v>
                </c:pt>
                <c:pt idx="6450">
                  <c:v>9.4092303063706968E-4</c:v>
                </c:pt>
                <c:pt idx="6451">
                  <c:v>3.9384502097444547E-4</c:v>
                </c:pt>
                <c:pt idx="6452">
                  <c:v>9.9037439572406813E-4</c:v>
                </c:pt>
                <c:pt idx="6453">
                  <c:v>1.1759715268409652E-3</c:v>
                </c:pt>
                <c:pt idx="6454">
                  <c:v>7.3695000079101102E-4</c:v>
                </c:pt>
                <c:pt idx="6455">
                  <c:v>7.2044104380004231E-4</c:v>
                </c:pt>
                <c:pt idx="6456">
                  <c:v>1.5829234547911767E-3</c:v>
                </c:pt>
                <c:pt idx="6457">
                  <c:v>9.0042611508285835E-4</c:v>
                </c:pt>
                <c:pt idx="6458">
                  <c:v>8.3032659318206124E-4</c:v>
                </c:pt>
                <c:pt idx="6459">
                  <c:v>9.0375435462448103E-4</c:v>
                </c:pt>
                <c:pt idx="6460">
                  <c:v>7.6730742911903474E-4</c:v>
                </c:pt>
                <c:pt idx="6461">
                  <c:v>8.1985379417695852E-4</c:v>
                </c:pt>
                <c:pt idx="6462">
                  <c:v>3.8551222549401329E-4</c:v>
                </c:pt>
                <c:pt idx="6463">
                  <c:v>3.6727502912854715E-4</c:v>
                </c:pt>
                <c:pt idx="6464">
                  <c:v>8.6871979854110347E-4</c:v>
                </c:pt>
                <c:pt idx="6465">
                  <c:v>6.5291678352698171E-4</c:v>
                </c:pt>
                <c:pt idx="6466">
                  <c:v>7.783756871347407E-4</c:v>
                </c:pt>
                <c:pt idx="6467">
                  <c:v>9.2379443425941914E-4</c:v>
                </c:pt>
                <c:pt idx="6468">
                  <c:v>9.0363126345671218E-4</c:v>
                </c:pt>
                <c:pt idx="6469">
                  <c:v>1.0164131401474528E-3</c:v>
                </c:pt>
                <c:pt idx="6470">
                  <c:v>1.038252594878303E-3</c:v>
                </c:pt>
                <c:pt idx="6471">
                  <c:v>7.6993856754395157E-4</c:v>
                </c:pt>
                <c:pt idx="6472">
                  <c:v>5.4534763882612997E-4</c:v>
                </c:pt>
                <c:pt idx="6473">
                  <c:v>5.9315994859567706E-4</c:v>
                </c:pt>
                <c:pt idx="6474">
                  <c:v>1.0005995991208614E-3</c:v>
                </c:pt>
                <c:pt idx="6475">
                  <c:v>5.5714123892659816E-4</c:v>
                </c:pt>
                <c:pt idx="6476">
                  <c:v>2.9653644917205591E-4</c:v>
                </c:pt>
                <c:pt idx="6477">
                  <c:v>1.1495124744494271E-3</c:v>
                </c:pt>
                <c:pt idx="6478">
                  <c:v>1.059944549161702E-3</c:v>
                </c:pt>
                <c:pt idx="6479">
                  <c:v>3.2960519253728046E-4</c:v>
                </c:pt>
                <c:pt idx="6480">
                  <c:v>3.3336690045371266E-4</c:v>
                </c:pt>
                <c:pt idx="6481">
                  <c:v>7.8188650431994548E-4</c:v>
                </c:pt>
                <c:pt idx="6482">
                  <c:v>8.1138785056176913E-4</c:v>
                </c:pt>
                <c:pt idx="6483">
                  <c:v>9.0669382497137515E-4</c:v>
                </c:pt>
                <c:pt idx="6484">
                  <c:v>9.9169348570325136E-4</c:v>
                </c:pt>
                <c:pt idx="6485">
                  <c:v>1.4687787536518441E-3</c:v>
                </c:pt>
                <c:pt idx="6486">
                  <c:v>9.4053890543201733E-4</c:v>
                </c:pt>
                <c:pt idx="6487">
                  <c:v>4.0429661471881178E-4</c:v>
                </c:pt>
                <c:pt idx="6488">
                  <c:v>7.5602887812569537E-4</c:v>
                </c:pt>
                <c:pt idx="6489">
                  <c:v>1.2574161666487336E-3</c:v>
                </c:pt>
                <c:pt idx="6490">
                  <c:v>3.7904632239806079E-4</c:v>
                </c:pt>
                <c:pt idx="6491">
                  <c:v>1.0782528509407348E-3</c:v>
                </c:pt>
                <c:pt idx="6492">
                  <c:v>7.0276144901449062E-4</c:v>
                </c:pt>
                <c:pt idx="6493">
                  <c:v>4.2166003959385437E-4</c:v>
                </c:pt>
                <c:pt idx="6494">
                  <c:v>6.1778529902267699E-4</c:v>
                </c:pt>
                <c:pt idx="6495">
                  <c:v>5.3186025529904394E-4</c:v>
                </c:pt>
                <c:pt idx="6496">
                  <c:v>1.3334896294037689E-3</c:v>
                </c:pt>
                <c:pt idx="6497">
                  <c:v>6.0473416463530365E-4</c:v>
                </c:pt>
                <c:pt idx="6498">
                  <c:v>7.7083791903356422E-4</c:v>
                </c:pt>
                <c:pt idx="6499">
                  <c:v>8.9862048191371264E-4</c:v>
                </c:pt>
                <c:pt idx="6500">
                  <c:v>5.4123332315040055E-4</c:v>
                </c:pt>
                <c:pt idx="6501">
                  <c:v>5.5349215025864542E-4</c:v>
                </c:pt>
                <c:pt idx="6502">
                  <c:v>8.7583325261167389E-4</c:v>
                </c:pt>
                <c:pt idx="6503">
                  <c:v>1.0136488377650934E-3</c:v>
                </c:pt>
                <c:pt idx="6504">
                  <c:v>6.504627952429149E-4</c:v>
                </c:pt>
                <c:pt idx="6505">
                  <c:v>1.0397236623312979E-3</c:v>
                </c:pt>
                <c:pt idx="6506">
                  <c:v>9.5900797016910358E-4</c:v>
                </c:pt>
                <c:pt idx="6507">
                  <c:v>6.3502102509422579E-4</c:v>
                </c:pt>
                <c:pt idx="6508">
                  <c:v>1.1369003625123165E-3</c:v>
                </c:pt>
                <c:pt idx="6509">
                  <c:v>4.0301973743029333E-4</c:v>
                </c:pt>
                <c:pt idx="6510">
                  <c:v>4.5274172360035519E-4</c:v>
                </c:pt>
                <c:pt idx="6511">
                  <c:v>5.0938126459419849E-4</c:v>
                </c:pt>
                <c:pt idx="6512">
                  <c:v>1.1420291438144982E-3</c:v>
                </c:pt>
                <c:pt idx="6513">
                  <c:v>3.9829988163691247E-4</c:v>
                </c:pt>
                <c:pt idx="6514">
                  <c:v>6.2114005716472755E-4</c:v>
                </c:pt>
                <c:pt idx="6515">
                  <c:v>8.4701939066689951E-4</c:v>
                </c:pt>
                <c:pt idx="6516">
                  <c:v>8.4261036028232365E-4</c:v>
                </c:pt>
                <c:pt idx="6517">
                  <c:v>6.8449226658320102E-4</c:v>
                </c:pt>
                <c:pt idx="6518">
                  <c:v>3.2069292855062032E-4</c:v>
                </c:pt>
                <c:pt idx="6519">
                  <c:v>4.099966656576201E-4</c:v>
                </c:pt>
                <c:pt idx="6520">
                  <c:v>8.4598958772450763E-4</c:v>
                </c:pt>
                <c:pt idx="6521">
                  <c:v>1.0994783191298867E-3</c:v>
                </c:pt>
                <c:pt idx="6522">
                  <c:v>9.7972205423126481E-4</c:v>
                </c:pt>
                <c:pt idx="6523">
                  <c:v>1.127854363291043E-3</c:v>
                </c:pt>
                <c:pt idx="6524">
                  <c:v>6.2769261525738053E-4</c:v>
                </c:pt>
                <c:pt idx="6525">
                  <c:v>1.0171234505415327E-3</c:v>
                </c:pt>
                <c:pt idx="6526">
                  <c:v>5.0327618816513482E-4</c:v>
                </c:pt>
                <c:pt idx="6527">
                  <c:v>6.6578288165875204E-4</c:v>
                </c:pt>
                <c:pt idx="6528">
                  <c:v>4.7902536856134491E-4</c:v>
                </c:pt>
                <c:pt idx="6529">
                  <c:v>2.7212038942983022E-4</c:v>
                </c:pt>
                <c:pt idx="6530">
                  <c:v>1.0553385921860433E-3</c:v>
                </c:pt>
                <c:pt idx="6531">
                  <c:v>6.8938486761817449E-4</c:v>
                </c:pt>
                <c:pt idx="6532">
                  <c:v>1.1158052782348042E-3</c:v>
                </c:pt>
                <c:pt idx="6533">
                  <c:v>1.4448697386755102E-3</c:v>
                </c:pt>
                <c:pt idx="6534">
                  <c:v>8.7673784214287729E-4</c:v>
                </c:pt>
                <c:pt idx="6535">
                  <c:v>9.0166387739642128E-4</c:v>
                </c:pt>
                <c:pt idx="6536">
                  <c:v>8.9183050801337868E-4</c:v>
                </c:pt>
                <c:pt idx="6537">
                  <c:v>4.7240359991085394E-4</c:v>
                </c:pt>
                <c:pt idx="6538">
                  <c:v>6.5395403983185732E-4</c:v>
                </c:pt>
                <c:pt idx="6539">
                  <c:v>1.0633867557354884E-3</c:v>
                </c:pt>
                <c:pt idx="6540">
                  <c:v>5.903763303088806E-4</c:v>
                </c:pt>
                <c:pt idx="6541">
                  <c:v>7.6215681831748425E-4</c:v>
                </c:pt>
                <c:pt idx="6542">
                  <c:v>6.7489504423500813E-4</c:v>
                </c:pt>
                <c:pt idx="6543">
                  <c:v>1.3261976922305052E-3</c:v>
                </c:pt>
                <c:pt idx="6544">
                  <c:v>9.4727783949962602E-4</c:v>
                </c:pt>
                <c:pt idx="6545">
                  <c:v>9.7856239035609802E-4</c:v>
                </c:pt>
                <c:pt idx="6546">
                  <c:v>9.8755110847554184E-4</c:v>
                </c:pt>
                <c:pt idx="6547">
                  <c:v>3.9672424264940696E-4</c:v>
                </c:pt>
                <c:pt idx="6548">
                  <c:v>9.5778772685784061E-4</c:v>
                </c:pt>
                <c:pt idx="6549">
                  <c:v>1.2467203691280545E-3</c:v>
                </c:pt>
                <c:pt idx="6550">
                  <c:v>3.2486180070841946E-4</c:v>
                </c:pt>
                <c:pt idx="6551">
                  <c:v>6.6653225780970832E-4</c:v>
                </c:pt>
                <c:pt idx="6552">
                  <c:v>1.0782153955648172E-3</c:v>
                </c:pt>
                <c:pt idx="6553">
                  <c:v>1.5978231379391527E-3</c:v>
                </c:pt>
                <c:pt idx="6554">
                  <c:v>7.6229343592039965E-4</c:v>
                </c:pt>
                <c:pt idx="6555">
                  <c:v>5.4018536134413321E-4</c:v>
                </c:pt>
                <c:pt idx="6556">
                  <c:v>1.0610026004574519E-3</c:v>
                </c:pt>
                <c:pt idx="6557">
                  <c:v>4.5297457883799243E-4</c:v>
                </c:pt>
                <c:pt idx="6558">
                  <c:v>1.221342311525692E-3</c:v>
                </c:pt>
                <c:pt idx="6559">
                  <c:v>8.6329303877578326E-4</c:v>
                </c:pt>
                <c:pt idx="6560">
                  <c:v>5.3445012241258171E-4</c:v>
                </c:pt>
                <c:pt idx="6561">
                  <c:v>9.2042347128814162E-4</c:v>
                </c:pt>
                <c:pt idx="6562">
                  <c:v>2.9786033338919927E-4</c:v>
                </c:pt>
                <c:pt idx="6563">
                  <c:v>5.1802681525780526E-4</c:v>
                </c:pt>
                <c:pt idx="6564">
                  <c:v>1.1406417584311076E-3</c:v>
                </c:pt>
                <c:pt idx="6565">
                  <c:v>1.2935228480143001E-3</c:v>
                </c:pt>
                <c:pt idx="6566">
                  <c:v>6.9764150326551806E-4</c:v>
                </c:pt>
                <c:pt idx="6567">
                  <c:v>8.5393662031753163E-4</c:v>
                </c:pt>
                <c:pt idx="6568">
                  <c:v>4.3594811551314394E-4</c:v>
                </c:pt>
                <c:pt idx="6569">
                  <c:v>1.0380227648708459E-3</c:v>
                </c:pt>
                <c:pt idx="6570">
                  <c:v>1.1028163832053173E-3</c:v>
                </c:pt>
                <c:pt idx="6571">
                  <c:v>1.0170898729078815E-3</c:v>
                </c:pt>
                <c:pt idx="6572">
                  <c:v>1.4308161962203762E-3</c:v>
                </c:pt>
                <c:pt idx="6573">
                  <c:v>4.9819306790862671E-4</c:v>
                </c:pt>
                <c:pt idx="6574">
                  <c:v>1.9106642031885162E-3</c:v>
                </c:pt>
                <c:pt idx="6575">
                  <c:v>1.2664370522753275E-3</c:v>
                </c:pt>
                <c:pt idx="6576">
                  <c:v>6.6928342526362326E-4</c:v>
                </c:pt>
                <c:pt idx="6577">
                  <c:v>8.6372060132968624E-4</c:v>
                </c:pt>
                <c:pt idx="6578">
                  <c:v>1.1592313841921754E-3</c:v>
                </c:pt>
                <c:pt idx="6579">
                  <c:v>8.844544563391697E-4</c:v>
                </c:pt>
                <c:pt idx="6580">
                  <c:v>1.0930376667212878E-3</c:v>
                </c:pt>
                <c:pt idx="6581">
                  <c:v>8.6652502478940202E-4</c:v>
                </c:pt>
                <c:pt idx="6582">
                  <c:v>7.4208693559566364E-4</c:v>
                </c:pt>
                <c:pt idx="6583">
                  <c:v>8.8943554792647866E-4</c:v>
                </c:pt>
                <c:pt idx="6584">
                  <c:v>5.3840327897926635E-4</c:v>
                </c:pt>
                <c:pt idx="6585">
                  <c:v>3.978922781073194E-4</c:v>
                </c:pt>
                <c:pt idx="6586">
                  <c:v>6.991875521636774E-4</c:v>
                </c:pt>
                <c:pt idx="6587">
                  <c:v>2.528433051168994E-4</c:v>
                </c:pt>
                <c:pt idx="6588">
                  <c:v>9.943190888227222E-4</c:v>
                </c:pt>
                <c:pt idx="6589">
                  <c:v>8.5311073802253308E-4</c:v>
                </c:pt>
                <c:pt idx="6590">
                  <c:v>9.331966920130434E-4</c:v>
                </c:pt>
                <c:pt idx="6591">
                  <c:v>1.2455494047482665E-3</c:v>
                </c:pt>
                <c:pt idx="6592">
                  <c:v>1.2456616085964062E-3</c:v>
                </c:pt>
                <c:pt idx="6593">
                  <c:v>1.073421597774711E-3</c:v>
                </c:pt>
                <c:pt idx="6594">
                  <c:v>2.1420595322307282E-4</c:v>
                </c:pt>
                <c:pt idx="6595">
                  <c:v>9.7424774776640492E-4</c:v>
                </c:pt>
                <c:pt idx="6596">
                  <c:v>8.2723047118798455E-4</c:v>
                </c:pt>
                <c:pt idx="6597">
                  <c:v>6.1365498513684476E-4</c:v>
                </c:pt>
                <c:pt idx="6598">
                  <c:v>1.1506271156603806E-3</c:v>
                </c:pt>
                <c:pt idx="6599">
                  <c:v>4.2941528320788818E-4</c:v>
                </c:pt>
                <c:pt idx="6600">
                  <c:v>8.2255706207841372E-4</c:v>
                </c:pt>
                <c:pt idx="6601">
                  <c:v>6.5538534360899616E-4</c:v>
                </c:pt>
                <c:pt idx="6602">
                  <c:v>8.0135290867544453E-4</c:v>
                </c:pt>
                <c:pt idx="6603">
                  <c:v>6.3304710289006862E-4</c:v>
                </c:pt>
                <c:pt idx="6604">
                  <c:v>6.2442889778548398E-4</c:v>
                </c:pt>
                <c:pt idx="6605">
                  <c:v>1.1241874560964358E-3</c:v>
                </c:pt>
                <c:pt idx="6606">
                  <c:v>9.9081000646165365E-4</c:v>
                </c:pt>
                <c:pt idx="6607">
                  <c:v>7.0067082388307106E-4</c:v>
                </c:pt>
                <c:pt idx="6608">
                  <c:v>7.6864111971832068E-4</c:v>
                </c:pt>
                <c:pt idx="6609">
                  <c:v>4.990355559693374E-4</c:v>
                </c:pt>
                <c:pt idx="6610">
                  <c:v>9.4865917586790111E-4</c:v>
                </c:pt>
                <c:pt idx="6611">
                  <c:v>2.5847198845089131E-4</c:v>
                </c:pt>
                <c:pt idx="6612">
                  <c:v>5.1796389880940286E-4</c:v>
                </c:pt>
                <c:pt idx="6613">
                  <c:v>9.1460923478753353E-4</c:v>
                </c:pt>
                <c:pt idx="6614">
                  <c:v>1.1168470150745692E-3</c:v>
                </c:pt>
                <c:pt idx="6615">
                  <c:v>8.8916649691325852E-4</c:v>
                </c:pt>
                <c:pt idx="6616">
                  <c:v>9.238631628129423E-4</c:v>
                </c:pt>
                <c:pt idx="6617">
                  <c:v>3.9642974945738635E-4</c:v>
                </c:pt>
                <c:pt idx="6618">
                  <c:v>1.0411483148629803E-3</c:v>
                </c:pt>
                <c:pt idx="6619">
                  <c:v>8.765819276994216E-4</c:v>
                </c:pt>
                <c:pt idx="6620">
                  <c:v>5.10222480438949E-4</c:v>
                </c:pt>
                <c:pt idx="6621">
                  <c:v>6.645857568833393E-4</c:v>
                </c:pt>
                <c:pt idx="6622">
                  <c:v>1.0069604284533959E-3</c:v>
                </c:pt>
                <c:pt idx="6623">
                  <c:v>9.0972462143111836E-4</c:v>
                </c:pt>
                <c:pt idx="6624">
                  <c:v>4.5123050020432219E-4</c:v>
                </c:pt>
                <c:pt idx="6625">
                  <c:v>4.708034544928032E-4</c:v>
                </c:pt>
                <c:pt idx="6626">
                  <c:v>1.2430956938341245E-3</c:v>
                </c:pt>
                <c:pt idx="6627">
                  <c:v>6.8081050393043168E-4</c:v>
                </c:pt>
                <c:pt idx="6628">
                  <c:v>1.1749013932279664E-3</c:v>
                </c:pt>
                <c:pt idx="6629">
                  <c:v>9.8791808906683763E-4</c:v>
                </c:pt>
                <c:pt idx="6630">
                  <c:v>8.3561765895474242E-4</c:v>
                </c:pt>
                <c:pt idx="6631">
                  <c:v>8.9775739601324466E-4</c:v>
                </c:pt>
                <c:pt idx="6632">
                  <c:v>1.3269484491483809E-3</c:v>
                </c:pt>
                <c:pt idx="6633">
                  <c:v>1.2050324750400366E-3</c:v>
                </c:pt>
                <c:pt idx="6634">
                  <c:v>1.4523120680230866E-3</c:v>
                </c:pt>
                <c:pt idx="6635">
                  <c:v>1.0880578534040784E-3</c:v>
                </c:pt>
                <c:pt idx="6636">
                  <c:v>8.3081528445768022E-4</c:v>
                </c:pt>
                <c:pt idx="6637">
                  <c:v>7.1585788061096823E-4</c:v>
                </c:pt>
                <c:pt idx="6638">
                  <c:v>9.3161864714892163E-4</c:v>
                </c:pt>
                <c:pt idx="6639">
                  <c:v>9.2032687088790981E-4</c:v>
                </c:pt>
                <c:pt idx="6640">
                  <c:v>8.9331558868432253E-4</c:v>
                </c:pt>
                <c:pt idx="6641">
                  <c:v>1.2016905249447693E-3</c:v>
                </c:pt>
                <c:pt idx="6642">
                  <c:v>1.07885046913665E-3</c:v>
                </c:pt>
                <c:pt idx="6643">
                  <c:v>9.5376746668763201E-4</c:v>
                </c:pt>
                <c:pt idx="6644">
                  <c:v>6.5803016794400548E-4</c:v>
                </c:pt>
                <c:pt idx="6645">
                  <c:v>1.093520610776208E-3</c:v>
                </c:pt>
                <c:pt idx="6646">
                  <c:v>7.6927197622422209E-4</c:v>
                </c:pt>
                <c:pt idx="6647">
                  <c:v>4.1612824440232974E-4</c:v>
                </c:pt>
                <c:pt idx="6648">
                  <c:v>7.2990396840262736E-4</c:v>
                </c:pt>
                <c:pt idx="6649">
                  <c:v>4.6170505114194498E-4</c:v>
                </c:pt>
                <c:pt idx="6650">
                  <c:v>9.816649301042416E-4</c:v>
                </c:pt>
                <c:pt idx="6651">
                  <c:v>5.2106476737976619E-4</c:v>
                </c:pt>
                <c:pt idx="6652">
                  <c:v>2.891508096110123E-4</c:v>
                </c:pt>
                <c:pt idx="6653">
                  <c:v>1.0430890574315229E-3</c:v>
                </c:pt>
                <c:pt idx="6654">
                  <c:v>4.0405865484167307E-4</c:v>
                </c:pt>
                <c:pt idx="6655">
                  <c:v>8.926146146276048E-4</c:v>
                </c:pt>
                <c:pt idx="6656">
                  <c:v>1.3742937240880731E-3</c:v>
                </c:pt>
                <c:pt idx="6657">
                  <c:v>7.4805180417555103E-4</c:v>
                </c:pt>
                <c:pt idx="6658">
                  <c:v>7.4286436478022435E-4</c:v>
                </c:pt>
                <c:pt idx="6659">
                  <c:v>7.9179856041383645E-4</c:v>
                </c:pt>
                <c:pt idx="6660">
                  <c:v>9.512474391608532E-4</c:v>
                </c:pt>
                <c:pt idx="6661">
                  <c:v>1.0612713353503264E-3</c:v>
                </c:pt>
                <c:pt idx="6662">
                  <c:v>1.1404952457108866E-3</c:v>
                </c:pt>
                <c:pt idx="6663">
                  <c:v>3.2967949272301987E-4</c:v>
                </c:pt>
                <c:pt idx="6664">
                  <c:v>8.9460984468243488E-4</c:v>
                </c:pt>
                <c:pt idx="6665">
                  <c:v>6.0818482692397786E-4</c:v>
                </c:pt>
                <c:pt idx="6666">
                  <c:v>9.3350056540502161E-4</c:v>
                </c:pt>
                <c:pt idx="6667">
                  <c:v>1.3057641321974349E-3</c:v>
                </c:pt>
                <c:pt idx="6668">
                  <c:v>1.3127186606185566E-3</c:v>
                </c:pt>
                <c:pt idx="6669">
                  <c:v>7.0295039377694002E-4</c:v>
                </c:pt>
                <c:pt idx="6670">
                  <c:v>1.1527923509230525E-3</c:v>
                </c:pt>
                <c:pt idx="6671">
                  <c:v>3.8542876134120985E-4</c:v>
                </c:pt>
                <c:pt idx="6672">
                  <c:v>1.0118133614033626E-3</c:v>
                </c:pt>
                <c:pt idx="6673">
                  <c:v>8.1005367529994262E-4</c:v>
                </c:pt>
                <c:pt idx="6674">
                  <c:v>1.3338194974578145E-3</c:v>
                </c:pt>
                <c:pt idx="6675">
                  <c:v>8.2579924232437573E-4</c:v>
                </c:pt>
                <c:pt idx="6676">
                  <c:v>7.1957237576744648E-4</c:v>
                </c:pt>
                <c:pt idx="6677">
                  <c:v>5.0754301091312604E-4</c:v>
                </c:pt>
                <c:pt idx="6678">
                  <c:v>7.9855327914375132E-4</c:v>
                </c:pt>
                <c:pt idx="6679">
                  <c:v>1.0550501360304481E-3</c:v>
                </c:pt>
                <c:pt idx="6680">
                  <c:v>1.2993831857597076E-3</c:v>
                </c:pt>
                <c:pt idx="6681">
                  <c:v>8.4733761845022374E-4</c:v>
                </c:pt>
                <c:pt idx="6682">
                  <c:v>1.3651389293278988E-3</c:v>
                </c:pt>
                <c:pt idx="6683">
                  <c:v>6.0206858548550002E-4</c:v>
                </c:pt>
                <c:pt idx="6684">
                  <c:v>9.9540345383115122E-4</c:v>
                </c:pt>
                <c:pt idx="6685">
                  <c:v>8.907266026239103E-4</c:v>
                </c:pt>
                <c:pt idx="6686">
                  <c:v>1.0679814387132558E-3</c:v>
                </c:pt>
                <c:pt idx="6687">
                  <c:v>7.0592017408458482E-4</c:v>
                </c:pt>
                <c:pt idx="6688">
                  <c:v>7.7005941964095341E-4</c:v>
                </c:pt>
                <c:pt idx="6689">
                  <c:v>7.6361958952373093E-4</c:v>
                </c:pt>
                <c:pt idx="6690">
                  <c:v>8.1758057705925372E-4</c:v>
                </c:pt>
                <c:pt idx="6691">
                  <c:v>1.302754810930776E-3</c:v>
                </c:pt>
                <c:pt idx="6692">
                  <c:v>7.0525126074587221E-4</c:v>
                </c:pt>
                <c:pt idx="6693">
                  <c:v>5.5746986368734007E-4</c:v>
                </c:pt>
                <c:pt idx="6694">
                  <c:v>5.3806015005020385E-4</c:v>
                </c:pt>
                <c:pt idx="6695">
                  <c:v>6.1476635215158934E-4</c:v>
                </c:pt>
                <c:pt idx="6696">
                  <c:v>1.5237298253418555E-3</c:v>
                </c:pt>
                <c:pt idx="6697">
                  <c:v>1.3656778775549784E-3</c:v>
                </c:pt>
                <c:pt idx="6698">
                  <c:v>3.4130074288232521E-4</c:v>
                </c:pt>
                <c:pt idx="6699">
                  <c:v>1.2277666904814174E-3</c:v>
                </c:pt>
                <c:pt idx="6700">
                  <c:v>4.6292537778553424E-4</c:v>
                </c:pt>
                <c:pt idx="6701">
                  <c:v>1.0160128587604516E-3</c:v>
                </c:pt>
                <c:pt idx="6702">
                  <c:v>1.1095868989968328E-3</c:v>
                </c:pt>
                <c:pt idx="6703">
                  <c:v>8.5742171459602344E-4</c:v>
                </c:pt>
                <c:pt idx="6704">
                  <c:v>9.2559904630824179E-4</c:v>
                </c:pt>
                <c:pt idx="6705">
                  <c:v>1.3296053463227298E-3</c:v>
                </c:pt>
                <c:pt idx="6706">
                  <c:v>2.7395315666800632E-4</c:v>
                </c:pt>
                <c:pt idx="6707">
                  <c:v>1.038748480799879E-3</c:v>
                </c:pt>
                <c:pt idx="6708">
                  <c:v>9.8240946955394657E-4</c:v>
                </c:pt>
                <c:pt idx="6709">
                  <c:v>4.9441970779757506E-4</c:v>
                </c:pt>
                <c:pt idx="6710">
                  <c:v>6.9134871403182644E-4</c:v>
                </c:pt>
                <c:pt idx="6711">
                  <c:v>2.984291112552927E-4</c:v>
                </c:pt>
                <c:pt idx="6712">
                  <c:v>6.0815569526714776E-4</c:v>
                </c:pt>
                <c:pt idx="6713">
                  <c:v>5.7590280914504143E-4</c:v>
                </c:pt>
                <c:pt idx="6714">
                  <c:v>1.0244411464412238E-3</c:v>
                </c:pt>
                <c:pt idx="6715">
                  <c:v>3.4060898926991691E-4</c:v>
                </c:pt>
                <c:pt idx="6716">
                  <c:v>5.6087215364452171E-4</c:v>
                </c:pt>
                <c:pt idx="6717">
                  <c:v>1.3649288810453999E-3</c:v>
                </c:pt>
                <c:pt idx="6718">
                  <c:v>3.3808133175041377E-4</c:v>
                </c:pt>
                <c:pt idx="6719">
                  <c:v>9.7688891910849155E-4</c:v>
                </c:pt>
                <c:pt idx="6720">
                  <c:v>5.8853833939240404E-4</c:v>
                </c:pt>
                <c:pt idx="6721">
                  <c:v>5.6430202878258258E-4</c:v>
                </c:pt>
                <c:pt idx="6722">
                  <c:v>5.9077537418956582E-4</c:v>
                </c:pt>
                <c:pt idx="6723">
                  <c:v>1.5786623920341805E-3</c:v>
                </c:pt>
                <c:pt idx="6724">
                  <c:v>6.85489280754478E-4</c:v>
                </c:pt>
                <c:pt idx="6725">
                  <c:v>1.3781685682001871E-3</c:v>
                </c:pt>
                <c:pt idx="6726">
                  <c:v>8.2432602175087791E-4</c:v>
                </c:pt>
                <c:pt idx="6727">
                  <c:v>1.0552377694748351E-3</c:v>
                </c:pt>
                <c:pt idx="6728">
                  <c:v>1.1039128351959849E-3</c:v>
                </c:pt>
                <c:pt idx="6729">
                  <c:v>1.1975010724901303E-3</c:v>
                </c:pt>
                <c:pt idx="6730">
                  <c:v>6.749809548124157E-4</c:v>
                </c:pt>
                <c:pt idx="6731">
                  <c:v>9.9394081480948335E-4</c:v>
                </c:pt>
                <c:pt idx="6732">
                  <c:v>8.6500945485212832E-4</c:v>
                </c:pt>
                <c:pt idx="6733">
                  <c:v>9.6985608320634823E-4</c:v>
                </c:pt>
                <c:pt idx="6734">
                  <c:v>1.8797712738785046E-3</c:v>
                </c:pt>
                <c:pt idx="6735">
                  <c:v>6.7282727548005172E-4</c:v>
                </c:pt>
                <c:pt idx="6736">
                  <c:v>4.7787018901479961E-4</c:v>
                </c:pt>
                <c:pt idx="6737">
                  <c:v>5.1387527046877683E-4</c:v>
                </c:pt>
                <c:pt idx="6738">
                  <c:v>5.9594734975118742E-4</c:v>
                </c:pt>
                <c:pt idx="6739">
                  <c:v>7.4851124741433022E-4</c:v>
                </c:pt>
                <c:pt idx="6740">
                  <c:v>9.1361339130235659E-4</c:v>
                </c:pt>
                <c:pt idx="6741">
                  <c:v>5.473889286751048E-4</c:v>
                </c:pt>
                <c:pt idx="6742">
                  <c:v>1.476148309460585E-3</c:v>
                </c:pt>
                <c:pt idx="6743">
                  <c:v>9.4239026812729292E-4</c:v>
                </c:pt>
                <c:pt idx="6744">
                  <c:v>8.5099880249729599E-4</c:v>
                </c:pt>
                <c:pt idx="6745">
                  <c:v>8.6399864083400255E-4</c:v>
                </c:pt>
                <c:pt idx="6746">
                  <c:v>7.8470602649960864E-4</c:v>
                </c:pt>
                <c:pt idx="6747">
                  <c:v>1.0505654274311771E-3</c:v>
                </c:pt>
                <c:pt idx="6748">
                  <c:v>9.3771730946089736E-4</c:v>
                </c:pt>
                <c:pt idx="6749">
                  <c:v>7.6186357589243009E-4</c:v>
                </c:pt>
                <c:pt idx="6750">
                  <c:v>6.2784788327675887E-4</c:v>
                </c:pt>
                <c:pt idx="6751">
                  <c:v>1.0780691399575497E-3</c:v>
                </c:pt>
                <c:pt idx="6752">
                  <c:v>1.0083160091417089E-3</c:v>
                </c:pt>
                <c:pt idx="6753">
                  <c:v>9.6322465588323286E-4</c:v>
                </c:pt>
                <c:pt idx="6754">
                  <c:v>1.465925563292915E-3</c:v>
                </c:pt>
                <c:pt idx="6755">
                  <c:v>6.6304743650261427E-4</c:v>
                </c:pt>
                <c:pt idx="6756">
                  <c:v>9.3987836945703973E-4</c:v>
                </c:pt>
                <c:pt idx="6757">
                  <c:v>3.746044051396915E-4</c:v>
                </c:pt>
                <c:pt idx="6758">
                  <c:v>9.7866244115907253E-4</c:v>
                </c:pt>
                <c:pt idx="6759">
                  <c:v>9.8240330917417408E-4</c:v>
                </c:pt>
                <c:pt idx="6760">
                  <c:v>7.5423989293048473E-4</c:v>
                </c:pt>
                <c:pt idx="6761">
                  <c:v>8.9333685697247107E-4</c:v>
                </c:pt>
                <c:pt idx="6762">
                  <c:v>9.8189881338986342E-4</c:v>
                </c:pt>
                <c:pt idx="6763">
                  <c:v>1.0599093867677478E-3</c:v>
                </c:pt>
                <c:pt idx="6764">
                  <c:v>9.6014199680093918E-4</c:v>
                </c:pt>
                <c:pt idx="6765">
                  <c:v>8.8264302736078975E-4</c:v>
                </c:pt>
                <c:pt idx="6766">
                  <c:v>1.1603853765076448E-3</c:v>
                </c:pt>
                <c:pt idx="6767">
                  <c:v>1.2596476967580189E-3</c:v>
                </c:pt>
                <c:pt idx="6768">
                  <c:v>6.5320588507845596E-4</c:v>
                </c:pt>
                <c:pt idx="6769">
                  <c:v>7.9330251821496623E-4</c:v>
                </c:pt>
                <c:pt idx="6770">
                  <c:v>6.7538119566788648E-4</c:v>
                </c:pt>
                <c:pt idx="6771">
                  <c:v>1.1130428078411098E-3</c:v>
                </c:pt>
                <c:pt idx="6772">
                  <c:v>2.7221738646957894E-4</c:v>
                </c:pt>
                <c:pt idx="6773">
                  <c:v>1.0237204565253118E-3</c:v>
                </c:pt>
                <c:pt idx="6774">
                  <c:v>9.880499889220757E-4</c:v>
                </c:pt>
                <c:pt idx="6775">
                  <c:v>1.1513222529318389E-3</c:v>
                </c:pt>
                <c:pt idx="6776">
                  <c:v>9.0243296043537153E-4</c:v>
                </c:pt>
                <c:pt idx="6777">
                  <c:v>3.5620274059238301E-4</c:v>
                </c:pt>
                <c:pt idx="6778">
                  <c:v>8.7811880375857629E-4</c:v>
                </c:pt>
                <c:pt idx="6779">
                  <c:v>1.3475133521418791E-3</c:v>
                </c:pt>
                <c:pt idx="6780">
                  <c:v>7.4762130101136304E-4</c:v>
                </c:pt>
                <c:pt idx="6781">
                  <c:v>1.043083096821389E-3</c:v>
                </c:pt>
                <c:pt idx="6782">
                  <c:v>9.7007093543398251E-4</c:v>
                </c:pt>
                <c:pt idx="6783">
                  <c:v>7.6126246867090359E-4</c:v>
                </c:pt>
                <c:pt idx="6784">
                  <c:v>7.4926894962922712E-4</c:v>
                </c:pt>
                <c:pt idx="6785">
                  <c:v>4.7872835497679686E-4</c:v>
                </c:pt>
                <c:pt idx="6786">
                  <c:v>5.8906836044455581E-4</c:v>
                </c:pt>
                <c:pt idx="6787">
                  <c:v>6.856250447516795E-4</c:v>
                </c:pt>
                <c:pt idx="6788">
                  <c:v>7.765874303140766E-4</c:v>
                </c:pt>
                <c:pt idx="6789">
                  <c:v>8.0939489881807071E-4</c:v>
                </c:pt>
                <c:pt idx="6790">
                  <c:v>2.598802058522713E-4</c:v>
                </c:pt>
                <c:pt idx="6791">
                  <c:v>1.0847966511705798E-3</c:v>
                </c:pt>
                <c:pt idx="6792">
                  <c:v>2.5402320455207035E-4</c:v>
                </c:pt>
                <c:pt idx="6793">
                  <c:v>4.1534231367366378E-4</c:v>
                </c:pt>
                <c:pt idx="6794">
                  <c:v>9.2154869590646571E-4</c:v>
                </c:pt>
                <c:pt idx="6795">
                  <c:v>3.2125661772049727E-4</c:v>
                </c:pt>
                <c:pt idx="6796">
                  <c:v>1.2153876215885873E-3</c:v>
                </c:pt>
                <c:pt idx="6797">
                  <c:v>7.1997525834948317E-4</c:v>
                </c:pt>
                <c:pt idx="6798">
                  <c:v>8.4730021815039092E-4</c:v>
                </c:pt>
                <c:pt idx="6799">
                  <c:v>9.0248221367524571E-4</c:v>
                </c:pt>
                <c:pt idx="6800">
                  <c:v>6.8180577023710062E-4</c:v>
                </c:pt>
                <c:pt idx="6801">
                  <c:v>9.3065520398230789E-4</c:v>
                </c:pt>
                <c:pt idx="6802">
                  <c:v>9.4506339939944104E-4</c:v>
                </c:pt>
                <c:pt idx="6803">
                  <c:v>9.3394407275178976E-4</c:v>
                </c:pt>
                <c:pt idx="6804">
                  <c:v>1.6344755205270685E-3</c:v>
                </c:pt>
                <c:pt idx="6805">
                  <c:v>8.1404544290460069E-4</c:v>
                </c:pt>
                <c:pt idx="6806">
                  <c:v>9.6255144030903258E-4</c:v>
                </c:pt>
                <c:pt idx="6807">
                  <c:v>7.8553684399167167E-4</c:v>
                </c:pt>
                <c:pt idx="6808">
                  <c:v>1.1715520879308149E-3</c:v>
                </c:pt>
                <c:pt idx="6809">
                  <c:v>7.0904626359669825E-4</c:v>
                </c:pt>
                <c:pt idx="6810">
                  <c:v>4.351064770654234E-4</c:v>
                </c:pt>
                <c:pt idx="6811">
                  <c:v>6.5028092719069763E-4</c:v>
                </c:pt>
                <c:pt idx="6812">
                  <c:v>6.7193693000327419E-4</c:v>
                </c:pt>
                <c:pt idx="6813">
                  <c:v>5.7910932494941001E-4</c:v>
                </c:pt>
                <c:pt idx="6814">
                  <c:v>4.8731253894616E-4</c:v>
                </c:pt>
                <c:pt idx="6815">
                  <c:v>1.2912110585697211E-3</c:v>
                </c:pt>
                <c:pt idx="6816">
                  <c:v>6.8805636052092414E-4</c:v>
                </c:pt>
                <c:pt idx="6817">
                  <c:v>8.7062132301713282E-4</c:v>
                </c:pt>
                <c:pt idx="6818">
                  <c:v>6.5086559388895921E-4</c:v>
                </c:pt>
                <c:pt idx="6819">
                  <c:v>1.0737222724889644E-3</c:v>
                </c:pt>
                <c:pt idx="6820">
                  <c:v>7.3638816967277652E-4</c:v>
                </c:pt>
                <c:pt idx="6821">
                  <c:v>1.0915218235350009E-3</c:v>
                </c:pt>
                <c:pt idx="6822">
                  <c:v>9.1726737180013488E-4</c:v>
                </c:pt>
                <c:pt idx="6823">
                  <c:v>7.1146823887815406E-4</c:v>
                </c:pt>
                <c:pt idx="6824">
                  <c:v>2.0821104694180765E-4</c:v>
                </c:pt>
                <c:pt idx="6825">
                  <c:v>5.6159222108450658E-4</c:v>
                </c:pt>
                <c:pt idx="6826">
                  <c:v>5.6597221604336829E-4</c:v>
                </c:pt>
                <c:pt idx="6827">
                  <c:v>6.5439525064385582E-4</c:v>
                </c:pt>
                <c:pt idx="6828">
                  <c:v>1.040537877027627E-3</c:v>
                </c:pt>
                <c:pt idx="6829">
                  <c:v>1.8994018575217706E-3</c:v>
                </c:pt>
                <c:pt idx="6830">
                  <c:v>5.9322291852336969E-4</c:v>
                </c:pt>
                <c:pt idx="6831">
                  <c:v>1.0084432822891978E-3</c:v>
                </c:pt>
                <c:pt idx="6832">
                  <c:v>9.5140364001924113E-4</c:v>
                </c:pt>
                <c:pt idx="6833">
                  <c:v>2.8503562318814236E-4</c:v>
                </c:pt>
                <c:pt idx="6834">
                  <c:v>1.118346605699037E-3</c:v>
                </c:pt>
                <c:pt idx="6835">
                  <c:v>7.9623140556607866E-4</c:v>
                </c:pt>
                <c:pt idx="6836">
                  <c:v>1.007070562998017E-3</c:v>
                </c:pt>
                <c:pt idx="6837">
                  <c:v>8.6845727140966481E-4</c:v>
                </c:pt>
                <c:pt idx="6838">
                  <c:v>3.3728981213090327E-4</c:v>
                </c:pt>
                <c:pt idx="6839">
                  <c:v>6.4416176530952189E-4</c:v>
                </c:pt>
                <c:pt idx="6840">
                  <c:v>1.550349521706012E-4</c:v>
                </c:pt>
                <c:pt idx="6841">
                  <c:v>3.5808845717148026E-4</c:v>
                </c:pt>
                <c:pt idx="6842">
                  <c:v>6.2067858333615016E-4</c:v>
                </c:pt>
                <c:pt idx="6843">
                  <c:v>3.6356624885098871E-4</c:v>
                </c:pt>
                <c:pt idx="6844">
                  <c:v>1.1884172268717768E-3</c:v>
                </c:pt>
                <c:pt idx="6845">
                  <c:v>7.3408200237219245E-4</c:v>
                </c:pt>
                <c:pt idx="6846">
                  <c:v>1.4861315965318245E-3</c:v>
                </c:pt>
                <c:pt idx="6847">
                  <c:v>4.3084486589773502E-4</c:v>
                </c:pt>
                <c:pt idx="6848">
                  <c:v>1.1333462134129068E-3</c:v>
                </c:pt>
                <c:pt idx="6849">
                  <c:v>6.8500486957446161E-4</c:v>
                </c:pt>
                <c:pt idx="6850">
                  <c:v>6.9688156713997647E-4</c:v>
                </c:pt>
                <c:pt idx="6851">
                  <c:v>9.5440863455935787E-4</c:v>
                </c:pt>
                <c:pt idx="6852">
                  <c:v>9.766588325886168E-4</c:v>
                </c:pt>
                <c:pt idx="6853">
                  <c:v>5.2638570928282061E-4</c:v>
                </c:pt>
                <c:pt idx="6854">
                  <c:v>9.0574888409728925E-4</c:v>
                </c:pt>
                <c:pt idx="6855">
                  <c:v>-2.7613172586913248E-5</c:v>
                </c:pt>
                <c:pt idx="6856">
                  <c:v>1.1144954494774807E-3</c:v>
                </c:pt>
                <c:pt idx="6857">
                  <c:v>6.653452292439163E-4</c:v>
                </c:pt>
                <c:pt idx="6858">
                  <c:v>4.2068722999939365E-4</c:v>
                </c:pt>
                <c:pt idx="6859">
                  <c:v>1.1407078060618016E-3</c:v>
                </c:pt>
                <c:pt idx="6860">
                  <c:v>6.5785622836764344E-4</c:v>
                </c:pt>
                <c:pt idx="6861">
                  <c:v>7.1847102720087549E-4</c:v>
                </c:pt>
                <c:pt idx="6862">
                  <c:v>9.1676806179109979E-4</c:v>
                </c:pt>
                <c:pt idx="6863">
                  <c:v>8.971524207546526E-4</c:v>
                </c:pt>
                <c:pt idx="6864">
                  <c:v>7.7966840675820304E-4</c:v>
                </c:pt>
                <c:pt idx="6865">
                  <c:v>1.4535081560404274E-3</c:v>
                </c:pt>
                <c:pt idx="6866">
                  <c:v>4.6261300022567653E-4</c:v>
                </c:pt>
                <c:pt idx="6867">
                  <c:v>9.2890898512085402E-4</c:v>
                </c:pt>
                <c:pt idx="6868">
                  <c:v>2.8986106504271794E-4</c:v>
                </c:pt>
                <c:pt idx="6869">
                  <c:v>1.5363938711672896E-3</c:v>
                </c:pt>
                <c:pt idx="6870">
                  <c:v>2.5441881706798067E-4</c:v>
                </c:pt>
                <c:pt idx="6871">
                  <c:v>1.5760975606557257E-3</c:v>
                </c:pt>
                <c:pt idx="6872">
                  <c:v>8.1680816171399986E-4</c:v>
                </c:pt>
                <c:pt idx="6873">
                  <c:v>4.7768757598171357E-4</c:v>
                </c:pt>
                <c:pt idx="6874">
                  <c:v>1.2055849097059725E-4</c:v>
                </c:pt>
                <c:pt idx="6875">
                  <c:v>1.8167113739329981E-4</c:v>
                </c:pt>
                <c:pt idx="6876">
                  <c:v>1.1504218126276436E-3</c:v>
                </c:pt>
                <c:pt idx="6877">
                  <c:v>1.1538522424910812E-3</c:v>
                </c:pt>
                <c:pt idx="6878">
                  <c:v>9.6415585364823084E-4</c:v>
                </c:pt>
                <c:pt idx="6879">
                  <c:v>4.1350644426048984E-4</c:v>
                </c:pt>
                <c:pt idx="6880">
                  <c:v>9.0011393836550305E-4</c:v>
                </c:pt>
                <c:pt idx="6881">
                  <c:v>8.5620755375149637E-4</c:v>
                </c:pt>
                <c:pt idx="6882">
                  <c:v>9.1916316383669711E-4</c:v>
                </c:pt>
                <c:pt idx="6883">
                  <c:v>6.5507292353120532E-4</c:v>
                </c:pt>
                <c:pt idx="6884">
                  <c:v>6.6742095396546235E-4</c:v>
                </c:pt>
                <c:pt idx="6885">
                  <c:v>1.1078230066375813E-3</c:v>
                </c:pt>
                <c:pt idx="6886">
                  <c:v>1.2903438163173997E-3</c:v>
                </c:pt>
                <c:pt idx="6887">
                  <c:v>6.1826065777625039E-4</c:v>
                </c:pt>
                <c:pt idx="6888">
                  <c:v>1.1558084886233052E-3</c:v>
                </c:pt>
                <c:pt idx="6889">
                  <c:v>9.281677902420732E-4</c:v>
                </c:pt>
                <c:pt idx="6890">
                  <c:v>1.1598150143692634E-3</c:v>
                </c:pt>
                <c:pt idx="6891">
                  <c:v>8.8277176752397522E-4</c:v>
                </c:pt>
                <c:pt idx="6892">
                  <c:v>8.9500851145572682E-4</c:v>
                </c:pt>
                <c:pt idx="6893">
                  <c:v>1.849337334444041E-3</c:v>
                </c:pt>
                <c:pt idx="6894">
                  <c:v>1.1375148588464109E-3</c:v>
                </c:pt>
                <c:pt idx="6895">
                  <c:v>8.7082311697644996E-4</c:v>
                </c:pt>
                <c:pt idx="6896">
                  <c:v>7.8154107778158398E-4</c:v>
                </c:pt>
                <c:pt idx="6897">
                  <c:v>8.0263508630057845E-4</c:v>
                </c:pt>
                <c:pt idx="6898">
                  <c:v>1.0515004061859561E-3</c:v>
                </c:pt>
                <c:pt idx="6899">
                  <c:v>1.2468458257204871E-3</c:v>
                </c:pt>
                <c:pt idx="6900">
                  <c:v>9.5825924024027726E-4</c:v>
                </c:pt>
                <c:pt idx="6901">
                  <c:v>1.1233709167980585E-3</c:v>
                </c:pt>
                <c:pt idx="6902">
                  <c:v>6.4752571415289115E-4</c:v>
                </c:pt>
                <c:pt idx="6903">
                  <c:v>5.0645300069064819E-4</c:v>
                </c:pt>
                <c:pt idx="6904">
                  <c:v>3.8027335179802581E-4</c:v>
                </c:pt>
                <c:pt idx="6905">
                  <c:v>5.8931570104971554E-5</c:v>
                </c:pt>
                <c:pt idx="6906">
                  <c:v>1.1224884100722479E-3</c:v>
                </c:pt>
                <c:pt idx="6907">
                  <c:v>9.1479660793372089E-4</c:v>
                </c:pt>
                <c:pt idx="6908">
                  <c:v>9.9475663997174212E-4</c:v>
                </c:pt>
                <c:pt idx="6909">
                  <c:v>7.8025242977763194E-4</c:v>
                </c:pt>
                <c:pt idx="6910">
                  <c:v>8.4100252402479554E-4</c:v>
                </c:pt>
                <c:pt idx="6911">
                  <c:v>5.5167578785697677E-4</c:v>
                </c:pt>
                <c:pt idx="6912">
                  <c:v>1.0248288691217927E-3</c:v>
                </c:pt>
                <c:pt idx="6913">
                  <c:v>8.932834264935586E-4</c:v>
                </c:pt>
                <c:pt idx="6914">
                  <c:v>6.7312765609799194E-4</c:v>
                </c:pt>
                <c:pt idx="6915">
                  <c:v>1.1680482255065276E-3</c:v>
                </c:pt>
                <c:pt idx="6916">
                  <c:v>6.5499297969179792E-4</c:v>
                </c:pt>
                <c:pt idx="6917">
                  <c:v>3.6568025602245645E-4</c:v>
                </c:pt>
                <c:pt idx="6918">
                  <c:v>1.3690689870564726E-3</c:v>
                </c:pt>
                <c:pt idx="6919">
                  <c:v>3.185050496938717E-4</c:v>
                </c:pt>
                <c:pt idx="6920">
                  <c:v>8.6714163608957585E-4</c:v>
                </c:pt>
                <c:pt idx="6921">
                  <c:v>8.8555132962492256E-4</c:v>
                </c:pt>
                <c:pt idx="6922">
                  <c:v>6.7569528024347646E-4</c:v>
                </c:pt>
                <c:pt idx="6923">
                  <c:v>6.0542830010887816E-4</c:v>
                </c:pt>
                <c:pt idx="6924">
                  <c:v>9.3966928258202567E-4</c:v>
                </c:pt>
                <c:pt idx="6925">
                  <c:v>8.5810198496275351E-4</c:v>
                </c:pt>
                <c:pt idx="6926">
                  <c:v>8.2506874484341393E-4</c:v>
                </c:pt>
                <c:pt idx="6927">
                  <c:v>5.4294026398793058E-4</c:v>
                </c:pt>
                <c:pt idx="6928">
                  <c:v>6.6994770997558749E-4</c:v>
                </c:pt>
                <c:pt idx="6929">
                  <c:v>9.2587425163909599E-4</c:v>
                </c:pt>
                <c:pt idx="6930">
                  <c:v>5.9369720086695362E-4</c:v>
                </c:pt>
                <c:pt idx="6931">
                  <c:v>7.6766043277554932E-4</c:v>
                </c:pt>
                <c:pt idx="6932">
                  <c:v>1.0030494662653197E-4</c:v>
                </c:pt>
                <c:pt idx="6933">
                  <c:v>5.2726181278096992E-4</c:v>
                </c:pt>
                <c:pt idx="6934">
                  <c:v>9.7615227258002039E-4</c:v>
                </c:pt>
                <c:pt idx="6935">
                  <c:v>5.915659804852421E-4</c:v>
                </c:pt>
                <c:pt idx="6936">
                  <c:v>1.8174968451191705E-4</c:v>
                </c:pt>
                <c:pt idx="6937">
                  <c:v>5.4324388921416758E-4</c:v>
                </c:pt>
                <c:pt idx="6938">
                  <c:v>4.6035187515596377E-4</c:v>
                </c:pt>
                <c:pt idx="6939">
                  <c:v>1.4916770737847152E-3</c:v>
                </c:pt>
                <c:pt idx="6940">
                  <c:v>1.2587934867359708E-3</c:v>
                </c:pt>
                <c:pt idx="6941">
                  <c:v>1.1590119646040804E-3</c:v>
                </c:pt>
                <c:pt idx="6942">
                  <c:v>7.7511734834196115E-4</c:v>
                </c:pt>
                <c:pt idx="6943">
                  <c:v>7.1047797492478342E-4</c:v>
                </c:pt>
                <c:pt idx="6944">
                  <c:v>9.9576725694763162E-4</c:v>
                </c:pt>
                <c:pt idx="6945">
                  <c:v>8.0081152793667182E-4</c:v>
                </c:pt>
                <c:pt idx="6946">
                  <c:v>1.0002152627662292E-3</c:v>
                </c:pt>
                <c:pt idx="6947">
                  <c:v>8.618356030294812E-4</c:v>
                </c:pt>
                <c:pt idx="6948">
                  <c:v>7.3486856397335528E-4</c:v>
                </c:pt>
                <c:pt idx="6949">
                  <c:v>9.3419698918720674E-4</c:v>
                </c:pt>
                <c:pt idx="6950">
                  <c:v>5.0822126371092972E-4</c:v>
                </c:pt>
                <c:pt idx="6951">
                  <c:v>1.2338567581115499E-3</c:v>
                </c:pt>
                <c:pt idx="6952">
                  <c:v>1.3988514564096709E-3</c:v>
                </c:pt>
                <c:pt idx="6953">
                  <c:v>2.9062090970922934E-4</c:v>
                </c:pt>
                <c:pt idx="6954">
                  <c:v>5.9287473169427035E-4</c:v>
                </c:pt>
                <c:pt idx="6955">
                  <c:v>1.3201479731566822E-3</c:v>
                </c:pt>
                <c:pt idx="6956">
                  <c:v>1.0372975768141589E-3</c:v>
                </c:pt>
                <c:pt idx="6957">
                  <c:v>5.2527371098548743E-4</c:v>
                </c:pt>
                <c:pt idx="6958">
                  <c:v>7.8151815575432354E-4</c:v>
                </c:pt>
                <c:pt idx="6959">
                  <c:v>9.5763446272815328E-4</c:v>
                </c:pt>
                <c:pt idx="6960">
                  <c:v>1.2623249971552622E-3</c:v>
                </c:pt>
                <c:pt idx="6961">
                  <c:v>8.8220509832133366E-4</c:v>
                </c:pt>
                <c:pt idx="6962">
                  <c:v>1.2033238597458481E-3</c:v>
                </c:pt>
                <c:pt idx="6963">
                  <c:v>5.2910720127667622E-4</c:v>
                </c:pt>
                <c:pt idx="6964">
                  <c:v>4.7275549736604646E-4</c:v>
                </c:pt>
                <c:pt idx="6965">
                  <c:v>1.448876968452971E-3</c:v>
                </c:pt>
                <c:pt idx="6966">
                  <c:v>9.7135059267518926E-4</c:v>
                </c:pt>
                <c:pt idx="6967">
                  <c:v>8.9953683536529684E-4</c:v>
                </c:pt>
                <c:pt idx="6968">
                  <c:v>8.7424460869070454E-4</c:v>
                </c:pt>
                <c:pt idx="6969">
                  <c:v>6.1469542484248287E-4</c:v>
                </c:pt>
                <c:pt idx="6970">
                  <c:v>6.1487721001711535E-4</c:v>
                </c:pt>
                <c:pt idx="6971">
                  <c:v>8.7568175243430215E-4</c:v>
                </c:pt>
                <c:pt idx="6972">
                  <c:v>1.3787055947048425E-3</c:v>
                </c:pt>
                <c:pt idx="6973">
                  <c:v>1.1457634547536811E-3</c:v>
                </c:pt>
                <c:pt idx="6974">
                  <c:v>5.4167653334734084E-4</c:v>
                </c:pt>
                <c:pt idx="6975">
                  <c:v>4.7843505663091766E-4</c:v>
                </c:pt>
                <c:pt idx="6976">
                  <c:v>9.8566723014404723E-4</c:v>
                </c:pt>
                <c:pt idx="6977">
                  <c:v>1.3701278932591425E-3</c:v>
                </c:pt>
                <c:pt idx="6978">
                  <c:v>4.3690452170872462E-4</c:v>
                </c:pt>
                <c:pt idx="6979">
                  <c:v>2.0416458361481268E-3</c:v>
                </c:pt>
                <c:pt idx="6980">
                  <c:v>5.4396448165041418E-4</c:v>
                </c:pt>
                <c:pt idx="6981">
                  <c:v>1.0846816677714071E-3</c:v>
                </c:pt>
                <c:pt idx="6982">
                  <c:v>4.9669149508907722E-4</c:v>
                </c:pt>
                <c:pt idx="6983">
                  <c:v>1.2987293108191913E-3</c:v>
                </c:pt>
                <c:pt idx="6984">
                  <c:v>6.4706490668780452E-4</c:v>
                </c:pt>
                <c:pt idx="6985">
                  <c:v>8.8620071839053366E-4</c:v>
                </c:pt>
                <c:pt idx="6986">
                  <c:v>1.0188275943043351E-3</c:v>
                </c:pt>
                <c:pt idx="6987">
                  <c:v>9.7928066771193903E-4</c:v>
                </c:pt>
                <c:pt idx="6988">
                  <c:v>8.1456209614485316E-4</c:v>
                </c:pt>
                <c:pt idx="6989">
                  <c:v>6.8578577099430319E-4</c:v>
                </c:pt>
                <c:pt idx="6990">
                  <c:v>1.1577296421580057E-3</c:v>
                </c:pt>
                <c:pt idx="6991">
                  <c:v>8.036246689536316E-4</c:v>
                </c:pt>
                <c:pt idx="6992">
                  <c:v>2.5797606309643756E-4</c:v>
                </c:pt>
                <c:pt idx="6993">
                  <c:v>9.4880770825453203E-4</c:v>
                </c:pt>
                <c:pt idx="6994">
                  <c:v>9.037033313467885E-4</c:v>
                </c:pt>
                <c:pt idx="6995">
                  <c:v>9.5960322764948971E-4</c:v>
                </c:pt>
                <c:pt idx="6996">
                  <c:v>8.5299703728547959E-4</c:v>
                </c:pt>
                <c:pt idx="6997">
                  <c:v>5.1354288066506211E-4</c:v>
                </c:pt>
                <c:pt idx="6998">
                  <c:v>1.3924201307938125E-3</c:v>
                </c:pt>
                <c:pt idx="6999">
                  <c:v>6.4756492263524598E-4</c:v>
                </c:pt>
                <c:pt idx="7000">
                  <c:v>7.9937412859336951E-4</c:v>
                </c:pt>
                <c:pt idx="7001">
                  <c:v>1.0298358998334456E-3</c:v>
                </c:pt>
                <c:pt idx="7002">
                  <c:v>1.1500054241008158E-3</c:v>
                </c:pt>
                <c:pt idx="7003">
                  <c:v>1.5399433686742188E-3</c:v>
                </c:pt>
                <c:pt idx="7004">
                  <c:v>9.679987641579642E-4</c:v>
                </c:pt>
                <c:pt idx="7005">
                  <c:v>5.8886622726660848E-4</c:v>
                </c:pt>
                <c:pt idx="7006">
                  <c:v>7.6781219690085227E-4</c:v>
                </c:pt>
                <c:pt idx="7007">
                  <c:v>5.8113292876356447E-4</c:v>
                </c:pt>
                <c:pt idx="7008">
                  <c:v>7.4056625237420976E-4</c:v>
                </c:pt>
                <c:pt idx="7009">
                  <c:v>4.9941037745253629E-4</c:v>
                </c:pt>
                <c:pt idx="7010">
                  <c:v>6.3792998952024067E-4</c:v>
                </c:pt>
                <c:pt idx="7011">
                  <c:v>9.1425773712589746E-4</c:v>
                </c:pt>
                <c:pt idx="7012">
                  <c:v>4.8089445279383958E-4</c:v>
                </c:pt>
                <c:pt idx="7013">
                  <c:v>9.8617871585092789E-4</c:v>
                </c:pt>
                <c:pt idx="7014">
                  <c:v>9.5684454722081021E-4</c:v>
                </c:pt>
                <c:pt idx="7015">
                  <c:v>6.8923620211796502E-4</c:v>
                </c:pt>
                <c:pt idx="7016">
                  <c:v>8.0858096361217751E-4</c:v>
                </c:pt>
                <c:pt idx="7017">
                  <c:v>1.6018963133325871E-3</c:v>
                </c:pt>
                <c:pt idx="7018">
                  <c:v>1.2528490129666435E-3</c:v>
                </c:pt>
                <c:pt idx="7019">
                  <c:v>7.1546266844186202E-4</c:v>
                </c:pt>
                <c:pt idx="7020">
                  <c:v>6.4985340014875673E-4</c:v>
                </c:pt>
                <c:pt idx="7021">
                  <c:v>5.9949692181096841E-4</c:v>
                </c:pt>
                <c:pt idx="7022">
                  <c:v>8.1656553090953281E-4</c:v>
                </c:pt>
                <c:pt idx="7023">
                  <c:v>1.1630847482640265E-3</c:v>
                </c:pt>
                <c:pt idx="7024">
                  <c:v>7.0211813213214101E-4</c:v>
                </c:pt>
                <c:pt idx="7025">
                  <c:v>7.3813941788035289E-4</c:v>
                </c:pt>
                <c:pt idx="7026">
                  <c:v>4.1170944003359215E-4</c:v>
                </c:pt>
                <c:pt idx="7027">
                  <c:v>8.2236731952082739E-4</c:v>
                </c:pt>
                <c:pt idx="7028">
                  <c:v>4.3386039545980986E-4</c:v>
                </c:pt>
                <c:pt idx="7029">
                  <c:v>6.2359285171716345E-4</c:v>
                </c:pt>
                <c:pt idx="7030">
                  <c:v>6.4654020322250005E-4</c:v>
                </c:pt>
                <c:pt idx="7031">
                  <c:v>9.014831727524584E-4</c:v>
                </c:pt>
                <c:pt idx="7032">
                  <c:v>1.0453314186823204E-3</c:v>
                </c:pt>
                <c:pt idx="7033">
                  <c:v>4.3707751444762731E-4</c:v>
                </c:pt>
                <c:pt idx="7034">
                  <c:v>1.3796184250921867E-4</c:v>
                </c:pt>
                <c:pt idx="7035">
                  <c:v>1.6476872303615941E-3</c:v>
                </c:pt>
                <c:pt idx="7036">
                  <c:v>1.2655925787078783E-3</c:v>
                </c:pt>
                <c:pt idx="7037">
                  <c:v>5.0082385841896152E-4</c:v>
                </c:pt>
                <c:pt idx="7038">
                  <c:v>1.0694249838961853E-3</c:v>
                </c:pt>
                <c:pt idx="7039">
                  <c:v>7.5374775193236016E-4</c:v>
                </c:pt>
                <c:pt idx="7040">
                  <c:v>2.9043265629254112E-4</c:v>
                </c:pt>
                <c:pt idx="7041">
                  <c:v>3.4078675877365842E-4</c:v>
                </c:pt>
                <c:pt idx="7042">
                  <c:v>7.6266108466887205E-4</c:v>
                </c:pt>
                <c:pt idx="7043">
                  <c:v>7.7771361349586422E-4</c:v>
                </c:pt>
                <c:pt idx="7044">
                  <c:v>6.7113446622146073E-4</c:v>
                </c:pt>
                <c:pt idx="7045">
                  <c:v>7.2688605692003178E-4</c:v>
                </c:pt>
                <c:pt idx="7046">
                  <c:v>7.9356676098836932E-4</c:v>
                </c:pt>
                <c:pt idx="7047">
                  <c:v>1.1728787029765154E-3</c:v>
                </c:pt>
                <c:pt idx="7048">
                  <c:v>1.5118022854619616E-3</c:v>
                </c:pt>
                <c:pt idx="7049">
                  <c:v>8.1892906852636181E-4</c:v>
                </c:pt>
                <c:pt idx="7050">
                  <c:v>5.7201167879029891E-4</c:v>
                </c:pt>
                <c:pt idx="7051">
                  <c:v>8.6589450157052359E-4</c:v>
                </c:pt>
                <c:pt idx="7052">
                  <c:v>1.2180882063863485E-3</c:v>
                </c:pt>
                <c:pt idx="7053">
                  <c:v>9.3348057732805026E-4</c:v>
                </c:pt>
                <c:pt idx="7054">
                  <c:v>1.1811039759469294E-3</c:v>
                </c:pt>
                <c:pt idx="7055">
                  <c:v>1.7428682680326281E-3</c:v>
                </c:pt>
                <c:pt idx="7056">
                  <c:v>8.1632651177018204E-4</c:v>
                </c:pt>
                <c:pt idx="7057">
                  <c:v>1.2590654695358034E-3</c:v>
                </c:pt>
                <c:pt idx="7058">
                  <c:v>4.8070103529889834E-4</c:v>
                </c:pt>
                <c:pt idx="7059">
                  <c:v>9.8141712333419968E-4</c:v>
                </c:pt>
                <c:pt idx="7060">
                  <c:v>8.5451761855832398E-4</c:v>
                </c:pt>
                <c:pt idx="7061">
                  <c:v>9.7648307787545879E-4</c:v>
                </c:pt>
                <c:pt idx="7062">
                  <c:v>1.2750600458983784E-3</c:v>
                </c:pt>
                <c:pt idx="7063">
                  <c:v>1.0011367631749047E-3</c:v>
                </c:pt>
                <c:pt idx="7064">
                  <c:v>7.4781872779945485E-4</c:v>
                </c:pt>
                <c:pt idx="7065">
                  <c:v>9.453359464050824E-4</c:v>
                </c:pt>
                <c:pt idx="7066">
                  <c:v>7.9659446683894291E-4</c:v>
                </c:pt>
                <c:pt idx="7067">
                  <c:v>1.3110714291651592E-3</c:v>
                </c:pt>
                <c:pt idx="7068">
                  <c:v>1.0190667536767804E-3</c:v>
                </c:pt>
                <c:pt idx="7069">
                  <c:v>7.3945566465027262E-4</c:v>
                </c:pt>
                <c:pt idx="7070">
                  <c:v>6.0503495226954572E-4</c:v>
                </c:pt>
                <c:pt idx="7071">
                  <c:v>1.0800333417540901E-3</c:v>
                </c:pt>
                <c:pt idx="7072">
                  <c:v>9.9436767953699754E-4</c:v>
                </c:pt>
                <c:pt idx="7073">
                  <c:v>5.8310109912002408E-4</c:v>
                </c:pt>
                <c:pt idx="7074">
                  <c:v>9.9933867289866908E-4</c:v>
                </c:pt>
                <c:pt idx="7075">
                  <c:v>1.2812705303796564E-3</c:v>
                </c:pt>
                <c:pt idx="7076">
                  <c:v>1.3788102702070612E-3</c:v>
                </c:pt>
                <c:pt idx="7077">
                  <c:v>5.3643716592430258E-4</c:v>
                </c:pt>
                <c:pt idx="7078">
                  <c:v>1.3696430554106312E-3</c:v>
                </c:pt>
                <c:pt idx="7079">
                  <c:v>1.0048037604624661E-3</c:v>
                </c:pt>
                <c:pt idx="7080">
                  <c:v>2.5126383117559363E-4</c:v>
                </c:pt>
                <c:pt idx="7081">
                  <c:v>1.2947706983184315E-3</c:v>
                </c:pt>
                <c:pt idx="7082">
                  <c:v>1.4866171266852827E-3</c:v>
                </c:pt>
                <c:pt idx="7083">
                  <c:v>1.0514447663234074E-3</c:v>
                </c:pt>
                <c:pt idx="7084">
                  <c:v>4.8611240814152673E-4</c:v>
                </c:pt>
                <c:pt idx="7085">
                  <c:v>8.7481419315639823E-4</c:v>
                </c:pt>
                <c:pt idx="7086">
                  <c:v>5.3655861865926099E-4</c:v>
                </c:pt>
                <c:pt idx="7087">
                  <c:v>8.1464905271387501E-4</c:v>
                </c:pt>
                <c:pt idx="7088">
                  <c:v>1.0402712806204441E-3</c:v>
                </c:pt>
                <c:pt idx="7089">
                  <c:v>9.1779130618137392E-4</c:v>
                </c:pt>
                <c:pt idx="7090">
                  <c:v>3.8200076333132693E-4</c:v>
                </c:pt>
                <c:pt idx="7091">
                  <c:v>8.3538737484890088E-4</c:v>
                </c:pt>
                <c:pt idx="7092">
                  <c:v>1.1163970712433824E-3</c:v>
                </c:pt>
                <c:pt idx="7093">
                  <c:v>6.270808283977159E-4</c:v>
                </c:pt>
                <c:pt idx="7094">
                  <c:v>1.2316895314218421E-3</c:v>
                </c:pt>
                <c:pt idx="7095">
                  <c:v>1.1399838650737607E-3</c:v>
                </c:pt>
                <c:pt idx="7096">
                  <c:v>5.7795806284707471E-4</c:v>
                </c:pt>
                <c:pt idx="7097">
                  <c:v>3.48021937428805E-4</c:v>
                </c:pt>
                <c:pt idx="7098">
                  <c:v>1.0251536493021411E-3</c:v>
                </c:pt>
                <c:pt idx="7099">
                  <c:v>7.3281188340921849E-4</c:v>
                </c:pt>
                <c:pt idx="7100">
                  <c:v>9.0574219144396524E-4</c:v>
                </c:pt>
                <c:pt idx="7101">
                  <c:v>6.7176425212200474E-4</c:v>
                </c:pt>
                <c:pt idx="7102">
                  <c:v>1.4724443665577447E-3</c:v>
                </c:pt>
                <c:pt idx="7103">
                  <c:v>1.0014552437304285E-3</c:v>
                </c:pt>
                <c:pt idx="7104">
                  <c:v>9.6333175429711847E-4</c:v>
                </c:pt>
                <c:pt idx="7105">
                  <c:v>6.591834086840878E-4</c:v>
                </c:pt>
                <c:pt idx="7106">
                  <c:v>1.231496065385795E-3</c:v>
                </c:pt>
                <c:pt idx="7107">
                  <c:v>7.9356572389130333E-4</c:v>
                </c:pt>
                <c:pt idx="7108">
                  <c:v>1.0297761453460256E-3</c:v>
                </c:pt>
                <c:pt idx="7109">
                  <c:v>7.0260617386871547E-4</c:v>
                </c:pt>
                <c:pt idx="7110">
                  <c:v>7.7577478279243202E-4</c:v>
                </c:pt>
                <c:pt idx="7111">
                  <c:v>3.7529903476357694E-4</c:v>
                </c:pt>
                <c:pt idx="7112">
                  <c:v>7.8299969647473784E-4</c:v>
                </c:pt>
                <c:pt idx="7113">
                  <c:v>1.1527230093796557E-3</c:v>
                </c:pt>
                <c:pt idx="7114">
                  <c:v>1.0322794088952452E-3</c:v>
                </c:pt>
                <c:pt idx="7115">
                  <c:v>1.4180700130356661E-4</c:v>
                </c:pt>
                <c:pt idx="7116">
                  <c:v>1.3803430739201556E-3</c:v>
                </c:pt>
                <c:pt idx="7117">
                  <c:v>1.0459734273825564E-3</c:v>
                </c:pt>
                <c:pt idx="7118">
                  <c:v>4.9674658157910405E-4</c:v>
                </c:pt>
                <c:pt idx="7119">
                  <c:v>5.3555383327144178E-4</c:v>
                </c:pt>
                <c:pt idx="7120">
                  <c:v>9.4235438366126645E-4</c:v>
                </c:pt>
                <c:pt idx="7121">
                  <c:v>1.3884442613312231E-3</c:v>
                </c:pt>
                <c:pt idx="7122">
                  <c:v>1.2891449411542041E-3</c:v>
                </c:pt>
                <c:pt idx="7123">
                  <c:v>9.2561240930193189E-4</c:v>
                </c:pt>
                <c:pt idx="7124">
                  <c:v>9.9601772265899349E-4</c:v>
                </c:pt>
                <c:pt idx="7125">
                  <c:v>9.6348395640732107E-4</c:v>
                </c:pt>
                <c:pt idx="7126">
                  <c:v>9.0532148176783412E-4</c:v>
                </c:pt>
                <c:pt idx="7127">
                  <c:v>7.5150712796928924E-4</c:v>
                </c:pt>
                <c:pt idx="7128">
                  <c:v>8.6660863761181886E-4</c:v>
                </c:pt>
                <c:pt idx="7129">
                  <c:v>1.2220337955815034E-3</c:v>
                </c:pt>
                <c:pt idx="7130">
                  <c:v>1.3239386945501821E-3</c:v>
                </c:pt>
                <c:pt idx="7131">
                  <c:v>9.5906180397227242E-4</c:v>
                </c:pt>
                <c:pt idx="7132">
                  <c:v>5.7868535288980278E-4</c:v>
                </c:pt>
                <c:pt idx="7133">
                  <c:v>7.1761036637820071E-4</c:v>
                </c:pt>
                <c:pt idx="7134">
                  <c:v>4.8917256040162144E-4</c:v>
                </c:pt>
                <c:pt idx="7135">
                  <c:v>9.8424097820831854E-4</c:v>
                </c:pt>
                <c:pt idx="7136">
                  <c:v>9.3849254699692895E-4</c:v>
                </c:pt>
                <c:pt idx="7137">
                  <c:v>4.6812036326285191E-4</c:v>
                </c:pt>
                <c:pt idx="7138">
                  <c:v>8.339544619149705E-4</c:v>
                </c:pt>
                <c:pt idx="7139">
                  <c:v>7.9298466261980185E-4</c:v>
                </c:pt>
                <c:pt idx="7140">
                  <c:v>1.6027093819968705E-3</c:v>
                </c:pt>
                <c:pt idx="7141">
                  <c:v>1.1652352600324933E-3</c:v>
                </c:pt>
                <c:pt idx="7142">
                  <c:v>1.2305795118840179E-3</c:v>
                </c:pt>
                <c:pt idx="7143">
                  <c:v>3.3661838239057353E-4</c:v>
                </c:pt>
                <c:pt idx="7144">
                  <c:v>5.3835829716281254E-4</c:v>
                </c:pt>
                <c:pt idx="7145">
                  <c:v>4.4372047477508192E-4</c:v>
                </c:pt>
                <c:pt idx="7146">
                  <c:v>6.0311131095399707E-4</c:v>
                </c:pt>
                <c:pt idx="7147">
                  <c:v>1.2765951805748146E-3</c:v>
                </c:pt>
                <c:pt idx="7148">
                  <c:v>5.8432841724788756E-4</c:v>
                </c:pt>
                <c:pt idx="7149">
                  <c:v>8.9451123997640145E-4</c:v>
                </c:pt>
                <c:pt idx="7150">
                  <c:v>5.8805528702704079E-4</c:v>
                </c:pt>
                <c:pt idx="7151">
                  <c:v>2.1569834801522507E-4</c:v>
                </c:pt>
                <c:pt idx="7152">
                  <c:v>8.6678906988172332E-4</c:v>
                </c:pt>
                <c:pt idx="7153">
                  <c:v>4.4980090882480522E-4</c:v>
                </c:pt>
                <c:pt idx="7154">
                  <c:v>1.3054754749994529E-4</c:v>
                </c:pt>
                <c:pt idx="7155">
                  <c:v>1.0428011226174126E-3</c:v>
                </c:pt>
                <c:pt idx="7156">
                  <c:v>1.1034777960775225E-3</c:v>
                </c:pt>
                <c:pt idx="7157">
                  <c:v>7.988929585002342E-4</c:v>
                </c:pt>
                <c:pt idx="7158">
                  <c:v>1.385028068033376E-3</c:v>
                </c:pt>
                <c:pt idx="7159">
                  <c:v>3.1957633333903022E-4</c:v>
                </c:pt>
                <c:pt idx="7160">
                  <c:v>7.010599609450055E-4</c:v>
                </c:pt>
                <c:pt idx="7161">
                  <c:v>1.3298678766035194E-3</c:v>
                </c:pt>
                <c:pt idx="7162">
                  <c:v>3.3157755750018745E-4</c:v>
                </c:pt>
                <c:pt idx="7163">
                  <c:v>8.3088860460527297E-4</c:v>
                </c:pt>
                <c:pt idx="7164">
                  <c:v>4.4724830893442277E-4</c:v>
                </c:pt>
                <c:pt idx="7165">
                  <c:v>9.4816746521808094E-4</c:v>
                </c:pt>
                <c:pt idx="7166">
                  <c:v>7.6732668707706661E-4</c:v>
                </c:pt>
                <c:pt idx="7167">
                  <c:v>8.2513184813437284E-4</c:v>
                </c:pt>
                <c:pt idx="7168">
                  <c:v>1.1646402523887633E-3</c:v>
                </c:pt>
                <c:pt idx="7169">
                  <c:v>7.1945016908012323E-4</c:v>
                </c:pt>
                <c:pt idx="7170">
                  <c:v>1.3265348735878619E-3</c:v>
                </c:pt>
                <c:pt idx="7171">
                  <c:v>1.1242870653977129E-3</c:v>
                </c:pt>
                <c:pt idx="7172">
                  <c:v>1.2553741777159304E-3</c:v>
                </c:pt>
                <c:pt idx="7173">
                  <c:v>6.0106413050815572E-4</c:v>
                </c:pt>
                <c:pt idx="7174">
                  <c:v>1.0601624633046957E-3</c:v>
                </c:pt>
                <c:pt idx="7175">
                  <c:v>5.8742212239352857E-4</c:v>
                </c:pt>
                <c:pt idx="7176">
                  <c:v>8.7373692857251051E-4</c:v>
                </c:pt>
                <c:pt idx="7177">
                  <c:v>1.1903315186427212E-3</c:v>
                </c:pt>
                <c:pt idx="7178">
                  <c:v>1.0918036163939026E-3</c:v>
                </c:pt>
                <c:pt idx="7179">
                  <c:v>9.4475677928182499E-4</c:v>
                </c:pt>
                <c:pt idx="7180">
                  <c:v>7.8509266115488544E-4</c:v>
                </c:pt>
                <c:pt idx="7181">
                  <c:v>4.8847100818214494E-4</c:v>
                </c:pt>
                <c:pt idx="7182">
                  <c:v>6.9373930802180237E-4</c:v>
                </c:pt>
                <c:pt idx="7183">
                  <c:v>1.2226166795192702E-3</c:v>
                </c:pt>
                <c:pt idx="7184">
                  <c:v>5.2979254068940304E-4</c:v>
                </c:pt>
                <c:pt idx="7185">
                  <c:v>1.2089286369231721E-3</c:v>
                </c:pt>
                <c:pt idx="7186">
                  <c:v>1.0410253938344205E-3</c:v>
                </c:pt>
                <c:pt idx="7187">
                  <c:v>6.9256101374731217E-4</c:v>
                </c:pt>
                <c:pt idx="7188">
                  <c:v>6.431641528921938E-4</c:v>
                </c:pt>
                <c:pt idx="7189">
                  <c:v>8.2854889878765912E-4</c:v>
                </c:pt>
                <c:pt idx="7190">
                  <c:v>6.8842835211638774E-4</c:v>
                </c:pt>
                <c:pt idx="7191">
                  <c:v>1.0621561514241938E-3</c:v>
                </c:pt>
                <c:pt idx="7192">
                  <c:v>1.0106997039307456E-3</c:v>
                </c:pt>
                <c:pt idx="7193">
                  <c:v>9.5229543120012468E-4</c:v>
                </c:pt>
                <c:pt idx="7194">
                  <c:v>6.8546329057521426E-4</c:v>
                </c:pt>
                <c:pt idx="7195">
                  <c:v>7.0930248290242094E-4</c:v>
                </c:pt>
                <c:pt idx="7196">
                  <c:v>6.6181329889614614E-4</c:v>
                </c:pt>
                <c:pt idx="7197">
                  <c:v>9.4044201752164743E-4</c:v>
                </c:pt>
                <c:pt idx="7198">
                  <c:v>5.5453859853772387E-4</c:v>
                </c:pt>
                <c:pt idx="7199">
                  <c:v>6.3353370877281413E-4</c:v>
                </c:pt>
                <c:pt idx="7200">
                  <c:v>1.2069833602621649E-3</c:v>
                </c:pt>
                <c:pt idx="7201">
                  <c:v>1.1047457036256882E-3</c:v>
                </c:pt>
                <c:pt idx="7202">
                  <c:v>1.1507175264251497E-3</c:v>
                </c:pt>
                <c:pt idx="7203">
                  <c:v>6.0862465586945303E-4</c:v>
                </c:pt>
                <c:pt idx="7204">
                  <c:v>5.3790622068159734E-4</c:v>
                </c:pt>
                <c:pt idx="7205">
                  <c:v>9.7675040583405687E-4</c:v>
                </c:pt>
                <c:pt idx="7206">
                  <c:v>8.5075835865832078E-4</c:v>
                </c:pt>
                <c:pt idx="7207">
                  <c:v>1.103509921425772E-3</c:v>
                </c:pt>
                <c:pt idx="7208">
                  <c:v>1.1282863869126918E-3</c:v>
                </c:pt>
                <c:pt idx="7209">
                  <c:v>7.5717491790374184E-4</c:v>
                </c:pt>
                <c:pt idx="7210">
                  <c:v>7.1960240851422219E-4</c:v>
                </c:pt>
                <c:pt idx="7211">
                  <c:v>1.0515066017211848E-3</c:v>
                </c:pt>
                <c:pt idx="7212">
                  <c:v>9.9067486325350534E-4</c:v>
                </c:pt>
                <c:pt idx="7213">
                  <c:v>6.9017894279560152E-4</c:v>
                </c:pt>
                <c:pt idx="7214">
                  <c:v>9.194200971913909E-4</c:v>
                </c:pt>
                <c:pt idx="7215">
                  <c:v>8.0988260435693998E-4</c:v>
                </c:pt>
                <c:pt idx="7216">
                  <c:v>9.3144149835188556E-4</c:v>
                </c:pt>
                <c:pt idx="7217">
                  <c:v>9.4693378989419222E-4</c:v>
                </c:pt>
                <c:pt idx="7218">
                  <c:v>3.5239146116948402E-4</c:v>
                </c:pt>
                <c:pt idx="7219">
                  <c:v>9.7426354354457183E-4</c:v>
                </c:pt>
                <c:pt idx="7220">
                  <c:v>1.5852519714370404E-3</c:v>
                </c:pt>
                <c:pt idx="7221">
                  <c:v>5.6349290910109743E-4</c:v>
                </c:pt>
                <c:pt idx="7222">
                  <c:v>3.5537429390713056E-4</c:v>
                </c:pt>
                <c:pt idx="7223">
                  <c:v>7.3307311426687319E-4</c:v>
                </c:pt>
                <c:pt idx="7224">
                  <c:v>8.239314467533861E-4</c:v>
                </c:pt>
                <c:pt idx="7225">
                  <c:v>4.1949975228872978E-4</c:v>
                </c:pt>
                <c:pt idx="7226">
                  <c:v>6.0167393304627929E-4</c:v>
                </c:pt>
                <c:pt idx="7227">
                  <c:v>1.1673669339158858E-3</c:v>
                </c:pt>
                <c:pt idx="7228">
                  <c:v>9.8057278864334342E-4</c:v>
                </c:pt>
                <c:pt idx="7229">
                  <c:v>5.8850056539246152E-4</c:v>
                </c:pt>
                <c:pt idx="7230">
                  <c:v>1.2519109769232181E-3</c:v>
                </c:pt>
                <c:pt idx="7231">
                  <c:v>1.5523315942676695E-3</c:v>
                </c:pt>
                <c:pt idx="7232">
                  <c:v>1.0103898335985346E-3</c:v>
                </c:pt>
                <c:pt idx="7233">
                  <c:v>8.8669862369673586E-4</c:v>
                </c:pt>
                <c:pt idx="7234">
                  <c:v>4.7941148344652913E-4</c:v>
                </c:pt>
                <c:pt idx="7235">
                  <c:v>1.0678365501845674E-3</c:v>
                </c:pt>
                <c:pt idx="7236">
                  <c:v>7.1277478367935817E-4</c:v>
                </c:pt>
                <c:pt idx="7237">
                  <c:v>9.9081729165814399E-4</c:v>
                </c:pt>
                <c:pt idx="7238">
                  <c:v>7.8296673461092706E-4</c:v>
                </c:pt>
                <c:pt idx="7239">
                  <c:v>6.2795179209304834E-4</c:v>
                </c:pt>
                <c:pt idx="7240">
                  <c:v>1.2164502343401209E-3</c:v>
                </c:pt>
                <c:pt idx="7241">
                  <c:v>5.382209372136377E-4</c:v>
                </c:pt>
                <c:pt idx="7242">
                  <c:v>9.5341269409253827E-4</c:v>
                </c:pt>
                <c:pt idx="7243">
                  <c:v>5.0332652757301372E-4</c:v>
                </c:pt>
                <c:pt idx="7244">
                  <c:v>1.2675505202623435E-3</c:v>
                </c:pt>
                <c:pt idx="7245">
                  <c:v>8.2748186685404962E-4</c:v>
                </c:pt>
                <c:pt idx="7246">
                  <c:v>8.3675676718108572E-4</c:v>
                </c:pt>
                <c:pt idx="7247">
                  <c:v>7.4785502428800343E-4</c:v>
                </c:pt>
                <c:pt idx="7248">
                  <c:v>7.8906118480812082E-4</c:v>
                </c:pt>
                <c:pt idx="7249">
                  <c:v>8.2991727612726689E-4</c:v>
                </c:pt>
                <c:pt idx="7250">
                  <c:v>5.397529011818659E-4</c:v>
                </c:pt>
                <c:pt idx="7251">
                  <c:v>9.0753303315567609E-4</c:v>
                </c:pt>
                <c:pt idx="7252">
                  <c:v>1.0884874389463894E-3</c:v>
                </c:pt>
                <c:pt idx="7253">
                  <c:v>8.3922730857399471E-4</c:v>
                </c:pt>
                <c:pt idx="7254">
                  <c:v>8.9449936353638935E-4</c:v>
                </c:pt>
                <c:pt idx="7255">
                  <c:v>3.674872557221983E-4</c:v>
                </c:pt>
                <c:pt idx="7256">
                  <c:v>1.0443033851820686E-3</c:v>
                </c:pt>
                <c:pt idx="7257">
                  <c:v>7.6021847350542118E-4</c:v>
                </c:pt>
                <c:pt idx="7258">
                  <c:v>1.0126315961335242E-3</c:v>
                </c:pt>
                <c:pt idx="7259">
                  <c:v>9.4902036591414313E-4</c:v>
                </c:pt>
                <c:pt idx="7260">
                  <c:v>5.598599970964705E-4</c:v>
                </c:pt>
                <c:pt idx="7261">
                  <c:v>1.332854167893294E-3</c:v>
                </c:pt>
                <c:pt idx="7262">
                  <c:v>1.3622617432419086E-3</c:v>
                </c:pt>
                <c:pt idx="7263">
                  <c:v>1.4679917380973071E-3</c:v>
                </c:pt>
                <c:pt idx="7264">
                  <c:v>1.1778506341473816E-3</c:v>
                </c:pt>
                <c:pt idx="7265">
                  <c:v>1.0289030715223504E-3</c:v>
                </c:pt>
                <c:pt idx="7266">
                  <c:v>9.6568725846783341E-4</c:v>
                </c:pt>
                <c:pt idx="7267">
                  <c:v>9.9689689126096688E-4</c:v>
                </c:pt>
                <c:pt idx="7268">
                  <c:v>8.3173834599307745E-4</c:v>
                </c:pt>
                <c:pt idx="7269">
                  <c:v>8.9494128317561459E-4</c:v>
                </c:pt>
                <c:pt idx="7270">
                  <c:v>5.9155202278672169E-4</c:v>
                </c:pt>
                <c:pt idx="7271">
                  <c:v>7.269110054890477E-4</c:v>
                </c:pt>
                <c:pt idx="7272">
                  <c:v>4.6409063438290575E-4</c:v>
                </c:pt>
                <c:pt idx="7273">
                  <c:v>1.0266995634107981E-3</c:v>
                </c:pt>
                <c:pt idx="7274">
                  <c:v>9.09237387978202E-4</c:v>
                </c:pt>
                <c:pt idx="7275">
                  <c:v>4.8779315885885379E-4</c:v>
                </c:pt>
                <c:pt idx="7276">
                  <c:v>3.9241784234558016E-4</c:v>
                </c:pt>
                <c:pt idx="7277">
                  <c:v>5.7544993917718135E-4</c:v>
                </c:pt>
                <c:pt idx="7278">
                  <c:v>8.228556050773045E-4</c:v>
                </c:pt>
                <c:pt idx="7279">
                  <c:v>7.4788175546686684E-4</c:v>
                </c:pt>
                <c:pt idx="7280">
                  <c:v>4.8580548015191201E-4</c:v>
                </c:pt>
                <c:pt idx="7281">
                  <c:v>7.8284405844350697E-4</c:v>
                </c:pt>
                <c:pt idx="7282">
                  <c:v>1.0716899108492133E-3</c:v>
                </c:pt>
                <c:pt idx="7283">
                  <c:v>9.7978315553344172E-4</c:v>
                </c:pt>
                <c:pt idx="7284">
                  <c:v>9.8820647179811961E-4</c:v>
                </c:pt>
                <c:pt idx="7285">
                  <c:v>8.2948076857510683E-4</c:v>
                </c:pt>
                <c:pt idx="7286">
                  <c:v>1.1399916579094851E-3</c:v>
                </c:pt>
                <c:pt idx="7287">
                  <c:v>1.0931741213287887E-3</c:v>
                </c:pt>
                <c:pt idx="7288">
                  <c:v>7.8356759059728732E-4</c:v>
                </c:pt>
                <c:pt idx="7289">
                  <c:v>6.1423009253598702E-4</c:v>
                </c:pt>
                <c:pt idx="7290">
                  <c:v>4.2401907708061254E-4</c:v>
                </c:pt>
                <c:pt idx="7291">
                  <c:v>7.5674022631764084E-4</c:v>
                </c:pt>
                <c:pt idx="7292">
                  <c:v>6.0678746002490913E-4</c:v>
                </c:pt>
                <c:pt idx="7293">
                  <c:v>9.5513494088766211E-4</c:v>
                </c:pt>
                <c:pt idx="7294">
                  <c:v>7.6093135133323286E-4</c:v>
                </c:pt>
                <c:pt idx="7295">
                  <c:v>1.0901336672009395E-3</c:v>
                </c:pt>
                <c:pt idx="7296">
                  <c:v>8.2758409775540503E-4</c:v>
                </c:pt>
                <c:pt idx="7297">
                  <c:v>1.2444890261658007E-3</c:v>
                </c:pt>
                <c:pt idx="7298">
                  <c:v>3.2109825372619437E-4</c:v>
                </c:pt>
                <c:pt idx="7299">
                  <c:v>6.0539979846244434E-4</c:v>
                </c:pt>
                <c:pt idx="7300">
                  <c:v>1.0429898716793936E-3</c:v>
                </c:pt>
                <c:pt idx="7301">
                  <c:v>6.5567409446563711E-4</c:v>
                </c:pt>
                <c:pt idx="7302">
                  <c:v>8.0494150014374737E-4</c:v>
                </c:pt>
                <c:pt idx="7303">
                  <c:v>5.5000299286707898E-4</c:v>
                </c:pt>
                <c:pt idx="7304">
                  <c:v>1.7390666238807403E-3</c:v>
                </c:pt>
                <c:pt idx="7305">
                  <c:v>7.0610165763425499E-4</c:v>
                </c:pt>
                <c:pt idx="7306">
                  <c:v>1.0105023254256191E-3</c:v>
                </c:pt>
                <c:pt idx="7307">
                  <c:v>4.0211341204045189E-4</c:v>
                </c:pt>
                <c:pt idx="7308">
                  <c:v>8.9432129190065719E-4</c:v>
                </c:pt>
                <c:pt idx="7309">
                  <c:v>8.5684798806705254E-4</c:v>
                </c:pt>
                <c:pt idx="7310">
                  <c:v>9.6312806221004424E-4</c:v>
                </c:pt>
                <c:pt idx="7311">
                  <c:v>1.0396891806586706E-3</c:v>
                </c:pt>
                <c:pt idx="7312">
                  <c:v>9.7967528454809293E-4</c:v>
                </c:pt>
                <c:pt idx="7313">
                  <c:v>4.2451971522988426E-4</c:v>
                </c:pt>
                <c:pt idx="7314">
                  <c:v>1.0966022358451504E-3</c:v>
                </c:pt>
                <c:pt idx="7315">
                  <c:v>9.7704980487367792E-4</c:v>
                </c:pt>
                <c:pt idx="7316">
                  <c:v>8.6326035480798228E-4</c:v>
                </c:pt>
                <c:pt idx="7317">
                  <c:v>1.312078492958228E-3</c:v>
                </c:pt>
                <c:pt idx="7318">
                  <c:v>8.5280539799730535E-4</c:v>
                </c:pt>
                <c:pt idx="7319">
                  <c:v>4.5833389598996376E-4</c:v>
                </c:pt>
                <c:pt idx="7320">
                  <c:v>9.4973100715669472E-4</c:v>
                </c:pt>
                <c:pt idx="7321">
                  <c:v>8.6480807538888676E-4</c:v>
                </c:pt>
                <c:pt idx="7322">
                  <c:v>1.2787604243413031E-3</c:v>
                </c:pt>
                <c:pt idx="7323">
                  <c:v>1.3065521948821312E-3</c:v>
                </c:pt>
                <c:pt idx="7324">
                  <c:v>1.1216123939579259E-3</c:v>
                </c:pt>
                <c:pt idx="7325">
                  <c:v>7.6950113238698041E-4</c:v>
                </c:pt>
                <c:pt idx="7326">
                  <c:v>6.621715196452573E-4</c:v>
                </c:pt>
                <c:pt idx="7327">
                  <c:v>8.2429045775019266E-4</c:v>
                </c:pt>
                <c:pt idx="7328">
                  <c:v>1.0682953876722529E-3</c:v>
                </c:pt>
                <c:pt idx="7329">
                  <c:v>5.3984266147415172E-4</c:v>
                </c:pt>
                <c:pt idx="7330">
                  <c:v>7.6771638767778071E-4</c:v>
                </c:pt>
                <c:pt idx="7331">
                  <c:v>7.8234321763680768E-4</c:v>
                </c:pt>
                <c:pt idx="7332">
                  <c:v>1.4763429784881781E-3</c:v>
                </c:pt>
                <c:pt idx="7333">
                  <c:v>1.041738121109181E-3</c:v>
                </c:pt>
                <c:pt idx="7334">
                  <c:v>8.100298908835028E-4</c:v>
                </c:pt>
                <c:pt idx="7335">
                  <c:v>1.4141030014086405E-3</c:v>
                </c:pt>
                <c:pt idx="7336">
                  <c:v>5.7152336651023036E-4</c:v>
                </c:pt>
                <c:pt idx="7337">
                  <c:v>1.126992793242106E-3</c:v>
                </c:pt>
                <c:pt idx="7338">
                  <c:v>1.0826785925192638E-3</c:v>
                </c:pt>
                <c:pt idx="7339">
                  <c:v>9.2235172531330049E-4</c:v>
                </c:pt>
                <c:pt idx="7340">
                  <c:v>9.8425541646651152E-4</c:v>
                </c:pt>
                <c:pt idx="7341">
                  <c:v>9.1495938332562842E-4</c:v>
                </c:pt>
                <c:pt idx="7342">
                  <c:v>1.2801400686585718E-3</c:v>
                </c:pt>
                <c:pt idx="7343">
                  <c:v>7.6572393064780692E-4</c:v>
                </c:pt>
                <c:pt idx="7344">
                  <c:v>1.051479661957302E-3</c:v>
                </c:pt>
                <c:pt idx="7345">
                  <c:v>2.2340934996913152E-4</c:v>
                </c:pt>
                <c:pt idx="7346">
                  <c:v>2.9220840408261943E-4</c:v>
                </c:pt>
                <c:pt idx="7347">
                  <c:v>3.3083869958543501E-4</c:v>
                </c:pt>
                <c:pt idx="7348">
                  <c:v>1.0513090468239762E-3</c:v>
                </c:pt>
                <c:pt idx="7349">
                  <c:v>4.8509337292390522E-4</c:v>
                </c:pt>
                <c:pt idx="7350">
                  <c:v>8.2155962624334356E-4</c:v>
                </c:pt>
                <c:pt idx="7351">
                  <c:v>1.3218299295487874E-3</c:v>
                </c:pt>
                <c:pt idx="7352">
                  <c:v>8.8645511444578322E-4</c:v>
                </c:pt>
                <c:pt idx="7353">
                  <c:v>1.1381358929093404E-3</c:v>
                </c:pt>
                <c:pt idx="7354">
                  <c:v>4.9306154569168275E-4</c:v>
                </c:pt>
                <c:pt idx="7355">
                  <c:v>9.9714221821021131E-4</c:v>
                </c:pt>
                <c:pt idx="7356">
                  <c:v>8.2035641846271495E-4</c:v>
                </c:pt>
                <c:pt idx="7357">
                  <c:v>1.1107303894708643E-3</c:v>
                </c:pt>
                <c:pt idx="7358">
                  <c:v>4.5520491176224433E-4</c:v>
                </c:pt>
                <c:pt idx="7359">
                  <c:v>8.1029100441927905E-4</c:v>
                </c:pt>
                <c:pt idx="7360">
                  <c:v>9.5368705902271753E-4</c:v>
                </c:pt>
                <c:pt idx="7361">
                  <c:v>4.6465806957313882E-4</c:v>
                </c:pt>
                <c:pt idx="7362">
                  <c:v>9.6006621009856613E-4</c:v>
                </c:pt>
                <c:pt idx="7363">
                  <c:v>9.9076765164760093E-4</c:v>
                </c:pt>
                <c:pt idx="7364">
                  <c:v>8.1186550161923459E-4</c:v>
                </c:pt>
                <c:pt idx="7365">
                  <c:v>6.2873532046576542E-4</c:v>
                </c:pt>
                <c:pt idx="7366">
                  <c:v>5.6045084057314222E-4</c:v>
                </c:pt>
                <c:pt idx="7367">
                  <c:v>7.6863539304593688E-4</c:v>
                </c:pt>
                <c:pt idx="7368">
                  <c:v>9.8188545047334249E-4</c:v>
                </c:pt>
                <c:pt idx="7369">
                  <c:v>9.4563574801992455E-4</c:v>
                </c:pt>
                <c:pt idx="7370">
                  <c:v>1.1698595791211747E-3</c:v>
                </c:pt>
                <c:pt idx="7371">
                  <c:v>9.457362138977852E-4</c:v>
                </c:pt>
                <c:pt idx="7372">
                  <c:v>1.0737938636702052E-3</c:v>
                </c:pt>
                <c:pt idx="7373">
                  <c:v>9.7916059267863075E-4</c:v>
                </c:pt>
                <c:pt idx="7374">
                  <c:v>1.1990820104434976E-3</c:v>
                </c:pt>
                <c:pt idx="7375">
                  <c:v>2.0317040442284053E-4</c:v>
                </c:pt>
                <c:pt idx="7376">
                  <c:v>4.0970162776778871E-4</c:v>
                </c:pt>
                <c:pt idx="7377">
                  <c:v>9.6489451968995686E-4</c:v>
                </c:pt>
                <c:pt idx="7378">
                  <c:v>7.3919265861336269E-4</c:v>
                </c:pt>
                <c:pt idx="7379">
                  <c:v>6.745725918147474E-4</c:v>
                </c:pt>
                <c:pt idx="7380">
                  <c:v>1.0206875376808043E-3</c:v>
                </c:pt>
                <c:pt idx="7381">
                  <c:v>4.6342088101425697E-4</c:v>
                </c:pt>
                <c:pt idx="7382">
                  <c:v>7.1169356003308491E-4</c:v>
                </c:pt>
                <c:pt idx="7383">
                  <c:v>1.1337919173705629E-3</c:v>
                </c:pt>
                <c:pt idx="7384">
                  <c:v>4.3399417117733586E-4</c:v>
                </c:pt>
                <c:pt idx="7385">
                  <c:v>2.9698736188243615E-4</c:v>
                </c:pt>
                <c:pt idx="7386">
                  <c:v>2.8674918987090691E-4</c:v>
                </c:pt>
                <c:pt idx="7387">
                  <c:v>9.3459179257926895E-4</c:v>
                </c:pt>
                <c:pt idx="7388">
                  <c:v>1.4228444239591524E-3</c:v>
                </c:pt>
                <c:pt idx="7389">
                  <c:v>3.4415421266324574E-4</c:v>
                </c:pt>
                <c:pt idx="7390">
                  <c:v>7.5030394999930667E-4</c:v>
                </c:pt>
                <c:pt idx="7391">
                  <c:v>6.8033048401054663E-4</c:v>
                </c:pt>
                <c:pt idx="7392">
                  <c:v>4.3279066568020416E-4</c:v>
                </c:pt>
                <c:pt idx="7393">
                  <c:v>5.0722889040252849E-4</c:v>
                </c:pt>
                <c:pt idx="7394">
                  <c:v>7.9723895402637702E-4</c:v>
                </c:pt>
                <c:pt idx="7395">
                  <c:v>1.3089101475011356E-3</c:v>
                </c:pt>
                <c:pt idx="7396">
                  <c:v>6.7935505970722525E-4</c:v>
                </c:pt>
                <c:pt idx="7397">
                  <c:v>5.1730885064553357E-4</c:v>
                </c:pt>
                <c:pt idx="7398">
                  <c:v>3.3569164867347084E-4</c:v>
                </c:pt>
                <c:pt idx="7399">
                  <c:v>9.5000410860878858E-4</c:v>
                </c:pt>
                <c:pt idx="7400">
                  <c:v>5.8528620508614996E-4</c:v>
                </c:pt>
                <c:pt idx="7401">
                  <c:v>5.0475568181417691E-4</c:v>
                </c:pt>
                <c:pt idx="7402">
                  <c:v>1.145107722869312E-3</c:v>
                </c:pt>
                <c:pt idx="7403">
                  <c:v>6.7961998858553755E-4</c:v>
                </c:pt>
                <c:pt idx="7404">
                  <c:v>3.0707632892148162E-4</c:v>
                </c:pt>
                <c:pt idx="7405">
                  <c:v>1.0328967322130772E-3</c:v>
                </c:pt>
                <c:pt idx="7406">
                  <c:v>8.2645871426908547E-4</c:v>
                </c:pt>
                <c:pt idx="7407">
                  <c:v>6.2699992925838784E-4</c:v>
                </c:pt>
                <c:pt idx="7408">
                  <c:v>9.469333438121998E-4</c:v>
                </c:pt>
                <c:pt idx="7409">
                  <c:v>1.0124385476031562E-3</c:v>
                </c:pt>
                <c:pt idx="7410">
                  <c:v>1.0273529430848548E-3</c:v>
                </c:pt>
                <c:pt idx="7411">
                  <c:v>5.6269617452997826E-4</c:v>
                </c:pt>
                <c:pt idx="7412">
                  <c:v>5.6486088307755068E-4</c:v>
                </c:pt>
                <c:pt idx="7413">
                  <c:v>9.4811807698388028E-4</c:v>
                </c:pt>
                <c:pt idx="7414">
                  <c:v>4.3402830762074023E-4</c:v>
                </c:pt>
                <c:pt idx="7415">
                  <c:v>8.0519331541252851E-4</c:v>
                </c:pt>
                <c:pt idx="7416">
                  <c:v>1.4809393774914228E-3</c:v>
                </c:pt>
                <c:pt idx="7417">
                  <c:v>6.423166467563183E-4</c:v>
                </c:pt>
                <c:pt idx="7418">
                  <c:v>1.2680725289559759E-3</c:v>
                </c:pt>
                <c:pt idx="7419">
                  <c:v>9.9443451254035455E-4</c:v>
                </c:pt>
                <c:pt idx="7420">
                  <c:v>1.2092234598290856E-3</c:v>
                </c:pt>
                <c:pt idx="7421">
                  <c:v>6.5246547085876037E-4</c:v>
                </c:pt>
                <c:pt idx="7422">
                  <c:v>1.189254953853372E-3</c:v>
                </c:pt>
                <c:pt idx="7423">
                  <c:v>1.2146572981166569E-3</c:v>
                </c:pt>
                <c:pt idx="7424">
                  <c:v>6.3096610427221386E-4</c:v>
                </c:pt>
                <c:pt idx="7425">
                  <c:v>4.141931211129333E-4</c:v>
                </c:pt>
                <c:pt idx="7426">
                  <c:v>1.0170930331551622E-3</c:v>
                </c:pt>
                <c:pt idx="7427">
                  <c:v>7.8306809462503149E-4</c:v>
                </c:pt>
                <c:pt idx="7428">
                  <c:v>9.2270662449288993E-4</c:v>
                </c:pt>
                <c:pt idx="7429">
                  <c:v>1.0442398561099284E-3</c:v>
                </c:pt>
                <c:pt idx="7430">
                  <c:v>1.141052033178905E-3</c:v>
                </c:pt>
                <c:pt idx="7431">
                  <c:v>1.1558497824542694E-3</c:v>
                </c:pt>
                <c:pt idx="7432">
                  <c:v>1.3324269038127929E-3</c:v>
                </c:pt>
                <c:pt idx="7433">
                  <c:v>1.033885645011449E-3</c:v>
                </c:pt>
                <c:pt idx="7434">
                  <c:v>3.3294943160919074E-4</c:v>
                </c:pt>
                <c:pt idx="7435">
                  <c:v>9.820236649014393E-4</c:v>
                </c:pt>
                <c:pt idx="7436">
                  <c:v>9.4121339187853157E-4</c:v>
                </c:pt>
                <c:pt idx="7437">
                  <c:v>1.0079935001985579E-3</c:v>
                </c:pt>
                <c:pt idx="7438">
                  <c:v>5.3469103534389416E-4</c:v>
                </c:pt>
                <c:pt idx="7439">
                  <c:v>1.1757463571182825E-3</c:v>
                </c:pt>
                <c:pt idx="7440">
                  <c:v>1.352805811644887E-3</c:v>
                </c:pt>
                <c:pt idx="7441">
                  <c:v>1.1426144585252767E-3</c:v>
                </c:pt>
                <c:pt idx="7442">
                  <c:v>5.9795235750425418E-4</c:v>
                </c:pt>
                <c:pt idx="7443">
                  <c:v>8.0275333232182719E-4</c:v>
                </c:pt>
                <c:pt idx="7444">
                  <c:v>5.5404949954663836E-4</c:v>
                </c:pt>
                <c:pt idx="7445">
                  <c:v>2.680771595906324E-4</c:v>
                </c:pt>
                <c:pt idx="7446">
                  <c:v>1.1690511798626226E-3</c:v>
                </c:pt>
                <c:pt idx="7447">
                  <c:v>1.1007184508894361E-3</c:v>
                </c:pt>
                <c:pt idx="7448">
                  <c:v>1.1169236212875042E-3</c:v>
                </c:pt>
                <c:pt idx="7449">
                  <c:v>6.6904608481671763E-4</c:v>
                </c:pt>
                <c:pt idx="7450">
                  <c:v>1.0546822107492465E-3</c:v>
                </c:pt>
                <c:pt idx="7451">
                  <c:v>1.1998185183646854E-3</c:v>
                </c:pt>
                <c:pt idx="7452">
                  <c:v>8.1590107155831803E-4</c:v>
                </c:pt>
                <c:pt idx="7453">
                  <c:v>4.9581881541147801E-4</c:v>
                </c:pt>
                <c:pt idx="7454">
                  <c:v>8.4738198171568132E-4</c:v>
                </c:pt>
                <c:pt idx="7455">
                  <c:v>6.0775014687412918E-4</c:v>
                </c:pt>
                <c:pt idx="7456">
                  <c:v>8.5898708154100644E-4</c:v>
                </c:pt>
                <c:pt idx="7457">
                  <c:v>1.3283718497216792E-3</c:v>
                </c:pt>
                <c:pt idx="7458">
                  <c:v>8.9788159670276967E-4</c:v>
                </c:pt>
                <c:pt idx="7459">
                  <c:v>4.9710718529915774E-4</c:v>
                </c:pt>
                <c:pt idx="7460">
                  <c:v>1.0872499214514661E-3</c:v>
                </c:pt>
                <c:pt idx="7461">
                  <c:v>3.4728502521449073E-4</c:v>
                </c:pt>
                <c:pt idx="7462">
                  <c:v>3.4321906684420901E-4</c:v>
                </c:pt>
                <c:pt idx="7463">
                  <c:v>4.6815439702566254E-4</c:v>
                </c:pt>
                <c:pt idx="7464">
                  <c:v>9.5132465261312991E-4</c:v>
                </c:pt>
                <c:pt idx="7465">
                  <c:v>1.0810069010335345E-3</c:v>
                </c:pt>
                <c:pt idx="7466">
                  <c:v>1.2212821171734894E-3</c:v>
                </c:pt>
                <c:pt idx="7467">
                  <c:v>4.6589836883919494E-4</c:v>
                </c:pt>
                <c:pt idx="7468">
                  <c:v>1.0854857574788788E-3</c:v>
                </c:pt>
                <c:pt idx="7469">
                  <c:v>5.0756297261332389E-4</c:v>
                </c:pt>
                <c:pt idx="7470">
                  <c:v>5.60136154431664E-4</c:v>
                </c:pt>
                <c:pt idx="7471">
                  <c:v>4.5209402367524883E-4</c:v>
                </c:pt>
                <c:pt idx="7472">
                  <c:v>8.3406900074490251E-4</c:v>
                </c:pt>
                <c:pt idx="7473">
                  <c:v>1.1979327649240491E-3</c:v>
                </c:pt>
                <c:pt idx="7474">
                  <c:v>8.6148441151820637E-4</c:v>
                </c:pt>
                <c:pt idx="7475">
                  <c:v>1.4905444720925249E-3</c:v>
                </c:pt>
                <c:pt idx="7476">
                  <c:v>1.0199742067582911E-3</c:v>
                </c:pt>
                <c:pt idx="7477">
                  <c:v>7.1875613480581265E-4</c:v>
                </c:pt>
                <c:pt idx="7478">
                  <c:v>1.2701190283532385E-3</c:v>
                </c:pt>
                <c:pt idx="7479">
                  <c:v>9.0810083740677447E-4</c:v>
                </c:pt>
                <c:pt idx="7480">
                  <c:v>1.2051750975366152E-3</c:v>
                </c:pt>
                <c:pt idx="7481">
                  <c:v>1.1705890925728854E-3</c:v>
                </c:pt>
                <c:pt idx="7482">
                  <c:v>1.0042365463803226E-3</c:v>
                </c:pt>
                <c:pt idx="7483">
                  <c:v>9.315884301988529E-4</c:v>
                </c:pt>
                <c:pt idx="7484">
                  <c:v>6.6544666060315821E-4</c:v>
                </c:pt>
                <c:pt idx="7485">
                  <c:v>9.4468478380877949E-4</c:v>
                </c:pt>
                <c:pt idx="7486">
                  <c:v>1.3555454050361408E-3</c:v>
                </c:pt>
                <c:pt idx="7487">
                  <c:v>1.1545703037489884E-3</c:v>
                </c:pt>
                <c:pt idx="7488">
                  <c:v>8.7936516897020979E-4</c:v>
                </c:pt>
                <c:pt idx="7489">
                  <c:v>6.9723832946265061E-4</c:v>
                </c:pt>
                <c:pt idx="7490">
                  <c:v>1.0707634371245223E-3</c:v>
                </c:pt>
                <c:pt idx="7491">
                  <c:v>7.1651421039693503E-4</c:v>
                </c:pt>
                <c:pt idx="7492">
                  <c:v>5.0030292951925898E-4</c:v>
                </c:pt>
                <c:pt idx="7493">
                  <c:v>3.6623593347243809E-4</c:v>
                </c:pt>
                <c:pt idx="7494">
                  <c:v>1.4361210273334103E-3</c:v>
                </c:pt>
                <c:pt idx="7495">
                  <c:v>1.0760789625204139E-3</c:v>
                </c:pt>
                <c:pt idx="7496">
                  <c:v>3.1237454307319072E-4</c:v>
                </c:pt>
                <c:pt idx="7497">
                  <c:v>6.3049931272044011E-4</c:v>
                </c:pt>
                <c:pt idx="7498">
                  <c:v>7.8008436525447186E-4</c:v>
                </c:pt>
                <c:pt idx="7499">
                  <c:v>7.0361919936736675E-4</c:v>
                </c:pt>
                <c:pt idx="7500">
                  <c:v>1.0663774924130104E-3</c:v>
                </c:pt>
                <c:pt idx="7501">
                  <c:v>9.2883966531494896E-4</c:v>
                </c:pt>
                <c:pt idx="7502">
                  <c:v>1.2276596365105698E-3</c:v>
                </c:pt>
                <c:pt idx="7503">
                  <c:v>6.9443853768475102E-4</c:v>
                </c:pt>
                <c:pt idx="7504">
                  <c:v>6.6039374717722927E-4</c:v>
                </c:pt>
                <c:pt idx="7505">
                  <c:v>4.4417931192858063E-4</c:v>
                </c:pt>
                <c:pt idx="7506">
                  <c:v>1.0093015667292109E-3</c:v>
                </c:pt>
                <c:pt idx="7507">
                  <c:v>4.2472253332149568E-4</c:v>
                </c:pt>
                <c:pt idx="7508">
                  <c:v>5.9480991101087976E-4</c:v>
                </c:pt>
                <c:pt idx="7509">
                  <c:v>6.9694403231355354E-4</c:v>
                </c:pt>
                <c:pt idx="7510">
                  <c:v>1.1226027480765737E-3</c:v>
                </c:pt>
                <c:pt idx="7511">
                  <c:v>9.5931009959496813E-4</c:v>
                </c:pt>
                <c:pt idx="7512">
                  <c:v>4.3780790921270915E-4</c:v>
                </c:pt>
                <c:pt idx="7513">
                  <c:v>1.2758939823872464E-3</c:v>
                </c:pt>
                <c:pt idx="7514">
                  <c:v>2.5960616694583705E-4</c:v>
                </c:pt>
                <c:pt idx="7515">
                  <c:v>1.2754101052879041E-3</c:v>
                </c:pt>
                <c:pt idx="7516">
                  <c:v>9.7979913212905634E-4</c:v>
                </c:pt>
                <c:pt idx="7517">
                  <c:v>9.1524689235108212E-4</c:v>
                </c:pt>
                <c:pt idx="7518">
                  <c:v>1.0465923942252111E-3</c:v>
                </c:pt>
                <c:pt idx="7519">
                  <c:v>9.9011954298041131E-4</c:v>
                </c:pt>
                <c:pt idx="7520">
                  <c:v>9.1192149937911456E-4</c:v>
                </c:pt>
                <c:pt idx="7521">
                  <c:v>5.1889650823840376E-4</c:v>
                </c:pt>
                <c:pt idx="7522">
                  <c:v>4.4605102882750417E-4</c:v>
                </c:pt>
                <c:pt idx="7523">
                  <c:v>1.0840096407356914E-3</c:v>
                </c:pt>
                <c:pt idx="7524">
                  <c:v>9.5256191212096024E-4</c:v>
                </c:pt>
                <c:pt idx="7525">
                  <c:v>2.0482012320056518E-4</c:v>
                </c:pt>
                <c:pt idx="7526">
                  <c:v>1.4750637444301806E-4</c:v>
                </c:pt>
                <c:pt idx="7527">
                  <c:v>7.4445568350351365E-4</c:v>
                </c:pt>
                <c:pt idx="7528">
                  <c:v>1.0144577591091831E-3</c:v>
                </c:pt>
                <c:pt idx="7529">
                  <c:v>6.3507482558690441E-4</c:v>
                </c:pt>
                <c:pt idx="7530">
                  <c:v>7.8040064441798869E-4</c:v>
                </c:pt>
                <c:pt idx="7531">
                  <c:v>3.9060844075689211E-4</c:v>
                </c:pt>
                <c:pt idx="7532">
                  <c:v>4.9114107482916148E-4</c:v>
                </c:pt>
                <c:pt idx="7533">
                  <c:v>3.7001098507160484E-4</c:v>
                </c:pt>
                <c:pt idx="7534">
                  <c:v>7.143996142851515E-4</c:v>
                </c:pt>
                <c:pt idx="7535">
                  <c:v>1.1564473702201981E-3</c:v>
                </c:pt>
                <c:pt idx="7536">
                  <c:v>1.037031305685876E-3</c:v>
                </c:pt>
                <c:pt idx="7537">
                  <c:v>6.278935837946472E-4</c:v>
                </c:pt>
                <c:pt idx="7538">
                  <c:v>2.3765849838447726E-4</c:v>
                </c:pt>
                <c:pt idx="7539">
                  <c:v>5.8401709951866343E-4</c:v>
                </c:pt>
                <c:pt idx="7540">
                  <c:v>1.0796774640013584E-3</c:v>
                </c:pt>
                <c:pt idx="7541">
                  <c:v>1.439256203720987E-3</c:v>
                </c:pt>
                <c:pt idx="7542">
                  <c:v>1.1230017701701412E-3</c:v>
                </c:pt>
                <c:pt idx="7543">
                  <c:v>9.3018433833347508E-4</c:v>
                </c:pt>
                <c:pt idx="7544">
                  <c:v>3.565687368824802E-4</c:v>
                </c:pt>
                <c:pt idx="7545">
                  <c:v>1.3353823371977352E-3</c:v>
                </c:pt>
                <c:pt idx="7546">
                  <c:v>8.0159692885623803E-4</c:v>
                </c:pt>
                <c:pt idx="7547">
                  <c:v>8.8310077170140953E-4</c:v>
                </c:pt>
                <c:pt idx="7548">
                  <c:v>8.4886382928994893E-4</c:v>
                </c:pt>
                <c:pt idx="7549">
                  <c:v>7.7382939661506552E-4</c:v>
                </c:pt>
                <c:pt idx="7550">
                  <c:v>8.5643315507217567E-4</c:v>
                </c:pt>
                <c:pt idx="7551">
                  <c:v>5.3443916930969392E-4</c:v>
                </c:pt>
                <c:pt idx="7552">
                  <c:v>1.4861744804818755E-3</c:v>
                </c:pt>
                <c:pt idx="7553">
                  <c:v>8.3887157994920524E-4</c:v>
                </c:pt>
                <c:pt idx="7554">
                  <c:v>8.303043280666341E-4</c:v>
                </c:pt>
                <c:pt idx="7555">
                  <c:v>1.0636239319866828E-3</c:v>
                </c:pt>
                <c:pt idx="7556">
                  <c:v>-5.8254119829558807E-6</c:v>
                </c:pt>
                <c:pt idx="7557">
                  <c:v>9.1949746076067909E-4</c:v>
                </c:pt>
                <c:pt idx="7558">
                  <c:v>7.2511012277129134E-4</c:v>
                </c:pt>
                <c:pt idx="7559">
                  <c:v>9.9355772280281516E-4</c:v>
                </c:pt>
                <c:pt idx="7560">
                  <c:v>5.6836118331546651E-4</c:v>
                </c:pt>
                <c:pt idx="7561">
                  <c:v>4.2423009078148568E-4</c:v>
                </c:pt>
                <c:pt idx="7562">
                  <c:v>3.8120489373733046E-4</c:v>
                </c:pt>
                <c:pt idx="7563">
                  <c:v>9.8510131202185903E-4</c:v>
                </c:pt>
                <c:pt idx="7564">
                  <c:v>1.4328937133316461E-3</c:v>
                </c:pt>
                <c:pt idx="7565">
                  <c:v>9.8454720286495932E-4</c:v>
                </c:pt>
                <c:pt idx="7566">
                  <c:v>7.7468207071239217E-4</c:v>
                </c:pt>
                <c:pt idx="7567">
                  <c:v>6.1669140176114187E-4</c:v>
                </c:pt>
                <c:pt idx="7568">
                  <c:v>9.060095851609344E-4</c:v>
                </c:pt>
                <c:pt idx="7569">
                  <c:v>8.5830054730024136E-4</c:v>
                </c:pt>
                <c:pt idx="7570">
                  <c:v>1.1487806752711349E-3</c:v>
                </c:pt>
                <c:pt idx="7571">
                  <c:v>4.7658835993967519E-4</c:v>
                </c:pt>
                <c:pt idx="7572">
                  <c:v>7.796098287891107E-4</c:v>
                </c:pt>
                <c:pt idx="7573">
                  <c:v>5.9677563461774802E-4</c:v>
                </c:pt>
                <c:pt idx="7574">
                  <c:v>1.0947812328244678E-3</c:v>
                </c:pt>
                <c:pt idx="7575">
                  <c:v>7.3562548041653701E-4</c:v>
                </c:pt>
                <c:pt idx="7576">
                  <c:v>1.3497401388089636E-3</c:v>
                </c:pt>
                <c:pt idx="7577">
                  <c:v>9.4954466220853961E-4</c:v>
                </c:pt>
                <c:pt idx="7578">
                  <c:v>1.2624943748266654E-3</c:v>
                </c:pt>
                <c:pt idx="7579">
                  <c:v>5.873933793647168E-4</c:v>
                </c:pt>
                <c:pt idx="7580">
                  <c:v>4.9392604336144269E-4</c:v>
                </c:pt>
                <c:pt idx="7581">
                  <c:v>1.1263212882762622E-3</c:v>
                </c:pt>
                <c:pt idx="7582">
                  <c:v>5.2483339506727929E-4</c:v>
                </c:pt>
                <c:pt idx="7583">
                  <c:v>7.8815676471216927E-4</c:v>
                </c:pt>
                <c:pt idx="7584">
                  <c:v>6.7310687470951069E-4</c:v>
                </c:pt>
                <c:pt idx="7585">
                  <c:v>2.5990309270356436E-4</c:v>
                </c:pt>
                <c:pt idx="7586">
                  <c:v>7.5375744413044181E-4</c:v>
                </c:pt>
                <c:pt idx="7587">
                  <c:v>1.5323520080615023E-3</c:v>
                </c:pt>
                <c:pt idx="7588">
                  <c:v>1.0775517987188497E-3</c:v>
                </c:pt>
                <c:pt idx="7589">
                  <c:v>6.4786876620351222E-4</c:v>
                </c:pt>
                <c:pt idx="7590">
                  <c:v>1.5771375298756002E-3</c:v>
                </c:pt>
                <c:pt idx="7591">
                  <c:v>1.2901227753719924E-3</c:v>
                </c:pt>
                <c:pt idx="7592">
                  <c:v>3.4010528829404738E-4</c:v>
                </c:pt>
                <c:pt idx="7593">
                  <c:v>8.8741022367852345E-4</c:v>
                </c:pt>
                <c:pt idx="7594">
                  <c:v>1.2894553374128365E-3</c:v>
                </c:pt>
                <c:pt idx="7595">
                  <c:v>1.3183788965570732E-3</c:v>
                </c:pt>
                <c:pt idx="7596">
                  <c:v>1.1642656686269531E-3</c:v>
                </c:pt>
                <c:pt idx="7597">
                  <c:v>5.3237041493201171E-4</c:v>
                </c:pt>
                <c:pt idx="7598">
                  <c:v>6.4220934686255932E-4</c:v>
                </c:pt>
                <c:pt idx="7599">
                  <c:v>7.1109222084929662E-4</c:v>
                </c:pt>
                <c:pt idx="7600">
                  <c:v>1.6167484339878282E-3</c:v>
                </c:pt>
                <c:pt idx="7601">
                  <c:v>8.8297093927346918E-4</c:v>
                </c:pt>
                <c:pt idx="7602">
                  <c:v>8.9892528948437936E-4</c:v>
                </c:pt>
                <c:pt idx="7603">
                  <c:v>7.1154295725170587E-4</c:v>
                </c:pt>
                <c:pt idx="7604">
                  <c:v>1.1486168042619937E-3</c:v>
                </c:pt>
                <c:pt idx="7605">
                  <c:v>7.9561756626801965E-4</c:v>
                </c:pt>
                <c:pt idx="7606">
                  <c:v>8.7548160451030022E-4</c:v>
                </c:pt>
                <c:pt idx="7607">
                  <c:v>7.5845279745630375E-4</c:v>
                </c:pt>
                <c:pt idx="7608">
                  <c:v>1.0604469408143772E-3</c:v>
                </c:pt>
                <c:pt idx="7609">
                  <c:v>1.3085727650668354E-3</c:v>
                </c:pt>
                <c:pt idx="7610">
                  <c:v>5.3075661367428127E-4</c:v>
                </c:pt>
                <c:pt idx="7611">
                  <c:v>5.5414625523910008E-4</c:v>
                </c:pt>
                <c:pt idx="7612">
                  <c:v>3.1915088787287085E-4</c:v>
                </c:pt>
                <c:pt idx="7613">
                  <c:v>8.2912411903147455E-4</c:v>
                </c:pt>
                <c:pt idx="7614">
                  <c:v>1.0554671741283259E-3</c:v>
                </c:pt>
                <c:pt idx="7615">
                  <c:v>3.7896106538584087E-4</c:v>
                </c:pt>
                <c:pt idx="7616">
                  <c:v>6.8718775652287908E-4</c:v>
                </c:pt>
                <c:pt idx="7617">
                  <c:v>1.5790284604882301E-3</c:v>
                </c:pt>
                <c:pt idx="7618">
                  <c:v>4.6580113932042608E-4</c:v>
                </c:pt>
                <c:pt idx="7619">
                  <c:v>1.1386262979285072E-3</c:v>
                </c:pt>
                <c:pt idx="7620">
                  <c:v>9.0247929845985674E-4</c:v>
                </c:pt>
                <c:pt idx="7621">
                  <c:v>1.1919921710707806E-3</c:v>
                </c:pt>
                <c:pt idx="7622">
                  <c:v>6.6590247607204573E-4</c:v>
                </c:pt>
                <c:pt idx="7623">
                  <c:v>1.1470142593077621E-3</c:v>
                </c:pt>
                <c:pt idx="7624">
                  <c:v>1.2127406494783714E-3</c:v>
                </c:pt>
                <c:pt idx="7625">
                  <c:v>7.6120264211892346E-4</c:v>
                </c:pt>
                <c:pt idx="7626">
                  <c:v>7.5056230950551397E-4</c:v>
                </c:pt>
                <c:pt idx="7627">
                  <c:v>8.4481663688416354E-4</c:v>
                </c:pt>
                <c:pt idx="7628">
                  <c:v>8.3054033092402424E-4</c:v>
                </c:pt>
                <c:pt idx="7629">
                  <c:v>8.7291058791625872E-4</c:v>
                </c:pt>
                <c:pt idx="7630">
                  <c:v>5.0133744038858381E-4</c:v>
                </c:pt>
                <c:pt idx="7631">
                  <c:v>5.6863907549996708E-4</c:v>
                </c:pt>
                <c:pt idx="7632">
                  <c:v>1.4647277169002834E-3</c:v>
                </c:pt>
                <c:pt idx="7633">
                  <c:v>9.3096691808126984E-4</c:v>
                </c:pt>
                <c:pt idx="7634">
                  <c:v>1.2671395321986827E-3</c:v>
                </c:pt>
                <c:pt idx="7635">
                  <c:v>1.2192195630568814E-3</c:v>
                </c:pt>
                <c:pt idx="7636">
                  <c:v>1.0257048201476895E-3</c:v>
                </c:pt>
                <c:pt idx="7637">
                  <c:v>9.5966856910517163E-4</c:v>
                </c:pt>
                <c:pt idx="7638">
                  <c:v>1.1228759952686494E-3</c:v>
                </c:pt>
                <c:pt idx="7639">
                  <c:v>9.4283307925825579E-4</c:v>
                </c:pt>
                <c:pt idx="7640">
                  <c:v>7.7369757048682429E-4</c:v>
                </c:pt>
                <c:pt idx="7641">
                  <c:v>5.8193249542905462E-4</c:v>
                </c:pt>
                <c:pt idx="7642">
                  <c:v>8.8482694118277745E-4</c:v>
                </c:pt>
                <c:pt idx="7643">
                  <c:v>7.456315208623531E-4</c:v>
                </c:pt>
                <c:pt idx="7644">
                  <c:v>9.5283101568158072E-4</c:v>
                </c:pt>
                <c:pt idx="7645">
                  <c:v>5.7399340796330785E-4</c:v>
                </c:pt>
                <c:pt idx="7646">
                  <c:v>3.7644507131207662E-4</c:v>
                </c:pt>
                <c:pt idx="7647">
                  <c:v>5.7598982343126735E-4</c:v>
                </c:pt>
                <c:pt idx="7648">
                  <c:v>1.3175117336530688E-3</c:v>
                </c:pt>
                <c:pt idx="7649">
                  <c:v>7.42759484357922E-4</c:v>
                </c:pt>
                <c:pt idx="7650">
                  <c:v>8.1448485783213332E-4</c:v>
                </c:pt>
                <c:pt idx="7651">
                  <c:v>5.8717275256624864E-4</c:v>
                </c:pt>
                <c:pt idx="7652">
                  <c:v>4.5811342312746114E-4</c:v>
                </c:pt>
                <c:pt idx="7653">
                  <c:v>5.3262344742343345E-4</c:v>
                </c:pt>
                <c:pt idx="7654">
                  <c:v>4.4272134549063537E-4</c:v>
                </c:pt>
                <c:pt idx="7655">
                  <c:v>1.0332896004632364E-3</c:v>
                </c:pt>
                <c:pt idx="7656">
                  <c:v>1.0852327078175934E-3</c:v>
                </c:pt>
                <c:pt idx="7657">
                  <c:v>6.4391930952152751E-4</c:v>
                </c:pt>
                <c:pt idx="7658">
                  <c:v>1.057754727497522E-3</c:v>
                </c:pt>
                <c:pt idx="7659">
                  <c:v>9.6181166410703013E-4</c:v>
                </c:pt>
                <c:pt idx="7660">
                  <c:v>5.3018502530997685E-4</c:v>
                </c:pt>
                <c:pt idx="7661">
                  <c:v>2.7434775261797042E-4</c:v>
                </c:pt>
                <c:pt idx="7662">
                  <c:v>4.627929116220688E-4</c:v>
                </c:pt>
                <c:pt idx="7663">
                  <c:v>1.119947950245112E-3</c:v>
                </c:pt>
                <c:pt idx="7664">
                  <c:v>7.9282372765846756E-4</c:v>
                </c:pt>
                <c:pt idx="7665">
                  <c:v>1.1516217882751741E-3</c:v>
                </c:pt>
                <c:pt idx="7666">
                  <c:v>8.5830269031760844E-4</c:v>
                </c:pt>
                <c:pt idx="7667">
                  <c:v>6.071255967886359E-4</c:v>
                </c:pt>
                <c:pt idx="7668">
                  <c:v>1.0019234205301676E-3</c:v>
                </c:pt>
                <c:pt idx="7669">
                  <c:v>8.1316173668080356E-4</c:v>
                </c:pt>
                <c:pt idx="7670">
                  <c:v>1.4624830501423697E-3</c:v>
                </c:pt>
                <c:pt idx="7671">
                  <c:v>8.0817798598453088E-4</c:v>
                </c:pt>
                <c:pt idx="7672">
                  <c:v>6.9526798913478673E-4</c:v>
                </c:pt>
                <c:pt idx="7673">
                  <c:v>7.0780404445551384E-4</c:v>
                </c:pt>
                <c:pt idx="7674">
                  <c:v>1.1839335499895542E-3</c:v>
                </c:pt>
                <c:pt idx="7675">
                  <c:v>9.604935549410936E-4</c:v>
                </c:pt>
                <c:pt idx="7676">
                  <c:v>1.2302614807323247E-3</c:v>
                </c:pt>
                <c:pt idx="7677">
                  <c:v>9.2811080566049654E-4</c:v>
                </c:pt>
                <c:pt idx="7678">
                  <c:v>6.0856942799317843E-4</c:v>
                </c:pt>
                <c:pt idx="7679">
                  <c:v>5.736672982222553E-4</c:v>
                </c:pt>
                <c:pt idx="7680">
                  <c:v>5.9191024306252146E-4</c:v>
                </c:pt>
                <c:pt idx="7681">
                  <c:v>7.3240916441640546E-4</c:v>
                </c:pt>
                <c:pt idx="7682">
                  <c:v>6.1085976498153032E-4</c:v>
                </c:pt>
                <c:pt idx="7683">
                  <c:v>8.5163375516055461E-4</c:v>
                </c:pt>
                <c:pt idx="7684">
                  <c:v>2.5637727473766769E-4</c:v>
                </c:pt>
                <c:pt idx="7685">
                  <c:v>9.2221088440052755E-4</c:v>
                </c:pt>
                <c:pt idx="7686">
                  <c:v>7.0913996715324596E-4</c:v>
                </c:pt>
                <c:pt idx="7687">
                  <c:v>7.3340949169627687E-4</c:v>
                </c:pt>
                <c:pt idx="7688">
                  <c:v>3.45854042840279E-4</c:v>
                </c:pt>
                <c:pt idx="7689">
                  <c:v>1.2554172144314116E-3</c:v>
                </c:pt>
                <c:pt idx="7690">
                  <c:v>1.0466672475632089E-3</c:v>
                </c:pt>
                <c:pt idx="7691">
                  <c:v>8.9091912057200268E-4</c:v>
                </c:pt>
                <c:pt idx="7692">
                  <c:v>1.2599348751025261E-3</c:v>
                </c:pt>
                <c:pt idx="7693">
                  <c:v>4.9028271650623908E-4</c:v>
                </c:pt>
                <c:pt idx="7694">
                  <c:v>9.4982509350881566E-4</c:v>
                </c:pt>
                <c:pt idx="7695">
                  <c:v>1.1859957202653925E-3</c:v>
                </c:pt>
                <c:pt idx="7696">
                  <c:v>3.2832481807537904E-4</c:v>
                </c:pt>
                <c:pt idx="7697">
                  <c:v>7.1587030923358033E-4</c:v>
                </c:pt>
                <c:pt idx="7698">
                  <c:v>5.3470569754844057E-4</c:v>
                </c:pt>
                <c:pt idx="7699">
                  <c:v>7.2883637070085257E-4</c:v>
                </c:pt>
                <c:pt idx="7700">
                  <c:v>5.8342271716994333E-4</c:v>
                </c:pt>
                <c:pt idx="7701">
                  <c:v>1.231840271615338E-3</c:v>
                </c:pt>
                <c:pt idx="7702">
                  <c:v>7.9669015394648443E-4</c:v>
                </c:pt>
                <c:pt idx="7703">
                  <c:v>1.258191962876039E-3</c:v>
                </c:pt>
                <c:pt idx="7704">
                  <c:v>1.2437781965008716E-3</c:v>
                </c:pt>
                <c:pt idx="7705">
                  <c:v>4.8082918267910622E-4</c:v>
                </c:pt>
                <c:pt idx="7706">
                  <c:v>4.0194641341145462E-4</c:v>
                </c:pt>
                <c:pt idx="7707">
                  <c:v>9.1237954382829658E-4</c:v>
                </c:pt>
                <c:pt idx="7708">
                  <c:v>6.6596684526545836E-4</c:v>
                </c:pt>
                <c:pt idx="7709">
                  <c:v>1.0641446935350668E-3</c:v>
                </c:pt>
                <c:pt idx="7710">
                  <c:v>4.220148974302439E-4</c:v>
                </c:pt>
                <c:pt idx="7711">
                  <c:v>5.1177320661066616E-4</c:v>
                </c:pt>
                <c:pt idx="7712">
                  <c:v>8.3251267904776017E-4</c:v>
                </c:pt>
                <c:pt idx="7713">
                  <c:v>5.6444901987109822E-4</c:v>
                </c:pt>
                <c:pt idx="7714">
                  <c:v>7.3553328882314326E-4</c:v>
                </c:pt>
                <c:pt idx="7715">
                  <c:v>8.6978039974567949E-4</c:v>
                </c:pt>
                <c:pt idx="7716">
                  <c:v>7.6243209938397366E-4</c:v>
                </c:pt>
                <c:pt idx="7717">
                  <c:v>9.1518654909716033E-4</c:v>
                </c:pt>
                <c:pt idx="7718">
                  <c:v>9.0232496236669374E-4</c:v>
                </c:pt>
                <c:pt idx="7719">
                  <c:v>3.5286385627268072E-4</c:v>
                </c:pt>
                <c:pt idx="7720">
                  <c:v>1.0367088169573532E-3</c:v>
                </c:pt>
                <c:pt idx="7721">
                  <c:v>1.1767488445379129E-3</c:v>
                </c:pt>
                <c:pt idx="7722">
                  <c:v>8.3087064065483381E-4</c:v>
                </c:pt>
                <c:pt idx="7723">
                  <c:v>1.0119180905169554E-3</c:v>
                </c:pt>
                <c:pt idx="7724">
                  <c:v>6.1627552976025889E-4</c:v>
                </c:pt>
                <c:pt idx="7725">
                  <c:v>8.2337434741228111E-4</c:v>
                </c:pt>
                <c:pt idx="7726">
                  <c:v>9.640963106984945E-4</c:v>
                </c:pt>
                <c:pt idx="7727">
                  <c:v>1.1262414691014676E-3</c:v>
                </c:pt>
                <c:pt idx="7728">
                  <c:v>5.8215706002755826E-4</c:v>
                </c:pt>
                <c:pt idx="7729">
                  <c:v>7.8114002638622214E-4</c:v>
                </c:pt>
                <c:pt idx="7730">
                  <c:v>1.0091604103328422E-3</c:v>
                </c:pt>
                <c:pt idx="7731">
                  <c:v>1.1346484086177486E-3</c:v>
                </c:pt>
                <c:pt idx="7732">
                  <c:v>7.2403705630450248E-4</c:v>
                </c:pt>
                <c:pt idx="7733">
                  <c:v>7.1892627000364178E-4</c:v>
                </c:pt>
                <c:pt idx="7734">
                  <c:v>1.3462623584695763E-3</c:v>
                </c:pt>
                <c:pt idx="7735">
                  <c:v>9.3767082050823757E-4</c:v>
                </c:pt>
                <c:pt idx="7736">
                  <c:v>7.1344944566090326E-4</c:v>
                </c:pt>
                <c:pt idx="7737">
                  <c:v>4.1073921746994784E-4</c:v>
                </c:pt>
                <c:pt idx="7738">
                  <c:v>1.1517758229848119E-3</c:v>
                </c:pt>
                <c:pt idx="7739">
                  <c:v>9.3248863605789774E-4</c:v>
                </c:pt>
                <c:pt idx="7740">
                  <c:v>3.8494001453789125E-4</c:v>
                </c:pt>
                <c:pt idx="7741">
                  <c:v>1.3135244679294176E-3</c:v>
                </c:pt>
                <c:pt idx="7742">
                  <c:v>8.7772490078260874E-4</c:v>
                </c:pt>
                <c:pt idx="7743">
                  <c:v>1.292276542029992E-3</c:v>
                </c:pt>
                <c:pt idx="7744">
                  <c:v>2.1234860535301393E-4</c:v>
                </c:pt>
                <c:pt idx="7745">
                  <c:v>1.378944561358275E-3</c:v>
                </c:pt>
                <c:pt idx="7746">
                  <c:v>7.3338332766436027E-4</c:v>
                </c:pt>
                <c:pt idx="7747">
                  <c:v>8.8785546399372398E-4</c:v>
                </c:pt>
                <c:pt idx="7748">
                  <c:v>5.9754482689026826E-4</c:v>
                </c:pt>
                <c:pt idx="7749">
                  <c:v>7.1570631392830261E-4</c:v>
                </c:pt>
                <c:pt idx="7750">
                  <c:v>8.398193616467502E-4</c:v>
                </c:pt>
                <c:pt idx="7751">
                  <c:v>5.1544651932565987E-4</c:v>
                </c:pt>
                <c:pt idx="7752">
                  <c:v>7.2829104504394605E-4</c:v>
                </c:pt>
                <c:pt idx="7753">
                  <c:v>8.7261220726694497E-4</c:v>
                </c:pt>
                <c:pt idx="7754">
                  <c:v>1.073131932023389E-3</c:v>
                </c:pt>
                <c:pt idx="7755">
                  <c:v>1.1946961611346027E-3</c:v>
                </c:pt>
                <c:pt idx="7756">
                  <c:v>6.4891180595227135E-4</c:v>
                </c:pt>
                <c:pt idx="7757">
                  <c:v>5.2892504350511799E-4</c:v>
                </c:pt>
                <c:pt idx="7758">
                  <c:v>1.3191929646452908E-3</c:v>
                </c:pt>
                <c:pt idx="7759">
                  <c:v>5.5261335659722698E-4</c:v>
                </c:pt>
                <c:pt idx="7760">
                  <c:v>3.060566939077568E-4</c:v>
                </c:pt>
                <c:pt idx="7761">
                  <c:v>1.3083467283678504E-3</c:v>
                </c:pt>
                <c:pt idx="7762">
                  <c:v>1.19826861425444E-3</c:v>
                </c:pt>
                <c:pt idx="7763">
                  <c:v>1.246777682103499E-3</c:v>
                </c:pt>
                <c:pt idx="7764">
                  <c:v>9.1282446501114793E-5</c:v>
                </c:pt>
                <c:pt idx="7765">
                  <c:v>1.1424133161002607E-3</c:v>
                </c:pt>
                <c:pt idx="7766">
                  <c:v>1.0256920372929499E-3</c:v>
                </c:pt>
                <c:pt idx="7767">
                  <c:v>6.9321895914090212E-4</c:v>
                </c:pt>
                <c:pt idx="7768">
                  <c:v>5.9659844866150513E-4</c:v>
                </c:pt>
                <c:pt idx="7769">
                  <c:v>9.9052186116424133E-4</c:v>
                </c:pt>
                <c:pt idx="7770">
                  <c:v>1.3860058876208994E-3</c:v>
                </c:pt>
                <c:pt idx="7771">
                  <c:v>4.3840780405313032E-4</c:v>
                </c:pt>
                <c:pt idx="7772">
                  <c:v>8.541301219904113E-4</c:v>
                </c:pt>
                <c:pt idx="7773">
                  <c:v>8.5140708222439796E-4</c:v>
                </c:pt>
                <c:pt idx="7774">
                  <c:v>1.1909834839079114E-3</c:v>
                </c:pt>
                <c:pt idx="7775">
                  <c:v>6.5361103411328654E-4</c:v>
                </c:pt>
                <c:pt idx="7776">
                  <c:v>6.221840812061796E-4</c:v>
                </c:pt>
                <c:pt idx="7777">
                  <c:v>9.5516350327244453E-4</c:v>
                </c:pt>
                <c:pt idx="7778">
                  <c:v>9.1158253090071562E-4</c:v>
                </c:pt>
                <c:pt idx="7779">
                  <c:v>1.1079509049573143E-3</c:v>
                </c:pt>
                <c:pt idx="7780">
                  <c:v>7.5524797796373225E-4</c:v>
                </c:pt>
                <c:pt idx="7781">
                  <c:v>9.9207477871199041E-4</c:v>
                </c:pt>
                <c:pt idx="7782">
                  <c:v>6.1767294754078497E-4</c:v>
                </c:pt>
                <c:pt idx="7783">
                  <c:v>2.1975904673119799E-4</c:v>
                </c:pt>
                <c:pt idx="7784">
                  <c:v>1.1726544536051332E-3</c:v>
                </c:pt>
                <c:pt idx="7785">
                  <c:v>8.7561013089977439E-4</c:v>
                </c:pt>
                <c:pt idx="7786">
                  <c:v>1.6977609622924725E-3</c:v>
                </c:pt>
                <c:pt idx="7787">
                  <c:v>1.0780534377020862E-3</c:v>
                </c:pt>
                <c:pt idx="7788">
                  <c:v>3.6373171197268584E-4</c:v>
                </c:pt>
                <c:pt idx="7789">
                  <c:v>6.9965829513994788E-4</c:v>
                </c:pt>
                <c:pt idx="7790">
                  <c:v>7.3965947459890763E-4</c:v>
                </c:pt>
                <c:pt idx="7791">
                  <c:v>1.1091361742009648E-3</c:v>
                </c:pt>
                <c:pt idx="7792">
                  <c:v>8.265109988276273E-4</c:v>
                </c:pt>
                <c:pt idx="7793">
                  <c:v>1.0902940927541194E-3</c:v>
                </c:pt>
                <c:pt idx="7794">
                  <c:v>8.565200051206469E-4</c:v>
                </c:pt>
                <c:pt idx="7795">
                  <c:v>9.1717009870712855E-4</c:v>
                </c:pt>
                <c:pt idx="7796">
                  <c:v>1.0514127275918959E-3</c:v>
                </c:pt>
                <c:pt idx="7797">
                  <c:v>7.9772134884514628E-4</c:v>
                </c:pt>
                <c:pt idx="7798">
                  <c:v>1.6184996109404937E-3</c:v>
                </c:pt>
                <c:pt idx="7799">
                  <c:v>7.8057505455839072E-4</c:v>
                </c:pt>
                <c:pt idx="7800">
                  <c:v>4.503912343724711E-4</c:v>
                </c:pt>
                <c:pt idx="7801">
                  <c:v>7.9411698207853816E-4</c:v>
                </c:pt>
                <c:pt idx="7802">
                  <c:v>6.8543259906397023E-4</c:v>
                </c:pt>
                <c:pt idx="7803">
                  <c:v>9.7827891264673571E-4</c:v>
                </c:pt>
                <c:pt idx="7804">
                  <c:v>5.071652545119771E-4</c:v>
                </c:pt>
                <c:pt idx="7805">
                  <c:v>5.3379445774466669E-4</c:v>
                </c:pt>
                <c:pt idx="7806">
                  <c:v>3.0024585435991071E-4</c:v>
                </c:pt>
                <c:pt idx="7807">
                  <c:v>1.3561086411220385E-3</c:v>
                </c:pt>
                <c:pt idx="7808">
                  <c:v>1.1728999866275284E-3</c:v>
                </c:pt>
                <c:pt idx="7809">
                  <c:v>8.5364034940468088E-4</c:v>
                </c:pt>
                <c:pt idx="7810">
                  <c:v>7.1117180869351192E-4</c:v>
                </c:pt>
                <c:pt idx="7811">
                  <c:v>1.0915308823022845E-3</c:v>
                </c:pt>
                <c:pt idx="7812">
                  <c:v>3.3053855517907075E-4</c:v>
                </c:pt>
                <c:pt idx="7813">
                  <c:v>6.3847681394155187E-4</c:v>
                </c:pt>
                <c:pt idx="7814">
                  <c:v>4.6898300219834249E-4</c:v>
                </c:pt>
                <c:pt idx="7815">
                  <c:v>1.0000868500922911E-3</c:v>
                </c:pt>
                <c:pt idx="7816">
                  <c:v>2.7414178770396552E-4</c:v>
                </c:pt>
                <c:pt idx="7817">
                  <c:v>2.8444072116802336E-4</c:v>
                </c:pt>
                <c:pt idx="7818">
                  <c:v>1.0150123380081554E-3</c:v>
                </c:pt>
                <c:pt idx="7819">
                  <c:v>1.190040930866407E-3</c:v>
                </c:pt>
                <c:pt idx="7820">
                  <c:v>9.5585482372434157E-4</c:v>
                </c:pt>
                <c:pt idx="7821">
                  <c:v>5.5469879972654124E-4</c:v>
                </c:pt>
                <c:pt idx="7822">
                  <c:v>1.2411941695468804E-3</c:v>
                </c:pt>
                <c:pt idx="7823">
                  <c:v>5.4110464686247845E-4</c:v>
                </c:pt>
                <c:pt idx="7824">
                  <c:v>1.0133103718300166E-3</c:v>
                </c:pt>
                <c:pt idx="7825">
                  <c:v>5.6395051842237406E-4</c:v>
                </c:pt>
                <c:pt idx="7826">
                  <c:v>7.3948007366944071E-4</c:v>
                </c:pt>
                <c:pt idx="7827">
                  <c:v>2.9803041773915817E-4</c:v>
                </c:pt>
                <c:pt idx="7828">
                  <c:v>5.7527674199799636E-4</c:v>
                </c:pt>
                <c:pt idx="7829">
                  <c:v>1.0229489269510134E-3</c:v>
                </c:pt>
                <c:pt idx="7830">
                  <c:v>7.7526412272443967E-4</c:v>
                </c:pt>
                <c:pt idx="7831">
                  <c:v>1.0317897363690284E-3</c:v>
                </c:pt>
                <c:pt idx="7832">
                  <c:v>4.4938274091871545E-4</c:v>
                </c:pt>
                <c:pt idx="7833">
                  <c:v>7.0227542971303038E-4</c:v>
                </c:pt>
                <c:pt idx="7834">
                  <c:v>1.1633650344839556E-3</c:v>
                </c:pt>
                <c:pt idx="7835">
                  <c:v>3.9326236769876045E-4</c:v>
                </c:pt>
                <c:pt idx="7836">
                  <c:v>7.9414771646826279E-4</c:v>
                </c:pt>
                <c:pt idx="7837">
                  <c:v>7.278695241483105E-4</c:v>
                </c:pt>
                <c:pt idx="7838">
                  <c:v>1.2048945800833817E-3</c:v>
                </c:pt>
                <c:pt idx="7839">
                  <c:v>9.3218275513568742E-4</c:v>
                </c:pt>
                <c:pt idx="7840">
                  <c:v>5.4486651202207564E-4</c:v>
                </c:pt>
                <c:pt idx="7841">
                  <c:v>9.6742044541986752E-4</c:v>
                </c:pt>
                <c:pt idx="7842">
                  <c:v>1.1758524323696271E-3</c:v>
                </c:pt>
                <c:pt idx="7843">
                  <c:v>1.1915187589297399E-3</c:v>
                </c:pt>
                <c:pt idx="7844">
                  <c:v>1.0809369790064382E-3</c:v>
                </c:pt>
                <c:pt idx="7845">
                  <c:v>1.1107969751860114E-3</c:v>
                </c:pt>
                <c:pt idx="7846">
                  <c:v>3.0177100222837107E-4</c:v>
                </c:pt>
                <c:pt idx="7847">
                  <c:v>7.2333910393554217E-4</c:v>
                </c:pt>
                <c:pt idx="7848">
                  <c:v>1.008146843772141E-3</c:v>
                </c:pt>
                <c:pt idx="7849">
                  <c:v>8.0548230554005511E-4</c:v>
                </c:pt>
                <c:pt idx="7850">
                  <c:v>1.1512458090364799E-3</c:v>
                </c:pt>
                <c:pt idx="7851">
                  <c:v>4.5519556913892304E-4</c:v>
                </c:pt>
                <c:pt idx="7852">
                  <c:v>3.7638317605892416E-4</c:v>
                </c:pt>
                <c:pt idx="7853">
                  <c:v>2.4379110545575089E-4</c:v>
                </c:pt>
                <c:pt idx="7854">
                  <c:v>1.0832363901621637E-3</c:v>
                </c:pt>
                <c:pt idx="7855">
                  <c:v>1.183452185244368E-3</c:v>
                </c:pt>
                <c:pt idx="7856">
                  <c:v>1.2384043314435933E-3</c:v>
                </c:pt>
                <c:pt idx="7857">
                  <c:v>6.5941268222201874E-4</c:v>
                </c:pt>
                <c:pt idx="7858">
                  <c:v>4.543697181332183E-4</c:v>
                </c:pt>
                <c:pt idx="7859">
                  <c:v>7.2391691421823964E-4</c:v>
                </c:pt>
                <c:pt idx="7860">
                  <c:v>1.0268638742374776E-3</c:v>
                </c:pt>
                <c:pt idx="7861">
                  <c:v>8.149255446513945E-4</c:v>
                </c:pt>
                <c:pt idx="7862">
                  <c:v>6.9138804008623124E-4</c:v>
                </c:pt>
                <c:pt idx="7863">
                  <c:v>6.6050151837310548E-4</c:v>
                </c:pt>
                <c:pt idx="7864">
                  <c:v>8.710628623732295E-4</c:v>
                </c:pt>
                <c:pt idx="7865">
                  <c:v>6.3118562897163653E-4</c:v>
                </c:pt>
                <c:pt idx="7866">
                  <c:v>1.1530042359829786E-3</c:v>
                </c:pt>
                <c:pt idx="7867">
                  <c:v>9.0536509168977816E-4</c:v>
                </c:pt>
                <c:pt idx="7868">
                  <c:v>1.0124607459852319E-3</c:v>
                </c:pt>
                <c:pt idx="7869">
                  <c:v>9.6920215000981149E-4</c:v>
                </c:pt>
                <c:pt idx="7870">
                  <c:v>8.6634550514926663E-4</c:v>
                </c:pt>
                <c:pt idx="7871">
                  <c:v>9.6201802611511563E-4</c:v>
                </c:pt>
                <c:pt idx="7872">
                  <c:v>7.6553157861331174E-4</c:v>
                </c:pt>
                <c:pt idx="7873">
                  <c:v>1.363285551389727E-3</c:v>
                </c:pt>
                <c:pt idx="7874">
                  <c:v>8.3190377795130434E-4</c:v>
                </c:pt>
                <c:pt idx="7875">
                  <c:v>1.6560887902284712E-3</c:v>
                </c:pt>
                <c:pt idx="7876">
                  <c:v>8.9681436905835095E-4</c:v>
                </c:pt>
                <c:pt idx="7877">
                  <c:v>8.5028328117026683E-4</c:v>
                </c:pt>
                <c:pt idx="7878">
                  <c:v>9.5938015355399473E-4</c:v>
                </c:pt>
                <c:pt idx="7879">
                  <c:v>1.174347090520585E-3</c:v>
                </c:pt>
                <c:pt idx="7880">
                  <c:v>5.7359302179352408E-4</c:v>
                </c:pt>
                <c:pt idx="7881">
                  <c:v>7.6717090570835311E-4</c:v>
                </c:pt>
                <c:pt idx="7882">
                  <c:v>7.4824463928904294E-4</c:v>
                </c:pt>
                <c:pt idx="7883">
                  <c:v>1.1868201667499224E-3</c:v>
                </c:pt>
                <c:pt idx="7884">
                  <c:v>8.9407012603449898E-4</c:v>
                </c:pt>
                <c:pt idx="7885">
                  <c:v>9.1980887500769796E-4</c:v>
                </c:pt>
                <c:pt idx="7886">
                  <c:v>9.0474648582151952E-4</c:v>
                </c:pt>
                <c:pt idx="7887">
                  <c:v>1.2586255733071162E-3</c:v>
                </c:pt>
                <c:pt idx="7888">
                  <c:v>1.3808073083519915E-3</c:v>
                </c:pt>
                <c:pt idx="7889">
                  <c:v>1.2925630346789535E-3</c:v>
                </c:pt>
                <c:pt idx="7890">
                  <c:v>7.7594646774719472E-4</c:v>
                </c:pt>
                <c:pt idx="7891">
                  <c:v>5.2102459045288724E-4</c:v>
                </c:pt>
                <c:pt idx="7892">
                  <c:v>4.7365412258121759E-4</c:v>
                </c:pt>
                <c:pt idx="7893">
                  <c:v>9.3622075624433493E-4</c:v>
                </c:pt>
                <c:pt idx="7894">
                  <c:v>9.3505935901878391E-4</c:v>
                </c:pt>
                <c:pt idx="7895">
                  <c:v>1.0731497551919951E-3</c:v>
                </c:pt>
                <c:pt idx="7896">
                  <c:v>1.012100213473847E-3</c:v>
                </c:pt>
                <c:pt idx="7897">
                  <c:v>1.2587553779410275E-3</c:v>
                </c:pt>
                <c:pt idx="7898">
                  <c:v>1.3797591857876142E-3</c:v>
                </c:pt>
                <c:pt idx="7899">
                  <c:v>8.308117836322345E-4</c:v>
                </c:pt>
                <c:pt idx="7900">
                  <c:v>6.9262630384555582E-4</c:v>
                </c:pt>
                <c:pt idx="7901">
                  <c:v>1.3314651355815939E-3</c:v>
                </c:pt>
                <c:pt idx="7902">
                  <c:v>7.1944401539060586E-4</c:v>
                </c:pt>
                <c:pt idx="7903">
                  <c:v>7.6642154190709416E-4</c:v>
                </c:pt>
                <c:pt idx="7904">
                  <c:v>6.8428661668114548E-4</c:v>
                </c:pt>
                <c:pt idx="7905">
                  <c:v>6.5051960931284368E-4</c:v>
                </c:pt>
                <c:pt idx="7906">
                  <c:v>8.8495412306150117E-4</c:v>
                </c:pt>
                <c:pt idx="7907">
                  <c:v>1.6415006053237328E-4</c:v>
                </c:pt>
                <c:pt idx="7908">
                  <c:v>8.8650222940297823E-4</c:v>
                </c:pt>
                <c:pt idx="7909">
                  <c:v>9.8561360042065415E-4</c:v>
                </c:pt>
                <c:pt idx="7910">
                  <c:v>5.9396846319018917E-4</c:v>
                </c:pt>
                <c:pt idx="7911">
                  <c:v>5.0498461988214408E-4</c:v>
                </c:pt>
                <c:pt idx="7912">
                  <c:v>9.906774764957499E-4</c:v>
                </c:pt>
                <c:pt idx="7913">
                  <c:v>8.7394273631900778E-4</c:v>
                </c:pt>
                <c:pt idx="7914">
                  <c:v>1.2665793066097685E-3</c:v>
                </c:pt>
                <c:pt idx="7915">
                  <c:v>9.4051279923212971E-4</c:v>
                </c:pt>
                <c:pt idx="7916">
                  <c:v>5.8609491610458737E-4</c:v>
                </c:pt>
                <c:pt idx="7917">
                  <c:v>5.0674185364003605E-4</c:v>
                </c:pt>
                <c:pt idx="7918">
                  <c:v>5.3869067332739783E-4</c:v>
                </c:pt>
                <c:pt idx="7919">
                  <c:v>1.2171088872764495E-3</c:v>
                </c:pt>
                <c:pt idx="7920">
                  <c:v>3.2689496616483736E-4</c:v>
                </c:pt>
                <c:pt idx="7921">
                  <c:v>1.2831646420581983E-3</c:v>
                </c:pt>
                <c:pt idx="7922">
                  <c:v>4.0135603633803584E-4</c:v>
                </c:pt>
                <c:pt idx="7923">
                  <c:v>8.9287238924449066E-4</c:v>
                </c:pt>
                <c:pt idx="7924">
                  <c:v>7.4821674308550221E-4</c:v>
                </c:pt>
                <c:pt idx="7925">
                  <c:v>1.1609689897221925E-3</c:v>
                </c:pt>
                <c:pt idx="7926">
                  <c:v>2.6580742363943019E-4</c:v>
                </c:pt>
                <c:pt idx="7927">
                  <c:v>1.2793341034459333E-3</c:v>
                </c:pt>
                <c:pt idx="7928">
                  <c:v>3.9623870229337128E-4</c:v>
                </c:pt>
                <c:pt idx="7929">
                  <c:v>1.360894920923813E-3</c:v>
                </c:pt>
                <c:pt idx="7930">
                  <c:v>9.5710891518585714E-4</c:v>
                </c:pt>
                <c:pt idx="7931">
                  <c:v>1.1479867565110575E-3</c:v>
                </c:pt>
                <c:pt idx="7932">
                  <c:v>1.284866270306273E-3</c:v>
                </c:pt>
                <c:pt idx="7933">
                  <c:v>7.0937712323072344E-4</c:v>
                </c:pt>
                <c:pt idx="7934">
                  <c:v>9.0393395145361044E-4</c:v>
                </c:pt>
                <c:pt idx="7935">
                  <c:v>1.0764483953634029E-3</c:v>
                </c:pt>
                <c:pt idx="7936">
                  <c:v>9.129819552024461E-4</c:v>
                </c:pt>
                <c:pt idx="7937">
                  <c:v>1.159889757693935E-3</c:v>
                </c:pt>
                <c:pt idx="7938">
                  <c:v>4.2350389726831524E-4</c:v>
                </c:pt>
                <c:pt idx="7939">
                  <c:v>4.4386578311387908E-4</c:v>
                </c:pt>
                <c:pt idx="7940">
                  <c:v>1.2988314065261535E-3</c:v>
                </c:pt>
                <c:pt idx="7941">
                  <c:v>1.3434210945530997E-3</c:v>
                </c:pt>
                <c:pt idx="7942">
                  <c:v>1.0824126041931227E-3</c:v>
                </c:pt>
                <c:pt idx="7943">
                  <c:v>1.5194092958471777E-3</c:v>
                </c:pt>
                <c:pt idx="7944">
                  <c:v>8.1474540948243078E-4</c:v>
                </c:pt>
                <c:pt idx="7945">
                  <c:v>1.139886639301306E-3</c:v>
                </c:pt>
                <c:pt idx="7946">
                  <c:v>9.6063939203325103E-4</c:v>
                </c:pt>
                <c:pt idx="7947">
                  <c:v>6.693653676345993E-4</c:v>
                </c:pt>
                <c:pt idx="7948">
                  <c:v>7.201762158725001E-4</c:v>
                </c:pt>
                <c:pt idx="7949">
                  <c:v>1.0491536372706383E-3</c:v>
                </c:pt>
                <c:pt idx="7950">
                  <c:v>5.4979769738929484E-4</c:v>
                </c:pt>
                <c:pt idx="7951">
                  <c:v>1.0251587267994741E-3</c:v>
                </c:pt>
                <c:pt idx="7952">
                  <c:v>5.9550551570282427E-4</c:v>
                </c:pt>
                <c:pt idx="7953">
                  <c:v>1.0182267366970763E-3</c:v>
                </c:pt>
                <c:pt idx="7954">
                  <c:v>8.6513816384336227E-4</c:v>
                </c:pt>
                <c:pt idx="7955">
                  <c:v>7.7416165647613581E-4</c:v>
                </c:pt>
                <c:pt idx="7956">
                  <c:v>1.3356251717876418E-3</c:v>
                </c:pt>
                <c:pt idx="7957">
                  <c:v>6.8242116932664895E-4</c:v>
                </c:pt>
                <c:pt idx="7958">
                  <c:v>8.6684172740886646E-4</c:v>
                </c:pt>
                <c:pt idx="7959">
                  <c:v>1.2269848580757964E-3</c:v>
                </c:pt>
                <c:pt idx="7960">
                  <c:v>4.1740594274172781E-4</c:v>
                </c:pt>
                <c:pt idx="7961">
                  <c:v>3.568753807689629E-4</c:v>
                </c:pt>
                <c:pt idx="7962">
                  <c:v>8.9760549895964389E-4</c:v>
                </c:pt>
                <c:pt idx="7963">
                  <c:v>3.9521386497838769E-4</c:v>
                </c:pt>
                <c:pt idx="7964">
                  <c:v>9.5546166852457566E-4</c:v>
                </c:pt>
                <c:pt idx="7965">
                  <c:v>8.4276699171640247E-4</c:v>
                </c:pt>
                <c:pt idx="7966">
                  <c:v>8.2737885649512258E-4</c:v>
                </c:pt>
                <c:pt idx="7967">
                  <c:v>9.934704974950703E-4</c:v>
                </c:pt>
                <c:pt idx="7968">
                  <c:v>5.4942557813501261E-4</c:v>
                </c:pt>
                <c:pt idx="7969">
                  <c:v>6.8437594848594775E-4</c:v>
                </c:pt>
                <c:pt idx="7970">
                  <c:v>1.3053727877778819E-3</c:v>
                </c:pt>
                <c:pt idx="7971">
                  <c:v>1.1630060414087231E-3</c:v>
                </c:pt>
                <c:pt idx="7972">
                  <c:v>9.7404330495731587E-4</c:v>
                </c:pt>
                <c:pt idx="7973">
                  <c:v>6.7321924819128401E-4</c:v>
                </c:pt>
                <c:pt idx="7974">
                  <c:v>9.3536393355196114E-4</c:v>
                </c:pt>
                <c:pt idx="7975">
                  <c:v>9.2639780772208456E-4</c:v>
                </c:pt>
                <c:pt idx="7976">
                  <c:v>2.8693966251329634E-4</c:v>
                </c:pt>
                <c:pt idx="7977">
                  <c:v>4.9326089308354909E-4</c:v>
                </c:pt>
                <c:pt idx="7978">
                  <c:v>1.0026577264051614E-3</c:v>
                </c:pt>
                <c:pt idx="7979">
                  <c:v>1.1405416555707495E-3</c:v>
                </c:pt>
                <c:pt idx="7980">
                  <c:v>1.3469894792071196E-3</c:v>
                </c:pt>
                <c:pt idx="7981">
                  <c:v>5.8344733064040857E-4</c:v>
                </c:pt>
                <c:pt idx="7982">
                  <c:v>6.6005331795052113E-4</c:v>
                </c:pt>
                <c:pt idx="7983">
                  <c:v>6.0577707178365958E-4</c:v>
                </c:pt>
                <c:pt idx="7984">
                  <c:v>2.8202502191395219E-4</c:v>
                </c:pt>
                <c:pt idx="7985">
                  <c:v>8.8077974881649182E-4</c:v>
                </c:pt>
                <c:pt idx="7986">
                  <c:v>7.0259422270736954E-4</c:v>
                </c:pt>
                <c:pt idx="7987">
                  <c:v>5.2352260249141148E-4</c:v>
                </c:pt>
                <c:pt idx="7988">
                  <c:v>1.0695675652206658E-3</c:v>
                </c:pt>
                <c:pt idx="7989">
                  <c:v>1.3959923699595816E-3</c:v>
                </c:pt>
                <c:pt idx="7990">
                  <c:v>1.0782310572132853E-3</c:v>
                </c:pt>
                <c:pt idx="7991">
                  <c:v>5.8741859696922615E-4</c:v>
                </c:pt>
                <c:pt idx="7992">
                  <c:v>1.0491850929348833E-3</c:v>
                </c:pt>
                <c:pt idx="7993">
                  <c:v>9.7094544248861017E-4</c:v>
                </c:pt>
                <c:pt idx="7994">
                  <c:v>1.2384968530637112E-3</c:v>
                </c:pt>
                <c:pt idx="7995">
                  <c:v>1.2602694446760133E-3</c:v>
                </c:pt>
                <c:pt idx="7996">
                  <c:v>7.4277126424714102E-4</c:v>
                </c:pt>
                <c:pt idx="7997">
                  <c:v>6.3904950211416366E-4</c:v>
                </c:pt>
                <c:pt idx="7998">
                  <c:v>6.9829634492831751E-4</c:v>
                </c:pt>
                <c:pt idx="7999">
                  <c:v>1.1818325120810827E-3</c:v>
                </c:pt>
                <c:pt idx="8000">
                  <c:v>2.4233456679497597E-4</c:v>
                </c:pt>
                <c:pt idx="8001">
                  <c:v>8.2104148306925539E-4</c:v>
                </c:pt>
                <c:pt idx="8002">
                  <c:v>1.2145147684664282E-3</c:v>
                </c:pt>
                <c:pt idx="8003">
                  <c:v>4.824387195466541E-4</c:v>
                </c:pt>
                <c:pt idx="8004">
                  <c:v>8.4342624264592233E-4</c:v>
                </c:pt>
                <c:pt idx="8005">
                  <c:v>1.0769266312037153E-3</c:v>
                </c:pt>
                <c:pt idx="8006">
                  <c:v>2.5180520337535862E-4</c:v>
                </c:pt>
                <c:pt idx="8007">
                  <c:v>1.1702716649324338E-3</c:v>
                </c:pt>
                <c:pt idx="8008">
                  <c:v>1.2136309573337685E-3</c:v>
                </c:pt>
                <c:pt idx="8009">
                  <c:v>6.9312709655582332E-4</c:v>
                </c:pt>
                <c:pt idx="8010">
                  <c:v>5.5618189438393865E-4</c:v>
                </c:pt>
                <c:pt idx="8011">
                  <c:v>4.1096038776472737E-4</c:v>
                </c:pt>
                <c:pt idx="8012">
                  <c:v>9.1907770181411629E-4</c:v>
                </c:pt>
                <c:pt idx="8013">
                  <c:v>7.3667000149547955E-4</c:v>
                </c:pt>
                <c:pt idx="8014">
                  <c:v>1.3188549545931022E-3</c:v>
                </c:pt>
                <c:pt idx="8015">
                  <c:v>1.5951897186289709E-3</c:v>
                </c:pt>
                <c:pt idx="8016">
                  <c:v>1.6344501069157199E-3</c:v>
                </c:pt>
                <c:pt idx="8017">
                  <c:v>9.3374044560330985E-4</c:v>
                </c:pt>
                <c:pt idx="8018">
                  <c:v>1.2098788731515465E-3</c:v>
                </c:pt>
                <c:pt idx="8019">
                  <c:v>1.2252293819907092E-3</c:v>
                </c:pt>
                <c:pt idx="8020">
                  <c:v>3.3599114418460978E-4</c:v>
                </c:pt>
                <c:pt idx="8021">
                  <c:v>5.8301132623411777E-4</c:v>
                </c:pt>
                <c:pt idx="8022">
                  <c:v>7.1849830015774678E-4</c:v>
                </c:pt>
                <c:pt idx="8023">
                  <c:v>1.1084129606609224E-3</c:v>
                </c:pt>
                <c:pt idx="8024">
                  <c:v>8.5118434341605194E-4</c:v>
                </c:pt>
                <c:pt idx="8025">
                  <c:v>2.9301830772746697E-4</c:v>
                </c:pt>
                <c:pt idx="8026">
                  <c:v>1.870247377119928E-4</c:v>
                </c:pt>
                <c:pt idx="8027">
                  <c:v>6.3708926695966788E-4</c:v>
                </c:pt>
                <c:pt idx="8028">
                  <c:v>1.0129167490126418E-3</c:v>
                </c:pt>
                <c:pt idx="8029">
                  <c:v>1.344160862436321E-3</c:v>
                </c:pt>
                <c:pt idx="8030">
                  <c:v>7.6718150710710677E-4</c:v>
                </c:pt>
                <c:pt idx="8031">
                  <c:v>8.0306571822497054E-4</c:v>
                </c:pt>
                <c:pt idx="8032">
                  <c:v>6.1475408963745676E-4</c:v>
                </c:pt>
                <c:pt idx="8033">
                  <c:v>5.7268223467683453E-4</c:v>
                </c:pt>
                <c:pt idx="8034">
                  <c:v>1.1444085630395156E-3</c:v>
                </c:pt>
                <c:pt idx="8035">
                  <c:v>1.2033311360975876E-3</c:v>
                </c:pt>
                <c:pt idx="8036">
                  <c:v>4.6038042041342562E-4</c:v>
                </c:pt>
                <c:pt idx="8037">
                  <c:v>1.0291507863610381E-3</c:v>
                </c:pt>
                <c:pt idx="8038">
                  <c:v>1.2770214669004707E-3</c:v>
                </c:pt>
                <c:pt idx="8039">
                  <c:v>4.1232236581851341E-4</c:v>
                </c:pt>
                <c:pt idx="8040">
                  <c:v>4.4952431439958951E-4</c:v>
                </c:pt>
                <c:pt idx="8041">
                  <c:v>6.233490979634153E-4</c:v>
                </c:pt>
                <c:pt idx="8042">
                  <c:v>9.2812005239919994E-4</c:v>
                </c:pt>
                <c:pt idx="8043">
                  <c:v>8.8263362876057731E-4</c:v>
                </c:pt>
                <c:pt idx="8044">
                  <c:v>4.6370278621877148E-4</c:v>
                </c:pt>
                <c:pt idx="8045">
                  <c:v>7.8393461783008063E-4</c:v>
                </c:pt>
                <c:pt idx="8046">
                  <c:v>8.0740125704360202E-4</c:v>
                </c:pt>
                <c:pt idx="8047">
                  <c:v>3.4522051558403318E-4</c:v>
                </c:pt>
                <c:pt idx="8048">
                  <c:v>4.9964722136892588E-4</c:v>
                </c:pt>
                <c:pt idx="8049">
                  <c:v>5.62764557063828E-4</c:v>
                </c:pt>
                <c:pt idx="8050">
                  <c:v>1.031438282295787E-3</c:v>
                </c:pt>
                <c:pt idx="8051">
                  <c:v>1.1595589715511854E-3</c:v>
                </c:pt>
                <c:pt idx="8052">
                  <c:v>5.7626660162661645E-4</c:v>
                </c:pt>
                <c:pt idx="8053">
                  <c:v>1.0867613640941098E-3</c:v>
                </c:pt>
                <c:pt idx="8054">
                  <c:v>8.6142170460908106E-4</c:v>
                </c:pt>
                <c:pt idx="8055">
                  <c:v>7.0184464001201167E-4</c:v>
                </c:pt>
                <c:pt idx="8056">
                  <c:v>8.9664829472258715E-4</c:v>
                </c:pt>
                <c:pt idx="8057">
                  <c:v>8.4606002214670573E-4</c:v>
                </c:pt>
                <c:pt idx="8058">
                  <c:v>4.4806822318678089E-4</c:v>
                </c:pt>
                <c:pt idx="8059">
                  <c:v>1.1464080257364215E-3</c:v>
                </c:pt>
                <c:pt idx="8060">
                  <c:v>3.9207209666156204E-4</c:v>
                </c:pt>
                <c:pt idx="8061">
                  <c:v>8.3907627551070693E-4</c:v>
                </c:pt>
                <c:pt idx="8062">
                  <c:v>8.1542537068151331E-4</c:v>
                </c:pt>
                <c:pt idx="8063">
                  <c:v>1.386596788647043E-3</c:v>
                </c:pt>
                <c:pt idx="8064">
                  <c:v>1.1119916692672758E-3</c:v>
                </c:pt>
                <c:pt idx="8065">
                  <c:v>9.5470105094804718E-4</c:v>
                </c:pt>
                <c:pt idx="8066">
                  <c:v>7.0961980132782342E-4</c:v>
                </c:pt>
                <c:pt idx="8067">
                  <c:v>3.6253656575889779E-4</c:v>
                </c:pt>
                <c:pt idx="8068">
                  <c:v>1.1894580900722966E-3</c:v>
                </c:pt>
                <c:pt idx="8069">
                  <c:v>9.5506690321216486E-4</c:v>
                </c:pt>
                <c:pt idx="8070">
                  <c:v>5.6516937051179195E-4</c:v>
                </c:pt>
                <c:pt idx="8071">
                  <c:v>1.1177635892734659E-3</c:v>
                </c:pt>
                <c:pt idx="8072">
                  <c:v>8.0332773046837215E-4</c:v>
                </c:pt>
                <c:pt idx="8073">
                  <c:v>1.0507465824352339E-3</c:v>
                </c:pt>
                <c:pt idx="8074">
                  <c:v>1.0381496135327226E-3</c:v>
                </c:pt>
                <c:pt idx="8075">
                  <c:v>7.096834136846664E-4</c:v>
                </c:pt>
                <c:pt idx="8076">
                  <c:v>5.7304421460919509E-4</c:v>
                </c:pt>
                <c:pt idx="8077">
                  <c:v>7.6039830196101741E-4</c:v>
                </c:pt>
                <c:pt idx="8078">
                  <c:v>8.1670280498141094E-4</c:v>
                </c:pt>
                <c:pt idx="8079">
                  <c:v>8.9391217408715806E-4</c:v>
                </c:pt>
                <c:pt idx="8080">
                  <c:v>9.8322045786958332E-4</c:v>
                </c:pt>
                <c:pt idx="8081">
                  <c:v>1.3375264824362699E-3</c:v>
                </c:pt>
                <c:pt idx="8082">
                  <c:v>8.1534685556115631E-4</c:v>
                </c:pt>
                <c:pt idx="8083">
                  <c:v>9.0970940838157668E-4</c:v>
                </c:pt>
                <c:pt idx="8084">
                  <c:v>1.5448364031597651E-3</c:v>
                </c:pt>
                <c:pt idx="8085">
                  <c:v>3.7572830977051662E-4</c:v>
                </c:pt>
                <c:pt idx="8086">
                  <c:v>7.9157408296673772E-4</c:v>
                </c:pt>
                <c:pt idx="8087">
                  <c:v>3.8190693398845943E-4</c:v>
                </c:pt>
                <c:pt idx="8088">
                  <c:v>5.2172180137361216E-4</c:v>
                </c:pt>
                <c:pt idx="8089">
                  <c:v>5.1736516552147098E-4</c:v>
                </c:pt>
                <c:pt idx="8090">
                  <c:v>1.3954279594723706E-3</c:v>
                </c:pt>
                <c:pt idx="8091">
                  <c:v>6.1186848960976593E-4</c:v>
                </c:pt>
                <c:pt idx="8092">
                  <c:v>7.0945278036188704E-4</c:v>
                </c:pt>
                <c:pt idx="8093">
                  <c:v>8.5152676489192185E-4</c:v>
                </c:pt>
                <c:pt idx="8094">
                  <c:v>6.0224946797471227E-4</c:v>
                </c:pt>
                <c:pt idx="8095">
                  <c:v>1.6044601131256584E-3</c:v>
                </c:pt>
                <c:pt idx="8096">
                  <c:v>2.0346329740789342E-4</c:v>
                </c:pt>
                <c:pt idx="8097">
                  <c:v>3.4458786413436268E-4</c:v>
                </c:pt>
                <c:pt idx="8098">
                  <c:v>7.7769860469995792E-4</c:v>
                </c:pt>
                <c:pt idx="8099">
                  <c:v>7.995695943564063E-4</c:v>
                </c:pt>
                <c:pt idx="8100">
                  <c:v>4.043228656801971E-4</c:v>
                </c:pt>
                <c:pt idx="8101">
                  <c:v>1.2597034449180792E-3</c:v>
                </c:pt>
                <c:pt idx="8102">
                  <c:v>9.8995147979846765E-4</c:v>
                </c:pt>
                <c:pt idx="8103">
                  <c:v>8.8728792556412421E-4</c:v>
                </c:pt>
                <c:pt idx="8104">
                  <c:v>6.3902320017494266E-4</c:v>
                </c:pt>
                <c:pt idx="8105">
                  <c:v>8.5688626525567231E-4</c:v>
                </c:pt>
                <c:pt idx="8106">
                  <c:v>6.7355570742966655E-4</c:v>
                </c:pt>
                <c:pt idx="8107">
                  <c:v>7.4617238836563807E-4</c:v>
                </c:pt>
                <c:pt idx="8108">
                  <c:v>7.0611469843710967E-4</c:v>
                </c:pt>
                <c:pt idx="8109">
                  <c:v>5.5493588523643277E-4</c:v>
                </c:pt>
                <c:pt idx="8110">
                  <c:v>8.570906821206278E-4</c:v>
                </c:pt>
                <c:pt idx="8111">
                  <c:v>8.6357429064085685E-4</c:v>
                </c:pt>
                <c:pt idx="8112">
                  <c:v>6.5042117486514492E-4</c:v>
                </c:pt>
                <c:pt idx="8113">
                  <c:v>1.3036272636472012E-3</c:v>
                </c:pt>
                <c:pt idx="8114">
                  <c:v>1.3145951798325987E-3</c:v>
                </c:pt>
                <c:pt idx="8115">
                  <c:v>1.0142940231002619E-3</c:v>
                </c:pt>
                <c:pt idx="8116">
                  <c:v>7.1475459671931671E-4</c:v>
                </c:pt>
                <c:pt idx="8117">
                  <c:v>1.0533743611852214E-3</c:v>
                </c:pt>
                <c:pt idx="8118">
                  <c:v>1.9736638605786339E-4</c:v>
                </c:pt>
                <c:pt idx="8119">
                  <c:v>5.0564381227338057E-4</c:v>
                </c:pt>
                <c:pt idx="8120">
                  <c:v>9.1801255700342413E-4</c:v>
                </c:pt>
                <c:pt idx="8121">
                  <c:v>7.6026904958108072E-4</c:v>
                </c:pt>
                <c:pt idx="8122">
                  <c:v>6.9315060360331437E-4</c:v>
                </c:pt>
                <c:pt idx="8123">
                  <c:v>5.5963564786991728E-4</c:v>
                </c:pt>
                <c:pt idx="8124">
                  <c:v>1.2790302538918785E-3</c:v>
                </c:pt>
                <c:pt idx="8125">
                  <c:v>9.5568007564414935E-4</c:v>
                </c:pt>
                <c:pt idx="8126">
                  <c:v>9.4414339753726454E-4</c:v>
                </c:pt>
                <c:pt idx="8127">
                  <c:v>5.8072916382387123E-4</c:v>
                </c:pt>
                <c:pt idx="8128">
                  <c:v>1.2151103872042436E-3</c:v>
                </c:pt>
                <c:pt idx="8129">
                  <c:v>1.0239070574662662E-3</c:v>
                </c:pt>
                <c:pt idx="8130">
                  <c:v>2.5361009304740337E-4</c:v>
                </c:pt>
                <c:pt idx="8131">
                  <c:v>5.3889632238436603E-4</c:v>
                </c:pt>
                <c:pt idx="8132">
                  <c:v>4.6588085442922491E-4</c:v>
                </c:pt>
                <c:pt idx="8133">
                  <c:v>5.6833028670074672E-4</c:v>
                </c:pt>
                <c:pt idx="8134">
                  <c:v>4.5501938677289575E-4</c:v>
                </c:pt>
                <c:pt idx="8135">
                  <c:v>4.8980716136433399E-4</c:v>
                </c:pt>
                <c:pt idx="8136">
                  <c:v>9.0055801991113587E-4</c:v>
                </c:pt>
                <c:pt idx="8137">
                  <c:v>1.0356433393483139E-3</c:v>
                </c:pt>
                <c:pt idx="8138">
                  <c:v>9.3315418920121975E-4</c:v>
                </c:pt>
                <c:pt idx="8139">
                  <c:v>1.2935158313254168E-3</c:v>
                </c:pt>
                <c:pt idx="8140">
                  <c:v>9.3545525637680181E-4</c:v>
                </c:pt>
                <c:pt idx="8141">
                  <c:v>9.1775958601958223E-4</c:v>
                </c:pt>
                <c:pt idx="8142">
                  <c:v>9.6896730457455519E-4</c:v>
                </c:pt>
                <c:pt idx="8143">
                  <c:v>7.6506085687198767E-4</c:v>
                </c:pt>
                <c:pt idx="8144">
                  <c:v>8.301402240797961E-4</c:v>
                </c:pt>
                <c:pt idx="8145">
                  <c:v>1.6765290531049212E-3</c:v>
                </c:pt>
                <c:pt idx="8146">
                  <c:v>6.450179461011215E-4</c:v>
                </c:pt>
                <c:pt idx="8147">
                  <c:v>5.565982333783203E-4</c:v>
                </c:pt>
                <c:pt idx="8148">
                  <c:v>1.4376926659991759E-3</c:v>
                </c:pt>
                <c:pt idx="8149">
                  <c:v>6.6240778724357106E-4</c:v>
                </c:pt>
                <c:pt idx="8150">
                  <c:v>8.2351431859728486E-4</c:v>
                </c:pt>
                <c:pt idx="8151">
                  <c:v>6.2078868132598775E-4</c:v>
                </c:pt>
                <c:pt idx="8152">
                  <c:v>7.2709193258461014E-4</c:v>
                </c:pt>
                <c:pt idx="8153">
                  <c:v>1.1667907702271473E-3</c:v>
                </c:pt>
                <c:pt idx="8154">
                  <c:v>9.3952519407823935E-4</c:v>
                </c:pt>
                <c:pt idx="8155">
                  <c:v>1.4003830851789512E-3</c:v>
                </c:pt>
                <c:pt idx="8156">
                  <c:v>6.5399746415346135E-4</c:v>
                </c:pt>
                <c:pt idx="8157">
                  <c:v>1.0209554463810942E-3</c:v>
                </c:pt>
                <c:pt idx="8158">
                  <c:v>8.0242523504235131E-4</c:v>
                </c:pt>
                <c:pt idx="8159">
                  <c:v>7.0476585930740864E-4</c:v>
                </c:pt>
                <c:pt idx="8160">
                  <c:v>9.7865504194592757E-4</c:v>
                </c:pt>
                <c:pt idx="8161">
                  <c:v>1.5020230850770549E-3</c:v>
                </c:pt>
                <c:pt idx="8162">
                  <c:v>6.9054833893833229E-4</c:v>
                </c:pt>
                <c:pt idx="8163">
                  <c:v>1.3888551233730111E-3</c:v>
                </c:pt>
                <c:pt idx="8164">
                  <c:v>9.9628392431899779E-4</c:v>
                </c:pt>
                <c:pt idx="8165">
                  <c:v>1.1334889874758999E-3</c:v>
                </c:pt>
                <c:pt idx="8166">
                  <c:v>7.3146869351596079E-4</c:v>
                </c:pt>
                <c:pt idx="8167">
                  <c:v>6.436535941228979E-4</c:v>
                </c:pt>
                <c:pt idx="8168">
                  <c:v>8.899804520469505E-4</c:v>
                </c:pt>
                <c:pt idx="8169">
                  <c:v>7.7075067314221249E-4</c:v>
                </c:pt>
                <c:pt idx="8170">
                  <c:v>7.7641849188230818E-4</c:v>
                </c:pt>
                <c:pt idx="8171">
                  <c:v>3.8705150888664752E-4</c:v>
                </c:pt>
                <c:pt idx="8172">
                  <c:v>7.5897578840206526E-4</c:v>
                </c:pt>
                <c:pt idx="8173">
                  <c:v>5.2622184471035798E-4</c:v>
                </c:pt>
                <c:pt idx="8174">
                  <c:v>9.8960686830661766E-4</c:v>
                </c:pt>
                <c:pt idx="8175">
                  <c:v>8.2189970276510139E-4</c:v>
                </c:pt>
                <c:pt idx="8176">
                  <c:v>6.6261004481145023E-4</c:v>
                </c:pt>
                <c:pt idx="8177">
                  <c:v>1.1587158309607621E-3</c:v>
                </c:pt>
                <c:pt idx="8178">
                  <c:v>5.0308257341046968E-4</c:v>
                </c:pt>
                <c:pt idx="8179">
                  <c:v>7.3208205045786521E-4</c:v>
                </c:pt>
                <c:pt idx="8180">
                  <c:v>6.8698300615667831E-4</c:v>
                </c:pt>
                <c:pt idx="8181">
                  <c:v>5.920433582900607E-4</c:v>
                </c:pt>
                <c:pt idx="8182">
                  <c:v>1.0615606865456786E-3</c:v>
                </c:pt>
                <c:pt idx="8183">
                  <c:v>5.0001185926212811E-4</c:v>
                </c:pt>
                <c:pt idx="8184">
                  <c:v>8.0023052877309538E-4</c:v>
                </c:pt>
                <c:pt idx="8185">
                  <c:v>1.2357102088585109E-3</c:v>
                </c:pt>
                <c:pt idx="8186">
                  <c:v>1.0274029901528145E-3</c:v>
                </c:pt>
                <c:pt idx="8187">
                  <c:v>9.8314473384832415E-4</c:v>
                </c:pt>
                <c:pt idx="8188">
                  <c:v>7.9104264674959848E-4</c:v>
                </c:pt>
                <c:pt idx="8189">
                  <c:v>5.353728725309649E-4</c:v>
                </c:pt>
                <c:pt idx="8190">
                  <c:v>9.3874749515644826E-4</c:v>
                </c:pt>
                <c:pt idx="8191">
                  <c:v>7.2631892083924112E-4</c:v>
                </c:pt>
                <c:pt idx="8192">
                  <c:v>5.7455950760244856E-4</c:v>
                </c:pt>
                <c:pt idx="8193">
                  <c:v>6.8350803309279152E-4</c:v>
                </c:pt>
                <c:pt idx="8194">
                  <c:v>6.3596729558446205E-4</c:v>
                </c:pt>
                <c:pt idx="8195">
                  <c:v>1.0142392418483776E-3</c:v>
                </c:pt>
                <c:pt idx="8196">
                  <c:v>8.8250796730044388E-4</c:v>
                </c:pt>
                <c:pt idx="8197">
                  <c:v>7.3508424838595026E-4</c:v>
                </c:pt>
                <c:pt idx="8198">
                  <c:v>6.0095230609807058E-4</c:v>
                </c:pt>
                <c:pt idx="8199">
                  <c:v>2.6420396565754781E-4</c:v>
                </c:pt>
                <c:pt idx="8200">
                  <c:v>1.0825822919094505E-3</c:v>
                </c:pt>
                <c:pt idx="8201">
                  <c:v>3.2690226311912627E-4</c:v>
                </c:pt>
                <c:pt idx="8202">
                  <c:v>4.7820986283976128E-4</c:v>
                </c:pt>
                <c:pt idx="8203">
                  <c:v>1.0461242930696092E-3</c:v>
                </c:pt>
                <c:pt idx="8204">
                  <c:v>5.4674840621591811E-4</c:v>
                </c:pt>
                <c:pt idx="8205">
                  <c:v>1.2879523729606851E-3</c:v>
                </c:pt>
                <c:pt idx="8206">
                  <c:v>5.9193060929851134E-4</c:v>
                </c:pt>
                <c:pt idx="8207">
                  <c:v>5.3527044735792232E-4</c:v>
                </c:pt>
                <c:pt idx="8208">
                  <c:v>8.0448406889809909E-4</c:v>
                </c:pt>
                <c:pt idx="8209">
                  <c:v>7.5788650345732774E-4</c:v>
                </c:pt>
                <c:pt idx="8210">
                  <c:v>8.3827408812152773E-4</c:v>
                </c:pt>
                <c:pt idx="8211">
                  <c:v>1.267619898912055E-3</c:v>
                </c:pt>
                <c:pt idx="8212">
                  <c:v>1.2192670244221449E-3</c:v>
                </c:pt>
                <c:pt idx="8213">
                  <c:v>4.2689247605718923E-4</c:v>
                </c:pt>
                <c:pt idx="8214">
                  <c:v>1.4601667485707322E-3</c:v>
                </c:pt>
                <c:pt idx="8215">
                  <c:v>9.3198773897847922E-4</c:v>
                </c:pt>
                <c:pt idx="8216">
                  <c:v>9.8878458907157335E-4</c:v>
                </c:pt>
                <c:pt idx="8217">
                  <c:v>7.3774462020052237E-4</c:v>
                </c:pt>
                <c:pt idx="8218">
                  <c:v>6.8297584977689951E-4</c:v>
                </c:pt>
                <c:pt idx="8219">
                  <c:v>1.1105100220415321E-3</c:v>
                </c:pt>
                <c:pt idx="8220">
                  <c:v>5.6601794464569677E-4</c:v>
                </c:pt>
                <c:pt idx="8221">
                  <c:v>1.264878076217376E-3</c:v>
                </c:pt>
                <c:pt idx="8222">
                  <c:v>6.9890371371721203E-4</c:v>
                </c:pt>
                <c:pt idx="8223">
                  <c:v>5.0595017230022305E-4</c:v>
                </c:pt>
                <c:pt idx="8224">
                  <c:v>6.0416444324821073E-4</c:v>
                </c:pt>
                <c:pt idx="8225">
                  <c:v>9.1122637073999763E-4</c:v>
                </c:pt>
                <c:pt idx="8226">
                  <c:v>8.7021342882639811E-4</c:v>
                </c:pt>
                <c:pt idx="8227">
                  <c:v>1.1183635999257361E-3</c:v>
                </c:pt>
                <c:pt idx="8228">
                  <c:v>8.718409151355108E-4</c:v>
                </c:pt>
                <c:pt idx="8229">
                  <c:v>2.6892869066062102E-4</c:v>
                </c:pt>
                <c:pt idx="8230">
                  <c:v>1.3213404438622283E-3</c:v>
                </c:pt>
                <c:pt idx="8231">
                  <c:v>6.3897177321743713E-4</c:v>
                </c:pt>
                <c:pt idx="8232">
                  <c:v>9.2712946035634035E-4</c:v>
                </c:pt>
                <c:pt idx="8233">
                  <c:v>1.2768582056509067E-3</c:v>
                </c:pt>
                <c:pt idx="8234">
                  <c:v>1.3105416609755906E-3</c:v>
                </c:pt>
                <c:pt idx="8235">
                  <c:v>1.0576611934514177E-3</c:v>
                </c:pt>
                <c:pt idx="8236">
                  <c:v>7.557517913326314E-4</c:v>
                </c:pt>
                <c:pt idx="8237">
                  <c:v>1.2448505997605451E-3</c:v>
                </c:pt>
                <c:pt idx="8238">
                  <c:v>7.0693923363466973E-4</c:v>
                </c:pt>
                <c:pt idx="8239">
                  <c:v>2.6965331814736329E-4</c:v>
                </c:pt>
                <c:pt idx="8240">
                  <c:v>8.8958477833644381E-4</c:v>
                </c:pt>
                <c:pt idx="8241">
                  <c:v>7.5648448038969935E-4</c:v>
                </c:pt>
                <c:pt idx="8242">
                  <c:v>7.0099664760102289E-4</c:v>
                </c:pt>
                <c:pt idx="8243">
                  <c:v>9.1830581852059767E-4</c:v>
                </c:pt>
                <c:pt idx="8244">
                  <c:v>6.7388682526942848E-4</c:v>
                </c:pt>
                <c:pt idx="8245">
                  <c:v>4.5884293069240178E-4</c:v>
                </c:pt>
                <c:pt idx="8246">
                  <c:v>9.7686919868335753E-4</c:v>
                </c:pt>
                <c:pt idx="8247">
                  <c:v>1.1673164841319041E-3</c:v>
                </c:pt>
                <c:pt idx="8248">
                  <c:v>5.7323145760843552E-4</c:v>
                </c:pt>
                <c:pt idx="8249">
                  <c:v>3.4375450475560942E-4</c:v>
                </c:pt>
                <c:pt idx="8250">
                  <c:v>4.7990415272004816E-4</c:v>
                </c:pt>
                <c:pt idx="8251">
                  <c:v>9.6204522843342042E-4</c:v>
                </c:pt>
                <c:pt idx="8252">
                  <c:v>5.9308680769809856E-4</c:v>
                </c:pt>
                <c:pt idx="8253">
                  <c:v>1.2893308783434331E-3</c:v>
                </c:pt>
                <c:pt idx="8254">
                  <c:v>9.3805681268220543E-4</c:v>
                </c:pt>
                <c:pt idx="8255">
                  <c:v>7.9835464942168432E-4</c:v>
                </c:pt>
                <c:pt idx="8256">
                  <c:v>1.1674290446724363E-3</c:v>
                </c:pt>
                <c:pt idx="8257">
                  <c:v>1.1496750775437552E-3</c:v>
                </c:pt>
                <c:pt idx="8258">
                  <c:v>7.6289458022556786E-4</c:v>
                </c:pt>
                <c:pt idx="8259">
                  <c:v>4.5869279228407425E-4</c:v>
                </c:pt>
                <c:pt idx="8260">
                  <c:v>1.1469880843174855E-3</c:v>
                </c:pt>
                <c:pt idx="8261">
                  <c:v>1.1151815281846716E-3</c:v>
                </c:pt>
                <c:pt idx="8262">
                  <c:v>7.0619019390852974E-4</c:v>
                </c:pt>
                <c:pt idx="8263">
                  <c:v>9.100153932618619E-4</c:v>
                </c:pt>
                <c:pt idx="8264">
                  <c:v>1.1756972224104497E-3</c:v>
                </c:pt>
                <c:pt idx="8265">
                  <c:v>6.2788028230026393E-4</c:v>
                </c:pt>
                <c:pt idx="8266">
                  <c:v>1.2834036237936795E-3</c:v>
                </c:pt>
                <c:pt idx="8267">
                  <c:v>8.2799215843372355E-4</c:v>
                </c:pt>
                <c:pt idx="8268">
                  <c:v>1.7274586148304866E-4</c:v>
                </c:pt>
                <c:pt idx="8269">
                  <c:v>9.4160679016413984E-4</c:v>
                </c:pt>
                <c:pt idx="8270">
                  <c:v>9.3875613397943693E-4</c:v>
                </c:pt>
                <c:pt idx="8271">
                  <c:v>5.3061757775246278E-4</c:v>
                </c:pt>
                <c:pt idx="8272">
                  <c:v>6.0887838019416942E-4</c:v>
                </c:pt>
                <c:pt idx="8273">
                  <c:v>3.8449544780119391E-4</c:v>
                </c:pt>
                <c:pt idx="8274">
                  <c:v>8.4226804193823638E-4</c:v>
                </c:pt>
                <c:pt idx="8275">
                  <c:v>7.103349946476344E-4</c:v>
                </c:pt>
                <c:pt idx="8276">
                  <c:v>1.3272312137304397E-3</c:v>
                </c:pt>
                <c:pt idx="8277">
                  <c:v>8.0647547672983602E-4</c:v>
                </c:pt>
                <c:pt idx="8278">
                  <c:v>9.1620773512086614E-4</c:v>
                </c:pt>
                <c:pt idx="8279">
                  <c:v>9.5877079315836501E-4</c:v>
                </c:pt>
                <c:pt idx="8280">
                  <c:v>6.5973451689957635E-4</c:v>
                </c:pt>
                <c:pt idx="8281">
                  <c:v>1.9498181656849739E-4</c:v>
                </c:pt>
                <c:pt idx="8282">
                  <c:v>1.186910499960118E-3</c:v>
                </c:pt>
                <c:pt idx="8283">
                  <c:v>7.3266521246681331E-4</c:v>
                </c:pt>
                <c:pt idx="8284">
                  <c:v>8.3901991469614585E-4</c:v>
                </c:pt>
                <c:pt idx="8285">
                  <c:v>6.285635337784153E-4</c:v>
                </c:pt>
                <c:pt idx="8286">
                  <c:v>7.6807337615017674E-4</c:v>
                </c:pt>
                <c:pt idx="8287">
                  <c:v>3.1299258892319689E-4</c:v>
                </c:pt>
                <c:pt idx="8288">
                  <c:v>7.9535399733916465E-4</c:v>
                </c:pt>
                <c:pt idx="8289">
                  <c:v>1.05340768378478E-3</c:v>
                </c:pt>
                <c:pt idx="8290">
                  <c:v>7.9408335556758612E-4</c:v>
                </c:pt>
                <c:pt idx="8291">
                  <c:v>7.1499717087683057E-4</c:v>
                </c:pt>
                <c:pt idx="8292">
                  <c:v>1.1346779306472474E-3</c:v>
                </c:pt>
                <c:pt idx="8293">
                  <c:v>5.0232077661596197E-4</c:v>
                </c:pt>
                <c:pt idx="8294">
                  <c:v>7.7195801827609499E-5</c:v>
                </c:pt>
                <c:pt idx="8295">
                  <c:v>6.1088283118271736E-4</c:v>
                </c:pt>
                <c:pt idx="8296">
                  <c:v>8.0398548756821714E-4</c:v>
                </c:pt>
                <c:pt idx="8297">
                  <c:v>5.857664341959788E-4</c:v>
                </c:pt>
                <c:pt idx="8298">
                  <c:v>7.2419670245482302E-4</c:v>
                </c:pt>
                <c:pt idx="8299">
                  <c:v>1.2095897620275113E-3</c:v>
                </c:pt>
                <c:pt idx="8300">
                  <c:v>7.9033826987670282E-4</c:v>
                </c:pt>
                <c:pt idx="8301">
                  <c:v>7.0343363231070277E-4</c:v>
                </c:pt>
                <c:pt idx="8302">
                  <c:v>2.9814773338663464E-4</c:v>
                </c:pt>
                <c:pt idx="8303">
                  <c:v>4.1613040962614373E-4</c:v>
                </c:pt>
                <c:pt idx="8304">
                  <c:v>1.1335550615656493E-3</c:v>
                </c:pt>
                <c:pt idx="8305">
                  <c:v>4.5666860123378918E-4</c:v>
                </c:pt>
                <c:pt idx="8306">
                  <c:v>9.8269701709821286E-4</c:v>
                </c:pt>
                <c:pt idx="8307">
                  <c:v>3.6818147665655925E-4</c:v>
                </c:pt>
                <c:pt idx="8308">
                  <c:v>5.7849664203997973E-4</c:v>
                </c:pt>
                <c:pt idx="8309">
                  <c:v>1.313279474757238E-3</c:v>
                </c:pt>
                <c:pt idx="8310">
                  <c:v>8.4034009555605132E-4</c:v>
                </c:pt>
                <c:pt idx="8311">
                  <c:v>7.4386095411982758E-4</c:v>
                </c:pt>
                <c:pt idx="8312">
                  <c:v>4.8964799473211434E-4</c:v>
                </c:pt>
                <c:pt idx="8313">
                  <c:v>5.8845686087484689E-4</c:v>
                </c:pt>
                <c:pt idx="8314">
                  <c:v>9.9375501339820857E-4</c:v>
                </c:pt>
                <c:pt idx="8315">
                  <c:v>6.305792754767093E-4</c:v>
                </c:pt>
                <c:pt idx="8316">
                  <c:v>6.7521410100213237E-4</c:v>
                </c:pt>
                <c:pt idx="8317">
                  <c:v>1.9971577992005873E-4</c:v>
                </c:pt>
                <c:pt idx="8318">
                  <c:v>9.9079346666165963E-4</c:v>
                </c:pt>
                <c:pt idx="8319">
                  <c:v>7.5713032087616316E-4</c:v>
                </c:pt>
                <c:pt idx="8320">
                  <c:v>5.8168442470487853E-4</c:v>
                </c:pt>
                <c:pt idx="8321">
                  <c:v>7.8190370525323463E-4</c:v>
                </c:pt>
                <c:pt idx="8322">
                  <c:v>8.2588286788185786E-4</c:v>
                </c:pt>
                <c:pt idx="8323">
                  <c:v>7.5326124595856468E-4</c:v>
                </c:pt>
                <c:pt idx="8324">
                  <c:v>5.3065555593951154E-4</c:v>
                </c:pt>
                <c:pt idx="8325">
                  <c:v>1.7154793302671947E-3</c:v>
                </c:pt>
                <c:pt idx="8326">
                  <c:v>1.2878067538343082E-3</c:v>
                </c:pt>
                <c:pt idx="8327">
                  <c:v>6.4079218470497132E-4</c:v>
                </c:pt>
                <c:pt idx="8328">
                  <c:v>5.1334530375094542E-4</c:v>
                </c:pt>
                <c:pt idx="8329">
                  <c:v>8.5905356529732829E-4</c:v>
                </c:pt>
                <c:pt idx="8330">
                  <c:v>1.0519342415590816E-3</c:v>
                </c:pt>
                <c:pt idx="8331">
                  <c:v>7.5695262510846778E-4</c:v>
                </c:pt>
                <c:pt idx="8332">
                  <c:v>4.6091337755164221E-4</c:v>
                </c:pt>
                <c:pt idx="8333">
                  <c:v>7.1267539207173138E-4</c:v>
                </c:pt>
                <c:pt idx="8334">
                  <c:v>1.3139514009759413E-3</c:v>
                </c:pt>
                <c:pt idx="8335">
                  <c:v>1.0602787459937494E-3</c:v>
                </c:pt>
                <c:pt idx="8336">
                  <c:v>8.1367969081276635E-4</c:v>
                </c:pt>
                <c:pt idx="8337">
                  <c:v>8.5984696797222781E-4</c:v>
                </c:pt>
                <c:pt idx="8338">
                  <c:v>1.0786667964165868E-3</c:v>
                </c:pt>
                <c:pt idx="8339">
                  <c:v>8.9055118456158764E-4</c:v>
                </c:pt>
                <c:pt idx="8340">
                  <c:v>2.5310720590700306E-4</c:v>
                </c:pt>
                <c:pt idx="8341">
                  <c:v>5.4100313887966143E-4</c:v>
                </c:pt>
                <c:pt idx="8342">
                  <c:v>1.1964856905371938E-3</c:v>
                </c:pt>
                <c:pt idx="8343">
                  <c:v>4.6166439783374336E-4</c:v>
                </c:pt>
                <c:pt idx="8344">
                  <c:v>5.8006301320109746E-4</c:v>
                </c:pt>
                <c:pt idx="8345">
                  <c:v>1.5283873180253788E-3</c:v>
                </c:pt>
                <c:pt idx="8346">
                  <c:v>1.1431704298991126E-3</c:v>
                </c:pt>
                <c:pt idx="8347">
                  <c:v>7.484954570499625E-4</c:v>
                </c:pt>
                <c:pt idx="8348">
                  <c:v>6.2168930218571854E-4</c:v>
                </c:pt>
                <c:pt idx="8349">
                  <c:v>9.9162391272270738E-4</c:v>
                </c:pt>
                <c:pt idx="8350">
                  <c:v>6.8104867573553758E-4</c:v>
                </c:pt>
                <c:pt idx="8351">
                  <c:v>1.7522017101680616E-3</c:v>
                </c:pt>
                <c:pt idx="8352">
                  <c:v>7.4418183199759051E-4</c:v>
                </c:pt>
                <c:pt idx="8353">
                  <c:v>1.0172158244280026E-3</c:v>
                </c:pt>
                <c:pt idx="8354">
                  <c:v>5.9727699629596824E-4</c:v>
                </c:pt>
                <c:pt idx="8355">
                  <c:v>3.3586630993640628E-4</c:v>
                </c:pt>
                <c:pt idx="8356">
                  <c:v>8.8854688041201839E-4</c:v>
                </c:pt>
                <c:pt idx="8357">
                  <c:v>1.0643815833144671E-3</c:v>
                </c:pt>
                <c:pt idx="8358">
                  <c:v>1.1165639959763681E-3</c:v>
                </c:pt>
                <c:pt idx="8359">
                  <c:v>1.0479940457088954E-3</c:v>
                </c:pt>
                <c:pt idx="8360">
                  <c:v>1.6896069377637477E-3</c:v>
                </c:pt>
                <c:pt idx="8361">
                  <c:v>9.4736326765051579E-4</c:v>
                </c:pt>
                <c:pt idx="8362">
                  <c:v>9.5226038672838523E-4</c:v>
                </c:pt>
                <c:pt idx="8363">
                  <c:v>1.2853773620073758E-3</c:v>
                </c:pt>
                <c:pt idx="8364">
                  <c:v>9.1738518868744398E-4</c:v>
                </c:pt>
                <c:pt idx="8365">
                  <c:v>4.8350752284017978E-4</c:v>
                </c:pt>
                <c:pt idx="8366">
                  <c:v>7.4995492978781981E-4</c:v>
                </c:pt>
                <c:pt idx="8367">
                  <c:v>9.7453697431226869E-4</c:v>
                </c:pt>
                <c:pt idx="8368">
                  <c:v>7.5265686444646904E-4</c:v>
                </c:pt>
                <c:pt idx="8369">
                  <c:v>6.2769992575286901E-4</c:v>
                </c:pt>
                <c:pt idx="8370">
                  <c:v>8.6261682261360318E-4</c:v>
                </c:pt>
                <c:pt idx="8371">
                  <c:v>5.6420380669882178E-4</c:v>
                </c:pt>
                <c:pt idx="8372">
                  <c:v>8.0711551045038895E-4</c:v>
                </c:pt>
                <c:pt idx="8373">
                  <c:v>1.6419403680578335E-3</c:v>
                </c:pt>
                <c:pt idx="8374">
                  <c:v>7.9380252248259574E-4</c:v>
                </c:pt>
                <c:pt idx="8375">
                  <c:v>9.2835929716630428E-4</c:v>
                </c:pt>
                <c:pt idx="8376">
                  <c:v>2.5756102042834533E-4</c:v>
                </c:pt>
                <c:pt idx="8377">
                  <c:v>1.2122528212510867E-3</c:v>
                </c:pt>
                <c:pt idx="8378">
                  <c:v>6.3590005906529671E-4</c:v>
                </c:pt>
                <c:pt idx="8379">
                  <c:v>1.3009603411268372E-4</c:v>
                </c:pt>
                <c:pt idx="8380">
                  <c:v>1.1761567765721675E-3</c:v>
                </c:pt>
                <c:pt idx="8381">
                  <c:v>7.9849637785563957E-4</c:v>
                </c:pt>
                <c:pt idx="8382">
                  <c:v>2.6479665770554023E-4</c:v>
                </c:pt>
                <c:pt idx="8383">
                  <c:v>8.3374519382327719E-4</c:v>
                </c:pt>
                <c:pt idx="8384">
                  <c:v>1.0018090919695004E-3</c:v>
                </c:pt>
                <c:pt idx="8385">
                  <c:v>1.0997728044658871E-3</c:v>
                </c:pt>
                <c:pt idx="8386">
                  <c:v>4.3741590829058974E-4</c:v>
                </c:pt>
                <c:pt idx="8387">
                  <c:v>7.0133554762206833E-4</c:v>
                </c:pt>
                <c:pt idx="8388">
                  <c:v>8.0223456078806754E-4</c:v>
                </c:pt>
                <c:pt idx="8389">
                  <c:v>1.4380240268440363E-3</c:v>
                </c:pt>
                <c:pt idx="8390">
                  <c:v>1.353332676383219E-3</c:v>
                </c:pt>
                <c:pt idx="8391">
                  <c:v>9.5004414559299549E-4</c:v>
                </c:pt>
                <c:pt idx="8392">
                  <c:v>5.2584537488697351E-4</c:v>
                </c:pt>
                <c:pt idx="8393">
                  <c:v>6.6737729992618201E-4</c:v>
                </c:pt>
                <c:pt idx="8394">
                  <c:v>9.7767440040998641E-4</c:v>
                </c:pt>
                <c:pt idx="8395">
                  <c:v>9.6698734069198449E-4</c:v>
                </c:pt>
                <c:pt idx="8396">
                  <c:v>8.5465685840104835E-4</c:v>
                </c:pt>
                <c:pt idx="8397">
                  <c:v>1.377989647932665E-3</c:v>
                </c:pt>
                <c:pt idx="8398">
                  <c:v>9.0239587978640211E-4</c:v>
                </c:pt>
                <c:pt idx="8399">
                  <c:v>6.6652622942305843E-4</c:v>
                </c:pt>
                <c:pt idx="8400">
                  <c:v>8.8620898209516516E-4</c:v>
                </c:pt>
                <c:pt idx="8401">
                  <c:v>6.5676220490775133E-4</c:v>
                </c:pt>
                <c:pt idx="8402">
                  <c:v>7.9919464462574604E-4</c:v>
                </c:pt>
                <c:pt idx="8403">
                  <c:v>7.5087939968747905E-4</c:v>
                </c:pt>
                <c:pt idx="8404">
                  <c:v>1.0422481631213859E-3</c:v>
                </c:pt>
                <c:pt idx="8405">
                  <c:v>4.3228573504157104E-4</c:v>
                </c:pt>
                <c:pt idx="8406">
                  <c:v>8.3215547807814359E-4</c:v>
                </c:pt>
                <c:pt idx="8407">
                  <c:v>6.5200211536634814E-4</c:v>
                </c:pt>
                <c:pt idx="8408">
                  <c:v>6.3928752161034237E-4</c:v>
                </c:pt>
                <c:pt idx="8409">
                  <c:v>9.8704242814945647E-4</c:v>
                </c:pt>
                <c:pt idx="8410">
                  <c:v>8.9430555310862408E-4</c:v>
                </c:pt>
                <c:pt idx="8411">
                  <c:v>1.0296768017583147E-3</c:v>
                </c:pt>
                <c:pt idx="8412">
                  <c:v>8.8981607992571717E-4</c:v>
                </c:pt>
                <c:pt idx="8413">
                  <c:v>5.0814479542249597E-4</c:v>
                </c:pt>
                <c:pt idx="8414">
                  <c:v>1.069648650776736E-3</c:v>
                </c:pt>
                <c:pt idx="8415">
                  <c:v>1.2518158461746842E-3</c:v>
                </c:pt>
                <c:pt idx="8416">
                  <c:v>1.0660174219961137E-3</c:v>
                </c:pt>
                <c:pt idx="8417">
                  <c:v>1.5142996989591204E-3</c:v>
                </c:pt>
                <c:pt idx="8418">
                  <c:v>5.6208456076887981E-4</c:v>
                </c:pt>
                <c:pt idx="8419">
                  <c:v>5.9646298261143414E-4</c:v>
                </c:pt>
                <c:pt idx="8420">
                  <c:v>9.1358100011180196E-4</c:v>
                </c:pt>
                <c:pt idx="8421">
                  <c:v>1.3041541352740707E-3</c:v>
                </c:pt>
                <c:pt idx="8422">
                  <c:v>7.7840647468399387E-4</c:v>
                </c:pt>
                <c:pt idx="8423">
                  <c:v>1.3704206347279388E-3</c:v>
                </c:pt>
                <c:pt idx="8424">
                  <c:v>5.990827645970336E-4</c:v>
                </c:pt>
                <c:pt idx="8425">
                  <c:v>9.0438159971452587E-4</c:v>
                </c:pt>
                <c:pt idx="8426">
                  <c:v>7.4953247516634585E-4</c:v>
                </c:pt>
                <c:pt idx="8427">
                  <c:v>1.0528611336666025E-3</c:v>
                </c:pt>
                <c:pt idx="8428">
                  <c:v>4.1263547248390276E-4</c:v>
                </c:pt>
                <c:pt idx="8429">
                  <c:v>1.0762453626914008E-3</c:v>
                </c:pt>
                <c:pt idx="8430">
                  <c:v>9.55073183179042E-4</c:v>
                </c:pt>
                <c:pt idx="8431">
                  <c:v>6.7638193990099806E-4</c:v>
                </c:pt>
                <c:pt idx="8432">
                  <c:v>6.4102803000988897E-4</c:v>
                </c:pt>
                <c:pt idx="8433">
                  <c:v>6.5845065323678756E-4</c:v>
                </c:pt>
                <c:pt idx="8434">
                  <c:v>8.0553741814728638E-4</c:v>
                </c:pt>
                <c:pt idx="8435">
                  <c:v>9.6529471595116739E-4</c:v>
                </c:pt>
                <c:pt idx="8436">
                  <c:v>9.8105577231073944E-4</c:v>
                </c:pt>
                <c:pt idx="8437">
                  <c:v>3.9465762107008476E-4</c:v>
                </c:pt>
                <c:pt idx="8438">
                  <c:v>1.1523790369746549E-3</c:v>
                </c:pt>
                <c:pt idx="8439">
                  <c:v>9.4044277836987137E-4</c:v>
                </c:pt>
                <c:pt idx="8440">
                  <c:v>1.17679372683034E-3</c:v>
                </c:pt>
                <c:pt idx="8441">
                  <c:v>4.3924789436461701E-4</c:v>
                </c:pt>
                <c:pt idx="8442">
                  <c:v>1.0798699896626108E-3</c:v>
                </c:pt>
                <c:pt idx="8443">
                  <c:v>6.5719995157216657E-4</c:v>
                </c:pt>
                <c:pt idx="8444">
                  <c:v>9.9948162389852766E-4</c:v>
                </c:pt>
                <c:pt idx="8445">
                  <c:v>9.8948746108494827E-4</c:v>
                </c:pt>
                <c:pt idx="8446">
                  <c:v>6.0692094008359414E-4</c:v>
                </c:pt>
                <c:pt idx="8447">
                  <c:v>1.2843540002575628E-3</c:v>
                </c:pt>
                <c:pt idx="8448">
                  <c:v>4.8928175174436071E-4</c:v>
                </c:pt>
                <c:pt idx="8449">
                  <c:v>1.4147174632724538E-3</c:v>
                </c:pt>
                <c:pt idx="8450">
                  <c:v>4.2191331355057276E-4</c:v>
                </c:pt>
                <c:pt idx="8451">
                  <c:v>2.0565789959981762E-3</c:v>
                </c:pt>
                <c:pt idx="8452">
                  <c:v>1.1085653922792162E-3</c:v>
                </c:pt>
                <c:pt idx="8453">
                  <c:v>1.2840929378808873E-4</c:v>
                </c:pt>
                <c:pt idx="8454">
                  <c:v>1.5657997492192868E-3</c:v>
                </c:pt>
                <c:pt idx="8455">
                  <c:v>1.1394135528204757E-3</c:v>
                </c:pt>
                <c:pt idx="8456">
                  <c:v>8.202716255278858E-4</c:v>
                </c:pt>
                <c:pt idx="8457">
                  <c:v>1.4262932018474345E-3</c:v>
                </c:pt>
                <c:pt idx="8458">
                  <c:v>1.4339050646900743E-3</c:v>
                </c:pt>
                <c:pt idx="8459">
                  <c:v>7.5683713632961123E-4</c:v>
                </c:pt>
                <c:pt idx="8460">
                  <c:v>1.5552550910596851E-3</c:v>
                </c:pt>
                <c:pt idx="8461">
                  <c:v>2.627744113605471E-4</c:v>
                </c:pt>
                <c:pt idx="8462">
                  <c:v>1.2779641870804142E-3</c:v>
                </c:pt>
                <c:pt idx="8463">
                  <c:v>4.1032921380024809E-4</c:v>
                </c:pt>
                <c:pt idx="8464">
                  <c:v>1.220465087407744E-3</c:v>
                </c:pt>
                <c:pt idx="8465">
                  <c:v>7.7002457058891586E-4</c:v>
                </c:pt>
                <c:pt idx="8466">
                  <c:v>5.322612404606526E-4</c:v>
                </c:pt>
                <c:pt idx="8467">
                  <c:v>1.3332831207353614E-3</c:v>
                </c:pt>
                <c:pt idx="8468">
                  <c:v>5.1545480499273636E-4</c:v>
                </c:pt>
                <c:pt idx="8469">
                  <c:v>8.2324738410503894E-4</c:v>
                </c:pt>
                <c:pt idx="8470">
                  <c:v>2.877520584812853E-4</c:v>
                </c:pt>
                <c:pt idx="8471">
                  <c:v>8.0626736741503952E-4</c:v>
                </c:pt>
                <c:pt idx="8472">
                  <c:v>9.6059368192113386E-4</c:v>
                </c:pt>
                <c:pt idx="8473">
                  <c:v>6.6037069915189043E-4</c:v>
                </c:pt>
                <c:pt idx="8474">
                  <c:v>2.2096637202875983E-4</c:v>
                </c:pt>
                <c:pt idx="8475">
                  <c:v>1.1778012481993025E-3</c:v>
                </c:pt>
                <c:pt idx="8476">
                  <c:v>7.7440864461275139E-4</c:v>
                </c:pt>
                <c:pt idx="8477">
                  <c:v>1.3342206992037154E-3</c:v>
                </c:pt>
                <c:pt idx="8478">
                  <c:v>9.9201815264702057E-4</c:v>
                </c:pt>
                <c:pt idx="8479">
                  <c:v>9.7164526025418781E-4</c:v>
                </c:pt>
                <c:pt idx="8480">
                  <c:v>1.0764141611504059E-3</c:v>
                </c:pt>
                <c:pt idx="8481">
                  <c:v>1.0128436224423202E-3</c:v>
                </c:pt>
                <c:pt idx="8482">
                  <c:v>4.9041096372336873E-4</c:v>
                </c:pt>
                <c:pt idx="8483">
                  <c:v>1.0400092028096134E-3</c:v>
                </c:pt>
                <c:pt idx="8484">
                  <c:v>3.6104657537083828E-4</c:v>
                </c:pt>
                <c:pt idx="8485">
                  <c:v>5.4080049890589221E-4</c:v>
                </c:pt>
                <c:pt idx="8486">
                  <c:v>7.4124675289409428E-4</c:v>
                </c:pt>
                <c:pt idx="8487">
                  <c:v>8.3703802237605274E-4</c:v>
                </c:pt>
                <c:pt idx="8488">
                  <c:v>5.8895043060359985E-4</c:v>
                </c:pt>
                <c:pt idx="8489">
                  <c:v>8.7862842026024306E-4</c:v>
                </c:pt>
                <c:pt idx="8490">
                  <c:v>9.0772574263559024E-4</c:v>
                </c:pt>
                <c:pt idx="8491">
                  <c:v>7.5852752146477755E-4</c:v>
                </c:pt>
                <c:pt idx="8492">
                  <c:v>1.0134216253951181E-3</c:v>
                </c:pt>
                <c:pt idx="8493">
                  <c:v>1.1284845642770193E-3</c:v>
                </c:pt>
                <c:pt idx="8494">
                  <c:v>7.1855744771464312E-4</c:v>
                </c:pt>
                <c:pt idx="8495">
                  <c:v>6.1576530997902378E-4</c:v>
                </c:pt>
                <c:pt idx="8496">
                  <c:v>1.9241064039223822E-4</c:v>
                </c:pt>
                <c:pt idx="8497">
                  <c:v>1.1260627019811604E-3</c:v>
                </c:pt>
                <c:pt idx="8498">
                  <c:v>9.6404253900381068E-4</c:v>
                </c:pt>
                <c:pt idx="8499">
                  <c:v>6.6001862799099412E-4</c:v>
                </c:pt>
                <c:pt idx="8500">
                  <c:v>9.84948986037032E-4</c:v>
                </c:pt>
                <c:pt idx="8501">
                  <c:v>1.2207798191294708E-3</c:v>
                </c:pt>
                <c:pt idx="8502">
                  <c:v>1.2883104218136051E-3</c:v>
                </c:pt>
                <c:pt idx="8503">
                  <c:v>1.0191473920101056E-3</c:v>
                </c:pt>
                <c:pt idx="8504">
                  <c:v>9.3844620027527543E-4</c:v>
                </c:pt>
                <c:pt idx="8505">
                  <c:v>3.523403471004168E-4</c:v>
                </c:pt>
                <c:pt idx="8506">
                  <c:v>1.024513963393837E-3</c:v>
                </c:pt>
                <c:pt idx="8507">
                  <c:v>7.8366566533664864E-4</c:v>
                </c:pt>
                <c:pt idx="8508">
                  <c:v>7.5135605421095713E-4</c:v>
                </c:pt>
                <c:pt idx="8509">
                  <c:v>8.2980263548986248E-4</c:v>
                </c:pt>
                <c:pt idx="8510">
                  <c:v>8.3329695744292819E-4</c:v>
                </c:pt>
                <c:pt idx="8511">
                  <c:v>8.6666752512861453E-4</c:v>
                </c:pt>
                <c:pt idx="8512">
                  <c:v>6.4598432118332326E-4</c:v>
                </c:pt>
                <c:pt idx="8513">
                  <c:v>1.1826419444427158E-3</c:v>
                </c:pt>
                <c:pt idx="8514">
                  <c:v>1.0528488422931739E-3</c:v>
                </c:pt>
                <c:pt idx="8515">
                  <c:v>5.3402034017156145E-4</c:v>
                </c:pt>
                <c:pt idx="8516">
                  <c:v>1.2628187777427092E-3</c:v>
                </c:pt>
                <c:pt idx="8517">
                  <c:v>1.0829994485057519E-3</c:v>
                </c:pt>
                <c:pt idx="8518">
                  <c:v>1.0909740115175087E-3</c:v>
                </c:pt>
                <c:pt idx="8519">
                  <c:v>6.4786987665654524E-4</c:v>
                </c:pt>
                <c:pt idx="8520">
                  <c:v>5.3547410655850657E-4</c:v>
                </c:pt>
                <c:pt idx="8521">
                  <c:v>8.4908136038279599E-4</c:v>
                </c:pt>
                <c:pt idx="8522">
                  <c:v>3.9899554885406042E-4</c:v>
                </c:pt>
                <c:pt idx="8523">
                  <c:v>1.6796696440593444E-3</c:v>
                </c:pt>
                <c:pt idx="8524">
                  <c:v>1.2382173317427975E-3</c:v>
                </c:pt>
                <c:pt idx="8525">
                  <c:v>6.672735032979526E-4</c:v>
                </c:pt>
                <c:pt idx="8526">
                  <c:v>1.2323608618534643E-3</c:v>
                </c:pt>
                <c:pt idx="8527">
                  <c:v>8.6349077791916763E-4</c:v>
                </c:pt>
                <c:pt idx="8528">
                  <c:v>3.7563498954400003E-4</c:v>
                </c:pt>
                <c:pt idx="8529">
                  <c:v>4.8331460618747808E-4</c:v>
                </c:pt>
                <c:pt idx="8530">
                  <c:v>7.3530006621195132E-4</c:v>
                </c:pt>
                <c:pt idx="8531">
                  <c:v>1.554032930038143E-4</c:v>
                </c:pt>
                <c:pt idx="8532">
                  <c:v>4.7320622321072345E-4</c:v>
                </c:pt>
                <c:pt idx="8533">
                  <c:v>9.4889135861336827E-4</c:v>
                </c:pt>
                <c:pt idx="8534">
                  <c:v>8.1939078550845041E-4</c:v>
                </c:pt>
                <c:pt idx="8535">
                  <c:v>1.0469813378592558E-3</c:v>
                </c:pt>
                <c:pt idx="8536">
                  <c:v>1.2207931915317078E-3</c:v>
                </c:pt>
                <c:pt idx="8537">
                  <c:v>6.4045712200077871E-4</c:v>
                </c:pt>
                <c:pt idx="8538">
                  <c:v>8.3264361561865207E-4</c:v>
                </c:pt>
                <c:pt idx="8539">
                  <c:v>1.0462446465100347E-3</c:v>
                </c:pt>
                <c:pt idx="8540">
                  <c:v>9.4050739497758822E-4</c:v>
                </c:pt>
                <c:pt idx="8541">
                  <c:v>8.0927009962175351E-4</c:v>
                </c:pt>
                <c:pt idx="8542">
                  <c:v>1.0468456610041134E-3</c:v>
                </c:pt>
                <c:pt idx="8543">
                  <c:v>1.2496004975449261E-3</c:v>
                </c:pt>
                <c:pt idx="8544">
                  <c:v>5.7129327354769465E-4</c:v>
                </c:pt>
                <c:pt idx="8545">
                  <c:v>2.8464470824951868E-4</c:v>
                </c:pt>
                <c:pt idx="8546">
                  <c:v>1.2147925579316585E-3</c:v>
                </c:pt>
                <c:pt idx="8547">
                  <c:v>1.0940632234424453E-3</c:v>
                </c:pt>
                <c:pt idx="8548">
                  <c:v>1.0781795612593863E-3</c:v>
                </c:pt>
                <c:pt idx="8549">
                  <c:v>1.149168293056405E-3</c:v>
                </c:pt>
                <c:pt idx="8550">
                  <c:v>6.2581520120938536E-4</c:v>
                </c:pt>
                <c:pt idx="8551">
                  <c:v>4.1301763531724164E-4</c:v>
                </c:pt>
                <c:pt idx="8552">
                  <c:v>7.1740470612002925E-4</c:v>
                </c:pt>
                <c:pt idx="8553">
                  <c:v>6.3708738184840581E-4</c:v>
                </c:pt>
                <c:pt idx="8554">
                  <c:v>3.6198824286685888E-4</c:v>
                </c:pt>
                <c:pt idx="8555">
                  <c:v>8.1738138340235267E-4</c:v>
                </c:pt>
                <c:pt idx="8556">
                  <c:v>3.4040007477614327E-4</c:v>
                </c:pt>
                <c:pt idx="8557">
                  <c:v>7.1679126056855126E-4</c:v>
                </c:pt>
                <c:pt idx="8558">
                  <c:v>6.7773428728025518E-4</c:v>
                </c:pt>
                <c:pt idx="8559">
                  <c:v>1.1213517156415693E-3</c:v>
                </c:pt>
                <c:pt idx="8560">
                  <c:v>1.0316593417706516E-3</c:v>
                </c:pt>
                <c:pt idx="8561">
                  <c:v>1.0430635564595951E-3</c:v>
                </c:pt>
                <c:pt idx="8562">
                  <c:v>4.0392994547033649E-4</c:v>
                </c:pt>
                <c:pt idx="8563">
                  <c:v>5.2033162675272401E-4</c:v>
                </c:pt>
                <c:pt idx="8564">
                  <c:v>1.0731192079559649E-3</c:v>
                </c:pt>
                <c:pt idx="8565">
                  <c:v>3.9011362097213578E-4</c:v>
                </c:pt>
                <c:pt idx="8566">
                  <c:v>8.3316064560304043E-4</c:v>
                </c:pt>
                <c:pt idx="8567">
                  <c:v>2.0007731733318085E-3</c:v>
                </c:pt>
                <c:pt idx="8568">
                  <c:v>1.2005004747819778E-3</c:v>
                </c:pt>
                <c:pt idx="8569">
                  <c:v>2.8036814198749589E-4</c:v>
                </c:pt>
                <c:pt idx="8570">
                  <c:v>4.9766584109241035E-4</c:v>
                </c:pt>
                <c:pt idx="8571">
                  <c:v>9.2517229581452472E-4</c:v>
                </c:pt>
                <c:pt idx="8572">
                  <c:v>1.3117612037582894E-3</c:v>
                </c:pt>
                <c:pt idx="8573">
                  <c:v>1.2603018946353052E-3</c:v>
                </c:pt>
                <c:pt idx="8574">
                  <c:v>6.031197739272419E-4</c:v>
                </c:pt>
                <c:pt idx="8575">
                  <c:v>8.1575815763837293E-4</c:v>
                </c:pt>
                <c:pt idx="8576">
                  <c:v>1.003026267166033E-3</c:v>
                </c:pt>
                <c:pt idx="8577">
                  <c:v>8.1308250124241847E-4</c:v>
                </c:pt>
                <c:pt idx="8578">
                  <c:v>8.0502961002562059E-4</c:v>
                </c:pt>
                <c:pt idx="8579">
                  <c:v>1.2031533449953409E-3</c:v>
                </c:pt>
                <c:pt idx="8580">
                  <c:v>9.0184422541785263E-4</c:v>
                </c:pt>
                <c:pt idx="8581">
                  <c:v>1.2215620577403588E-3</c:v>
                </c:pt>
                <c:pt idx="8582">
                  <c:v>6.8741625368136231E-4</c:v>
                </c:pt>
                <c:pt idx="8583">
                  <c:v>9.3327768116970911E-4</c:v>
                </c:pt>
                <c:pt idx="8584">
                  <c:v>8.1461583434639165E-4</c:v>
                </c:pt>
                <c:pt idx="8585">
                  <c:v>5.2465270806974923E-4</c:v>
                </c:pt>
                <c:pt idx="8586">
                  <c:v>4.8938016717373848E-4</c:v>
                </c:pt>
                <c:pt idx="8587">
                  <c:v>7.5632112973106705E-4</c:v>
                </c:pt>
                <c:pt idx="8588">
                  <c:v>5.9634939134299493E-4</c:v>
                </c:pt>
                <c:pt idx="8589">
                  <c:v>8.8844015627902715E-4</c:v>
                </c:pt>
                <c:pt idx="8590">
                  <c:v>1.0488819701416081E-3</c:v>
                </c:pt>
                <c:pt idx="8591">
                  <c:v>5.5569675420958525E-4</c:v>
                </c:pt>
                <c:pt idx="8592">
                  <c:v>7.9752554078980377E-4</c:v>
                </c:pt>
                <c:pt idx="8593">
                  <c:v>8.3543937008801882E-4</c:v>
                </c:pt>
                <c:pt idx="8594">
                  <c:v>1.6695352097057452E-3</c:v>
                </c:pt>
                <c:pt idx="8595">
                  <c:v>1.1675782433280594E-3</c:v>
                </c:pt>
                <c:pt idx="8596">
                  <c:v>1.1514598725132111E-3</c:v>
                </c:pt>
                <c:pt idx="8597">
                  <c:v>1.3667983787791537E-3</c:v>
                </c:pt>
                <c:pt idx="8598">
                  <c:v>1.2435576102256475E-3</c:v>
                </c:pt>
                <c:pt idx="8599">
                  <c:v>7.898830462041422E-4</c:v>
                </c:pt>
                <c:pt idx="8600">
                  <c:v>9.4226072520648936E-4</c:v>
                </c:pt>
                <c:pt idx="8601">
                  <c:v>7.2692722225927288E-4</c:v>
                </c:pt>
                <c:pt idx="8602">
                  <c:v>8.093912924050068E-4</c:v>
                </c:pt>
                <c:pt idx="8603">
                  <c:v>5.0058205616022812E-4</c:v>
                </c:pt>
                <c:pt idx="8604">
                  <c:v>5.662126749567775E-4</c:v>
                </c:pt>
                <c:pt idx="8605">
                  <c:v>1.1144228808845655E-3</c:v>
                </c:pt>
                <c:pt idx="8606">
                  <c:v>1.2175111187619555E-3</c:v>
                </c:pt>
                <c:pt idx="8607">
                  <c:v>9.9278358250185807E-4</c:v>
                </c:pt>
                <c:pt idx="8608">
                  <c:v>7.6887040430059295E-4</c:v>
                </c:pt>
                <c:pt idx="8609">
                  <c:v>1.132990097387493E-3</c:v>
                </c:pt>
                <c:pt idx="8610">
                  <c:v>5.4885547101589892E-4</c:v>
                </c:pt>
                <c:pt idx="8611">
                  <c:v>1.3584439295535524E-3</c:v>
                </c:pt>
                <c:pt idx="8612">
                  <c:v>1.1140343280411752E-3</c:v>
                </c:pt>
                <c:pt idx="8613">
                  <c:v>8.4988075114281029E-4</c:v>
                </c:pt>
                <c:pt idx="8614">
                  <c:v>1.0068018166537048E-3</c:v>
                </c:pt>
                <c:pt idx="8615">
                  <c:v>8.5075105414419885E-4</c:v>
                </c:pt>
                <c:pt idx="8616">
                  <c:v>9.0726859180615218E-4</c:v>
                </c:pt>
                <c:pt idx="8617">
                  <c:v>7.2469386008827436E-4</c:v>
                </c:pt>
                <c:pt idx="8618">
                  <c:v>2.2401198868482469E-4</c:v>
                </c:pt>
                <c:pt idx="8619">
                  <c:v>7.6391170404064505E-4</c:v>
                </c:pt>
                <c:pt idx="8620">
                  <c:v>9.3234697280508542E-4</c:v>
                </c:pt>
                <c:pt idx="8621">
                  <c:v>6.681168521790649E-4</c:v>
                </c:pt>
                <c:pt idx="8622">
                  <c:v>2.7919486854184768E-4</c:v>
                </c:pt>
                <c:pt idx="8623">
                  <c:v>2.096019068807351E-4</c:v>
                </c:pt>
                <c:pt idx="8624">
                  <c:v>1.2519996560791118E-3</c:v>
                </c:pt>
                <c:pt idx="8625">
                  <c:v>8.0660500057785727E-4</c:v>
                </c:pt>
                <c:pt idx="8626">
                  <c:v>3.6764127679243618E-5</c:v>
                </c:pt>
                <c:pt idx="8627">
                  <c:v>4.5118011831881078E-4</c:v>
                </c:pt>
                <c:pt idx="8628">
                  <c:v>1.3693257974989805E-3</c:v>
                </c:pt>
                <c:pt idx="8629">
                  <c:v>1.502723243108339E-4</c:v>
                </c:pt>
                <c:pt idx="8630">
                  <c:v>7.8728927926867225E-4</c:v>
                </c:pt>
                <c:pt idx="8631">
                  <c:v>9.0804070657438227E-4</c:v>
                </c:pt>
                <c:pt idx="8632">
                  <c:v>8.4044367575148251E-4</c:v>
                </c:pt>
                <c:pt idx="8633">
                  <c:v>1.2409838202596924E-3</c:v>
                </c:pt>
                <c:pt idx="8634">
                  <c:v>7.8961586014477574E-4</c:v>
                </c:pt>
                <c:pt idx="8635">
                  <c:v>1.2660345050823172E-3</c:v>
                </c:pt>
                <c:pt idx="8636">
                  <c:v>4.8116906610947525E-4</c:v>
                </c:pt>
                <c:pt idx="8637">
                  <c:v>1.2037539619094396E-3</c:v>
                </c:pt>
                <c:pt idx="8638">
                  <c:v>1.3066427158971369E-3</c:v>
                </c:pt>
                <c:pt idx="8639">
                  <c:v>9.5035542135997529E-4</c:v>
                </c:pt>
                <c:pt idx="8640">
                  <c:v>4.7435497268095126E-4</c:v>
                </c:pt>
                <c:pt idx="8641">
                  <c:v>1.4376098956567608E-3</c:v>
                </c:pt>
                <c:pt idx="8642">
                  <c:v>5.5373490875910611E-4</c:v>
                </c:pt>
                <c:pt idx="8643">
                  <c:v>7.0884936616111705E-4</c:v>
                </c:pt>
                <c:pt idx="8644">
                  <c:v>1.1755070568549247E-3</c:v>
                </c:pt>
                <c:pt idx="8645">
                  <c:v>1.3010259493486693E-3</c:v>
                </c:pt>
                <c:pt idx="8646">
                  <c:v>9.7578651750379131E-4</c:v>
                </c:pt>
                <c:pt idx="8647">
                  <c:v>2.430102034247482E-4</c:v>
                </c:pt>
                <c:pt idx="8648">
                  <c:v>2.3948560662505531E-4</c:v>
                </c:pt>
                <c:pt idx="8649">
                  <c:v>4.8534236390530269E-4</c:v>
                </c:pt>
                <c:pt idx="8650">
                  <c:v>1.4845093084967956E-3</c:v>
                </c:pt>
                <c:pt idx="8651">
                  <c:v>8.5864293147437383E-4</c:v>
                </c:pt>
                <c:pt idx="8652">
                  <c:v>5.0128967054652968E-4</c:v>
                </c:pt>
                <c:pt idx="8653">
                  <c:v>3.7937599045673106E-4</c:v>
                </c:pt>
                <c:pt idx="8654">
                  <c:v>2.5869021580190543E-4</c:v>
                </c:pt>
                <c:pt idx="8655">
                  <c:v>8.1800678251202602E-4</c:v>
                </c:pt>
                <c:pt idx="8656">
                  <c:v>7.0762205059352577E-4</c:v>
                </c:pt>
                <c:pt idx="8657">
                  <c:v>8.1679267635145151E-4</c:v>
                </c:pt>
                <c:pt idx="8658">
                  <c:v>1.3627151334362809E-3</c:v>
                </c:pt>
                <c:pt idx="8659">
                  <c:v>1.0502312469737047E-3</c:v>
                </c:pt>
                <c:pt idx="8660">
                  <c:v>3.6237881716527588E-4</c:v>
                </c:pt>
                <c:pt idx="8661">
                  <c:v>7.8476797330986989E-4</c:v>
                </c:pt>
                <c:pt idx="8662">
                  <c:v>1.309861127563521E-3</c:v>
                </c:pt>
                <c:pt idx="8663">
                  <c:v>1.1128599067732193E-3</c:v>
                </c:pt>
                <c:pt idx="8664">
                  <c:v>7.712588186515421E-4</c:v>
                </c:pt>
                <c:pt idx="8665">
                  <c:v>1.2300743336373259E-3</c:v>
                </c:pt>
                <c:pt idx="8666">
                  <c:v>1.3733517349669426E-3</c:v>
                </c:pt>
                <c:pt idx="8667">
                  <c:v>8.7192964658112351E-4</c:v>
                </c:pt>
                <c:pt idx="8668">
                  <c:v>7.2759759629808282E-4</c:v>
                </c:pt>
                <c:pt idx="8669">
                  <c:v>6.5866544044764213E-4</c:v>
                </c:pt>
                <c:pt idx="8670">
                  <c:v>1.2012363826259512E-3</c:v>
                </c:pt>
                <c:pt idx="8671">
                  <c:v>3.616655102930867E-4</c:v>
                </c:pt>
                <c:pt idx="8672">
                  <c:v>5.511927016415909E-4</c:v>
                </c:pt>
                <c:pt idx="8673">
                  <c:v>1.1745420248041511E-3</c:v>
                </c:pt>
                <c:pt idx="8674">
                  <c:v>7.8490168941727095E-4</c:v>
                </c:pt>
                <c:pt idx="8675">
                  <c:v>1.0812086604062377E-3</c:v>
                </c:pt>
                <c:pt idx="8676">
                  <c:v>1.0089163656917066E-3</c:v>
                </c:pt>
                <c:pt idx="8677">
                  <c:v>6.723951009390966E-4</c:v>
                </c:pt>
                <c:pt idx="8678">
                  <c:v>3.1804562927887958E-4</c:v>
                </c:pt>
                <c:pt idx="8679">
                  <c:v>5.6197143497128043E-4</c:v>
                </c:pt>
                <c:pt idx="8680">
                  <c:v>2.5984464059770245E-4</c:v>
                </c:pt>
                <c:pt idx="8681">
                  <c:v>9.3299149093315067E-4</c:v>
                </c:pt>
                <c:pt idx="8682">
                  <c:v>6.6993466687806456E-4</c:v>
                </c:pt>
                <c:pt idx="8683">
                  <c:v>9.5116083020213549E-4</c:v>
                </c:pt>
                <c:pt idx="8684">
                  <c:v>7.8319550337770235E-4</c:v>
                </c:pt>
                <c:pt idx="8685">
                  <c:v>1.0363331112543347E-3</c:v>
                </c:pt>
                <c:pt idx="8686">
                  <c:v>1.3406503184052244E-3</c:v>
                </c:pt>
                <c:pt idx="8687">
                  <c:v>4.2036595471679056E-4</c:v>
                </c:pt>
                <c:pt idx="8688">
                  <c:v>1.0365754540306582E-3</c:v>
                </c:pt>
                <c:pt idx="8689">
                  <c:v>8.2132769790599651E-4</c:v>
                </c:pt>
                <c:pt idx="8690">
                  <c:v>1.0305504181639775E-3</c:v>
                </c:pt>
                <c:pt idx="8691">
                  <c:v>7.4474438050109134E-4</c:v>
                </c:pt>
                <c:pt idx="8692">
                  <c:v>6.2029503533920019E-4</c:v>
                </c:pt>
                <c:pt idx="8693">
                  <c:v>4.8063365866162806E-4</c:v>
                </c:pt>
                <c:pt idx="8694">
                  <c:v>4.4942944267111791E-4</c:v>
                </c:pt>
                <c:pt idx="8695">
                  <c:v>1.2570278764912448E-3</c:v>
                </c:pt>
                <c:pt idx="8696">
                  <c:v>6.7660051031484298E-4</c:v>
                </c:pt>
                <c:pt idx="8697">
                  <c:v>1.1439096664948648E-3</c:v>
                </c:pt>
                <c:pt idx="8698">
                  <c:v>5.4335561191971686E-4</c:v>
                </c:pt>
                <c:pt idx="8699">
                  <c:v>1.2020024862287458E-3</c:v>
                </c:pt>
                <c:pt idx="8700">
                  <c:v>1.0637427541922821E-3</c:v>
                </c:pt>
                <c:pt idx="8701">
                  <c:v>1.0244410232750948E-3</c:v>
                </c:pt>
                <c:pt idx="8702">
                  <c:v>5.7048919091664087E-4</c:v>
                </c:pt>
                <c:pt idx="8703">
                  <c:v>8.6978983919273715E-4</c:v>
                </c:pt>
                <c:pt idx="8704">
                  <c:v>6.6992597782258119E-4</c:v>
                </c:pt>
                <c:pt idx="8705">
                  <c:v>6.7764179461109241E-4</c:v>
                </c:pt>
                <c:pt idx="8706">
                  <c:v>6.5713090338881028E-4</c:v>
                </c:pt>
                <c:pt idx="8707">
                  <c:v>8.4788245104764682E-4</c:v>
                </c:pt>
                <c:pt idx="8708">
                  <c:v>9.034595267523619E-4</c:v>
                </c:pt>
                <c:pt idx="8709">
                  <c:v>6.2018909577660967E-4</c:v>
                </c:pt>
                <c:pt idx="8710">
                  <c:v>8.0627501377274311E-4</c:v>
                </c:pt>
                <c:pt idx="8711">
                  <c:v>1.5066836646739675E-3</c:v>
                </c:pt>
                <c:pt idx="8712">
                  <c:v>1.0168822439290972E-4</c:v>
                </c:pt>
                <c:pt idx="8713">
                  <c:v>1.5092026329499571E-3</c:v>
                </c:pt>
                <c:pt idx="8714">
                  <c:v>4.1424366328579761E-4</c:v>
                </c:pt>
                <c:pt idx="8715">
                  <c:v>9.6852546739145825E-4</c:v>
                </c:pt>
                <c:pt idx="8716">
                  <c:v>1.0778532670577669E-3</c:v>
                </c:pt>
                <c:pt idx="8717">
                  <c:v>6.7733429638317519E-4</c:v>
                </c:pt>
                <c:pt idx="8718">
                  <c:v>5.9165564112663536E-4</c:v>
                </c:pt>
                <c:pt idx="8719">
                  <c:v>5.2260471197125677E-4</c:v>
                </c:pt>
                <c:pt idx="8720">
                  <c:v>7.0580414967521903E-4</c:v>
                </c:pt>
                <c:pt idx="8721">
                  <c:v>5.9895168113955873E-4</c:v>
                </c:pt>
                <c:pt idx="8722">
                  <c:v>7.8151401774568499E-4</c:v>
                </c:pt>
                <c:pt idx="8723">
                  <c:v>6.0867814829106181E-4</c:v>
                </c:pt>
                <c:pt idx="8724">
                  <c:v>5.701488684993365E-4</c:v>
                </c:pt>
                <c:pt idx="8725">
                  <c:v>1.0305107487399638E-3</c:v>
                </c:pt>
                <c:pt idx="8726">
                  <c:v>9.7905802310514203E-4</c:v>
                </c:pt>
                <c:pt idx="8727">
                  <c:v>7.9191802795044379E-4</c:v>
                </c:pt>
                <c:pt idx="8728">
                  <c:v>7.8933374961270917E-4</c:v>
                </c:pt>
                <c:pt idx="8729">
                  <c:v>4.9343305192270121E-4</c:v>
                </c:pt>
                <c:pt idx="8730">
                  <c:v>9.2638696443638467E-4</c:v>
                </c:pt>
                <c:pt idx="8731">
                  <c:v>5.9176381190398071E-4</c:v>
                </c:pt>
                <c:pt idx="8732">
                  <c:v>4.2334852552031036E-4</c:v>
                </c:pt>
                <c:pt idx="8733">
                  <c:v>7.8371221382597493E-4</c:v>
                </c:pt>
                <c:pt idx="8734">
                  <c:v>7.4968227218216677E-4</c:v>
                </c:pt>
                <c:pt idx="8735">
                  <c:v>6.3231464491151951E-4</c:v>
                </c:pt>
                <c:pt idx="8736">
                  <c:v>6.1450028854785307E-4</c:v>
                </c:pt>
                <c:pt idx="8737">
                  <c:v>5.771584961525904E-4</c:v>
                </c:pt>
                <c:pt idx="8738">
                  <c:v>9.2177083738953828E-4</c:v>
                </c:pt>
                <c:pt idx="8739">
                  <c:v>1.1194357738373672E-3</c:v>
                </c:pt>
                <c:pt idx="8740">
                  <c:v>6.4778183554259621E-4</c:v>
                </c:pt>
                <c:pt idx="8741">
                  <c:v>9.7480191356732982E-4</c:v>
                </c:pt>
                <c:pt idx="8742">
                  <c:v>1.1060439150892786E-4</c:v>
                </c:pt>
                <c:pt idx="8743">
                  <c:v>1.1235077168267093E-3</c:v>
                </c:pt>
                <c:pt idx="8744">
                  <c:v>9.5337002954357455E-4</c:v>
                </c:pt>
                <c:pt idx="8745">
                  <c:v>9.8925907443378936E-4</c:v>
                </c:pt>
                <c:pt idx="8746">
                  <c:v>8.5308572309807855E-4</c:v>
                </c:pt>
                <c:pt idx="8747">
                  <c:v>7.3056843594410397E-4</c:v>
                </c:pt>
                <c:pt idx="8748">
                  <c:v>1.3991172080347852E-3</c:v>
                </c:pt>
                <c:pt idx="8749">
                  <c:v>2.1329521339535026E-4</c:v>
                </c:pt>
                <c:pt idx="8750">
                  <c:v>7.8789880320480788E-4</c:v>
                </c:pt>
                <c:pt idx="8751">
                  <c:v>1.5540273817302767E-3</c:v>
                </c:pt>
                <c:pt idx="8752">
                  <c:v>7.1696226907205307E-4</c:v>
                </c:pt>
                <c:pt idx="8753">
                  <c:v>1.0363876127135229E-3</c:v>
                </c:pt>
                <c:pt idx="8754">
                  <c:v>1.3957962634217939E-3</c:v>
                </c:pt>
                <c:pt idx="8755">
                  <c:v>1.0255990080455387E-3</c:v>
                </c:pt>
                <c:pt idx="8756">
                  <c:v>1.3122204078417977E-3</c:v>
                </c:pt>
                <c:pt idx="8757">
                  <c:v>4.2188608310217635E-4</c:v>
                </c:pt>
                <c:pt idx="8758">
                  <c:v>5.7004627950305725E-4</c:v>
                </c:pt>
                <c:pt idx="8759">
                  <c:v>5.12267015459507E-4</c:v>
                </c:pt>
                <c:pt idx="8760">
                  <c:v>8.9029514531909252E-4</c:v>
                </c:pt>
                <c:pt idx="8761">
                  <c:v>7.4917121342916548E-4</c:v>
                </c:pt>
                <c:pt idx="8762">
                  <c:v>1.0717524237628744E-3</c:v>
                </c:pt>
                <c:pt idx="8763">
                  <c:v>1.0409670404174242E-3</c:v>
                </c:pt>
                <c:pt idx="8764">
                  <c:v>8.6217203344647944E-4</c:v>
                </c:pt>
                <c:pt idx="8765">
                  <c:v>7.2148017098446241E-4</c:v>
                </c:pt>
                <c:pt idx="8766">
                  <c:v>7.2669693087864195E-4</c:v>
                </c:pt>
                <c:pt idx="8767">
                  <c:v>1.0442383430444083E-3</c:v>
                </c:pt>
                <c:pt idx="8768">
                  <c:v>6.9935929844534644E-4</c:v>
                </c:pt>
                <c:pt idx="8769">
                  <c:v>1.4880974176131974E-3</c:v>
                </c:pt>
                <c:pt idx="8770">
                  <c:v>-4.9133141040430452E-5</c:v>
                </c:pt>
                <c:pt idx="8771">
                  <c:v>8.8652841400936285E-4</c:v>
                </c:pt>
                <c:pt idx="8772">
                  <c:v>6.8721443307899715E-4</c:v>
                </c:pt>
                <c:pt idx="8773">
                  <c:v>1.0185572307514982E-3</c:v>
                </c:pt>
                <c:pt idx="8774">
                  <c:v>7.7538546003001231E-4</c:v>
                </c:pt>
                <c:pt idx="8775">
                  <c:v>6.8973837835780577E-4</c:v>
                </c:pt>
                <c:pt idx="8776">
                  <c:v>5.0043416699865656E-4</c:v>
                </c:pt>
                <c:pt idx="8777">
                  <c:v>1.6410588663305795E-3</c:v>
                </c:pt>
                <c:pt idx="8778">
                  <c:v>1.0534525305926873E-3</c:v>
                </c:pt>
                <c:pt idx="8779">
                  <c:v>7.1697685311055206E-4</c:v>
                </c:pt>
                <c:pt idx="8780">
                  <c:v>1.0393611218131136E-3</c:v>
                </c:pt>
                <c:pt idx="8781">
                  <c:v>1.1354128970355365E-3</c:v>
                </c:pt>
                <c:pt idx="8782">
                  <c:v>1.8612489185860292E-4</c:v>
                </c:pt>
                <c:pt idx="8783">
                  <c:v>1.3731156185516067E-3</c:v>
                </c:pt>
                <c:pt idx="8784">
                  <c:v>7.9752983503934502E-4</c:v>
                </c:pt>
                <c:pt idx="8785">
                  <c:v>6.5852678012684419E-4</c:v>
                </c:pt>
                <c:pt idx="8786">
                  <c:v>8.8721953221314049E-5</c:v>
                </c:pt>
                <c:pt idx="8787">
                  <c:v>4.2181238858541583E-4</c:v>
                </c:pt>
                <c:pt idx="8788">
                  <c:v>1.0323743911830811E-3</c:v>
                </c:pt>
                <c:pt idx="8789">
                  <c:v>6.0598447087913685E-4</c:v>
                </c:pt>
                <c:pt idx="8790">
                  <c:v>3.9183795857821683E-4</c:v>
                </c:pt>
                <c:pt idx="8791">
                  <c:v>7.3922856401493402E-4</c:v>
                </c:pt>
                <c:pt idx="8792">
                  <c:v>8.033343775775396E-4</c:v>
                </c:pt>
                <c:pt idx="8793">
                  <c:v>4.5173225417123055E-4</c:v>
                </c:pt>
                <c:pt idx="8794">
                  <c:v>3.8393269859129513E-4</c:v>
                </c:pt>
                <c:pt idx="8795">
                  <c:v>6.6427502296613494E-4</c:v>
                </c:pt>
                <c:pt idx="8796">
                  <c:v>8.5027377583129409E-4</c:v>
                </c:pt>
                <c:pt idx="8797">
                  <c:v>1.1334272704731137E-3</c:v>
                </c:pt>
                <c:pt idx="8798">
                  <c:v>9.3201514589432929E-4</c:v>
                </c:pt>
                <c:pt idx="8799">
                  <c:v>7.0374524056065818E-4</c:v>
                </c:pt>
                <c:pt idx="8800">
                  <c:v>6.12973678534362E-4</c:v>
                </c:pt>
                <c:pt idx="8801">
                  <c:v>8.0294641261396331E-4</c:v>
                </c:pt>
                <c:pt idx="8802">
                  <c:v>1.3037867913393178E-3</c:v>
                </c:pt>
                <c:pt idx="8803">
                  <c:v>7.7745873392066249E-4</c:v>
                </c:pt>
                <c:pt idx="8804">
                  <c:v>4.4814244485042484E-4</c:v>
                </c:pt>
                <c:pt idx="8805">
                  <c:v>9.7707350170414195E-4</c:v>
                </c:pt>
                <c:pt idx="8806">
                  <c:v>7.7341983524873152E-4</c:v>
                </c:pt>
                <c:pt idx="8807">
                  <c:v>5.1715503431466964E-4</c:v>
                </c:pt>
                <c:pt idx="8808">
                  <c:v>1.1596890329012449E-3</c:v>
                </c:pt>
                <c:pt idx="8809">
                  <c:v>1.7689832340306553E-3</c:v>
                </c:pt>
                <c:pt idx="8810">
                  <c:v>4.3879651397972768E-4</c:v>
                </c:pt>
                <c:pt idx="8811">
                  <c:v>7.7686409170143491E-4</c:v>
                </c:pt>
                <c:pt idx="8812">
                  <c:v>1.2654272197271344E-3</c:v>
                </c:pt>
                <c:pt idx="8813">
                  <c:v>7.5703741150181603E-4</c:v>
                </c:pt>
                <c:pt idx="8814">
                  <c:v>4.0995036616123622E-4</c:v>
                </c:pt>
                <c:pt idx="8815">
                  <c:v>9.1401248372594457E-4</c:v>
                </c:pt>
                <c:pt idx="8816">
                  <c:v>6.7329580985005233E-4</c:v>
                </c:pt>
                <c:pt idx="8817">
                  <c:v>9.5025282775265901E-4</c:v>
                </c:pt>
                <c:pt idx="8818">
                  <c:v>5.0807513824125186E-4</c:v>
                </c:pt>
                <c:pt idx="8819">
                  <c:v>1.1881849019822358E-3</c:v>
                </c:pt>
                <c:pt idx="8820">
                  <c:v>7.965124399206395E-4</c:v>
                </c:pt>
                <c:pt idx="8821">
                  <c:v>4.7634305585350672E-4</c:v>
                </c:pt>
                <c:pt idx="8822">
                  <c:v>9.0631730904604051E-4</c:v>
                </c:pt>
                <c:pt idx="8823">
                  <c:v>1.7862530062676873E-3</c:v>
                </c:pt>
                <c:pt idx="8824">
                  <c:v>6.1695438910721516E-4</c:v>
                </c:pt>
                <c:pt idx="8825">
                  <c:v>2.4216134843590769E-4</c:v>
                </c:pt>
                <c:pt idx="8826">
                  <c:v>9.1758632986018763E-4</c:v>
                </c:pt>
                <c:pt idx="8827">
                  <c:v>4.4471358420684063E-4</c:v>
                </c:pt>
                <c:pt idx="8828">
                  <c:v>5.4789079122231985E-4</c:v>
                </c:pt>
                <c:pt idx="8829">
                  <c:v>9.8809338312007169E-4</c:v>
                </c:pt>
                <c:pt idx="8830">
                  <c:v>9.2609646255382245E-4</c:v>
                </c:pt>
                <c:pt idx="8831">
                  <c:v>6.0677133791093533E-4</c:v>
                </c:pt>
                <c:pt idx="8832">
                  <c:v>6.8601296914925797E-4</c:v>
                </c:pt>
                <c:pt idx="8833">
                  <c:v>5.0947364222963111E-4</c:v>
                </c:pt>
                <c:pt idx="8834">
                  <c:v>8.4363871239559809E-4</c:v>
                </c:pt>
                <c:pt idx="8835">
                  <c:v>1.5889843714843132E-3</c:v>
                </c:pt>
                <c:pt idx="8836">
                  <c:v>5.3970043994462733E-4</c:v>
                </c:pt>
                <c:pt idx="8837">
                  <c:v>1.5310418239074693E-3</c:v>
                </c:pt>
                <c:pt idx="8838">
                  <c:v>9.1126771269844746E-4</c:v>
                </c:pt>
                <c:pt idx="8839">
                  <c:v>1.094834740575283E-3</c:v>
                </c:pt>
                <c:pt idx="8840">
                  <c:v>1.534085591759448E-3</c:v>
                </c:pt>
                <c:pt idx="8841">
                  <c:v>1.0360555547587504E-3</c:v>
                </c:pt>
                <c:pt idx="8842">
                  <c:v>1.1451886285709333E-3</c:v>
                </c:pt>
                <c:pt idx="8843">
                  <c:v>1.0895783984876514E-3</c:v>
                </c:pt>
                <c:pt idx="8844">
                  <c:v>1.1397606130401409E-3</c:v>
                </c:pt>
                <c:pt idx="8845">
                  <c:v>6.5852576320403152E-4</c:v>
                </c:pt>
                <c:pt idx="8846">
                  <c:v>6.8587438868185629E-4</c:v>
                </c:pt>
                <c:pt idx="8847">
                  <c:v>6.2773084740158061E-4</c:v>
                </c:pt>
                <c:pt idx="8848">
                  <c:v>9.2558513147635382E-4</c:v>
                </c:pt>
                <c:pt idx="8849">
                  <c:v>9.8274337063834153E-4</c:v>
                </c:pt>
                <c:pt idx="8850">
                  <c:v>5.1873944484744116E-4</c:v>
                </c:pt>
                <c:pt idx="8851">
                  <c:v>9.4353252218476718E-4</c:v>
                </c:pt>
                <c:pt idx="8852">
                  <c:v>1.0039040642319589E-3</c:v>
                </c:pt>
                <c:pt idx="8853">
                  <c:v>7.8075559458688239E-4</c:v>
                </c:pt>
                <c:pt idx="8854">
                  <c:v>7.1226211354773997E-4</c:v>
                </c:pt>
                <c:pt idx="8855">
                  <c:v>9.1670172991516251E-4</c:v>
                </c:pt>
                <c:pt idx="8856">
                  <c:v>1.1310131813575665E-3</c:v>
                </c:pt>
                <c:pt idx="8857">
                  <c:v>3.5058889298745068E-4</c:v>
                </c:pt>
                <c:pt idx="8858">
                  <c:v>2.2389164047795278E-4</c:v>
                </c:pt>
                <c:pt idx="8859">
                  <c:v>7.4877183024649955E-4</c:v>
                </c:pt>
                <c:pt idx="8860">
                  <c:v>1.0237064215510817E-3</c:v>
                </c:pt>
                <c:pt idx="8861">
                  <c:v>7.2102525343908778E-4</c:v>
                </c:pt>
                <c:pt idx="8862">
                  <c:v>1.1813242353843013E-3</c:v>
                </c:pt>
                <c:pt idx="8863">
                  <c:v>8.4743732083123423E-4</c:v>
                </c:pt>
                <c:pt idx="8864">
                  <c:v>9.7899395260670776E-4</c:v>
                </c:pt>
                <c:pt idx="8865">
                  <c:v>5.4243345758656406E-4</c:v>
                </c:pt>
                <c:pt idx="8866">
                  <c:v>8.7195193115356185E-4</c:v>
                </c:pt>
                <c:pt idx="8867">
                  <c:v>4.4017083574283288E-4</c:v>
                </c:pt>
                <c:pt idx="8868">
                  <c:v>3.7867157269874289E-4</c:v>
                </c:pt>
                <c:pt idx="8869">
                  <c:v>1.1856081569704634E-3</c:v>
                </c:pt>
                <c:pt idx="8870">
                  <c:v>5.8750762198613645E-4</c:v>
                </c:pt>
                <c:pt idx="8871">
                  <c:v>3.7296843368395664E-4</c:v>
                </c:pt>
                <c:pt idx="8872">
                  <c:v>1.3094026370375593E-3</c:v>
                </c:pt>
                <c:pt idx="8873">
                  <c:v>1.2066864143656392E-3</c:v>
                </c:pt>
                <c:pt idx="8874">
                  <c:v>6.2609414608323568E-4</c:v>
                </c:pt>
                <c:pt idx="8875">
                  <c:v>1.1193852109516848E-3</c:v>
                </c:pt>
                <c:pt idx="8876">
                  <c:v>8.9528479003497699E-4</c:v>
                </c:pt>
                <c:pt idx="8877">
                  <c:v>1.2016355056252718E-3</c:v>
                </c:pt>
                <c:pt idx="8878">
                  <c:v>1.3135642153010907E-3</c:v>
                </c:pt>
                <c:pt idx="8879">
                  <c:v>9.1719727975130569E-4</c:v>
                </c:pt>
                <c:pt idx="8880">
                  <c:v>9.9250345138732969E-4</c:v>
                </c:pt>
                <c:pt idx="8881">
                  <c:v>6.0643924497492193E-4</c:v>
                </c:pt>
                <c:pt idx="8882">
                  <c:v>7.5048457075213072E-4</c:v>
                </c:pt>
                <c:pt idx="8883">
                  <c:v>5.4657927487305124E-4</c:v>
                </c:pt>
                <c:pt idx="8884">
                  <c:v>4.3286672480368659E-4</c:v>
                </c:pt>
                <c:pt idx="8885">
                  <c:v>1.0804128795065054E-3</c:v>
                </c:pt>
                <c:pt idx="8886">
                  <c:v>7.0403859443400076E-4</c:v>
                </c:pt>
                <c:pt idx="8887">
                  <c:v>5.1398562046729485E-4</c:v>
                </c:pt>
                <c:pt idx="8888">
                  <c:v>1.0187134395392792E-3</c:v>
                </c:pt>
                <c:pt idx="8889">
                  <c:v>8.5672173868439421E-4</c:v>
                </c:pt>
                <c:pt idx="8890">
                  <c:v>1.3390642826301247E-3</c:v>
                </c:pt>
                <c:pt idx="8891">
                  <c:v>5.0970639871795228E-4</c:v>
                </c:pt>
                <c:pt idx="8892">
                  <c:v>4.0809773630248633E-4</c:v>
                </c:pt>
                <c:pt idx="8893">
                  <c:v>3.8587697220507269E-4</c:v>
                </c:pt>
                <c:pt idx="8894">
                  <c:v>5.3673785653574058E-4</c:v>
                </c:pt>
                <c:pt idx="8895">
                  <c:v>6.9191291200289696E-4</c:v>
                </c:pt>
                <c:pt idx="8896">
                  <c:v>9.9419639612710869E-4</c:v>
                </c:pt>
                <c:pt idx="8897">
                  <c:v>8.9098549126597696E-4</c:v>
                </c:pt>
                <c:pt idx="8898">
                  <c:v>1.5653408462268149E-3</c:v>
                </c:pt>
                <c:pt idx="8899">
                  <c:v>1.0378274862284723E-3</c:v>
                </c:pt>
                <c:pt idx="8900">
                  <c:v>4.6464398266192713E-4</c:v>
                </c:pt>
                <c:pt idx="8901">
                  <c:v>1.2088007093936435E-3</c:v>
                </c:pt>
                <c:pt idx="8902">
                  <c:v>4.4128130032718583E-4</c:v>
                </c:pt>
                <c:pt idx="8903">
                  <c:v>7.0490287984953371E-4</c:v>
                </c:pt>
                <c:pt idx="8904">
                  <c:v>6.8922029182168351E-4</c:v>
                </c:pt>
                <c:pt idx="8905">
                  <c:v>7.9394248301876665E-4</c:v>
                </c:pt>
                <c:pt idx="8906">
                  <c:v>8.3632140669556059E-4</c:v>
                </c:pt>
                <c:pt idx="8907">
                  <c:v>6.1904601067296668E-4</c:v>
                </c:pt>
                <c:pt idx="8908">
                  <c:v>1.1220881598374885E-3</c:v>
                </c:pt>
                <c:pt idx="8909">
                  <c:v>4.8254362549078622E-4</c:v>
                </c:pt>
                <c:pt idx="8910">
                  <c:v>1.3074441577196833E-3</c:v>
                </c:pt>
                <c:pt idx="8911">
                  <c:v>9.8624589704979378E-4</c:v>
                </c:pt>
                <c:pt idx="8912">
                  <c:v>9.1144731462831528E-4</c:v>
                </c:pt>
                <c:pt idx="8913">
                  <c:v>8.521338734403947E-4</c:v>
                </c:pt>
                <c:pt idx="8914">
                  <c:v>3.5318201354549649E-4</c:v>
                </c:pt>
                <c:pt idx="8915">
                  <c:v>1.0100496498075845E-3</c:v>
                </c:pt>
                <c:pt idx="8916">
                  <c:v>1.0073268572232958E-3</c:v>
                </c:pt>
                <c:pt idx="8917">
                  <c:v>9.407859563927472E-4</c:v>
                </c:pt>
                <c:pt idx="8918">
                  <c:v>8.6389323073997521E-4</c:v>
                </c:pt>
                <c:pt idx="8919">
                  <c:v>1.1942739327107188E-3</c:v>
                </c:pt>
                <c:pt idx="8920">
                  <c:v>9.1338369008744675E-4</c:v>
                </c:pt>
                <c:pt idx="8921">
                  <c:v>4.4738567207183835E-4</c:v>
                </c:pt>
                <c:pt idx="8922">
                  <c:v>1.0322209574316647E-3</c:v>
                </c:pt>
                <c:pt idx="8923">
                  <c:v>5.8762712850730556E-4</c:v>
                </c:pt>
                <c:pt idx="8924">
                  <c:v>8.1364783996705394E-4</c:v>
                </c:pt>
                <c:pt idx="8925">
                  <c:v>2.0573287811682432E-4</c:v>
                </c:pt>
                <c:pt idx="8926">
                  <c:v>5.0965798264853649E-4</c:v>
                </c:pt>
                <c:pt idx="8927">
                  <c:v>1.1569146968029812E-3</c:v>
                </c:pt>
                <c:pt idx="8928">
                  <c:v>1.1082579766785038E-3</c:v>
                </c:pt>
                <c:pt idx="8929">
                  <c:v>1.2237064042249605E-3</c:v>
                </c:pt>
                <c:pt idx="8930">
                  <c:v>5.5126725291076235E-4</c:v>
                </c:pt>
                <c:pt idx="8931">
                  <c:v>1.204097812409706E-3</c:v>
                </c:pt>
                <c:pt idx="8932">
                  <c:v>5.534233431137562E-4</c:v>
                </c:pt>
                <c:pt idx="8933">
                  <c:v>6.0025620900149967E-4</c:v>
                </c:pt>
                <c:pt idx="8934">
                  <c:v>1.4594879004031322E-3</c:v>
                </c:pt>
                <c:pt idx="8935">
                  <c:v>4.0308925533093508E-4</c:v>
                </c:pt>
                <c:pt idx="8936">
                  <c:v>1.171751846751118E-3</c:v>
                </c:pt>
                <c:pt idx="8937">
                  <c:v>6.9010859179970748E-4</c:v>
                </c:pt>
                <c:pt idx="8938">
                  <c:v>7.4595392658446935E-4</c:v>
                </c:pt>
                <c:pt idx="8939">
                  <c:v>3.9066610202243934E-4</c:v>
                </c:pt>
                <c:pt idx="8940">
                  <c:v>1.0530057477974365E-3</c:v>
                </c:pt>
                <c:pt idx="8941">
                  <c:v>9.9664712245979255E-4</c:v>
                </c:pt>
                <c:pt idx="8942">
                  <c:v>1.5009650324050734E-3</c:v>
                </c:pt>
                <c:pt idx="8943">
                  <c:v>1.0654450854739768E-3</c:v>
                </c:pt>
                <c:pt idx="8944">
                  <c:v>6.7411406146341321E-4</c:v>
                </c:pt>
                <c:pt idx="8945">
                  <c:v>1.4866724667874937E-3</c:v>
                </c:pt>
                <c:pt idx="8946">
                  <c:v>8.8383068739648571E-4</c:v>
                </c:pt>
                <c:pt idx="8947">
                  <c:v>9.5013744706373845E-5</c:v>
                </c:pt>
                <c:pt idx="8948">
                  <c:v>8.805045976067275E-4</c:v>
                </c:pt>
                <c:pt idx="8949">
                  <c:v>8.7633116170000077E-4</c:v>
                </c:pt>
                <c:pt idx="8950">
                  <c:v>4.6634031989928071E-4</c:v>
                </c:pt>
                <c:pt idx="8951">
                  <c:v>5.3768673369611591E-4</c:v>
                </c:pt>
                <c:pt idx="8952">
                  <c:v>9.195806308558885E-4</c:v>
                </c:pt>
                <c:pt idx="8953">
                  <c:v>1.0836042073291976E-3</c:v>
                </c:pt>
                <c:pt idx="8954">
                  <c:v>7.438871154531396E-4</c:v>
                </c:pt>
                <c:pt idx="8955">
                  <c:v>8.4479081076379203E-4</c:v>
                </c:pt>
                <c:pt idx="8956">
                  <c:v>6.5936640467314633E-4</c:v>
                </c:pt>
                <c:pt idx="8957">
                  <c:v>9.8678098803010048E-4</c:v>
                </c:pt>
                <c:pt idx="8958">
                  <c:v>6.4440688778377318E-4</c:v>
                </c:pt>
                <c:pt idx="8959">
                  <c:v>1.1789967968961214E-3</c:v>
                </c:pt>
                <c:pt idx="8960">
                  <c:v>8.9716768643283216E-4</c:v>
                </c:pt>
                <c:pt idx="8961">
                  <c:v>6.3166013001291865E-4</c:v>
                </c:pt>
                <c:pt idx="8962">
                  <c:v>1.1018922331807513E-3</c:v>
                </c:pt>
                <c:pt idx="8963">
                  <c:v>5.2408850052423602E-4</c:v>
                </c:pt>
                <c:pt idx="8964">
                  <c:v>9.923325717679796E-4</c:v>
                </c:pt>
                <c:pt idx="8965">
                  <c:v>1.4344674598405606E-3</c:v>
                </c:pt>
                <c:pt idx="8966">
                  <c:v>3.1489873770680534E-4</c:v>
                </c:pt>
                <c:pt idx="8967">
                  <c:v>1.160352462375987E-3</c:v>
                </c:pt>
                <c:pt idx="8968">
                  <c:v>4.2517240727195989E-4</c:v>
                </c:pt>
                <c:pt idx="8969">
                  <c:v>1.2337401775058849E-3</c:v>
                </c:pt>
                <c:pt idx="8970">
                  <c:v>6.5865889225889167E-4</c:v>
                </c:pt>
                <c:pt idx="8971">
                  <c:v>9.7822240016387594E-4</c:v>
                </c:pt>
                <c:pt idx="8972">
                  <c:v>7.3927791415934934E-4</c:v>
                </c:pt>
                <c:pt idx="8973">
                  <c:v>1.2898933243630517E-3</c:v>
                </c:pt>
                <c:pt idx="8974">
                  <c:v>1.3472028332823423E-3</c:v>
                </c:pt>
                <c:pt idx="8975">
                  <c:v>1.015526805676425E-3</c:v>
                </c:pt>
                <c:pt idx="8976">
                  <c:v>5.2001235170935189E-4</c:v>
                </c:pt>
                <c:pt idx="8977">
                  <c:v>5.8887916362622948E-4</c:v>
                </c:pt>
                <c:pt idx="8978">
                  <c:v>6.2078977103765284E-4</c:v>
                </c:pt>
                <c:pt idx="8979">
                  <c:v>4.5253418961431664E-4</c:v>
                </c:pt>
                <c:pt idx="8980">
                  <c:v>1.5172455227226731E-4</c:v>
                </c:pt>
                <c:pt idx="8981">
                  <c:v>8.3460689623295298E-4</c:v>
                </c:pt>
                <c:pt idx="8982">
                  <c:v>1.0581654321181885E-3</c:v>
                </c:pt>
                <c:pt idx="8983">
                  <c:v>1.0202988728900179E-3</c:v>
                </c:pt>
                <c:pt idx="8984">
                  <c:v>6.9154429440782613E-4</c:v>
                </c:pt>
                <c:pt idx="8985">
                  <c:v>7.7806689228653817E-4</c:v>
                </c:pt>
                <c:pt idx="8986">
                  <c:v>1.0709246574852711E-3</c:v>
                </c:pt>
                <c:pt idx="8987">
                  <c:v>1.0309126020333836E-3</c:v>
                </c:pt>
                <c:pt idx="8988">
                  <c:v>1.6582856862763331E-3</c:v>
                </c:pt>
                <c:pt idx="8989">
                  <c:v>5.2821025887778335E-4</c:v>
                </c:pt>
                <c:pt idx="8990">
                  <c:v>6.7957130172573849E-4</c:v>
                </c:pt>
                <c:pt idx="8991">
                  <c:v>1.8103720393743716E-4</c:v>
                </c:pt>
                <c:pt idx="8992">
                  <c:v>9.8048192453772769E-4</c:v>
                </c:pt>
                <c:pt idx="8993">
                  <c:v>9.2360135663093943E-4</c:v>
                </c:pt>
                <c:pt idx="8994">
                  <c:v>3.9712862291709769E-4</c:v>
                </c:pt>
                <c:pt idx="8995">
                  <c:v>8.006459674090718E-4</c:v>
                </c:pt>
                <c:pt idx="8996">
                  <c:v>5.8944647559426079E-4</c:v>
                </c:pt>
                <c:pt idx="8997">
                  <c:v>1.5085277632999161E-3</c:v>
                </c:pt>
                <c:pt idx="8998">
                  <c:v>1.1179330204730759E-3</c:v>
                </c:pt>
                <c:pt idx="8999">
                  <c:v>1.025546547938522E-3</c:v>
                </c:pt>
                <c:pt idx="9000">
                  <c:v>8.436433285691216E-4</c:v>
                </c:pt>
                <c:pt idx="9001">
                  <c:v>3.4507268483756912E-4</c:v>
                </c:pt>
                <c:pt idx="9002">
                  <c:v>9.9141370476308905E-4</c:v>
                </c:pt>
                <c:pt idx="9003">
                  <c:v>7.974076022830756E-4</c:v>
                </c:pt>
                <c:pt idx="9004">
                  <c:v>1.1354454661453271E-3</c:v>
                </c:pt>
                <c:pt idx="9005">
                  <c:v>7.2435137692795741E-4</c:v>
                </c:pt>
                <c:pt idx="9006">
                  <c:v>3.2810890778308381E-4</c:v>
                </c:pt>
                <c:pt idx="9007">
                  <c:v>9.7913998220304759E-4</c:v>
                </c:pt>
                <c:pt idx="9008">
                  <c:v>1.3206255759271931E-3</c:v>
                </c:pt>
                <c:pt idx="9009">
                  <c:v>1.0380415069395109E-3</c:v>
                </c:pt>
                <c:pt idx="9010">
                  <c:v>7.8903730838678239E-4</c:v>
                </c:pt>
                <c:pt idx="9011">
                  <c:v>8.7441072069850061E-4</c:v>
                </c:pt>
                <c:pt idx="9012">
                  <c:v>1.347241757162347E-3</c:v>
                </c:pt>
                <c:pt idx="9013">
                  <c:v>9.1022745076232742E-4</c:v>
                </c:pt>
                <c:pt idx="9014">
                  <c:v>6.6586894523138515E-4</c:v>
                </c:pt>
                <c:pt idx="9015">
                  <c:v>8.1575333943679389E-4</c:v>
                </c:pt>
                <c:pt idx="9016">
                  <c:v>7.9644900481676999E-4</c:v>
                </c:pt>
                <c:pt idx="9017">
                  <c:v>9.8033750455926954E-4</c:v>
                </c:pt>
                <c:pt idx="9018">
                  <c:v>1.0012870209149141E-3</c:v>
                </c:pt>
                <c:pt idx="9019">
                  <c:v>1.4048864014448595E-3</c:v>
                </c:pt>
                <c:pt idx="9020">
                  <c:v>6.4256422878946598E-4</c:v>
                </c:pt>
                <c:pt idx="9021">
                  <c:v>1.0076366374954791E-3</c:v>
                </c:pt>
                <c:pt idx="9022">
                  <c:v>1.057807500554763E-3</c:v>
                </c:pt>
                <c:pt idx="9023">
                  <c:v>6.4135666026557197E-4</c:v>
                </c:pt>
                <c:pt idx="9024">
                  <c:v>6.1821754864902813E-4</c:v>
                </c:pt>
                <c:pt idx="9025">
                  <c:v>7.5419673397104957E-4</c:v>
                </c:pt>
                <c:pt idx="9026">
                  <c:v>4.5765113050346573E-4</c:v>
                </c:pt>
                <c:pt idx="9027">
                  <c:v>9.8175309735657601E-5</c:v>
                </c:pt>
                <c:pt idx="9028">
                  <c:v>5.9947808176126873E-4</c:v>
                </c:pt>
                <c:pt idx="9029">
                  <c:v>1.0299821455956835E-3</c:v>
                </c:pt>
                <c:pt idx="9030">
                  <c:v>1.1103622167102918E-3</c:v>
                </c:pt>
                <c:pt idx="9031">
                  <c:v>9.422793739802982E-4</c:v>
                </c:pt>
                <c:pt idx="9032">
                  <c:v>3.7462481425132028E-4</c:v>
                </c:pt>
                <c:pt idx="9033">
                  <c:v>9.2718204211645868E-4</c:v>
                </c:pt>
                <c:pt idx="9034">
                  <c:v>1.1075562728934958E-3</c:v>
                </c:pt>
                <c:pt idx="9035">
                  <c:v>4.9492420144922296E-4</c:v>
                </c:pt>
                <c:pt idx="9036">
                  <c:v>7.208078735942647E-4</c:v>
                </c:pt>
                <c:pt idx="9037">
                  <c:v>1.0326980913749667E-3</c:v>
                </c:pt>
                <c:pt idx="9038">
                  <c:v>1.5903723511875184E-4</c:v>
                </c:pt>
                <c:pt idx="9039">
                  <c:v>9.6400228601039553E-4</c:v>
                </c:pt>
                <c:pt idx="9040">
                  <c:v>1.128349411294015E-3</c:v>
                </c:pt>
                <c:pt idx="9041">
                  <c:v>6.6805682991547075E-4</c:v>
                </c:pt>
                <c:pt idx="9042">
                  <c:v>1.192751594814942E-3</c:v>
                </c:pt>
                <c:pt idx="9043">
                  <c:v>1.1648513374446479E-3</c:v>
                </c:pt>
                <c:pt idx="9044">
                  <c:v>6.1573470291791642E-4</c:v>
                </c:pt>
                <c:pt idx="9045">
                  <c:v>8.076566869975151E-4</c:v>
                </c:pt>
                <c:pt idx="9046">
                  <c:v>7.3509746377695812E-4</c:v>
                </c:pt>
                <c:pt idx="9047">
                  <c:v>1.0078138697070639E-3</c:v>
                </c:pt>
                <c:pt idx="9048">
                  <c:v>3.6612871966963439E-4</c:v>
                </c:pt>
                <c:pt idx="9049">
                  <c:v>1.3016497966376031E-3</c:v>
                </c:pt>
                <c:pt idx="9050">
                  <c:v>9.4853214960186776E-4</c:v>
                </c:pt>
                <c:pt idx="9051">
                  <c:v>8.4278775520257041E-4</c:v>
                </c:pt>
                <c:pt idx="9052">
                  <c:v>1.0404477608950114E-3</c:v>
                </c:pt>
                <c:pt idx="9053">
                  <c:v>1.2391320792815607E-3</c:v>
                </c:pt>
                <c:pt idx="9054">
                  <c:v>5.8108432249002855E-4</c:v>
                </c:pt>
                <c:pt idx="9055">
                  <c:v>7.7869405565478928E-4</c:v>
                </c:pt>
                <c:pt idx="9056">
                  <c:v>9.2617012445780206E-4</c:v>
                </c:pt>
                <c:pt idx="9057">
                  <c:v>8.6150711466082995E-4</c:v>
                </c:pt>
                <c:pt idx="9058">
                  <c:v>1.5331971365176271E-3</c:v>
                </c:pt>
                <c:pt idx="9059">
                  <c:v>5.1590531442009097E-4</c:v>
                </c:pt>
                <c:pt idx="9060">
                  <c:v>9.1302913724084368E-4</c:v>
                </c:pt>
                <c:pt idx="9061">
                  <c:v>5.580885225264121E-4</c:v>
                </c:pt>
                <c:pt idx="9062">
                  <c:v>1.0704543452641636E-3</c:v>
                </c:pt>
                <c:pt idx="9063">
                  <c:v>4.8781354482598004E-4</c:v>
                </c:pt>
                <c:pt idx="9064">
                  <c:v>6.8609611806438441E-4</c:v>
                </c:pt>
                <c:pt idx="9065">
                  <c:v>4.5249621671973812E-4</c:v>
                </c:pt>
                <c:pt idx="9066">
                  <c:v>1.0219291965917691E-3</c:v>
                </c:pt>
                <c:pt idx="9067">
                  <c:v>1.3334239453758527E-3</c:v>
                </c:pt>
                <c:pt idx="9068">
                  <c:v>7.953962431918244E-4</c:v>
                </c:pt>
                <c:pt idx="9069">
                  <c:v>7.071873426101132E-4</c:v>
                </c:pt>
                <c:pt idx="9070">
                  <c:v>7.7037251057733829E-4</c:v>
                </c:pt>
                <c:pt idx="9071">
                  <c:v>1.2466548064242128E-3</c:v>
                </c:pt>
                <c:pt idx="9072">
                  <c:v>5.1207392072596459E-4</c:v>
                </c:pt>
                <c:pt idx="9073">
                  <c:v>7.6314855244212791E-4</c:v>
                </c:pt>
                <c:pt idx="9074">
                  <c:v>2.5834873152318278E-4</c:v>
                </c:pt>
                <c:pt idx="9075">
                  <c:v>9.5488060458244462E-4</c:v>
                </c:pt>
                <c:pt idx="9076">
                  <c:v>6.9677899864759854E-4</c:v>
                </c:pt>
                <c:pt idx="9077">
                  <c:v>1.0771996658279616E-3</c:v>
                </c:pt>
                <c:pt idx="9078">
                  <c:v>9.0928350998666237E-4</c:v>
                </c:pt>
                <c:pt idx="9079">
                  <c:v>9.7841371614005852E-4</c:v>
                </c:pt>
                <c:pt idx="9080">
                  <c:v>2.6651560992579953E-4</c:v>
                </c:pt>
                <c:pt idx="9081">
                  <c:v>6.0015584939390363E-4</c:v>
                </c:pt>
                <c:pt idx="9082">
                  <c:v>1.0793143150849872E-3</c:v>
                </c:pt>
                <c:pt idx="9083">
                  <c:v>6.9366633926648763E-4</c:v>
                </c:pt>
                <c:pt idx="9084">
                  <c:v>1.0149796676379491E-3</c:v>
                </c:pt>
                <c:pt idx="9085">
                  <c:v>8.4710169851448319E-4</c:v>
                </c:pt>
                <c:pt idx="9086">
                  <c:v>8.6757547737039895E-4</c:v>
                </c:pt>
                <c:pt idx="9087">
                  <c:v>1.3115408325186447E-3</c:v>
                </c:pt>
                <c:pt idx="9088">
                  <c:v>1.7467877349781516E-3</c:v>
                </c:pt>
                <c:pt idx="9089">
                  <c:v>8.9142268944273457E-4</c:v>
                </c:pt>
                <c:pt idx="9090">
                  <c:v>4.7546986149056097E-4</c:v>
                </c:pt>
                <c:pt idx="9091">
                  <c:v>1.0466607046196797E-3</c:v>
                </c:pt>
                <c:pt idx="9092">
                  <c:v>5.0855799099159985E-4</c:v>
                </c:pt>
                <c:pt idx="9093">
                  <c:v>8.3892933699115555E-4</c:v>
                </c:pt>
                <c:pt idx="9094">
                  <c:v>5.0028052108442439E-4</c:v>
                </c:pt>
                <c:pt idx="9095">
                  <c:v>9.8412633818168154E-4</c:v>
                </c:pt>
                <c:pt idx="9096">
                  <c:v>2.5755130226202987E-4</c:v>
                </c:pt>
                <c:pt idx="9097">
                  <c:v>9.8746301799506014E-4</c:v>
                </c:pt>
                <c:pt idx="9098">
                  <c:v>8.8380564835303856E-4</c:v>
                </c:pt>
                <c:pt idx="9099">
                  <c:v>6.7259449906308783E-4</c:v>
                </c:pt>
                <c:pt idx="9100">
                  <c:v>1.1395263388296608E-3</c:v>
                </c:pt>
                <c:pt idx="9101">
                  <c:v>1.5669178817683926E-3</c:v>
                </c:pt>
                <c:pt idx="9102">
                  <c:v>7.4511679095956411E-4</c:v>
                </c:pt>
                <c:pt idx="9103">
                  <c:v>9.8042853998093777E-4</c:v>
                </c:pt>
                <c:pt idx="9104">
                  <c:v>9.4620498145546938E-4</c:v>
                </c:pt>
                <c:pt idx="9105">
                  <c:v>1.081040917347549E-3</c:v>
                </c:pt>
                <c:pt idx="9106">
                  <c:v>4.8061441505641846E-4</c:v>
                </c:pt>
                <c:pt idx="9107">
                  <c:v>7.2853954187811069E-4</c:v>
                </c:pt>
                <c:pt idx="9108">
                  <c:v>6.7656790838942042E-4</c:v>
                </c:pt>
                <c:pt idx="9109">
                  <c:v>7.6601420007305131E-4</c:v>
                </c:pt>
                <c:pt idx="9110">
                  <c:v>4.50267799586227E-4</c:v>
                </c:pt>
                <c:pt idx="9111">
                  <c:v>1.8173001208001484E-4</c:v>
                </c:pt>
                <c:pt idx="9112">
                  <c:v>1.0353711925444227E-3</c:v>
                </c:pt>
                <c:pt idx="9113">
                  <c:v>1.0407407090248361E-3</c:v>
                </c:pt>
                <c:pt idx="9114">
                  <c:v>2.6283419835701141E-4</c:v>
                </c:pt>
                <c:pt idx="9115">
                  <c:v>4.803451735436473E-4</c:v>
                </c:pt>
                <c:pt idx="9116">
                  <c:v>1.3723319213288035E-3</c:v>
                </c:pt>
                <c:pt idx="9117">
                  <c:v>8.5081257698699719E-4</c:v>
                </c:pt>
                <c:pt idx="9118">
                  <c:v>1.0551388949873951E-3</c:v>
                </c:pt>
                <c:pt idx="9119">
                  <c:v>1.4569890893747124E-3</c:v>
                </c:pt>
                <c:pt idx="9120">
                  <c:v>8.6677041672087623E-4</c:v>
                </c:pt>
                <c:pt idx="9121">
                  <c:v>1.5412208123383206E-3</c:v>
                </c:pt>
                <c:pt idx="9122">
                  <c:v>5.083563613050711E-4</c:v>
                </c:pt>
                <c:pt idx="9123">
                  <c:v>1.4411465306967868E-3</c:v>
                </c:pt>
                <c:pt idx="9124">
                  <c:v>1.6192906569933161E-4</c:v>
                </c:pt>
                <c:pt idx="9125">
                  <c:v>5.3103480832768246E-4</c:v>
                </c:pt>
                <c:pt idx="9126">
                  <c:v>1.0808329888556706E-3</c:v>
                </c:pt>
                <c:pt idx="9127">
                  <c:v>1.0287657059404984E-3</c:v>
                </c:pt>
                <c:pt idx="9128">
                  <c:v>7.501195297646764E-4</c:v>
                </c:pt>
                <c:pt idx="9129">
                  <c:v>3.4502805573387199E-4</c:v>
                </c:pt>
                <c:pt idx="9130">
                  <c:v>1.1083781739282437E-3</c:v>
                </c:pt>
                <c:pt idx="9131">
                  <c:v>7.5530415796735842E-4</c:v>
                </c:pt>
                <c:pt idx="9132">
                  <c:v>6.3130952605265384E-4</c:v>
                </c:pt>
                <c:pt idx="9133">
                  <c:v>6.7331123911760235E-4</c:v>
                </c:pt>
                <c:pt idx="9134">
                  <c:v>7.967455700225775E-4</c:v>
                </c:pt>
                <c:pt idx="9135">
                  <c:v>9.3163294841293711E-4</c:v>
                </c:pt>
                <c:pt idx="9136">
                  <c:v>4.848930478833348E-4</c:v>
                </c:pt>
                <c:pt idx="9137">
                  <c:v>1.0628040479910158E-3</c:v>
                </c:pt>
                <c:pt idx="9138">
                  <c:v>7.7988072626128824E-4</c:v>
                </c:pt>
                <c:pt idx="9139">
                  <c:v>1.3124422265236812E-4</c:v>
                </c:pt>
                <c:pt idx="9140">
                  <c:v>1.1408745987980119E-3</c:v>
                </c:pt>
                <c:pt idx="9141">
                  <c:v>7.0409747650269732E-4</c:v>
                </c:pt>
                <c:pt idx="9142">
                  <c:v>9.651673404884873E-4</c:v>
                </c:pt>
                <c:pt idx="9143">
                  <c:v>1.0469977741978317E-3</c:v>
                </c:pt>
                <c:pt idx="9144">
                  <c:v>5.8869818423169557E-4</c:v>
                </c:pt>
                <c:pt idx="9145">
                  <c:v>1.0763904177034781E-3</c:v>
                </c:pt>
                <c:pt idx="9146">
                  <c:v>9.1541551372756216E-4</c:v>
                </c:pt>
                <c:pt idx="9147">
                  <c:v>1.0604922296131596E-3</c:v>
                </c:pt>
                <c:pt idx="9148">
                  <c:v>8.2794266835095132E-4</c:v>
                </c:pt>
                <c:pt idx="9149">
                  <c:v>6.646111962268752E-4</c:v>
                </c:pt>
                <c:pt idx="9150">
                  <c:v>1.1685925630011014E-3</c:v>
                </c:pt>
                <c:pt idx="9151">
                  <c:v>1.5068107274986574E-3</c:v>
                </c:pt>
                <c:pt idx="9152">
                  <c:v>5.2218547310048098E-4</c:v>
                </c:pt>
                <c:pt idx="9153">
                  <c:v>1.23030800996825E-3</c:v>
                </c:pt>
                <c:pt idx="9154">
                  <c:v>6.7967932337070227E-4</c:v>
                </c:pt>
                <c:pt idx="9155">
                  <c:v>7.9245890340262409E-4</c:v>
                </c:pt>
                <c:pt idx="9156">
                  <c:v>5.2640058824038783E-4</c:v>
                </c:pt>
                <c:pt idx="9157">
                  <c:v>9.7874320621861946E-4</c:v>
                </c:pt>
                <c:pt idx="9158">
                  <c:v>5.4104312108252915E-4</c:v>
                </c:pt>
                <c:pt idx="9159">
                  <c:v>5.0866296941839647E-4</c:v>
                </c:pt>
                <c:pt idx="9160">
                  <c:v>8.5093884181528705E-4</c:v>
                </c:pt>
                <c:pt idx="9161">
                  <c:v>1.18573268236846E-3</c:v>
                </c:pt>
                <c:pt idx="9162">
                  <c:v>8.8691318219266593E-4</c:v>
                </c:pt>
                <c:pt idx="9163">
                  <c:v>7.0867486153879979E-4</c:v>
                </c:pt>
                <c:pt idx="9164">
                  <c:v>6.3804015193368794E-4</c:v>
                </c:pt>
                <c:pt idx="9165">
                  <c:v>1.3670104877956E-3</c:v>
                </c:pt>
                <c:pt idx="9166">
                  <c:v>1.0209159959722518E-3</c:v>
                </c:pt>
                <c:pt idx="9167">
                  <c:v>1.0011400772300645E-3</c:v>
                </c:pt>
                <c:pt idx="9168">
                  <c:v>3.9351417182664533E-4</c:v>
                </c:pt>
                <c:pt idx="9169">
                  <c:v>1.1937795482108676E-3</c:v>
                </c:pt>
                <c:pt idx="9170">
                  <c:v>7.053926381918815E-4</c:v>
                </c:pt>
                <c:pt idx="9171">
                  <c:v>6.5551165684119277E-4</c:v>
                </c:pt>
                <c:pt idx="9172">
                  <c:v>9.0168843610359496E-4</c:v>
                </c:pt>
                <c:pt idx="9173">
                  <c:v>7.856309661909526E-4</c:v>
                </c:pt>
                <c:pt idx="9174">
                  <c:v>7.4901806956254328E-4</c:v>
                </c:pt>
                <c:pt idx="9175">
                  <c:v>6.3725023936017742E-4</c:v>
                </c:pt>
                <c:pt idx="9176">
                  <c:v>7.2175757234461924E-4</c:v>
                </c:pt>
                <c:pt idx="9177">
                  <c:v>1.0405059414782588E-3</c:v>
                </c:pt>
                <c:pt idx="9178">
                  <c:v>3.0962583646269263E-4</c:v>
                </c:pt>
                <c:pt idx="9179">
                  <c:v>6.5646283823751934E-4</c:v>
                </c:pt>
                <c:pt idx="9180">
                  <c:v>6.1170197977359903E-4</c:v>
                </c:pt>
                <c:pt idx="9181">
                  <c:v>6.5672973514090181E-4</c:v>
                </c:pt>
                <c:pt idx="9182">
                  <c:v>7.6684969037979229E-4</c:v>
                </c:pt>
                <c:pt idx="9183">
                  <c:v>2.6210513310382294E-4</c:v>
                </c:pt>
                <c:pt idx="9184">
                  <c:v>5.2072355874497375E-4</c:v>
                </c:pt>
                <c:pt idx="9185">
                  <c:v>7.9011751699873832E-4</c:v>
                </c:pt>
                <c:pt idx="9186">
                  <c:v>5.6429197137596802E-4</c:v>
                </c:pt>
                <c:pt idx="9187">
                  <c:v>1.142202612778452E-3</c:v>
                </c:pt>
                <c:pt idx="9188">
                  <c:v>7.3763347177427515E-4</c:v>
                </c:pt>
                <c:pt idx="9189">
                  <c:v>9.7165958310939881E-4</c:v>
                </c:pt>
                <c:pt idx="9190">
                  <c:v>8.9902287674769362E-4</c:v>
                </c:pt>
                <c:pt idx="9191">
                  <c:v>3.1817397003608731E-4</c:v>
                </c:pt>
                <c:pt idx="9192">
                  <c:v>5.2135624937494241E-4</c:v>
                </c:pt>
                <c:pt idx="9193">
                  <c:v>6.0081889154181328E-4</c:v>
                </c:pt>
                <c:pt idx="9194">
                  <c:v>8.2497060506446561E-4</c:v>
                </c:pt>
                <c:pt idx="9195">
                  <c:v>9.8374726452981633E-4</c:v>
                </c:pt>
                <c:pt idx="9196">
                  <c:v>6.529887028664229E-4</c:v>
                </c:pt>
                <c:pt idx="9197">
                  <c:v>6.5950891479873487E-4</c:v>
                </c:pt>
                <c:pt idx="9198">
                  <c:v>6.0624249374375584E-4</c:v>
                </c:pt>
                <c:pt idx="9199">
                  <c:v>5.7350905031347901E-4</c:v>
                </c:pt>
                <c:pt idx="9200">
                  <c:v>9.157900819430604E-4</c:v>
                </c:pt>
                <c:pt idx="9201">
                  <c:v>1.1303962894968083E-3</c:v>
                </c:pt>
                <c:pt idx="9202">
                  <c:v>8.4447113781891032E-4</c:v>
                </c:pt>
                <c:pt idx="9203">
                  <c:v>6.2829965220533913E-4</c:v>
                </c:pt>
                <c:pt idx="9204">
                  <c:v>7.7281022970296972E-4</c:v>
                </c:pt>
                <c:pt idx="9205">
                  <c:v>1.3977888836960756E-3</c:v>
                </c:pt>
                <c:pt idx="9206">
                  <c:v>1.230046290299711E-3</c:v>
                </c:pt>
                <c:pt idx="9207">
                  <c:v>1.2066167445141057E-3</c:v>
                </c:pt>
                <c:pt idx="9208">
                  <c:v>7.0418344988609392E-4</c:v>
                </c:pt>
                <c:pt idx="9209">
                  <c:v>9.4879610847444342E-4</c:v>
                </c:pt>
                <c:pt idx="9210">
                  <c:v>1.0802782501622365E-3</c:v>
                </c:pt>
                <c:pt idx="9211">
                  <c:v>6.710783712545078E-4</c:v>
                </c:pt>
                <c:pt idx="9212">
                  <c:v>8.5852982811819643E-4</c:v>
                </c:pt>
                <c:pt idx="9213">
                  <c:v>1.4472586158728517E-3</c:v>
                </c:pt>
                <c:pt idx="9214">
                  <c:v>1.2227639580875303E-3</c:v>
                </c:pt>
                <c:pt idx="9215">
                  <c:v>1.2738106173675852E-3</c:v>
                </c:pt>
                <c:pt idx="9216">
                  <c:v>3.7264141267263489E-4</c:v>
                </c:pt>
                <c:pt idx="9217">
                  <c:v>5.1420917107061824E-4</c:v>
                </c:pt>
                <c:pt idx="9218">
                  <c:v>6.0138559937678851E-4</c:v>
                </c:pt>
                <c:pt idx="9219">
                  <c:v>4.8046868773973057E-4</c:v>
                </c:pt>
                <c:pt idx="9220">
                  <c:v>1.1123972182715798E-3</c:v>
                </c:pt>
                <c:pt idx="9221">
                  <c:v>4.601967127583595E-4</c:v>
                </c:pt>
                <c:pt idx="9222">
                  <c:v>1.2661913662137408E-3</c:v>
                </c:pt>
                <c:pt idx="9223">
                  <c:v>4.7920734470236566E-4</c:v>
                </c:pt>
                <c:pt idx="9224">
                  <c:v>7.988639615978142E-4</c:v>
                </c:pt>
                <c:pt idx="9225">
                  <c:v>1.0452331791905114E-3</c:v>
                </c:pt>
                <c:pt idx="9226">
                  <c:v>5.0530359673251098E-4</c:v>
                </c:pt>
                <c:pt idx="9227">
                  <c:v>7.0714959853242589E-4</c:v>
                </c:pt>
                <c:pt idx="9228">
                  <c:v>1.0278297713172467E-3</c:v>
                </c:pt>
                <c:pt idx="9229">
                  <c:v>1.2456036899505852E-3</c:v>
                </c:pt>
                <c:pt idx="9230">
                  <c:v>7.982499372388112E-4</c:v>
                </c:pt>
                <c:pt idx="9231">
                  <c:v>5.9860233831211752E-4</c:v>
                </c:pt>
                <c:pt idx="9232">
                  <c:v>5.7486568957874462E-4</c:v>
                </c:pt>
                <c:pt idx="9233">
                  <c:v>9.1479996289269992E-4</c:v>
                </c:pt>
                <c:pt idx="9234">
                  <c:v>1.0641984595740855E-3</c:v>
                </c:pt>
                <c:pt idx="9235">
                  <c:v>5.8936455241674764E-4</c:v>
                </c:pt>
                <c:pt idx="9236">
                  <c:v>8.7466846139808738E-4</c:v>
                </c:pt>
                <c:pt idx="9237">
                  <c:v>8.9774587763616939E-4</c:v>
                </c:pt>
                <c:pt idx="9238">
                  <c:v>6.7697646848228945E-4</c:v>
                </c:pt>
                <c:pt idx="9239">
                  <c:v>8.3492319862521415E-4</c:v>
                </c:pt>
                <c:pt idx="9240">
                  <c:v>1.0046668636261029E-3</c:v>
                </c:pt>
                <c:pt idx="9241">
                  <c:v>9.6081305975494907E-4</c:v>
                </c:pt>
                <c:pt idx="9242">
                  <c:v>9.8793197830504553E-4</c:v>
                </c:pt>
                <c:pt idx="9243">
                  <c:v>3.0276086144412904E-4</c:v>
                </c:pt>
                <c:pt idx="9244">
                  <c:v>1.102329489696084E-3</c:v>
                </c:pt>
                <c:pt idx="9245">
                  <c:v>6.3475444501835405E-4</c:v>
                </c:pt>
                <c:pt idx="9246">
                  <c:v>1.7278137601648411E-5</c:v>
                </c:pt>
                <c:pt idx="9247">
                  <c:v>1.304673541954237E-3</c:v>
                </c:pt>
                <c:pt idx="9248">
                  <c:v>1.1358612420137751E-3</c:v>
                </c:pt>
                <c:pt idx="9249">
                  <c:v>6.1082711650219904E-4</c:v>
                </c:pt>
                <c:pt idx="9250">
                  <c:v>4.8566404146751997E-4</c:v>
                </c:pt>
                <c:pt idx="9251">
                  <c:v>3.1438482839641821E-4</c:v>
                </c:pt>
                <c:pt idx="9252">
                  <c:v>4.1604370019779406E-4</c:v>
                </c:pt>
                <c:pt idx="9253">
                  <c:v>6.3573315785227799E-4</c:v>
                </c:pt>
                <c:pt idx="9254">
                  <c:v>9.5978027204512105E-4</c:v>
                </c:pt>
                <c:pt idx="9255">
                  <c:v>7.3018664059503694E-4</c:v>
                </c:pt>
                <c:pt idx="9256">
                  <c:v>8.41600885641898E-4</c:v>
                </c:pt>
                <c:pt idx="9257">
                  <c:v>7.0801574439491744E-4</c:v>
                </c:pt>
                <c:pt idx="9258">
                  <c:v>5.2475770372041662E-4</c:v>
                </c:pt>
                <c:pt idx="9259">
                  <c:v>1.4965968041034781E-4</c:v>
                </c:pt>
                <c:pt idx="9260">
                  <c:v>5.1273027894144154E-4</c:v>
                </c:pt>
                <c:pt idx="9261">
                  <c:v>8.4662783438523264E-4</c:v>
                </c:pt>
                <c:pt idx="9262">
                  <c:v>1.1236306389907785E-3</c:v>
                </c:pt>
                <c:pt idx="9263">
                  <c:v>1.0753190287069744E-3</c:v>
                </c:pt>
                <c:pt idx="9264">
                  <c:v>9.1698422801995126E-4</c:v>
                </c:pt>
                <c:pt idx="9265">
                  <c:v>9.3453944436549749E-4</c:v>
                </c:pt>
                <c:pt idx="9266">
                  <c:v>8.7466130667590656E-4</c:v>
                </c:pt>
                <c:pt idx="9267">
                  <c:v>1.0172903413812259E-3</c:v>
                </c:pt>
                <c:pt idx="9268">
                  <c:v>8.4758893435349922E-4</c:v>
                </c:pt>
                <c:pt idx="9269">
                  <c:v>6.8356598184970659E-4</c:v>
                </c:pt>
                <c:pt idx="9270">
                  <c:v>8.5288639535556249E-4</c:v>
                </c:pt>
                <c:pt idx="9271">
                  <c:v>7.9944298571805355E-4</c:v>
                </c:pt>
                <c:pt idx="9272">
                  <c:v>5.2476252913824322E-4</c:v>
                </c:pt>
                <c:pt idx="9273">
                  <c:v>3.2748080955371053E-4</c:v>
                </c:pt>
                <c:pt idx="9274">
                  <c:v>9.346087846989462E-4</c:v>
                </c:pt>
                <c:pt idx="9275">
                  <c:v>8.2927998247792631E-4</c:v>
                </c:pt>
                <c:pt idx="9276">
                  <c:v>6.0562644763463515E-4</c:v>
                </c:pt>
                <c:pt idx="9277">
                  <c:v>8.6406008100996874E-4</c:v>
                </c:pt>
                <c:pt idx="9278">
                  <c:v>9.0637230817787592E-4</c:v>
                </c:pt>
                <c:pt idx="9279">
                  <c:v>8.8673523495339944E-4</c:v>
                </c:pt>
                <c:pt idx="9280">
                  <c:v>9.9736891619886525E-4</c:v>
                </c:pt>
                <c:pt idx="9281">
                  <c:v>1.0379858050442894E-3</c:v>
                </c:pt>
                <c:pt idx="9282">
                  <c:v>6.0904029170145871E-4</c:v>
                </c:pt>
                <c:pt idx="9283">
                  <c:v>1.8904198693449263E-3</c:v>
                </c:pt>
                <c:pt idx="9284">
                  <c:v>1.1646757702968207E-3</c:v>
                </c:pt>
                <c:pt idx="9285">
                  <c:v>3.9820458287116381E-4</c:v>
                </c:pt>
                <c:pt idx="9286">
                  <c:v>9.9042223440877724E-4</c:v>
                </c:pt>
                <c:pt idx="9287">
                  <c:v>1.0373257731206165E-3</c:v>
                </c:pt>
                <c:pt idx="9288">
                  <c:v>5.0132496343511059E-4</c:v>
                </c:pt>
                <c:pt idx="9289">
                  <c:v>1.0019312065183508E-3</c:v>
                </c:pt>
                <c:pt idx="9290">
                  <c:v>1.3478924208551496E-3</c:v>
                </c:pt>
                <c:pt idx="9291">
                  <c:v>8.0828196803453469E-4</c:v>
                </c:pt>
                <c:pt idx="9292">
                  <c:v>8.4154498825662687E-4</c:v>
                </c:pt>
                <c:pt idx="9293">
                  <c:v>1.1526600636035077E-3</c:v>
                </c:pt>
                <c:pt idx="9294">
                  <c:v>2.8060819037214232E-4</c:v>
                </c:pt>
                <c:pt idx="9295">
                  <c:v>3.5820207171359135E-4</c:v>
                </c:pt>
                <c:pt idx="9296">
                  <c:v>1.359109748953395E-3</c:v>
                </c:pt>
                <c:pt idx="9297">
                  <c:v>6.5776816651789917E-4</c:v>
                </c:pt>
                <c:pt idx="9298">
                  <c:v>7.1867194742249857E-4</c:v>
                </c:pt>
                <c:pt idx="9299">
                  <c:v>6.8901002371356095E-4</c:v>
                </c:pt>
                <c:pt idx="9300">
                  <c:v>4.693906696094654E-4</c:v>
                </c:pt>
                <c:pt idx="9301">
                  <c:v>1.1477349067774256E-3</c:v>
                </c:pt>
                <c:pt idx="9302">
                  <c:v>8.1783837670037877E-4</c:v>
                </c:pt>
                <c:pt idx="9303">
                  <c:v>5.1661997241618312E-4</c:v>
                </c:pt>
                <c:pt idx="9304">
                  <c:v>1.1420310430174403E-3</c:v>
                </c:pt>
                <c:pt idx="9305">
                  <c:v>8.3728693659685229E-4</c:v>
                </c:pt>
                <c:pt idx="9306">
                  <c:v>7.4992929078206377E-4</c:v>
                </c:pt>
                <c:pt idx="9307">
                  <c:v>4.9026556041011343E-4</c:v>
                </c:pt>
                <c:pt idx="9308">
                  <c:v>7.998958603611878E-4</c:v>
                </c:pt>
                <c:pt idx="9309">
                  <c:v>1.0374964072526469E-3</c:v>
                </c:pt>
                <c:pt idx="9310">
                  <c:v>6.4171329026596136E-4</c:v>
                </c:pt>
                <c:pt idx="9311">
                  <c:v>8.0565130964183724E-4</c:v>
                </c:pt>
                <c:pt idx="9312">
                  <c:v>1.0367789136548123E-3</c:v>
                </c:pt>
                <c:pt idx="9313">
                  <c:v>1.1102412981401624E-3</c:v>
                </c:pt>
                <c:pt idx="9314">
                  <c:v>1.3580967438400243E-3</c:v>
                </c:pt>
                <c:pt idx="9315">
                  <c:v>8.5394365944098112E-4</c:v>
                </c:pt>
                <c:pt idx="9316">
                  <c:v>8.1895001263501362E-4</c:v>
                </c:pt>
                <c:pt idx="9317">
                  <c:v>6.9688548766942443E-4</c:v>
                </c:pt>
                <c:pt idx="9318">
                  <c:v>7.1595404014687929E-4</c:v>
                </c:pt>
                <c:pt idx="9319">
                  <c:v>1.1069582772657938E-3</c:v>
                </c:pt>
                <c:pt idx="9320">
                  <c:v>1.0222133219279471E-3</c:v>
                </c:pt>
                <c:pt idx="9321">
                  <c:v>1.1226229461284273E-3</c:v>
                </c:pt>
                <c:pt idx="9322">
                  <c:v>5.5072854599595722E-4</c:v>
                </c:pt>
                <c:pt idx="9323">
                  <c:v>6.6722305478272707E-4</c:v>
                </c:pt>
                <c:pt idx="9324">
                  <c:v>6.7326702851916876E-4</c:v>
                </c:pt>
                <c:pt idx="9325">
                  <c:v>1.1878629476858196E-3</c:v>
                </c:pt>
                <c:pt idx="9326">
                  <c:v>5.4800893569351735E-4</c:v>
                </c:pt>
                <c:pt idx="9327">
                  <c:v>8.1391967262206186E-4</c:v>
                </c:pt>
                <c:pt idx="9328">
                  <c:v>5.0661227356424594E-4</c:v>
                </c:pt>
                <c:pt idx="9329">
                  <c:v>9.3855706273382304E-4</c:v>
                </c:pt>
                <c:pt idx="9330">
                  <c:v>4.7299294618424769E-4</c:v>
                </c:pt>
                <c:pt idx="9331">
                  <c:v>3.4389207568545513E-4</c:v>
                </c:pt>
                <c:pt idx="9332">
                  <c:v>8.5386026555779647E-4</c:v>
                </c:pt>
                <c:pt idx="9333">
                  <c:v>3.7032437155305709E-4</c:v>
                </c:pt>
                <c:pt idx="9334">
                  <c:v>4.378234527486025E-4</c:v>
                </c:pt>
                <c:pt idx="9335">
                  <c:v>7.6534872992774835E-4</c:v>
                </c:pt>
                <c:pt idx="9336">
                  <c:v>3.7002315937165506E-4</c:v>
                </c:pt>
                <c:pt idx="9337">
                  <c:v>7.1338644502840756E-4</c:v>
                </c:pt>
                <c:pt idx="9338">
                  <c:v>6.3498479553216532E-4</c:v>
                </c:pt>
                <c:pt idx="9339">
                  <c:v>9.8120237427228355E-4</c:v>
                </c:pt>
                <c:pt idx="9340">
                  <c:v>7.7609369158795829E-4</c:v>
                </c:pt>
                <c:pt idx="9341">
                  <c:v>7.063489911323178E-4</c:v>
                </c:pt>
                <c:pt idx="9342">
                  <c:v>8.8173424028842426E-4</c:v>
                </c:pt>
                <c:pt idx="9343">
                  <c:v>9.423150352834038E-4</c:v>
                </c:pt>
                <c:pt idx="9344">
                  <c:v>1.4331122752567736E-4</c:v>
                </c:pt>
                <c:pt idx="9345">
                  <c:v>9.4188777141502526E-4</c:v>
                </c:pt>
                <c:pt idx="9346">
                  <c:v>1.4983193912782447E-3</c:v>
                </c:pt>
                <c:pt idx="9347">
                  <c:v>5.0200494917483044E-4</c:v>
                </c:pt>
                <c:pt idx="9348">
                  <c:v>6.292240486033201E-4</c:v>
                </c:pt>
                <c:pt idx="9349">
                  <c:v>5.5121547177077465E-4</c:v>
                </c:pt>
                <c:pt idx="9350">
                  <c:v>2.8764364040660556E-5</c:v>
                </c:pt>
                <c:pt idx="9351">
                  <c:v>1.6420280063585691E-3</c:v>
                </c:pt>
                <c:pt idx="9352">
                  <c:v>5.1918732663842459E-4</c:v>
                </c:pt>
                <c:pt idx="9353">
                  <c:v>9.6510428627286332E-4</c:v>
                </c:pt>
                <c:pt idx="9354">
                  <c:v>1.0444952985356861E-3</c:v>
                </c:pt>
                <c:pt idx="9355">
                  <c:v>9.5543089007021052E-4</c:v>
                </c:pt>
                <c:pt idx="9356">
                  <c:v>8.220869472095123E-4</c:v>
                </c:pt>
                <c:pt idx="9357">
                  <c:v>3.4779994920943965E-4</c:v>
                </c:pt>
                <c:pt idx="9358">
                  <c:v>4.3257577288883728E-4</c:v>
                </c:pt>
                <c:pt idx="9359">
                  <c:v>4.4961041877931876E-4</c:v>
                </c:pt>
                <c:pt idx="9360">
                  <c:v>1.7917915580723787E-4</c:v>
                </c:pt>
                <c:pt idx="9361">
                  <c:v>8.0908324943603513E-4</c:v>
                </c:pt>
                <c:pt idx="9362">
                  <c:v>1.3076946947127794E-3</c:v>
                </c:pt>
                <c:pt idx="9363">
                  <c:v>9.7372161600136026E-4</c:v>
                </c:pt>
                <c:pt idx="9364">
                  <c:v>9.4004442772711362E-4</c:v>
                </c:pt>
                <c:pt idx="9365">
                  <c:v>9.7221495703717477E-4</c:v>
                </c:pt>
                <c:pt idx="9366">
                  <c:v>5.5178832954852681E-4</c:v>
                </c:pt>
                <c:pt idx="9367">
                  <c:v>4.6605336301991178E-4</c:v>
                </c:pt>
                <c:pt idx="9368">
                  <c:v>7.9867238859097597E-4</c:v>
                </c:pt>
                <c:pt idx="9369">
                  <c:v>1.0570090202092575E-3</c:v>
                </c:pt>
                <c:pt idx="9370">
                  <c:v>9.9310934843256041E-4</c:v>
                </c:pt>
                <c:pt idx="9371">
                  <c:v>9.1700525255986823E-4</c:v>
                </c:pt>
                <c:pt idx="9372">
                  <c:v>5.9698329503120242E-4</c:v>
                </c:pt>
                <c:pt idx="9373">
                  <c:v>1.0115563787382359E-3</c:v>
                </c:pt>
                <c:pt idx="9374">
                  <c:v>1.2733206065860924E-3</c:v>
                </c:pt>
                <c:pt idx="9375">
                  <c:v>1.1858405305710099E-3</c:v>
                </c:pt>
                <c:pt idx="9376">
                  <c:v>2.6767261229163763E-4</c:v>
                </c:pt>
                <c:pt idx="9377">
                  <c:v>1.0850301918049286E-3</c:v>
                </c:pt>
                <c:pt idx="9378">
                  <c:v>8.7636856480744526E-4</c:v>
                </c:pt>
                <c:pt idx="9379">
                  <c:v>1.3287760992286859E-3</c:v>
                </c:pt>
                <c:pt idx="9380">
                  <c:v>8.0272630059575675E-4</c:v>
                </c:pt>
                <c:pt idx="9381">
                  <c:v>1.8386140571883102E-3</c:v>
                </c:pt>
                <c:pt idx="9382">
                  <c:v>8.4500325872013612E-4</c:v>
                </c:pt>
                <c:pt idx="9383">
                  <c:v>9.4959165504701929E-4</c:v>
                </c:pt>
                <c:pt idx="9384">
                  <c:v>1.6302861774160485E-3</c:v>
                </c:pt>
                <c:pt idx="9385">
                  <c:v>1.163037391183192E-3</c:v>
                </c:pt>
                <c:pt idx="9386">
                  <c:v>1.1574932579141418E-3</c:v>
                </c:pt>
                <c:pt idx="9387">
                  <c:v>3.1242014569409448E-4</c:v>
                </c:pt>
                <c:pt idx="9388">
                  <c:v>1.0841847899423509E-3</c:v>
                </c:pt>
                <c:pt idx="9389">
                  <c:v>9.8138494544242516E-4</c:v>
                </c:pt>
                <c:pt idx="9390">
                  <c:v>7.6353745235637263E-4</c:v>
                </c:pt>
                <c:pt idx="9391">
                  <c:v>7.2503245698812813E-4</c:v>
                </c:pt>
                <c:pt idx="9392">
                  <c:v>9.2393361990090821E-4</c:v>
                </c:pt>
                <c:pt idx="9393">
                  <c:v>2.0263049117038602E-4</c:v>
                </c:pt>
                <c:pt idx="9394">
                  <c:v>8.7425238741726326E-4</c:v>
                </c:pt>
                <c:pt idx="9395">
                  <c:v>1.1545286768944289E-3</c:v>
                </c:pt>
                <c:pt idx="9396">
                  <c:v>7.5123802772665907E-4</c:v>
                </c:pt>
                <c:pt idx="9397">
                  <c:v>9.3472306035619459E-4</c:v>
                </c:pt>
                <c:pt idx="9398">
                  <c:v>7.2191497010906376E-4</c:v>
                </c:pt>
                <c:pt idx="9399">
                  <c:v>5.4119988717021199E-4</c:v>
                </c:pt>
                <c:pt idx="9400">
                  <c:v>8.3367490753275225E-4</c:v>
                </c:pt>
                <c:pt idx="9401">
                  <c:v>1.1093642712493566E-3</c:v>
                </c:pt>
                <c:pt idx="9402">
                  <c:v>7.4141320974183567E-4</c:v>
                </c:pt>
                <c:pt idx="9403">
                  <c:v>2.605277770241342E-4</c:v>
                </c:pt>
                <c:pt idx="9404">
                  <c:v>3.1711815807151071E-4</c:v>
                </c:pt>
                <c:pt idx="9405">
                  <c:v>1.4906486874685084E-3</c:v>
                </c:pt>
                <c:pt idx="9406">
                  <c:v>1.2885285468280704E-3</c:v>
                </c:pt>
                <c:pt idx="9407">
                  <c:v>8.5820446778656035E-4</c:v>
                </c:pt>
                <c:pt idx="9408">
                  <c:v>9.0989600507797677E-4</c:v>
                </c:pt>
                <c:pt idx="9409">
                  <c:v>4.5926409833747789E-4</c:v>
                </c:pt>
                <c:pt idx="9410">
                  <c:v>7.3708352479163097E-4</c:v>
                </c:pt>
                <c:pt idx="9411">
                  <c:v>1.020666111126285E-3</c:v>
                </c:pt>
                <c:pt idx="9412">
                  <c:v>8.3886158394000994E-4</c:v>
                </c:pt>
                <c:pt idx="9413">
                  <c:v>6.7349624120418097E-4</c:v>
                </c:pt>
                <c:pt idx="9414">
                  <c:v>1.0202447106822067E-3</c:v>
                </c:pt>
                <c:pt idx="9415">
                  <c:v>1.1793431850999879E-3</c:v>
                </c:pt>
                <c:pt idx="9416">
                  <c:v>6.4754952030454866E-4</c:v>
                </c:pt>
                <c:pt idx="9417">
                  <c:v>1.2427028910676878E-3</c:v>
                </c:pt>
                <c:pt idx="9418">
                  <c:v>1.0735151597147034E-3</c:v>
                </c:pt>
                <c:pt idx="9419">
                  <c:v>8.7463511955253011E-4</c:v>
                </c:pt>
                <c:pt idx="9420">
                  <c:v>1.573432233109046E-3</c:v>
                </c:pt>
                <c:pt idx="9421">
                  <c:v>9.9526770769205425E-4</c:v>
                </c:pt>
                <c:pt idx="9422">
                  <c:v>4.1148509236075512E-4</c:v>
                </c:pt>
                <c:pt idx="9423">
                  <c:v>1.1443339679068324E-3</c:v>
                </c:pt>
                <c:pt idx="9424">
                  <c:v>9.3290080048407807E-4</c:v>
                </c:pt>
                <c:pt idx="9425">
                  <c:v>4.1326277248545696E-4</c:v>
                </c:pt>
                <c:pt idx="9426">
                  <c:v>7.9179334573521601E-4</c:v>
                </c:pt>
                <c:pt idx="9427">
                  <c:v>9.0253199444515072E-4</c:v>
                </c:pt>
                <c:pt idx="9428">
                  <c:v>5.7315150135267253E-4</c:v>
                </c:pt>
                <c:pt idx="9429">
                  <c:v>2.0702190880082308E-4</c:v>
                </c:pt>
                <c:pt idx="9430">
                  <c:v>1.1011545493824545E-3</c:v>
                </c:pt>
                <c:pt idx="9431">
                  <c:v>1.6687285551342728E-4</c:v>
                </c:pt>
                <c:pt idx="9432">
                  <c:v>3.9812047669641505E-4</c:v>
                </c:pt>
                <c:pt idx="9433">
                  <c:v>7.3158653462050531E-4</c:v>
                </c:pt>
                <c:pt idx="9434">
                  <c:v>8.0398322140389845E-4</c:v>
                </c:pt>
                <c:pt idx="9435">
                  <c:v>1.1426341298086287E-3</c:v>
                </c:pt>
                <c:pt idx="9436">
                  <c:v>6.6726915433813674E-4</c:v>
                </c:pt>
                <c:pt idx="9437">
                  <c:v>1.2136563855093879E-3</c:v>
                </c:pt>
                <c:pt idx="9438">
                  <c:v>9.418964719395983E-4</c:v>
                </c:pt>
                <c:pt idx="9439">
                  <c:v>1.0291118985862242E-3</c:v>
                </c:pt>
                <c:pt idx="9440">
                  <c:v>6.7125463892486336E-4</c:v>
                </c:pt>
                <c:pt idx="9441">
                  <c:v>9.9891253561564973E-4</c:v>
                </c:pt>
                <c:pt idx="9442">
                  <c:v>1.7251016036706659E-3</c:v>
                </c:pt>
                <c:pt idx="9443">
                  <c:v>9.430215739609011E-4</c:v>
                </c:pt>
                <c:pt idx="9444">
                  <c:v>6.7288430022076774E-4</c:v>
                </c:pt>
                <c:pt idx="9445">
                  <c:v>7.8776804502175347E-4</c:v>
                </c:pt>
                <c:pt idx="9446">
                  <c:v>8.0906170646632882E-4</c:v>
                </c:pt>
                <c:pt idx="9447">
                  <c:v>4.9368907024540493E-4</c:v>
                </c:pt>
                <c:pt idx="9448">
                  <c:v>9.028092059902307E-4</c:v>
                </c:pt>
                <c:pt idx="9449">
                  <c:v>5.1559537846910879E-4</c:v>
                </c:pt>
                <c:pt idx="9450">
                  <c:v>9.5672406667279451E-4</c:v>
                </c:pt>
                <c:pt idx="9451">
                  <c:v>1.0975615909806957E-3</c:v>
                </c:pt>
                <c:pt idx="9452">
                  <c:v>5.2637584958695389E-4</c:v>
                </c:pt>
                <c:pt idx="9453">
                  <c:v>1.1652619783856489E-3</c:v>
                </c:pt>
                <c:pt idx="9454">
                  <c:v>1.3445114045582142E-3</c:v>
                </c:pt>
                <c:pt idx="9455">
                  <c:v>8.3424701125248894E-4</c:v>
                </c:pt>
                <c:pt idx="9456">
                  <c:v>4.6440995275664657E-4</c:v>
                </c:pt>
                <c:pt idx="9457">
                  <c:v>6.7659428900233084E-4</c:v>
                </c:pt>
                <c:pt idx="9458">
                  <c:v>7.5907967031717109E-4</c:v>
                </c:pt>
                <c:pt idx="9459">
                  <c:v>7.6585597790862741E-4</c:v>
                </c:pt>
                <c:pt idx="9460">
                  <c:v>1.0219321026644355E-3</c:v>
                </c:pt>
                <c:pt idx="9461">
                  <c:v>1.039489683419492E-3</c:v>
                </c:pt>
                <c:pt idx="9462">
                  <c:v>1.2147440958998259E-3</c:v>
                </c:pt>
                <c:pt idx="9463">
                  <c:v>8.3492050516623822E-4</c:v>
                </c:pt>
                <c:pt idx="9464">
                  <c:v>6.5108824999079561E-4</c:v>
                </c:pt>
                <c:pt idx="9465">
                  <c:v>7.3837682611588263E-4</c:v>
                </c:pt>
                <c:pt idx="9466">
                  <c:v>8.1956148092481593E-4</c:v>
                </c:pt>
                <c:pt idx="9467">
                  <c:v>1.3660064002351787E-3</c:v>
                </c:pt>
                <c:pt idx="9468">
                  <c:v>9.2189566137332096E-4</c:v>
                </c:pt>
                <c:pt idx="9469">
                  <c:v>1.2176392114283347E-3</c:v>
                </c:pt>
                <c:pt idx="9470">
                  <c:v>8.9409475543536553E-4</c:v>
                </c:pt>
                <c:pt idx="9471">
                  <c:v>8.4838101429474924E-4</c:v>
                </c:pt>
                <c:pt idx="9472">
                  <c:v>1.1964696360985611E-3</c:v>
                </c:pt>
                <c:pt idx="9473">
                  <c:v>8.2230306712930638E-4</c:v>
                </c:pt>
                <c:pt idx="9474">
                  <c:v>1.1648377572344498E-3</c:v>
                </c:pt>
                <c:pt idx="9475">
                  <c:v>1.4486593977253823E-3</c:v>
                </c:pt>
                <c:pt idx="9476">
                  <c:v>7.5235700378655098E-4</c:v>
                </c:pt>
                <c:pt idx="9477">
                  <c:v>8.4616578109214622E-4</c:v>
                </c:pt>
                <c:pt idx="9478">
                  <c:v>8.170660436573261E-5</c:v>
                </c:pt>
                <c:pt idx="9479">
                  <c:v>1.529173491694165E-3</c:v>
                </c:pt>
                <c:pt idx="9480">
                  <c:v>1.0182412289936563E-3</c:v>
                </c:pt>
                <c:pt idx="9481">
                  <c:v>4.3138124790480649E-4</c:v>
                </c:pt>
                <c:pt idx="9482">
                  <c:v>6.8766498377434264E-4</c:v>
                </c:pt>
                <c:pt idx="9483">
                  <c:v>7.9941113820579846E-4</c:v>
                </c:pt>
                <c:pt idx="9484">
                  <c:v>8.1086393136469142E-4</c:v>
                </c:pt>
                <c:pt idx="9485">
                  <c:v>1.0853440637831914E-3</c:v>
                </c:pt>
                <c:pt idx="9486">
                  <c:v>6.1057583758763502E-4</c:v>
                </c:pt>
                <c:pt idx="9487">
                  <c:v>1.7448882743471522E-3</c:v>
                </c:pt>
                <c:pt idx="9488">
                  <c:v>4.0886420286870859E-4</c:v>
                </c:pt>
                <c:pt idx="9489">
                  <c:v>9.4445187892114443E-4</c:v>
                </c:pt>
                <c:pt idx="9490">
                  <c:v>1.0773837142590236E-3</c:v>
                </c:pt>
                <c:pt idx="9491">
                  <c:v>1.4563054419115E-3</c:v>
                </c:pt>
                <c:pt idx="9492">
                  <c:v>2.7007468666671094E-4</c:v>
                </c:pt>
                <c:pt idx="9493">
                  <c:v>7.1400588941570523E-4</c:v>
                </c:pt>
                <c:pt idx="9494">
                  <c:v>6.0929557395350445E-4</c:v>
                </c:pt>
                <c:pt idx="9495">
                  <c:v>7.0732977465546871E-4</c:v>
                </c:pt>
                <c:pt idx="9496">
                  <c:v>7.4657420807201541E-4</c:v>
                </c:pt>
                <c:pt idx="9497">
                  <c:v>1.1795479306109288E-3</c:v>
                </c:pt>
                <c:pt idx="9498">
                  <c:v>6.2007252028138985E-4</c:v>
                </c:pt>
                <c:pt idx="9499">
                  <c:v>1.2144473082488284E-3</c:v>
                </c:pt>
                <c:pt idx="9500">
                  <c:v>1.2099878139917569E-3</c:v>
                </c:pt>
                <c:pt idx="9501">
                  <c:v>4.8153489242169935E-4</c:v>
                </c:pt>
                <c:pt idx="9502">
                  <c:v>2.7189259210163034E-4</c:v>
                </c:pt>
                <c:pt idx="9503">
                  <c:v>1.0473064816616594E-3</c:v>
                </c:pt>
                <c:pt idx="9504">
                  <c:v>8.599795512615391E-4</c:v>
                </c:pt>
                <c:pt idx="9505">
                  <c:v>6.4430412231164535E-4</c:v>
                </c:pt>
                <c:pt idx="9506">
                  <c:v>1.1263471084299143E-3</c:v>
                </c:pt>
                <c:pt idx="9507">
                  <c:v>1.0121668085865758E-3</c:v>
                </c:pt>
                <c:pt idx="9508">
                  <c:v>1.1121799006901104E-3</c:v>
                </c:pt>
                <c:pt idx="9509">
                  <c:v>1.0389519557155702E-3</c:v>
                </c:pt>
                <c:pt idx="9510">
                  <c:v>1.3736924638637559E-3</c:v>
                </c:pt>
                <c:pt idx="9511">
                  <c:v>3.6238635850873065E-4</c:v>
                </c:pt>
                <c:pt idx="9512">
                  <c:v>1.0578007887999639E-3</c:v>
                </c:pt>
                <c:pt idx="9513">
                  <c:v>8.6503503309200472E-4</c:v>
                </c:pt>
                <c:pt idx="9514">
                  <c:v>5.9604987279982099E-4</c:v>
                </c:pt>
                <c:pt idx="9515">
                  <c:v>4.0767849306831537E-4</c:v>
                </c:pt>
                <c:pt idx="9516">
                  <c:v>8.8376410738383836E-4</c:v>
                </c:pt>
                <c:pt idx="9517">
                  <c:v>1.0178640837274593E-3</c:v>
                </c:pt>
                <c:pt idx="9518">
                  <c:v>2.8715149217158601E-4</c:v>
                </c:pt>
                <c:pt idx="9519">
                  <c:v>6.8288288139558835E-4</c:v>
                </c:pt>
                <c:pt idx="9520">
                  <c:v>8.5379544206087171E-4</c:v>
                </c:pt>
                <c:pt idx="9521">
                  <c:v>8.4181545345730804E-4</c:v>
                </c:pt>
                <c:pt idx="9522">
                  <c:v>9.7445817948953206E-4</c:v>
                </c:pt>
                <c:pt idx="9523">
                  <c:v>1.4199303997675528E-3</c:v>
                </c:pt>
                <c:pt idx="9524">
                  <c:v>1.0545443507640807E-3</c:v>
                </c:pt>
                <c:pt idx="9525">
                  <c:v>7.8616922159648408E-4</c:v>
                </c:pt>
                <c:pt idx="9526">
                  <c:v>1.3440629786222488E-3</c:v>
                </c:pt>
                <c:pt idx="9527">
                  <c:v>1.5770218106124305E-3</c:v>
                </c:pt>
                <c:pt idx="9528">
                  <c:v>3.7749238065981595E-4</c:v>
                </c:pt>
                <c:pt idx="9529">
                  <c:v>1.2012023171786531E-3</c:v>
                </c:pt>
                <c:pt idx="9530">
                  <c:v>9.5302843650957715E-4</c:v>
                </c:pt>
                <c:pt idx="9531">
                  <c:v>5.1139468973657285E-4</c:v>
                </c:pt>
                <c:pt idx="9532">
                  <c:v>1.0548647306553879E-3</c:v>
                </c:pt>
                <c:pt idx="9533">
                  <c:v>1.5071761028076947E-3</c:v>
                </c:pt>
                <c:pt idx="9534">
                  <c:v>6.8934975282218135E-4</c:v>
                </c:pt>
                <c:pt idx="9535">
                  <c:v>1.0049843222553784E-3</c:v>
                </c:pt>
                <c:pt idx="9536">
                  <c:v>1.1254710161072623E-3</c:v>
                </c:pt>
                <c:pt idx="9537">
                  <c:v>3.9909066046137738E-4</c:v>
                </c:pt>
                <c:pt idx="9538">
                  <c:v>3.578159055384656E-4</c:v>
                </c:pt>
                <c:pt idx="9539">
                  <c:v>9.362540597176363E-4</c:v>
                </c:pt>
                <c:pt idx="9540">
                  <c:v>4.6695090312639305E-4</c:v>
                </c:pt>
                <c:pt idx="9541">
                  <c:v>9.518373932575683E-4</c:v>
                </c:pt>
                <c:pt idx="9542">
                  <c:v>1.0218845708455286E-3</c:v>
                </c:pt>
                <c:pt idx="9543">
                  <c:v>1.5053772587389558E-3</c:v>
                </c:pt>
                <c:pt idx="9544">
                  <c:v>1.0306811954004607E-3</c:v>
                </c:pt>
                <c:pt idx="9545">
                  <c:v>9.1981978841468889E-4</c:v>
                </c:pt>
                <c:pt idx="9546">
                  <c:v>5.2032931750084098E-4</c:v>
                </c:pt>
                <c:pt idx="9547">
                  <c:v>1.2469940563222407E-3</c:v>
                </c:pt>
                <c:pt idx="9548">
                  <c:v>7.1065916830272754E-4</c:v>
                </c:pt>
                <c:pt idx="9549">
                  <c:v>6.4369970703419678E-4</c:v>
                </c:pt>
                <c:pt idx="9550">
                  <c:v>8.7226332729267134E-4</c:v>
                </c:pt>
                <c:pt idx="9551">
                  <c:v>9.6582276349526969E-4</c:v>
                </c:pt>
                <c:pt idx="9552">
                  <c:v>8.37786511977866E-4</c:v>
                </c:pt>
                <c:pt idx="9553">
                  <c:v>8.5217227740006321E-4</c:v>
                </c:pt>
                <c:pt idx="9554">
                  <c:v>5.2847289044195421E-4</c:v>
                </c:pt>
                <c:pt idx="9555">
                  <c:v>8.1114272881215401E-4</c:v>
                </c:pt>
                <c:pt idx="9556">
                  <c:v>2.6849425335132905E-4</c:v>
                </c:pt>
                <c:pt idx="9557">
                  <c:v>1.0756650837225328E-3</c:v>
                </c:pt>
                <c:pt idx="9558">
                  <c:v>1.0663448812942911E-3</c:v>
                </c:pt>
                <c:pt idx="9559">
                  <c:v>6.542785784439182E-4</c:v>
                </c:pt>
                <c:pt idx="9560">
                  <c:v>8.122865794029674E-4</c:v>
                </c:pt>
                <c:pt idx="9561">
                  <c:v>1.0316431693542386E-3</c:v>
                </c:pt>
                <c:pt idx="9562">
                  <c:v>3.0904162825695901E-4</c:v>
                </c:pt>
                <c:pt idx="9563">
                  <c:v>1.161424727674369E-3</c:v>
                </c:pt>
                <c:pt idx="9564">
                  <c:v>8.1120305496333741E-4</c:v>
                </c:pt>
                <c:pt idx="9565">
                  <c:v>2.8096791115316401E-4</c:v>
                </c:pt>
                <c:pt idx="9566">
                  <c:v>5.5881283539848607E-4</c:v>
                </c:pt>
                <c:pt idx="9567">
                  <c:v>1.1789773063276934E-3</c:v>
                </c:pt>
                <c:pt idx="9568">
                  <c:v>7.6122004011057237E-4</c:v>
                </c:pt>
                <c:pt idx="9569">
                  <c:v>9.6209252620870986E-4</c:v>
                </c:pt>
                <c:pt idx="9570">
                  <c:v>6.1193414413095192E-4</c:v>
                </c:pt>
                <c:pt idx="9571">
                  <c:v>9.6511863309147068E-4</c:v>
                </c:pt>
                <c:pt idx="9572">
                  <c:v>5.0669259382851673E-4</c:v>
                </c:pt>
                <c:pt idx="9573">
                  <c:v>5.5731850909487705E-4</c:v>
                </c:pt>
                <c:pt idx="9574">
                  <c:v>6.7908360493016936E-4</c:v>
                </c:pt>
                <c:pt idx="9575">
                  <c:v>4.5111301172750851E-4</c:v>
                </c:pt>
                <c:pt idx="9576">
                  <c:v>3.6300718815975572E-4</c:v>
                </c:pt>
                <c:pt idx="9577">
                  <c:v>6.7147333202811216E-4</c:v>
                </c:pt>
                <c:pt idx="9578">
                  <c:v>6.1215560378954275E-4</c:v>
                </c:pt>
                <c:pt idx="9579">
                  <c:v>5.4037841769401045E-4</c:v>
                </c:pt>
                <c:pt idx="9580">
                  <c:v>7.6613156645703772E-4</c:v>
                </c:pt>
                <c:pt idx="9581">
                  <c:v>7.5469090342143198E-4</c:v>
                </c:pt>
                <c:pt idx="9582">
                  <c:v>6.0741699246642398E-4</c:v>
                </c:pt>
                <c:pt idx="9583">
                  <c:v>6.0347421362674737E-4</c:v>
                </c:pt>
                <c:pt idx="9584">
                  <c:v>5.3042216684962538E-4</c:v>
                </c:pt>
                <c:pt idx="9585">
                  <c:v>4.2982212493075428E-4</c:v>
                </c:pt>
                <c:pt idx="9586">
                  <c:v>4.4240459074541111E-4</c:v>
                </c:pt>
                <c:pt idx="9587">
                  <c:v>5.121219692751772E-4</c:v>
                </c:pt>
                <c:pt idx="9588">
                  <c:v>6.2848495519265057E-4</c:v>
                </c:pt>
                <c:pt idx="9589">
                  <c:v>9.7886401958639205E-4</c:v>
                </c:pt>
                <c:pt idx="9590">
                  <c:v>8.2569681211684752E-4</c:v>
                </c:pt>
                <c:pt idx="9591">
                  <c:v>9.8313016403496207E-4</c:v>
                </c:pt>
                <c:pt idx="9592">
                  <c:v>8.1338524978124551E-4</c:v>
                </c:pt>
                <c:pt idx="9593">
                  <c:v>9.772661698894214E-4</c:v>
                </c:pt>
                <c:pt idx="9594">
                  <c:v>4.0426812163218165E-4</c:v>
                </c:pt>
                <c:pt idx="9595">
                  <c:v>1.0854973639679738E-3</c:v>
                </c:pt>
                <c:pt idx="9596">
                  <c:v>1.0553444353534145E-3</c:v>
                </c:pt>
                <c:pt idx="9597">
                  <c:v>9.3380937349287071E-4</c:v>
                </c:pt>
                <c:pt idx="9598">
                  <c:v>5.9345800900268873E-4</c:v>
                </c:pt>
                <c:pt idx="9599">
                  <c:v>6.0720384264706254E-4</c:v>
                </c:pt>
                <c:pt idx="9600">
                  <c:v>1.1717030147044712E-3</c:v>
                </c:pt>
                <c:pt idx="9601">
                  <c:v>9.3380797854497892E-4</c:v>
                </c:pt>
                <c:pt idx="9602">
                  <c:v>9.9750050978244273E-4</c:v>
                </c:pt>
                <c:pt idx="9603">
                  <c:v>4.467366451315686E-4</c:v>
                </c:pt>
                <c:pt idx="9604">
                  <c:v>3.2304992603805771E-4</c:v>
                </c:pt>
                <c:pt idx="9605">
                  <c:v>4.6799253410138706E-4</c:v>
                </c:pt>
                <c:pt idx="9606">
                  <c:v>9.3601104711743381E-4</c:v>
                </c:pt>
                <c:pt idx="9607">
                  <c:v>9.609516697478978E-4</c:v>
                </c:pt>
                <c:pt idx="9608">
                  <c:v>1.1973128675821091E-3</c:v>
                </c:pt>
                <c:pt idx="9609">
                  <c:v>8.1805636745866577E-4</c:v>
                </c:pt>
                <c:pt idx="9610">
                  <c:v>1.0439731313720993E-3</c:v>
                </c:pt>
                <c:pt idx="9611">
                  <c:v>6.6210698703803006E-4</c:v>
                </c:pt>
                <c:pt idx="9612">
                  <c:v>4.9697934388503073E-4</c:v>
                </c:pt>
                <c:pt idx="9613">
                  <c:v>9.7617143460849694E-4</c:v>
                </c:pt>
                <c:pt idx="9614">
                  <c:v>9.6262673357906106E-4</c:v>
                </c:pt>
                <c:pt idx="9615">
                  <c:v>4.8334759974477833E-4</c:v>
                </c:pt>
                <c:pt idx="9616">
                  <c:v>9.8596665435787519E-4</c:v>
                </c:pt>
                <c:pt idx="9617">
                  <c:v>9.8143288802311052E-4</c:v>
                </c:pt>
                <c:pt idx="9618">
                  <c:v>1.3391532152801371E-3</c:v>
                </c:pt>
                <c:pt idx="9619">
                  <c:v>1.0353616295214172E-3</c:v>
                </c:pt>
                <c:pt idx="9620">
                  <c:v>6.9709376586566557E-4</c:v>
                </c:pt>
                <c:pt idx="9621">
                  <c:v>3.7276928925783861E-4</c:v>
                </c:pt>
                <c:pt idx="9622">
                  <c:v>9.8442698993224322E-4</c:v>
                </c:pt>
                <c:pt idx="9623">
                  <c:v>4.199958739199768E-4</c:v>
                </c:pt>
                <c:pt idx="9624">
                  <c:v>7.9578447284322389E-4</c:v>
                </c:pt>
                <c:pt idx="9625">
                  <c:v>6.6947536990300373E-4</c:v>
                </c:pt>
                <c:pt idx="9626">
                  <c:v>1.1620846170515941E-3</c:v>
                </c:pt>
                <c:pt idx="9627">
                  <c:v>6.0582441056915488E-4</c:v>
                </c:pt>
                <c:pt idx="9628">
                  <c:v>4.4389689192794941E-4</c:v>
                </c:pt>
                <c:pt idx="9629">
                  <c:v>9.6736189523844254E-4</c:v>
                </c:pt>
                <c:pt idx="9630">
                  <c:v>1.793338714461909E-4</c:v>
                </c:pt>
                <c:pt idx="9631">
                  <c:v>8.7977420439131729E-4</c:v>
                </c:pt>
                <c:pt idx="9632">
                  <c:v>6.3846365608200169E-4</c:v>
                </c:pt>
                <c:pt idx="9633">
                  <c:v>5.0599883068002749E-4</c:v>
                </c:pt>
                <c:pt idx="9634">
                  <c:v>8.1207832712131326E-4</c:v>
                </c:pt>
                <c:pt idx="9635">
                  <c:v>1.2444615832705188E-3</c:v>
                </c:pt>
                <c:pt idx="9636">
                  <c:v>1.034062232806352E-3</c:v>
                </c:pt>
                <c:pt idx="9637">
                  <c:v>9.7104535114784672E-4</c:v>
                </c:pt>
                <c:pt idx="9638">
                  <c:v>3.3970197534746136E-4</c:v>
                </c:pt>
                <c:pt idx="9639">
                  <c:v>1.1793145790130019E-3</c:v>
                </c:pt>
                <c:pt idx="9640">
                  <c:v>4.6669973211478448E-4</c:v>
                </c:pt>
                <c:pt idx="9641">
                  <c:v>9.3304342047222967E-4</c:v>
                </c:pt>
                <c:pt idx="9642">
                  <c:v>8.5260471312665026E-4</c:v>
                </c:pt>
                <c:pt idx="9643">
                  <c:v>1.0929781605144597E-3</c:v>
                </c:pt>
                <c:pt idx="9644">
                  <c:v>8.6080994733178011E-4</c:v>
                </c:pt>
                <c:pt idx="9645">
                  <c:v>9.9411350957691325E-4</c:v>
                </c:pt>
                <c:pt idx="9646">
                  <c:v>5.4057408565029745E-4</c:v>
                </c:pt>
                <c:pt idx="9647">
                  <c:v>1.2132673346603826E-3</c:v>
                </c:pt>
                <c:pt idx="9648">
                  <c:v>1.1245980980968411E-3</c:v>
                </c:pt>
                <c:pt idx="9649">
                  <c:v>9.6305711360407202E-4</c:v>
                </c:pt>
                <c:pt idx="9650">
                  <c:v>8.0041666134108951E-4</c:v>
                </c:pt>
                <c:pt idx="9651">
                  <c:v>6.2410727599416214E-4</c:v>
                </c:pt>
                <c:pt idx="9652">
                  <c:v>1.1762846445714939E-3</c:v>
                </c:pt>
                <c:pt idx="9653">
                  <c:v>8.5145644140243218E-4</c:v>
                </c:pt>
                <c:pt idx="9654">
                  <c:v>7.9693287657850117E-4</c:v>
                </c:pt>
                <c:pt idx="9655">
                  <c:v>5.5010164257294158E-4</c:v>
                </c:pt>
                <c:pt idx="9656">
                  <c:v>1.0923253530502899E-3</c:v>
                </c:pt>
                <c:pt idx="9657">
                  <c:v>4.1228656124374494E-4</c:v>
                </c:pt>
                <c:pt idx="9658">
                  <c:v>1.720513734093827E-4</c:v>
                </c:pt>
                <c:pt idx="9659">
                  <c:v>7.6320335555269162E-4</c:v>
                </c:pt>
                <c:pt idx="9660">
                  <c:v>1.2005889430716549E-3</c:v>
                </c:pt>
                <c:pt idx="9661">
                  <c:v>1.2416878715074008E-3</c:v>
                </c:pt>
                <c:pt idx="9662">
                  <c:v>6.189199555493341E-4</c:v>
                </c:pt>
                <c:pt idx="9663">
                  <c:v>2.5733370709327954E-4</c:v>
                </c:pt>
                <c:pt idx="9664">
                  <c:v>9.0356891690167936E-4</c:v>
                </c:pt>
                <c:pt idx="9665">
                  <c:v>1.0973177513965488E-4</c:v>
                </c:pt>
                <c:pt idx="9666">
                  <c:v>1.468343429336184E-3</c:v>
                </c:pt>
                <c:pt idx="9667">
                  <c:v>8.1119537856972007E-4</c:v>
                </c:pt>
                <c:pt idx="9668">
                  <c:v>1.1802207281697418E-3</c:v>
                </c:pt>
                <c:pt idx="9669">
                  <c:v>7.7885189940380447E-4</c:v>
                </c:pt>
                <c:pt idx="9670">
                  <c:v>8.9704247349910659E-4</c:v>
                </c:pt>
                <c:pt idx="9671">
                  <c:v>3.704291888407084E-4</c:v>
                </c:pt>
                <c:pt idx="9672">
                  <c:v>6.2006782331673138E-4</c:v>
                </c:pt>
                <c:pt idx="9673">
                  <c:v>1.0485144492766816E-3</c:v>
                </c:pt>
                <c:pt idx="9674">
                  <c:v>4.3265407108290604E-4</c:v>
                </c:pt>
                <c:pt idx="9675">
                  <c:v>8.0586656730085584E-4</c:v>
                </c:pt>
                <c:pt idx="9676">
                  <c:v>8.6028791416544229E-4</c:v>
                </c:pt>
                <c:pt idx="9677">
                  <c:v>1.2234050838410483E-4</c:v>
                </c:pt>
                <c:pt idx="9678">
                  <c:v>1.180181680887183E-3</c:v>
                </c:pt>
                <c:pt idx="9679">
                  <c:v>1.0309734394267419E-3</c:v>
                </c:pt>
                <c:pt idx="9680">
                  <c:v>6.1725070337036994E-4</c:v>
                </c:pt>
                <c:pt idx="9681">
                  <c:v>4.8899266679991102E-4</c:v>
                </c:pt>
                <c:pt idx="9682">
                  <c:v>8.0658440474415925E-4</c:v>
                </c:pt>
                <c:pt idx="9683">
                  <c:v>5.0082240194501465E-4</c:v>
                </c:pt>
                <c:pt idx="9684">
                  <c:v>4.5607028753012811E-4</c:v>
                </c:pt>
                <c:pt idx="9685">
                  <c:v>8.8372945714079254E-4</c:v>
                </c:pt>
                <c:pt idx="9686">
                  <c:v>1.043151581896035E-3</c:v>
                </c:pt>
                <c:pt idx="9687">
                  <c:v>6.5181132702232629E-4</c:v>
                </c:pt>
                <c:pt idx="9688">
                  <c:v>1.5291513557831962E-3</c:v>
                </c:pt>
                <c:pt idx="9689">
                  <c:v>1.4621486969092433E-3</c:v>
                </c:pt>
                <c:pt idx="9690">
                  <c:v>8.2591554211406749E-4</c:v>
                </c:pt>
                <c:pt idx="9691">
                  <c:v>1.292604436025807E-3</c:v>
                </c:pt>
                <c:pt idx="9692">
                  <c:v>4.4204900468729257E-4</c:v>
                </c:pt>
                <c:pt idx="9693">
                  <c:v>8.7090571417706541E-4</c:v>
                </c:pt>
                <c:pt idx="9694">
                  <c:v>7.0897649950297983E-4</c:v>
                </c:pt>
                <c:pt idx="9695">
                  <c:v>1.022180670244716E-3</c:v>
                </c:pt>
                <c:pt idx="9696">
                  <c:v>1.0920263220532977E-3</c:v>
                </c:pt>
                <c:pt idx="9697">
                  <c:v>1.1462488335978408E-3</c:v>
                </c:pt>
                <c:pt idx="9698">
                  <c:v>6.749926045801788E-4</c:v>
                </c:pt>
                <c:pt idx="9699">
                  <c:v>1.0707228544949933E-3</c:v>
                </c:pt>
                <c:pt idx="9700">
                  <c:v>6.0870432604428755E-4</c:v>
                </c:pt>
                <c:pt idx="9701">
                  <c:v>1.3675706063017486E-3</c:v>
                </c:pt>
                <c:pt idx="9702">
                  <c:v>1.2077311916713479E-3</c:v>
                </c:pt>
                <c:pt idx="9703">
                  <c:v>9.2667433233640899E-4</c:v>
                </c:pt>
                <c:pt idx="9704">
                  <c:v>1.3002937761913099E-3</c:v>
                </c:pt>
                <c:pt idx="9705">
                  <c:v>8.3943749839211377E-4</c:v>
                </c:pt>
                <c:pt idx="9706">
                  <c:v>1.067448885738451E-3</c:v>
                </c:pt>
                <c:pt idx="9707">
                  <c:v>5.6463249819087573E-4</c:v>
                </c:pt>
                <c:pt idx="9708">
                  <c:v>1.3130883339036131E-3</c:v>
                </c:pt>
                <c:pt idx="9709">
                  <c:v>1.5597761129030516E-3</c:v>
                </c:pt>
                <c:pt idx="9710">
                  <c:v>3.0526534392234903E-4</c:v>
                </c:pt>
                <c:pt idx="9711">
                  <c:v>1.1318684421822759E-3</c:v>
                </c:pt>
                <c:pt idx="9712">
                  <c:v>3.7723509025573227E-4</c:v>
                </c:pt>
                <c:pt idx="9713">
                  <c:v>7.2299871319564531E-4</c:v>
                </c:pt>
                <c:pt idx="9714">
                  <c:v>1.2922204383755418E-3</c:v>
                </c:pt>
                <c:pt idx="9715">
                  <c:v>6.2605766935162823E-4</c:v>
                </c:pt>
                <c:pt idx="9716">
                  <c:v>8.8430558555442705E-4</c:v>
                </c:pt>
                <c:pt idx="9717">
                  <c:v>6.5215814784953417E-4</c:v>
                </c:pt>
                <c:pt idx="9718">
                  <c:v>8.2754093181878574E-4</c:v>
                </c:pt>
                <c:pt idx="9719">
                  <c:v>1.2464494598833763E-3</c:v>
                </c:pt>
                <c:pt idx="9720">
                  <c:v>7.7592332734511844E-4</c:v>
                </c:pt>
                <c:pt idx="9721">
                  <c:v>2.971502728613656E-4</c:v>
                </c:pt>
                <c:pt idx="9722">
                  <c:v>9.3605778999908624E-4</c:v>
                </c:pt>
                <c:pt idx="9723">
                  <c:v>6.4972610235985789E-4</c:v>
                </c:pt>
                <c:pt idx="9724">
                  <c:v>1.1415242284769527E-3</c:v>
                </c:pt>
                <c:pt idx="9725">
                  <c:v>1.1717599087990973E-3</c:v>
                </c:pt>
                <c:pt idx="9726">
                  <c:v>1.3110357136627911E-3</c:v>
                </c:pt>
                <c:pt idx="9727">
                  <c:v>9.4825336091229802E-4</c:v>
                </c:pt>
                <c:pt idx="9728">
                  <c:v>6.8094887390699908E-4</c:v>
                </c:pt>
                <c:pt idx="9729">
                  <c:v>6.4392564176924121E-4</c:v>
                </c:pt>
                <c:pt idx="9730">
                  <c:v>5.5242934562480406E-4</c:v>
                </c:pt>
                <c:pt idx="9731">
                  <c:v>4.4570266978017525E-4</c:v>
                </c:pt>
                <c:pt idx="9732">
                  <c:v>6.9626709667385195E-4</c:v>
                </c:pt>
                <c:pt idx="9733">
                  <c:v>9.6094924934782245E-4</c:v>
                </c:pt>
                <c:pt idx="9734">
                  <c:v>7.0545371588636493E-4</c:v>
                </c:pt>
                <c:pt idx="9735">
                  <c:v>1.0368753329525332E-3</c:v>
                </c:pt>
                <c:pt idx="9736">
                  <c:v>7.9180608555414346E-4</c:v>
                </c:pt>
                <c:pt idx="9737">
                  <c:v>1.1343470490286301E-3</c:v>
                </c:pt>
                <c:pt idx="9738">
                  <c:v>1.1201672910825012E-3</c:v>
                </c:pt>
                <c:pt idx="9739">
                  <c:v>1.0392882107294252E-3</c:v>
                </c:pt>
                <c:pt idx="9740">
                  <c:v>9.7935709136751331E-4</c:v>
                </c:pt>
                <c:pt idx="9741">
                  <c:v>1.201106307726334E-3</c:v>
                </c:pt>
                <c:pt idx="9742">
                  <c:v>8.7213773497098743E-4</c:v>
                </c:pt>
                <c:pt idx="9743">
                  <c:v>8.2463304286418872E-4</c:v>
                </c:pt>
                <c:pt idx="9744">
                  <c:v>4.624899538599723E-4</c:v>
                </c:pt>
                <c:pt idx="9745">
                  <c:v>9.180229278671065E-4</c:v>
                </c:pt>
                <c:pt idx="9746">
                  <c:v>1.074989731857774E-3</c:v>
                </c:pt>
                <c:pt idx="9747">
                  <c:v>4.9491548729094616E-4</c:v>
                </c:pt>
                <c:pt idx="9748">
                  <c:v>1.0250016341329391E-3</c:v>
                </c:pt>
                <c:pt idx="9749">
                  <c:v>3.551180305339704E-4</c:v>
                </c:pt>
                <c:pt idx="9750">
                  <c:v>1.145329275372374E-3</c:v>
                </c:pt>
                <c:pt idx="9751">
                  <c:v>5.395420776356458E-4</c:v>
                </c:pt>
                <c:pt idx="9752">
                  <c:v>1.4247967028117548E-3</c:v>
                </c:pt>
                <c:pt idx="9753">
                  <c:v>8.1195411960684042E-4</c:v>
                </c:pt>
                <c:pt idx="9754">
                  <c:v>1.1264766889190565E-3</c:v>
                </c:pt>
                <c:pt idx="9755">
                  <c:v>1.2089265348031498E-3</c:v>
                </c:pt>
                <c:pt idx="9756">
                  <c:v>7.3305786102519717E-4</c:v>
                </c:pt>
                <c:pt idx="9757">
                  <c:v>1.343974784846618E-3</c:v>
                </c:pt>
                <c:pt idx="9758">
                  <c:v>1.0462316098778007E-3</c:v>
                </c:pt>
                <c:pt idx="9759">
                  <c:v>6.6693852649395667E-4</c:v>
                </c:pt>
                <c:pt idx="9760">
                  <c:v>1.1661790040191566E-3</c:v>
                </c:pt>
                <c:pt idx="9761">
                  <c:v>1.0051204728726455E-3</c:v>
                </c:pt>
                <c:pt idx="9762">
                  <c:v>1.0648987342664299E-3</c:v>
                </c:pt>
                <c:pt idx="9763">
                  <c:v>1.1809834793726586E-3</c:v>
                </c:pt>
                <c:pt idx="9764">
                  <c:v>8.7077735904910326E-4</c:v>
                </c:pt>
                <c:pt idx="9765">
                  <c:v>8.7278128031694911E-4</c:v>
                </c:pt>
                <c:pt idx="9766">
                  <c:v>4.3590635054477518E-4</c:v>
                </c:pt>
                <c:pt idx="9767">
                  <c:v>9.8041961810381049E-4</c:v>
                </c:pt>
                <c:pt idx="9768">
                  <c:v>1.3309372144682374E-3</c:v>
                </c:pt>
                <c:pt idx="9769">
                  <c:v>8.5728688403517782E-4</c:v>
                </c:pt>
                <c:pt idx="9770">
                  <c:v>1.1063501681102686E-3</c:v>
                </c:pt>
                <c:pt idx="9771">
                  <c:v>6.5574096384015844E-4</c:v>
                </c:pt>
                <c:pt idx="9772">
                  <c:v>6.3247935067731534E-4</c:v>
                </c:pt>
                <c:pt idx="9773">
                  <c:v>1.0276448906570794E-3</c:v>
                </c:pt>
                <c:pt idx="9774">
                  <c:v>4.4695841763656922E-4</c:v>
                </c:pt>
                <c:pt idx="9775">
                  <c:v>1.4886904273837807E-3</c:v>
                </c:pt>
                <c:pt idx="9776">
                  <c:v>3.1704755421952654E-4</c:v>
                </c:pt>
                <c:pt idx="9777">
                  <c:v>1.1747634680198712E-3</c:v>
                </c:pt>
                <c:pt idx="9778">
                  <c:v>6.2249950213401849E-4</c:v>
                </c:pt>
                <c:pt idx="9779">
                  <c:v>2.5082624169353753E-4</c:v>
                </c:pt>
                <c:pt idx="9780">
                  <c:v>1.1307942042879859E-3</c:v>
                </c:pt>
                <c:pt idx="9781">
                  <c:v>1.2921304908792219E-3</c:v>
                </c:pt>
                <c:pt idx="9782">
                  <c:v>1.16799307326292E-3</c:v>
                </c:pt>
                <c:pt idx="9783">
                  <c:v>9.9157074966427011E-4</c:v>
                </c:pt>
                <c:pt idx="9784">
                  <c:v>3.6918190611980625E-4</c:v>
                </c:pt>
                <c:pt idx="9785">
                  <c:v>7.4409981294592934E-4</c:v>
                </c:pt>
                <c:pt idx="9786">
                  <c:v>9.6428389341573985E-4</c:v>
                </c:pt>
                <c:pt idx="9787">
                  <c:v>1.435441418850654E-3</c:v>
                </c:pt>
                <c:pt idx="9788">
                  <c:v>5.5273917107945421E-4</c:v>
                </c:pt>
                <c:pt idx="9789">
                  <c:v>4.6584822906091318E-4</c:v>
                </c:pt>
                <c:pt idx="9790">
                  <c:v>6.5238480843300543E-4</c:v>
                </c:pt>
                <c:pt idx="9791">
                  <c:v>1.30915547120105E-3</c:v>
                </c:pt>
                <c:pt idx="9792">
                  <c:v>1.4163721140569891E-3</c:v>
                </c:pt>
                <c:pt idx="9793">
                  <c:v>6.3886914939974347E-4</c:v>
                </c:pt>
                <c:pt idx="9794">
                  <c:v>4.8367662102524332E-4</c:v>
                </c:pt>
                <c:pt idx="9795">
                  <c:v>1.318046634480012E-3</c:v>
                </c:pt>
                <c:pt idx="9796">
                  <c:v>1.1977356631789463E-3</c:v>
                </c:pt>
                <c:pt idx="9797">
                  <c:v>1.0273250516293394E-3</c:v>
                </c:pt>
                <c:pt idx="9798">
                  <c:v>7.0454255752335014E-4</c:v>
                </c:pt>
                <c:pt idx="9799">
                  <c:v>6.9946469224122865E-4</c:v>
                </c:pt>
                <c:pt idx="9800">
                  <c:v>7.1845786118657196E-4</c:v>
                </c:pt>
                <c:pt idx="9801">
                  <c:v>9.2500131425784702E-4</c:v>
                </c:pt>
                <c:pt idx="9802">
                  <c:v>1.2739028690607248E-3</c:v>
                </c:pt>
                <c:pt idx="9803">
                  <c:v>7.3260664239576789E-4</c:v>
                </c:pt>
                <c:pt idx="9804">
                  <c:v>7.1214312382777067E-4</c:v>
                </c:pt>
                <c:pt idx="9805">
                  <c:v>2.3963995581320637E-4</c:v>
                </c:pt>
                <c:pt idx="9806">
                  <c:v>6.5729241036671866E-4</c:v>
                </c:pt>
                <c:pt idx="9807">
                  <c:v>9.1155783169689062E-4</c:v>
                </c:pt>
                <c:pt idx="9808">
                  <c:v>3.9819287889825177E-4</c:v>
                </c:pt>
                <c:pt idx="9809">
                  <c:v>7.9457133595735806E-4</c:v>
                </c:pt>
                <c:pt idx="9810">
                  <c:v>8.3520377307142487E-4</c:v>
                </c:pt>
                <c:pt idx="9811">
                  <c:v>1.1344872690762912E-3</c:v>
                </c:pt>
                <c:pt idx="9812">
                  <c:v>9.8646760383598988E-4</c:v>
                </c:pt>
                <c:pt idx="9813">
                  <c:v>6.2726259397048593E-4</c:v>
                </c:pt>
                <c:pt idx="9814">
                  <c:v>1.3251848826184324E-3</c:v>
                </c:pt>
                <c:pt idx="9815">
                  <c:v>8.6192105869145738E-4</c:v>
                </c:pt>
                <c:pt idx="9816">
                  <c:v>1.1593970573058009E-3</c:v>
                </c:pt>
                <c:pt idx="9817">
                  <c:v>9.2519276528880783E-4</c:v>
                </c:pt>
                <c:pt idx="9818">
                  <c:v>6.7066571242125153E-4</c:v>
                </c:pt>
                <c:pt idx="9819">
                  <c:v>7.8424106214904988E-4</c:v>
                </c:pt>
                <c:pt idx="9820">
                  <c:v>7.6881409900062046E-4</c:v>
                </c:pt>
                <c:pt idx="9821">
                  <c:v>1.3664723389650362E-3</c:v>
                </c:pt>
                <c:pt idx="9822">
                  <c:v>8.0136004161986216E-4</c:v>
                </c:pt>
                <c:pt idx="9823">
                  <c:v>8.9084448447013546E-4</c:v>
                </c:pt>
                <c:pt idx="9824">
                  <c:v>2.877549683289224E-4</c:v>
                </c:pt>
                <c:pt idx="9825">
                  <c:v>4.4819311320415172E-4</c:v>
                </c:pt>
                <c:pt idx="9826">
                  <c:v>6.2921420828940667E-4</c:v>
                </c:pt>
                <c:pt idx="9827">
                  <c:v>5.3041347983329374E-4</c:v>
                </c:pt>
                <c:pt idx="9828">
                  <c:v>6.9427220638140948E-4</c:v>
                </c:pt>
                <c:pt idx="9829">
                  <c:v>9.6575084300630921E-4</c:v>
                </c:pt>
                <c:pt idx="9830">
                  <c:v>7.9007329273799321E-4</c:v>
                </c:pt>
                <c:pt idx="9831">
                  <c:v>1.1811941018510246E-3</c:v>
                </c:pt>
                <c:pt idx="9832">
                  <c:v>7.708054630027691E-4</c:v>
                </c:pt>
                <c:pt idx="9833">
                  <c:v>4.0051228460585646E-4</c:v>
                </c:pt>
                <c:pt idx="9834">
                  <c:v>1.0335646553804123E-3</c:v>
                </c:pt>
                <c:pt idx="9835">
                  <c:v>1.1561702917068558E-4</c:v>
                </c:pt>
                <c:pt idx="9836">
                  <c:v>8.6885359608199621E-4</c:v>
                </c:pt>
                <c:pt idx="9837">
                  <c:v>1.2348269872851053E-3</c:v>
                </c:pt>
                <c:pt idx="9838">
                  <c:v>9.2874535068426757E-4</c:v>
                </c:pt>
                <c:pt idx="9839">
                  <c:v>6.4673181823127418E-4</c:v>
                </c:pt>
                <c:pt idx="9840">
                  <c:v>8.1557613609693649E-4</c:v>
                </c:pt>
                <c:pt idx="9841">
                  <c:v>1.3742709455840214E-3</c:v>
                </c:pt>
                <c:pt idx="9842">
                  <c:v>9.8952233785066764E-4</c:v>
                </c:pt>
                <c:pt idx="9843">
                  <c:v>7.3860244719239627E-4</c:v>
                </c:pt>
                <c:pt idx="9844">
                  <c:v>9.2885568993334203E-4</c:v>
                </c:pt>
                <c:pt idx="9845">
                  <c:v>4.9217647035102125E-4</c:v>
                </c:pt>
                <c:pt idx="9846">
                  <c:v>1.6156706504155895E-3</c:v>
                </c:pt>
                <c:pt idx="9847">
                  <c:v>1.3905823444497975E-3</c:v>
                </c:pt>
                <c:pt idx="9848">
                  <c:v>1.0597576225410627E-3</c:v>
                </c:pt>
                <c:pt idx="9849">
                  <c:v>1.0035383298068925E-3</c:v>
                </c:pt>
                <c:pt idx="9850">
                  <c:v>9.3232181085019131E-4</c:v>
                </c:pt>
                <c:pt idx="9851">
                  <c:v>5.8682903700055028E-4</c:v>
                </c:pt>
                <c:pt idx="9852">
                  <c:v>6.3747704387286488E-4</c:v>
                </c:pt>
                <c:pt idx="9853">
                  <c:v>3.9880847082482358E-4</c:v>
                </c:pt>
                <c:pt idx="9854">
                  <c:v>6.147679917745169E-4</c:v>
                </c:pt>
                <c:pt idx="9855">
                  <c:v>8.8264730134581589E-4</c:v>
                </c:pt>
                <c:pt idx="9856">
                  <c:v>1.1455364052291848E-3</c:v>
                </c:pt>
                <c:pt idx="9857">
                  <c:v>8.1730000476615955E-4</c:v>
                </c:pt>
                <c:pt idx="9858">
                  <c:v>9.6077134752750148E-4</c:v>
                </c:pt>
                <c:pt idx="9859">
                  <c:v>8.5229514167691498E-4</c:v>
                </c:pt>
                <c:pt idx="9860">
                  <c:v>9.0039469408795031E-4</c:v>
                </c:pt>
                <c:pt idx="9861">
                  <c:v>5.6539560261832059E-4</c:v>
                </c:pt>
                <c:pt idx="9862">
                  <c:v>5.2454530295016307E-4</c:v>
                </c:pt>
                <c:pt idx="9863">
                  <c:v>9.3523272631476477E-4</c:v>
                </c:pt>
                <c:pt idx="9864">
                  <c:v>1.2266952755149811E-3</c:v>
                </c:pt>
                <c:pt idx="9865">
                  <c:v>1.5874113275381916E-3</c:v>
                </c:pt>
                <c:pt idx="9866">
                  <c:v>8.3361539759425267E-4</c:v>
                </c:pt>
                <c:pt idx="9867">
                  <c:v>5.7601189266708486E-4</c:v>
                </c:pt>
                <c:pt idx="9868">
                  <c:v>9.671391561354725E-4</c:v>
                </c:pt>
                <c:pt idx="9869">
                  <c:v>8.2956579918119701E-4</c:v>
                </c:pt>
                <c:pt idx="9870">
                  <c:v>5.1502980175524289E-4</c:v>
                </c:pt>
                <c:pt idx="9871">
                  <c:v>6.0378436564547907E-4</c:v>
                </c:pt>
                <c:pt idx="9872">
                  <c:v>1.1076560900024264E-3</c:v>
                </c:pt>
                <c:pt idx="9873">
                  <c:v>1.0811753355609659E-3</c:v>
                </c:pt>
                <c:pt idx="9874">
                  <c:v>6.6183927959805749E-4</c:v>
                </c:pt>
                <c:pt idx="9875">
                  <c:v>9.2487044894700604E-4</c:v>
                </c:pt>
                <c:pt idx="9876">
                  <c:v>5.1529972598496668E-4</c:v>
                </c:pt>
                <c:pt idx="9877">
                  <c:v>5.5292965312735186E-4</c:v>
                </c:pt>
                <c:pt idx="9878">
                  <c:v>1.1091935709450528E-3</c:v>
                </c:pt>
                <c:pt idx="9879">
                  <c:v>1.1455243363166334E-3</c:v>
                </c:pt>
                <c:pt idx="9880">
                  <c:v>1.29648818778651E-3</c:v>
                </c:pt>
                <c:pt idx="9881">
                  <c:v>4.0960572145719255E-4</c:v>
                </c:pt>
                <c:pt idx="9882">
                  <c:v>5.6130899754348244E-4</c:v>
                </c:pt>
                <c:pt idx="9883">
                  <c:v>6.9976241191723886E-4</c:v>
                </c:pt>
                <c:pt idx="9884">
                  <c:v>5.2696511122099976E-4</c:v>
                </c:pt>
                <c:pt idx="9885">
                  <c:v>7.6587593815015788E-4</c:v>
                </c:pt>
                <c:pt idx="9886">
                  <c:v>1.0204402227521735E-3</c:v>
                </c:pt>
                <c:pt idx="9887">
                  <c:v>3.6267622584847613E-4</c:v>
                </c:pt>
                <c:pt idx="9888">
                  <c:v>8.9994027796652795E-4</c:v>
                </c:pt>
                <c:pt idx="9889">
                  <c:v>9.7209003016548209E-4</c:v>
                </c:pt>
                <c:pt idx="9890">
                  <c:v>4.2454049488455212E-4</c:v>
                </c:pt>
                <c:pt idx="9891">
                  <c:v>6.4917625819044711E-4</c:v>
                </c:pt>
                <c:pt idx="9892">
                  <c:v>1.5158737920329287E-3</c:v>
                </c:pt>
                <c:pt idx="9893">
                  <c:v>1.1779609678956001E-3</c:v>
                </c:pt>
                <c:pt idx="9894">
                  <c:v>5.835703052848942E-4</c:v>
                </c:pt>
                <c:pt idx="9895">
                  <c:v>4.8139056519860802E-4</c:v>
                </c:pt>
                <c:pt idx="9896">
                  <c:v>9.1121184393954812E-4</c:v>
                </c:pt>
                <c:pt idx="9897">
                  <c:v>7.6687206305752213E-4</c:v>
                </c:pt>
                <c:pt idx="9898">
                  <c:v>8.5864724788421373E-4</c:v>
                </c:pt>
                <c:pt idx="9899">
                  <c:v>3.4602936522185962E-4</c:v>
                </c:pt>
                <c:pt idx="9900">
                  <c:v>1.0563821878510936E-3</c:v>
                </c:pt>
                <c:pt idx="9901">
                  <c:v>9.9060570169127115E-4</c:v>
                </c:pt>
                <c:pt idx="9902">
                  <c:v>8.6521810893136432E-4</c:v>
                </c:pt>
                <c:pt idx="9903">
                  <c:v>6.4868987565384428E-4</c:v>
                </c:pt>
                <c:pt idx="9904">
                  <c:v>5.9652443588128026E-4</c:v>
                </c:pt>
                <c:pt idx="9905">
                  <c:v>9.6894249741848193E-4</c:v>
                </c:pt>
                <c:pt idx="9906">
                  <c:v>8.7051314278023106E-4</c:v>
                </c:pt>
                <c:pt idx="9907">
                  <c:v>4.059678055069357E-4</c:v>
                </c:pt>
                <c:pt idx="9908">
                  <c:v>1.0504586644055406E-3</c:v>
                </c:pt>
                <c:pt idx="9909">
                  <c:v>5.5874662095469927E-4</c:v>
                </c:pt>
                <c:pt idx="9910">
                  <c:v>6.8004479815655168E-4</c:v>
                </c:pt>
                <c:pt idx="9911">
                  <c:v>8.3214076991207256E-4</c:v>
                </c:pt>
                <c:pt idx="9912">
                  <c:v>7.8320061092927045E-5</c:v>
                </c:pt>
                <c:pt idx="9913">
                  <c:v>1.0626790994416634E-3</c:v>
                </c:pt>
                <c:pt idx="9914">
                  <c:v>8.9337550653425613E-4</c:v>
                </c:pt>
                <c:pt idx="9915">
                  <c:v>7.553260492486843E-4</c:v>
                </c:pt>
                <c:pt idx="9916">
                  <c:v>1.1025202249454621E-3</c:v>
                </c:pt>
                <c:pt idx="9917">
                  <c:v>6.5199747791923129E-4</c:v>
                </c:pt>
                <c:pt idx="9918">
                  <c:v>6.0666224061173811E-4</c:v>
                </c:pt>
                <c:pt idx="9919">
                  <c:v>1.4429754313922689E-3</c:v>
                </c:pt>
                <c:pt idx="9920">
                  <c:v>5.7615932512714138E-4</c:v>
                </c:pt>
                <c:pt idx="9921">
                  <c:v>1.0146580674432262E-3</c:v>
                </c:pt>
                <c:pt idx="9922">
                  <c:v>7.5518623473580428E-4</c:v>
                </c:pt>
                <c:pt idx="9923">
                  <c:v>8.4991501718760922E-4</c:v>
                </c:pt>
                <c:pt idx="9924">
                  <c:v>3.8011885111058173E-4</c:v>
                </c:pt>
                <c:pt idx="9925">
                  <c:v>8.8592280711711948E-4</c:v>
                </c:pt>
                <c:pt idx="9926">
                  <c:v>6.5577573494471472E-4</c:v>
                </c:pt>
                <c:pt idx="9927">
                  <c:v>3.2133356203689926E-4</c:v>
                </c:pt>
                <c:pt idx="9928">
                  <c:v>8.1993631954267938E-4</c:v>
                </c:pt>
                <c:pt idx="9929">
                  <c:v>3.3980012750248027E-4</c:v>
                </c:pt>
                <c:pt idx="9930">
                  <c:v>4.1060963977178561E-4</c:v>
                </c:pt>
                <c:pt idx="9931">
                  <c:v>1.3656656757469628E-3</c:v>
                </c:pt>
                <c:pt idx="9932">
                  <c:v>7.9295590724243171E-4</c:v>
                </c:pt>
                <c:pt idx="9933">
                  <c:v>2.7001402702794629E-4</c:v>
                </c:pt>
                <c:pt idx="9934">
                  <c:v>7.0441222625572039E-4</c:v>
                </c:pt>
                <c:pt idx="9935">
                  <c:v>1.129478871657131E-3</c:v>
                </c:pt>
                <c:pt idx="9936">
                  <c:v>9.8698248875358856E-4</c:v>
                </c:pt>
                <c:pt idx="9937">
                  <c:v>1.5518719002914337E-4</c:v>
                </c:pt>
                <c:pt idx="9938">
                  <c:v>7.6041421022672606E-4</c:v>
                </c:pt>
                <c:pt idx="9939">
                  <c:v>1.1280586407232524E-3</c:v>
                </c:pt>
                <c:pt idx="9940">
                  <c:v>6.2579461368985018E-4</c:v>
                </c:pt>
                <c:pt idx="9941">
                  <c:v>1.0532916851881836E-3</c:v>
                </c:pt>
                <c:pt idx="9942">
                  <c:v>1.2613929734017516E-3</c:v>
                </c:pt>
                <c:pt idx="9943">
                  <c:v>4.6919097812800228E-4</c:v>
                </c:pt>
                <c:pt idx="9944">
                  <c:v>7.0916533053480113E-4</c:v>
                </c:pt>
                <c:pt idx="9945">
                  <c:v>8.8891465374693439E-4</c:v>
                </c:pt>
                <c:pt idx="9946">
                  <c:v>1.2587117225262372E-3</c:v>
                </c:pt>
                <c:pt idx="9947">
                  <c:v>1.1753612788794536E-3</c:v>
                </c:pt>
                <c:pt idx="9948">
                  <c:v>1.0909695896737402E-3</c:v>
                </c:pt>
                <c:pt idx="9949">
                  <c:v>9.885900294233222E-4</c:v>
                </c:pt>
                <c:pt idx="9950">
                  <c:v>7.4276641182270599E-4</c:v>
                </c:pt>
                <c:pt idx="9951">
                  <c:v>1.1330520133541104E-3</c:v>
                </c:pt>
                <c:pt idx="9952">
                  <c:v>4.0307534293058711E-4</c:v>
                </c:pt>
                <c:pt idx="9953">
                  <c:v>3.6104334400710131E-4</c:v>
                </c:pt>
                <c:pt idx="9954">
                  <c:v>5.2470685828723588E-4</c:v>
                </c:pt>
                <c:pt idx="9955">
                  <c:v>1.2992579644501134E-3</c:v>
                </c:pt>
                <c:pt idx="9956">
                  <c:v>1.2995305394464204E-3</c:v>
                </c:pt>
                <c:pt idx="9957">
                  <c:v>5.6906359912114123E-4</c:v>
                </c:pt>
                <c:pt idx="9958">
                  <c:v>6.5452630901807198E-4</c:v>
                </c:pt>
                <c:pt idx="9959">
                  <c:v>7.6429995615327165E-4</c:v>
                </c:pt>
                <c:pt idx="9960">
                  <c:v>8.5314681270879441E-4</c:v>
                </c:pt>
                <c:pt idx="9961">
                  <c:v>1.5037300736339852E-3</c:v>
                </c:pt>
                <c:pt idx="9962">
                  <c:v>9.8249053035796645E-4</c:v>
                </c:pt>
                <c:pt idx="9963">
                  <c:v>5.1896909900373933E-4</c:v>
                </c:pt>
                <c:pt idx="9964">
                  <c:v>9.936184302622459E-4</c:v>
                </c:pt>
                <c:pt idx="9965">
                  <c:v>1.0824767172855671E-3</c:v>
                </c:pt>
                <c:pt idx="9966">
                  <c:v>1.0261541270359963E-3</c:v>
                </c:pt>
                <c:pt idx="9967">
                  <c:v>1.2115551136409155E-3</c:v>
                </c:pt>
                <c:pt idx="9968">
                  <c:v>9.2314005846226978E-4</c:v>
                </c:pt>
                <c:pt idx="9969">
                  <c:v>1.2771474774746921E-3</c:v>
                </c:pt>
                <c:pt idx="9970">
                  <c:v>7.927695606330849E-4</c:v>
                </c:pt>
                <c:pt idx="9971">
                  <c:v>7.2891835369848158E-4</c:v>
                </c:pt>
                <c:pt idx="9972">
                  <c:v>5.5839903728014057E-4</c:v>
                </c:pt>
                <c:pt idx="9973">
                  <c:v>4.7537607970460854E-4</c:v>
                </c:pt>
                <c:pt idx="9974">
                  <c:v>9.0244170679965562E-4</c:v>
                </c:pt>
                <c:pt idx="9975">
                  <c:v>9.0524866055555176E-4</c:v>
                </c:pt>
                <c:pt idx="9976">
                  <c:v>1.0425783995472264E-3</c:v>
                </c:pt>
                <c:pt idx="9977">
                  <c:v>1.3012619898048589E-3</c:v>
                </c:pt>
                <c:pt idx="9978">
                  <c:v>7.2329503376559806E-4</c:v>
                </c:pt>
                <c:pt idx="9979">
                  <c:v>7.2240678996317211E-4</c:v>
                </c:pt>
                <c:pt idx="9980">
                  <c:v>7.4257454416777201E-4</c:v>
                </c:pt>
                <c:pt idx="9981">
                  <c:v>5.03830800936325E-4</c:v>
                </c:pt>
                <c:pt idx="9982">
                  <c:v>8.3852754509376401E-4</c:v>
                </c:pt>
                <c:pt idx="9983">
                  <c:v>6.8498809629984698E-4</c:v>
                </c:pt>
                <c:pt idx="9984">
                  <c:v>7.0733158782493484E-4</c:v>
                </c:pt>
                <c:pt idx="9985">
                  <c:v>1.0947856924430998E-3</c:v>
                </c:pt>
                <c:pt idx="9986">
                  <c:v>5.1111550830691395E-4</c:v>
                </c:pt>
                <c:pt idx="9987">
                  <c:v>7.6127299338455562E-4</c:v>
                </c:pt>
                <c:pt idx="9988">
                  <c:v>1.2789885939401167E-3</c:v>
                </c:pt>
                <c:pt idx="9989">
                  <c:v>8.889121717977845E-4</c:v>
                </c:pt>
                <c:pt idx="9990">
                  <c:v>7.376495838303744E-4</c:v>
                </c:pt>
                <c:pt idx="9991">
                  <c:v>5.9266436907824758E-4</c:v>
                </c:pt>
                <c:pt idx="9992">
                  <c:v>9.1674603843891315E-4</c:v>
                </c:pt>
                <c:pt idx="9993">
                  <c:v>1.5460110751393252E-3</c:v>
                </c:pt>
                <c:pt idx="9994">
                  <c:v>1.3762106594293576E-3</c:v>
                </c:pt>
                <c:pt idx="9995">
                  <c:v>1.3717707126429887E-3</c:v>
                </c:pt>
                <c:pt idx="9996">
                  <c:v>6.3892396945413048E-4</c:v>
                </c:pt>
                <c:pt idx="9997">
                  <c:v>7.9024377929831353E-4</c:v>
                </c:pt>
                <c:pt idx="9998">
                  <c:v>4.3518052795104342E-4</c:v>
                </c:pt>
                <c:pt idx="9999">
                  <c:v>2.37695167002855E-3</c:v>
                </c:pt>
                <c:pt idx="10000">
                  <c:v>1.090556732479691E-3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11-455F-9DDA-488504F72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2825072"/>
        <c:axId val="982841872"/>
      </c:scatterChart>
      <c:valAx>
        <c:axId val="982825072"/>
        <c:scaling>
          <c:orientation val="minMax"/>
          <c:min val="5.000000000000001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Portfolio Standard Deviation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841872"/>
        <c:crosses val="autoZero"/>
        <c:crossBetween val="midCat"/>
      </c:valAx>
      <c:valAx>
        <c:axId val="98284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Portfolio Expected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825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365760</xdr:colOff>
      <xdr:row>2</xdr:row>
      <xdr:rowOff>60960</xdr:rowOff>
    </xdr:from>
    <xdr:to>
      <xdr:col>52</xdr:col>
      <xdr:colOff>22860</xdr:colOff>
      <xdr:row>24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D56C99-8841-9210-19C6-3F620C733A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475129</xdr:colOff>
      <xdr:row>4</xdr:row>
      <xdr:rowOff>89646</xdr:rowOff>
    </xdr:from>
    <xdr:to>
      <xdr:col>10</xdr:col>
      <xdr:colOff>71717</xdr:colOff>
      <xdr:row>4</xdr:row>
      <xdr:rowOff>98611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F6ED5F64-42D1-4F54-7139-1909704E6711}"/>
            </a:ext>
          </a:extLst>
        </xdr:cNvPr>
        <xdr:cNvCxnSpPr/>
      </xdr:nvCxnSpPr>
      <xdr:spPr>
        <a:xfrm>
          <a:off x="869576" y="770964"/>
          <a:ext cx="6938682" cy="896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663388</xdr:colOff>
      <xdr:row>4</xdr:row>
      <xdr:rowOff>71717</xdr:rowOff>
    </xdr:from>
    <xdr:to>
      <xdr:col>27</xdr:col>
      <xdr:colOff>1335741</xdr:colOff>
      <xdr:row>5</xdr:row>
      <xdr:rowOff>35859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4B5E878-E126-46AE-AF40-6033EFB43F76}"/>
            </a:ext>
          </a:extLst>
        </xdr:cNvPr>
        <xdr:cNvCxnSpPr/>
      </xdr:nvCxnSpPr>
      <xdr:spPr>
        <a:xfrm flipH="1" flipV="1">
          <a:off x="15957176" y="753035"/>
          <a:ext cx="3558989" cy="13447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188258</xdr:colOff>
      <xdr:row>4</xdr:row>
      <xdr:rowOff>80682</xdr:rowOff>
    </xdr:from>
    <xdr:to>
      <xdr:col>26</xdr:col>
      <xdr:colOff>107576</xdr:colOff>
      <xdr:row>7</xdr:row>
      <xdr:rowOff>44823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421D16B6-3523-0A5A-2719-7939BB7A1494}"/>
            </a:ext>
          </a:extLst>
        </xdr:cNvPr>
        <xdr:cNvCxnSpPr/>
      </xdr:nvCxnSpPr>
      <xdr:spPr>
        <a:xfrm>
          <a:off x="8857129" y="762000"/>
          <a:ext cx="9233647" cy="475129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726141</xdr:colOff>
      <xdr:row>12</xdr:row>
      <xdr:rowOff>107577</xdr:rowOff>
    </xdr:from>
    <xdr:to>
      <xdr:col>27</xdr:col>
      <xdr:colOff>735105</xdr:colOff>
      <xdr:row>15</xdr:row>
      <xdr:rowOff>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351D6BE1-C7A0-EF77-45DA-FBE3AE4E8192}"/>
            </a:ext>
          </a:extLst>
        </xdr:cNvPr>
        <xdr:cNvCxnSpPr/>
      </xdr:nvCxnSpPr>
      <xdr:spPr>
        <a:xfrm flipH="1">
          <a:off x="18906565" y="2196353"/>
          <a:ext cx="8964" cy="43030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690281</xdr:colOff>
      <xdr:row>24</xdr:row>
      <xdr:rowOff>134471</xdr:rowOff>
    </xdr:from>
    <xdr:to>
      <xdr:col>27</xdr:col>
      <xdr:colOff>690282</xdr:colOff>
      <xdr:row>27</xdr:row>
      <xdr:rowOff>80682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25957873-4946-4308-801A-00415C1C73EC}"/>
            </a:ext>
          </a:extLst>
        </xdr:cNvPr>
        <xdr:cNvCxnSpPr/>
      </xdr:nvCxnSpPr>
      <xdr:spPr>
        <a:xfrm>
          <a:off x="18870705" y="4392706"/>
          <a:ext cx="1" cy="48409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277905</xdr:colOff>
      <xdr:row>2</xdr:row>
      <xdr:rowOff>98612</xdr:rowOff>
    </xdr:from>
    <xdr:to>
      <xdr:col>37</xdr:col>
      <xdr:colOff>430309</xdr:colOff>
      <xdr:row>55</xdr:row>
      <xdr:rowOff>62755</xdr:rowOff>
    </xdr:to>
    <xdr:cxnSp macro="">
      <xdr:nvCxnSpPr>
        <xdr:cNvPr id="25" name="Connector: Elbow 24">
          <a:extLst>
            <a:ext uri="{FF2B5EF4-FFF2-40B4-BE49-F238E27FC236}">
              <a16:creationId xmlns:a16="http://schemas.microsoft.com/office/drawing/2014/main" id="{D15ED270-0B0C-3A05-669B-8B2800620BC4}"/>
            </a:ext>
          </a:extLst>
        </xdr:cNvPr>
        <xdr:cNvCxnSpPr/>
      </xdr:nvCxnSpPr>
      <xdr:spPr>
        <a:xfrm rot="5400000" flipH="1" flipV="1">
          <a:off x="21694589" y="4787152"/>
          <a:ext cx="9457766" cy="762004"/>
        </a:xfrm>
        <a:prstGeom prst="bentConnector3">
          <a:avLst>
            <a:gd name="adj1" fmla="val 99953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34101-609D-4B2C-9341-44B07CA8A05F}">
  <dimension ref="B2:XFD31"/>
  <sheetViews>
    <sheetView topLeftCell="A7" workbookViewId="0">
      <selection activeCell="J14" sqref="J14"/>
    </sheetView>
  </sheetViews>
  <sheetFormatPr defaultRowHeight="13.2" x14ac:dyDescent="0.25"/>
  <cols>
    <col min="1" max="2" width="2.88671875" style="2" customWidth="1"/>
    <col min="3" max="3" width="22.33203125" style="2" customWidth="1"/>
    <col min="4" max="16384" width="8.88671875" style="2"/>
  </cols>
  <sheetData>
    <row r="2" spans="2:16384" ht="13.8" x14ac:dyDescent="0.25">
      <c r="C2" s="1" t="s">
        <v>281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  <c r="AMK2" s="4"/>
      <c r="AML2" s="4"/>
      <c r="AMM2" s="4"/>
      <c r="AMN2" s="4"/>
      <c r="AMO2" s="4"/>
      <c r="AMP2" s="4"/>
      <c r="AMQ2" s="4"/>
      <c r="AMR2" s="4"/>
      <c r="AMS2" s="4"/>
      <c r="AMT2" s="4"/>
      <c r="AMU2" s="4"/>
      <c r="AMV2" s="4"/>
      <c r="AMW2" s="4"/>
      <c r="AMX2" s="4"/>
      <c r="AMY2" s="4"/>
      <c r="AMZ2" s="4"/>
      <c r="ANA2" s="4"/>
      <c r="ANB2" s="4"/>
      <c r="ANC2" s="4"/>
      <c r="AND2" s="4"/>
      <c r="ANE2" s="4"/>
      <c r="ANF2" s="4"/>
      <c r="ANG2" s="4"/>
      <c r="ANH2" s="4"/>
      <c r="ANI2" s="4"/>
      <c r="ANJ2" s="4"/>
      <c r="ANK2" s="4"/>
      <c r="ANL2" s="4"/>
      <c r="ANM2" s="4"/>
      <c r="ANN2" s="4"/>
      <c r="ANO2" s="4"/>
      <c r="ANP2" s="4"/>
      <c r="ANQ2" s="4"/>
      <c r="ANR2" s="4"/>
      <c r="ANS2" s="4"/>
      <c r="ANT2" s="4"/>
      <c r="ANU2" s="4"/>
      <c r="ANV2" s="4"/>
      <c r="ANW2" s="4"/>
      <c r="ANX2" s="4"/>
      <c r="ANY2" s="4"/>
      <c r="ANZ2" s="4"/>
      <c r="AOA2" s="4"/>
      <c r="AOB2" s="4"/>
      <c r="AOC2" s="4"/>
      <c r="AOD2" s="4"/>
      <c r="AOE2" s="4"/>
      <c r="AOF2" s="4"/>
      <c r="AOG2" s="4"/>
      <c r="AOH2" s="4"/>
      <c r="AOI2" s="4"/>
      <c r="AOJ2" s="4"/>
      <c r="AOK2" s="4"/>
      <c r="AOL2" s="4"/>
      <c r="AOM2" s="4"/>
      <c r="AON2" s="4"/>
      <c r="AOO2" s="4"/>
      <c r="AOP2" s="4"/>
      <c r="AOQ2" s="4"/>
      <c r="AOR2" s="4"/>
      <c r="AOS2" s="4"/>
      <c r="AOT2" s="4"/>
      <c r="AOU2" s="4"/>
      <c r="AOV2" s="4"/>
      <c r="AOW2" s="4"/>
      <c r="AOX2" s="4"/>
      <c r="AOY2" s="4"/>
      <c r="AOZ2" s="4"/>
      <c r="APA2" s="4"/>
      <c r="APB2" s="4"/>
      <c r="APC2" s="4"/>
      <c r="APD2" s="4"/>
      <c r="APE2" s="4"/>
      <c r="APF2" s="4"/>
      <c r="APG2" s="4"/>
      <c r="APH2" s="4"/>
      <c r="API2" s="4"/>
      <c r="APJ2" s="4"/>
      <c r="APK2" s="4"/>
      <c r="APL2" s="4"/>
      <c r="APM2" s="4"/>
      <c r="APN2" s="4"/>
      <c r="APO2" s="4"/>
      <c r="APP2" s="4"/>
      <c r="APQ2" s="4"/>
      <c r="APR2" s="4"/>
      <c r="APS2" s="4"/>
      <c r="APT2" s="4"/>
      <c r="APU2" s="4"/>
      <c r="APV2" s="4"/>
      <c r="APW2" s="4"/>
      <c r="APX2" s="4"/>
      <c r="APY2" s="4"/>
      <c r="APZ2" s="4"/>
      <c r="AQA2" s="4"/>
      <c r="AQB2" s="4"/>
      <c r="AQC2" s="4"/>
      <c r="AQD2" s="4"/>
      <c r="AQE2" s="4"/>
      <c r="AQF2" s="4"/>
      <c r="AQG2" s="4"/>
      <c r="AQH2" s="4"/>
      <c r="AQI2" s="4"/>
      <c r="AQJ2" s="4"/>
      <c r="AQK2" s="4"/>
      <c r="AQL2" s="4"/>
      <c r="AQM2" s="4"/>
      <c r="AQN2" s="4"/>
      <c r="AQO2" s="4"/>
      <c r="AQP2" s="4"/>
      <c r="AQQ2" s="4"/>
      <c r="AQR2" s="4"/>
      <c r="AQS2" s="4"/>
      <c r="AQT2" s="4"/>
      <c r="AQU2" s="4"/>
      <c r="AQV2" s="4"/>
      <c r="AQW2" s="4"/>
      <c r="AQX2" s="4"/>
      <c r="AQY2" s="4"/>
      <c r="AQZ2" s="4"/>
      <c r="ARA2" s="4"/>
      <c r="ARB2" s="4"/>
      <c r="ARC2" s="4"/>
      <c r="ARD2" s="4"/>
      <c r="ARE2" s="4"/>
      <c r="ARF2" s="4"/>
      <c r="ARG2" s="4"/>
      <c r="ARH2" s="4"/>
      <c r="ARI2" s="4"/>
      <c r="ARJ2" s="4"/>
      <c r="ARK2" s="4"/>
      <c r="ARL2" s="4"/>
      <c r="ARM2" s="4"/>
      <c r="ARN2" s="4"/>
      <c r="ARO2" s="4"/>
      <c r="ARP2" s="4"/>
      <c r="ARQ2" s="4"/>
      <c r="ARR2" s="4"/>
      <c r="ARS2" s="4"/>
      <c r="ART2" s="4"/>
      <c r="ARU2" s="4"/>
      <c r="ARV2" s="4"/>
      <c r="ARW2" s="4"/>
      <c r="ARX2" s="4"/>
      <c r="ARY2" s="4"/>
      <c r="ARZ2" s="4"/>
      <c r="ASA2" s="4"/>
      <c r="ASB2" s="4"/>
      <c r="ASC2" s="4"/>
      <c r="ASD2" s="4"/>
      <c r="ASE2" s="4"/>
      <c r="ASF2" s="4"/>
      <c r="ASG2" s="4"/>
      <c r="ASH2" s="4"/>
      <c r="ASI2" s="4"/>
      <c r="ASJ2" s="4"/>
      <c r="ASK2" s="4"/>
      <c r="ASL2" s="4"/>
      <c r="ASM2" s="4"/>
      <c r="ASN2" s="4"/>
      <c r="ASO2" s="4"/>
      <c r="ASP2" s="4"/>
      <c r="ASQ2" s="4"/>
      <c r="ASR2" s="4"/>
      <c r="ASS2" s="4"/>
      <c r="AST2" s="4"/>
      <c r="ASU2" s="4"/>
      <c r="ASV2" s="4"/>
      <c r="ASW2" s="4"/>
      <c r="ASX2" s="4"/>
      <c r="ASY2" s="4"/>
      <c r="ASZ2" s="4"/>
      <c r="ATA2" s="4"/>
      <c r="ATB2" s="4"/>
      <c r="ATC2" s="4"/>
      <c r="ATD2" s="4"/>
      <c r="ATE2" s="4"/>
      <c r="ATF2" s="4"/>
      <c r="ATG2" s="4"/>
      <c r="ATH2" s="4"/>
      <c r="ATI2" s="4"/>
      <c r="ATJ2" s="4"/>
      <c r="ATK2" s="4"/>
      <c r="ATL2" s="4"/>
      <c r="ATM2" s="4"/>
      <c r="ATN2" s="4"/>
      <c r="ATO2" s="4"/>
      <c r="ATP2" s="4"/>
      <c r="ATQ2" s="4"/>
      <c r="ATR2" s="4"/>
      <c r="ATS2" s="4"/>
      <c r="ATT2" s="4"/>
      <c r="ATU2" s="4"/>
      <c r="ATV2" s="4"/>
      <c r="ATW2" s="4"/>
      <c r="ATX2" s="4"/>
      <c r="ATY2" s="4"/>
      <c r="ATZ2" s="4"/>
      <c r="AUA2" s="4"/>
      <c r="AUB2" s="4"/>
      <c r="AUC2" s="4"/>
      <c r="AUD2" s="4"/>
      <c r="AUE2" s="4"/>
      <c r="AUF2" s="4"/>
      <c r="AUG2" s="4"/>
      <c r="AUH2" s="4"/>
      <c r="AUI2" s="4"/>
      <c r="AUJ2" s="4"/>
      <c r="AUK2" s="4"/>
      <c r="AUL2" s="4"/>
      <c r="AUM2" s="4"/>
      <c r="AUN2" s="4"/>
      <c r="AUO2" s="4"/>
      <c r="AUP2" s="4"/>
      <c r="AUQ2" s="4"/>
      <c r="AUR2" s="4"/>
      <c r="AUS2" s="4"/>
      <c r="AUT2" s="4"/>
      <c r="AUU2" s="4"/>
      <c r="AUV2" s="4"/>
      <c r="AUW2" s="4"/>
      <c r="AUX2" s="4"/>
      <c r="AUY2" s="4"/>
      <c r="AUZ2" s="4"/>
      <c r="AVA2" s="4"/>
      <c r="AVB2" s="4"/>
      <c r="AVC2" s="4"/>
      <c r="AVD2" s="4"/>
      <c r="AVE2" s="4"/>
      <c r="AVF2" s="4"/>
      <c r="AVG2" s="4"/>
      <c r="AVH2" s="4"/>
      <c r="AVI2" s="4"/>
      <c r="AVJ2" s="4"/>
      <c r="AVK2" s="4"/>
      <c r="AVL2" s="4"/>
      <c r="AVM2" s="4"/>
      <c r="AVN2" s="4"/>
      <c r="AVO2" s="4"/>
      <c r="AVP2" s="4"/>
      <c r="AVQ2" s="4"/>
      <c r="AVR2" s="4"/>
      <c r="AVS2" s="4"/>
      <c r="AVT2" s="4"/>
      <c r="AVU2" s="4"/>
      <c r="AVV2" s="4"/>
      <c r="AVW2" s="4"/>
      <c r="AVX2" s="4"/>
      <c r="AVY2" s="4"/>
      <c r="AVZ2" s="4"/>
      <c r="AWA2" s="4"/>
      <c r="AWB2" s="4"/>
      <c r="AWC2" s="4"/>
      <c r="AWD2" s="4"/>
      <c r="AWE2" s="4"/>
      <c r="AWF2" s="4"/>
      <c r="AWG2" s="4"/>
      <c r="AWH2" s="4"/>
      <c r="AWI2" s="4"/>
      <c r="AWJ2" s="4"/>
      <c r="AWK2" s="4"/>
      <c r="AWL2" s="4"/>
      <c r="AWM2" s="4"/>
      <c r="AWN2" s="4"/>
      <c r="AWO2" s="4"/>
      <c r="AWP2" s="4"/>
      <c r="AWQ2" s="4"/>
      <c r="AWR2" s="4"/>
      <c r="AWS2" s="4"/>
      <c r="AWT2" s="4"/>
      <c r="AWU2" s="4"/>
      <c r="AWV2" s="4"/>
      <c r="AWW2" s="4"/>
      <c r="AWX2" s="4"/>
      <c r="AWY2" s="4"/>
      <c r="AWZ2" s="4"/>
      <c r="AXA2" s="4"/>
      <c r="AXB2" s="4"/>
      <c r="AXC2" s="4"/>
      <c r="AXD2" s="4"/>
      <c r="AXE2" s="4"/>
      <c r="AXF2" s="4"/>
      <c r="AXG2" s="4"/>
      <c r="AXH2" s="4"/>
      <c r="AXI2" s="4"/>
      <c r="AXJ2" s="4"/>
      <c r="AXK2" s="4"/>
      <c r="AXL2" s="4"/>
      <c r="AXM2" s="4"/>
      <c r="AXN2" s="4"/>
      <c r="AXO2" s="4"/>
      <c r="AXP2" s="4"/>
      <c r="AXQ2" s="4"/>
      <c r="AXR2" s="4"/>
      <c r="AXS2" s="4"/>
      <c r="AXT2" s="4"/>
      <c r="AXU2" s="4"/>
      <c r="AXV2" s="4"/>
      <c r="AXW2" s="4"/>
      <c r="AXX2" s="4"/>
      <c r="AXY2" s="4"/>
      <c r="AXZ2" s="4"/>
      <c r="AYA2" s="4"/>
      <c r="AYB2" s="4"/>
      <c r="AYC2" s="4"/>
      <c r="AYD2" s="4"/>
      <c r="AYE2" s="4"/>
      <c r="AYF2" s="4"/>
      <c r="AYG2" s="4"/>
      <c r="AYH2" s="4"/>
      <c r="AYI2" s="4"/>
      <c r="AYJ2" s="4"/>
      <c r="AYK2" s="4"/>
      <c r="AYL2" s="4"/>
      <c r="AYM2" s="4"/>
      <c r="AYN2" s="4"/>
      <c r="AYO2" s="4"/>
      <c r="AYP2" s="4"/>
      <c r="AYQ2" s="4"/>
      <c r="AYR2" s="4"/>
      <c r="AYS2" s="4"/>
      <c r="AYT2" s="4"/>
      <c r="AYU2" s="4"/>
      <c r="AYV2" s="4"/>
      <c r="AYW2" s="4"/>
      <c r="AYX2" s="4"/>
      <c r="AYY2" s="4"/>
      <c r="AYZ2" s="4"/>
      <c r="AZA2" s="4"/>
      <c r="AZB2" s="4"/>
      <c r="AZC2" s="4"/>
      <c r="AZD2" s="4"/>
      <c r="AZE2" s="4"/>
      <c r="AZF2" s="4"/>
      <c r="AZG2" s="4"/>
      <c r="AZH2" s="4"/>
      <c r="AZI2" s="4"/>
      <c r="AZJ2" s="4"/>
      <c r="AZK2" s="4"/>
      <c r="AZL2" s="4"/>
      <c r="AZM2" s="4"/>
      <c r="AZN2" s="4"/>
      <c r="AZO2" s="4"/>
      <c r="AZP2" s="4"/>
      <c r="AZQ2" s="4"/>
      <c r="AZR2" s="4"/>
      <c r="AZS2" s="4"/>
      <c r="AZT2" s="4"/>
      <c r="AZU2" s="4"/>
      <c r="AZV2" s="4"/>
      <c r="AZW2" s="4"/>
      <c r="AZX2" s="4"/>
      <c r="AZY2" s="4"/>
      <c r="AZZ2" s="4"/>
      <c r="BAA2" s="4"/>
      <c r="BAB2" s="4"/>
      <c r="BAC2" s="4"/>
      <c r="BAD2" s="4"/>
      <c r="BAE2" s="4"/>
      <c r="BAF2" s="4"/>
      <c r="BAG2" s="4"/>
      <c r="BAH2" s="4"/>
      <c r="BAI2" s="4"/>
      <c r="BAJ2" s="4"/>
      <c r="BAK2" s="4"/>
      <c r="BAL2" s="4"/>
      <c r="BAM2" s="4"/>
      <c r="BAN2" s="4"/>
      <c r="BAO2" s="4"/>
      <c r="BAP2" s="4"/>
      <c r="BAQ2" s="4"/>
      <c r="BAR2" s="4"/>
      <c r="BAS2" s="4"/>
      <c r="BAT2" s="4"/>
      <c r="BAU2" s="4"/>
      <c r="BAV2" s="4"/>
      <c r="BAW2" s="4"/>
      <c r="BAX2" s="4"/>
      <c r="BAY2" s="4"/>
      <c r="BAZ2" s="4"/>
      <c r="BBA2" s="4"/>
      <c r="BBB2" s="4"/>
      <c r="BBC2" s="4"/>
      <c r="BBD2" s="4"/>
      <c r="BBE2" s="4"/>
      <c r="BBF2" s="4"/>
      <c r="BBG2" s="4"/>
      <c r="BBH2" s="4"/>
      <c r="BBI2" s="4"/>
      <c r="BBJ2" s="4"/>
      <c r="BBK2" s="4"/>
      <c r="BBL2" s="4"/>
      <c r="BBM2" s="4"/>
      <c r="BBN2" s="4"/>
      <c r="BBO2" s="4"/>
      <c r="BBP2" s="4"/>
      <c r="BBQ2" s="4"/>
      <c r="BBR2" s="4"/>
      <c r="BBS2" s="4"/>
      <c r="BBT2" s="4"/>
      <c r="BBU2" s="4"/>
      <c r="BBV2" s="4"/>
      <c r="BBW2" s="4"/>
      <c r="BBX2" s="4"/>
      <c r="BBY2" s="4"/>
      <c r="BBZ2" s="4"/>
      <c r="BCA2" s="4"/>
      <c r="BCB2" s="4"/>
      <c r="BCC2" s="4"/>
      <c r="BCD2" s="4"/>
      <c r="BCE2" s="4"/>
      <c r="BCF2" s="4"/>
      <c r="BCG2" s="4"/>
      <c r="BCH2" s="4"/>
      <c r="BCI2" s="4"/>
      <c r="BCJ2" s="4"/>
      <c r="BCK2" s="4"/>
      <c r="BCL2" s="4"/>
      <c r="BCM2" s="4"/>
      <c r="BCN2" s="4"/>
      <c r="BCO2" s="4"/>
      <c r="BCP2" s="4"/>
      <c r="BCQ2" s="4"/>
      <c r="BCR2" s="4"/>
      <c r="BCS2" s="4"/>
      <c r="BCT2" s="4"/>
      <c r="BCU2" s="4"/>
      <c r="BCV2" s="4"/>
      <c r="BCW2" s="4"/>
      <c r="BCX2" s="4"/>
      <c r="BCY2" s="4"/>
      <c r="BCZ2" s="4"/>
      <c r="BDA2" s="4"/>
      <c r="BDB2" s="4"/>
      <c r="BDC2" s="4"/>
      <c r="BDD2" s="4"/>
      <c r="BDE2" s="4"/>
      <c r="BDF2" s="4"/>
      <c r="BDG2" s="4"/>
      <c r="BDH2" s="4"/>
      <c r="BDI2" s="4"/>
      <c r="BDJ2" s="4"/>
      <c r="BDK2" s="4"/>
      <c r="BDL2" s="4"/>
      <c r="BDM2" s="4"/>
      <c r="BDN2" s="4"/>
      <c r="BDO2" s="4"/>
      <c r="BDP2" s="4"/>
      <c r="BDQ2" s="4"/>
      <c r="BDR2" s="4"/>
      <c r="BDS2" s="4"/>
      <c r="BDT2" s="4"/>
      <c r="BDU2" s="4"/>
      <c r="BDV2" s="4"/>
      <c r="BDW2" s="4"/>
      <c r="BDX2" s="4"/>
      <c r="BDY2" s="4"/>
      <c r="BDZ2" s="4"/>
      <c r="BEA2" s="4"/>
      <c r="BEB2" s="4"/>
      <c r="BEC2" s="4"/>
      <c r="BED2" s="4"/>
      <c r="BEE2" s="4"/>
      <c r="BEF2" s="4"/>
      <c r="BEG2" s="4"/>
      <c r="BEH2" s="4"/>
      <c r="BEI2" s="4"/>
      <c r="BEJ2" s="4"/>
      <c r="BEK2" s="4"/>
      <c r="BEL2" s="4"/>
      <c r="BEM2" s="4"/>
      <c r="BEN2" s="4"/>
      <c r="BEO2" s="4"/>
      <c r="BEP2" s="4"/>
      <c r="BEQ2" s="4"/>
      <c r="BER2" s="4"/>
      <c r="BES2" s="4"/>
      <c r="BET2" s="4"/>
      <c r="BEU2" s="4"/>
      <c r="BEV2" s="4"/>
      <c r="BEW2" s="4"/>
      <c r="BEX2" s="4"/>
      <c r="BEY2" s="4"/>
      <c r="BEZ2" s="4"/>
      <c r="BFA2" s="4"/>
      <c r="BFB2" s="4"/>
      <c r="BFC2" s="4"/>
      <c r="BFD2" s="4"/>
      <c r="BFE2" s="4"/>
      <c r="BFF2" s="4"/>
      <c r="BFG2" s="4"/>
      <c r="BFH2" s="4"/>
      <c r="BFI2" s="4"/>
      <c r="BFJ2" s="4"/>
      <c r="BFK2" s="4"/>
      <c r="BFL2" s="4"/>
      <c r="BFM2" s="4"/>
      <c r="BFN2" s="4"/>
      <c r="BFO2" s="4"/>
      <c r="BFP2" s="4"/>
      <c r="BFQ2" s="4"/>
      <c r="BFR2" s="4"/>
      <c r="BFS2" s="4"/>
      <c r="BFT2" s="4"/>
      <c r="BFU2" s="4"/>
      <c r="BFV2" s="4"/>
      <c r="BFW2" s="4"/>
      <c r="BFX2" s="4"/>
      <c r="BFY2" s="4"/>
      <c r="BFZ2" s="4"/>
      <c r="BGA2" s="4"/>
      <c r="BGB2" s="4"/>
      <c r="BGC2" s="4"/>
      <c r="BGD2" s="4"/>
      <c r="BGE2" s="4"/>
      <c r="BGF2" s="4"/>
      <c r="BGG2" s="4"/>
      <c r="BGH2" s="4"/>
      <c r="BGI2" s="4"/>
      <c r="BGJ2" s="4"/>
      <c r="BGK2" s="4"/>
      <c r="BGL2" s="4"/>
      <c r="BGM2" s="4"/>
      <c r="BGN2" s="4"/>
      <c r="BGO2" s="4"/>
      <c r="BGP2" s="4"/>
      <c r="BGQ2" s="4"/>
      <c r="BGR2" s="4"/>
      <c r="BGS2" s="4"/>
      <c r="BGT2" s="4"/>
      <c r="BGU2" s="4"/>
      <c r="BGV2" s="4"/>
      <c r="BGW2" s="4"/>
      <c r="BGX2" s="4"/>
      <c r="BGY2" s="4"/>
      <c r="BGZ2" s="4"/>
      <c r="BHA2" s="4"/>
      <c r="BHB2" s="4"/>
      <c r="BHC2" s="4"/>
      <c r="BHD2" s="4"/>
      <c r="BHE2" s="4"/>
      <c r="BHF2" s="4"/>
      <c r="BHG2" s="4"/>
      <c r="BHH2" s="4"/>
      <c r="BHI2" s="4"/>
      <c r="BHJ2" s="4"/>
      <c r="BHK2" s="4"/>
      <c r="BHL2" s="4"/>
      <c r="BHM2" s="4"/>
      <c r="BHN2" s="4"/>
      <c r="BHO2" s="4"/>
      <c r="BHP2" s="4"/>
      <c r="BHQ2" s="4"/>
      <c r="BHR2" s="4"/>
      <c r="BHS2" s="4"/>
      <c r="BHT2" s="4"/>
      <c r="BHU2" s="4"/>
      <c r="BHV2" s="4"/>
      <c r="BHW2" s="4"/>
      <c r="BHX2" s="4"/>
      <c r="BHY2" s="4"/>
      <c r="BHZ2" s="4"/>
      <c r="BIA2" s="4"/>
      <c r="BIB2" s="4"/>
      <c r="BIC2" s="4"/>
      <c r="BID2" s="4"/>
      <c r="BIE2" s="4"/>
      <c r="BIF2" s="4"/>
      <c r="BIG2" s="4"/>
      <c r="BIH2" s="4"/>
      <c r="BII2" s="4"/>
      <c r="BIJ2" s="4"/>
      <c r="BIK2" s="4"/>
      <c r="BIL2" s="4"/>
      <c r="BIM2" s="4"/>
      <c r="BIN2" s="4"/>
      <c r="BIO2" s="4"/>
      <c r="BIP2" s="4"/>
      <c r="BIQ2" s="4"/>
      <c r="BIR2" s="4"/>
      <c r="BIS2" s="4"/>
      <c r="BIT2" s="4"/>
      <c r="BIU2" s="4"/>
      <c r="BIV2" s="4"/>
      <c r="BIW2" s="4"/>
      <c r="BIX2" s="4"/>
      <c r="BIY2" s="4"/>
      <c r="BIZ2" s="4"/>
      <c r="BJA2" s="4"/>
      <c r="BJB2" s="4"/>
      <c r="BJC2" s="4"/>
      <c r="BJD2" s="4"/>
      <c r="BJE2" s="4"/>
      <c r="BJF2" s="4"/>
      <c r="BJG2" s="4"/>
      <c r="BJH2" s="4"/>
      <c r="BJI2" s="4"/>
      <c r="BJJ2" s="4"/>
      <c r="BJK2" s="4"/>
      <c r="BJL2" s="4"/>
      <c r="BJM2" s="4"/>
      <c r="BJN2" s="4"/>
      <c r="BJO2" s="4"/>
      <c r="BJP2" s="4"/>
      <c r="BJQ2" s="4"/>
      <c r="BJR2" s="4"/>
      <c r="BJS2" s="4"/>
      <c r="BJT2" s="4"/>
      <c r="BJU2" s="4"/>
      <c r="BJV2" s="4"/>
      <c r="BJW2" s="4"/>
      <c r="BJX2" s="4"/>
      <c r="BJY2" s="4"/>
      <c r="BJZ2" s="4"/>
      <c r="BKA2" s="4"/>
      <c r="BKB2" s="4"/>
      <c r="BKC2" s="4"/>
      <c r="BKD2" s="4"/>
      <c r="BKE2" s="4"/>
      <c r="BKF2" s="4"/>
      <c r="BKG2" s="4"/>
      <c r="BKH2" s="4"/>
      <c r="BKI2" s="4"/>
      <c r="BKJ2" s="4"/>
      <c r="BKK2" s="4"/>
      <c r="BKL2" s="4"/>
      <c r="BKM2" s="4"/>
      <c r="BKN2" s="4"/>
      <c r="BKO2" s="4"/>
      <c r="BKP2" s="4"/>
      <c r="BKQ2" s="4"/>
      <c r="BKR2" s="4"/>
      <c r="BKS2" s="4"/>
      <c r="BKT2" s="4"/>
      <c r="BKU2" s="4"/>
      <c r="BKV2" s="4"/>
      <c r="BKW2" s="4"/>
      <c r="BKX2" s="4"/>
      <c r="BKY2" s="4"/>
      <c r="BKZ2" s="4"/>
      <c r="BLA2" s="4"/>
      <c r="BLB2" s="4"/>
      <c r="BLC2" s="4"/>
      <c r="BLD2" s="4"/>
      <c r="BLE2" s="4"/>
      <c r="BLF2" s="4"/>
      <c r="BLG2" s="4"/>
      <c r="BLH2" s="4"/>
      <c r="BLI2" s="4"/>
      <c r="BLJ2" s="4"/>
      <c r="BLK2" s="4"/>
      <c r="BLL2" s="4"/>
      <c r="BLM2" s="4"/>
      <c r="BLN2" s="4"/>
      <c r="BLO2" s="4"/>
      <c r="BLP2" s="4"/>
      <c r="BLQ2" s="4"/>
      <c r="BLR2" s="4"/>
      <c r="BLS2" s="4"/>
      <c r="BLT2" s="4"/>
      <c r="BLU2" s="4"/>
      <c r="BLV2" s="4"/>
      <c r="BLW2" s="4"/>
      <c r="BLX2" s="4"/>
      <c r="BLY2" s="4"/>
      <c r="BLZ2" s="4"/>
      <c r="BMA2" s="4"/>
      <c r="BMB2" s="4"/>
      <c r="BMC2" s="4"/>
      <c r="BMD2" s="4"/>
      <c r="BME2" s="4"/>
      <c r="BMF2" s="4"/>
      <c r="BMG2" s="4"/>
      <c r="BMH2" s="4"/>
      <c r="BMI2" s="4"/>
      <c r="BMJ2" s="4"/>
      <c r="BMK2" s="4"/>
      <c r="BML2" s="4"/>
      <c r="BMM2" s="4"/>
      <c r="BMN2" s="4"/>
      <c r="BMO2" s="4"/>
      <c r="BMP2" s="4"/>
      <c r="BMQ2" s="4"/>
      <c r="BMR2" s="4"/>
      <c r="BMS2" s="4"/>
      <c r="BMT2" s="4"/>
      <c r="BMU2" s="4"/>
      <c r="BMV2" s="4"/>
      <c r="BMW2" s="4"/>
      <c r="BMX2" s="4"/>
      <c r="BMY2" s="4"/>
      <c r="BMZ2" s="4"/>
      <c r="BNA2" s="4"/>
      <c r="BNB2" s="4"/>
      <c r="BNC2" s="4"/>
      <c r="BND2" s="4"/>
      <c r="BNE2" s="4"/>
      <c r="BNF2" s="4"/>
      <c r="BNG2" s="4"/>
      <c r="BNH2" s="4"/>
      <c r="BNI2" s="4"/>
      <c r="BNJ2" s="4"/>
      <c r="BNK2" s="4"/>
      <c r="BNL2" s="4"/>
      <c r="BNM2" s="4"/>
      <c r="BNN2" s="4"/>
      <c r="BNO2" s="4"/>
      <c r="BNP2" s="4"/>
      <c r="BNQ2" s="4"/>
      <c r="BNR2" s="4"/>
      <c r="BNS2" s="4"/>
      <c r="BNT2" s="4"/>
      <c r="BNU2" s="4"/>
      <c r="BNV2" s="4"/>
      <c r="BNW2" s="4"/>
      <c r="BNX2" s="4"/>
      <c r="BNY2" s="4"/>
      <c r="BNZ2" s="4"/>
      <c r="BOA2" s="4"/>
      <c r="BOB2" s="4"/>
      <c r="BOC2" s="4"/>
      <c r="BOD2" s="4"/>
      <c r="BOE2" s="4"/>
      <c r="BOF2" s="4"/>
      <c r="BOG2" s="4"/>
      <c r="BOH2" s="4"/>
      <c r="BOI2" s="4"/>
      <c r="BOJ2" s="4"/>
      <c r="BOK2" s="4"/>
      <c r="BOL2" s="4"/>
      <c r="BOM2" s="4"/>
      <c r="BON2" s="4"/>
      <c r="BOO2" s="4"/>
      <c r="BOP2" s="4"/>
      <c r="BOQ2" s="4"/>
      <c r="BOR2" s="4"/>
      <c r="BOS2" s="4"/>
      <c r="BOT2" s="4"/>
      <c r="BOU2" s="4"/>
      <c r="BOV2" s="4"/>
      <c r="BOW2" s="4"/>
      <c r="BOX2" s="4"/>
      <c r="BOY2" s="4"/>
      <c r="BOZ2" s="4"/>
      <c r="BPA2" s="4"/>
      <c r="BPB2" s="4"/>
      <c r="BPC2" s="4"/>
      <c r="BPD2" s="4"/>
      <c r="BPE2" s="4"/>
      <c r="BPF2" s="4"/>
      <c r="BPG2" s="4"/>
      <c r="BPH2" s="4"/>
      <c r="BPI2" s="4"/>
      <c r="BPJ2" s="4"/>
      <c r="BPK2" s="4"/>
      <c r="BPL2" s="4"/>
      <c r="BPM2" s="4"/>
      <c r="BPN2" s="4"/>
      <c r="BPO2" s="4"/>
      <c r="BPP2" s="4"/>
      <c r="BPQ2" s="4"/>
      <c r="BPR2" s="4"/>
      <c r="BPS2" s="4"/>
      <c r="BPT2" s="4"/>
      <c r="BPU2" s="4"/>
      <c r="BPV2" s="4"/>
      <c r="BPW2" s="4"/>
      <c r="BPX2" s="4"/>
      <c r="BPY2" s="4"/>
      <c r="BPZ2" s="4"/>
      <c r="BQA2" s="4"/>
      <c r="BQB2" s="4"/>
      <c r="BQC2" s="4"/>
      <c r="BQD2" s="4"/>
      <c r="BQE2" s="4"/>
      <c r="BQF2" s="4"/>
      <c r="BQG2" s="4"/>
      <c r="BQH2" s="4"/>
      <c r="BQI2" s="4"/>
      <c r="BQJ2" s="4"/>
      <c r="BQK2" s="4"/>
      <c r="BQL2" s="4"/>
      <c r="BQM2" s="4"/>
      <c r="BQN2" s="4"/>
      <c r="BQO2" s="4"/>
      <c r="BQP2" s="4"/>
      <c r="BQQ2" s="4"/>
      <c r="BQR2" s="4"/>
      <c r="BQS2" s="4"/>
      <c r="BQT2" s="4"/>
      <c r="BQU2" s="4"/>
      <c r="BQV2" s="4"/>
      <c r="BQW2" s="4"/>
      <c r="BQX2" s="4"/>
      <c r="BQY2" s="4"/>
      <c r="BQZ2" s="4"/>
      <c r="BRA2" s="4"/>
      <c r="BRB2" s="4"/>
      <c r="BRC2" s="4"/>
      <c r="BRD2" s="4"/>
      <c r="BRE2" s="4"/>
      <c r="BRF2" s="4"/>
      <c r="BRG2" s="4"/>
      <c r="BRH2" s="4"/>
      <c r="BRI2" s="4"/>
      <c r="BRJ2" s="4"/>
      <c r="BRK2" s="4"/>
      <c r="BRL2" s="4"/>
      <c r="BRM2" s="4"/>
      <c r="BRN2" s="4"/>
      <c r="BRO2" s="4"/>
      <c r="BRP2" s="4"/>
      <c r="BRQ2" s="4"/>
      <c r="BRR2" s="4"/>
      <c r="BRS2" s="4"/>
      <c r="BRT2" s="4"/>
      <c r="BRU2" s="4"/>
      <c r="BRV2" s="4"/>
      <c r="BRW2" s="4"/>
      <c r="BRX2" s="4"/>
      <c r="BRY2" s="4"/>
      <c r="BRZ2" s="4"/>
      <c r="BSA2" s="4"/>
      <c r="BSB2" s="4"/>
      <c r="BSC2" s="4"/>
      <c r="BSD2" s="4"/>
      <c r="BSE2" s="4"/>
      <c r="BSF2" s="4"/>
      <c r="BSG2" s="4"/>
      <c r="BSH2" s="4"/>
      <c r="BSI2" s="4"/>
      <c r="BSJ2" s="4"/>
      <c r="BSK2" s="4"/>
      <c r="BSL2" s="4"/>
      <c r="BSM2" s="4"/>
      <c r="BSN2" s="4"/>
      <c r="BSO2" s="4"/>
      <c r="BSP2" s="4"/>
      <c r="BSQ2" s="4"/>
      <c r="BSR2" s="4"/>
      <c r="BSS2" s="4"/>
      <c r="BST2" s="4"/>
      <c r="BSU2" s="4"/>
      <c r="BSV2" s="4"/>
      <c r="BSW2" s="4"/>
      <c r="BSX2" s="4"/>
      <c r="BSY2" s="4"/>
      <c r="BSZ2" s="4"/>
      <c r="BTA2" s="4"/>
      <c r="BTB2" s="4"/>
      <c r="BTC2" s="4"/>
      <c r="BTD2" s="4"/>
      <c r="BTE2" s="4"/>
      <c r="BTF2" s="4"/>
      <c r="BTG2" s="4"/>
      <c r="BTH2" s="4"/>
      <c r="BTI2" s="4"/>
      <c r="BTJ2" s="4"/>
      <c r="BTK2" s="4"/>
      <c r="BTL2" s="4"/>
      <c r="BTM2" s="4"/>
      <c r="BTN2" s="4"/>
      <c r="BTO2" s="4"/>
      <c r="BTP2" s="4"/>
      <c r="BTQ2" s="4"/>
      <c r="BTR2" s="4"/>
      <c r="BTS2" s="4"/>
      <c r="BTT2" s="4"/>
      <c r="BTU2" s="4"/>
      <c r="BTV2" s="4"/>
      <c r="BTW2" s="4"/>
      <c r="BTX2" s="4"/>
      <c r="BTY2" s="4"/>
      <c r="BTZ2" s="4"/>
      <c r="BUA2" s="4"/>
      <c r="BUB2" s="4"/>
      <c r="BUC2" s="4"/>
      <c r="BUD2" s="4"/>
      <c r="BUE2" s="4"/>
      <c r="BUF2" s="4"/>
      <c r="BUG2" s="4"/>
      <c r="BUH2" s="4"/>
      <c r="BUI2" s="4"/>
      <c r="BUJ2" s="4"/>
      <c r="BUK2" s="4"/>
      <c r="BUL2" s="4"/>
      <c r="BUM2" s="4"/>
      <c r="BUN2" s="4"/>
      <c r="BUO2" s="4"/>
      <c r="BUP2" s="4"/>
      <c r="BUQ2" s="4"/>
      <c r="BUR2" s="4"/>
      <c r="BUS2" s="4"/>
      <c r="BUT2" s="4"/>
      <c r="BUU2" s="4"/>
      <c r="BUV2" s="4"/>
      <c r="BUW2" s="4"/>
      <c r="BUX2" s="4"/>
      <c r="BUY2" s="4"/>
      <c r="BUZ2" s="4"/>
      <c r="BVA2" s="4"/>
      <c r="BVB2" s="4"/>
      <c r="BVC2" s="4"/>
      <c r="BVD2" s="4"/>
      <c r="BVE2" s="4"/>
      <c r="BVF2" s="4"/>
      <c r="BVG2" s="4"/>
      <c r="BVH2" s="4"/>
      <c r="BVI2" s="4"/>
      <c r="BVJ2" s="4"/>
      <c r="BVK2" s="4"/>
      <c r="BVL2" s="4"/>
      <c r="BVM2" s="4"/>
      <c r="BVN2" s="4"/>
      <c r="BVO2" s="4"/>
      <c r="BVP2" s="4"/>
      <c r="BVQ2" s="4"/>
      <c r="BVR2" s="4"/>
      <c r="BVS2" s="4"/>
      <c r="BVT2" s="4"/>
      <c r="BVU2" s="4"/>
      <c r="BVV2" s="4"/>
      <c r="BVW2" s="4"/>
      <c r="BVX2" s="4"/>
      <c r="BVY2" s="4"/>
      <c r="BVZ2" s="4"/>
      <c r="BWA2" s="4"/>
      <c r="BWB2" s="4"/>
      <c r="BWC2" s="4"/>
      <c r="BWD2" s="4"/>
      <c r="BWE2" s="4"/>
      <c r="BWF2" s="4"/>
      <c r="BWG2" s="4"/>
      <c r="BWH2" s="4"/>
      <c r="BWI2" s="4"/>
      <c r="BWJ2" s="4"/>
      <c r="BWK2" s="4"/>
      <c r="BWL2" s="4"/>
      <c r="BWM2" s="4"/>
      <c r="BWN2" s="4"/>
      <c r="BWO2" s="4"/>
      <c r="BWP2" s="4"/>
      <c r="BWQ2" s="4"/>
      <c r="BWR2" s="4"/>
      <c r="BWS2" s="4"/>
      <c r="BWT2" s="4"/>
      <c r="BWU2" s="4"/>
      <c r="BWV2" s="4"/>
      <c r="BWW2" s="4"/>
      <c r="BWX2" s="4"/>
      <c r="BWY2" s="4"/>
      <c r="BWZ2" s="4"/>
      <c r="BXA2" s="4"/>
      <c r="BXB2" s="4"/>
      <c r="BXC2" s="4"/>
      <c r="BXD2" s="4"/>
      <c r="BXE2" s="4"/>
      <c r="BXF2" s="4"/>
      <c r="BXG2" s="4"/>
      <c r="BXH2" s="4"/>
      <c r="BXI2" s="4"/>
      <c r="BXJ2" s="4"/>
      <c r="BXK2" s="4"/>
      <c r="BXL2" s="4"/>
      <c r="BXM2" s="4"/>
      <c r="BXN2" s="4"/>
      <c r="BXO2" s="4"/>
      <c r="BXP2" s="4"/>
      <c r="BXQ2" s="4"/>
      <c r="BXR2" s="4"/>
      <c r="BXS2" s="4"/>
      <c r="BXT2" s="4"/>
      <c r="BXU2" s="4"/>
      <c r="BXV2" s="4"/>
      <c r="BXW2" s="4"/>
      <c r="BXX2" s="4"/>
      <c r="BXY2" s="4"/>
      <c r="BXZ2" s="4"/>
      <c r="BYA2" s="4"/>
      <c r="BYB2" s="4"/>
      <c r="BYC2" s="4"/>
      <c r="BYD2" s="4"/>
      <c r="BYE2" s="4"/>
      <c r="BYF2" s="4"/>
      <c r="BYG2" s="4"/>
      <c r="BYH2" s="4"/>
      <c r="BYI2" s="4"/>
      <c r="BYJ2" s="4"/>
      <c r="BYK2" s="4"/>
      <c r="BYL2" s="4"/>
      <c r="BYM2" s="4"/>
      <c r="BYN2" s="4"/>
      <c r="BYO2" s="4"/>
      <c r="BYP2" s="4"/>
      <c r="BYQ2" s="4"/>
      <c r="BYR2" s="4"/>
      <c r="BYS2" s="4"/>
      <c r="BYT2" s="4"/>
      <c r="BYU2" s="4"/>
      <c r="BYV2" s="4"/>
      <c r="BYW2" s="4"/>
      <c r="BYX2" s="4"/>
      <c r="BYY2" s="4"/>
      <c r="BYZ2" s="4"/>
      <c r="BZA2" s="4"/>
      <c r="BZB2" s="4"/>
      <c r="BZC2" s="4"/>
      <c r="BZD2" s="4"/>
      <c r="BZE2" s="4"/>
      <c r="BZF2" s="4"/>
      <c r="BZG2" s="4"/>
      <c r="BZH2" s="4"/>
      <c r="BZI2" s="4"/>
      <c r="BZJ2" s="4"/>
      <c r="BZK2" s="4"/>
      <c r="BZL2" s="4"/>
      <c r="BZM2" s="4"/>
      <c r="BZN2" s="4"/>
      <c r="BZO2" s="4"/>
      <c r="BZP2" s="4"/>
      <c r="BZQ2" s="4"/>
      <c r="BZR2" s="4"/>
      <c r="BZS2" s="4"/>
      <c r="BZT2" s="4"/>
      <c r="BZU2" s="4"/>
      <c r="BZV2" s="4"/>
      <c r="BZW2" s="4"/>
      <c r="BZX2" s="4"/>
      <c r="BZY2" s="4"/>
      <c r="BZZ2" s="4"/>
      <c r="CAA2" s="4"/>
      <c r="CAB2" s="4"/>
      <c r="CAC2" s="4"/>
      <c r="CAD2" s="4"/>
      <c r="CAE2" s="4"/>
      <c r="CAF2" s="4"/>
      <c r="CAG2" s="4"/>
      <c r="CAH2" s="4"/>
      <c r="CAI2" s="4"/>
      <c r="CAJ2" s="4"/>
      <c r="CAK2" s="4"/>
      <c r="CAL2" s="4"/>
      <c r="CAM2" s="4"/>
      <c r="CAN2" s="4"/>
      <c r="CAO2" s="4"/>
      <c r="CAP2" s="4"/>
      <c r="CAQ2" s="4"/>
      <c r="CAR2" s="4"/>
      <c r="CAS2" s="4"/>
      <c r="CAT2" s="4"/>
      <c r="CAU2" s="4"/>
      <c r="CAV2" s="4"/>
      <c r="CAW2" s="4"/>
      <c r="CAX2" s="4"/>
      <c r="CAY2" s="4"/>
      <c r="CAZ2" s="4"/>
      <c r="CBA2" s="4"/>
      <c r="CBB2" s="4"/>
      <c r="CBC2" s="4"/>
      <c r="CBD2" s="4"/>
      <c r="CBE2" s="4"/>
      <c r="CBF2" s="4"/>
      <c r="CBG2" s="4"/>
      <c r="CBH2" s="4"/>
      <c r="CBI2" s="4"/>
      <c r="CBJ2" s="4"/>
      <c r="CBK2" s="4"/>
      <c r="CBL2" s="4"/>
      <c r="CBM2" s="4"/>
      <c r="CBN2" s="4"/>
      <c r="CBO2" s="4"/>
      <c r="CBP2" s="4"/>
      <c r="CBQ2" s="4"/>
      <c r="CBR2" s="4"/>
      <c r="CBS2" s="4"/>
      <c r="CBT2" s="4"/>
      <c r="CBU2" s="4"/>
      <c r="CBV2" s="4"/>
      <c r="CBW2" s="4"/>
      <c r="CBX2" s="4"/>
      <c r="CBY2" s="4"/>
      <c r="CBZ2" s="4"/>
      <c r="CCA2" s="4"/>
      <c r="CCB2" s="4"/>
      <c r="CCC2" s="4"/>
      <c r="CCD2" s="4"/>
      <c r="CCE2" s="4"/>
      <c r="CCF2" s="4"/>
      <c r="CCG2" s="4"/>
      <c r="CCH2" s="4"/>
      <c r="CCI2" s="4"/>
      <c r="CCJ2" s="4"/>
      <c r="CCK2" s="4"/>
      <c r="CCL2" s="4"/>
      <c r="CCM2" s="4"/>
      <c r="CCN2" s="4"/>
      <c r="CCO2" s="4"/>
      <c r="CCP2" s="4"/>
      <c r="CCQ2" s="4"/>
      <c r="CCR2" s="4"/>
      <c r="CCS2" s="4"/>
      <c r="CCT2" s="4"/>
      <c r="CCU2" s="4"/>
      <c r="CCV2" s="4"/>
      <c r="CCW2" s="4"/>
      <c r="CCX2" s="4"/>
      <c r="CCY2" s="4"/>
      <c r="CCZ2" s="4"/>
      <c r="CDA2" s="4"/>
      <c r="CDB2" s="4"/>
      <c r="CDC2" s="4"/>
      <c r="CDD2" s="4"/>
      <c r="CDE2" s="4"/>
      <c r="CDF2" s="4"/>
      <c r="CDG2" s="4"/>
      <c r="CDH2" s="4"/>
      <c r="CDI2" s="4"/>
      <c r="CDJ2" s="4"/>
      <c r="CDK2" s="4"/>
      <c r="CDL2" s="4"/>
      <c r="CDM2" s="4"/>
      <c r="CDN2" s="4"/>
      <c r="CDO2" s="4"/>
      <c r="CDP2" s="4"/>
      <c r="CDQ2" s="4"/>
      <c r="CDR2" s="4"/>
      <c r="CDS2" s="4"/>
      <c r="CDT2" s="4"/>
      <c r="CDU2" s="4"/>
      <c r="CDV2" s="4"/>
      <c r="CDW2" s="4"/>
      <c r="CDX2" s="4"/>
      <c r="CDY2" s="4"/>
      <c r="CDZ2" s="4"/>
      <c r="CEA2" s="4"/>
      <c r="CEB2" s="4"/>
      <c r="CEC2" s="4"/>
      <c r="CED2" s="4"/>
      <c r="CEE2" s="4"/>
      <c r="CEF2" s="4"/>
      <c r="CEG2" s="4"/>
      <c r="CEH2" s="4"/>
      <c r="CEI2" s="4"/>
      <c r="CEJ2" s="4"/>
      <c r="CEK2" s="4"/>
      <c r="CEL2" s="4"/>
      <c r="CEM2" s="4"/>
      <c r="CEN2" s="4"/>
      <c r="CEO2" s="4"/>
      <c r="CEP2" s="4"/>
      <c r="CEQ2" s="4"/>
      <c r="CER2" s="4"/>
      <c r="CES2" s="4"/>
      <c r="CET2" s="4"/>
      <c r="CEU2" s="4"/>
      <c r="CEV2" s="4"/>
      <c r="CEW2" s="4"/>
      <c r="CEX2" s="4"/>
      <c r="CEY2" s="4"/>
      <c r="CEZ2" s="4"/>
      <c r="CFA2" s="4"/>
      <c r="CFB2" s="4"/>
      <c r="CFC2" s="4"/>
      <c r="CFD2" s="4"/>
      <c r="CFE2" s="4"/>
      <c r="CFF2" s="4"/>
      <c r="CFG2" s="4"/>
      <c r="CFH2" s="4"/>
      <c r="CFI2" s="4"/>
      <c r="CFJ2" s="4"/>
      <c r="CFK2" s="4"/>
      <c r="CFL2" s="4"/>
      <c r="CFM2" s="4"/>
      <c r="CFN2" s="4"/>
      <c r="CFO2" s="4"/>
      <c r="CFP2" s="4"/>
      <c r="CFQ2" s="4"/>
      <c r="CFR2" s="4"/>
      <c r="CFS2" s="4"/>
      <c r="CFT2" s="4"/>
      <c r="CFU2" s="4"/>
      <c r="CFV2" s="4"/>
      <c r="CFW2" s="4"/>
      <c r="CFX2" s="4"/>
      <c r="CFY2" s="4"/>
      <c r="CFZ2" s="4"/>
      <c r="CGA2" s="4"/>
      <c r="CGB2" s="4"/>
      <c r="CGC2" s="4"/>
      <c r="CGD2" s="4"/>
      <c r="CGE2" s="4"/>
      <c r="CGF2" s="4"/>
      <c r="CGG2" s="4"/>
      <c r="CGH2" s="4"/>
      <c r="CGI2" s="4"/>
      <c r="CGJ2" s="4"/>
      <c r="CGK2" s="4"/>
      <c r="CGL2" s="4"/>
      <c r="CGM2" s="4"/>
      <c r="CGN2" s="4"/>
      <c r="CGO2" s="4"/>
      <c r="CGP2" s="4"/>
      <c r="CGQ2" s="4"/>
      <c r="CGR2" s="4"/>
      <c r="CGS2" s="4"/>
      <c r="CGT2" s="4"/>
      <c r="CGU2" s="4"/>
      <c r="CGV2" s="4"/>
      <c r="CGW2" s="4"/>
      <c r="CGX2" s="4"/>
      <c r="CGY2" s="4"/>
      <c r="CGZ2" s="4"/>
      <c r="CHA2" s="4"/>
      <c r="CHB2" s="4"/>
      <c r="CHC2" s="4"/>
      <c r="CHD2" s="4"/>
      <c r="CHE2" s="4"/>
      <c r="CHF2" s="4"/>
      <c r="CHG2" s="4"/>
      <c r="CHH2" s="4"/>
      <c r="CHI2" s="4"/>
      <c r="CHJ2" s="4"/>
      <c r="CHK2" s="4"/>
      <c r="CHL2" s="4"/>
      <c r="CHM2" s="4"/>
      <c r="CHN2" s="4"/>
      <c r="CHO2" s="4"/>
      <c r="CHP2" s="4"/>
      <c r="CHQ2" s="4"/>
      <c r="CHR2" s="4"/>
      <c r="CHS2" s="4"/>
      <c r="CHT2" s="4"/>
      <c r="CHU2" s="4"/>
      <c r="CHV2" s="4"/>
      <c r="CHW2" s="4"/>
      <c r="CHX2" s="4"/>
      <c r="CHY2" s="4"/>
      <c r="CHZ2" s="4"/>
      <c r="CIA2" s="4"/>
      <c r="CIB2" s="4"/>
      <c r="CIC2" s="4"/>
      <c r="CID2" s="4"/>
      <c r="CIE2" s="4"/>
      <c r="CIF2" s="4"/>
      <c r="CIG2" s="4"/>
      <c r="CIH2" s="4"/>
      <c r="CII2" s="4"/>
      <c r="CIJ2" s="4"/>
      <c r="CIK2" s="4"/>
      <c r="CIL2" s="4"/>
      <c r="CIM2" s="4"/>
      <c r="CIN2" s="4"/>
      <c r="CIO2" s="4"/>
      <c r="CIP2" s="4"/>
      <c r="CIQ2" s="4"/>
      <c r="CIR2" s="4"/>
      <c r="CIS2" s="4"/>
      <c r="CIT2" s="4"/>
      <c r="CIU2" s="4"/>
      <c r="CIV2" s="4"/>
      <c r="CIW2" s="4"/>
      <c r="CIX2" s="4"/>
      <c r="CIY2" s="4"/>
      <c r="CIZ2" s="4"/>
      <c r="CJA2" s="4"/>
      <c r="CJB2" s="4"/>
      <c r="CJC2" s="4"/>
      <c r="CJD2" s="4"/>
      <c r="CJE2" s="4"/>
      <c r="CJF2" s="4"/>
      <c r="CJG2" s="4"/>
      <c r="CJH2" s="4"/>
      <c r="CJI2" s="4"/>
      <c r="CJJ2" s="4"/>
      <c r="CJK2" s="4"/>
      <c r="CJL2" s="4"/>
      <c r="CJM2" s="4"/>
      <c r="CJN2" s="4"/>
      <c r="CJO2" s="4"/>
      <c r="CJP2" s="4"/>
      <c r="CJQ2" s="4"/>
      <c r="CJR2" s="4"/>
      <c r="CJS2" s="4"/>
      <c r="CJT2" s="4"/>
      <c r="CJU2" s="4"/>
      <c r="CJV2" s="4"/>
      <c r="CJW2" s="4"/>
      <c r="CJX2" s="4"/>
      <c r="CJY2" s="4"/>
      <c r="CJZ2" s="4"/>
      <c r="CKA2" s="4"/>
      <c r="CKB2" s="4"/>
      <c r="CKC2" s="4"/>
      <c r="CKD2" s="4"/>
      <c r="CKE2" s="4"/>
      <c r="CKF2" s="4"/>
      <c r="CKG2" s="4"/>
      <c r="CKH2" s="4"/>
      <c r="CKI2" s="4"/>
      <c r="CKJ2" s="4"/>
      <c r="CKK2" s="4"/>
      <c r="CKL2" s="4"/>
      <c r="CKM2" s="4"/>
      <c r="CKN2" s="4"/>
      <c r="CKO2" s="4"/>
      <c r="CKP2" s="4"/>
      <c r="CKQ2" s="4"/>
      <c r="CKR2" s="4"/>
      <c r="CKS2" s="4"/>
      <c r="CKT2" s="4"/>
      <c r="CKU2" s="4"/>
      <c r="CKV2" s="4"/>
      <c r="CKW2" s="4"/>
      <c r="CKX2" s="4"/>
      <c r="CKY2" s="4"/>
      <c r="CKZ2" s="4"/>
      <c r="CLA2" s="4"/>
      <c r="CLB2" s="4"/>
      <c r="CLC2" s="4"/>
      <c r="CLD2" s="4"/>
      <c r="CLE2" s="4"/>
      <c r="CLF2" s="4"/>
      <c r="CLG2" s="4"/>
      <c r="CLH2" s="4"/>
      <c r="CLI2" s="4"/>
      <c r="CLJ2" s="4"/>
      <c r="CLK2" s="4"/>
      <c r="CLL2" s="4"/>
      <c r="CLM2" s="4"/>
      <c r="CLN2" s="4"/>
      <c r="CLO2" s="4"/>
      <c r="CLP2" s="4"/>
      <c r="CLQ2" s="4"/>
      <c r="CLR2" s="4"/>
      <c r="CLS2" s="4"/>
      <c r="CLT2" s="4"/>
      <c r="CLU2" s="4"/>
      <c r="CLV2" s="4"/>
      <c r="CLW2" s="4"/>
      <c r="CLX2" s="4"/>
      <c r="CLY2" s="4"/>
      <c r="CLZ2" s="4"/>
      <c r="CMA2" s="4"/>
      <c r="CMB2" s="4"/>
      <c r="CMC2" s="4"/>
      <c r="CMD2" s="4"/>
      <c r="CME2" s="4"/>
      <c r="CMF2" s="4"/>
      <c r="CMG2" s="4"/>
      <c r="CMH2" s="4"/>
      <c r="CMI2" s="4"/>
      <c r="CMJ2" s="4"/>
      <c r="CMK2" s="4"/>
      <c r="CML2" s="4"/>
      <c r="CMM2" s="4"/>
      <c r="CMN2" s="4"/>
      <c r="CMO2" s="4"/>
      <c r="CMP2" s="4"/>
      <c r="CMQ2" s="4"/>
      <c r="CMR2" s="4"/>
      <c r="CMS2" s="4"/>
      <c r="CMT2" s="4"/>
      <c r="CMU2" s="4"/>
      <c r="CMV2" s="4"/>
      <c r="CMW2" s="4"/>
      <c r="CMX2" s="4"/>
      <c r="CMY2" s="4"/>
      <c r="CMZ2" s="4"/>
      <c r="CNA2" s="4"/>
      <c r="CNB2" s="4"/>
      <c r="CNC2" s="4"/>
      <c r="CND2" s="4"/>
      <c r="CNE2" s="4"/>
      <c r="CNF2" s="4"/>
      <c r="CNG2" s="4"/>
      <c r="CNH2" s="4"/>
      <c r="CNI2" s="4"/>
      <c r="CNJ2" s="4"/>
      <c r="CNK2" s="4"/>
      <c r="CNL2" s="4"/>
      <c r="CNM2" s="4"/>
      <c r="CNN2" s="4"/>
      <c r="CNO2" s="4"/>
      <c r="CNP2" s="4"/>
      <c r="CNQ2" s="4"/>
      <c r="CNR2" s="4"/>
      <c r="CNS2" s="4"/>
      <c r="CNT2" s="4"/>
      <c r="CNU2" s="4"/>
      <c r="CNV2" s="4"/>
      <c r="CNW2" s="4"/>
      <c r="CNX2" s="4"/>
      <c r="CNY2" s="4"/>
      <c r="CNZ2" s="4"/>
      <c r="COA2" s="4"/>
      <c r="COB2" s="4"/>
      <c r="COC2" s="4"/>
      <c r="COD2" s="4"/>
      <c r="COE2" s="4"/>
      <c r="COF2" s="4"/>
      <c r="COG2" s="4"/>
      <c r="COH2" s="4"/>
      <c r="COI2" s="4"/>
      <c r="COJ2" s="4"/>
      <c r="COK2" s="4"/>
      <c r="COL2" s="4"/>
      <c r="COM2" s="4"/>
      <c r="CON2" s="4"/>
      <c r="COO2" s="4"/>
      <c r="COP2" s="4"/>
      <c r="COQ2" s="4"/>
      <c r="COR2" s="4"/>
      <c r="COS2" s="4"/>
      <c r="COT2" s="4"/>
      <c r="COU2" s="4"/>
      <c r="COV2" s="4"/>
      <c r="COW2" s="4"/>
      <c r="COX2" s="4"/>
      <c r="COY2" s="4"/>
      <c r="COZ2" s="4"/>
      <c r="CPA2" s="4"/>
      <c r="CPB2" s="4"/>
      <c r="CPC2" s="4"/>
      <c r="CPD2" s="4"/>
      <c r="CPE2" s="4"/>
      <c r="CPF2" s="4"/>
      <c r="CPG2" s="4"/>
      <c r="CPH2" s="4"/>
      <c r="CPI2" s="4"/>
      <c r="CPJ2" s="4"/>
      <c r="CPK2" s="4"/>
      <c r="CPL2" s="4"/>
      <c r="CPM2" s="4"/>
      <c r="CPN2" s="4"/>
      <c r="CPO2" s="4"/>
      <c r="CPP2" s="4"/>
      <c r="CPQ2" s="4"/>
      <c r="CPR2" s="4"/>
      <c r="CPS2" s="4"/>
      <c r="CPT2" s="4"/>
      <c r="CPU2" s="4"/>
      <c r="CPV2" s="4"/>
      <c r="CPW2" s="4"/>
      <c r="CPX2" s="4"/>
      <c r="CPY2" s="4"/>
      <c r="CPZ2" s="4"/>
      <c r="CQA2" s="4"/>
      <c r="CQB2" s="4"/>
      <c r="CQC2" s="4"/>
      <c r="CQD2" s="4"/>
      <c r="CQE2" s="4"/>
      <c r="CQF2" s="4"/>
      <c r="CQG2" s="4"/>
      <c r="CQH2" s="4"/>
      <c r="CQI2" s="4"/>
      <c r="CQJ2" s="4"/>
      <c r="CQK2" s="4"/>
      <c r="CQL2" s="4"/>
      <c r="CQM2" s="4"/>
      <c r="CQN2" s="4"/>
      <c r="CQO2" s="4"/>
      <c r="CQP2" s="4"/>
      <c r="CQQ2" s="4"/>
      <c r="CQR2" s="4"/>
      <c r="CQS2" s="4"/>
      <c r="CQT2" s="4"/>
      <c r="CQU2" s="4"/>
      <c r="CQV2" s="4"/>
      <c r="CQW2" s="4"/>
      <c r="CQX2" s="4"/>
      <c r="CQY2" s="4"/>
      <c r="CQZ2" s="4"/>
      <c r="CRA2" s="4"/>
      <c r="CRB2" s="4"/>
      <c r="CRC2" s="4"/>
      <c r="CRD2" s="4"/>
      <c r="CRE2" s="4"/>
      <c r="CRF2" s="4"/>
      <c r="CRG2" s="4"/>
      <c r="CRH2" s="4"/>
      <c r="CRI2" s="4"/>
      <c r="CRJ2" s="4"/>
      <c r="CRK2" s="4"/>
      <c r="CRL2" s="4"/>
      <c r="CRM2" s="4"/>
      <c r="CRN2" s="4"/>
      <c r="CRO2" s="4"/>
      <c r="CRP2" s="4"/>
      <c r="CRQ2" s="4"/>
      <c r="CRR2" s="4"/>
      <c r="CRS2" s="4"/>
      <c r="CRT2" s="4"/>
      <c r="CRU2" s="4"/>
      <c r="CRV2" s="4"/>
      <c r="CRW2" s="4"/>
      <c r="CRX2" s="4"/>
      <c r="CRY2" s="4"/>
      <c r="CRZ2" s="4"/>
      <c r="CSA2" s="4"/>
      <c r="CSB2" s="4"/>
      <c r="CSC2" s="4"/>
      <c r="CSD2" s="4"/>
      <c r="CSE2" s="4"/>
      <c r="CSF2" s="4"/>
      <c r="CSG2" s="4"/>
      <c r="CSH2" s="4"/>
      <c r="CSI2" s="4"/>
      <c r="CSJ2" s="4"/>
      <c r="CSK2" s="4"/>
      <c r="CSL2" s="4"/>
      <c r="CSM2" s="4"/>
      <c r="CSN2" s="4"/>
      <c r="CSO2" s="4"/>
      <c r="CSP2" s="4"/>
      <c r="CSQ2" s="4"/>
      <c r="CSR2" s="4"/>
      <c r="CSS2" s="4"/>
      <c r="CST2" s="4"/>
      <c r="CSU2" s="4"/>
      <c r="CSV2" s="4"/>
      <c r="CSW2" s="4"/>
      <c r="CSX2" s="4"/>
      <c r="CSY2" s="4"/>
      <c r="CSZ2" s="4"/>
      <c r="CTA2" s="4"/>
      <c r="CTB2" s="4"/>
      <c r="CTC2" s="4"/>
      <c r="CTD2" s="4"/>
      <c r="CTE2" s="4"/>
      <c r="CTF2" s="4"/>
      <c r="CTG2" s="4"/>
      <c r="CTH2" s="4"/>
      <c r="CTI2" s="4"/>
      <c r="CTJ2" s="4"/>
      <c r="CTK2" s="4"/>
      <c r="CTL2" s="4"/>
      <c r="CTM2" s="4"/>
      <c r="CTN2" s="4"/>
      <c r="CTO2" s="4"/>
      <c r="CTP2" s="4"/>
      <c r="CTQ2" s="4"/>
      <c r="CTR2" s="4"/>
      <c r="CTS2" s="4"/>
      <c r="CTT2" s="4"/>
      <c r="CTU2" s="4"/>
      <c r="CTV2" s="4"/>
      <c r="CTW2" s="4"/>
      <c r="CTX2" s="4"/>
      <c r="CTY2" s="4"/>
      <c r="CTZ2" s="4"/>
      <c r="CUA2" s="4"/>
      <c r="CUB2" s="4"/>
      <c r="CUC2" s="4"/>
      <c r="CUD2" s="4"/>
      <c r="CUE2" s="4"/>
      <c r="CUF2" s="4"/>
      <c r="CUG2" s="4"/>
      <c r="CUH2" s="4"/>
      <c r="CUI2" s="4"/>
      <c r="CUJ2" s="4"/>
      <c r="CUK2" s="4"/>
      <c r="CUL2" s="4"/>
      <c r="CUM2" s="4"/>
      <c r="CUN2" s="4"/>
      <c r="CUO2" s="4"/>
      <c r="CUP2" s="4"/>
      <c r="CUQ2" s="4"/>
      <c r="CUR2" s="4"/>
      <c r="CUS2" s="4"/>
      <c r="CUT2" s="4"/>
      <c r="CUU2" s="4"/>
      <c r="CUV2" s="4"/>
      <c r="CUW2" s="4"/>
      <c r="CUX2" s="4"/>
      <c r="CUY2" s="4"/>
      <c r="CUZ2" s="4"/>
      <c r="CVA2" s="4"/>
      <c r="CVB2" s="4"/>
      <c r="CVC2" s="4"/>
      <c r="CVD2" s="4"/>
      <c r="CVE2" s="4"/>
      <c r="CVF2" s="4"/>
      <c r="CVG2" s="4"/>
      <c r="CVH2" s="4"/>
      <c r="CVI2" s="4"/>
      <c r="CVJ2" s="4"/>
      <c r="CVK2" s="4"/>
      <c r="CVL2" s="4"/>
      <c r="CVM2" s="4"/>
      <c r="CVN2" s="4"/>
      <c r="CVO2" s="4"/>
      <c r="CVP2" s="4"/>
      <c r="CVQ2" s="4"/>
      <c r="CVR2" s="4"/>
      <c r="CVS2" s="4"/>
      <c r="CVT2" s="4"/>
      <c r="CVU2" s="4"/>
      <c r="CVV2" s="4"/>
      <c r="CVW2" s="4"/>
      <c r="CVX2" s="4"/>
      <c r="CVY2" s="4"/>
      <c r="CVZ2" s="4"/>
      <c r="CWA2" s="4"/>
      <c r="CWB2" s="4"/>
      <c r="CWC2" s="4"/>
      <c r="CWD2" s="4"/>
      <c r="CWE2" s="4"/>
      <c r="CWF2" s="4"/>
      <c r="CWG2" s="4"/>
      <c r="CWH2" s="4"/>
      <c r="CWI2" s="4"/>
      <c r="CWJ2" s="4"/>
      <c r="CWK2" s="4"/>
      <c r="CWL2" s="4"/>
      <c r="CWM2" s="4"/>
      <c r="CWN2" s="4"/>
      <c r="CWO2" s="4"/>
      <c r="CWP2" s="4"/>
      <c r="CWQ2" s="4"/>
      <c r="CWR2" s="4"/>
      <c r="CWS2" s="4"/>
      <c r="CWT2" s="4"/>
      <c r="CWU2" s="4"/>
      <c r="CWV2" s="4"/>
      <c r="CWW2" s="4"/>
      <c r="CWX2" s="4"/>
      <c r="CWY2" s="4"/>
      <c r="CWZ2" s="4"/>
      <c r="CXA2" s="4"/>
      <c r="CXB2" s="4"/>
      <c r="CXC2" s="4"/>
      <c r="CXD2" s="4"/>
      <c r="CXE2" s="4"/>
      <c r="CXF2" s="4"/>
      <c r="CXG2" s="4"/>
      <c r="CXH2" s="4"/>
      <c r="CXI2" s="4"/>
      <c r="CXJ2" s="4"/>
      <c r="CXK2" s="4"/>
      <c r="CXL2" s="4"/>
      <c r="CXM2" s="4"/>
      <c r="CXN2" s="4"/>
      <c r="CXO2" s="4"/>
      <c r="CXP2" s="4"/>
      <c r="CXQ2" s="4"/>
      <c r="CXR2" s="4"/>
      <c r="CXS2" s="4"/>
      <c r="CXT2" s="4"/>
      <c r="CXU2" s="4"/>
      <c r="CXV2" s="4"/>
      <c r="CXW2" s="4"/>
      <c r="CXX2" s="4"/>
      <c r="CXY2" s="4"/>
      <c r="CXZ2" s="4"/>
      <c r="CYA2" s="4"/>
      <c r="CYB2" s="4"/>
      <c r="CYC2" s="4"/>
      <c r="CYD2" s="4"/>
      <c r="CYE2" s="4"/>
      <c r="CYF2" s="4"/>
      <c r="CYG2" s="4"/>
      <c r="CYH2" s="4"/>
      <c r="CYI2" s="4"/>
      <c r="CYJ2" s="4"/>
      <c r="CYK2" s="4"/>
      <c r="CYL2" s="4"/>
      <c r="CYM2" s="4"/>
      <c r="CYN2" s="4"/>
      <c r="CYO2" s="4"/>
      <c r="CYP2" s="4"/>
      <c r="CYQ2" s="4"/>
      <c r="CYR2" s="4"/>
      <c r="CYS2" s="4"/>
      <c r="CYT2" s="4"/>
      <c r="CYU2" s="4"/>
      <c r="CYV2" s="4"/>
      <c r="CYW2" s="4"/>
      <c r="CYX2" s="4"/>
      <c r="CYY2" s="4"/>
      <c r="CYZ2" s="4"/>
      <c r="CZA2" s="4"/>
      <c r="CZB2" s="4"/>
      <c r="CZC2" s="4"/>
      <c r="CZD2" s="4"/>
      <c r="CZE2" s="4"/>
      <c r="CZF2" s="4"/>
      <c r="CZG2" s="4"/>
      <c r="CZH2" s="4"/>
      <c r="CZI2" s="4"/>
      <c r="CZJ2" s="4"/>
      <c r="CZK2" s="4"/>
      <c r="CZL2" s="4"/>
      <c r="CZM2" s="4"/>
      <c r="CZN2" s="4"/>
      <c r="CZO2" s="4"/>
      <c r="CZP2" s="4"/>
      <c r="CZQ2" s="4"/>
      <c r="CZR2" s="4"/>
      <c r="CZS2" s="4"/>
      <c r="CZT2" s="4"/>
      <c r="CZU2" s="4"/>
      <c r="CZV2" s="4"/>
      <c r="CZW2" s="4"/>
      <c r="CZX2" s="4"/>
      <c r="CZY2" s="4"/>
      <c r="CZZ2" s="4"/>
      <c r="DAA2" s="4"/>
      <c r="DAB2" s="4"/>
      <c r="DAC2" s="4"/>
      <c r="DAD2" s="4"/>
      <c r="DAE2" s="4"/>
      <c r="DAF2" s="4"/>
      <c r="DAG2" s="4"/>
      <c r="DAH2" s="4"/>
      <c r="DAI2" s="4"/>
      <c r="DAJ2" s="4"/>
      <c r="DAK2" s="4"/>
      <c r="DAL2" s="4"/>
      <c r="DAM2" s="4"/>
      <c r="DAN2" s="4"/>
      <c r="DAO2" s="4"/>
      <c r="DAP2" s="4"/>
      <c r="DAQ2" s="4"/>
      <c r="DAR2" s="4"/>
      <c r="DAS2" s="4"/>
      <c r="DAT2" s="4"/>
      <c r="DAU2" s="4"/>
      <c r="DAV2" s="4"/>
      <c r="DAW2" s="4"/>
      <c r="DAX2" s="4"/>
      <c r="DAY2" s="4"/>
      <c r="DAZ2" s="4"/>
      <c r="DBA2" s="4"/>
      <c r="DBB2" s="4"/>
      <c r="DBC2" s="4"/>
      <c r="DBD2" s="4"/>
      <c r="DBE2" s="4"/>
      <c r="DBF2" s="4"/>
      <c r="DBG2" s="4"/>
      <c r="DBH2" s="4"/>
      <c r="DBI2" s="4"/>
      <c r="DBJ2" s="4"/>
      <c r="DBK2" s="4"/>
      <c r="DBL2" s="4"/>
      <c r="DBM2" s="4"/>
      <c r="DBN2" s="4"/>
      <c r="DBO2" s="4"/>
      <c r="DBP2" s="4"/>
      <c r="DBQ2" s="4"/>
      <c r="DBR2" s="4"/>
      <c r="DBS2" s="4"/>
      <c r="DBT2" s="4"/>
      <c r="DBU2" s="4"/>
      <c r="DBV2" s="4"/>
      <c r="DBW2" s="4"/>
      <c r="DBX2" s="4"/>
      <c r="DBY2" s="4"/>
      <c r="DBZ2" s="4"/>
      <c r="DCA2" s="4"/>
      <c r="DCB2" s="4"/>
      <c r="DCC2" s="4"/>
      <c r="DCD2" s="4"/>
      <c r="DCE2" s="4"/>
      <c r="DCF2" s="4"/>
      <c r="DCG2" s="4"/>
      <c r="DCH2" s="4"/>
      <c r="DCI2" s="4"/>
      <c r="DCJ2" s="4"/>
      <c r="DCK2" s="4"/>
      <c r="DCL2" s="4"/>
      <c r="DCM2" s="4"/>
      <c r="DCN2" s="4"/>
      <c r="DCO2" s="4"/>
      <c r="DCP2" s="4"/>
      <c r="DCQ2" s="4"/>
      <c r="DCR2" s="4"/>
      <c r="DCS2" s="4"/>
      <c r="DCT2" s="4"/>
      <c r="DCU2" s="4"/>
      <c r="DCV2" s="4"/>
      <c r="DCW2" s="4"/>
      <c r="DCX2" s="4"/>
      <c r="DCY2" s="4"/>
      <c r="DCZ2" s="4"/>
      <c r="DDA2" s="4"/>
      <c r="DDB2" s="4"/>
      <c r="DDC2" s="4"/>
      <c r="DDD2" s="4"/>
      <c r="DDE2" s="4"/>
      <c r="DDF2" s="4"/>
      <c r="DDG2" s="4"/>
      <c r="DDH2" s="4"/>
      <c r="DDI2" s="4"/>
      <c r="DDJ2" s="4"/>
      <c r="DDK2" s="4"/>
      <c r="DDL2" s="4"/>
      <c r="DDM2" s="4"/>
      <c r="DDN2" s="4"/>
      <c r="DDO2" s="4"/>
      <c r="DDP2" s="4"/>
      <c r="DDQ2" s="4"/>
      <c r="DDR2" s="4"/>
      <c r="DDS2" s="4"/>
      <c r="DDT2" s="4"/>
      <c r="DDU2" s="4"/>
      <c r="DDV2" s="4"/>
      <c r="DDW2" s="4"/>
      <c r="DDX2" s="4"/>
      <c r="DDY2" s="4"/>
      <c r="DDZ2" s="4"/>
      <c r="DEA2" s="4"/>
      <c r="DEB2" s="4"/>
      <c r="DEC2" s="4"/>
      <c r="DED2" s="4"/>
      <c r="DEE2" s="4"/>
      <c r="DEF2" s="4"/>
      <c r="DEG2" s="4"/>
      <c r="DEH2" s="4"/>
      <c r="DEI2" s="4"/>
      <c r="DEJ2" s="4"/>
      <c r="DEK2" s="4"/>
      <c r="DEL2" s="4"/>
      <c r="DEM2" s="4"/>
      <c r="DEN2" s="4"/>
      <c r="DEO2" s="4"/>
      <c r="DEP2" s="4"/>
      <c r="DEQ2" s="4"/>
      <c r="DER2" s="4"/>
      <c r="DES2" s="4"/>
      <c r="DET2" s="4"/>
      <c r="DEU2" s="4"/>
      <c r="DEV2" s="4"/>
      <c r="DEW2" s="4"/>
      <c r="DEX2" s="4"/>
      <c r="DEY2" s="4"/>
      <c r="DEZ2" s="4"/>
      <c r="DFA2" s="4"/>
      <c r="DFB2" s="4"/>
      <c r="DFC2" s="4"/>
      <c r="DFD2" s="4"/>
      <c r="DFE2" s="4"/>
      <c r="DFF2" s="4"/>
      <c r="DFG2" s="4"/>
      <c r="DFH2" s="4"/>
      <c r="DFI2" s="4"/>
      <c r="DFJ2" s="4"/>
      <c r="DFK2" s="4"/>
      <c r="DFL2" s="4"/>
      <c r="DFM2" s="4"/>
      <c r="DFN2" s="4"/>
      <c r="DFO2" s="4"/>
      <c r="DFP2" s="4"/>
      <c r="DFQ2" s="4"/>
      <c r="DFR2" s="4"/>
      <c r="DFS2" s="4"/>
      <c r="DFT2" s="4"/>
      <c r="DFU2" s="4"/>
      <c r="DFV2" s="4"/>
      <c r="DFW2" s="4"/>
      <c r="DFX2" s="4"/>
      <c r="DFY2" s="4"/>
      <c r="DFZ2" s="4"/>
      <c r="DGA2" s="4"/>
      <c r="DGB2" s="4"/>
      <c r="DGC2" s="4"/>
      <c r="DGD2" s="4"/>
      <c r="DGE2" s="4"/>
      <c r="DGF2" s="4"/>
      <c r="DGG2" s="4"/>
      <c r="DGH2" s="4"/>
      <c r="DGI2" s="4"/>
      <c r="DGJ2" s="4"/>
      <c r="DGK2" s="4"/>
      <c r="DGL2" s="4"/>
      <c r="DGM2" s="4"/>
      <c r="DGN2" s="4"/>
      <c r="DGO2" s="4"/>
      <c r="DGP2" s="4"/>
      <c r="DGQ2" s="4"/>
      <c r="DGR2" s="4"/>
      <c r="DGS2" s="4"/>
      <c r="DGT2" s="4"/>
      <c r="DGU2" s="4"/>
      <c r="DGV2" s="4"/>
      <c r="DGW2" s="4"/>
      <c r="DGX2" s="4"/>
      <c r="DGY2" s="4"/>
      <c r="DGZ2" s="4"/>
      <c r="DHA2" s="4"/>
      <c r="DHB2" s="4"/>
      <c r="DHC2" s="4"/>
      <c r="DHD2" s="4"/>
      <c r="DHE2" s="4"/>
      <c r="DHF2" s="4"/>
      <c r="DHG2" s="4"/>
      <c r="DHH2" s="4"/>
      <c r="DHI2" s="4"/>
      <c r="DHJ2" s="4"/>
      <c r="DHK2" s="4"/>
      <c r="DHL2" s="4"/>
      <c r="DHM2" s="4"/>
      <c r="DHN2" s="4"/>
      <c r="DHO2" s="4"/>
      <c r="DHP2" s="4"/>
      <c r="DHQ2" s="4"/>
      <c r="DHR2" s="4"/>
      <c r="DHS2" s="4"/>
      <c r="DHT2" s="4"/>
      <c r="DHU2" s="4"/>
      <c r="DHV2" s="4"/>
      <c r="DHW2" s="4"/>
      <c r="DHX2" s="4"/>
      <c r="DHY2" s="4"/>
      <c r="DHZ2" s="4"/>
      <c r="DIA2" s="4"/>
      <c r="DIB2" s="4"/>
      <c r="DIC2" s="4"/>
      <c r="DID2" s="4"/>
      <c r="DIE2" s="4"/>
      <c r="DIF2" s="4"/>
      <c r="DIG2" s="4"/>
      <c r="DIH2" s="4"/>
      <c r="DII2" s="4"/>
      <c r="DIJ2" s="4"/>
      <c r="DIK2" s="4"/>
      <c r="DIL2" s="4"/>
      <c r="DIM2" s="4"/>
      <c r="DIN2" s="4"/>
      <c r="DIO2" s="4"/>
      <c r="DIP2" s="4"/>
      <c r="DIQ2" s="4"/>
      <c r="DIR2" s="4"/>
      <c r="DIS2" s="4"/>
      <c r="DIT2" s="4"/>
      <c r="DIU2" s="4"/>
      <c r="DIV2" s="4"/>
      <c r="DIW2" s="4"/>
      <c r="DIX2" s="4"/>
      <c r="DIY2" s="4"/>
      <c r="DIZ2" s="4"/>
      <c r="DJA2" s="4"/>
      <c r="DJB2" s="4"/>
      <c r="DJC2" s="4"/>
      <c r="DJD2" s="4"/>
      <c r="DJE2" s="4"/>
      <c r="DJF2" s="4"/>
      <c r="DJG2" s="4"/>
      <c r="DJH2" s="4"/>
      <c r="DJI2" s="4"/>
      <c r="DJJ2" s="4"/>
      <c r="DJK2" s="4"/>
      <c r="DJL2" s="4"/>
      <c r="DJM2" s="4"/>
      <c r="DJN2" s="4"/>
      <c r="DJO2" s="4"/>
      <c r="DJP2" s="4"/>
      <c r="DJQ2" s="4"/>
      <c r="DJR2" s="4"/>
      <c r="DJS2" s="4"/>
      <c r="DJT2" s="4"/>
      <c r="DJU2" s="4"/>
      <c r="DJV2" s="4"/>
      <c r="DJW2" s="4"/>
      <c r="DJX2" s="4"/>
      <c r="DJY2" s="4"/>
      <c r="DJZ2" s="4"/>
      <c r="DKA2" s="4"/>
      <c r="DKB2" s="4"/>
      <c r="DKC2" s="4"/>
      <c r="DKD2" s="4"/>
      <c r="DKE2" s="4"/>
      <c r="DKF2" s="4"/>
      <c r="DKG2" s="4"/>
      <c r="DKH2" s="4"/>
      <c r="DKI2" s="4"/>
      <c r="DKJ2" s="4"/>
      <c r="DKK2" s="4"/>
      <c r="DKL2" s="4"/>
      <c r="DKM2" s="4"/>
      <c r="DKN2" s="4"/>
      <c r="DKO2" s="4"/>
      <c r="DKP2" s="4"/>
      <c r="DKQ2" s="4"/>
      <c r="DKR2" s="4"/>
      <c r="DKS2" s="4"/>
      <c r="DKT2" s="4"/>
      <c r="DKU2" s="4"/>
      <c r="DKV2" s="4"/>
      <c r="DKW2" s="4"/>
      <c r="DKX2" s="4"/>
      <c r="DKY2" s="4"/>
      <c r="DKZ2" s="4"/>
      <c r="DLA2" s="4"/>
      <c r="DLB2" s="4"/>
      <c r="DLC2" s="4"/>
      <c r="DLD2" s="4"/>
      <c r="DLE2" s="4"/>
      <c r="DLF2" s="4"/>
      <c r="DLG2" s="4"/>
      <c r="DLH2" s="4"/>
      <c r="DLI2" s="4"/>
      <c r="DLJ2" s="4"/>
      <c r="DLK2" s="4"/>
      <c r="DLL2" s="4"/>
      <c r="DLM2" s="4"/>
      <c r="DLN2" s="4"/>
      <c r="DLO2" s="4"/>
      <c r="DLP2" s="4"/>
      <c r="DLQ2" s="4"/>
      <c r="DLR2" s="4"/>
      <c r="DLS2" s="4"/>
      <c r="DLT2" s="4"/>
      <c r="DLU2" s="4"/>
      <c r="DLV2" s="4"/>
      <c r="DLW2" s="4"/>
      <c r="DLX2" s="4"/>
      <c r="DLY2" s="4"/>
      <c r="DLZ2" s="4"/>
      <c r="DMA2" s="4"/>
      <c r="DMB2" s="4"/>
      <c r="DMC2" s="4"/>
      <c r="DMD2" s="4"/>
      <c r="DME2" s="4"/>
      <c r="DMF2" s="4"/>
      <c r="DMG2" s="4"/>
      <c r="DMH2" s="4"/>
      <c r="DMI2" s="4"/>
      <c r="DMJ2" s="4"/>
      <c r="DMK2" s="4"/>
      <c r="DML2" s="4"/>
      <c r="DMM2" s="4"/>
      <c r="DMN2" s="4"/>
      <c r="DMO2" s="4"/>
      <c r="DMP2" s="4"/>
      <c r="DMQ2" s="4"/>
      <c r="DMR2" s="4"/>
      <c r="DMS2" s="4"/>
      <c r="DMT2" s="4"/>
      <c r="DMU2" s="4"/>
      <c r="DMV2" s="4"/>
      <c r="DMW2" s="4"/>
      <c r="DMX2" s="4"/>
      <c r="DMY2" s="4"/>
      <c r="DMZ2" s="4"/>
      <c r="DNA2" s="4"/>
      <c r="DNB2" s="4"/>
      <c r="DNC2" s="4"/>
      <c r="DND2" s="4"/>
      <c r="DNE2" s="4"/>
      <c r="DNF2" s="4"/>
      <c r="DNG2" s="4"/>
      <c r="DNH2" s="4"/>
      <c r="DNI2" s="4"/>
      <c r="DNJ2" s="4"/>
      <c r="DNK2" s="4"/>
      <c r="DNL2" s="4"/>
      <c r="DNM2" s="4"/>
      <c r="DNN2" s="4"/>
      <c r="DNO2" s="4"/>
      <c r="DNP2" s="4"/>
      <c r="DNQ2" s="4"/>
      <c r="DNR2" s="4"/>
      <c r="DNS2" s="4"/>
      <c r="DNT2" s="4"/>
      <c r="DNU2" s="4"/>
      <c r="DNV2" s="4"/>
      <c r="DNW2" s="4"/>
      <c r="DNX2" s="4"/>
      <c r="DNY2" s="4"/>
      <c r="DNZ2" s="4"/>
      <c r="DOA2" s="4"/>
      <c r="DOB2" s="4"/>
      <c r="DOC2" s="4"/>
      <c r="DOD2" s="4"/>
      <c r="DOE2" s="4"/>
      <c r="DOF2" s="4"/>
      <c r="DOG2" s="4"/>
      <c r="DOH2" s="4"/>
      <c r="DOI2" s="4"/>
      <c r="DOJ2" s="4"/>
      <c r="DOK2" s="4"/>
      <c r="DOL2" s="4"/>
      <c r="DOM2" s="4"/>
      <c r="DON2" s="4"/>
      <c r="DOO2" s="4"/>
      <c r="DOP2" s="4"/>
      <c r="DOQ2" s="4"/>
      <c r="DOR2" s="4"/>
      <c r="DOS2" s="4"/>
      <c r="DOT2" s="4"/>
      <c r="DOU2" s="4"/>
      <c r="DOV2" s="4"/>
      <c r="DOW2" s="4"/>
      <c r="DOX2" s="4"/>
      <c r="DOY2" s="4"/>
      <c r="DOZ2" s="4"/>
      <c r="DPA2" s="4"/>
      <c r="DPB2" s="4"/>
      <c r="DPC2" s="4"/>
      <c r="DPD2" s="4"/>
      <c r="DPE2" s="4"/>
      <c r="DPF2" s="4"/>
      <c r="DPG2" s="4"/>
      <c r="DPH2" s="4"/>
      <c r="DPI2" s="4"/>
      <c r="DPJ2" s="4"/>
      <c r="DPK2" s="4"/>
      <c r="DPL2" s="4"/>
      <c r="DPM2" s="4"/>
      <c r="DPN2" s="4"/>
      <c r="DPO2" s="4"/>
      <c r="DPP2" s="4"/>
      <c r="DPQ2" s="4"/>
      <c r="DPR2" s="4"/>
      <c r="DPS2" s="4"/>
      <c r="DPT2" s="4"/>
      <c r="DPU2" s="4"/>
      <c r="DPV2" s="4"/>
      <c r="DPW2" s="4"/>
      <c r="DPX2" s="4"/>
      <c r="DPY2" s="4"/>
      <c r="DPZ2" s="4"/>
      <c r="DQA2" s="4"/>
      <c r="DQB2" s="4"/>
      <c r="DQC2" s="4"/>
      <c r="DQD2" s="4"/>
      <c r="DQE2" s="4"/>
      <c r="DQF2" s="4"/>
      <c r="DQG2" s="4"/>
      <c r="DQH2" s="4"/>
      <c r="DQI2" s="4"/>
      <c r="DQJ2" s="4"/>
      <c r="DQK2" s="4"/>
      <c r="DQL2" s="4"/>
      <c r="DQM2" s="4"/>
      <c r="DQN2" s="4"/>
      <c r="DQO2" s="4"/>
      <c r="DQP2" s="4"/>
      <c r="DQQ2" s="4"/>
      <c r="DQR2" s="4"/>
      <c r="DQS2" s="4"/>
      <c r="DQT2" s="4"/>
      <c r="DQU2" s="4"/>
      <c r="DQV2" s="4"/>
      <c r="DQW2" s="4"/>
      <c r="DQX2" s="4"/>
      <c r="DQY2" s="4"/>
      <c r="DQZ2" s="4"/>
      <c r="DRA2" s="4"/>
      <c r="DRB2" s="4"/>
      <c r="DRC2" s="4"/>
      <c r="DRD2" s="4"/>
      <c r="DRE2" s="4"/>
      <c r="DRF2" s="4"/>
      <c r="DRG2" s="4"/>
      <c r="DRH2" s="4"/>
      <c r="DRI2" s="4"/>
      <c r="DRJ2" s="4"/>
      <c r="DRK2" s="4"/>
      <c r="DRL2" s="4"/>
      <c r="DRM2" s="4"/>
      <c r="DRN2" s="4"/>
      <c r="DRO2" s="4"/>
      <c r="DRP2" s="4"/>
      <c r="DRQ2" s="4"/>
      <c r="DRR2" s="4"/>
      <c r="DRS2" s="4"/>
      <c r="DRT2" s="4"/>
      <c r="DRU2" s="4"/>
      <c r="DRV2" s="4"/>
      <c r="DRW2" s="4"/>
      <c r="DRX2" s="4"/>
      <c r="DRY2" s="4"/>
      <c r="DRZ2" s="4"/>
      <c r="DSA2" s="4"/>
      <c r="DSB2" s="4"/>
      <c r="DSC2" s="4"/>
      <c r="DSD2" s="4"/>
      <c r="DSE2" s="4"/>
      <c r="DSF2" s="4"/>
      <c r="DSG2" s="4"/>
      <c r="DSH2" s="4"/>
      <c r="DSI2" s="4"/>
      <c r="DSJ2" s="4"/>
      <c r="DSK2" s="4"/>
      <c r="DSL2" s="4"/>
      <c r="DSM2" s="4"/>
      <c r="DSN2" s="4"/>
      <c r="DSO2" s="4"/>
      <c r="DSP2" s="4"/>
      <c r="DSQ2" s="4"/>
      <c r="DSR2" s="4"/>
      <c r="DSS2" s="4"/>
      <c r="DST2" s="4"/>
      <c r="DSU2" s="4"/>
      <c r="DSV2" s="4"/>
      <c r="DSW2" s="4"/>
      <c r="DSX2" s="4"/>
      <c r="DSY2" s="4"/>
      <c r="DSZ2" s="4"/>
      <c r="DTA2" s="4"/>
      <c r="DTB2" s="4"/>
      <c r="DTC2" s="4"/>
      <c r="DTD2" s="4"/>
      <c r="DTE2" s="4"/>
      <c r="DTF2" s="4"/>
      <c r="DTG2" s="4"/>
      <c r="DTH2" s="4"/>
      <c r="DTI2" s="4"/>
      <c r="DTJ2" s="4"/>
      <c r="DTK2" s="4"/>
      <c r="DTL2" s="4"/>
      <c r="DTM2" s="4"/>
      <c r="DTN2" s="4"/>
      <c r="DTO2" s="4"/>
      <c r="DTP2" s="4"/>
      <c r="DTQ2" s="4"/>
      <c r="DTR2" s="4"/>
      <c r="DTS2" s="4"/>
      <c r="DTT2" s="4"/>
      <c r="DTU2" s="4"/>
      <c r="DTV2" s="4"/>
      <c r="DTW2" s="4"/>
      <c r="DTX2" s="4"/>
      <c r="DTY2" s="4"/>
      <c r="DTZ2" s="4"/>
      <c r="DUA2" s="4"/>
      <c r="DUB2" s="4"/>
      <c r="DUC2" s="4"/>
      <c r="DUD2" s="4"/>
      <c r="DUE2" s="4"/>
      <c r="DUF2" s="4"/>
      <c r="DUG2" s="4"/>
      <c r="DUH2" s="4"/>
      <c r="DUI2" s="4"/>
      <c r="DUJ2" s="4"/>
      <c r="DUK2" s="4"/>
      <c r="DUL2" s="4"/>
      <c r="DUM2" s="4"/>
      <c r="DUN2" s="4"/>
      <c r="DUO2" s="4"/>
      <c r="DUP2" s="4"/>
      <c r="DUQ2" s="4"/>
      <c r="DUR2" s="4"/>
      <c r="DUS2" s="4"/>
      <c r="DUT2" s="4"/>
      <c r="DUU2" s="4"/>
      <c r="DUV2" s="4"/>
      <c r="DUW2" s="4"/>
      <c r="DUX2" s="4"/>
      <c r="DUY2" s="4"/>
      <c r="DUZ2" s="4"/>
      <c r="DVA2" s="4"/>
      <c r="DVB2" s="4"/>
      <c r="DVC2" s="4"/>
      <c r="DVD2" s="4"/>
      <c r="DVE2" s="4"/>
      <c r="DVF2" s="4"/>
      <c r="DVG2" s="4"/>
      <c r="DVH2" s="4"/>
      <c r="DVI2" s="4"/>
      <c r="DVJ2" s="4"/>
      <c r="DVK2" s="4"/>
      <c r="DVL2" s="4"/>
      <c r="DVM2" s="4"/>
      <c r="DVN2" s="4"/>
      <c r="DVO2" s="4"/>
      <c r="DVP2" s="4"/>
      <c r="DVQ2" s="4"/>
      <c r="DVR2" s="4"/>
      <c r="DVS2" s="4"/>
      <c r="DVT2" s="4"/>
      <c r="DVU2" s="4"/>
      <c r="DVV2" s="4"/>
      <c r="DVW2" s="4"/>
      <c r="DVX2" s="4"/>
      <c r="DVY2" s="4"/>
      <c r="DVZ2" s="4"/>
      <c r="DWA2" s="4"/>
      <c r="DWB2" s="4"/>
      <c r="DWC2" s="4"/>
      <c r="DWD2" s="4"/>
      <c r="DWE2" s="4"/>
      <c r="DWF2" s="4"/>
      <c r="DWG2" s="4"/>
      <c r="DWH2" s="4"/>
      <c r="DWI2" s="4"/>
      <c r="DWJ2" s="4"/>
      <c r="DWK2" s="4"/>
      <c r="DWL2" s="4"/>
      <c r="DWM2" s="4"/>
      <c r="DWN2" s="4"/>
      <c r="DWO2" s="4"/>
      <c r="DWP2" s="4"/>
      <c r="DWQ2" s="4"/>
      <c r="DWR2" s="4"/>
      <c r="DWS2" s="4"/>
      <c r="DWT2" s="4"/>
      <c r="DWU2" s="4"/>
      <c r="DWV2" s="4"/>
      <c r="DWW2" s="4"/>
      <c r="DWX2" s="4"/>
      <c r="DWY2" s="4"/>
      <c r="DWZ2" s="4"/>
      <c r="DXA2" s="4"/>
      <c r="DXB2" s="4"/>
      <c r="DXC2" s="4"/>
      <c r="DXD2" s="4"/>
      <c r="DXE2" s="4"/>
      <c r="DXF2" s="4"/>
      <c r="DXG2" s="4"/>
      <c r="DXH2" s="4"/>
      <c r="DXI2" s="4"/>
      <c r="DXJ2" s="4"/>
      <c r="DXK2" s="4"/>
      <c r="DXL2" s="4"/>
      <c r="DXM2" s="4"/>
      <c r="DXN2" s="4"/>
      <c r="DXO2" s="4"/>
      <c r="DXP2" s="4"/>
      <c r="DXQ2" s="4"/>
      <c r="DXR2" s="4"/>
      <c r="DXS2" s="4"/>
      <c r="DXT2" s="4"/>
      <c r="DXU2" s="4"/>
      <c r="DXV2" s="4"/>
      <c r="DXW2" s="4"/>
      <c r="DXX2" s="4"/>
      <c r="DXY2" s="4"/>
      <c r="DXZ2" s="4"/>
      <c r="DYA2" s="4"/>
      <c r="DYB2" s="4"/>
      <c r="DYC2" s="4"/>
      <c r="DYD2" s="4"/>
      <c r="DYE2" s="4"/>
      <c r="DYF2" s="4"/>
      <c r="DYG2" s="4"/>
      <c r="DYH2" s="4"/>
      <c r="DYI2" s="4"/>
      <c r="DYJ2" s="4"/>
      <c r="DYK2" s="4"/>
      <c r="DYL2" s="4"/>
      <c r="DYM2" s="4"/>
      <c r="DYN2" s="4"/>
      <c r="DYO2" s="4"/>
      <c r="DYP2" s="4"/>
      <c r="DYQ2" s="4"/>
      <c r="DYR2" s="4"/>
      <c r="DYS2" s="4"/>
      <c r="DYT2" s="4"/>
      <c r="DYU2" s="4"/>
      <c r="DYV2" s="4"/>
      <c r="DYW2" s="4"/>
      <c r="DYX2" s="4"/>
      <c r="DYY2" s="4"/>
      <c r="DYZ2" s="4"/>
      <c r="DZA2" s="4"/>
      <c r="DZB2" s="4"/>
      <c r="DZC2" s="4"/>
      <c r="DZD2" s="4"/>
      <c r="DZE2" s="4"/>
      <c r="DZF2" s="4"/>
      <c r="DZG2" s="4"/>
      <c r="DZH2" s="4"/>
      <c r="DZI2" s="4"/>
      <c r="DZJ2" s="4"/>
      <c r="DZK2" s="4"/>
      <c r="DZL2" s="4"/>
      <c r="DZM2" s="4"/>
      <c r="DZN2" s="4"/>
      <c r="DZO2" s="4"/>
      <c r="DZP2" s="4"/>
      <c r="DZQ2" s="4"/>
      <c r="DZR2" s="4"/>
      <c r="DZS2" s="4"/>
      <c r="DZT2" s="4"/>
      <c r="DZU2" s="4"/>
      <c r="DZV2" s="4"/>
      <c r="DZW2" s="4"/>
      <c r="DZX2" s="4"/>
      <c r="DZY2" s="4"/>
      <c r="DZZ2" s="4"/>
      <c r="EAA2" s="4"/>
      <c r="EAB2" s="4"/>
      <c r="EAC2" s="4"/>
      <c r="EAD2" s="4"/>
      <c r="EAE2" s="4"/>
      <c r="EAF2" s="4"/>
      <c r="EAG2" s="4"/>
      <c r="EAH2" s="4"/>
      <c r="EAI2" s="4"/>
      <c r="EAJ2" s="4"/>
      <c r="EAK2" s="4"/>
      <c r="EAL2" s="4"/>
      <c r="EAM2" s="4"/>
      <c r="EAN2" s="4"/>
      <c r="EAO2" s="4"/>
      <c r="EAP2" s="4"/>
      <c r="EAQ2" s="4"/>
      <c r="EAR2" s="4"/>
      <c r="EAS2" s="4"/>
      <c r="EAT2" s="4"/>
      <c r="EAU2" s="4"/>
      <c r="EAV2" s="4"/>
      <c r="EAW2" s="4"/>
      <c r="EAX2" s="4"/>
      <c r="EAY2" s="4"/>
      <c r="EAZ2" s="4"/>
      <c r="EBA2" s="4"/>
      <c r="EBB2" s="4"/>
      <c r="EBC2" s="4"/>
      <c r="EBD2" s="4"/>
      <c r="EBE2" s="4"/>
      <c r="EBF2" s="4"/>
      <c r="EBG2" s="4"/>
      <c r="EBH2" s="4"/>
      <c r="EBI2" s="4"/>
      <c r="EBJ2" s="4"/>
      <c r="EBK2" s="4"/>
      <c r="EBL2" s="4"/>
      <c r="EBM2" s="4"/>
      <c r="EBN2" s="4"/>
      <c r="EBO2" s="4"/>
      <c r="EBP2" s="4"/>
      <c r="EBQ2" s="4"/>
      <c r="EBR2" s="4"/>
      <c r="EBS2" s="4"/>
      <c r="EBT2" s="4"/>
      <c r="EBU2" s="4"/>
      <c r="EBV2" s="4"/>
      <c r="EBW2" s="4"/>
      <c r="EBX2" s="4"/>
      <c r="EBY2" s="4"/>
      <c r="EBZ2" s="4"/>
      <c r="ECA2" s="4"/>
      <c r="ECB2" s="4"/>
      <c r="ECC2" s="4"/>
      <c r="ECD2" s="4"/>
      <c r="ECE2" s="4"/>
      <c r="ECF2" s="4"/>
      <c r="ECG2" s="4"/>
      <c r="ECH2" s="4"/>
      <c r="ECI2" s="4"/>
      <c r="ECJ2" s="4"/>
      <c r="ECK2" s="4"/>
      <c r="ECL2" s="4"/>
      <c r="ECM2" s="4"/>
      <c r="ECN2" s="4"/>
      <c r="ECO2" s="4"/>
      <c r="ECP2" s="4"/>
      <c r="ECQ2" s="4"/>
      <c r="ECR2" s="4"/>
      <c r="ECS2" s="4"/>
      <c r="ECT2" s="4"/>
      <c r="ECU2" s="4"/>
      <c r="ECV2" s="4"/>
      <c r="ECW2" s="4"/>
      <c r="ECX2" s="4"/>
      <c r="ECY2" s="4"/>
      <c r="ECZ2" s="4"/>
      <c r="EDA2" s="4"/>
      <c r="EDB2" s="4"/>
      <c r="EDC2" s="4"/>
      <c r="EDD2" s="4"/>
      <c r="EDE2" s="4"/>
      <c r="EDF2" s="4"/>
      <c r="EDG2" s="4"/>
      <c r="EDH2" s="4"/>
      <c r="EDI2" s="4"/>
      <c r="EDJ2" s="4"/>
      <c r="EDK2" s="4"/>
      <c r="EDL2" s="4"/>
      <c r="EDM2" s="4"/>
      <c r="EDN2" s="4"/>
      <c r="EDO2" s="4"/>
      <c r="EDP2" s="4"/>
      <c r="EDQ2" s="4"/>
      <c r="EDR2" s="4"/>
      <c r="EDS2" s="4"/>
      <c r="EDT2" s="4"/>
      <c r="EDU2" s="4"/>
      <c r="EDV2" s="4"/>
      <c r="EDW2" s="4"/>
      <c r="EDX2" s="4"/>
      <c r="EDY2" s="4"/>
      <c r="EDZ2" s="4"/>
      <c r="EEA2" s="4"/>
      <c r="EEB2" s="4"/>
      <c r="EEC2" s="4"/>
      <c r="EED2" s="4"/>
      <c r="EEE2" s="4"/>
      <c r="EEF2" s="4"/>
      <c r="EEG2" s="4"/>
      <c r="EEH2" s="4"/>
      <c r="EEI2" s="4"/>
      <c r="EEJ2" s="4"/>
      <c r="EEK2" s="4"/>
      <c r="EEL2" s="4"/>
      <c r="EEM2" s="4"/>
      <c r="EEN2" s="4"/>
      <c r="EEO2" s="4"/>
      <c r="EEP2" s="4"/>
      <c r="EEQ2" s="4"/>
      <c r="EER2" s="4"/>
      <c r="EES2" s="4"/>
      <c r="EET2" s="4"/>
      <c r="EEU2" s="4"/>
      <c r="EEV2" s="4"/>
      <c r="EEW2" s="4"/>
      <c r="EEX2" s="4"/>
      <c r="EEY2" s="4"/>
      <c r="EEZ2" s="4"/>
      <c r="EFA2" s="4"/>
      <c r="EFB2" s="4"/>
      <c r="EFC2" s="4"/>
      <c r="EFD2" s="4"/>
      <c r="EFE2" s="4"/>
      <c r="EFF2" s="4"/>
      <c r="EFG2" s="4"/>
      <c r="EFH2" s="4"/>
      <c r="EFI2" s="4"/>
      <c r="EFJ2" s="4"/>
      <c r="EFK2" s="4"/>
      <c r="EFL2" s="4"/>
      <c r="EFM2" s="4"/>
      <c r="EFN2" s="4"/>
      <c r="EFO2" s="4"/>
      <c r="EFP2" s="4"/>
      <c r="EFQ2" s="4"/>
      <c r="EFR2" s="4"/>
      <c r="EFS2" s="4"/>
      <c r="EFT2" s="4"/>
      <c r="EFU2" s="4"/>
      <c r="EFV2" s="4"/>
      <c r="EFW2" s="4"/>
      <c r="EFX2" s="4"/>
      <c r="EFY2" s="4"/>
      <c r="EFZ2" s="4"/>
      <c r="EGA2" s="4"/>
      <c r="EGB2" s="4"/>
      <c r="EGC2" s="4"/>
      <c r="EGD2" s="4"/>
      <c r="EGE2" s="4"/>
      <c r="EGF2" s="4"/>
      <c r="EGG2" s="4"/>
      <c r="EGH2" s="4"/>
      <c r="EGI2" s="4"/>
      <c r="EGJ2" s="4"/>
      <c r="EGK2" s="4"/>
      <c r="EGL2" s="4"/>
      <c r="EGM2" s="4"/>
      <c r="EGN2" s="4"/>
      <c r="EGO2" s="4"/>
      <c r="EGP2" s="4"/>
      <c r="EGQ2" s="4"/>
      <c r="EGR2" s="4"/>
      <c r="EGS2" s="4"/>
      <c r="EGT2" s="4"/>
      <c r="EGU2" s="4"/>
      <c r="EGV2" s="4"/>
      <c r="EGW2" s="4"/>
      <c r="EGX2" s="4"/>
      <c r="EGY2" s="4"/>
      <c r="EGZ2" s="4"/>
      <c r="EHA2" s="4"/>
      <c r="EHB2" s="4"/>
      <c r="EHC2" s="4"/>
      <c r="EHD2" s="4"/>
      <c r="EHE2" s="4"/>
      <c r="EHF2" s="4"/>
      <c r="EHG2" s="4"/>
      <c r="EHH2" s="4"/>
      <c r="EHI2" s="4"/>
      <c r="EHJ2" s="4"/>
      <c r="EHK2" s="4"/>
      <c r="EHL2" s="4"/>
      <c r="EHM2" s="4"/>
      <c r="EHN2" s="4"/>
      <c r="EHO2" s="4"/>
      <c r="EHP2" s="4"/>
      <c r="EHQ2" s="4"/>
      <c r="EHR2" s="4"/>
      <c r="EHS2" s="4"/>
      <c r="EHT2" s="4"/>
      <c r="EHU2" s="4"/>
      <c r="EHV2" s="4"/>
      <c r="EHW2" s="4"/>
      <c r="EHX2" s="4"/>
      <c r="EHY2" s="4"/>
      <c r="EHZ2" s="4"/>
      <c r="EIA2" s="4"/>
      <c r="EIB2" s="4"/>
      <c r="EIC2" s="4"/>
      <c r="EID2" s="4"/>
      <c r="EIE2" s="4"/>
      <c r="EIF2" s="4"/>
      <c r="EIG2" s="4"/>
      <c r="EIH2" s="4"/>
      <c r="EII2" s="4"/>
      <c r="EIJ2" s="4"/>
      <c r="EIK2" s="4"/>
      <c r="EIL2" s="4"/>
      <c r="EIM2" s="4"/>
      <c r="EIN2" s="4"/>
      <c r="EIO2" s="4"/>
      <c r="EIP2" s="4"/>
      <c r="EIQ2" s="4"/>
      <c r="EIR2" s="4"/>
      <c r="EIS2" s="4"/>
      <c r="EIT2" s="4"/>
      <c r="EIU2" s="4"/>
      <c r="EIV2" s="4"/>
      <c r="EIW2" s="4"/>
      <c r="EIX2" s="4"/>
      <c r="EIY2" s="4"/>
      <c r="EIZ2" s="4"/>
      <c r="EJA2" s="4"/>
      <c r="EJB2" s="4"/>
      <c r="EJC2" s="4"/>
      <c r="EJD2" s="4"/>
      <c r="EJE2" s="4"/>
      <c r="EJF2" s="4"/>
      <c r="EJG2" s="4"/>
      <c r="EJH2" s="4"/>
      <c r="EJI2" s="4"/>
      <c r="EJJ2" s="4"/>
      <c r="EJK2" s="4"/>
      <c r="EJL2" s="4"/>
      <c r="EJM2" s="4"/>
      <c r="EJN2" s="4"/>
      <c r="EJO2" s="4"/>
      <c r="EJP2" s="4"/>
      <c r="EJQ2" s="4"/>
      <c r="EJR2" s="4"/>
      <c r="EJS2" s="4"/>
      <c r="EJT2" s="4"/>
      <c r="EJU2" s="4"/>
      <c r="EJV2" s="4"/>
      <c r="EJW2" s="4"/>
      <c r="EJX2" s="4"/>
      <c r="EJY2" s="4"/>
      <c r="EJZ2" s="4"/>
      <c r="EKA2" s="4"/>
      <c r="EKB2" s="4"/>
      <c r="EKC2" s="4"/>
      <c r="EKD2" s="4"/>
      <c r="EKE2" s="4"/>
      <c r="EKF2" s="4"/>
      <c r="EKG2" s="4"/>
      <c r="EKH2" s="4"/>
      <c r="EKI2" s="4"/>
      <c r="EKJ2" s="4"/>
      <c r="EKK2" s="4"/>
      <c r="EKL2" s="4"/>
      <c r="EKM2" s="4"/>
      <c r="EKN2" s="4"/>
      <c r="EKO2" s="4"/>
      <c r="EKP2" s="4"/>
      <c r="EKQ2" s="4"/>
      <c r="EKR2" s="4"/>
      <c r="EKS2" s="4"/>
      <c r="EKT2" s="4"/>
      <c r="EKU2" s="4"/>
      <c r="EKV2" s="4"/>
      <c r="EKW2" s="4"/>
      <c r="EKX2" s="4"/>
      <c r="EKY2" s="4"/>
      <c r="EKZ2" s="4"/>
      <c r="ELA2" s="4"/>
      <c r="ELB2" s="4"/>
      <c r="ELC2" s="4"/>
      <c r="ELD2" s="4"/>
      <c r="ELE2" s="4"/>
      <c r="ELF2" s="4"/>
      <c r="ELG2" s="4"/>
      <c r="ELH2" s="4"/>
      <c r="ELI2" s="4"/>
      <c r="ELJ2" s="4"/>
      <c r="ELK2" s="4"/>
      <c r="ELL2" s="4"/>
      <c r="ELM2" s="4"/>
      <c r="ELN2" s="4"/>
      <c r="ELO2" s="4"/>
      <c r="ELP2" s="4"/>
      <c r="ELQ2" s="4"/>
      <c r="ELR2" s="4"/>
      <c r="ELS2" s="4"/>
      <c r="ELT2" s="4"/>
      <c r="ELU2" s="4"/>
      <c r="ELV2" s="4"/>
      <c r="ELW2" s="4"/>
      <c r="ELX2" s="4"/>
      <c r="ELY2" s="4"/>
      <c r="ELZ2" s="4"/>
      <c r="EMA2" s="4"/>
      <c r="EMB2" s="4"/>
      <c r="EMC2" s="4"/>
      <c r="EMD2" s="4"/>
      <c r="EME2" s="4"/>
      <c r="EMF2" s="4"/>
      <c r="EMG2" s="4"/>
      <c r="EMH2" s="4"/>
      <c r="EMI2" s="4"/>
      <c r="EMJ2" s="4"/>
      <c r="EMK2" s="4"/>
      <c r="EML2" s="4"/>
      <c r="EMM2" s="4"/>
      <c r="EMN2" s="4"/>
      <c r="EMO2" s="4"/>
      <c r="EMP2" s="4"/>
      <c r="EMQ2" s="4"/>
      <c r="EMR2" s="4"/>
      <c r="EMS2" s="4"/>
      <c r="EMT2" s="4"/>
      <c r="EMU2" s="4"/>
      <c r="EMV2" s="4"/>
      <c r="EMW2" s="4"/>
      <c r="EMX2" s="4"/>
      <c r="EMY2" s="4"/>
      <c r="EMZ2" s="4"/>
      <c r="ENA2" s="4"/>
      <c r="ENB2" s="4"/>
      <c r="ENC2" s="4"/>
      <c r="END2" s="4"/>
      <c r="ENE2" s="4"/>
      <c r="ENF2" s="4"/>
      <c r="ENG2" s="4"/>
      <c r="ENH2" s="4"/>
      <c r="ENI2" s="4"/>
      <c r="ENJ2" s="4"/>
      <c r="ENK2" s="4"/>
      <c r="ENL2" s="4"/>
      <c r="ENM2" s="4"/>
      <c r="ENN2" s="4"/>
      <c r="ENO2" s="4"/>
      <c r="ENP2" s="4"/>
      <c r="ENQ2" s="4"/>
      <c r="ENR2" s="4"/>
      <c r="ENS2" s="4"/>
      <c r="ENT2" s="4"/>
      <c r="ENU2" s="4"/>
      <c r="ENV2" s="4"/>
      <c r="ENW2" s="4"/>
      <c r="ENX2" s="4"/>
      <c r="ENY2" s="4"/>
      <c r="ENZ2" s="4"/>
      <c r="EOA2" s="4"/>
      <c r="EOB2" s="4"/>
      <c r="EOC2" s="4"/>
      <c r="EOD2" s="4"/>
      <c r="EOE2" s="4"/>
      <c r="EOF2" s="4"/>
      <c r="EOG2" s="4"/>
      <c r="EOH2" s="4"/>
      <c r="EOI2" s="4"/>
      <c r="EOJ2" s="4"/>
      <c r="EOK2" s="4"/>
      <c r="EOL2" s="4"/>
      <c r="EOM2" s="4"/>
      <c r="EON2" s="4"/>
      <c r="EOO2" s="4"/>
      <c r="EOP2" s="4"/>
      <c r="EOQ2" s="4"/>
      <c r="EOR2" s="4"/>
      <c r="EOS2" s="4"/>
      <c r="EOT2" s="4"/>
      <c r="EOU2" s="4"/>
      <c r="EOV2" s="4"/>
      <c r="EOW2" s="4"/>
      <c r="EOX2" s="4"/>
      <c r="EOY2" s="4"/>
      <c r="EOZ2" s="4"/>
      <c r="EPA2" s="4"/>
      <c r="EPB2" s="4"/>
      <c r="EPC2" s="4"/>
      <c r="EPD2" s="4"/>
      <c r="EPE2" s="4"/>
      <c r="EPF2" s="4"/>
      <c r="EPG2" s="4"/>
      <c r="EPH2" s="4"/>
      <c r="EPI2" s="4"/>
      <c r="EPJ2" s="4"/>
      <c r="EPK2" s="4"/>
      <c r="EPL2" s="4"/>
      <c r="EPM2" s="4"/>
      <c r="EPN2" s="4"/>
      <c r="EPO2" s="4"/>
      <c r="EPP2" s="4"/>
      <c r="EPQ2" s="4"/>
      <c r="EPR2" s="4"/>
      <c r="EPS2" s="4"/>
      <c r="EPT2" s="4"/>
      <c r="EPU2" s="4"/>
      <c r="EPV2" s="4"/>
      <c r="EPW2" s="4"/>
      <c r="EPX2" s="4"/>
      <c r="EPY2" s="4"/>
      <c r="EPZ2" s="4"/>
      <c r="EQA2" s="4"/>
      <c r="EQB2" s="4"/>
      <c r="EQC2" s="4"/>
      <c r="EQD2" s="4"/>
      <c r="EQE2" s="4"/>
      <c r="EQF2" s="4"/>
      <c r="EQG2" s="4"/>
      <c r="EQH2" s="4"/>
      <c r="EQI2" s="4"/>
      <c r="EQJ2" s="4"/>
      <c r="EQK2" s="4"/>
      <c r="EQL2" s="4"/>
      <c r="EQM2" s="4"/>
      <c r="EQN2" s="4"/>
      <c r="EQO2" s="4"/>
      <c r="EQP2" s="4"/>
      <c r="EQQ2" s="4"/>
      <c r="EQR2" s="4"/>
      <c r="EQS2" s="4"/>
      <c r="EQT2" s="4"/>
      <c r="EQU2" s="4"/>
      <c r="EQV2" s="4"/>
      <c r="EQW2" s="4"/>
      <c r="EQX2" s="4"/>
      <c r="EQY2" s="4"/>
      <c r="EQZ2" s="4"/>
      <c r="ERA2" s="4"/>
      <c r="ERB2" s="4"/>
      <c r="ERC2" s="4"/>
      <c r="ERD2" s="4"/>
      <c r="ERE2" s="4"/>
      <c r="ERF2" s="4"/>
      <c r="ERG2" s="4"/>
      <c r="ERH2" s="4"/>
      <c r="ERI2" s="4"/>
      <c r="ERJ2" s="4"/>
      <c r="ERK2" s="4"/>
      <c r="ERL2" s="4"/>
      <c r="ERM2" s="4"/>
      <c r="ERN2" s="4"/>
      <c r="ERO2" s="4"/>
      <c r="ERP2" s="4"/>
      <c r="ERQ2" s="4"/>
      <c r="ERR2" s="4"/>
      <c r="ERS2" s="4"/>
      <c r="ERT2" s="4"/>
      <c r="ERU2" s="4"/>
      <c r="ERV2" s="4"/>
      <c r="ERW2" s="4"/>
      <c r="ERX2" s="4"/>
      <c r="ERY2" s="4"/>
      <c r="ERZ2" s="4"/>
      <c r="ESA2" s="4"/>
      <c r="ESB2" s="4"/>
      <c r="ESC2" s="4"/>
      <c r="ESD2" s="4"/>
      <c r="ESE2" s="4"/>
      <c r="ESF2" s="4"/>
      <c r="ESG2" s="4"/>
      <c r="ESH2" s="4"/>
      <c r="ESI2" s="4"/>
      <c r="ESJ2" s="4"/>
      <c r="ESK2" s="4"/>
      <c r="ESL2" s="4"/>
      <c r="ESM2" s="4"/>
      <c r="ESN2" s="4"/>
      <c r="ESO2" s="4"/>
      <c r="ESP2" s="4"/>
      <c r="ESQ2" s="4"/>
      <c r="ESR2" s="4"/>
      <c r="ESS2" s="4"/>
      <c r="EST2" s="4"/>
      <c r="ESU2" s="4"/>
      <c r="ESV2" s="4"/>
      <c r="ESW2" s="4"/>
      <c r="ESX2" s="4"/>
      <c r="ESY2" s="4"/>
      <c r="ESZ2" s="4"/>
      <c r="ETA2" s="4"/>
      <c r="ETB2" s="4"/>
      <c r="ETC2" s="4"/>
      <c r="ETD2" s="4"/>
      <c r="ETE2" s="4"/>
      <c r="ETF2" s="4"/>
      <c r="ETG2" s="4"/>
      <c r="ETH2" s="4"/>
      <c r="ETI2" s="4"/>
      <c r="ETJ2" s="4"/>
      <c r="ETK2" s="4"/>
      <c r="ETL2" s="4"/>
      <c r="ETM2" s="4"/>
      <c r="ETN2" s="4"/>
      <c r="ETO2" s="4"/>
      <c r="ETP2" s="4"/>
      <c r="ETQ2" s="4"/>
      <c r="ETR2" s="4"/>
      <c r="ETS2" s="4"/>
      <c r="ETT2" s="4"/>
      <c r="ETU2" s="4"/>
      <c r="ETV2" s="4"/>
      <c r="ETW2" s="4"/>
      <c r="ETX2" s="4"/>
      <c r="ETY2" s="4"/>
      <c r="ETZ2" s="4"/>
      <c r="EUA2" s="4"/>
      <c r="EUB2" s="4"/>
      <c r="EUC2" s="4"/>
      <c r="EUD2" s="4"/>
      <c r="EUE2" s="4"/>
      <c r="EUF2" s="4"/>
      <c r="EUG2" s="4"/>
      <c r="EUH2" s="4"/>
      <c r="EUI2" s="4"/>
      <c r="EUJ2" s="4"/>
      <c r="EUK2" s="4"/>
      <c r="EUL2" s="4"/>
      <c r="EUM2" s="4"/>
      <c r="EUN2" s="4"/>
      <c r="EUO2" s="4"/>
      <c r="EUP2" s="4"/>
      <c r="EUQ2" s="4"/>
      <c r="EUR2" s="4"/>
      <c r="EUS2" s="4"/>
      <c r="EUT2" s="4"/>
      <c r="EUU2" s="4"/>
      <c r="EUV2" s="4"/>
      <c r="EUW2" s="4"/>
      <c r="EUX2" s="4"/>
      <c r="EUY2" s="4"/>
      <c r="EUZ2" s="4"/>
      <c r="EVA2" s="4"/>
      <c r="EVB2" s="4"/>
      <c r="EVC2" s="4"/>
      <c r="EVD2" s="4"/>
      <c r="EVE2" s="4"/>
      <c r="EVF2" s="4"/>
      <c r="EVG2" s="4"/>
      <c r="EVH2" s="4"/>
      <c r="EVI2" s="4"/>
      <c r="EVJ2" s="4"/>
      <c r="EVK2" s="4"/>
      <c r="EVL2" s="4"/>
      <c r="EVM2" s="4"/>
      <c r="EVN2" s="4"/>
      <c r="EVO2" s="4"/>
      <c r="EVP2" s="4"/>
      <c r="EVQ2" s="4"/>
      <c r="EVR2" s="4"/>
      <c r="EVS2" s="4"/>
      <c r="EVT2" s="4"/>
      <c r="EVU2" s="4"/>
      <c r="EVV2" s="4"/>
      <c r="EVW2" s="4"/>
      <c r="EVX2" s="4"/>
      <c r="EVY2" s="4"/>
      <c r="EVZ2" s="4"/>
      <c r="EWA2" s="4"/>
      <c r="EWB2" s="4"/>
      <c r="EWC2" s="4"/>
      <c r="EWD2" s="4"/>
      <c r="EWE2" s="4"/>
      <c r="EWF2" s="4"/>
      <c r="EWG2" s="4"/>
      <c r="EWH2" s="4"/>
      <c r="EWI2" s="4"/>
      <c r="EWJ2" s="4"/>
      <c r="EWK2" s="4"/>
      <c r="EWL2" s="4"/>
      <c r="EWM2" s="4"/>
      <c r="EWN2" s="4"/>
      <c r="EWO2" s="4"/>
      <c r="EWP2" s="4"/>
      <c r="EWQ2" s="4"/>
      <c r="EWR2" s="4"/>
      <c r="EWS2" s="4"/>
      <c r="EWT2" s="4"/>
      <c r="EWU2" s="4"/>
      <c r="EWV2" s="4"/>
      <c r="EWW2" s="4"/>
      <c r="EWX2" s="4"/>
      <c r="EWY2" s="4"/>
      <c r="EWZ2" s="4"/>
      <c r="EXA2" s="4"/>
      <c r="EXB2" s="4"/>
      <c r="EXC2" s="4"/>
      <c r="EXD2" s="4"/>
      <c r="EXE2" s="4"/>
      <c r="EXF2" s="4"/>
      <c r="EXG2" s="4"/>
      <c r="EXH2" s="4"/>
      <c r="EXI2" s="4"/>
      <c r="EXJ2" s="4"/>
      <c r="EXK2" s="4"/>
      <c r="EXL2" s="4"/>
      <c r="EXM2" s="4"/>
      <c r="EXN2" s="4"/>
      <c r="EXO2" s="4"/>
      <c r="EXP2" s="4"/>
      <c r="EXQ2" s="4"/>
      <c r="EXR2" s="4"/>
      <c r="EXS2" s="4"/>
      <c r="EXT2" s="4"/>
      <c r="EXU2" s="4"/>
      <c r="EXV2" s="4"/>
      <c r="EXW2" s="4"/>
      <c r="EXX2" s="4"/>
      <c r="EXY2" s="4"/>
      <c r="EXZ2" s="4"/>
      <c r="EYA2" s="4"/>
      <c r="EYB2" s="4"/>
      <c r="EYC2" s="4"/>
      <c r="EYD2" s="4"/>
      <c r="EYE2" s="4"/>
      <c r="EYF2" s="4"/>
      <c r="EYG2" s="4"/>
      <c r="EYH2" s="4"/>
      <c r="EYI2" s="4"/>
      <c r="EYJ2" s="4"/>
      <c r="EYK2" s="4"/>
      <c r="EYL2" s="4"/>
      <c r="EYM2" s="4"/>
      <c r="EYN2" s="4"/>
      <c r="EYO2" s="4"/>
      <c r="EYP2" s="4"/>
      <c r="EYQ2" s="4"/>
      <c r="EYR2" s="4"/>
      <c r="EYS2" s="4"/>
      <c r="EYT2" s="4"/>
      <c r="EYU2" s="4"/>
      <c r="EYV2" s="4"/>
      <c r="EYW2" s="4"/>
      <c r="EYX2" s="4"/>
      <c r="EYY2" s="4"/>
      <c r="EYZ2" s="4"/>
      <c r="EZA2" s="4"/>
      <c r="EZB2" s="4"/>
      <c r="EZC2" s="4"/>
      <c r="EZD2" s="4"/>
      <c r="EZE2" s="4"/>
      <c r="EZF2" s="4"/>
      <c r="EZG2" s="4"/>
      <c r="EZH2" s="4"/>
      <c r="EZI2" s="4"/>
      <c r="EZJ2" s="4"/>
      <c r="EZK2" s="4"/>
      <c r="EZL2" s="4"/>
      <c r="EZM2" s="4"/>
      <c r="EZN2" s="4"/>
      <c r="EZO2" s="4"/>
      <c r="EZP2" s="4"/>
      <c r="EZQ2" s="4"/>
      <c r="EZR2" s="4"/>
      <c r="EZS2" s="4"/>
      <c r="EZT2" s="4"/>
      <c r="EZU2" s="4"/>
      <c r="EZV2" s="4"/>
      <c r="EZW2" s="4"/>
      <c r="EZX2" s="4"/>
      <c r="EZY2" s="4"/>
      <c r="EZZ2" s="4"/>
      <c r="FAA2" s="4"/>
      <c r="FAB2" s="4"/>
      <c r="FAC2" s="4"/>
      <c r="FAD2" s="4"/>
      <c r="FAE2" s="4"/>
      <c r="FAF2" s="4"/>
      <c r="FAG2" s="4"/>
      <c r="FAH2" s="4"/>
      <c r="FAI2" s="4"/>
      <c r="FAJ2" s="4"/>
      <c r="FAK2" s="4"/>
      <c r="FAL2" s="4"/>
      <c r="FAM2" s="4"/>
      <c r="FAN2" s="4"/>
      <c r="FAO2" s="4"/>
      <c r="FAP2" s="4"/>
      <c r="FAQ2" s="4"/>
      <c r="FAR2" s="4"/>
      <c r="FAS2" s="4"/>
      <c r="FAT2" s="4"/>
      <c r="FAU2" s="4"/>
      <c r="FAV2" s="4"/>
      <c r="FAW2" s="4"/>
      <c r="FAX2" s="4"/>
      <c r="FAY2" s="4"/>
      <c r="FAZ2" s="4"/>
      <c r="FBA2" s="4"/>
      <c r="FBB2" s="4"/>
      <c r="FBC2" s="4"/>
      <c r="FBD2" s="4"/>
      <c r="FBE2" s="4"/>
      <c r="FBF2" s="4"/>
      <c r="FBG2" s="4"/>
      <c r="FBH2" s="4"/>
      <c r="FBI2" s="4"/>
      <c r="FBJ2" s="4"/>
      <c r="FBK2" s="4"/>
      <c r="FBL2" s="4"/>
      <c r="FBM2" s="4"/>
      <c r="FBN2" s="4"/>
      <c r="FBO2" s="4"/>
      <c r="FBP2" s="4"/>
      <c r="FBQ2" s="4"/>
      <c r="FBR2" s="4"/>
      <c r="FBS2" s="4"/>
      <c r="FBT2" s="4"/>
      <c r="FBU2" s="4"/>
      <c r="FBV2" s="4"/>
      <c r="FBW2" s="4"/>
      <c r="FBX2" s="4"/>
      <c r="FBY2" s="4"/>
      <c r="FBZ2" s="4"/>
      <c r="FCA2" s="4"/>
      <c r="FCB2" s="4"/>
      <c r="FCC2" s="4"/>
      <c r="FCD2" s="4"/>
      <c r="FCE2" s="4"/>
      <c r="FCF2" s="4"/>
      <c r="FCG2" s="4"/>
      <c r="FCH2" s="4"/>
      <c r="FCI2" s="4"/>
      <c r="FCJ2" s="4"/>
      <c r="FCK2" s="4"/>
      <c r="FCL2" s="4"/>
      <c r="FCM2" s="4"/>
      <c r="FCN2" s="4"/>
      <c r="FCO2" s="4"/>
      <c r="FCP2" s="4"/>
      <c r="FCQ2" s="4"/>
      <c r="FCR2" s="4"/>
      <c r="FCS2" s="4"/>
      <c r="FCT2" s="4"/>
      <c r="FCU2" s="4"/>
      <c r="FCV2" s="4"/>
      <c r="FCW2" s="4"/>
      <c r="FCX2" s="4"/>
      <c r="FCY2" s="4"/>
      <c r="FCZ2" s="4"/>
      <c r="FDA2" s="4"/>
      <c r="FDB2" s="4"/>
      <c r="FDC2" s="4"/>
      <c r="FDD2" s="4"/>
      <c r="FDE2" s="4"/>
      <c r="FDF2" s="4"/>
      <c r="FDG2" s="4"/>
      <c r="FDH2" s="4"/>
      <c r="FDI2" s="4"/>
      <c r="FDJ2" s="4"/>
      <c r="FDK2" s="4"/>
      <c r="FDL2" s="4"/>
      <c r="FDM2" s="4"/>
      <c r="FDN2" s="4"/>
      <c r="FDO2" s="4"/>
      <c r="FDP2" s="4"/>
      <c r="FDQ2" s="4"/>
      <c r="FDR2" s="4"/>
      <c r="FDS2" s="4"/>
      <c r="FDT2" s="4"/>
      <c r="FDU2" s="4"/>
      <c r="FDV2" s="4"/>
      <c r="FDW2" s="4"/>
      <c r="FDX2" s="4"/>
      <c r="FDY2" s="4"/>
      <c r="FDZ2" s="4"/>
      <c r="FEA2" s="4"/>
      <c r="FEB2" s="4"/>
      <c r="FEC2" s="4"/>
      <c r="FED2" s="4"/>
      <c r="FEE2" s="4"/>
      <c r="FEF2" s="4"/>
      <c r="FEG2" s="4"/>
      <c r="FEH2" s="4"/>
      <c r="FEI2" s="4"/>
      <c r="FEJ2" s="4"/>
      <c r="FEK2" s="4"/>
      <c r="FEL2" s="4"/>
      <c r="FEM2" s="4"/>
      <c r="FEN2" s="4"/>
      <c r="FEO2" s="4"/>
      <c r="FEP2" s="4"/>
      <c r="FEQ2" s="4"/>
      <c r="FER2" s="4"/>
      <c r="FES2" s="4"/>
      <c r="FET2" s="4"/>
      <c r="FEU2" s="4"/>
      <c r="FEV2" s="4"/>
      <c r="FEW2" s="4"/>
      <c r="FEX2" s="4"/>
      <c r="FEY2" s="4"/>
      <c r="FEZ2" s="4"/>
      <c r="FFA2" s="4"/>
      <c r="FFB2" s="4"/>
      <c r="FFC2" s="4"/>
      <c r="FFD2" s="4"/>
      <c r="FFE2" s="4"/>
      <c r="FFF2" s="4"/>
      <c r="FFG2" s="4"/>
      <c r="FFH2" s="4"/>
      <c r="FFI2" s="4"/>
      <c r="FFJ2" s="4"/>
      <c r="FFK2" s="4"/>
      <c r="FFL2" s="4"/>
      <c r="FFM2" s="4"/>
      <c r="FFN2" s="4"/>
      <c r="FFO2" s="4"/>
      <c r="FFP2" s="4"/>
      <c r="FFQ2" s="4"/>
      <c r="FFR2" s="4"/>
      <c r="FFS2" s="4"/>
      <c r="FFT2" s="4"/>
      <c r="FFU2" s="4"/>
      <c r="FFV2" s="4"/>
      <c r="FFW2" s="4"/>
      <c r="FFX2" s="4"/>
      <c r="FFY2" s="4"/>
      <c r="FFZ2" s="4"/>
      <c r="FGA2" s="4"/>
      <c r="FGB2" s="4"/>
      <c r="FGC2" s="4"/>
      <c r="FGD2" s="4"/>
      <c r="FGE2" s="4"/>
      <c r="FGF2" s="4"/>
      <c r="FGG2" s="4"/>
      <c r="FGH2" s="4"/>
      <c r="FGI2" s="4"/>
      <c r="FGJ2" s="4"/>
      <c r="FGK2" s="4"/>
      <c r="FGL2" s="4"/>
      <c r="FGM2" s="4"/>
      <c r="FGN2" s="4"/>
      <c r="FGO2" s="4"/>
      <c r="FGP2" s="4"/>
      <c r="FGQ2" s="4"/>
      <c r="FGR2" s="4"/>
      <c r="FGS2" s="4"/>
      <c r="FGT2" s="4"/>
      <c r="FGU2" s="4"/>
      <c r="FGV2" s="4"/>
      <c r="FGW2" s="4"/>
      <c r="FGX2" s="4"/>
      <c r="FGY2" s="4"/>
      <c r="FGZ2" s="4"/>
      <c r="FHA2" s="4"/>
      <c r="FHB2" s="4"/>
      <c r="FHC2" s="4"/>
      <c r="FHD2" s="4"/>
      <c r="FHE2" s="4"/>
      <c r="FHF2" s="4"/>
      <c r="FHG2" s="4"/>
      <c r="FHH2" s="4"/>
      <c r="FHI2" s="4"/>
      <c r="FHJ2" s="4"/>
      <c r="FHK2" s="4"/>
      <c r="FHL2" s="4"/>
      <c r="FHM2" s="4"/>
      <c r="FHN2" s="4"/>
      <c r="FHO2" s="4"/>
      <c r="FHP2" s="4"/>
      <c r="FHQ2" s="4"/>
      <c r="FHR2" s="4"/>
      <c r="FHS2" s="4"/>
      <c r="FHT2" s="4"/>
      <c r="FHU2" s="4"/>
      <c r="FHV2" s="4"/>
      <c r="FHW2" s="4"/>
      <c r="FHX2" s="4"/>
      <c r="FHY2" s="4"/>
      <c r="FHZ2" s="4"/>
      <c r="FIA2" s="4"/>
      <c r="FIB2" s="4"/>
      <c r="FIC2" s="4"/>
      <c r="FID2" s="4"/>
      <c r="FIE2" s="4"/>
      <c r="FIF2" s="4"/>
      <c r="FIG2" s="4"/>
      <c r="FIH2" s="4"/>
      <c r="FII2" s="4"/>
      <c r="FIJ2" s="4"/>
      <c r="FIK2" s="4"/>
      <c r="FIL2" s="4"/>
      <c r="FIM2" s="4"/>
      <c r="FIN2" s="4"/>
      <c r="FIO2" s="4"/>
      <c r="FIP2" s="4"/>
      <c r="FIQ2" s="4"/>
      <c r="FIR2" s="4"/>
      <c r="FIS2" s="4"/>
      <c r="FIT2" s="4"/>
      <c r="FIU2" s="4"/>
      <c r="FIV2" s="4"/>
      <c r="FIW2" s="4"/>
      <c r="FIX2" s="4"/>
      <c r="FIY2" s="4"/>
      <c r="FIZ2" s="4"/>
      <c r="FJA2" s="4"/>
      <c r="FJB2" s="4"/>
      <c r="FJC2" s="4"/>
      <c r="FJD2" s="4"/>
      <c r="FJE2" s="4"/>
      <c r="FJF2" s="4"/>
      <c r="FJG2" s="4"/>
      <c r="FJH2" s="4"/>
      <c r="FJI2" s="4"/>
      <c r="FJJ2" s="4"/>
      <c r="FJK2" s="4"/>
      <c r="FJL2" s="4"/>
      <c r="FJM2" s="4"/>
      <c r="FJN2" s="4"/>
      <c r="FJO2" s="4"/>
      <c r="FJP2" s="4"/>
      <c r="FJQ2" s="4"/>
      <c r="FJR2" s="4"/>
      <c r="FJS2" s="4"/>
      <c r="FJT2" s="4"/>
      <c r="FJU2" s="4"/>
      <c r="FJV2" s="4"/>
      <c r="FJW2" s="4"/>
      <c r="FJX2" s="4"/>
      <c r="FJY2" s="4"/>
      <c r="FJZ2" s="4"/>
      <c r="FKA2" s="4"/>
      <c r="FKB2" s="4"/>
      <c r="FKC2" s="4"/>
      <c r="FKD2" s="4"/>
      <c r="FKE2" s="4"/>
      <c r="FKF2" s="4"/>
      <c r="FKG2" s="4"/>
      <c r="FKH2" s="4"/>
      <c r="FKI2" s="4"/>
      <c r="FKJ2" s="4"/>
      <c r="FKK2" s="4"/>
      <c r="FKL2" s="4"/>
      <c r="FKM2" s="4"/>
      <c r="FKN2" s="4"/>
      <c r="FKO2" s="4"/>
      <c r="FKP2" s="4"/>
      <c r="FKQ2" s="4"/>
      <c r="FKR2" s="4"/>
      <c r="FKS2" s="4"/>
      <c r="FKT2" s="4"/>
      <c r="FKU2" s="4"/>
      <c r="FKV2" s="4"/>
      <c r="FKW2" s="4"/>
      <c r="FKX2" s="4"/>
      <c r="FKY2" s="4"/>
      <c r="FKZ2" s="4"/>
      <c r="FLA2" s="4"/>
      <c r="FLB2" s="4"/>
      <c r="FLC2" s="4"/>
      <c r="FLD2" s="4"/>
      <c r="FLE2" s="4"/>
      <c r="FLF2" s="4"/>
      <c r="FLG2" s="4"/>
      <c r="FLH2" s="4"/>
      <c r="FLI2" s="4"/>
      <c r="FLJ2" s="4"/>
      <c r="FLK2" s="4"/>
      <c r="FLL2" s="4"/>
      <c r="FLM2" s="4"/>
      <c r="FLN2" s="4"/>
      <c r="FLO2" s="4"/>
      <c r="FLP2" s="4"/>
      <c r="FLQ2" s="4"/>
      <c r="FLR2" s="4"/>
      <c r="FLS2" s="4"/>
      <c r="FLT2" s="4"/>
      <c r="FLU2" s="4"/>
      <c r="FLV2" s="4"/>
      <c r="FLW2" s="4"/>
      <c r="FLX2" s="4"/>
      <c r="FLY2" s="4"/>
      <c r="FLZ2" s="4"/>
      <c r="FMA2" s="4"/>
      <c r="FMB2" s="4"/>
      <c r="FMC2" s="4"/>
      <c r="FMD2" s="4"/>
      <c r="FME2" s="4"/>
      <c r="FMF2" s="4"/>
      <c r="FMG2" s="4"/>
      <c r="FMH2" s="4"/>
      <c r="FMI2" s="4"/>
      <c r="FMJ2" s="4"/>
      <c r="FMK2" s="4"/>
      <c r="FML2" s="4"/>
      <c r="FMM2" s="4"/>
      <c r="FMN2" s="4"/>
      <c r="FMO2" s="4"/>
      <c r="FMP2" s="4"/>
      <c r="FMQ2" s="4"/>
      <c r="FMR2" s="4"/>
      <c r="FMS2" s="4"/>
      <c r="FMT2" s="4"/>
      <c r="FMU2" s="4"/>
      <c r="FMV2" s="4"/>
      <c r="FMW2" s="4"/>
      <c r="FMX2" s="4"/>
      <c r="FMY2" s="4"/>
      <c r="FMZ2" s="4"/>
      <c r="FNA2" s="4"/>
      <c r="FNB2" s="4"/>
      <c r="FNC2" s="4"/>
      <c r="FND2" s="4"/>
      <c r="FNE2" s="4"/>
      <c r="FNF2" s="4"/>
      <c r="FNG2" s="4"/>
      <c r="FNH2" s="4"/>
      <c r="FNI2" s="4"/>
      <c r="FNJ2" s="4"/>
      <c r="FNK2" s="4"/>
      <c r="FNL2" s="4"/>
      <c r="FNM2" s="4"/>
      <c r="FNN2" s="4"/>
      <c r="FNO2" s="4"/>
      <c r="FNP2" s="4"/>
      <c r="FNQ2" s="4"/>
      <c r="FNR2" s="4"/>
      <c r="FNS2" s="4"/>
      <c r="FNT2" s="4"/>
      <c r="FNU2" s="4"/>
      <c r="FNV2" s="4"/>
      <c r="FNW2" s="4"/>
      <c r="FNX2" s="4"/>
      <c r="FNY2" s="4"/>
      <c r="FNZ2" s="4"/>
      <c r="FOA2" s="4"/>
      <c r="FOB2" s="4"/>
      <c r="FOC2" s="4"/>
      <c r="FOD2" s="4"/>
      <c r="FOE2" s="4"/>
      <c r="FOF2" s="4"/>
      <c r="FOG2" s="4"/>
      <c r="FOH2" s="4"/>
      <c r="FOI2" s="4"/>
      <c r="FOJ2" s="4"/>
      <c r="FOK2" s="4"/>
      <c r="FOL2" s="4"/>
      <c r="FOM2" s="4"/>
      <c r="FON2" s="4"/>
      <c r="FOO2" s="4"/>
      <c r="FOP2" s="4"/>
      <c r="FOQ2" s="4"/>
      <c r="FOR2" s="4"/>
      <c r="FOS2" s="4"/>
      <c r="FOT2" s="4"/>
      <c r="FOU2" s="4"/>
      <c r="FOV2" s="4"/>
      <c r="FOW2" s="4"/>
      <c r="FOX2" s="4"/>
      <c r="FOY2" s="4"/>
      <c r="FOZ2" s="4"/>
      <c r="FPA2" s="4"/>
      <c r="FPB2" s="4"/>
      <c r="FPC2" s="4"/>
      <c r="FPD2" s="4"/>
      <c r="FPE2" s="4"/>
      <c r="FPF2" s="4"/>
      <c r="FPG2" s="4"/>
      <c r="FPH2" s="4"/>
      <c r="FPI2" s="4"/>
      <c r="FPJ2" s="4"/>
      <c r="FPK2" s="4"/>
      <c r="FPL2" s="4"/>
      <c r="FPM2" s="4"/>
      <c r="FPN2" s="4"/>
      <c r="FPO2" s="4"/>
      <c r="FPP2" s="4"/>
      <c r="FPQ2" s="4"/>
      <c r="FPR2" s="4"/>
      <c r="FPS2" s="4"/>
      <c r="FPT2" s="4"/>
      <c r="FPU2" s="4"/>
      <c r="FPV2" s="4"/>
      <c r="FPW2" s="4"/>
      <c r="FPX2" s="4"/>
      <c r="FPY2" s="4"/>
      <c r="FPZ2" s="4"/>
      <c r="FQA2" s="4"/>
      <c r="FQB2" s="4"/>
      <c r="FQC2" s="4"/>
      <c r="FQD2" s="4"/>
      <c r="FQE2" s="4"/>
      <c r="FQF2" s="4"/>
      <c r="FQG2" s="4"/>
      <c r="FQH2" s="4"/>
      <c r="FQI2" s="4"/>
      <c r="FQJ2" s="4"/>
      <c r="FQK2" s="4"/>
      <c r="FQL2" s="4"/>
      <c r="FQM2" s="4"/>
      <c r="FQN2" s="4"/>
      <c r="FQO2" s="4"/>
      <c r="FQP2" s="4"/>
      <c r="FQQ2" s="4"/>
      <c r="FQR2" s="4"/>
      <c r="FQS2" s="4"/>
      <c r="FQT2" s="4"/>
      <c r="FQU2" s="4"/>
      <c r="FQV2" s="4"/>
      <c r="FQW2" s="4"/>
      <c r="FQX2" s="4"/>
      <c r="FQY2" s="4"/>
      <c r="FQZ2" s="4"/>
      <c r="FRA2" s="4"/>
      <c r="FRB2" s="4"/>
      <c r="FRC2" s="4"/>
      <c r="FRD2" s="4"/>
      <c r="FRE2" s="4"/>
      <c r="FRF2" s="4"/>
      <c r="FRG2" s="4"/>
      <c r="FRH2" s="4"/>
      <c r="FRI2" s="4"/>
      <c r="FRJ2" s="4"/>
      <c r="FRK2" s="4"/>
      <c r="FRL2" s="4"/>
      <c r="FRM2" s="4"/>
      <c r="FRN2" s="4"/>
      <c r="FRO2" s="4"/>
      <c r="FRP2" s="4"/>
      <c r="FRQ2" s="4"/>
      <c r="FRR2" s="4"/>
      <c r="FRS2" s="4"/>
      <c r="FRT2" s="4"/>
      <c r="FRU2" s="4"/>
      <c r="FRV2" s="4"/>
      <c r="FRW2" s="4"/>
      <c r="FRX2" s="4"/>
      <c r="FRY2" s="4"/>
      <c r="FRZ2" s="4"/>
      <c r="FSA2" s="4"/>
      <c r="FSB2" s="4"/>
      <c r="FSC2" s="4"/>
      <c r="FSD2" s="4"/>
      <c r="FSE2" s="4"/>
      <c r="FSF2" s="4"/>
      <c r="FSG2" s="4"/>
      <c r="FSH2" s="4"/>
      <c r="FSI2" s="4"/>
      <c r="FSJ2" s="4"/>
      <c r="FSK2" s="4"/>
      <c r="FSL2" s="4"/>
      <c r="FSM2" s="4"/>
      <c r="FSN2" s="4"/>
      <c r="FSO2" s="4"/>
      <c r="FSP2" s="4"/>
      <c r="FSQ2" s="4"/>
      <c r="FSR2" s="4"/>
      <c r="FSS2" s="4"/>
      <c r="FST2" s="4"/>
      <c r="FSU2" s="4"/>
      <c r="FSV2" s="4"/>
      <c r="FSW2" s="4"/>
      <c r="FSX2" s="4"/>
      <c r="FSY2" s="4"/>
      <c r="FSZ2" s="4"/>
      <c r="FTA2" s="4"/>
      <c r="FTB2" s="4"/>
      <c r="FTC2" s="4"/>
      <c r="FTD2" s="4"/>
      <c r="FTE2" s="4"/>
      <c r="FTF2" s="4"/>
      <c r="FTG2" s="4"/>
      <c r="FTH2" s="4"/>
      <c r="FTI2" s="4"/>
      <c r="FTJ2" s="4"/>
      <c r="FTK2" s="4"/>
      <c r="FTL2" s="4"/>
      <c r="FTM2" s="4"/>
      <c r="FTN2" s="4"/>
      <c r="FTO2" s="4"/>
      <c r="FTP2" s="4"/>
      <c r="FTQ2" s="4"/>
      <c r="FTR2" s="4"/>
      <c r="FTS2" s="4"/>
      <c r="FTT2" s="4"/>
      <c r="FTU2" s="4"/>
      <c r="FTV2" s="4"/>
      <c r="FTW2" s="4"/>
      <c r="FTX2" s="4"/>
      <c r="FTY2" s="4"/>
      <c r="FTZ2" s="4"/>
      <c r="FUA2" s="4"/>
      <c r="FUB2" s="4"/>
      <c r="FUC2" s="4"/>
      <c r="FUD2" s="4"/>
      <c r="FUE2" s="4"/>
      <c r="FUF2" s="4"/>
      <c r="FUG2" s="4"/>
      <c r="FUH2" s="4"/>
      <c r="FUI2" s="4"/>
      <c r="FUJ2" s="4"/>
      <c r="FUK2" s="4"/>
      <c r="FUL2" s="4"/>
      <c r="FUM2" s="4"/>
      <c r="FUN2" s="4"/>
      <c r="FUO2" s="4"/>
      <c r="FUP2" s="4"/>
      <c r="FUQ2" s="4"/>
      <c r="FUR2" s="4"/>
      <c r="FUS2" s="4"/>
      <c r="FUT2" s="4"/>
      <c r="FUU2" s="4"/>
      <c r="FUV2" s="4"/>
      <c r="FUW2" s="4"/>
      <c r="FUX2" s="4"/>
      <c r="FUY2" s="4"/>
      <c r="FUZ2" s="4"/>
      <c r="FVA2" s="4"/>
      <c r="FVB2" s="4"/>
      <c r="FVC2" s="4"/>
      <c r="FVD2" s="4"/>
      <c r="FVE2" s="4"/>
      <c r="FVF2" s="4"/>
      <c r="FVG2" s="4"/>
      <c r="FVH2" s="4"/>
      <c r="FVI2" s="4"/>
      <c r="FVJ2" s="4"/>
      <c r="FVK2" s="4"/>
      <c r="FVL2" s="4"/>
      <c r="FVM2" s="4"/>
      <c r="FVN2" s="4"/>
      <c r="FVO2" s="4"/>
      <c r="FVP2" s="4"/>
      <c r="FVQ2" s="4"/>
      <c r="FVR2" s="4"/>
      <c r="FVS2" s="4"/>
      <c r="FVT2" s="4"/>
      <c r="FVU2" s="4"/>
      <c r="FVV2" s="4"/>
      <c r="FVW2" s="4"/>
      <c r="FVX2" s="4"/>
      <c r="FVY2" s="4"/>
      <c r="FVZ2" s="4"/>
      <c r="FWA2" s="4"/>
      <c r="FWB2" s="4"/>
      <c r="FWC2" s="4"/>
      <c r="FWD2" s="4"/>
      <c r="FWE2" s="4"/>
      <c r="FWF2" s="4"/>
      <c r="FWG2" s="4"/>
      <c r="FWH2" s="4"/>
      <c r="FWI2" s="4"/>
      <c r="FWJ2" s="4"/>
      <c r="FWK2" s="4"/>
      <c r="FWL2" s="4"/>
      <c r="FWM2" s="4"/>
      <c r="FWN2" s="4"/>
      <c r="FWO2" s="4"/>
      <c r="FWP2" s="4"/>
      <c r="FWQ2" s="4"/>
      <c r="FWR2" s="4"/>
      <c r="FWS2" s="4"/>
      <c r="FWT2" s="4"/>
      <c r="FWU2" s="4"/>
      <c r="FWV2" s="4"/>
      <c r="FWW2" s="4"/>
      <c r="FWX2" s="4"/>
      <c r="FWY2" s="4"/>
      <c r="FWZ2" s="4"/>
      <c r="FXA2" s="4"/>
      <c r="FXB2" s="4"/>
      <c r="FXC2" s="4"/>
      <c r="FXD2" s="4"/>
      <c r="FXE2" s="4"/>
      <c r="FXF2" s="4"/>
      <c r="FXG2" s="4"/>
      <c r="FXH2" s="4"/>
      <c r="FXI2" s="4"/>
      <c r="FXJ2" s="4"/>
      <c r="FXK2" s="4"/>
      <c r="FXL2" s="4"/>
      <c r="FXM2" s="4"/>
      <c r="FXN2" s="4"/>
      <c r="FXO2" s="4"/>
      <c r="FXP2" s="4"/>
      <c r="FXQ2" s="4"/>
      <c r="FXR2" s="4"/>
      <c r="FXS2" s="4"/>
      <c r="FXT2" s="4"/>
      <c r="FXU2" s="4"/>
      <c r="FXV2" s="4"/>
      <c r="FXW2" s="4"/>
      <c r="FXX2" s="4"/>
      <c r="FXY2" s="4"/>
      <c r="FXZ2" s="4"/>
      <c r="FYA2" s="4"/>
      <c r="FYB2" s="4"/>
      <c r="FYC2" s="4"/>
      <c r="FYD2" s="4"/>
      <c r="FYE2" s="4"/>
      <c r="FYF2" s="4"/>
      <c r="FYG2" s="4"/>
      <c r="FYH2" s="4"/>
      <c r="FYI2" s="4"/>
      <c r="FYJ2" s="4"/>
      <c r="FYK2" s="4"/>
      <c r="FYL2" s="4"/>
      <c r="FYM2" s="4"/>
      <c r="FYN2" s="4"/>
      <c r="FYO2" s="4"/>
      <c r="FYP2" s="4"/>
      <c r="FYQ2" s="4"/>
      <c r="FYR2" s="4"/>
      <c r="FYS2" s="4"/>
      <c r="FYT2" s="4"/>
      <c r="FYU2" s="4"/>
      <c r="FYV2" s="4"/>
      <c r="FYW2" s="4"/>
      <c r="FYX2" s="4"/>
      <c r="FYY2" s="4"/>
      <c r="FYZ2" s="4"/>
      <c r="FZA2" s="4"/>
      <c r="FZB2" s="4"/>
      <c r="FZC2" s="4"/>
      <c r="FZD2" s="4"/>
      <c r="FZE2" s="4"/>
      <c r="FZF2" s="4"/>
      <c r="FZG2" s="4"/>
      <c r="FZH2" s="4"/>
      <c r="FZI2" s="4"/>
      <c r="FZJ2" s="4"/>
      <c r="FZK2" s="4"/>
      <c r="FZL2" s="4"/>
      <c r="FZM2" s="4"/>
      <c r="FZN2" s="4"/>
      <c r="FZO2" s="4"/>
      <c r="FZP2" s="4"/>
      <c r="FZQ2" s="4"/>
      <c r="FZR2" s="4"/>
      <c r="FZS2" s="4"/>
      <c r="FZT2" s="4"/>
      <c r="FZU2" s="4"/>
      <c r="FZV2" s="4"/>
      <c r="FZW2" s="4"/>
      <c r="FZX2" s="4"/>
      <c r="FZY2" s="4"/>
      <c r="FZZ2" s="4"/>
      <c r="GAA2" s="4"/>
      <c r="GAB2" s="4"/>
      <c r="GAC2" s="4"/>
      <c r="GAD2" s="4"/>
      <c r="GAE2" s="4"/>
      <c r="GAF2" s="4"/>
      <c r="GAG2" s="4"/>
      <c r="GAH2" s="4"/>
      <c r="GAI2" s="4"/>
      <c r="GAJ2" s="4"/>
      <c r="GAK2" s="4"/>
      <c r="GAL2" s="4"/>
      <c r="GAM2" s="4"/>
      <c r="GAN2" s="4"/>
      <c r="GAO2" s="4"/>
      <c r="GAP2" s="4"/>
      <c r="GAQ2" s="4"/>
      <c r="GAR2" s="4"/>
      <c r="GAS2" s="4"/>
      <c r="GAT2" s="4"/>
      <c r="GAU2" s="4"/>
      <c r="GAV2" s="4"/>
      <c r="GAW2" s="4"/>
      <c r="GAX2" s="4"/>
      <c r="GAY2" s="4"/>
      <c r="GAZ2" s="4"/>
      <c r="GBA2" s="4"/>
      <c r="GBB2" s="4"/>
      <c r="GBC2" s="4"/>
      <c r="GBD2" s="4"/>
      <c r="GBE2" s="4"/>
      <c r="GBF2" s="4"/>
      <c r="GBG2" s="4"/>
      <c r="GBH2" s="4"/>
      <c r="GBI2" s="4"/>
      <c r="GBJ2" s="4"/>
      <c r="GBK2" s="4"/>
      <c r="GBL2" s="4"/>
      <c r="GBM2" s="4"/>
      <c r="GBN2" s="4"/>
      <c r="GBO2" s="4"/>
      <c r="GBP2" s="4"/>
      <c r="GBQ2" s="4"/>
      <c r="GBR2" s="4"/>
      <c r="GBS2" s="4"/>
      <c r="GBT2" s="4"/>
      <c r="GBU2" s="4"/>
      <c r="GBV2" s="4"/>
      <c r="GBW2" s="4"/>
      <c r="GBX2" s="4"/>
      <c r="GBY2" s="4"/>
      <c r="GBZ2" s="4"/>
      <c r="GCA2" s="4"/>
      <c r="GCB2" s="4"/>
      <c r="GCC2" s="4"/>
      <c r="GCD2" s="4"/>
      <c r="GCE2" s="4"/>
      <c r="GCF2" s="4"/>
      <c r="GCG2" s="4"/>
      <c r="GCH2" s="4"/>
      <c r="GCI2" s="4"/>
      <c r="GCJ2" s="4"/>
      <c r="GCK2" s="4"/>
      <c r="GCL2" s="4"/>
      <c r="GCM2" s="4"/>
      <c r="GCN2" s="4"/>
      <c r="GCO2" s="4"/>
      <c r="GCP2" s="4"/>
      <c r="GCQ2" s="4"/>
      <c r="GCR2" s="4"/>
      <c r="GCS2" s="4"/>
      <c r="GCT2" s="4"/>
      <c r="GCU2" s="4"/>
      <c r="GCV2" s="4"/>
      <c r="GCW2" s="4"/>
      <c r="GCX2" s="4"/>
      <c r="GCY2" s="4"/>
      <c r="GCZ2" s="4"/>
      <c r="GDA2" s="4"/>
      <c r="GDB2" s="4"/>
      <c r="GDC2" s="4"/>
      <c r="GDD2" s="4"/>
      <c r="GDE2" s="4"/>
      <c r="GDF2" s="4"/>
      <c r="GDG2" s="4"/>
      <c r="GDH2" s="4"/>
      <c r="GDI2" s="4"/>
      <c r="GDJ2" s="4"/>
      <c r="GDK2" s="4"/>
      <c r="GDL2" s="4"/>
      <c r="GDM2" s="4"/>
      <c r="GDN2" s="4"/>
      <c r="GDO2" s="4"/>
      <c r="GDP2" s="4"/>
      <c r="GDQ2" s="4"/>
      <c r="GDR2" s="4"/>
      <c r="GDS2" s="4"/>
      <c r="GDT2" s="4"/>
      <c r="GDU2" s="4"/>
      <c r="GDV2" s="4"/>
      <c r="GDW2" s="4"/>
      <c r="GDX2" s="4"/>
      <c r="GDY2" s="4"/>
      <c r="GDZ2" s="4"/>
      <c r="GEA2" s="4"/>
      <c r="GEB2" s="4"/>
      <c r="GEC2" s="4"/>
      <c r="GED2" s="4"/>
      <c r="GEE2" s="4"/>
      <c r="GEF2" s="4"/>
      <c r="GEG2" s="4"/>
      <c r="GEH2" s="4"/>
      <c r="GEI2" s="4"/>
      <c r="GEJ2" s="4"/>
      <c r="GEK2" s="4"/>
      <c r="GEL2" s="4"/>
      <c r="GEM2" s="4"/>
      <c r="GEN2" s="4"/>
      <c r="GEO2" s="4"/>
      <c r="GEP2" s="4"/>
      <c r="GEQ2" s="4"/>
      <c r="GER2" s="4"/>
      <c r="GES2" s="4"/>
      <c r="GET2" s="4"/>
      <c r="GEU2" s="4"/>
      <c r="GEV2" s="4"/>
      <c r="GEW2" s="4"/>
      <c r="GEX2" s="4"/>
      <c r="GEY2" s="4"/>
      <c r="GEZ2" s="4"/>
      <c r="GFA2" s="4"/>
      <c r="GFB2" s="4"/>
      <c r="GFC2" s="4"/>
      <c r="GFD2" s="4"/>
      <c r="GFE2" s="4"/>
      <c r="GFF2" s="4"/>
      <c r="GFG2" s="4"/>
      <c r="GFH2" s="4"/>
      <c r="GFI2" s="4"/>
      <c r="GFJ2" s="4"/>
      <c r="GFK2" s="4"/>
      <c r="GFL2" s="4"/>
      <c r="GFM2" s="4"/>
      <c r="GFN2" s="4"/>
      <c r="GFO2" s="4"/>
      <c r="GFP2" s="4"/>
      <c r="GFQ2" s="4"/>
      <c r="GFR2" s="4"/>
      <c r="GFS2" s="4"/>
      <c r="GFT2" s="4"/>
      <c r="GFU2" s="4"/>
      <c r="GFV2" s="4"/>
      <c r="GFW2" s="4"/>
      <c r="GFX2" s="4"/>
      <c r="GFY2" s="4"/>
      <c r="GFZ2" s="4"/>
      <c r="GGA2" s="4"/>
      <c r="GGB2" s="4"/>
      <c r="GGC2" s="4"/>
      <c r="GGD2" s="4"/>
      <c r="GGE2" s="4"/>
      <c r="GGF2" s="4"/>
      <c r="GGG2" s="4"/>
      <c r="GGH2" s="4"/>
      <c r="GGI2" s="4"/>
      <c r="GGJ2" s="4"/>
      <c r="GGK2" s="4"/>
      <c r="GGL2" s="4"/>
      <c r="GGM2" s="4"/>
      <c r="GGN2" s="4"/>
      <c r="GGO2" s="4"/>
      <c r="GGP2" s="4"/>
      <c r="GGQ2" s="4"/>
      <c r="GGR2" s="4"/>
      <c r="GGS2" s="4"/>
      <c r="GGT2" s="4"/>
      <c r="GGU2" s="4"/>
      <c r="GGV2" s="4"/>
      <c r="GGW2" s="4"/>
      <c r="GGX2" s="4"/>
      <c r="GGY2" s="4"/>
      <c r="GGZ2" s="4"/>
      <c r="GHA2" s="4"/>
      <c r="GHB2" s="4"/>
      <c r="GHC2" s="4"/>
      <c r="GHD2" s="4"/>
      <c r="GHE2" s="4"/>
      <c r="GHF2" s="4"/>
      <c r="GHG2" s="4"/>
      <c r="GHH2" s="4"/>
      <c r="GHI2" s="4"/>
      <c r="GHJ2" s="4"/>
      <c r="GHK2" s="4"/>
      <c r="GHL2" s="4"/>
      <c r="GHM2" s="4"/>
      <c r="GHN2" s="4"/>
      <c r="GHO2" s="4"/>
      <c r="GHP2" s="4"/>
      <c r="GHQ2" s="4"/>
      <c r="GHR2" s="4"/>
      <c r="GHS2" s="4"/>
      <c r="GHT2" s="4"/>
      <c r="GHU2" s="4"/>
      <c r="GHV2" s="4"/>
      <c r="GHW2" s="4"/>
      <c r="GHX2" s="4"/>
      <c r="GHY2" s="4"/>
      <c r="GHZ2" s="4"/>
      <c r="GIA2" s="4"/>
      <c r="GIB2" s="4"/>
      <c r="GIC2" s="4"/>
      <c r="GID2" s="4"/>
      <c r="GIE2" s="4"/>
      <c r="GIF2" s="4"/>
      <c r="GIG2" s="4"/>
      <c r="GIH2" s="4"/>
      <c r="GII2" s="4"/>
      <c r="GIJ2" s="4"/>
      <c r="GIK2" s="4"/>
      <c r="GIL2" s="4"/>
      <c r="GIM2" s="4"/>
      <c r="GIN2" s="4"/>
      <c r="GIO2" s="4"/>
      <c r="GIP2" s="4"/>
      <c r="GIQ2" s="4"/>
      <c r="GIR2" s="4"/>
      <c r="GIS2" s="4"/>
      <c r="GIT2" s="4"/>
      <c r="GIU2" s="4"/>
      <c r="GIV2" s="4"/>
      <c r="GIW2" s="4"/>
      <c r="GIX2" s="4"/>
      <c r="GIY2" s="4"/>
      <c r="GIZ2" s="4"/>
      <c r="GJA2" s="4"/>
      <c r="GJB2" s="4"/>
      <c r="GJC2" s="4"/>
      <c r="GJD2" s="4"/>
      <c r="GJE2" s="4"/>
      <c r="GJF2" s="4"/>
      <c r="GJG2" s="4"/>
      <c r="GJH2" s="4"/>
      <c r="GJI2" s="4"/>
      <c r="GJJ2" s="4"/>
      <c r="GJK2" s="4"/>
      <c r="GJL2" s="4"/>
      <c r="GJM2" s="4"/>
      <c r="GJN2" s="4"/>
      <c r="GJO2" s="4"/>
      <c r="GJP2" s="4"/>
      <c r="GJQ2" s="4"/>
      <c r="GJR2" s="4"/>
      <c r="GJS2" s="4"/>
      <c r="GJT2" s="4"/>
      <c r="GJU2" s="4"/>
      <c r="GJV2" s="4"/>
      <c r="GJW2" s="4"/>
      <c r="GJX2" s="4"/>
      <c r="GJY2" s="4"/>
      <c r="GJZ2" s="4"/>
      <c r="GKA2" s="4"/>
      <c r="GKB2" s="4"/>
      <c r="GKC2" s="4"/>
      <c r="GKD2" s="4"/>
      <c r="GKE2" s="4"/>
      <c r="GKF2" s="4"/>
      <c r="GKG2" s="4"/>
      <c r="GKH2" s="4"/>
      <c r="GKI2" s="4"/>
      <c r="GKJ2" s="4"/>
      <c r="GKK2" s="4"/>
      <c r="GKL2" s="4"/>
      <c r="GKM2" s="4"/>
      <c r="GKN2" s="4"/>
      <c r="GKO2" s="4"/>
      <c r="GKP2" s="4"/>
      <c r="GKQ2" s="4"/>
      <c r="GKR2" s="4"/>
      <c r="GKS2" s="4"/>
      <c r="GKT2" s="4"/>
      <c r="GKU2" s="4"/>
      <c r="GKV2" s="4"/>
      <c r="GKW2" s="4"/>
      <c r="GKX2" s="4"/>
      <c r="GKY2" s="4"/>
      <c r="GKZ2" s="4"/>
      <c r="GLA2" s="4"/>
      <c r="GLB2" s="4"/>
      <c r="GLC2" s="4"/>
      <c r="GLD2" s="4"/>
      <c r="GLE2" s="4"/>
      <c r="GLF2" s="4"/>
      <c r="GLG2" s="4"/>
      <c r="GLH2" s="4"/>
      <c r="GLI2" s="4"/>
      <c r="GLJ2" s="4"/>
      <c r="GLK2" s="4"/>
      <c r="GLL2" s="4"/>
      <c r="GLM2" s="4"/>
      <c r="GLN2" s="4"/>
      <c r="GLO2" s="4"/>
      <c r="GLP2" s="4"/>
      <c r="GLQ2" s="4"/>
      <c r="GLR2" s="4"/>
      <c r="GLS2" s="4"/>
      <c r="GLT2" s="4"/>
      <c r="GLU2" s="4"/>
      <c r="GLV2" s="4"/>
      <c r="GLW2" s="4"/>
      <c r="GLX2" s="4"/>
      <c r="GLY2" s="4"/>
      <c r="GLZ2" s="4"/>
      <c r="GMA2" s="4"/>
      <c r="GMB2" s="4"/>
      <c r="GMC2" s="4"/>
      <c r="GMD2" s="4"/>
      <c r="GME2" s="4"/>
      <c r="GMF2" s="4"/>
      <c r="GMG2" s="4"/>
      <c r="GMH2" s="4"/>
      <c r="GMI2" s="4"/>
      <c r="GMJ2" s="4"/>
      <c r="GMK2" s="4"/>
      <c r="GML2" s="4"/>
      <c r="GMM2" s="4"/>
      <c r="GMN2" s="4"/>
      <c r="GMO2" s="4"/>
      <c r="GMP2" s="4"/>
      <c r="GMQ2" s="4"/>
      <c r="GMR2" s="4"/>
      <c r="GMS2" s="4"/>
      <c r="GMT2" s="4"/>
      <c r="GMU2" s="4"/>
      <c r="GMV2" s="4"/>
      <c r="GMW2" s="4"/>
      <c r="GMX2" s="4"/>
      <c r="GMY2" s="4"/>
      <c r="GMZ2" s="4"/>
      <c r="GNA2" s="4"/>
      <c r="GNB2" s="4"/>
      <c r="GNC2" s="4"/>
      <c r="GND2" s="4"/>
      <c r="GNE2" s="4"/>
      <c r="GNF2" s="4"/>
      <c r="GNG2" s="4"/>
      <c r="GNH2" s="4"/>
      <c r="GNI2" s="4"/>
      <c r="GNJ2" s="4"/>
      <c r="GNK2" s="4"/>
      <c r="GNL2" s="4"/>
      <c r="GNM2" s="4"/>
      <c r="GNN2" s="4"/>
      <c r="GNO2" s="4"/>
      <c r="GNP2" s="4"/>
      <c r="GNQ2" s="4"/>
      <c r="GNR2" s="4"/>
      <c r="GNS2" s="4"/>
      <c r="GNT2" s="4"/>
      <c r="GNU2" s="4"/>
      <c r="GNV2" s="4"/>
      <c r="GNW2" s="4"/>
      <c r="GNX2" s="4"/>
      <c r="GNY2" s="4"/>
      <c r="GNZ2" s="4"/>
      <c r="GOA2" s="4"/>
      <c r="GOB2" s="4"/>
      <c r="GOC2" s="4"/>
      <c r="GOD2" s="4"/>
      <c r="GOE2" s="4"/>
      <c r="GOF2" s="4"/>
      <c r="GOG2" s="4"/>
      <c r="GOH2" s="4"/>
      <c r="GOI2" s="4"/>
      <c r="GOJ2" s="4"/>
      <c r="GOK2" s="4"/>
      <c r="GOL2" s="4"/>
      <c r="GOM2" s="4"/>
      <c r="GON2" s="4"/>
      <c r="GOO2" s="4"/>
      <c r="GOP2" s="4"/>
      <c r="GOQ2" s="4"/>
      <c r="GOR2" s="4"/>
      <c r="GOS2" s="4"/>
      <c r="GOT2" s="4"/>
      <c r="GOU2" s="4"/>
      <c r="GOV2" s="4"/>
      <c r="GOW2" s="4"/>
      <c r="GOX2" s="4"/>
      <c r="GOY2" s="4"/>
      <c r="GOZ2" s="4"/>
      <c r="GPA2" s="4"/>
      <c r="GPB2" s="4"/>
      <c r="GPC2" s="4"/>
      <c r="GPD2" s="4"/>
      <c r="GPE2" s="4"/>
      <c r="GPF2" s="4"/>
      <c r="GPG2" s="4"/>
      <c r="GPH2" s="4"/>
      <c r="GPI2" s="4"/>
      <c r="GPJ2" s="4"/>
      <c r="GPK2" s="4"/>
      <c r="GPL2" s="4"/>
      <c r="GPM2" s="4"/>
      <c r="GPN2" s="4"/>
      <c r="GPO2" s="4"/>
      <c r="GPP2" s="4"/>
      <c r="GPQ2" s="4"/>
      <c r="GPR2" s="4"/>
      <c r="GPS2" s="4"/>
      <c r="GPT2" s="4"/>
      <c r="GPU2" s="4"/>
      <c r="GPV2" s="4"/>
      <c r="GPW2" s="4"/>
      <c r="GPX2" s="4"/>
      <c r="GPY2" s="4"/>
      <c r="GPZ2" s="4"/>
      <c r="GQA2" s="4"/>
      <c r="GQB2" s="4"/>
      <c r="GQC2" s="4"/>
      <c r="GQD2" s="4"/>
      <c r="GQE2" s="4"/>
      <c r="GQF2" s="4"/>
      <c r="GQG2" s="4"/>
      <c r="GQH2" s="4"/>
      <c r="GQI2" s="4"/>
      <c r="GQJ2" s="4"/>
      <c r="GQK2" s="4"/>
      <c r="GQL2" s="4"/>
      <c r="GQM2" s="4"/>
      <c r="GQN2" s="4"/>
      <c r="GQO2" s="4"/>
      <c r="GQP2" s="4"/>
      <c r="GQQ2" s="4"/>
      <c r="GQR2" s="4"/>
      <c r="GQS2" s="4"/>
      <c r="GQT2" s="4"/>
      <c r="GQU2" s="4"/>
      <c r="GQV2" s="4"/>
      <c r="GQW2" s="4"/>
      <c r="GQX2" s="4"/>
      <c r="GQY2" s="4"/>
      <c r="GQZ2" s="4"/>
      <c r="GRA2" s="4"/>
      <c r="GRB2" s="4"/>
      <c r="GRC2" s="4"/>
      <c r="GRD2" s="4"/>
      <c r="GRE2" s="4"/>
      <c r="GRF2" s="4"/>
      <c r="GRG2" s="4"/>
      <c r="GRH2" s="4"/>
      <c r="GRI2" s="4"/>
      <c r="GRJ2" s="4"/>
      <c r="GRK2" s="4"/>
      <c r="GRL2" s="4"/>
      <c r="GRM2" s="4"/>
      <c r="GRN2" s="4"/>
      <c r="GRO2" s="4"/>
      <c r="GRP2" s="4"/>
      <c r="GRQ2" s="4"/>
      <c r="GRR2" s="4"/>
      <c r="GRS2" s="4"/>
      <c r="GRT2" s="4"/>
      <c r="GRU2" s="4"/>
      <c r="GRV2" s="4"/>
      <c r="GRW2" s="4"/>
      <c r="GRX2" s="4"/>
      <c r="GRY2" s="4"/>
      <c r="GRZ2" s="4"/>
      <c r="GSA2" s="4"/>
      <c r="GSB2" s="4"/>
      <c r="GSC2" s="4"/>
      <c r="GSD2" s="4"/>
      <c r="GSE2" s="4"/>
      <c r="GSF2" s="4"/>
      <c r="GSG2" s="4"/>
      <c r="GSH2" s="4"/>
      <c r="GSI2" s="4"/>
      <c r="GSJ2" s="4"/>
      <c r="GSK2" s="4"/>
      <c r="GSL2" s="4"/>
      <c r="GSM2" s="4"/>
      <c r="GSN2" s="4"/>
      <c r="GSO2" s="4"/>
      <c r="GSP2" s="4"/>
      <c r="GSQ2" s="4"/>
      <c r="GSR2" s="4"/>
      <c r="GSS2" s="4"/>
      <c r="GST2" s="4"/>
      <c r="GSU2" s="4"/>
      <c r="GSV2" s="4"/>
      <c r="GSW2" s="4"/>
      <c r="GSX2" s="4"/>
      <c r="GSY2" s="4"/>
      <c r="GSZ2" s="4"/>
      <c r="GTA2" s="4"/>
      <c r="GTB2" s="4"/>
      <c r="GTC2" s="4"/>
      <c r="GTD2" s="4"/>
      <c r="GTE2" s="4"/>
      <c r="GTF2" s="4"/>
      <c r="GTG2" s="4"/>
      <c r="GTH2" s="4"/>
      <c r="GTI2" s="4"/>
      <c r="GTJ2" s="4"/>
      <c r="GTK2" s="4"/>
      <c r="GTL2" s="4"/>
      <c r="GTM2" s="4"/>
      <c r="GTN2" s="4"/>
      <c r="GTO2" s="4"/>
      <c r="GTP2" s="4"/>
      <c r="GTQ2" s="4"/>
      <c r="GTR2" s="4"/>
      <c r="GTS2" s="4"/>
      <c r="GTT2" s="4"/>
      <c r="GTU2" s="4"/>
      <c r="GTV2" s="4"/>
      <c r="GTW2" s="4"/>
      <c r="GTX2" s="4"/>
      <c r="GTY2" s="4"/>
      <c r="GTZ2" s="4"/>
      <c r="GUA2" s="4"/>
      <c r="GUB2" s="4"/>
      <c r="GUC2" s="4"/>
      <c r="GUD2" s="4"/>
      <c r="GUE2" s="4"/>
      <c r="GUF2" s="4"/>
      <c r="GUG2" s="4"/>
      <c r="GUH2" s="4"/>
      <c r="GUI2" s="4"/>
      <c r="GUJ2" s="4"/>
      <c r="GUK2" s="4"/>
      <c r="GUL2" s="4"/>
      <c r="GUM2" s="4"/>
      <c r="GUN2" s="4"/>
      <c r="GUO2" s="4"/>
      <c r="GUP2" s="4"/>
      <c r="GUQ2" s="4"/>
      <c r="GUR2" s="4"/>
      <c r="GUS2" s="4"/>
      <c r="GUT2" s="4"/>
      <c r="GUU2" s="4"/>
      <c r="GUV2" s="4"/>
      <c r="GUW2" s="4"/>
      <c r="GUX2" s="4"/>
      <c r="GUY2" s="4"/>
      <c r="GUZ2" s="4"/>
      <c r="GVA2" s="4"/>
      <c r="GVB2" s="4"/>
      <c r="GVC2" s="4"/>
      <c r="GVD2" s="4"/>
      <c r="GVE2" s="4"/>
      <c r="GVF2" s="4"/>
      <c r="GVG2" s="4"/>
      <c r="GVH2" s="4"/>
      <c r="GVI2" s="4"/>
      <c r="GVJ2" s="4"/>
      <c r="GVK2" s="4"/>
      <c r="GVL2" s="4"/>
      <c r="GVM2" s="4"/>
      <c r="GVN2" s="4"/>
      <c r="GVO2" s="4"/>
      <c r="GVP2" s="4"/>
      <c r="GVQ2" s="4"/>
      <c r="GVR2" s="4"/>
      <c r="GVS2" s="4"/>
      <c r="GVT2" s="4"/>
      <c r="GVU2" s="4"/>
      <c r="GVV2" s="4"/>
      <c r="GVW2" s="4"/>
      <c r="GVX2" s="4"/>
      <c r="GVY2" s="4"/>
      <c r="GVZ2" s="4"/>
      <c r="GWA2" s="4"/>
      <c r="GWB2" s="4"/>
      <c r="GWC2" s="4"/>
      <c r="GWD2" s="4"/>
      <c r="GWE2" s="4"/>
      <c r="GWF2" s="4"/>
      <c r="GWG2" s="4"/>
      <c r="GWH2" s="4"/>
      <c r="GWI2" s="4"/>
      <c r="GWJ2" s="4"/>
      <c r="GWK2" s="4"/>
      <c r="GWL2" s="4"/>
      <c r="GWM2" s="4"/>
      <c r="GWN2" s="4"/>
      <c r="GWO2" s="4"/>
      <c r="GWP2" s="4"/>
      <c r="GWQ2" s="4"/>
      <c r="GWR2" s="4"/>
      <c r="GWS2" s="4"/>
      <c r="GWT2" s="4"/>
      <c r="GWU2" s="4"/>
      <c r="GWV2" s="4"/>
      <c r="GWW2" s="4"/>
      <c r="GWX2" s="4"/>
      <c r="GWY2" s="4"/>
      <c r="GWZ2" s="4"/>
      <c r="GXA2" s="4"/>
      <c r="GXB2" s="4"/>
      <c r="GXC2" s="4"/>
      <c r="GXD2" s="4"/>
      <c r="GXE2" s="4"/>
      <c r="GXF2" s="4"/>
      <c r="GXG2" s="4"/>
      <c r="GXH2" s="4"/>
      <c r="GXI2" s="4"/>
      <c r="GXJ2" s="4"/>
      <c r="GXK2" s="4"/>
      <c r="GXL2" s="4"/>
      <c r="GXM2" s="4"/>
      <c r="GXN2" s="4"/>
      <c r="GXO2" s="4"/>
      <c r="GXP2" s="4"/>
      <c r="GXQ2" s="4"/>
      <c r="GXR2" s="4"/>
      <c r="GXS2" s="4"/>
      <c r="GXT2" s="4"/>
      <c r="GXU2" s="4"/>
      <c r="GXV2" s="4"/>
      <c r="GXW2" s="4"/>
      <c r="GXX2" s="4"/>
      <c r="GXY2" s="4"/>
      <c r="GXZ2" s="4"/>
      <c r="GYA2" s="4"/>
      <c r="GYB2" s="4"/>
      <c r="GYC2" s="4"/>
      <c r="GYD2" s="4"/>
      <c r="GYE2" s="4"/>
      <c r="GYF2" s="4"/>
      <c r="GYG2" s="4"/>
      <c r="GYH2" s="4"/>
      <c r="GYI2" s="4"/>
      <c r="GYJ2" s="4"/>
      <c r="GYK2" s="4"/>
      <c r="GYL2" s="4"/>
      <c r="GYM2" s="4"/>
      <c r="GYN2" s="4"/>
      <c r="GYO2" s="4"/>
      <c r="GYP2" s="4"/>
      <c r="GYQ2" s="4"/>
      <c r="GYR2" s="4"/>
      <c r="GYS2" s="4"/>
      <c r="GYT2" s="4"/>
      <c r="GYU2" s="4"/>
      <c r="GYV2" s="4"/>
      <c r="GYW2" s="4"/>
      <c r="GYX2" s="4"/>
      <c r="GYY2" s="4"/>
      <c r="GYZ2" s="4"/>
      <c r="GZA2" s="4"/>
      <c r="GZB2" s="4"/>
      <c r="GZC2" s="4"/>
      <c r="GZD2" s="4"/>
      <c r="GZE2" s="4"/>
      <c r="GZF2" s="4"/>
      <c r="GZG2" s="4"/>
      <c r="GZH2" s="4"/>
      <c r="GZI2" s="4"/>
      <c r="GZJ2" s="4"/>
      <c r="GZK2" s="4"/>
      <c r="GZL2" s="4"/>
      <c r="GZM2" s="4"/>
      <c r="GZN2" s="4"/>
      <c r="GZO2" s="4"/>
      <c r="GZP2" s="4"/>
      <c r="GZQ2" s="4"/>
      <c r="GZR2" s="4"/>
      <c r="GZS2" s="4"/>
      <c r="GZT2" s="4"/>
      <c r="GZU2" s="4"/>
      <c r="GZV2" s="4"/>
      <c r="GZW2" s="4"/>
      <c r="GZX2" s="4"/>
      <c r="GZY2" s="4"/>
      <c r="GZZ2" s="4"/>
      <c r="HAA2" s="4"/>
      <c r="HAB2" s="4"/>
      <c r="HAC2" s="4"/>
      <c r="HAD2" s="4"/>
      <c r="HAE2" s="4"/>
      <c r="HAF2" s="4"/>
      <c r="HAG2" s="4"/>
      <c r="HAH2" s="4"/>
      <c r="HAI2" s="4"/>
      <c r="HAJ2" s="4"/>
      <c r="HAK2" s="4"/>
      <c r="HAL2" s="4"/>
      <c r="HAM2" s="4"/>
      <c r="HAN2" s="4"/>
      <c r="HAO2" s="4"/>
      <c r="HAP2" s="4"/>
      <c r="HAQ2" s="4"/>
      <c r="HAR2" s="4"/>
      <c r="HAS2" s="4"/>
      <c r="HAT2" s="4"/>
      <c r="HAU2" s="4"/>
      <c r="HAV2" s="4"/>
      <c r="HAW2" s="4"/>
      <c r="HAX2" s="4"/>
      <c r="HAY2" s="4"/>
      <c r="HAZ2" s="4"/>
      <c r="HBA2" s="4"/>
      <c r="HBB2" s="4"/>
      <c r="HBC2" s="4"/>
      <c r="HBD2" s="4"/>
      <c r="HBE2" s="4"/>
      <c r="HBF2" s="4"/>
      <c r="HBG2" s="4"/>
      <c r="HBH2" s="4"/>
      <c r="HBI2" s="4"/>
      <c r="HBJ2" s="4"/>
      <c r="HBK2" s="4"/>
      <c r="HBL2" s="4"/>
      <c r="HBM2" s="4"/>
      <c r="HBN2" s="4"/>
      <c r="HBO2" s="4"/>
      <c r="HBP2" s="4"/>
      <c r="HBQ2" s="4"/>
      <c r="HBR2" s="4"/>
      <c r="HBS2" s="4"/>
      <c r="HBT2" s="4"/>
      <c r="HBU2" s="4"/>
      <c r="HBV2" s="4"/>
      <c r="HBW2" s="4"/>
      <c r="HBX2" s="4"/>
      <c r="HBY2" s="4"/>
      <c r="HBZ2" s="4"/>
      <c r="HCA2" s="4"/>
      <c r="HCB2" s="4"/>
      <c r="HCC2" s="4"/>
      <c r="HCD2" s="4"/>
      <c r="HCE2" s="4"/>
      <c r="HCF2" s="4"/>
      <c r="HCG2" s="4"/>
      <c r="HCH2" s="4"/>
      <c r="HCI2" s="4"/>
      <c r="HCJ2" s="4"/>
      <c r="HCK2" s="4"/>
      <c r="HCL2" s="4"/>
      <c r="HCM2" s="4"/>
      <c r="HCN2" s="4"/>
      <c r="HCO2" s="4"/>
      <c r="HCP2" s="4"/>
      <c r="HCQ2" s="4"/>
      <c r="HCR2" s="4"/>
      <c r="HCS2" s="4"/>
      <c r="HCT2" s="4"/>
      <c r="HCU2" s="4"/>
      <c r="HCV2" s="4"/>
      <c r="HCW2" s="4"/>
      <c r="HCX2" s="4"/>
      <c r="HCY2" s="4"/>
      <c r="HCZ2" s="4"/>
      <c r="HDA2" s="4"/>
      <c r="HDB2" s="4"/>
      <c r="HDC2" s="4"/>
      <c r="HDD2" s="4"/>
      <c r="HDE2" s="4"/>
      <c r="HDF2" s="4"/>
      <c r="HDG2" s="4"/>
      <c r="HDH2" s="4"/>
      <c r="HDI2" s="4"/>
      <c r="HDJ2" s="4"/>
      <c r="HDK2" s="4"/>
      <c r="HDL2" s="4"/>
      <c r="HDM2" s="4"/>
      <c r="HDN2" s="4"/>
      <c r="HDO2" s="4"/>
      <c r="HDP2" s="4"/>
      <c r="HDQ2" s="4"/>
      <c r="HDR2" s="4"/>
      <c r="HDS2" s="4"/>
      <c r="HDT2" s="4"/>
      <c r="HDU2" s="4"/>
      <c r="HDV2" s="4"/>
      <c r="HDW2" s="4"/>
      <c r="HDX2" s="4"/>
      <c r="HDY2" s="4"/>
      <c r="HDZ2" s="4"/>
      <c r="HEA2" s="4"/>
      <c r="HEB2" s="4"/>
      <c r="HEC2" s="4"/>
      <c r="HED2" s="4"/>
      <c r="HEE2" s="4"/>
      <c r="HEF2" s="4"/>
      <c r="HEG2" s="4"/>
      <c r="HEH2" s="4"/>
      <c r="HEI2" s="4"/>
      <c r="HEJ2" s="4"/>
      <c r="HEK2" s="4"/>
      <c r="HEL2" s="4"/>
      <c r="HEM2" s="4"/>
      <c r="HEN2" s="4"/>
      <c r="HEO2" s="4"/>
      <c r="HEP2" s="4"/>
      <c r="HEQ2" s="4"/>
      <c r="HER2" s="4"/>
      <c r="HES2" s="4"/>
      <c r="HET2" s="4"/>
      <c r="HEU2" s="4"/>
      <c r="HEV2" s="4"/>
      <c r="HEW2" s="4"/>
      <c r="HEX2" s="4"/>
      <c r="HEY2" s="4"/>
      <c r="HEZ2" s="4"/>
      <c r="HFA2" s="4"/>
      <c r="HFB2" s="4"/>
      <c r="HFC2" s="4"/>
      <c r="HFD2" s="4"/>
      <c r="HFE2" s="4"/>
      <c r="HFF2" s="4"/>
      <c r="HFG2" s="4"/>
      <c r="HFH2" s="4"/>
      <c r="HFI2" s="4"/>
      <c r="HFJ2" s="4"/>
      <c r="HFK2" s="4"/>
      <c r="HFL2" s="4"/>
      <c r="HFM2" s="4"/>
      <c r="HFN2" s="4"/>
      <c r="HFO2" s="4"/>
      <c r="HFP2" s="4"/>
      <c r="HFQ2" s="4"/>
      <c r="HFR2" s="4"/>
      <c r="HFS2" s="4"/>
      <c r="HFT2" s="4"/>
      <c r="HFU2" s="4"/>
      <c r="HFV2" s="4"/>
      <c r="HFW2" s="4"/>
      <c r="HFX2" s="4"/>
      <c r="HFY2" s="4"/>
      <c r="HFZ2" s="4"/>
      <c r="HGA2" s="4"/>
      <c r="HGB2" s="4"/>
      <c r="HGC2" s="4"/>
      <c r="HGD2" s="4"/>
      <c r="HGE2" s="4"/>
      <c r="HGF2" s="4"/>
      <c r="HGG2" s="4"/>
      <c r="HGH2" s="4"/>
      <c r="HGI2" s="4"/>
      <c r="HGJ2" s="4"/>
      <c r="HGK2" s="4"/>
      <c r="HGL2" s="4"/>
      <c r="HGM2" s="4"/>
      <c r="HGN2" s="4"/>
      <c r="HGO2" s="4"/>
      <c r="HGP2" s="4"/>
      <c r="HGQ2" s="4"/>
      <c r="HGR2" s="4"/>
      <c r="HGS2" s="4"/>
      <c r="HGT2" s="4"/>
      <c r="HGU2" s="4"/>
      <c r="HGV2" s="4"/>
      <c r="HGW2" s="4"/>
      <c r="HGX2" s="4"/>
      <c r="HGY2" s="4"/>
      <c r="HGZ2" s="4"/>
      <c r="HHA2" s="4"/>
      <c r="HHB2" s="4"/>
      <c r="HHC2" s="4"/>
      <c r="HHD2" s="4"/>
      <c r="HHE2" s="4"/>
      <c r="HHF2" s="4"/>
      <c r="HHG2" s="4"/>
      <c r="HHH2" s="4"/>
      <c r="HHI2" s="4"/>
      <c r="HHJ2" s="4"/>
      <c r="HHK2" s="4"/>
      <c r="HHL2" s="4"/>
      <c r="HHM2" s="4"/>
      <c r="HHN2" s="4"/>
      <c r="HHO2" s="4"/>
      <c r="HHP2" s="4"/>
      <c r="HHQ2" s="4"/>
      <c r="HHR2" s="4"/>
      <c r="HHS2" s="4"/>
      <c r="HHT2" s="4"/>
      <c r="HHU2" s="4"/>
      <c r="HHV2" s="4"/>
      <c r="HHW2" s="4"/>
      <c r="HHX2" s="4"/>
      <c r="HHY2" s="4"/>
      <c r="HHZ2" s="4"/>
      <c r="HIA2" s="4"/>
      <c r="HIB2" s="4"/>
      <c r="HIC2" s="4"/>
      <c r="HID2" s="4"/>
      <c r="HIE2" s="4"/>
      <c r="HIF2" s="4"/>
      <c r="HIG2" s="4"/>
      <c r="HIH2" s="4"/>
      <c r="HII2" s="4"/>
      <c r="HIJ2" s="4"/>
      <c r="HIK2" s="4"/>
      <c r="HIL2" s="4"/>
      <c r="HIM2" s="4"/>
      <c r="HIN2" s="4"/>
      <c r="HIO2" s="4"/>
      <c r="HIP2" s="4"/>
      <c r="HIQ2" s="4"/>
      <c r="HIR2" s="4"/>
      <c r="HIS2" s="4"/>
      <c r="HIT2" s="4"/>
      <c r="HIU2" s="4"/>
      <c r="HIV2" s="4"/>
      <c r="HIW2" s="4"/>
      <c r="HIX2" s="4"/>
      <c r="HIY2" s="4"/>
      <c r="HIZ2" s="4"/>
      <c r="HJA2" s="4"/>
      <c r="HJB2" s="4"/>
      <c r="HJC2" s="4"/>
      <c r="HJD2" s="4"/>
      <c r="HJE2" s="4"/>
      <c r="HJF2" s="4"/>
      <c r="HJG2" s="4"/>
      <c r="HJH2" s="4"/>
      <c r="HJI2" s="4"/>
      <c r="HJJ2" s="4"/>
      <c r="HJK2" s="4"/>
      <c r="HJL2" s="4"/>
      <c r="HJM2" s="4"/>
      <c r="HJN2" s="4"/>
      <c r="HJO2" s="4"/>
      <c r="HJP2" s="4"/>
      <c r="HJQ2" s="4"/>
      <c r="HJR2" s="4"/>
      <c r="HJS2" s="4"/>
      <c r="HJT2" s="4"/>
      <c r="HJU2" s="4"/>
      <c r="HJV2" s="4"/>
      <c r="HJW2" s="4"/>
      <c r="HJX2" s="4"/>
      <c r="HJY2" s="4"/>
      <c r="HJZ2" s="4"/>
      <c r="HKA2" s="4"/>
      <c r="HKB2" s="4"/>
      <c r="HKC2" s="4"/>
      <c r="HKD2" s="4"/>
      <c r="HKE2" s="4"/>
      <c r="HKF2" s="4"/>
      <c r="HKG2" s="4"/>
      <c r="HKH2" s="4"/>
      <c r="HKI2" s="4"/>
      <c r="HKJ2" s="4"/>
      <c r="HKK2" s="4"/>
      <c r="HKL2" s="4"/>
      <c r="HKM2" s="4"/>
      <c r="HKN2" s="4"/>
      <c r="HKO2" s="4"/>
      <c r="HKP2" s="4"/>
      <c r="HKQ2" s="4"/>
      <c r="HKR2" s="4"/>
      <c r="HKS2" s="4"/>
      <c r="HKT2" s="4"/>
      <c r="HKU2" s="4"/>
      <c r="HKV2" s="4"/>
      <c r="HKW2" s="4"/>
      <c r="HKX2" s="4"/>
      <c r="HKY2" s="4"/>
      <c r="HKZ2" s="4"/>
      <c r="HLA2" s="4"/>
      <c r="HLB2" s="4"/>
      <c r="HLC2" s="4"/>
      <c r="HLD2" s="4"/>
      <c r="HLE2" s="4"/>
      <c r="HLF2" s="4"/>
      <c r="HLG2" s="4"/>
      <c r="HLH2" s="4"/>
      <c r="HLI2" s="4"/>
      <c r="HLJ2" s="4"/>
      <c r="HLK2" s="4"/>
      <c r="HLL2" s="4"/>
      <c r="HLM2" s="4"/>
      <c r="HLN2" s="4"/>
      <c r="HLO2" s="4"/>
      <c r="HLP2" s="4"/>
      <c r="HLQ2" s="4"/>
      <c r="HLR2" s="4"/>
      <c r="HLS2" s="4"/>
      <c r="HLT2" s="4"/>
      <c r="HLU2" s="4"/>
      <c r="HLV2" s="4"/>
      <c r="HLW2" s="4"/>
      <c r="HLX2" s="4"/>
      <c r="HLY2" s="4"/>
      <c r="HLZ2" s="4"/>
      <c r="HMA2" s="4"/>
      <c r="HMB2" s="4"/>
      <c r="HMC2" s="4"/>
      <c r="HMD2" s="4"/>
      <c r="HME2" s="4"/>
      <c r="HMF2" s="4"/>
      <c r="HMG2" s="4"/>
      <c r="HMH2" s="4"/>
      <c r="HMI2" s="4"/>
      <c r="HMJ2" s="4"/>
      <c r="HMK2" s="4"/>
      <c r="HML2" s="4"/>
      <c r="HMM2" s="4"/>
      <c r="HMN2" s="4"/>
      <c r="HMO2" s="4"/>
      <c r="HMP2" s="4"/>
      <c r="HMQ2" s="4"/>
      <c r="HMR2" s="4"/>
      <c r="HMS2" s="4"/>
      <c r="HMT2" s="4"/>
      <c r="HMU2" s="4"/>
      <c r="HMV2" s="4"/>
      <c r="HMW2" s="4"/>
      <c r="HMX2" s="4"/>
      <c r="HMY2" s="4"/>
      <c r="HMZ2" s="4"/>
      <c r="HNA2" s="4"/>
      <c r="HNB2" s="4"/>
      <c r="HNC2" s="4"/>
      <c r="HND2" s="4"/>
      <c r="HNE2" s="4"/>
      <c r="HNF2" s="4"/>
      <c r="HNG2" s="4"/>
      <c r="HNH2" s="4"/>
      <c r="HNI2" s="4"/>
      <c r="HNJ2" s="4"/>
      <c r="HNK2" s="4"/>
      <c r="HNL2" s="4"/>
      <c r="HNM2" s="4"/>
      <c r="HNN2" s="4"/>
      <c r="HNO2" s="4"/>
      <c r="HNP2" s="4"/>
      <c r="HNQ2" s="4"/>
      <c r="HNR2" s="4"/>
      <c r="HNS2" s="4"/>
      <c r="HNT2" s="4"/>
      <c r="HNU2" s="4"/>
      <c r="HNV2" s="4"/>
      <c r="HNW2" s="4"/>
      <c r="HNX2" s="4"/>
      <c r="HNY2" s="4"/>
      <c r="HNZ2" s="4"/>
      <c r="HOA2" s="4"/>
      <c r="HOB2" s="4"/>
      <c r="HOC2" s="4"/>
      <c r="HOD2" s="4"/>
      <c r="HOE2" s="4"/>
      <c r="HOF2" s="4"/>
      <c r="HOG2" s="4"/>
      <c r="HOH2" s="4"/>
      <c r="HOI2" s="4"/>
      <c r="HOJ2" s="4"/>
      <c r="HOK2" s="4"/>
      <c r="HOL2" s="4"/>
      <c r="HOM2" s="4"/>
      <c r="HON2" s="4"/>
      <c r="HOO2" s="4"/>
      <c r="HOP2" s="4"/>
      <c r="HOQ2" s="4"/>
      <c r="HOR2" s="4"/>
      <c r="HOS2" s="4"/>
      <c r="HOT2" s="4"/>
      <c r="HOU2" s="4"/>
      <c r="HOV2" s="4"/>
      <c r="HOW2" s="4"/>
      <c r="HOX2" s="4"/>
      <c r="HOY2" s="4"/>
      <c r="HOZ2" s="4"/>
      <c r="HPA2" s="4"/>
      <c r="HPB2" s="4"/>
      <c r="HPC2" s="4"/>
      <c r="HPD2" s="4"/>
      <c r="HPE2" s="4"/>
      <c r="HPF2" s="4"/>
      <c r="HPG2" s="4"/>
      <c r="HPH2" s="4"/>
      <c r="HPI2" s="4"/>
      <c r="HPJ2" s="4"/>
      <c r="HPK2" s="4"/>
      <c r="HPL2" s="4"/>
      <c r="HPM2" s="4"/>
      <c r="HPN2" s="4"/>
      <c r="HPO2" s="4"/>
      <c r="HPP2" s="4"/>
      <c r="HPQ2" s="4"/>
      <c r="HPR2" s="4"/>
      <c r="HPS2" s="4"/>
      <c r="HPT2" s="4"/>
      <c r="HPU2" s="4"/>
      <c r="HPV2" s="4"/>
      <c r="HPW2" s="4"/>
      <c r="HPX2" s="4"/>
      <c r="HPY2" s="4"/>
      <c r="HPZ2" s="4"/>
      <c r="HQA2" s="4"/>
      <c r="HQB2" s="4"/>
      <c r="HQC2" s="4"/>
      <c r="HQD2" s="4"/>
      <c r="HQE2" s="4"/>
      <c r="HQF2" s="4"/>
      <c r="HQG2" s="4"/>
      <c r="HQH2" s="4"/>
      <c r="HQI2" s="4"/>
      <c r="HQJ2" s="4"/>
      <c r="HQK2" s="4"/>
      <c r="HQL2" s="4"/>
      <c r="HQM2" s="4"/>
      <c r="HQN2" s="4"/>
      <c r="HQO2" s="4"/>
      <c r="HQP2" s="4"/>
      <c r="HQQ2" s="4"/>
      <c r="HQR2" s="4"/>
      <c r="HQS2" s="4"/>
      <c r="HQT2" s="4"/>
      <c r="HQU2" s="4"/>
      <c r="HQV2" s="4"/>
      <c r="HQW2" s="4"/>
      <c r="HQX2" s="4"/>
      <c r="HQY2" s="4"/>
      <c r="HQZ2" s="4"/>
      <c r="HRA2" s="4"/>
      <c r="HRB2" s="4"/>
      <c r="HRC2" s="4"/>
      <c r="HRD2" s="4"/>
      <c r="HRE2" s="4"/>
      <c r="HRF2" s="4"/>
      <c r="HRG2" s="4"/>
      <c r="HRH2" s="4"/>
      <c r="HRI2" s="4"/>
      <c r="HRJ2" s="4"/>
      <c r="HRK2" s="4"/>
      <c r="HRL2" s="4"/>
      <c r="HRM2" s="4"/>
      <c r="HRN2" s="4"/>
      <c r="HRO2" s="4"/>
      <c r="HRP2" s="4"/>
      <c r="HRQ2" s="4"/>
      <c r="HRR2" s="4"/>
      <c r="HRS2" s="4"/>
      <c r="HRT2" s="4"/>
      <c r="HRU2" s="4"/>
      <c r="HRV2" s="4"/>
      <c r="HRW2" s="4"/>
      <c r="HRX2" s="4"/>
      <c r="HRY2" s="4"/>
      <c r="HRZ2" s="4"/>
      <c r="HSA2" s="4"/>
      <c r="HSB2" s="4"/>
      <c r="HSC2" s="4"/>
      <c r="HSD2" s="4"/>
      <c r="HSE2" s="4"/>
      <c r="HSF2" s="4"/>
      <c r="HSG2" s="4"/>
      <c r="HSH2" s="4"/>
      <c r="HSI2" s="4"/>
      <c r="HSJ2" s="4"/>
      <c r="HSK2" s="4"/>
      <c r="HSL2" s="4"/>
      <c r="HSM2" s="4"/>
      <c r="HSN2" s="4"/>
      <c r="HSO2" s="4"/>
      <c r="HSP2" s="4"/>
      <c r="HSQ2" s="4"/>
      <c r="HSR2" s="4"/>
      <c r="HSS2" s="4"/>
      <c r="HST2" s="4"/>
      <c r="HSU2" s="4"/>
      <c r="HSV2" s="4"/>
      <c r="HSW2" s="4"/>
      <c r="HSX2" s="4"/>
      <c r="HSY2" s="4"/>
      <c r="HSZ2" s="4"/>
      <c r="HTA2" s="4"/>
      <c r="HTB2" s="4"/>
      <c r="HTC2" s="4"/>
      <c r="HTD2" s="4"/>
      <c r="HTE2" s="4"/>
      <c r="HTF2" s="4"/>
      <c r="HTG2" s="4"/>
      <c r="HTH2" s="4"/>
      <c r="HTI2" s="4"/>
      <c r="HTJ2" s="4"/>
      <c r="HTK2" s="4"/>
      <c r="HTL2" s="4"/>
      <c r="HTM2" s="4"/>
      <c r="HTN2" s="4"/>
      <c r="HTO2" s="4"/>
      <c r="HTP2" s="4"/>
      <c r="HTQ2" s="4"/>
      <c r="HTR2" s="4"/>
      <c r="HTS2" s="4"/>
      <c r="HTT2" s="4"/>
      <c r="HTU2" s="4"/>
      <c r="HTV2" s="4"/>
      <c r="HTW2" s="4"/>
      <c r="HTX2" s="4"/>
      <c r="HTY2" s="4"/>
      <c r="HTZ2" s="4"/>
      <c r="HUA2" s="4"/>
      <c r="HUB2" s="4"/>
      <c r="HUC2" s="4"/>
      <c r="HUD2" s="4"/>
      <c r="HUE2" s="4"/>
      <c r="HUF2" s="4"/>
      <c r="HUG2" s="4"/>
      <c r="HUH2" s="4"/>
      <c r="HUI2" s="4"/>
      <c r="HUJ2" s="4"/>
      <c r="HUK2" s="4"/>
      <c r="HUL2" s="4"/>
      <c r="HUM2" s="4"/>
      <c r="HUN2" s="4"/>
      <c r="HUO2" s="4"/>
      <c r="HUP2" s="4"/>
      <c r="HUQ2" s="4"/>
      <c r="HUR2" s="4"/>
      <c r="HUS2" s="4"/>
      <c r="HUT2" s="4"/>
      <c r="HUU2" s="4"/>
      <c r="HUV2" s="4"/>
      <c r="HUW2" s="4"/>
      <c r="HUX2" s="4"/>
      <c r="HUY2" s="4"/>
      <c r="HUZ2" s="4"/>
      <c r="HVA2" s="4"/>
      <c r="HVB2" s="4"/>
      <c r="HVC2" s="4"/>
      <c r="HVD2" s="4"/>
      <c r="HVE2" s="4"/>
      <c r="HVF2" s="4"/>
      <c r="HVG2" s="4"/>
      <c r="HVH2" s="4"/>
      <c r="HVI2" s="4"/>
      <c r="HVJ2" s="4"/>
      <c r="HVK2" s="4"/>
      <c r="HVL2" s="4"/>
      <c r="HVM2" s="4"/>
      <c r="HVN2" s="4"/>
      <c r="HVO2" s="4"/>
      <c r="HVP2" s="4"/>
      <c r="HVQ2" s="4"/>
      <c r="HVR2" s="4"/>
      <c r="HVS2" s="4"/>
      <c r="HVT2" s="4"/>
      <c r="HVU2" s="4"/>
      <c r="HVV2" s="4"/>
      <c r="HVW2" s="4"/>
      <c r="HVX2" s="4"/>
      <c r="HVY2" s="4"/>
      <c r="HVZ2" s="4"/>
      <c r="HWA2" s="4"/>
      <c r="HWB2" s="4"/>
      <c r="HWC2" s="4"/>
      <c r="HWD2" s="4"/>
      <c r="HWE2" s="4"/>
      <c r="HWF2" s="4"/>
      <c r="HWG2" s="4"/>
      <c r="HWH2" s="4"/>
      <c r="HWI2" s="4"/>
      <c r="HWJ2" s="4"/>
      <c r="HWK2" s="4"/>
      <c r="HWL2" s="4"/>
      <c r="HWM2" s="4"/>
      <c r="HWN2" s="4"/>
      <c r="HWO2" s="4"/>
      <c r="HWP2" s="4"/>
      <c r="HWQ2" s="4"/>
      <c r="HWR2" s="4"/>
      <c r="HWS2" s="4"/>
      <c r="HWT2" s="4"/>
      <c r="HWU2" s="4"/>
      <c r="HWV2" s="4"/>
      <c r="HWW2" s="4"/>
      <c r="HWX2" s="4"/>
      <c r="HWY2" s="4"/>
      <c r="HWZ2" s="4"/>
      <c r="HXA2" s="4"/>
      <c r="HXB2" s="4"/>
      <c r="HXC2" s="4"/>
      <c r="HXD2" s="4"/>
      <c r="HXE2" s="4"/>
      <c r="HXF2" s="4"/>
      <c r="HXG2" s="4"/>
      <c r="HXH2" s="4"/>
      <c r="HXI2" s="4"/>
      <c r="HXJ2" s="4"/>
      <c r="HXK2" s="4"/>
      <c r="HXL2" s="4"/>
      <c r="HXM2" s="4"/>
      <c r="HXN2" s="4"/>
      <c r="HXO2" s="4"/>
      <c r="HXP2" s="4"/>
      <c r="HXQ2" s="4"/>
      <c r="HXR2" s="4"/>
      <c r="HXS2" s="4"/>
      <c r="HXT2" s="4"/>
      <c r="HXU2" s="4"/>
      <c r="HXV2" s="4"/>
      <c r="HXW2" s="4"/>
      <c r="HXX2" s="4"/>
      <c r="HXY2" s="4"/>
      <c r="HXZ2" s="4"/>
      <c r="HYA2" s="4"/>
      <c r="HYB2" s="4"/>
      <c r="HYC2" s="4"/>
      <c r="HYD2" s="4"/>
      <c r="HYE2" s="4"/>
      <c r="HYF2" s="4"/>
      <c r="HYG2" s="4"/>
      <c r="HYH2" s="4"/>
      <c r="HYI2" s="4"/>
      <c r="HYJ2" s="4"/>
      <c r="HYK2" s="4"/>
      <c r="HYL2" s="4"/>
      <c r="HYM2" s="4"/>
      <c r="HYN2" s="4"/>
      <c r="HYO2" s="4"/>
      <c r="HYP2" s="4"/>
      <c r="HYQ2" s="4"/>
      <c r="HYR2" s="4"/>
      <c r="HYS2" s="4"/>
      <c r="HYT2" s="4"/>
      <c r="HYU2" s="4"/>
      <c r="HYV2" s="4"/>
      <c r="HYW2" s="4"/>
      <c r="HYX2" s="4"/>
      <c r="HYY2" s="4"/>
      <c r="HYZ2" s="4"/>
      <c r="HZA2" s="4"/>
      <c r="HZB2" s="4"/>
      <c r="HZC2" s="4"/>
      <c r="HZD2" s="4"/>
      <c r="HZE2" s="4"/>
      <c r="HZF2" s="4"/>
      <c r="HZG2" s="4"/>
      <c r="HZH2" s="4"/>
      <c r="HZI2" s="4"/>
      <c r="HZJ2" s="4"/>
      <c r="HZK2" s="4"/>
      <c r="HZL2" s="4"/>
      <c r="HZM2" s="4"/>
      <c r="HZN2" s="4"/>
      <c r="HZO2" s="4"/>
      <c r="HZP2" s="4"/>
      <c r="HZQ2" s="4"/>
      <c r="HZR2" s="4"/>
      <c r="HZS2" s="4"/>
      <c r="HZT2" s="4"/>
      <c r="HZU2" s="4"/>
      <c r="HZV2" s="4"/>
      <c r="HZW2" s="4"/>
      <c r="HZX2" s="4"/>
      <c r="HZY2" s="4"/>
      <c r="HZZ2" s="4"/>
      <c r="IAA2" s="4"/>
      <c r="IAB2" s="4"/>
      <c r="IAC2" s="4"/>
      <c r="IAD2" s="4"/>
      <c r="IAE2" s="4"/>
      <c r="IAF2" s="4"/>
      <c r="IAG2" s="4"/>
      <c r="IAH2" s="4"/>
      <c r="IAI2" s="4"/>
      <c r="IAJ2" s="4"/>
      <c r="IAK2" s="4"/>
      <c r="IAL2" s="4"/>
      <c r="IAM2" s="4"/>
      <c r="IAN2" s="4"/>
      <c r="IAO2" s="4"/>
      <c r="IAP2" s="4"/>
      <c r="IAQ2" s="4"/>
      <c r="IAR2" s="4"/>
      <c r="IAS2" s="4"/>
      <c r="IAT2" s="4"/>
      <c r="IAU2" s="4"/>
      <c r="IAV2" s="4"/>
      <c r="IAW2" s="4"/>
      <c r="IAX2" s="4"/>
      <c r="IAY2" s="4"/>
      <c r="IAZ2" s="4"/>
      <c r="IBA2" s="4"/>
      <c r="IBB2" s="4"/>
      <c r="IBC2" s="4"/>
      <c r="IBD2" s="4"/>
      <c r="IBE2" s="4"/>
      <c r="IBF2" s="4"/>
      <c r="IBG2" s="4"/>
      <c r="IBH2" s="4"/>
      <c r="IBI2" s="4"/>
      <c r="IBJ2" s="4"/>
      <c r="IBK2" s="4"/>
      <c r="IBL2" s="4"/>
      <c r="IBM2" s="4"/>
      <c r="IBN2" s="4"/>
      <c r="IBO2" s="4"/>
      <c r="IBP2" s="4"/>
      <c r="IBQ2" s="4"/>
      <c r="IBR2" s="4"/>
      <c r="IBS2" s="4"/>
      <c r="IBT2" s="4"/>
      <c r="IBU2" s="4"/>
      <c r="IBV2" s="4"/>
      <c r="IBW2" s="4"/>
      <c r="IBX2" s="4"/>
      <c r="IBY2" s="4"/>
      <c r="IBZ2" s="4"/>
      <c r="ICA2" s="4"/>
      <c r="ICB2" s="4"/>
      <c r="ICC2" s="4"/>
      <c r="ICD2" s="4"/>
      <c r="ICE2" s="4"/>
      <c r="ICF2" s="4"/>
      <c r="ICG2" s="4"/>
      <c r="ICH2" s="4"/>
      <c r="ICI2" s="4"/>
      <c r="ICJ2" s="4"/>
      <c r="ICK2" s="4"/>
      <c r="ICL2" s="4"/>
      <c r="ICM2" s="4"/>
      <c r="ICN2" s="4"/>
      <c r="ICO2" s="4"/>
      <c r="ICP2" s="4"/>
      <c r="ICQ2" s="4"/>
      <c r="ICR2" s="4"/>
      <c r="ICS2" s="4"/>
      <c r="ICT2" s="4"/>
      <c r="ICU2" s="4"/>
      <c r="ICV2" s="4"/>
      <c r="ICW2" s="4"/>
      <c r="ICX2" s="4"/>
      <c r="ICY2" s="4"/>
      <c r="ICZ2" s="4"/>
      <c r="IDA2" s="4"/>
      <c r="IDB2" s="4"/>
      <c r="IDC2" s="4"/>
      <c r="IDD2" s="4"/>
      <c r="IDE2" s="4"/>
      <c r="IDF2" s="4"/>
      <c r="IDG2" s="4"/>
      <c r="IDH2" s="4"/>
      <c r="IDI2" s="4"/>
      <c r="IDJ2" s="4"/>
      <c r="IDK2" s="4"/>
      <c r="IDL2" s="4"/>
      <c r="IDM2" s="4"/>
      <c r="IDN2" s="4"/>
      <c r="IDO2" s="4"/>
      <c r="IDP2" s="4"/>
      <c r="IDQ2" s="4"/>
      <c r="IDR2" s="4"/>
      <c r="IDS2" s="4"/>
      <c r="IDT2" s="4"/>
      <c r="IDU2" s="4"/>
      <c r="IDV2" s="4"/>
      <c r="IDW2" s="4"/>
      <c r="IDX2" s="4"/>
      <c r="IDY2" s="4"/>
      <c r="IDZ2" s="4"/>
      <c r="IEA2" s="4"/>
      <c r="IEB2" s="4"/>
      <c r="IEC2" s="4"/>
      <c r="IED2" s="4"/>
      <c r="IEE2" s="4"/>
      <c r="IEF2" s="4"/>
      <c r="IEG2" s="4"/>
      <c r="IEH2" s="4"/>
      <c r="IEI2" s="4"/>
      <c r="IEJ2" s="4"/>
      <c r="IEK2" s="4"/>
      <c r="IEL2" s="4"/>
      <c r="IEM2" s="4"/>
      <c r="IEN2" s="4"/>
      <c r="IEO2" s="4"/>
      <c r="IEP2" s="4"/>
      <c r="IEQ2" s="4"/>
      <c r="IER2" s="4"/>
      <c r="IES2" s="4"/>
      <c r="IET2" s="4"/>
      <c r="IEU2" s="4"/>
      <c r="IEV2" s="4"/>
      <c r="IEW2" s="4"/>
      <c r="IEX2" s="4"/>
      <c r="IEY2" s="4"/>
      <c r="IEZ2" s="4"/>
      <c r="IFA2" s="4"/>
      <c r="IFB2" s="4"/>
      <c r="IFC2" s="4"/>
      <c r="IFD2" s="4"/>
      <c r="IFE2" s="4"/>
      <c r="IFF2" s="4"/>
      <c r="IFG2" s="4"/>
      <c r="IFH2" s="4"/>
      <c r="IFI2" s="4"/>
      <c r="IFJ2" s="4"/>
      <c r="IFK2" s="4"/>
      <c r="IFL2" s="4"/>
      <c r="IFM2" s="4"/>
      <c r="IFN2" s="4"/>
      <c r="IFO2" s="4"/>
      <c r="IFP2" s="4"/>
      <c r="IFQ2" s="4"/>
      <c r="IFR2" s="4"/>
      <c r="IFS2" s="4"/>
      <c r="IFT2" s="4"/>
      <c r="IFU2" s="4"/>
      <c r="IFV2" s="4"/>
      <c r="IFW2" s="4"/>
      <c r="IFX2" s="4"/>
      <c r="IFY2" s="4"/>
      <c r="IFZ2" s="4"/>
      <c r="IGA2" s="4"/>
      <c r="IGB2" s="4"/>
      <c r="IGC2" s="4"/>
      <c r="IGD2" s="4"/>
      <c r="IGE2" s="4"/>
      <c r="IGF2" s="4"/>
      <c r="IGG2" s="4"/>
      <c r="IGH2" s="4"/>
      <c r="IGI2" s="4"/>
      <c r="IGJ2" s="4"/>
      <c r="IGK2" s="4"/>
      <c r="IGL2" s="4"/>
      <c r="IGM2" s="4"/>
      <c r="IGN2" s="4"/>
      <c r="IGO2" s="4"/>
      <c r="IGP2" s="4"/>
      <c r="IGQ2" s="4"/>
      <c r="IGR2" s="4"/>
      <c r="IGS2" s="4"/>
      <c r="IGT2" s="4"/>
      <c r="IGU2" s="4"/>
      <c r="IGV2" s="4"/>
      <c r="IGW2" s="4"/>
      <c r="IGX2" s="4"/>
      <c r="IGY2" s="4"/>
      <c r="IGZ2" s="4"/>
      <c r="IHA2" s="4"/>
      <c r="IHB2" s="4"/>
      <c r="IHC2" s="4"/>
      <c r="IHD2" s="4"/>
      <c r="IHE2" s="4"/>
      <c r="IHF2" s="4"/>
      <c r="IHG2" s="4"/>
      <c r="IHH2" s="4"/>
      <c r="IHI2" s="4"/>
      <c r="IHJ2" s="4"/>
      <c r="IHK2" s="4"/>
      <c r="IHL2" s="4"/>
      <c r="IHM2" s="4"/>
      <c r="IHN2" s="4"/>
      <c r="IHO2" s="4"/>
      <c r="IHP2" s="4"/>
      <c r="IHQ2" s="4"/>
      <c r="IHR2" s="4"/>
      <c r="IHS2" s="4"/>
      <c r="IHT2" s="4"/>
      <c r="IHU2" s="4"/>
      <c r="IHV2" s="4"/>
      <c r="IHW2" s="4"/>
      <c r="IHX2" s="4"/>
      <c r="IHY2" s="4"/>
      <c r="IHZ2" s="4"/>
      <c r="IIA2" s="4"/>
      <c r="IIB2" s="4"/>
      <c r="IIC2" s="4"/>
      <c r="IID2" s="4"/>
      <c r="IIE2" s="4"/>
      <c r="IIF2" s="4"/>
      <c r="IIG2" s="4"/>
      <c r="IIH2" s="4"/>
      <c r="III2" s="4"/>
      <c r="IIJ2" s="4"/>
      <c r="IIK2" s="4"/>
      <c r="IIL2" s="4"/>
      <c r="IIM2" s="4"/>
      <c r="IIN2" s="4"/>
      <c r="IIO2" s="4"/>
      <c r="IIP2" s="4"/>
      <c r="IIQ2" s="4"/>
      <c r="IIR2" s="4"/>
      <c r="IIS2" s="4"/>
      <c r="IIT2" s="4"/>
      <c r="IIU2" s="4"/>
      <c r="IIV2" s="4"/>
      <c r="IIW2" s="4"/>
      <c r="IIX2" s="4"/>
      <c r="IIY2" s="4"/>
      <c r="IIZ2" s="4"/>
      <c r="IJA2" s="4"/>
      <c r="IJB2" s="4"/>
      <c r="IJC2" s="4"/>
      <c r="IJD2" s="4"/>
      <c r="IJE2" s="4"/>
      <c r="IJF2" s="4"/>
      <c r="IJG2" s="4"/>
      <c r="IJH2" s="4"/>
      <c r="IJI2" s="4"/>
      <c r="IJJ2" s="4"/>
      <c r="IJK2" s="4"/>
      <c r="IJL2" s="4"/>
      <c r="IJM2" s="4"/>
      <c r="IJN2" s="4"/>
      <c r="IJO2" s="4"/>
      <c r="IJP2" s="4"/>
      <c r="IJQ2" s="4"/>
      <c r="IJR2" s="4"/>
      <c r="IJS2" s="4"/>
      <c r="IJT2" s="4"/>
      <c r="IJU2" s="4"/>
      <c r="IJV2" s="4"/>
      <c r="IJW2" s="4"/>
      <c r="IJX2" s="4"/>
      <c r="IJY2" s="4"/>
      <c r="IJZ2" s="4"/>
      <c r="IKA2" s="4"/>
      <c r="IKB2" s="4"/>
      <c r="IKC2" s="4"/>
      <c r="IKD2" s="4"/>
      <c r="IKE2" s="4"/>
      <c r="IKF2" s="4"/>
      <c r="IKG2" s="4"/>
      <c r="IKH2" s="4"/>
      <c r="IKI2" s="4"/>
      <c r="IKJ2" s="4"/>
      <c r="IKK2" s="4"/>
      <c r="IKL2" s="4"/>
      <c r="IKM2" s="4"/>
      <c r="IKN2" s="4"/>
      <c r="IKO2" s="4"/>
      <c r="IKP2" s="4"/>
      <c r="IKQ2" s="4"/>
      <c r="IKR2" s="4"/>
      <c r="IKS2" s="4"/>
      <c r="IKT2" s="4"/>
      <c r="IKU2" s="4"/>
      <c r="IKV2" s="4"/>
      <c r="IKW2" s="4"/>
      <c r="IKX2" s="4"/>
      <c r="IKY2" s="4"/>
      <c r="IKZ2" s="4"/>
      <c r="ILA2" s="4"/>
      <c r="ILB2" s="4"/>
      <c r="ILC2" s="4"/>
      <c r="ILD2" s="4"/>
      <c r="ILE2" s="4"/>
      <c r="ILF2" s="4"/>
      <c r="ILG2" s="4"/>
      <c r="ILH2" s="4"/>
      <c r="ILI2" s="4"/>
      <c r="ILJ2" s="4"/>
      <c r="ILK2" s="4"/>
      <c r="ILL2" s="4"/>
      <c r="ILM2" s="4"/>
      <c r="ILN2" s="4"/>
      <c r="ILO2" s="4"/>
      <c r="ILP2" s="4"/>
      <c r="ILQ2" s="4"/>
      <c r="ILR2" s="4"/>
      <c r="ILS2" s="4"/>
      <c r="ILT2" s="4"/>
      <c r="ILU2" s="4"/>
      <c r="ILV2" s="4"/>
      <c r="ILW2" s="4"/>
      <c r="ILX2" s="4"/>
      <c r="ILY2" s="4"/>
      <c r="ILZ2" s="4"/>
      <c r="IMA2" s="4"/>
      <c r="IMB2" s="4"/>
      <c r="IMC2" s="4"/>
      <c r="IMD2" s="4"/>
      <c r="IME2" s="4"/>
      <c r="IMF2" s="4"/>
      <c r="IMG2" s="4"/>
      <c r="IMH2" s="4"/>
      <c r="IMI2" s="4"/>
      <c r="IMJ2" s="4"/>
      <c r="IMK2" s="4"/>
      <c r="IML2" s="4"/>
      <c r="IMM2" s="4"/>
      <c r="IMN2" s="4"/>
      <c r="IMO2" s="4"/>
      <c r="IMP2" s="4"/>
      <c r="IMQ2" s="4"/>
      <c r="IMR2" s="4"/>
      <c r="IMS2" s="4"/>
      <c r="IMT2" s="4"/>
      <c r="IMU2" s="4"/>
      <c r="IMV2" s="4"/>
      <c r="IMW2" s="4"/>
      <c r="IMX2" s="4"/>
      <c r="IMY2" s="4"/>
      <c r="IMZ2" s="4"/>
      <c r="INA2" s="4"/>
      <c r="INB2" s="4"/>
      <c r="INC2" s="4"/>
      <c r="IND2" s="4"/>
      <c r="INE2" s="4"/>
      <c r="INF2" s="4"/>
      <c r="ING2" s="4"/>
      <c r="INH2" s="4"/>
      <c r="INI2" s="4"/>
      <c r="INJ2" s="4"/>
      <c r="INK2" s="4"/>
      <c r="INL2" s="4"/>
      <c r="INM2" s="4"/>
      <c r="INN2" s="4"/>
      <c r="INO2" s="4"/>
      <c r="INP2" s="4"/>
      <c r="INQ2" s="4"/>
      <c r="INR2" s="4"/>
      <c r="INS2" s="4"/>
      <c r="INT2" s="4"/>
      <c r="INU2" s="4"/>
      <c r="INV2" s="4"/>
      <c r="INW2" s="4"/>
      <c r="INX2" s="4"/>
      <c r="INY2" s="4"/>
      <c r="INZ2" s="4"/>
      <c r="IOA2" s="4"/>
      <c r="IOB2" s="4"/>
      <c r="IOC2" s="4"/>
      <c r="IOD2" s="4"/>
      <c r="IOE2" s="4"/>
      <c r="IOF2" s="4"/>
      <c r="IOG2" s="4"/>
      <c r="IOH2" s="4"/>
      <c r="IOI2" s="4"/>
      <c r="IOJ2" s="4"/>
      <c r="IOK2" s="4"/>
      <c r="IOL2" s="4"/>
      <c r="IOM2" s="4"/>
      <c r="ION2" s="4"/>
      <c r="IOO2" s="4"/>
      <c r="IOP2" s="4"/>
      <c r="IOQ2" s="4"/>
      <c r="IOR2" s="4"/>
      <c r="IOS2" s="4"/>
      <c r="IOT2" s="4"/>
      <c r="IOU2" s="4"/>
      <c r="IOV2" s="4"/>
      <c r="IOW2" s="4"/>
      <c r="IOX2" s="4"/>
      <c r="IOY2" s="4"/>
      <c r="IOZ2" s="4"/>
      <c r="IPA2" s="4"/>
      <c r="IPB2" s="4"/>
      <c r="IPC2" s="4"/>
      <c r="IPD2" s="4"/>
      <c r="IPE2" s="4"/>
      <c r="IPF2" s="4"/>
      <c r="IPG2" s="4"/>
      <c r="IPH2" s="4"/>
      <c r="IPI2" s="4"/>
      <c r="IPJ2" s="4"/>
      <c r="IPK2" s="4"/>
      <c r="IPL2" s="4"/>
      <c r="IPM2" s="4"/>
      <c r="IPN2" s="4"/>
      <c r="IPO2" s="4"/>
      <c r="IPP2" s="4"/>
      <c r="IPQ2" s="4"/>
      <c r="IPR2" s="4"/>
      <c r="IPS2" s="4"/>
      <c r="IPT2" s="4"/>
      <c r="IPU2" s="4"/>
      <c r="IPV2" s="4"/>
      <c r="IPW2" s="4"/>
      <c r="IPX2" s="4"/>
      <c r="IPY2" s="4"/>
      <c r="IPZ2" s="4"/>
      <c r="IQA2" s="4"/>
      <c r="IQB2" s="4"/>
      <c r="IQC2" s="4"/>
      <c r="IQD2" s="4"/>
      <c r="IQE2" s="4"/>
      <c r="IQF2" s="4"/>
      <c r="IQG2" s="4"/>
      <c r="IQH2" s="4"/>
      <c r="IQI2" s="4"/>
      <c r="IQJ2" s="4"/>
      <c r="IQK2" s="4"/>
      <c r="IQL2" s="4"/>
      <c r="IQM2" s="4"/>
      <c r="IQN2" s="4"/>
      <c r="IQO2" s="4"/>
      <c r="IQP2" s="4"/>
      <c r="IQQ2" s="4"/>
      <c r="IQR2" s="4"/>
      <c r="IQS2" s="4"/>
      <c r="IQT2" s="4"/>
      <c r="IQU2" s="4"/>
      <c r="IQV2" s="4"/>
      <c r="IQW2" s="4"/>
      <c r="IQX2" s="4"/>
      <c r="IQY2" s="4"/>
      <c r="IQZ2" s="4"/>
      <c r="IRA2" s="4"/>
      <c r="IRB2" s="4"/>
      <c r="IRC2" s="4"/>
      <c r="IRD2" s="4"/>
      <c r="IRE2" s="4"/>
      <c r="IRF2" s="4"/>
      <c r="IRG2" s="4"/>
      <c r="IRH2" s="4"/>
      <c r="IRI2" s="4"/>
      <c r="IRJ2" s="4"/>
      <c r="IRK2" s="4"/>
      <c r="IRL2" s="4"/>
      <c r="IRM2" s="4"/>
      <c r="IRN2" s="4"/>
      <c r="IRO2" s="4"/>
      <c r="IRP2" s="4"/>
      <c r="IRQ2" s="4"/>
      <c r="IRR2" s="4"/>
      <c r="IRS2" s="4"/>
      <c r="IRT2" s="4"/>
      <c r="IRU2" s="4"/>
      <c r="IRV2" s="4"/>
      <c r="IRW2" s="4"/>
      <c r="IRX2" s="4"/>
      <c r="IRY2" s="4"/>
      <c r="IRZ2" s="4"/>
      <c r="ISA2" s="4"/>
      <c r="ISB2" s="4"/>
      <c r="ISC2" s="4"/>
      <c r="ISD2" s="4"/>
      <c r="ISE2" s="4"/>
      <c r="ISF2" s="4"/>
      <c r="ISG2" s="4"/>
      <c r="ISH2" s="4"/>
      <c r="ISI2" s="4"/>
      <c r="ISJ2" s="4"/>
      <c r="ISK2" s="4"/>
      <c r="ISL2" s="4"/>
      <c r="ISM2" s="4"/>
      <c r="ISN2" s="4"/>
      <c r="ISO2" s="4"/>
      <c r="ISP2" s="4"/>
      <c r="ISQ2" s="4"/>
      <c r="ISR2" s="4"/>
      <c r="ISS2" s="4"/>
      <c r="IST2" s="4"/>
      <c r="ISU2" s="4"/>
      <c r="ISV2" s="4"/>
      <c r="ISW2" s="4"/>
      <c r="ISX2" s="4"/>
      <c r="ISY2" s="4"/>
      <c r="ISZ2" s="4"/>
      <c r="ITA2" s="4"/>
      <c r="ITB2" s="4"/>
      <c r="ITC2" s="4"/>
      <c r="ITD2" s="4"/>
      <c r="ITE2" s="4"/>
      <c r="ITF2" s="4"/>
      <c r="ITG2" s="4"/>
      <c r="ITH2" s="4"/>
      <c r="ITI2" s="4"/>
      <c r="ITJ2" s="4"/>
      <c r="ITK2" s="4"/>
      <c r="ITL2" s="4"/>
      <c r="ITM2" s="4"/>
      <c r="ITN2" s="4"/>
      <c r="ITO2" s="4"/>
      <c r="ITP2" s="4"/>
      <c r="ITQ2" s="4"/>
      <c r="ITR2" s="4"/>
      <c r="ITS2" s="4"/>
      <c r="ITT2" s="4"/>
      <c r="ITU2" s="4"/>
      <c r="ITV2" s="4"/>
      <c r="ITW2" s="4"/>
      <c r="ITX2" s="4"/>
      <c r="ITY2" s="4"/>
      <c r="ITZ2" s="4"/>
      <c r="IUA2" s="4"/>
      <c r="IUB2" s="4"/>
      <c r="IUC2" s="4"/>
      <c r="IUD2" s="4"/>
      <c r="IUE2" s="4"/>
      <c r="IUF2" s="4"/>
      <c r="IUG2" s="4"/>
      <c r="IUH2" s="4"/>
      <c r="IUI2" s="4"/>
      <c r="IUJ2" s="4"/>
      <c r="IUK2" s="4"/>
      <c r="IUL2" s="4"/>
      <c r="IUM2" s="4"/>
      <c r="IUN2" s="4"/>
      <c r="IUO2" s="4"/>
      <c r="IUP2" s="4"/>
      <c r="IUQ2" s="4"/>
      <c r="IUR2" s="4"/>
      <c r="IUS2" s="4"/>
      <c r="IUT2" s="4"/>
      <c r="IUU2" s="4"/>
      <c r="IUV2" s="4"/>
      <c r="IUW2" s="4"/>
      <c r="IUX2" s="4"/>
      <c r="IUY2" s="4"/>
      <c r="IUZ2" s="4"/>
      <c r="IVA2" s="4"/>
      <c r="IVB2" s="4"/>
      <c r="IVC2" s="4"/>
      <c r="IVD2" s="4"/>
      <c r="IVE2" s="4"/>
      <c r="IVF2" s="4"/>
      <c r="IVG2" s="4"/>
      <c r="IVH2" s="4"/>
      <c r="IVI2" s="4"/>
      <c r="IVJ2" s="4"/>
      <c r="IVK2" s="4"/>
      <c r="IVL2" s="4"/>
      <c r="IVM2" s="4"/>
      <c r="IVN2" s="4"/>
      <c r="IVO2" s="4"/>
      <c r="IVP2" s="4"/>
      <c r="IVQ2" s="4"/>
      <c r="IVR2" s="4"/>
      <c r="IVS2" s="4"/>
      <c r="IVT2" s="4"/>
      <c r="IVU2" s="4"/>
      <c r="IVV2" s="4"/>
      <c r="IVW2" s="4"/>
      <c r="IVX2" s="4"/>
      <c r="IVY2" s="4"/>
      <c r="IVZ2" s="4"/>
      <c r="IWA2" s="4"/>
      <c r="IWB2" s="4"/>
      <c r="IWC2" s="4"/>
      <c r="IWD2" s="4"/>
      <c r="IWE2" s="4"/>
      <c r="IWF2" s="4"/>
      <c r="IWG2" s="4"/>
      <c r="IWH2" s="4"/>
      <c r="IWI2" s="4"/>
      <c r="IWJ2" s="4"/>
      <c r="IWK2" s="4"/>
      <c r="IWL2" s="4"/>
      <c r="IWM2" s="4"/>
      <c r="IWN2" s="4"/>
      <c r="IWO2" s="4"/>
      <c r="IWP2" s="4"/>
      <c r="IWQ2" s="4"/>
      <c r="IWR2" s="4"/>
      <c r="IWS2" s="4"/>
      <c r="IWT2" s="4"/>
      <c r="IWU2" s="4"/>
      <c r="IWV2" s="4"/>
      <c r="IWW2" s="4"/>
      <c r="IWX2" s="4"/>
      <c r="IWY2" s="4"/>
      <c r="IWZ2" s="4"/>
      <c r="IXA2" s="4"/>
      <c r="IXB2" s="4"/>
      <c r="IXC2" s="4"/>
      <c r="IXD2" s="4"/>
      <c r="IXE2" s="4"/>
      <c r="IXF2" s="4"/>
      <c r="IXG2" s="4"/>
      <c r="IXH2" s="4"/>
      <c r="IXI2" s="4"/>
      <c r="IXJ2" s="4"/>
      <c r="IXK2" s="4"/>
      <c r="IXL2" s="4"/>
      <c r="IXM2" s="4"/>
      <c r="IXN2" s="4"/>
      <c r="IXO2" s="4"/>
      <c r="IXP2" s="4"/>
      <c r="IXQ2" s="4"/>
      <c r="IXR2" s="4"/>
      <c r="IXS2" s="4"/>
      <c r="IXT2" s="4"/>
      <c r="IXU2" s="4"/>
      <c r="IXV2" s="4"/>
      <c r="IXW2" s="4"/>
      <c r="IXX2" s="4"/>
      <c r="IXY2" s="4"/>
      <c r="IXZ2" s="4"/>
      <c r="IYA2" s="4"/>
      <c r="IYB2" s="4"/>
      <c r="IYC2" s="4"/>
      <c r="IYD2" s="4"/>
      <c r="IYE2" s="4"/>
      <c r="IYF2" s="4"/>
      <c r="IYG2" s="4"/>
      <c r="IYH2" s="4"/>
      <c r="IYI2" s="4"/>
      <c r="IYJ2" s="4"/>
      <c r="IYK2" s="4"/>
      <c r="IYL2" s="4"/>
      <c r="IYM2" s="4"/>
      <c r="IYN2" s="4"/>
      <c r="IYO2" s="4"/>
      <c r="IYP2" s="4"/>
      <c r="IYQ2" s="4"/>
      <c r="IYR2" s="4"/>
      <c r="IYS2" s="4"/>
      <c r="IYT2" s="4"/>
      <c r="IYU2" s="4"/>
      <c r="IYV2" s="4"/>
      <c r="IYW2" s="4"/>
      <c r="IYX2" s="4"/>
      <c r="IYY2" s="4"/>
      <c r="IYZ2" s="4"/>
      <c r="IZA2" s="4"/>
      <c r="IZB2" s="4"/>
      <c r="IZC2" s="4"/>
      <c r="IZD2" s="4"/>
      <c r="IZE2" s="4"/>
      <c r="IZF2" s="4"/>
      <c r="IZG2" s="4"/>
      <c r="IZH2" s="4"/>
      <c r="IZI2" s="4"/>
      <c r="IZJ2" s="4"/>
      <c r="IZK2" s="4"/>
      <c r="IZL2" s="4"/>
      <c r="IZM2" s="4"/>
      <c r="IZN2" s="4"/>
      <c r="IZO2" s="4"/>
      <c r="IZP2" s="4"/>
      <c r="IZQ2" s="4"/>
      <c r="IZR2" s="4"/>
      <c r="IZS2" s="4"/>
      <c r="IZT2" s="4"/>
      <c r="IZU2" s="4"/>
      <c r="IZV2" s="4"/>
      <c r="IZW2" s="4"/>
      <c r="IZX2" s="4"/>
      <c r="IZY2" s="4"/>
      <c r="IZZ2" s="4"/>
      <c r="JAA2" s="4"/>
      <c r="JAB2" s="4"/>
      <c r="JAC2" s="4"/>
      <c r="JAD2" s="4"/>
      <c r="JAE2" s="4"/>
      <c r="JAF2" s="4"/>
      <c r="JAG2" s="4"/>
      <c r="JAH2" s="4"/>
      <c r="JAI2" s="4"/>
      <c r="JAJ2" s="4"/>
      <c r="JAK2" s="4"/>
      <c r="JAL2" s="4"/>
      <c r="JAM2" s="4"/>
      <c r="JAN2" s="4"/>
      <c r="JAO2" s="4"/>
      <c r="JAP2" s="4"/>
      <c r="JAQ2" s="4"/>
      <c r="JAR2" s="4"/>
      <c r="JAS2" s="4"/>
      <c r="JAT2" s="4"/>
      <c r="JAU2" s="4"/>
      <c r="JAV2" s="4"/>
      <c r="JAW2" s="4"/>
      <c r="JAX2" s="4"/>
      <c r="JAY2" s="4"/>
      <c r="JAZ2" s="4"/>
      <c r="JBA2" s="4"/>
      <c r="JBB2" s="4"/>
      <c r="JBC2" s="4"/>
      <c r="JBD2" s="4"/>
      <c r="JBE2" s="4"/>
      <c r="JBF2" s="4"/>
      <c r="JBG2" s="4"/>
      <c r="JBH2" s="4"/>
      <c r="JBI2" s="4"/>
      <c r="JBJ2" s="4"/>
      <c r="JBK2" s="4"/>
      <c r="JBL2" s="4"/>
      <c r="JBM2" s="4"/>
      <c r="JBN2" s="4"/>
      <c r="JBO2" s="4"/>
      <c r="JBP2" s="4"/>
      <c r="JBQ2" s="4"/>
      <c r="JBR2" s="4"/>
      <c r="JBS2" s="4"/>
      <c r="JBT2" s="4"/>
      <c r="JBU2" s="4"/>
      <c r="JBV2" s="4"/>
      <c r="JBW2" s="4"/>
      <c r="JBX2" s="4"/>
      <c r="JBY2" s="4"/>
      <c r="JBZ2" s="4"/>
      <c r="JCA2" s="4"/>
      <c r="JCB2" s="4"/>
      <c r="JCC2" s="4"/>
      <c r="JCD2" s="4"/>
      <c r="JCE2" s="4"/>
      <c r="JCF2" s="4"/>
      <c r="JCG2" s="4"/>
      <c r="JCH2" s="4"/>
      <c r="JCI2" s="4"/>
      <c r="JCJ2" s="4"/>
      <c r="JCK2" s="4"/>
      <c r="JCL2" s="4"/>
      <c r="JCM2" s="4"/>
      <c r="JCN2" s="4"/>
      <c r="JCO2" s="4"/>
      <c r="JCP2" s="4"/>
      <c r="JCQ2" s="4"/>
      <c r="JCR2" s="4"/>
      <c r="JCS2" s="4"/>
      <c r="JCT2" s="4"/>
      <c r="JCU2" s="4"/>
      <c r="JCV2" s="4"/>
      <c r="JCW2" s="4"/>
      <c r="JCX2" s="4"/>
      <c r="JCY2" s="4"/>
      <c r="JCZ2" s="4"/>
      <c r="JDA2" s="4"/>
      <c r="JDB2" s="4"/>
      <c r="JDC2" s="4"/>
      <c r="JDD2" s="4"/>
      <c r="JDE2" s="4"/>
      <c r="JDF2" s="4"/>
      <c r="JDG2" s="4"/>
      <c r="JDH2" s="4"/>
      <c r="JDI2" s="4"/>
      <c r="JDJ2" s="4"/>
      <c r="JDK2" s="4"/>
      <c r="JDL2" s="4"/>
      <c r="JDM2" s="4"/>
      <c r="JDN2" s="4"/>
      <c r="JDO2" s="4"/>
      <c r="JDP2" s="4"/>
      <c r="JDQ2" s="4"/>
      <c r="JDR2" s="4"/>
      <c r="JDS2" s="4"/>
      <c r="JDT2" s="4"/>
      <c r="JDU2" s="4"/>
      <c r="JDV2" s="4"/>
      <c r="JDW2" s="4"/>
      <c r="JDX2" s="4"/>
      <c r="JDY2" s="4"/>
      <c r="JDZ2" s="4"/>
      <c r="JEA2" s="4"/>
      <c r="JEB2" s="4"/>
      <c r="JEC2" s="4"/>
      <c r="JED2" s="4"/>
      <c r="JEE2" s="4"/>
      <c r="JEF2" s="4"/>
      <c r="JEG2" s="4"/>
      <c r="JEH2" s="4"/>
      <c r="JEI2" s="4"/>
      <c r="JEJ2" s="4"/>
      <c r="JEK2" s="4"/>
      <c r="JEL2" s="4"/>
      <c r="JEM2" s="4"/>
      <c r="JEN2" s="4"/>
      <c r="JEO2" s="4"/>
      <c r="JEP2" s="4"/>
      <c r="JEQ2" s="4"/>
      <c r="JER2" s="4"/>
      <c r="JES2" s="4"/>
      <c r="JET2" s="4"/>
      <c r="JEU2" s="4"/>
      <c r="JEV2" s="4"/>
      <c r="JEW2" s="4"/>
      <c r="JEX2" s="4"/>
      <c r="JEY2" s="4"/>
      <c r="JEZ2" s="4"/>
      <c r="JFA2" s="4"/>
      <c r="JFB2" s="4"/>
      <c r="JFC2" s="4"/>
      <c r="JFD2" s="4"/>
      <c r="JFE2" s="4"/>
      <c r="JFF2" s="4"/>
      <c r="JFG2" s="4"/>
      <c r="JFH2" s="4"/>
      <c r="JFI2" s="4"/>
      <c r="JFJ2" s="4"/>
      <c r="JFK2" s="4"/>
      <c r="JFL2" s="4"/>
      <c r="JFM2" s="4"/>
      <c r="JFN2" s="4"/>
      <c r="JFO2" s="4"/>
      <c r="JFP2" s="4"/>
      <c r="JFQ2" s="4"/>
      <c r="JFR2" s="4"/>
      <c r="JFS2" s="4"/>
      <c r="JFT2" s="4"/>
      <c r="JFU2" s="4"/>
      <c r="JFV2" s="4"/>
      <c r="JFW2" s="4"/>
      <c r="JFX2" s="4"/>
      <c r="JFY2" s="4"/>
      <c r="JFZ2" s="4"/>
      <c r="JGA2" s="4"/>
      <c r="JGB2" s="4"/>
      <c r="JGC2" s="4"/>
      <c r="JGD2" s="4"/>
      <c r="JGE2" s="4"/>
      <c r="JGF2" s="4"/>
      <c r="JGG2" s="4"/>
      <c r="JGH2" s="4"/>
      <c r="JGI2" s="4"/>
      <c r="JGJ2" s="4"/>
      <c r="JGK2" s="4"/>
      <c r="JGL2" s="4"/>
      <c r="JGM2" s="4"/>
      <c r="JGN2" s="4"/>
      <c r="JGO2" s="4"/>
      <c r="JGP2" s="4"/>
      <c r="JGQ2" s="4"/>
      <c r="JGR2" s="4"/>
      <c r="JGS2" s="4"/>
      <c r="JGT2" s="4"/>
      <c r="JGU2" s="4"/>
      <c r="JGV2" s="4"/>
      <c r="JGW2" s="4"/>
      <c r="JGX2" s="4"/>
      <c r="JGY2" s="4"/>
      <c r="JGZ2" s="4"/>
      <c r="JHA2" s="4"/>
      <c r="JHB2" s="4"/>
      <c r="JHC2" s="4"/>
      <c r="JHD2" s="4"/>
      <c r="JHE2" s="4"/>
      <c r="JHF2" s="4"/>
      <c r="JHG2" s="4"/>
      <c r="JHH2" s="4"/>
      <c r="JHI2" s="4"/>
      <c r="JHJ2" s="4"/>
      <c r="JHK2" s="4"/>
      <c r="JHL2" s="4"/>
      <c r="JHM2" s="4"/>
      <c r="JHN2" s="4"/>
      <c r="JHO2" s="4"/>
      <c r="JHP2" s="4"/>
      <c r="JHQ2" s="4"/>
      <c r="JHR2" s="4"/>
      <c r="JHS2" s="4"/>
      <c r="JHT2" s="4"/>
      <c r="JHU2" s="4"/>
      <c r="JHV2" s="4"/>
      <c r="JHW2" s="4"/>
      <c r="JHX2" s="4"/>
      <c r="JHY2" s="4"/>
      <c r="JHZ2" s="4"/>
      <c r="JIA2" s="4"/>
      <c r="JIB2" s="4"/>
      <c r="JIC2" s="4"/>
      <c r="JID2" s="4"/>
      <c r="JIE2" s="4"/>
      <c r="JIF2" s="4"/>
      <c r="JIG2" s="4"/>
      <c r="JIH2" s="4"/>
      <c r="JII2" s="4"/>
      <c r="JIJ2" s="4"/>
      <c r="JIK2" s="4"/>
      <c r="JIL2" s="4"/>
      <c r="JIM2" s="4"/>
      <c r="JIN2" s="4"/>
      <c r="JIO2" s="4"/>
      <c r="JIP2" s="4"/>
      <c r="JIQ2" s="4"/>
      <c r="JIR2" s="4"/>
      <c r="JIS2" s="4"/>
      <c r="JIT2" s="4"/>
      <c r="JIU2" s="4"/>
      <c r="JIV2" s="4"/>
      <c r="JIW2" s="4"/>
      <c r="JIX2" s="4"/>
      <c r="JIY2" s="4"/>
      <c r="JIZ2" s="4"/>
      <c r="JJA2" s="4"/>
      <c r="JJB2" s="4"/>
      <c r="JJC2" s="4"/>
      <c r="JJD2" s="4"/>
      <c r="JJE2" s="4"/>
      <c r="JJF2" s="4"/>
      <c r="JJG2" s="4"/>
      <c r="JJH2" s="4"/>
      <c r="JJI2" s="4"/>
      <c r="JJJ2" s="4"/>
      <c r="JJK2" s="4"/>
      <c r="JJL2" s="4"/>
      <c r="JJM2" s="4"/>
      <c r="JJN2" s="4"/>
      <c r="JJO2" s="4"/>
      <c r="JJP2" s="4"/>
      <c r="JJQ2" s="4"/>
      <c r="JJR2" s="4"/>
      <c r="JJS2" s="4"/>
      <c r="JJT2" s="4"/>
      <c r="JJU2" s="4"/>
      <c r="JJV2" s="4"/>
      <c r="JJW2" s="4"/>
      <c r="JJX2" s="4"/>
      <c r="JJY2" s="4"/>
      <c r="JJZ2" s="4"/>
      <c r="JKA2" s="4"/>
      <c r="JKB2" s="4"/>
      <c r="JKC2" s="4"/>
      <c r="JKD2" s="4"/>
      <c r="JKE2" s="4"/>
      <c r="JKF2" s="4"/>
      <c r="JKG2" s="4"/>
      <c r="JKH2" s="4"/>
      <c r="JKI2" s="4"/>
      <c r="JKJ2" s="4"/>
      <c r="JKK2" s="4"/>
      <c r="JKL2" s="4"/>
      <c r="JKM2" s="4"/>
      <c r="JKN2" s="4"/>
      <c r="JKO2" s="4"/>
      <c r="JKP2" s="4"/>
      <c r="JKQ2" s="4"/>
      <c r="JKR2" s="4"/>
      <c r="JKS2" s="4"/>
      <c r="JKT2" s="4"/>
      <c r="JKU2" s="4"/>
      <c r="JKV2" s="4"/>
      <c r="JKW2" s="4"/>
      <c r="JKX2" s="4"/>
      <c r="JKY2" s="4"/>
      <c r="JKZ2" s="4"/>
      <c r="JLA2" s="4"/>
      <c r="JLB2" s="4"/>
      <c r="JLC2" s="4"/>
      <c r="JLD2" s="4"/>
      <c r="JLE2" s="4"/>
      <c r="JLF2" s="4"/>
      <c r="JLG2" s="4"/>
      <c r="JLH2" s="4"/>
      <c r="JLI2" s="4"/>
      <c r="JLJ2" s="4"/>
      <c r="JLK2" s="4"/>
      <c r="JLL2" s="4"/>
      <c r="JLM2" s="4"/>
      <c r="JLN2" s="4"/>
      <c r="JLO2" s="4"/>
      <c r="JLP2" s="4"/>
      <c r="JLQ2" s="4"/>
      <c r="JLR2" s="4"/>
      <c r="JLS2" s="4"/>
      <c r="JLT2" s="4"/>
      <c r="JLU2" s="4"/>
      <c r="JLV2" s="4"/>
      <c r="JLW2" s="4"/>
      <c r="JLX2" s="4"/>
      <c r="JLY2" s="4"/>
      <c r="JLZ2" s="4"/>
      <c r="JMA2" s="4"/>
      <c r="JMB2" s="4"/>
      <c r="JMC2" s="4"/>
      <c r="JMD2" s="4"/>
      <c r="JME2" s="4"/>
      <c r="JMF2" s="4"/>
      <c r="JMG2" s="4"/>
      <c r="JMH2" s="4"/>
      <c r="JMI2" s="4"/>
      <c r="JMJ2" s="4"/>
      <c r="JMK2" s="4"/>
      <c r="JML2" s="4"/>
      <c r="JMM2" s="4"/>
      <c r="JMN2" s="4"/>
      <c r="JMO2" s="4"/>
      <c r="JMP2" s="4"/>
      <c r="JMQ2" s="4"/>
      <c r="JMR2" s="4"/>
      <c r="JMS2" s="4"/>
      <c r="JMT2" s="4"/>
      <c r="JMU2" s="4"/>
      <c r="JMV2" s="4"/>
      <c r="JMW2" s="4"/>
      <c r="JMX2" s="4"/>
      <c r="JMY2" s="4"/>
      <c r="JMZ2" s="4"/>
      <c r="JNA2" s="4"/>
      <c r="JNB2" s="4"/>
      <c r="JNC2" s="4"/>
      <c r="JND2" s="4"/>
      <c r="JNE2" s="4"/>
      <c r="JNF2" s="4"/>
      <c r="JNG2" s="4"/>
      <c r="JNH2" s="4"/>
      <c r="JNI2" s="4"/>
      <c r="JNJ2" s="4"/>
      <c r="JNK2" s="4"/>
      <c r="JNL2" s="4"/>
      <c r="JNM2" s="4"/>
      <c r="JNN2" s="4"/>
      <c r="JNO2" s="4"/>
      <c r="JNP2" s="4"/>
      <c r="JNQ2" s="4"/>
      <c r="JNR2" s="4"/>
      <c r="JNS2" s="4"/>
      <c r="JNT2" s="4"/>
      <c r="JNU2" s="4"/>
      <c r="JNV2" s="4"/>
      <c r="JNW2" s="4"/>
      <c r="JNX2" s="4"/>
      <c r="JNY2" s="4"/>
      <c r="JNZ2" s="4"/>
      <c r="JOA2" s="4"/>
      <c r="JOB2" s="4"/>
      <c r="JOC2" s="4"/>
      <c r="JOD2" s="4"/>
      <c r="JOE2" s="4"/>
      <c r="JOF2" s="4"/>
      <c r="JOG2" s="4"/>
      <c r="JOH2" s="4"/>
      <c r="JOI2" s="4"/>
      <c r="JOJ2" s="4"/>
      <c r="JOK2" s="4"/>
      <c r="JOL2" s="4"/>
      <c r="JOM2" s="4"/>
      <c r="JON2" s="4"/>
      <c r="JOO2" s="4"/>
      <c r="JOP2" s="4"/>
      <c r="JOQ2" s="4"/>
      <c r="JOR2" s="4"/>
      <c r="JOS2" s="4"/>
      <c r="JOT2" s="4"/>
      <c r="JOU2" s="4"/>
      <c r="JOV2" s="4"/>
      <c r="JOW2" s="4"/>
      <c r="JOX2" s="4"/>
      <c r="JOY2" s="4"/>
      <c r="JOZ2" s="4"/>
      <c r="JPA2" s="4"/>
      <c r="JPB2" s="4"/>
      <c r="JPC2" s="4"/>
      <c r="JPD2" s="4"/>
      <c r="JPE2" s="4"/>
      <c r="JPF2" s="4"/>
      <c r="JPG2" s="4"/>
      <c r="JPH2" s="4"/>
      <c r="JPI2" s="4"/>
      <c r="JPJ2" s="4"/>
      <c r="JPK2" s="4"/>
      <c r="JPL2" s="4"/>
      <c r="JPM2" s="4"/>
      <c r="JPN2" s="4"/>
      <c r="JPO2" s="4"/>
      <c r="JPP2" s="4"/>
      <c r="JPQ2" s="4"/>
      <c r="JPR2" s="4"/>
      <c r="JPS2" s="4"/>
      <c r="JPT2" s="4"/>
      <c r="JPU2" s="4"/>
      <c r="JPV2" s="4"/>
      <c r="JPW2" s="4"/>
      <c r="JPX2" s="4"/>
      <c r="JPY2" s="4"/>
      <c r="JPZ2" s="4"/>
      <c r="JQA2" s="4"/>
      <c r="JQB2" s="4"/>
      <c r="JQC2" s="4"/>
      <c r="JQD2" s="4"/>
      <c r="JQE2" s="4"/>
      <c r="JQF2" s="4"/>
      <c r="JQG2" s="4"/>
      <c r="JQH2" s="4"/>
      <c r="JQI2" s="4"/>
      <c r="JQJ2" s="4"/>
      <c r="JQK2" s="4"/>
      <c r="JQL2" s="4"/>
      <c r="JQM2" s="4"/>
      <c r="JQN2" s="4"/>
      <c r="JQO2" s="4"/>
      <c r="JQP2" s="4"/>
      <c r="JQQ2" s="4"/>
      <c r="JQR2" s="4"/>
      <c r="JQS2" s="4"/>
      <c r="JQT2" s="4"/>
      <c r="JQU2" s="4"/>
      <c r="JQV2" s="4"/>
      <c r="JQW2" s="4"/>
      <c r="JQX2" s="4"/>
      <c r="JQY2" s="4"/>
      <c r="JQZ2" s="4"/>
      <c r="JRA2" s="4"/>
      <c r="JRB2" s="4"/>
      <c r="JRC2" s="4"/>
      <c r="JRD2" s="4"/>
      <c r="JRE2" s="4"/>
      <c r="JRF2" s="4"/>
      <c r="JRG2" s="4"/>
      <c r="JRH2" s="4"/>
      <c r="JRI2" s="4"/>
      <c r="JRJ2" s="4"/>
      <c r="JRK2" s="4"/>
      <c r="JRL2" s="4"/>
      <c r="JRM2" s="4"/>
      <c r="JRN2" s="4"/>
      <c r="JRO2" s="4"/>
      <c r="JRP2" s="4"/>
      <c r="JRQ2" s="4"/>
      <c r="JRR2" s="4"/>
      <c r="JRS2" s="4"/>
      <c r="JRT2" s="4"/>
      <c r="JRU2" s="4"/>
      <c r="JRV2" s="4"/>
      <c r="JRW2" s="4"/>
      <c r="JRX2" s="4"/>
      <c r="JRY2" s="4"/>
      <c r="JRZ2" s="4"/>
      <c r="JSA2" s="4"/>
      <c r="JSB2" s="4"/>
      <c r="JSC2" s="4"/>
      <c r="JSD2" s="4"/>
      <c r="JSE2" s="4"/>
      <c r="JSF2" s="4"/>
      <c r="JSG2" s="4"/>
      <c r="JSH2" s="4"/>
      <c r="JSI2" s="4"/>
      <c r="JSJ2" s="4"/>
      <c r="JSK2" s="4"/>
      <c r="JSL2" s="4"/>
      <c r="JSM2" s="4"/>
      <c r="JSN2" s="4"/>
      <c r="JSO2" s="4"/>
      <c r="JSP2" s="4"/>
      <c r="JSQ2" s="4"/>
      <c r="JSR2" s="4"/>
      <c r="JSS2" s="4"/>
      <c r="JST2" s="4"/>
      <c r="JSU2" s="4"/>
      <c r="JSV2" s="4"/>
      <c r="JSW2" s="4"/>
      <c r="JSX2" s="4"/>
      <c r="JSY2" s="4"/>
      <c r="JSZ2" s="4"/>
      <c r="JTA2" s="4"/>
      <c r="JTB2" s="4"/>
      <c r="JTC2" s="4"/>
      <c r="JTD2" s="4"/>
      <c r="JTE2" s="4"/>
      <c r="JTF2" s="4"/>
      <c r="JTG2" s="4"/>
      <c r="JTH2" s="4"/>
      <c r="JTI2" s="4"/>
      <c r="JTJ2" s="4"/>
      <c r="JTK2" s="4"/>
      <c r="JTL2" s="4"/>
      <c r="JTM2" s="4"/>
      <c r="JTN2" s="4"/>
      <c r="JTO2" s="4"/>
      <c r="JTP2" s="4"/>
      <c r="JTQ2" s="4"/>
      <c r="JTR2" s="4"/>
      <c r="JTS2" s="4"/>
      <c r="JTT2" s="4"/>
      <c r="JTU2" s="4"/>
      <c r="JTV2" s="4"/>
      <c r="JTW2" s="4"/>
      <c r="JTX2" s="4"/>
      <c r="JTY2" s="4"/>
      <c r="JTZ2" s="4"/>
      <c r="JUA2" s="4"/>
      <c r="JUB2" s="4"/>
      <c r="JUC2" s="4"/>
      <c r="JUD2" s="4"/>
      <c r="JUE2" s="4"/>
      <c r="JUF2" s="4"/>
      <c r="JUG2" s="4"/>
      <c r="JUH2" s="4"/>
      <c r="JUI2" s="4"/>
      <c r="JUJ2" s="4"/>
      <c r="JUK2" s="4"/>
      <c r="JUL2" s="4"/>
      <c r="JUM2" s="4"/>
      <c r="JUN2" s="4"/>
      <c r="JUO2" s="4"/>
      <c r="JUP2" s="4"/>
      <c r="JUQ2" s="4"/>
      <c r="JUR2" s="4"/>
      <c r="JUS2" s="4"/>
      <c r="JUT2" s="4"/>
      <c r="JUU2" s="4"/>
      <c r="JUV2" s="4"/>
      <c r="JUW2" s="4"/>
      <c r="JUX2" s="4"/>
      <c r="JUY2" s="4"/>
      <c r="JUZ2" s="4"/>
      <c r="JVA2" s="4"/>
      <c r="JVB2" s="4"/>
      <c r="JVC2" s="4"/>
      <c r="JVD2" s="4"/>
      <c r="JVE2" s="4"/>
      <c r="JVF2" s="4"/>
      <c r="JVG2" s="4"/>
      <c r="JVH2" s="4"/>
      <c r="JVI2" s="4"/>
      <c r="JVJ2" s="4"/>
      <c r="JVK2" s="4"/>
      <c r="JVL2" s="4"/>
      <c r="JVM2" s="4"/>
      <c r="JVN2" s="4"/>
      <c r="JVO2" s="4"/>
      <c r="JVP2" s="4"/>
      <c r="JVQ2" s="4"/>
      <c r="JVR2" s="4"/>
      <c r="JVS2" s="4"/>
      <c r="JVT2" s="4"/>
      <c r="JVU2" s="4"/>
      <c r="JVV2" s="4"/>
      <c r="JVW2" s="4"/>
      <c r="JVX2" s="4"/>
      <c r="JVY2" s="4"/>
      <c r="JVZ2" s="4"/>
      <c r="JWA2" s="4"/>
      <c r="JWB2" s="4"/>
      <c r="JWC2" s="4"/>
      <c r="JWD2" s="4"/>
      <c r="JWE2" s="4"/>
      <c r="JWF2" s="4"/>
      <c r="JWG2" s="4"/>
      <c r="JWH2" s="4"/>
      <c r="JWI2" s="4"/>
      <c r="JWJ2" s="4"/>
      <c r="JWK2" s="4"/>
      <c r="JWL2" s="4"/>
      <c r="JWM2" s="4"/>
      <c r="JWN2" s="4"/>
      <c r="JWO2" s="4"/>
      <c r="JWP2" s="4"/>
      <c r="JWQ2" s="4"/>
      <c r="JWR2" s="4"/>
      <c r="JWS2" s="4"/>
      <c r="JWT2" s="4"/>
      <c r="JWU2" s="4"/>
      <c r="JWV2" s="4"/>
      <c r="JWW2" s="4"/>
      <c r="JWX2" s="4"/>
      <c r="JWY2" s="4"/>
      <c r="JWZ2" s="4"/>
      <c r="JXA2" s="4"/>
      <c r="JXB2" s="4"/>
      <c r="JXC2" s="4"/>
      <c r="JXD2" s="4"/>
      <c r="JXE2" s="4"/>
      <c r="JXF2" s="4"/>
      <c r="JXG2" s="4"/>
      <c r="JXH2" s="4"/>
      <c r="JXI2" s="4"/>
      <c r="JXJ2" s="4"/>
      <c r="JXK2" s="4"/>
      <c r="JXL2" s="4"/>
      <c r="JXM2" s="4"/>
      <c r="JXN2" s="4"/>
      <c r="JXO2" s="4"/>
      <c r="JXP2" s="4"/>
      <c r="JXQ2" s="4"/>
      <c r="JXR2" s="4"/>
      <c r="JXS2" s="4"/>
      <c r="JXT2" s="4"/>
      <c r="JXU2" s="4"/>
      <c r="JXV2" s="4"/>
      <c r="JXW2" s="4"/>
      <c r="JXX2" s="4"/>
      <c r="JXY2" s="4"/>
      <c r="JXZ2" s="4"/>
      <c r="JYA2" s="4"/>
      <c r="JYB2" s="4"/>
      <c r="JYC2" s="4"/>
      <c r="JYD2" s="4"/>
      <c r="JYE2" s="4"/>
      <c r="JYF2" s="4"/>
      <c r="JYG2" s="4"/>
      <c r="JYH2" s="4"/>
      <c r="JYI2" s="4"/>
      <c r="JYJ2" s="4"/>
      <c r="JYK2" s="4"/>
      <c r="JYL2" s="4"/>
      <c r="JYM2" s="4"/>
      <c r="JYN2" s="4"/>
      <c r="JYO2" s="4"/>
      <c r="JYP2" s="4"/>
      <c r="JYQ2" s="4"/>
      <c r="JYR2" s="4"/>
      <c r="JYS2" s="4"/>
      <c r="JYT2" s="4"/>
      <c r="JYU2" s="4"/>
      <c r="JYV2" s="4"/>
      <c r="JYW2" s="4"/>
      <c r="JYX2" s="4"/>
      <c r="JYY2" s="4"/>
      <c r="JYZ2" s="4"/>
      <c r="JZA2" s="4"/>
      <c r="JZB2" s="4"/>
      <c r="JZC2" s="4"/>
      <c r="JZD2" s="4"/>
      <c r="JZE2" s="4"/>
      <c r="JZF2" s="4"/>
      <c r="JZG2" s="4"/>
      <c r="JZH2" s="4"/>
      <c r="JZI2" s="4"/>
      <c r="JZJ2" s="4"/>
      <c r="JZK2" s="4"/>
      <c r="JZL2" s="4"/>
      <c r="JZM2" s="4"/>
      <c r="JZN2" s="4"/>
      <c r="JZO2" s="4"/>
      <c r="JZP2" s="4"/>
      <c r="JZQ2" s="4"/>
      <c r="JZR2" s="4"/>
      <c r="JZS2" s="4"/>
      <c r="JZT2" s="4"/>
      <c r="JZU2" s="4"/>
      <c r="JZV2" s="4"/>
      <c r="JZW2" s="4"/>
      <c r="JZX2" s="4"/>
      <c r="JZY2" s="4"/>
      <c r="JZZ2" s="4"/>
      <c r="KAA2" s="4"/>
      <c r="KAB2" s="4"/>
      <c r="KAC2" s="4"/>
      <c r="KAD2" s="4"/>
      <c r="KAE2" s="4"/>
      <c r="KAF2" s="4"/>
      <c r="KAG2" s="4"/>
      <c r="KAH2" s="4"/>
      <c r="KAI2" s="4"/>
      <c r="KAJ2" s="4"/>
      <c r="KAK2" s="4"/>
      <c r="KAL2" s="4"/>
      <c r="KAM2" s="4"/>
      <c r="KAN2" s="4"/>
      <c r="KAO2" s="4"/>
      <c r="KAP2" s="4"/>
      <c r="KAQ2" s="4"/>
      <c r="KAR2" s="4"/>
      <c r="KAS2" s="4"/>
      <c r="KAT2" s="4"/>
      <c r="KAU2" s="4"/>
      <c r="KAV2" s="4"/>
      <c r="KAW2" s="4"/>
      <c r="KAX2" s="4"/>
      <c r="KAY2" s="4"/>
      <c r="KAZ2" s="4"/>
      <c r="KBA2" s="4"/>
      <c r="KBB2" s="4"/>
      <c r="KBC2" s="4"/>
      <c r="KBD2" s="4"/>
      <c r="KBE2" s="4"/>
      <c r="KBF2" s="4"/>
      <c r="KBG2" s="4"/>
      <c r="KBH2" s="4"/>
      <c r="KBI2" s="4"/>
      <c r="KBJ2" s="4"/>
      <c r="KBK2" s="4"/>
      <c r="KBL2" s="4"/>
      <c r="KBM2" s="4"/>
      <c r="KBN2" s="4"/>
      <c r="KBO2" s="4"/>
      <c r="KBP2" s="4"/>
      <c r="KBQ2" s="4"/>
      <c r="KBR2" s="4"/>
      <c r="KBS2" s="4"/>
      <c r="KBT2" s="4"/>
      <c r="KBU2" s="4"/>
      <c r="KBV2" s="4"/>
      <c r="KBW2" s="4"/>
      <c r="KBX2" s="4"/>
      <c r="KBY2" s="4"/>
      <c r="KBZ2" s="4"/>
      <c r="KCA2" s="4"/>
      <c r="KCB2" s="4"/>
      <c r="KCC2" s="4"/>
      <c r="KCD2" s="4"/>
      <c r="KCE2" s="4"/>
      <c r="KCF2" s="4"/>
      <c r="KCG2" s="4"/>
      <c r="KCH2" s="4"/>
      <c r="KCI2" s="4"/>
      <c r="KCJ2" s="4"/>
      <c r="KCK2" s="4"/>
      <c r="KCL2" s="4"/>
      <c r="KCM2" s="4"/>
      <c r="KCN2" s="4"/>
      <c r="KCO2" s="4"/>
      <c r="KCP2" s="4"/>
      <c r="KCQ2" s="4"/>
      <c r="KCR2" s="4"/>
      <c r="KCS2" s="4"/>
      <c r="KCT2" s="4"/>
      <c r="KCU2" s="4"/>
      <c r="KCV2" s="4"/>
      <c r="KCW2" s="4"/>
      <c r="KCX2" s="4"/>
      <c r="KCY2" s="4"/>
      <c r="KCZ2" s="4"/>
      <c r="KDA2" s="4"/>
      <c r="KDB2" s="4"/>
      <c r="KDC2" s="4"/>
      <c r="KDD2" s="4"/>
      <c r="KDE2" s="4"/>
      <c r="KDF2" s="4"/>
      <c r="KDG2" s="4"/>
      <c r="KDH2" s="4"/>
      <c r="KDI2" s="4"/>
      <c r="KDJ2" s="4"/>
      <c r="KDK2" s="4"/>
      <c r="KDL2" s="4"/>
      <c r="KDM2" s="4"/>
      <c r="KDN2" s="4"/>
      <c r="KDO2" s="4"/>
      <c r="KDP2" s="4"/>
      <c r="KDQ2" s="4"/>
      <c r="KDR2" s="4"/>
      <c r="KDS2" s="4"/>
      <c r="KDT2" s="4"/>
      <c r="KDU2" s="4"/>
      <c r="KDV2" s="4"/>
      <c r="KDW2" s="4"/>
      <c r="KDX2" s="4"/>
      <c r="KDY2" s="4"/>
      <c r="KDZ2" s="4"/>
      <c r="KEA2" s="4"/>
      <c r="KEB2" s="4"/>
      <c r="KEC2" s="4"/>
      <c r="KED2" s="4"/>
      <c r="KEE2" s="4"/>
      <c r="KEF2" s="4"/>
      <c r="KEG2" s="4"/>
      <c r="KEH2" s="4"/>
      <c r="KEI2" s="4"/>
      <c r="KEJ2" s="4"/>
      <c r="KEK2" s="4"/>
      <c r="KEL2" s="4"/>
      <c r="KEM2" s="4"/>
      <c r="KEN2" s="4"/>
      <c r="KEO2" s="4"/>
      <c r="KEP2" s="4"/>
      <c r="KEQ2" s="4"/>
      <c r="KER2" s="4"/>
      <c r="KES2" s="4"/>
      <c r="KET2" s="4"/>
      <c r="KEU2" s="4"/>
      <c r="KEV2" s="4"/>
      <c r="KEW2" s="4"/>
      <c r="KEX2" s="4"/>
      <c r="KEY2" s="4"/>
      <c r="KEZ2" s="4"/>
      <c r="KFA2" s="4"/>
      <c r="KFB2" s="4"/>
      <c r="KFC2" s="4"/>
      <c r="KFD2" s="4"/>
      <c r="KFE2" s="4"/>
      <c r="KFF2" s="4"/>
      <c r="KFG2" s="4"/>
      <c r="KFH2" s="4"/>
      <c r="KFI2" s="4"/>
      <c r="KFJ2" s="4"/>
      <c r="KFK2" s="4"/>
      <c r="KFL2" s="4"/>
      <c r="KFM2" s="4"/>
      <c r="KFN2" s="4"/>
      <c r="KFO2" s="4"/>
      <c r="KFP2" s="4"/>
      <c r="KFQ2" s="4"/>
      <c r="KFR2" s="4"/>
      <c r="KFS2" s="4"/>
      <c r="KFT2" s="4"/>
      <c r="KFU2" s="4"/>
      <c r="KFV2" s="4"/>
      <c r="KFW2" s="4"/>
      <c r="KFX2" s="4"/>
      <c r="KFY2" s="4"/>
      <c r="KFZ2" s="4"/>
      <c r="KGA2" s="4"/>
      <c r="KGB2" s="4"/>
      <c r="KGC2" s="4"/>
      <c r="KGD2" s="4"/>
      <c r="KGE2" s="4"/>
      <c r="KGF2" s="4"/>
      <c r="KGG2" s="4"/>
      <c r="KGH2" s="4"/>
      <c r="KGI2" s="4"/>
      <c r="KGJ2" s="4"/>
      <c r="KGK2" s="4"/>
      <c r="KGL2" s="4"/>
      <c r="KGM2" s="4"/>
      <c r="KGN2" s="4"/>
      <c r="KGO2" s="4"/>
      <c r="KGP2" s="4"/>
      <c r="KGQ2" s="4"/>
      <c r="KGR2" s="4"/>
      <c r="KGS2" s="4"/>
      <c r="KGT2" s="4"/>
      <c r="KGU2" s="4"/>
      <c r="KGV2" s="4"/>
      <c r="KGW2" s="4"/>
      <c r="KGX2" s="4"/>
      <c r="KGY2" s="4"/>
      <c r="KGZ2" s="4"/>
      <c r="KHA2" s="4"/>
      <c r="KHB2" s="4"/>
      <c r="KHC2" s="4"/>
      <c r="KHD2" s="4"/>
      <c r="KHE2" s="4"/>
      <c r="KHF2" s="4"/>
      <c r="KHG2" s="4"/>
      <c r="KHH2" s="4"/>
      <c r="KHI2" s="4"/>
      <c r="KHJ2" s="4"/>
      <c r="KHK2" s="4"/>
      <c r="KHL2" s="4"/>
      <c r="KHM2" s="4"/>
      <c r="KHN2" s="4"/>
      <c r="KHO2" s="4"/>
      <c r="KHP2" s="4"/>
      <c r="KHQ2" s="4"/>
      <c r="KHR2" s="4"/>
      <c r="KHS2" s="4"/>
      <c r="KHT2" s="4"/>
      <c r="KHU2" s="4"/>
      <c r="KHV2" s="4"/>
      <c r="KHW2" s="4"/>
      <c r="KHX2" s="4"/>
      <c r="KHY2" s="4"/>
      <c r="KHZ2" s="4"/>
      <c r="KIA2" s="4"/>
      <c r="KIB2" s="4"/>
      <c r="KIC2" s="4"/>
      <c r="KID2" s="4"/>
      <c r="KIE2" s="4"/>
      <c r="KIF2" s="4"/>
      <c r="KIG2" s="4"/>
      <c r="KIH2" s="4"/>
      <c r="KII2" s="4"/>
      <c r="KIJ2" s="4"/>
      <c r="KIK2" s="4"/>
      <c r="KIL2" s="4"/>
      <c r="KIM2" s="4"/>
      <c r="KIN2" s="4"/>
      <c r="KIO2" s="4"/>
      <c r="KIP2" s="4"/>
      <c r="KIQ2" s="4"/>
      <c r="KIR2" s="4"/>
      <c r="KIS2" s="4"/>
      <c r="KIT2" s="4"/>
      <c r="KIU2" s="4"/>
      <c r="KIV2" s="4"/>
      <c r="KIW2" s="4"/>
      <c r="KIX2" s="4"/>
      <c r="KIY2" s="4"/>
      <c r="KIZ2" s="4"/>
      <c r="KJA2" s="4"/>
      <c r="KJB2" s="4"/>
      <c r="KJC2" s="4"/>
      <c r="KJD2" s="4"/>
      <c r="KJE2" s="4"/>
      <c r="KJF2" s="4"/>
      <c r="KJG2" s="4"/>
      <c r="KJH2" s="4"/>
      <c r="KJI2" s="4"/>
      <c r="KJJ2" s="4"/>
      <c r="KJK2" s="4"/>
      <c r="KJL2" s="4"/>
      <c r="KJM2" s="4"/>
      <c r="KJN2" s="4"/>
      <c r="KJO2" s="4"/>
      <c r="KJP2" s="4"/>
      <c r="KJQ2" s="4"/>
      <c r="KJR2" s="4"/>
      <c r="KJS2" s="4"/>
      <c r="KJT2" s="4"/>
      <c r="KJU2" s="4"/>
      <c r="KJV2" s="4"/>
      <c r="KJW2" s="4"/>
      <c r="KJX2" s="4"/>
      <c r="KJY2" s="4"/>
      <c r="KJZ2" s="4"/>
      <c r="KKA2" s="4"/>
      <c r="KKB2" s="4"/>
      <c r="KKC2" s="4"/>
      <c r="KKD2" s="4"/>
      <c r="KKE2" s="4"/>
      <c r="KKF2" s="4"/>
      <c r="KKG2" s="4"/>
      <c r="KKH2" s="4"/>
      <c r="KKI2" s="4"/>
      <c r="KKJ2" s="4"/>
      <c r="KKK2" s="4"/>
      <c r="KKL2" s="4"/>
      <c r="KKM2" s="4"/>
      <c r="KKN2" s="4"/>
      <c r="KKO2" s="4"/>
      <c r="KKP2" s="4"/>
      <c r="KKQ2" s="4"/>
      <c r="KKR2" s="4"/>
      <c r="KKS2" s="4"/>
      <c r="KKT2" s="4"/>
      <c r="KKU2" s="4"/>
      <c r="KKV2" s="4"/>
      <c r="KKW2" s="4"/>
      <c r="KKX2" s="4"/>
      <c r="KKY2" s="4"/>
      <c r="KKZ2" s="4"/>
      <c r="KLA2" s="4"/>
      <c r="KLB2" s="4"/>
      <c r="KLC2" s="4"/>
      <c r="KLD2" s="4"/>
      <c r="KLE2" s="4"/>
      <c r="KLF2" s="4"/>
      <c r="KLG2" s="4"/>
      <c r="KLH2" s="4"/>
      <c r="KLI2" s="4"/>
      <c r="KLJ2" s="4"/>
      <c r="KLK2" s="4"/>
      <c r="KLL2" s="4"/>
      <c r="KLM2" s="4"/>
      <c r="KLN2" s="4"/>
      <c r="KLO2" s="4"/>
      <c r="KLP2" s="4"/>
      <c r="KLQ2" s="4"/>
      <c r="KLR2" s="4"/>
      <c r="KLS2" s="4"/>
      <c r="KLT2" s="4"/>
      <c r="KLU2" s="4"/>
      <c r="KLV2" s="4"/>
      <c r="KLW2" s="4"/>
      <c r="KLX2" s="4"/>
      <c r="KLY2" s="4"/>
      <c r="KLZ2" s="4"/>
      <c r="KMA2" s="4"/>
      <c r="KMB2" s="4"/>
      <c r="KMC2" s="4"/>
      <c r="KMD2" s="4"/>
      <c r="KME2" s="4"/>
      <c r="KMF2" s="4"/>
      <c r="KMG2" s="4"/>
      <c r="KMH2" s="4"/>
      <c r="KMI2" s="4"/>
      <c r="KMJ2" s="4"/>
      <c r="KMK2" s="4"/>
      <c r="KML2" s="4"/>
      <c r="KMM2" s="4"/>
      <c r="KMN2" s="4"/>
      <c r="KMO2" s="4"/>
      <c r="KMP2" s="4"/>
      <c r="KMQ2" s="4"/>
      <c r="KMR2" s="4"/>
      <c r="KMS2" s="4"/>
      <c r="KMT2" s="4"/>
      <c r="KMU2" s="4"/>
      <c r="KMV2" s="4"/>
      <c r="KMW2" s="4"/>
      <c r="KMX2" s="4"/>
      <c r="KMY2" s="4"/>
      <c r="KMZ2" s="4"/>
      <c r="KNA2" s="4"/>
      <c r="KNB2" s="4"/>
      <c r="KNC2" s="4"/>
      <c r="KND2" s="4"/>
      <c r="KNE2" s="4"/>
      <c r="KNF2" s="4"/>
      <c r="KNG2" s="4"/>
      <c r="KNH2" s="4"/>
      <c r="KNI2" s="4"/>
      <c r="KNJ2" s="4"/>
      <c r="KNK2" s="4"/>
      <c r="KNL2" s="4"/>
      <c r="KNM2" s="4"/>
      <c r="KNN2" s="4"/>
      <c r="KNO2" s="4"/>
      <c r="KNP2" s="4"/>
      <c r="KNQ2" s="4"/>
      <c r="KNR2" s="4"/>
      <c r="KNS2" s="4"/>
      <c r="KNT2" s="4"/>
      <c r="KNU2" s="4"/>
      <c r="KNV2" s="4"/>
      <c r="KNW2" s="4"/>
      <c r="KNX2" s="4"/>
      <c r="KNY2" s="4"/>
      <c r="KNZ2" s="4"/>
      <c r="KOA2" s="4"/>
      <c r="KOB2" s="4"/>
      <c r="KOC2" s="4"/>
      <c r="KOD2" s="4"/>
      <c r="KOE2" s="4"/>
      <c r="KOF2" s="4"/>
      <c r="KOG2" s="4"/>
      <c r="KOH2" s="4"/>
      <c r="KOI2" s="4"/>
      <c r="KOJ2" s="4"/>
      <c r="KOK2" s="4"/>
      <c r="KOL2" s="4"/>
      <c r="KOM2" s="4"/>
      <c r="KON2" s="4"/>
      <c r="KOO2" s="4"/>
      <c r="KOP2" s="4"/>
      <c r="KOQ2" s="4"/>
      <c r="KOR2" s="4"/>
      <c r="KOS2" s="4"/>
      <c r="KOT2" s="4"/>
      <c r="KOU2" s="4"/>
      <c r="KOV2" s="4"/>
      <c r="KOW2" s="4"/>
      <c r="KOX2" s="4"/>
      <c r="KOY2" s="4"/>
      <c r="KOZ2" s="4"/>
      <c r="KPA2" s="4"/>
      <c r="KPB2" s="4"/>
      <c r="KPC2" s="4"/>
      <c r="KPD2" s="4"/>
      <c r="KPE2" s="4"/>
      <c r="KPF2" s="4"/>
      <c r="KPG2" s="4"/>
      <c r="KPH2" s="4"/>
      <c r="KPI2" s="4"/>
      <c r="KPJ2" s="4"/>
      <c r="KPK2" s="4"/>
      <c r="KPL2" s="4"/>
      <c r="KPM2" s="4"/>
      <c r="KPN2" s="4"/>
      <c r="KPO2" s="4"/>
      <c r="KPP2" s="4"/>
      <c r="KPQ2" s="4"/>
      <c r="KPR2" s="4"/>
      <c r="KPS2" s="4"/>
      <c r="KPT2" s="4"/>
      <c r="KPU2" s="4"/>
      <c r="KPV2" s="4"/>
      <c r="KPW2" s="4"/>
      <c r="KPX2" s="4"/>
      <c r="KPY2" s="4"/>
      <c r="KPZ2" s="4"/>
      <c r="KQA2" s="4"/>
      <c r="KQB2" s="4"/>
      <c r="KQC2" s="4"/>
      <c r="KQD2" s="4"/>
      <c r="KQE2" s="4"/>
      <c r="KQF2" s="4"/>
      <c r="KQG2" s="4"/>
      <c r="KQH2" s="4"/>
      <c r="KQI2" s="4"/>
      <c r="KQJ2" s="4"/>
      <c r="KQK2" s="4"/>
      <c r="KQL2" s="4"/>
      <c r="KQM2" s="4"/>
      <c r="KQN2" s="4"/>
      <c r="KQO2" s="4"/>
      <c r="KQP2" s="4"/>
      <c r="KQQ2" s="4"/>
      <c r="KQR2" s="4"/>
      <c r="KQS2" s="4"/>
      <c r="KQT2" s="4"/>
      <c r="KQU2" s="4"/>
      <c r="KQV2" s="4"/>
      <c r="KQW2" s="4"/>
      <c r="KQX2" s="4"/>
      <c r="KQY2" s="4"/>
      <c r="KQZ2" s="4"/>
      <c r="KRA2" s="4"/>
      <c r="KRB2" s="4"/>
      <c r="KRC2" s="4"/>
      <c r="KRD2" s="4"/>
      <c r="KRE2" s="4"/>
      <c r="KRF2" s="4"/>
      <c r="KRG2" s="4"/>
      <c r="KRH2" s="4"/>
      <c r="KRI2" s="4"/>
      <c r="KRJ2" s="4"/>
      <c r="KRK2" s="4"/>
      <c r="KRL2" s="4"/>
      <c r="KRM2" s="4"/>
      <c r="KRN2" s="4"/>
      <c r="KRO2" s="4"/>
      <c r="KRP2" s="4"/>
      <c r="KRQ2" s="4"/>
      <c r="KRR2" s="4"/>
      <c r="KRS2" s="4"/>
      <c r="KRT2" s="4"/>
      <c r="KRU2" s="4"/>
      <c r="KRV2" s="4"/>
      <c r="KRW2" s="4"/>
      <c r="KRX2" s="4"/>
      <c r="KRY2" s="4"/>
      <c r="KRZ2" s="4"/>
      <c r="KSA2" s="4"/>
      <c r="KSB2" s="4"/>
      <c r="KSC2" s="4"/>
      <c r="KSD2" s="4"/>
      <c r="KSE2" s="4"/>
      <c r="KSF2" s="4"/>
      <c r="KSG2" s="4"/>
      <c r="KSH2" s="4"/>
      <c r="KSI2" s="4"/>
      <c r="KSJ2" s="4"/>
      <c r="KSK2" s="4"/>
      <c r="KSL2" s="4"/>
      <c r="KSM2" s="4"/>
      <c r="KSN2" s="4"/>
      <c r="KSO2" s="4"/>
      <c r="KSP2" s="4"/>
      <c r="KSQ2" s="4"/>
      <c r="KSR2" s="4"/>
      <c r="KSS2" s="4"/>
      <c r="KST2" s="4"/>
      <c r="KSU2" s="4"/>
      <c r="KSV2" s="4"/>
      <c r="KSW2" s="4"/>
      <c r="KSX2" s="4"/>
      <c r="KSY2" s="4"/>
      <c r="KSZ2" s="4"/>
      <c r="KTA2" s="4"/>
      <c r="KTB2" s="4"/>
      <c r="KTC2" s="4"/>
      <c r="KTD2" s="4"/>
      <c r="KTE2" s="4"/>
      <c r="KTF2" s="4"/>
      <c r="KTG2" s="4"/>
      <c r="KTH2" s="4"/>
      <c r="KTI2" s="4"/>
      <c r="KTJ2" s="4"/>
      <c r="KTK2" s="4"/>
      <c r="KTL2" s="4"/>
      <c r="KTM2" s="4"/>
      <c r="KTN2" s="4"/>
      <c r="KTO2" s="4"/>
      <c r="KTP2" s="4"/>
      <c r="KTQ2" s="4"/>
      <c r="KTR2" s="4"/>
      <c r="KTS2" s="4"/>
      <c r="KTT2" s="4"/>
      <c r="KTU2" s="4"/>
      <c r="KTV2" s="4"/>
      <c r="KTW2" s="4"/>
      <c r="KTX2" s="4"/>
      <c r="KTY2" s="4"/>
      <c r="KTZ2" s="4"/>
      <c r="KUA2" s="4"/>
      <c r="KUB2" s="4"/>
      <c r="KUC2" s="4"/>
      <c r="KUD2" s="4"/>
      <c r="KUE2" s="4"/>
      <c r="KUF2" s="4"/>
      <c r="KUG2" s="4"/>
      <c r="KUH2" s="4"/>
      <c r="KUI2" s="4"/>
      <c r="KUJ2" s="4"/>
      <c r="KUK2" s="4"/>
      <c r="KUL2" s="4"/>
      <c r="KUM2" s="4"/>
      <c r="KUN2" s="4"/>
      <c r="KUO2" s="4"/>
      <c r="KUP2" s="4"/>
      <c r="KUQ2" s="4"/>
      <c r="KUR2" s="4"/>
      <c r="KUS2" s="4"/>
      <c r="KUT2" s="4"/>
      <c r="KUU2" s="4"/>
      <c r="KUV2" s="4"/>
      <c r="KUW2" s="4"/>
      <c r="KUX2" s="4"/>
      <c r="KUY2" s="4"/>
      <c r="KUZ2" s="4"/>
      <c r="KVA2" s="4"/>
      <c r="KVB2" s="4"/>
      <c r="KVC2" s="4"/>
      <c r="KVD2" s="4"/>
      <c r="KVE2" s="4"/>
      <c r="KVF2" s="4"/>
      <c r="KVG2" s="4"/>
      <c r="KVH2" s="4"/>
      <c r="KVI2" s="4"/>
      <c r="KVJ2" s="4"/>
      <c r="KVK2" s="4"/>
      <c r="KVL2" s="4"/>
      <c r="KVM2" s="4"/>
      <c r="KVN2" s="4"/>
      <c r="KVO2" s="4"/>
      <c r="KVP2" s="4"/>
      <c r="KVQ2" s="4"/>
      <c r="KVR2" s="4"/>
      <c r="KVS2" s="4"/>
      <c r="KVT2" s="4"/>
      <c r="KVU2" s="4"/>
      <c r="KVV2" s="4"/>
      <c r="KVW2" s="4"/>
      <c r="KVX2" s="4"/>
      <c r="KVY2" s="4"/>
      <c r="KVZ2" s="4"/>
      <c r="KWA2" s="4"/>
      <c r="KWB2" s="4"/>
      <c r="KWC2" s="4"/>
      <c r="KWD2" s="4"/>
      <c r="KWE2" s="4"/>
      <c r="KWF2" s="4"/>
      <c r="KWG2" s="4"/>
      <c r="KWH2" s="4"/>
      <c r="KWI2" s="4"/>
      <c r="KWJ2" s="4"/>
      <c r="KWK2" s="4"/>
      <c r="KWL2" s="4"/>
      <c r="KWM2" s="4"/>
      <c r="KWN2" s="4"/>
      <c r="KWO2" s="4"/>
      <c r="KWP2" s="4"/>
      <c r="KWQ2" s="4"/>
      <c r="KWR2" s="4"/>
      <c r="KWS2" s="4"/>
      <c r="KWT2" s="4"/>
      <c r="KWU2" s="4"/>
      <c r="KWV2" s="4"/>
      <c r="KWW2" s="4"/>
      <c r="KWX2" s="4"/>
      <c r="KWY2" s="4"/>
      <c r="KWZ2" s="4"/>
      <c r="KXA2" s="4"/>
      <c r="KXB2" s="4"/>
      <c r="KXC2" s="4"/>
      <c r="KXD2" s="4"/>
      <c r="KXE2" s="4"/>
      <c r="KXF2" s="4"/>
      <c r="KXG2" s="4"/>
      <c r="KXH2" s="4"/>
      <c r="KXI2" s="4"/>
      <c r="KXJ2" s="4"/>
      <c r="KXK2" s="4"/>
      <c r="KXL2" s="4"/>
      <c r="KXM2" s="4"/>
      <c r="KXN2" s="4"/>
      <c r="KXO2" s="4"/>
      <c r="KXP2" s="4"/>
      <c r="KXQ2" s="4"/>
      <c r="KXR2" s="4"/>
      <c r="KXS2" s="4"/>
      <c r="KXT2" s="4"/>
      <c r="KXU2" s="4"/>
      <c r="KXV2" s="4"/>
      <c r="KXW2" s="4"/>
      <c r="KXX2" s="4"/>
      <c r="KXY2" s="4"/>
      <c r="KXZ2" s="4"/>
      <c r="KYA2" s="4"/>
      <c r="KYB2" s="4"/>
      <c r="KYC2" s="4"/>
      <c r="KYD2" s="4"/>
      <c r="KYE2" s="4"/>
      <c r="KYF2" s="4"/>
      <c r="KYG2" s="4"/>
      <c r="KYH2" s="4"/>
      <c r="KYI2" s="4"/>
      <c r="KYJ2" s="4"/>
      <c r="KYK2" s="4"/>
      <c r="KYL2" s="4"/>
      <c r="KYM2" s="4"/>
      <c r="KYN2" s="4"/>
      <c r="KYO2" s="4"/>
      <c r="KYP2" s="4"/>
      <c r="KYQ2" s="4"/>
      <c r="KYR2" s="4"/>
      <c r="KYS2" s="4"/>
      <c r="KYT2" s="4"/>
      <c r="KYU2" s="4"/>
      <c r="KYV2" s="4"/>
      <c r="KYW2" s="4"/>
      <c r="KYX2" s="4"/>
      <c r="KYY2" s="4"/>
      <c r="KYZ2" s="4"/>
      <c r="KZA2" s="4"/>
      <c r="KZB2" s="4"/>
      <c r="KZC2" s="4"/>
      <c r="KZD2" s="4"/>
      <c r="KZE2" s="4"/>
      <c r="KZF2" s="4"/>
      <c r="KZG2" s="4"/>
      <c r="KZH2" s="4"/>
      <c r="KZI2" s="4"/>
      <c r="KZJ2" s="4"/>
      <c r="KZK2" s="4"/>
      <c r="KZL2" s="4"/>
      <c r="KZM2" s="4"/>
      <c r="KZN2" s="4"/>
      <c r="KZO2" s="4"/>
      <c r="KZP2" s="4"/>
      <c r="KZQ2" s="4"/>
      <c r="KZR2" s="4"/>
      <c r="KZS2" s="4"/>
      <c r="KZT2" s="4"/>
      <c r="KZU2" s="4"/>
      <c r="KZV2" s="4"/>
      <c r="KZW2" s="4"/>
      <c r="KZX2" s="4"/>
      <c r="KZY2" s="4"/>
      <c r="KZZ2" s="4"/>
      <c r="LAA2" s="4"/>
      <c r="LAB2" s="4"/>
      <c r="LAC2" s="4"/>
      <c r="LAD2" s="4"/>
      <c r="LAE2" s="4"/>
      <c r="LAF2" s="4"/>
      <c r="LAG2" s="4"/>
      <c r="LAH2" s="4"/>
      <c r="LAI2" s="4"/>
      <c r="LAJ2" s="4"/>
      <c r="LAK2" s="4"/>
      <c r="LAL2" s="4"/>
      <c r="LAM2" s="4"/>
      <c r="LAN2" s="4"/>
      <c r="LAO2" s="4"/>
      <c r="LAP2" s="4"/>
      <c r="LAQ2" s="4"/>
      <c r="LAR2" s="4"/>
      <c r="LAS2" s="4"/>
      <c r="LAT2" s="4"/>
      <c r="LAU2" s="4"/>
      <c r="LAV2" s="4"/>
      <c r="LAW2" s="4"/>
      <c r="LAX2" s="4"/>
      <c r="LAY2" s="4"/>
      <c r="LAZ2" s="4"/>
      <c r="LBA2" s="4"/>
      <c r="LBB2" s="4"/>
      <c r="LBC2" s="4"/>
      <c r="LBD2" s="4"/>
      <c r="LBE2" s="4"/>
      <c r="LBF2" s="4"/>
      <c r="LBG2" s="4"/>
      <c r="LBH2" s="4"/>
      <c r="LBI2" s="4"/>
      <c r="LBJ2" s="4"/>
      <c r="LBK2" s="4"/>
      <c r="LBL2" s="4"/>
      <c r="LBM2" s="4"/>
      <c r="LBN2" s="4"/>
      <c r="LBO2" s="4"/>
      <c r="LBP2" s="4"/>
      <c r="LBQ2" s="4"/>
      <c r="LBR2" s="4"/>
      <c r="LBS2" s="4"/>
      <c r="LBT2" s="4"/>
      <c r="LBU2" s="4"/>
      <c r="LBV2" s="4"/>
      <c r="LBW2" s="4"/>
      <c r="LBX2" s="4"/>
      <c r="LBY2" s="4"/>
      <c r="LBZ2" s="4"/>
      <c r="LCA2" s="4"/>
      <c r="LCB2" s="4"/>
      <c r="LCC2" s="4"/>
      <c r="LCD2" s="4"/>
      <c r="LCE2" s="4"/>
      <c r="LCF2" s="4"/>
      <c r="LCG2" s="4"/>
      <c r="LCH2" s="4"/>
      <c r="LCI2" s="4"/>
      <c r="LCJ2" s="4"/>
      <c r="LCK2" s="4"/>
      <c r="LCL2" s="4"/>
      <c r="LCM2" s="4"/>
      <c r="LCN2" s="4"/>
      <c r="LCO2" s="4"/>
      <c r="LCP2" s="4"/>
      <c r="LCQ2" s="4"/>
      <c r="LCR2" s="4"/>
      <c r="LCS2" s="4"/>
      <c r="LCT2" s="4"/>
      <c r="LCU2" s="4"/>
      <c r="LCV2" s="4"/>
      <c r="LCW2" s="4"/>
      <c r="LCX2" s="4"/>
      <c r="LCY2" s="4"/>
      <c r="LCZ2" s="4"/>
      <c r="LDA2" s="4"/>
      <c r="LDB2" s="4"/>
      <c r="LDC2" s="4"/>
      <c r="LDD2" s="4"/>
      <c r="LDE2" s="4"/>
      <c r="LDF2" s="4"/>
      <c r="LDG2" s="4"/>
      <c r="LDH2" s="4"/>
      <c r="LDI2" s="4"/>
      <c r="LDJ2" s="4"/>
      <c r="LDK2" s="4"/>
      <c r="LDL2" s="4"/>
      <c r="LDM2" s="4"/>
      <c r="LDN2" s="4"/>
      <c r="LDO2" s="4"/>
      <c r="LDP2" s="4"/>
      <c r="LDQ2" s="4"/>
      <c r="LDR2" s="4"/>
      <c r="LDS2" s="4"/>
      <c r="LDT2" s="4"/>
      <c r="LDU2" s="4"/>
      <c r="LDV2" s="4"/>
      <c r="LDW2" s="4"/>
      <c r="LDX2" s="4"/>
      <c r="LDY2" s="4"/>
      <c r="LDZ2" s="4"/>
      <c r="LEA2" s="4"/>
      <c r="LEB2" s="4"/>
      <c r="LEC2" s="4"/>
      <c r="LED2" s="4"/>
      <c r="LEE2" s="4"/>
      <c r="LEF2" s="4"/>
      <c r="LEG2" s="4"/>
      <c r="LEH2" s="4"/>
      <c r="LEI2" s="4"/>
      <c r="LEJ2" s="4"/>
      <c r="LEK2" s="4"/>
      <c r="LEL2" s="4"/>
      <c r="LEM2" s="4"/>
      <c r="LEN2" s="4"/>
      <c r="LEO2" s="4"/>
      <c r="LEP2" s="4"/>
      <c r="LEQ2" s="4"/>
      <c r="LER2" s="4"/>
      <c r="LES2" s="4"/>
      <c r="LET2" s="4"/>
      <c r="LEU2" s="4"/>
      <c r="LEV2" s="4"/>
      <c r="LEW2" s="4"/>
      <c r="LEX2" s="4"/>
      <c r="LEY2" s="4"/>
      <c r="LEZ2" s="4"/>
      <c r="LFA2" s="4"/>
      <c r="LFB2" s="4"/>
      <c r="LFC2" s="4"/>
      <c r="LFD2" s="4"/>
      <c r="LFE2" s="4"/>
      <c r="LFF2" s="4"/>
      <c r="LFG2" s="4"/>
      <c r="LFH2" s="4"/>
      <c r="LFI2" s="4"/>
      <c r="LFJ2" s="4"/>
      <c r="LFK2" s="4"/>
      <c r="LFL2" s="4"/>
      <c r="LFM2" s="4"/>
      <c r="LFN2" s="4"/>
      <c r="LFO2" s="4"/>
      <c r="LFP2" s="4"/>
      <c r="LFQ2" s="4"/>
      <c r="LFR2" s="4"/>
      <c r="LFS2" s="4"/>
      <c r="LFT2" s="4"/>
      <c r="LFU2" s="4"/>
      <c r="LFV2" s="4"/>
      <c r="LFW2" s="4"/>
      <c r="LFX2" s="4"/>
      <c r="LFY2" s="4"/>
      <c r="LFZ2" s="4"/>
      <c r="LGA2" s="4"/>
      <c r="LGB2" s="4"/>
      <c r="LGC2" s="4"/>
      <c r="LGD2" s="4"/>
      <c r="LGE2" s="4"/>
      <c r="LGF2" s="4"/>
      <c r="LGG2" s="4"/>
      <c r="LGH2" s="4"/>
      <c r="LGI2" s="4"/>
      <c r="LGJ2" s="4"/>
      <c r="LGK2" s="4"/>
      <c r="LGL2" s="4"/>
      <c r="LGM2" s="4"/>
      <c r="LGN2" s="4"/>
      <c r="LGO2" s="4"/>
      <c r="LGP2" s="4"/>
      <c r="LGQ2" s="4"/>
      <c r="LGR2" s="4"/>
      <c r="LGS2" s="4"/>
      <c r="LGT2" s="4"/>
      <c r="LGU2" s="4"/>
      <c r="LGV2" s="4"/>
      <c r="LGW2" s="4"/>
      <c r="LGX2" s="4"/>
      <c r="LGY2" s="4"/>
      <c r="LGZ2" s="4"/>
      <c r="LHA2" s="4"/>
      <c r="LHB2" s="4"/>
      <c r="LHC2" s="4"/>
      <c r="LHD2" s="4"/>
      <c r="LHE2" s="4"/>
      <c r="LHF2" s="4"/>
      <c r="LHG2" s="4"/>
      <c r="LHH2" s="4"/>
      <c r="LHI2" s="4"/>
      <c r="LHJ2" s="4"/>
      <c r="LHK2" s="4"/>
      <c r="LHL2" s="4"/>
      <c r="LHM2" s="4"/>
      <c r="LHN2" s="4"/>
      <c r="LHO2" s="4"/>
      <c r="LHP2" s="4"/>
      <c r="LHQ2" s="4"/>
      <c r="LHR2" s="4"/>
      <c r="LHS2" s="4"/>
      <c r="LHT2" s="4"/>
      <c r="LHU2" s="4"/>
      <c r="LHV2" s="4"/>
      <c r="LHW2" s="4"/>
      <c r="LHX2" s="4"/>
      <c r="LHY2" s="4"/>
      <c r="LHZ2" s="4"/>
      <c r="LIA2" s="4"/>
      <c r="LIB2" s="4"/>
      <c r="LIC2" s="4"/>
      <c r="LID2" s="4"/>
      <c r="LIE2" s="4"/>
      <c r="LIF2" s="4"/>
      <c r="LIG2" s="4"/>
      <c r="LIH2" s="4"/>
      <c r="LII2" s="4"/>
      <c r="LIJ2" s="4"/>
      <c r="LIK2" s="4"/>
      <c r="LIL2" s="4"/>
      <c r="LIM2" s="4"/>
      <c r="LIN2" s="4"/>
      <c r="LIO2" s="4"/>
      <c r="LIP2" s="4"/>
      <c r="LIQ2" s="4"/>
      <c r="LIR2" s="4"/>
      <c r="LIS2" s="4"/>
      <c r="LIT2" s="4"/>
      <c r="LIU2" s="4"/>
      <c r="LIV2" s="4"/>
      <c r="LIW2" s="4"/>
      <c r="LIX2" s="4"/>
      <c r="LIY2" s="4"/>
      <c r="LIZ2" s="4"/>
      <c r="LJA2" s="4"/>
      <c r="LJB2" s="4"/>
      <c r="LJC2" s="4"/>
      <c r="LJD2" s="4"/>
      <c r="LJE2" s="4"/>
      <c r="LJF2" s="4"/>
      <c r="LJG2" s="4"/>
      <c r="LJH2" s="4"/>
      <c r="LJI2" s="4"/>
      <c r="LJJ2" s="4"/>
      <c r="LJK2" s="4"/>
      <c r="LJL2" s="4"/>
      <c r="LJM2" s="4"/>
      <c r="LJN2" s="4"/>
      <c r="LJO2" s="4"/>
      <c r="LJP2" s="4"/>
      <c r="LJQ2" s="4"/>
      <c r="LJR2" s="4"/>
      <c r="LJS2" s="4"/>
      <c r="LJT2" s="4"/>
      <c r="LJU2" s="4"/>
      <c r="LJV2" s="4"/>
      <c r="LJW2" s="4"/>
      <c r="LJX2" s="4"/>
      <c r="LJY2" s="4"/>
      <c r="LJZ2" s="4"/>
      <c r="LKA2" s="4"/>
      <c r="LKB2" s="4"/>
      <c r="LKC2" s="4"/>
      <c r="LKD2" s="4"/>
      <c r="LKE2" s="4"/>
      <c r="LKF2" s="4"/>
      <c r="LKG2" s="4"/>
      <c r="LKH2" s="4"/>
      <c r="LKI2" s="4"/>
      <c r="LKJ2" s="4"/>
      <c r="LKK2" s="4"/>
      <c r="LKL2" s="4"/>
      <c r="LKM2" s="4"/>
      <c r="LKN2" s="4"/>
      <c r="LKO2" s="4"/>
      <c r="LKP2" s="4"/>
      <c r="LKQ2" s="4"/>
      <c r="LKR2" s="4"/>
      <c r="LKS2" s="4"/>
      <c r="LKT2" s="4"/>
      <c r="LKU2" s="4"/>
      <c r="LKV2" s="4"/>
      <c r="LKW2" s="4"/>
      <c r="LKX2" s="4"/>
      <c r="LKY2" s="4"/>
      <c r="LKZ2" s="4"/>
      <c r="LLA2" s="4"/>
      <c r="LLB2" s="4"/>
      <c r="LLC2" s="4"/>
      <c r="LLD2" s="4"/>
      <c r="LLE2" s="4"/>
      <c r="LLF2" s="4"/>
      <c r="LLG2" s="4"/>
      <c r="LLH2" s="4"/>
      <c r="LLI2" s="4"/>
      <c r="LLJ2" s="4"/>
      <c r="LLK2" s="4"/>
      <c r="LLL2" s="4"/>
      <c r="LLM2" s="4"/>
      <c r="LLN2" s="4"/>
      <c r="LLO2" s="4"/>
      <c r="LLP2" s="4"/>
      <c r="LLQ2" s="4"/>
      <c r="LLR2" s="4"/>
      <c r="LLS2" s="4"/>
      <c r="LLT2" s="4"/>
      <c r="LLU2" s="4"/>
      <c r="LLV2" s="4"/>
      <c r="LLW2" s="4"/>
      <c r="LLX2" s="4"/>
      <c r="LLY2" s="4"/>
      <c r="LLZ2" s="4"/>
      <c r="LMA2" s="4"/>
      <c r="LMB2" s="4"/>
      <c r="LMC2" s="4"/>
      <c r="LMD2" s="4"/>
      <c r="LME2" s="4"/>
      <c r="LMF2" s="4"/>
      <c r="LMG2" s="4"/>
      <c r="LMH2" s="4"/>
      <c r="LMI2" s="4"/>
      <c r="LMJ2" s="4"/>
      <c r="LMK2" s="4"/>
      <c r="LML2" s="4"/>
      <c r="LMM2" s="4"/>
      <c r="LMN2" s="4"/>
      <c r="LMO2" s="4"/>
      <c r="LMP2" s="4"/>
      <c r="LMQ2" s="4"/>
      <c r="LMR2" s="4"/>
      <c r="LMS2" s="4"/>
      <c r="LMT2" s="4"/>
      <c r="LMU2" s="4"/>
      <c r="LMV2" s="4"/>
      <c r="LMW2" s="4"/>
      <c r="LMX2" s="4"/>
      <c r="LMY2" s="4"/>
      <c r="LMZ2" s="4"/>
      <c r="LNA2" s="4"/>
      <c r="LNB2" s="4"/>
      <c r="LNC2" s="4"/>
      <c r="LND2" s="4"/>
      <c r="LNE2" s="4"/>
      <c r="LNF2" s="4"/>
      <c r="LNG2" s="4"/>
      <c r="LNH2" s="4"/>
      <c r="LNI2" s="4"/>
      <c r="LNJ2" s="4"/>
      <c r="LNK2" s="4"/>
      <c r="LNL2" s="4"/>
      <c r="LNM2" s="4"/>
      <c r="LNN2" s="4"/>
      <c r="LNO2" s="4"/>
      <c r="LNP2" s="4"/>
      <c r="LNQ2" s="4"/>
      <c r="LNR2" s="4"/>
      <c r="LNS2" s="4"/>
      <c r="LNT2" s="4"/>
      <c r="LNU2" s="4"/>
      <c r="LNV2" s="4"/>
      <c r="LNW2" s="4"/>
      <c r="LNX2" s="4"/>
      <c r="LNY2" s="4"/>
      <c r="LNZ2" s="4"/>
      <c r="LOA2" s="4"/>
      <c r="LOB2" s="4"/>
      <c r="LOC2" s="4"/>
      <c r="LOD2" s="4"/>
      <c r="LOE2" s="4"/>
      <c r="LOF2" s="4"/>
      <c r="LOG2" s="4"/>
      <c r="LOH2" s="4"/>
      <c r="LOI2" s="4"/>
      <c r="LOJ2" s="4"/>
      <c r="LOK2" s="4"/>
      <c r="LOL2" s="4"/>
      <c r="LOM2" s="4"/>
      <c r="LON2" s="4"/>
      <c r="LOO2" s="4"/>
      <c r="LOP2" s="4"/>
      <c r="LOQ2" s="4"/>
      <c r="LOR2" s="4"/>
      <c r="LOS2" s="4"/>
      <c r="LOT2" s="4"/>
      <c r="LOU2" s="4"/>
      <c r="LOV2" s="4"/>
      <c r="LOW2" s="4"/>
      <c r="LOX2" s="4"/>
      <c r="LOY2" s="4"/>
      <c r="LOZ2" s="4"/>
      <c r="LPA2" s="4"/>
      <c r="LPB2" s="4"/>
      <c r="LPC2" s="4"/>
      <c r="LPD2" s="4"/>
      <c r="LPE2" s="4"/>
      <c r="LPF2" s="4"/>
      <c r="LPG2" s="4"/>
      <c r="LPH2" s="4"/>
      <c r="LPI2" s="4"/>
      <c r="LPJ2" s="4"/>
      <c r="LPK2" s="4"/>
      <c r="LPL2" s="4"/>
      <c r="LPM2" s="4"/>
      <c r="LPN2" s="4"/>
      <c r="LPO2" s="4"/>
      <c r="LPP2" s="4"/>
      <c r="LPQ2" s="4"/>
      <c r="LPR2" s="4"/>
      <c r="LPS2" s="4"/>
      <c r="LPT2" s="4"/>
      <c r="LPU2" s="4"/>
      <c r="LPV2" s="4"/>
      <c r="LPW2" s="4"/>
      <c r="LPX2" s="4"/>
      <c r="LPY2" s="4"/>
      <c r="LPZ2" s="4"/>
      <c r="LQA2" s="4"/>
      <c r="LQB2" s="4"/>
      <c r="LQC2" s="4"/>
      <c r="LQD2" s="4"/>
      <c r="LQE2" s="4"/>
      <c r="LQF2" s="4"/>
      <c r="LQG2" s="4"/>
      <c r="LQH2" s="4"/>
      <c r="LQI2" s="4"/>
      <c r="LQJ2" s="4"/>
      <c r="LQK2" s="4"/>
      <c r="LQL2" s="4"/>
      <c r="LQM2" s="4"/>
      <c r="LQN2" s="4"/>
      <c r="LQO2" s="4"/>
      <c r="LQP2" s="4"/>
      <c r="LQQ2" s="4"/>
      <c r="LQR2" s="4"/>
      <c r="LQS2" s="4"/>
      <c r="LQT2" s="4"/>
      <c r="LQU2" s="4"/>
      <c r="LQV2" s="4"/>
      <c r="LQW2" s="4"/>
      <c r="LQX2" s="4"/>
      <c r="LQY2" s="4"/>
      <c r="LQZ2" s="4"/>
      <c r="LRA2" s="4"/>
      <c r="LRB2" s="4"/>
      <c r="LRC2" s="4"/>
      <c r="LRD2" s="4"/>
      <c r="LRE2" s="4"/>
      <c r="LRF2" s="4"/>
      <c r="LRG2" s="4"/>
      <c r="LRH2" s="4"/>
      <c r="LRI2" s="4"/>
      <c r="LRJ2" s="4"/>
      <c r="LRK2" s="4"/>
      <c r="LRL2" s="4"/>
      <c r="LRM2" s="4"/>
      <c r="LRN2" s="4"/>
      <c r="LRO2" s="4"/>
      <c r="LRP2" s="4"/>
      <c r="LRQ2" s="4"/>
      <c r="LRR2" s="4"/>
      <c r="LRS2" s="4"/>
      <c r="LRT2" s="4"/>
      <c r="LRU2" s="4"/>
      <c r="LRV2" s="4"/>
      <c r="LRW2" s="4"/>
      <c r="LRX2" s="4"/>
      <c r="LRY2" s="4"/>
      <c r="LRZ2" s="4"/>
      <c r="LSA2" s="4"/>
      <c r="LSB2" s="4"/>
      <c r="LSC2" s="4"/>
      <c r="LSD2" s="4"/>
      <c r="LSE2" s="4"/>
      <c r="LSF2" s="4"/>
      <c r="LSG2" s="4"/>
      <c r="LSH2" s="4"/>
      <c r="LSI2" s="4"/>
      <c r="LSJ2" s="4"/>
      <c r="LSK2" s="4"/>
      <c r="LSL2" s="4"/>
      <c r="LSM2" s="4"/>
      <c r="LSN2" s="4"/>
      <c r="LSO2" s="4"/>
      <c r="LSP2" s="4"/>
      <c r="LSQ2" s="4"/>
      <c r="LSR2" s="4"/>
      <c r="LSS2" s="4"/>
      <c r="LST2" s="4"/>
      <c r="LSU2" s="4"/>
      <c r="LSV2" s="4"/>
      <c r="LSW2" s="4"/>
      <c r="LSX2" s="4"/>
      <c r="LSY2" s="4"/>
      <c r="LSZ2" s="4"/>
      <c r="LTA2" s="4"/>
      <c r="LTB2" s="4"/>
      <c r="LTC2" s="4"/>
      <c r="LTD2" s="4"/>
      <c r="LTE2" s="4"/>
      <c r="LTF2" s="4"/>
      <c r="LTG2" s="4"/>
      <c r="LTH2" s="4"/>
      <c r="LTI2" s="4"/>
      <c r="LTJ2" s="4"/>
      <c r="LTK2" s="4"/>
      <c r="LTL2" s="4"/>
      <c r="LTM2" s="4"/>
      <c r="LTN2" s="4"/>
      <c r="LTO2" s="4"/>
      <c r="LTP2" s="4"/>
      <c r="LTQ2" s="4"/>
      <c r="LTR2" s="4"/>
      <c r="LTS2" s="4"/>
      <c r="LTT2" s="4"/>
      <c r="LTU2" s="4"/>
      <c r="LTV2" s="4"/>
      <c r="LTW2" s="4"/>
      <c r="LTX2" s="4"/>
      <c r="LTY2" s="4"/>
      <c r="LTZ2" s="4"/>
      <c r="LUA2" s="4"/>
      <c r="LUB2" s="4"/>
      <c r="LUC2" s="4"/>
      <c r="LUD2" s="4"/>
      <c r="LUE2" s="4"/>
      <c r="LUF2" s="4"/>
      <c r="LUG2" s="4"/>
      <c r="LUH2" s="4"/>
      <c r="LUI2" s="4"/>
      <c r="LUJ2" s="4"/>
      <c r="LUK2" s="4"/>
      <c r="LUL2" s="4"/>
      <c r="LUM2" s="4"/>
      <c r="LUN2" s="4"/>
      <c r="LUO2" s="4"/>
      <c r="LUP2" s="4"/>
      <c r="LUQ2" s="4"/>
      <c r="LUR2" s="4"/>
      <c r="LUS2" s="4"/>
      <c r="LUT2" s="4"/>
      <c r="LUU2" s="4"/>
      <c r="LUV2" s="4"/>
      <c r="LUW2" s="4"/>
      <c r="LUX2" s="4"/>
      <c r="LUY2" s="4"/>
      <c r="LUZ2" s="4"/>
      <c r="LVA2" s="4"/>
      <c r="LVB2" s="4"/>
      <c r="LVC2" s="4"/>
      <c r="LVD2" s="4"/>
      <c r="LVE2" s="4"/>
      <c r="LVF2" s="4"/>
      <c r="LVG2" s="4"/>
      <c r="LVH2" s="4"/>
      <c r="LVI2" s="4"/>
      <c r="LVJ2" s="4"/>
      <c r="LVK2" s="4"/>
      <c r="LVL2" s="4"/>
      <c r="LVM2" s="4"/>
      <c r="LVN2" s="4"/>
      <c r="LVO2" s="4"/>
      <c r="LVP2" s="4"/>
      <c r="LVQ2" s="4"/>
      <c r="LVR2" s="4"/>
      <c r="LVS2" s="4"/>
      <c r="LVT2" s="4"/>
      <c r="LVU2" s="4"/>
      <c r="LVV2" s="4"/>
      <c r="LVW2" s="4"/>
      <c r="LVX2" s="4"/>
      <c r="LVY2" s="4"/>
      <c r="LVZ2" s="4"/>
      <c r="LWA2" s="4"/>
      <c r="LWB2" s="4"/>
      <c r="LWC2" s="4"/>
      <c r="LWD2" s="4"/>
      <c r="LWE2" s="4"/>
      <c r="LWF2" s="4"/>
      <c r="LWG2" s="4"/>
      <c r="LWH2" s="4"/>
      <c r="LWI2" s="4"/>
      <c r="LWJ2" s="4"/>
      <c r="LWK2" s="4"/>
      <c r="LWL2" s="4"/>
      <c r="LWM2" s="4"/>
      <c r="LWN2" s="4"/>
      <c r="LWO2" s="4"/>
      <c r="LWP2" s="4"/>
      <c r="LWQ2" s="4"/>
      <c r="LWR2" s="4"/>
      <c r="LWS2" s="4"/>
      <c r="LWT2" s="4"/>
      <c r="LWU2" s="4"/>
      <c r="LWV2" s="4"/>
      <c r="LWW2" s="4"/>
      <c r="LWX2" s="4"/>
      <c r="LWY2" s="4"/>
      <c r="LWZ2" s="4"/>
      <c r="LXA2" s="4"/>
      <c r="LXB2" s="4"/>
      <c r="LXC2" s="4"/>
      <c r="LXD2" s="4"/>
      <c r="LXE2" s="4"/>
      <c r="LXF2" s="4"/>
      <c r="LXG2" s="4"/>
      <c r="LXH2" s="4"/>
      <c r="LXI2" s="4"/>
      <c r="LXJ2" s="4"/>
      <c r="LXK2" s="4"/>
      <c r="LXL2" s="4"/>
      <c r="LXM2" s="4"/>
      <c r="LXN2" s="4"/>
      <c r="LXO2" s="4"/>
      <c r="LXP2" s="4"/>
      <c r="LXQ2" s="4"/>
      <c r="LXR2" s="4"/>
      <c r="LXS2" s="4"/>
      <c r="LXT2" s="4"/>
      <c r="LXU2" s="4"/>
      <c r="LXV2" s="4"/>
      <c r="LXW2" s="4"/>
      <c r="LXX2" s="4"/>
      <c r="LXY2" s="4"/>
      <c r="LXZ2" s="4"/>
      <c r="LYA2" s="4"/>
      <c r="LYB2" s="4"/>
      <c r="LYC2" s="4"/>
      <c r="LYD2" s="4"/>
      <c r="LYE2" s="4"/>
      <c r="LYF2" s="4"/>
      <c r="LYG2" s="4"/>
      <c r="LYH2" s="4"/>
      <c r="LYI2" s="4"/>
      <c r="LYJ2" s="4"/>
      <c r="LYK2" s="4"/>
      <c r="LYL2" s="4"/>
      <c r="LYM2" s="4"/>
      <c r="LYN2" s="4"/>
      <c r="LYO2" s="4"/>
      <c r="LYP2" s="4"/>
      <c r="LYQ2" s="4"/>
      <c r="LYR2" s="4"/>
      <c r="LYS2" s="4"/>
      <c r="LYT2" s="4"/>
      <c r="LYU2" s="4"/>
      <c r="LYV2" s="4"/>
      <c r="LYW2" s="4"/>
      <c r="LYX2" s="4"/>
      <c r="LYY2" s="4"/>
      <c r="LYZ2" s="4"/>
      <c r="LZA2" s="4"/>
      <c r="LZB2" s="4"/>
      <c r="LZC2" s="4"/>
      <c r="LZD2" s="4"/>
      <c r="LZE2" s="4"/>
      <c r="LZF2" s="4"/>
      <c r="LZG2" s="4"/>
      <c r="LZH2" s="4"/>
      <c r="LZI2" s="4"/>
      <c r="LZJ2" s="4"/>
      <c r="LZK2" s="4"/>
      <c r="LZL2" s="4"/>
      <c r="LZM2" s="4"/>
      <c r="LZN2" s="4"/>
      <c r="LZO2" s="4"/>
      <c r="LZP2" s="4"/>
      <c r="LZQ2" s="4"/>
      <c r="LZR2" s="4"/>
      <c r="LZS2" s="4"/>
      <c r="LZT2" s="4"/>
      <c r="LZU2" s="4"/>
      <c r="LZV2" s="4"/>
      <c r="LZW2" s="4"/>
      <c r="LZX2" s="4"/>
      <c r="LZY2" s="4"/>
      <c r="LZZ2" s="4"/>
      <c r="MAA2" s="4"/>
      <c r="MAB2" s="4"/>
      <c r="MAC2" s="4"/>
      <c r="MAD2" s="4"/>
      <c r="MAE2" s="4"/>
      <c r="MAF2" s="4"/>
      <c r="MAG2" s="4"/>
      <c r="MAH2" s="4"/>
      <c r="MAI2" s="4"/>
      <c r="MAJ2" s="4"/>
      <c r="MAK2" s="4"/>
      <c r="MAL2" s="4"/>
      <c r="MAM2" s="4"/>
      <c r="MAN2" s="4"/>
      <c r="MAO2" s="4"/>
      <c r="MAP2" s="4"/>
      <c r="MAQ2" s="4"/>
      <c r="MAR2" s="4"/>
      <c r="MAS2" s="4"/>
      <c r="MAT2" s="4"/>
      <c r="MAU2" s="4"/>
      <c r="MAV2" s="4"/>
      <c r="MAW2" s="4"/>
      <c r="MAX2" s="4"/>
      <c r="MAY2" s="4"/>
      <c r="MAZ2" s="4"/>
      <c r="MBA2" s="4"/>
      <c r="MBB2" s="4"/>
      <c r="MBC2" s="4"/>
      <c r="MBD2" s="4"/>
      <c r="MBE2" s="4"/>
      <c r="MBF2" s="4"/>
      <c r="MBG2" s="4"/>
      <c r="MBH2" s="4"/>
      <c r="MBI2" s="4"/>
      <c r="MBJ2" s="4"/>
      <c r="MBK2" s="4"/>
      <c r="MBL2" s="4"/>
      <c r="MBM2" s="4"/>
      <c r="MBN2" s="4"/>
      <c r="MBO2" s="4"/>
      <c r="MBP2" s="4"/>
      <c r="MBQ2" s="4"/>
      <c r="MBR2" s="4"/>
      <c r="MBS2" s="4"/>
      <c r="MBT2" s="4"/>
      <c r="MBU2" s="4"/>
      <c r="MBV2" s="4"/>
      <c r="MBW2" s="4"/>
      <c r="MBX2" s="4"/>
      <c r="MBY2" s="4"/>
      <c r="MBZ2" s="4"/>
      <c r="MCA2" s="4"/>
      <c r="MCB2" s="4"/>
      <c r="MCC2" s="4"/>
      <c r="MCD2" s="4"/>
      <c r="MCE2" s="4"/>
      <c r="MCF2" s="4"/>
      <c r="MCG2" s="4"/>
      <c r="MCH2" s="4"/>
      <c r="MCI2" s="4"/>
      <c r="MCJ2" s="4"/>
      <c r="MCK2" s="4"/>
      <c r="MCL2" s="4"/>
      <c r="MCM2" s="4"/>
      <c r="MCN2" s="4"/>
      <c r="MCO2" s="4"/>
      <c r="MCP2" s="4"/>
      <c r="MCQ2" s="4"/>
      <c r="MCR2" s="4"/>
      <c r="MCS2" s="4"/>
      <c r="MCT2" s="4"/>
      <c r="MCU2" s="4"/>
      <c r="MCV2" s="4"/>
      <c r="MCW2" s="4"/>
      <c r="MCX2" s="4"/>
      <c r="MCY2" s="4"/>
      <c r="MCZ2" s="4"/>
      <c r="MDA2" s="4"/>
      <c r="MDB2" s="4"/>
      <c r="MDC2" s="4"/>
      <c r="MDD2" s="4"/>
      <c r="MDE2" s="4"/>
      <c r="MDF2" s="4"/>
      <c r="MDG2" s="4"/>
      <c r="MDH2" s="4"/>
      <c r="MDI2" s="4"/>
      <c r="MDJ2" s="4"/>
      <c r="MDK2" s="4"/>
      <c r="MDL2" s="4"/>
      <c r="MDM2" s="4"/>
      <c r="MDN2" s="4"/>
      <c r="MDO2" s="4"/>
      <c r="MDP2" s="4"/>
      <c r="MDQ2" s="4"/>
      <c r="MDR2" s="4"/>
      <c r="MDS2" s="4"/>
      <c r="MDT2" s="4"/>
      <c r="MDU2" s="4"/>
      <c r="MDV2" s="4"/>
      <c r="MDW2" s="4"/>
      <c r="MDX2" s="4"/>
      <c r="MDY2" s="4"/>
      <c r="MDZ2" s="4"/>
      <c r="MEA2" s="4"/>
      <c r="MEB2" s="4"/>
      <c r="MEC2" s="4"/>
      <c r="MED2" s="4"/>
      <c r="MEE2" s="4"/>
      <c r="MEF2" s="4"/>
      <c r="MEG2" s="4"/>
      <c r="MEH2" s="4"/>
      <c r="MEI2" s="4"/>
      <c r="MEJ2" s="4"/>
      <c r="MEK2" s="4"/>
      <c r="MEL2" s="4"/>
      <c r="MEM2" s="4"/>
      <c r="MEN2" s="4"/>
      <c r="MEO2" s="4"/>
      <c r="MEP2" s="4"/>
      <c r="MEQ2" s="4"/>
      <c r="MER2" s="4"/>
      <c r="MES2" s="4"/>
      <c r="MET2" s="4"/>
      <c r="MEU2" s="4"/>
      <c r="MEV2" s="4"/>
      <c r="MEW2" s="4"/>
      <c r="MEX2" s="4"/>
      <c r="MEY2" s="4"/>
      <c r="MEZ2" s="4"/>
      <c r="MFA2" s="4"/>
      <c r="MFB2" s="4"/>
      <c r="MFC2" s="4"/>
      <c r="MFD2" s="4"/>
      <c r="MFE2" s="4"/>
      <c r="MFF2" s="4"/>
      <c r="MFG2" s="4"/>
      <c r="MFH2" s="4"/>
      <c r="MFI2" s="4"/>
      <c r="MFJ2" s="4"/>
      <c r="MFK2" s="4"/>
      <c r="MFL2" s="4"/>
      <c r="MFM2" s="4"/>
      <c r="MFN2" s="4"/>
      <c r="MFO2" s="4"/>
      <c r="MFP2" s="4"/>
      <c r="MFQ2" s="4"/>
      <c r="MFR2" s="4"/>
      <c r="MFS2" s="4"/>
      <c r="MFT2" s="4"/>
      <c r="MFU2" s="4"/>
      <c r="MFV2" s="4"/>
      <c r="MFW2" s="4"/>
      <c r="MFX2" s="4"/>
      <c r="MFY2" s="4"/>
      <c r="MFZ2" s="4"/>
      <c r="MGA2" s="4"/>
      <c r="MGB2" s="4"/>
      <c r="MGC2" s="4"/>
      <c r="MGD2" s="4"/>
      <c r="MGE2" s="4"/>
      <c r="MGF2" s="4"/>
      <c r="MGG2" s="4"/>
      <c r="MGH2" s="4"/>
      <c r="MGI2" s="4"/>
      <c r="MGJ2" s="4"/>
      <c r="MGK2" s="4"/>
      <c r="MGL2" s="4"/>
      <c r="MGM2" s="4"/>
      <c r="MGN2" s="4"/>
      <c r="MGO2" s="4"/>
      <c r="MGP2" s="4"/>
      <c r="MGQ2" s="4"/>
      <c r="MGR2" s="4"/>
      <c r="MGS2" s="4"/>
      <c r="MGT2" s="4"/>
      <c r="MGU2" s="4"/>
      <c r="MGV2" s="4"/>
      <c r="MGW2" s="4"/>
      <c r="MGX2" s="4"/>
      <c r="MGY2" s="4"/>
      <c r="MGZ2" s="4"/>
      <c r="MHA2" s="4"/>
      <c r="MHB2" s="4"/>
      <c r="MHC2" s="4"/>
      <c r="MHD2" s="4"/>
      <c r="MHE2" s="4"/>
      <c r="MHF2" s="4"/>
      <c r="MHG2" s="4"/>
      <c r="MHH2" s="4"/>
      <c r="MHI2" s="4"/>
      <c r="MHJ2" s="4"/>
      <c r="MHK2" s="4"/>
      <c r="MHL2" s="4"/>
      <c r="MHM2" s="4"/>
      <c r="MHN2" s="4"/>
      <c r="MHO2" s="4"/>
      <c r="MHP2" s="4"/>
      <c r="MHQ2" s="4"/>
      <c r="MHR2" s="4"/>
      <c r="MHS2" s="4"/>
      <c r="MHT2" s="4"/>
      <c r="MHU2" s="4"/>
      <c r="MHV2" s="4"/>
      <c r="MHW2" s="4"/>
      <c r="MHX2" s="4"/>
      <c r="MHY2" s="4"/>
      <c r="MHZ2" s="4"/>
      <c r="MIA2" s="4"/>
      <c r="MIB2" s="4"/>
      <c r="MIC2" s="4"/>
      <c r="MID2" s="4"/>
      <c r="MIE2" s="4"/>
      <c r="MIF2" s="4"/>
      <c r="MIG2" s="4"/>
      <c r="MIH2" s="4"/>
      <c r="MII2" s="4"/>
      <c r="MIJ2" s="4"/>
      <c r="MIK2" s="4"/>
      <c r="MIL2" s="4"/>
      <c r="MIM2" s="4"/>
      <c r="MIN2" s="4"/>
      <c r="MIO2" s="4"/>
      <c r="MIP2" s="4"/>
      <c r="MIQ2" s="4"/>
      <c r="MIR2" s="4"/>
      <c r="MIS2" s="4"/>
      <c r="MIT2" s="4"/>
      <c r="MIU2" s="4"/>
      <c r="MIV2" s="4"/>
      <c r="MIW2" s="4"/>
      <c r="MIX2" s="4"/>
      <c r="MIY2" s="4"/>
      <c r="MIZ2" s="4"/>
      <c r="MJA2" s="4"/>
      <c r="MJB2" s="4"/>
      <c r="MJC2" s="4"/>
      <c r="MJD2" s="4"/>
      <c r="MJE2" s="4"/>
      <c r="MJF2" s="4"/>
      <c r="MJG2" s="4"/>
      <c r="MJH2" s="4"/>
      <c r="MJI2" s="4"/>
      <c r="MJJ2" s="4"/>
      <c r="MJK2" s="4"/>
      <c r="MJL2" s="4"/>
      <c r="MJM2" s="4"/>
      <c r="MJN2" s="4"/>
      <c r="MJO2" s="4"/>
      <c r="MJP2" s="4"/>
      <c r="MJQ2" s="4"/>
      <c r="MJR2" s="4"/>
      <c r="MJS2" s="4"/>
      <c r="MJT2" s="4"/>
      <c r="MJU2" s="4"/>
      <c r="MJV2" s="4"/>
      <c r="MJW2" s="4"/>
      <c r="MJX2" s="4"/>
      <c r="MJY2" s="4"/>
      <c r="MJZ2" s="4"/>
      <c r="MKA2" s="4"/>
      <c r="MKB2" s="4"/>
      <c r="MKC2" s="4"/>
      <c r="MKD2" s="4"/>
      <c r="MKE2" s="4"/>
      <c r="MKF2" s="4"/>
      <c r="MKG2" s="4"/>
      <c r="MKH2" s="4"/>
      <c r="MKI2" s="4"/>
      <c r="MKJ2" s="4"/>
      <c r="MKK2" s="4"/>
      <c r="MKL2" s="4"/>
      <c r="MKM2" s="4"/>
      <c r="MKN2" s="4"/>
      <c r="MKO2" s="4"/>
      <c r="MKP2" s="4"/>
      <c r="MKQ2" s="4"/>
      <c r="MKR2" s="4"/>
      <c r="MKS2" s="4"/>
      <c r="MKT2" s="4"/>
      <c r="MKU2" s="4"/>
      <c r="MKV2" s="4"/>
      <c r="MKW2" s="4"/>
      <c r="MKX2" s="4"/>
      <c r="MKY2" s="4"/>
      <c r="MKZ2" s="4"/>
      <c r="MLA2" s="4"/>
      <c r="MLB2" s="4"/>
      <c r="MLC2" s="4"/>
      <c r="MLD2" s="4"/>
      <c r="MLE2" s="4"/>
      <c r="MLF2" s="4"/>
      <c r="MLG2" s="4"/>
      <c r="MLH2" s="4"/>
      <c r="MLI2" s="4"/>
      <c r="MLJ2" s="4"/>
      <c r="MLK2" s="4"/>
      <c r="MLL2" s="4"/>
      <c r="MLM2" s="4"/>
      <c r="MLN2" s="4"/>
      <c r="MLO2" s="4"/>
      <c r="MLP2" s="4"/>
      <c r="MLQ2" s="4"/>
      <c r="MLR2" s="4"/>
      <c r="MLS2" s="4"/>
      <c r="MLT2" s="4"/>
      <c r="MLU2" s="4"/>
      <c r="MLV2" s="4"/>
      <c r="MLW2" s="4"/>
      <c r="MLX2" s="4"/>
      <c r="MLY2" s="4"/>
      <c r="MLZ2" s="4"/>
      <c r="MMA2" s="4"/>
      <c r="MMB2" s="4"/>
      <c r="MMC2" s="4"/>
      <c r="MMD2" s="4"/>
      <c r="MME2" s="4"/>
      <c r="MMF2" s="4"/>
      <c r="MMG2" s="4"/>
      <c r="MMH2" s="4"/>
      <c r="MMI2" s="4"/>
      <c r="MMJ2" s="4"/>
      <c r="MMK2" s="4"/>
      <c r="MML2" s="4"/>
      <c r="MMM2" s="4"/>
      <c r="MMN2" s="4"/>
      <c r="MMO2" s="4"/>
      <c r="MMP2" s="4"/>
      <c r="MMQ2" s="4"/>
      <c r="MMR2" s="4"/>
      <c r="MMS2" s="4"/>
      <c r="MMT2" s="4"/>
      <c r="MMU2" s="4"/>
      <c r="MMV2" s="4"/>
      <c r="MMW2" s="4"/>
      <c r="MMX2" s="4"/>
      <c r="MMY2" s="4"/>
      <c r="MMZ2" s="4"/>
      <c r="MNA2" s="4"/>
      <c r="MNB2" s="4"/>
      <c r="MNC2" s="4"/>
      <c r="MND2" s="4"/>
      <c r="MNE2" s="4"/>
      <c r="MNF2" s="4"/>
      <c r="MNG2" s="4"/>
      <c r="MNH2" s="4"/>
      <c r="MNI2" s="4"/>
      <c r="MNJ2" s="4"/>
      <c r="MNK2" s="4"/>
      <c r="MNL2" s="4"/>
      <c r="MNM2" s="4"/>
      <c r="MNN2" s="4"/>
      <c r="MNO2" s="4"/>
      <c r="MNP2" s="4"/>
      <c r="MNQ2" s="4"/>
      <c r="MNR2" s="4"/>
      <c r="MNS2" s="4"/>
      <c r="MNT2" s="4"/>
      <c r="MNU2" s="4"/>
      <c r="MNV2" s="4"/>
      <c r="MNW2" s="4"/>
      <c r="MNX2" s="4"/>
      <c r="MNY2" s="4"/>
      <c r="MNZ2" s="4"/>
      <c r="MOA2" s="4"/>
      <c r="MOB2" s="4"/>
      <c r="MOC2" s="4"/>
      <c r="MOD2" s="4"/>
      <c r="MOE2" s="4"/>
      <c r="MOF2" s="4"/>
      <c r="MOG2" s="4"/>
      <c r="MOH2" s="4"/>
      <c r="MOI2" s="4"/>
      <c r="MOJ2" s="4"/>
      <c r="MOK2" s="4"/>
      <c r="MOL2" s="4"/>
      <c r="MOM2" s="4"/>
      <c r="MON2" s="4"/>
      <c r="MOO2" s="4"/>
      <c r="MOP2" s="4"/>
      <c r="MOQ2" s="4"/>
      <c r="MOR2" s="4"/>
      <c r="MOS2" s="4"/>
      <c r="MOT2" s="4"/>
      <c r="MOU2" s="4"/>
      <c r="MOV2" s="4"/>
      <c r="MOW2" s="4"/>
      <c r="MOX2" s="4"/>
      <c r="MOY2" s="4"/>
      <c r="MOZ2" s="4"/>
      <c r="MPA2" s="4"/>
      <c r="MPB2" s="4"/>
      <c r="MPC2" s="4"/>
      <c r="MPD2" s="4"/>
      <c r="MPE2" s="4"/>
      <c r="MPF2" s="4"/>
      <c r="MPG2" s="4"/>
      <c r="MPH2" s="4"/>
      <c r="MPI2" s="4"/>
      <c r="MPJ2" s="4"/>
      <c r="MPK2" s="4"/>
      <c r="MPL2" s="4"/>
      <c r="MPM2" s="4"/>
      <c r="MPN2" s="4"/>
      <c r="MPO2" s="4"/>
      <c r="MPP2" s="4"/>
      <c r="MPQ2" s="4"/>
      <c r="MPR2" s="4"/>
      <c r="MPS2" s="4"/>
      <c r="MPT2" s="4"/>
      <c r="MPU2" s="4"/>
      <c r="MPV2" s="4"/>
      <c r="MPW2" s="4"/>
      <c r="MPX2" s="4"/>
      <c r="MPY2" s="4"/>
      <c r="MPZ2" s="4"/>
      <c r="MQA2" s="4"/>
      <c r="MQB2" s="4"/>
      <c r="MQC2" s="4"/>
      <c r="MQD2" s="4"/>
      <c r="MQE2" s="4"/>
      <c r="MQF2" s="4"/>
      <c r="MQG2" s="4"/>
      <c r="MQH2" s="4"/>
      <c r="MQI2" s="4"/>
      <c r="MQJ2" s="4"/>
      <c r="MQK2" s="4"/>
      <c r="MQL2" s="4"/>
      <c r="MQM2" s="4"/>
      <c r="MQN2" s="4"/>
      <c r="MQO2" s="4"/>
      <c r="MQP2" s="4"/>
      <c r="MQQ2" s="4"/>
      <c r="MQR2" s="4"/>
      <c r="MQS2" s="4"/>
      <c r="MQT2" s="4"/>
      <c r="MQU2" s="4"/>
      <c r="MQV2" s="4"/>
      <c r="MQW2" s="4"/>
      <c r="MQX2" s="4"/>
      <c r="MQY2" s="4"/>
      <c r="MQZ2" s="4"/>
      <c r="MRA2" s="4"/>
      <c r="MRB2" s="4"/>
      <c r="MRC2" s="4"/>
      <c r="MRD2" s="4"/>
      <c r="MRE2" s="4"/>
      <c r="MRF2" s="4"/>
      <c r="MRG2" s="4"/>
      <c r="MRH2" s="4"/>
      <c r="MRI2" s="4"/>
      <c r="MRJ2" s="4"/>
      <c r="MRK2" s="4"/>
      <c r="MRL2" s="4"/>
      <c r="MRM2" s="4"/>
      <c r="MRN2" s="4"/>
      <c r="MRO2" s="4"/>
      <c r="MRP2" s="4"/>
      <c r="MRQ2" s="4"/>
      <c r="MRR2" s="4"/>
      <c r="MRS2" s="4"/>
      <c r="MRT2" s="4"/>
      <c r="MRU2" s="4"/>
      <c r="MRV2" s="4"/>
      <c r="MRW2" s="4"/>
      <c r="MRX2" s="4"/>
      <c r="MRY2" s="4"/>
      <c r="MRZ2" s="4"/>
      <c r="MSA2" s="4"/>
      <c r="MSB2" s="4"/>
      <c r="MSC2" s="4"/>
      <c r="MSD2" s="4"/>
      <c r="MSE2" s="4"/>
      <c r="MSF2" s="4"/>
      <c r="MSG2" s="4"/>
      <c r="MSH2" s="4"/>
      <c r="MSI2" s="4"/>
      <c r="MSJ2" s="4"/>
      <c r="MSK2" s="4"/>
      <c r="MSL2" s="4"/>
      <c r="MSM2" s="4"/>
      <c r="MSN2" s="4"/>
      <c r="MSO2" s="4"/>
      <c r="MSP2" s="4"/>
      <c r="MSQ2" s="4"/>
      <c r="MSR2" s="4"/>
      <c r="MSS2" s="4"/>
      <c r="MST2" s="4"/>
      <c r="MSU2" s="4"/>
      <c r="MSV2" s="4"/>
      <c r="MSW2" s="4"/>
      <c r="MSX2" s="4"/>
      <c r="MSY2" s="4"/>
      <c r="MSZ2" s="4"/>
      <c r="MTA2" s="4"/>
      <c r="MTB2" s="4"/>
      <c r="MTC2" s="4"/>
      <c r="MTD2" s="4"/>
      <c r="MTE2" s="4"/>
      <c r="MTF2" s="4"/>
      <c r="MTG2" s="4"/>
      <c r="MTH2" s="4"/>
      <c r="MTI2" s="4"/>
      <c r="MTJ2" s="4"/>
      <c r="MTK2" s="4"/>
      <c r="MTL2" s="4"/>
      <c r="MTM2" s="4"/>
      <c r="MTN2" s="4"/>
      <c r="MTO2" s="4"/>
      <c r="MTP2" s="4"/>
      <c r="MTQ2" s="4"/>
      <c r="MTR2" s="4"/>
      <c r="MTS2" s="4"/>
      <c r="MTT2" s="4"/>
      <c r="MTU2" s="4"/>
      <c r="MTV2" s="4"/>
      <c r="MTW2" s="4"/>
      <c r="MTX2" s="4"/>
      <c r="MTY2" s="4"/>
      <c r="MTZ2" s="4"/>
      <c r="MUA2" s="4"/>
      <c r="MUB2" s="4"/>
      <c r="MUC2" s="4"/>
      <c r="MUD2" s="4"/>
      <c r="MUE2" s="4"/>
      <c r="MUF2" s="4"/>
      <c r="MUG2" s="4"/>
      <c r="MUH2" s="4"/>
      <c r="MUI2" s="4"/>
      <c r="MUJ2" s="4"/>
      <c r="MUK2" s="4"/>
      <c r="MUL2" s="4"/>
      <c r="MUM2" s="4"/>
      <c r="MUN2" s="4"/>
      <c r="MUO2" s="4"/>
      <c r="MUP2" s="4"/>
      <c r="MUQ2" s="4"/>
      <c r="MUR2" s="4"/>
      <c r="MUS2" s="4"/>
      <c r="MUT2" s="4"/>
      <c r="MUU2" s="4"/>
      <c r="MUV2" s="4"/>
      <c r="MUW2" s="4"/>
      <c r="MUX2" s="4"/>
      <c r="MUY2" s="4"/>
      <c r="MUZ2" s="4"/>
      <c r="MVA2" s="4"/>
      <c r="MVB2" s="4"/>
      <c r="MVC2" s="4"/>
      <c r="MVD2" s="4"/>
      <c r="MVE2" s="4"/>
      <c r="MVF2" s="4"/>
      <c r="MVG2" s="4"/>
      <c r="MVH2" s="4"/>
      <c r="MVI2" s="4"/>
      <c r="MVJ2" s="4"/>
      <c r="MVK2" s="4"/>
      <c r="MVL2" s="4"/>
      <c r="MVM2" s="4"/>
      <c r="MVN2" s="4"/>
      <c r="MVO2" s="4"/>
      <c r="MVP2" s="4"/>
      <c r="MVQ2" s="4"/>
      <c r="MVR2" s="4"/>
      <c r="MVS2" s="4"/>
      <c r="MVT2" s="4"/>
      <c r="MVU2" s="4"/>
      <c r="MVV2" s="4"/>
      <c r="MVW2" s="4"/>
      <c r="MVX2" s="4"/>
      <c r="MVY2" s="4"/>
      <c r="MVZ2" s="4"/>
      <c r="MWA2" s="4"/>
      <c r="MWB2" s="4"/>
      <c r="MWC2" s="4"/>
      <c r="MWD2" s="4"/>
      <c r="MWE2" s="4"/>
      <c r="MWF2" s="4"/>
      <c r="MWG2" s="4"/>
      <c r="MWH2" s="4"/>
      <c r="MWI2" s="4"/>
      <c r="MWJ2" s="4"/>
      <c r="MWK2" s="4"/>
      <c r="MWL2" s="4"/>
      <c r="MWM2" s="4"/>
      <c r="MWN2" s="4"/>
      <c r="MWO2" s="4"/>
      <c r="MWP2" s="4"/>
      <c r="MWQ2" s="4"/>
      <c r="MWR2" s="4"/>
      <c r="MWS2" s="4"/>
      <c r="MWT2" s="4"/>
      <c r="MWU2" s="4"/>
      <c r="MWV2" s="4"/>
      <c r="MWW2" s="4"/>
      <c r="MWX2" s="4"/>
      <c r="MWY2" s="4"/>
      <c r="MWZ2" s="4"/>
      <c r="MXA2" s="4"/>
      <c r="MXB2" s="4"/>
      <c r="MXC2" s="4"/>
      <c r="MXD2" s="4"/>
      <c r="MXE2" s="4"/>
      <c r="MXF2" s="4"/>
      <c r="MXG2" s="4"/>
      <c r="MXH2" s="4"/>
      <c r="MXI2" s="4"/>
      <c r="MXJ2" s="4"/>
      <c r="MXK2" s="4"/>
      <c r="MXL2" s="4"/>
      <c r="MXM2" s="4"/>
      <c r="MXN2" s="4"/>
      <c r="MXO2" s="4"/>
      <c r="MXP2" s="4"/>
      <c r="MXQ2" s="4"/>
      <c r="MXR2" s="4"/>
      <c r="MXS2" s="4"/>
      <c r="MXT2" s="4"/>
      <c r="MXU2" s="4"/>
      <c r="MXV2" s="4"/>
      <c r="MXW2" s="4"/>
      <c r="MXX2" s="4"/>
      <c r="MXY2" s="4"/>
      <c r="MXZ2" s="4"/>
      <c r="MYA2" s="4"/>
      <c r="MYB2" s="4"/>
      <c r="MYC2" s="4"/>
      <c r="MYD2" s="4"/>
      <c r="MYE2" s="4"/>
      <c r="MYF2" s="4"/>
      <c r="MYG2" s="4"/>
      <c r="MYH2" s="4"/>
      <c r="MYI2" s="4"/>
      <c r="MYJ2" s="4"/>
      <c r="MYK2" s="4"/>
      <c r="MYL2" s="4"/>
      <c r="MYM2" s="4"/>
      <c r="MYN2" s="4"/>
      <c r="MYO2" s="4"/>
      <c r="MYP2" s="4"/>
      <c r="MYQ2" s="4"/>
      <c r="MYR2" s="4"/>
      <c r="MYS2" s="4"/>
      <c r="MYT2" s="4"/>
      <c r="MYU2" s="4"/>
      <c r="MYV2" s="4"/>
      <c r="MYW2" s="4"/>
      <c r="MYX2" s="4"/>
      <c r="MYY2" s="4"/>
      <c r="MYZ2" s="4"/>
      <c r="MZA2" s="4"/>
      <c r="MZB2" s="4"/>
      <c r="MZC2" s="4"/>
      <c r="MZD2" s="4"/>
      <c r="MZE2" s="4"/>
      <c r="MZF2" s="4"/>
      <c r="MZG2" s="4"/>
      <c r="MZH2" s="4"/>
      <c r="MZI2" s="4"/>
      <c r="MZJ2" s="4"/>
      <c r="MZK2" s="4"/>
      <c r="MZL2" s="4"/>
      <c r="MZM2" s="4"/>
      <c r="MZN2" s="4"/>
      <c r="MZO2" s="4"/>
      <c r="MZP2" s="4"/>
      <c r="MZQ2" s="4"/>
      <c r="MZR2" s="4"/>
      <c r="MZS2" s="4"/>
      <c r="MZT2" s="4"/>
      <c r="MZU2" s="4"/>
      <c r="MZV2" s="4"/>
      <c r="MZW2" s="4"/>
      <c r="MZX2" s="4"/>
      <c r="MZY2" s="4"/>
      <c r="MZZ2" s="4"/>
      <c r="NAA2" s="4"/>
      <c r="NAB2" s="4"/>
      <c r="NAC2" s="4"/>
      <c r="NAD2" s="4"/>
      <c r="NAE2" s="4"/>
      <c r="NAF2" s="4"/>
      <c r="NAG2" s="4"/>
      <c r="NAH2" s="4"/>
      <c r="NAI2" s="4"/>
      <c r="NAJ2" s="4"/>
      <c r="NAK2" s="4"/>
      <c r="NAL2" s="4"/>
      <c r="NAM2" s="4"/>
      <c r="NAN2" s="4"/>
      <c r="NAO2" s="4"/>
      <c r="NAP2" s="4"/>
      <c r="NAQ2" s="4"/>
      <c r="NAR2" s="4"/>
      <c r="NAS2" s="4"/>
      <c r="NAT2" s="4"/>
      <c r="NAU2" s="4"/>
      <c r="NAV2" s="4"/>
      <c r="NAW2" s="4"/>
      <c r="NAX2" s="4"/>
      <c r="NAY2" s="4"/>
      <c r="NAZ2" s="4"/>
      <c r="NBA2" s="4"/>
      <c r="NBB2" s="4"/>
      <c r="NBC2" s="4"/>
      <c r="NBD2" s="4"/>
      <c r="NBE2" s="4"/>
      <c r="NBF2" s="4"/>
      <c r="NBG2" s="4"/>
      <c r="NBH2" s="4"/>
      <c r="NBI2" s="4"/>
      <c r="NBJ2" s="4"/>
      <c r="NBK2" s="4"/>
      <c r="NBL2" s="4"/>
      <c r="NBM2" s="4"/>
      <c r="NBN2" s="4"/>
      <c r="NBO2" s="4"/>
      <c r="NBP2" s="4"/>
      <c r="NBQ2" s="4"/>
      <c r="NBR2" s="4"/>
      <c r="NBS2" s="4"/>
      <c r="NBT2" s="4"/>
      <c r="NBU2" s="4"/>
      <c r="NBV2" s="4"/>
      <c r="NBW2" s="4"/>
      <c r="NBX2" s="4"/>
      <c r="NBY2" s="4"/>
      <c r="NBZ2" s="4"/>
      <c r="NCA2" s="4"/>
      <c r="NCB2" s="4"/>
      <c r="NCC2" s="4"/>
      <c r="NCD2" s="4"/>
      <c r="NCE2" s="4"/>
      <c r="NCF2" s="4"/>
      <c r="NCG2" s="4"/>
      <c r="NCH2" s="4"/>
      <c r="NCI2" s="4"/>
      <c r="NCJ2" s="4"/>
      <c r="NCK2" s="4"/>
      <c r="NCL2" s="4"/>
      <c r="NCM2" s="4"/>
      <c r="NCN2" s="4"/>
      <c r="NCO2" s="4"/>
      <c r="NCP2" s="4"/>
      <c r="NCQ2" s="4"/>
      <c r="NCR2" s="4"/>
      <c r="NCS2" s="4"/>
      <c r="NCT2" s="4"/>
      <c r="NCU2" s="4"/>
      <c r="NCV2" s="4"/>
      <c r="NCW2" s="4"/>
      <c r="NCX2" s="4"/>
      <c r="NCY2" s="4"/>
      <c r="NCZ2" s="4"/>
      <c r="NDA2" s="4"/>
      <c r="NDB2" s="4"/>
      <c r="NDC2" s="4"/>
      <c r="NDD2" s="4"/>
      <c r="NDE2" s="4"/>
      <c r="NDF2" s="4"/>
      <c r="NDG2" s="4"/>
      <c r="NDH2" s="4"/>
      <c r="NDI2" s="4"/>
      <c r="NDJ2" s="4"/>
      <c r="NDK2" s="4"/>
      <c r="NDL2" s="4"/>
      <c r="NDM2" s="4"/>
      <c r="NDN2" s="4"/>
      <c r="NDO2" s="4"/>
      <c r="NDP2" s="4"/>
      <c r="NDQ2" s="4"/>
      <c r="NDR2" s="4"/>
      <c r="NDS2" s="4"/>
      <c r="NDT2" s="4"/>
      <c r="NDU2" s="4"/>
      <c r="NDV2" s="4"/>
      <c r="NDW2" s="4"/>
      <c r="NDX2" s="4"/>
      <c r="NDY2" s="4"/>
      <c r="NDZ2" s="4"/>
      <c r="NEA2" s="4"/>
      <c r="NEB2" s="4"/>
      <c r="NEC2" s="4"/>
      <c r="NED2" s="4"/>
      <c r="NEE2" s="4"/>
      <c r="NEF2" s="4"/>
      <c r="NEG2" s="4"/>
      <c r="NEH2" s="4"/>
      <c r="NEI2" s="4"/>
      <c r="NEJ2" s="4"/>
      <c r="NEK2" s="4"/>
      <c r="NEL2" s="4"/>
      <c r="NEM2" s="4"/>
      <c r="NEN2" s="4"/>
      <c r="NEO2" s="4"/>
      <c r="NEP2" s="4"/>
      <c r="NEQ2" s="4"/>
      <c r="NER2" s="4"/>
      <c r="NES2" s="4"/>
      <c r="NET2" s="4"/>
      <c r="NEU2" s="4"/>
      <c r="NEV2" s="4"/>
      <c r="NEW2" s="4"/>
      <c r="NEX2" s="4"/>
      <c r="NEY2" s="4"/>
      <c r="NEZ2" s="4"/>
      <c r="NFA2" s="4"/>
      <c r="NFB2" s="4"/>
      <c r="NFC2" s="4"/>
      <c r="NFD2" s="4"/>
      <c r="NFE2" s="4"/>
      <c r="NFF2" s="4"/>
      <c r="NFG2" s="4"/>
      <c r="NFH2" s="4"/>
      <c r="NFI2" s="4"/>
      <c r="NFJ2" s="4"/>
      <c r="NFK2" s="4"/>
      <c r="NFL2" s="4"/>
      <c r="NFM2" s="4"/>
      <c r="NFN2" s="4"/>
      <c r="NFO2" s="4"/>
      <c r="NFP2" s="4"/>
      <c r="NFQ2" s="4"/>
      <c r="NFR2" s="4"/>
      <c r="NFS2" s="4"/>
      <c r="NFT2" s="4"/>
      <c r="NFU2" s="4"/>
      <c r="NFV2" s="4"/>
      <c r="NFW2" s="4"/>
      <c r="NFX2" s="4"/>
      <c r="NFY2" s="4"/>
      <c r="NFZ2" s="4"/>
      <c r="NGA2" s="4"/>
      <c r="NGB2" s="4"/>
      <c r="NGC2" s="4"/>
      <c r="NGD2" s="4"/>
      <c r="NGE2" s="4"/>
      <c r="NGF2" s="4"/>
      <c r="NGG2" s="4"/>
      <c r="NGH2" s="4"/>
      <c r="NGI2" s="4"/>
      <c r="NGJ2" s="4"/>
      <c r="NGK2" s="4"/>
      <c r="NGL2" s="4"/>
      <c r="NGM2" s="4"/>
      <c r="NGN2" s="4"/>
      <c r="NGO2" s="4"/>
      <c r="NGP2" s="4"/>
      <c r="NGQ2" s="4"/>
      <c r="NGR2" s="4"/>
      <c r="NGS2" s="4"/>
      <c r="NGT2" s="4"/>
      <c r="NGU2" s="4"/>
      <c r="NGV2" s="4"/>
      <c r="NGW2" s="4"/>
      <c r="NGX2" s="4"/>
      <c r="NGY2" s="4"/>
      <c r="NGZ2" s="4"/>
      <c r="NHA2" s="4"/>
      <c r="NHB2" s="4"/>
      <c r="NHC2" s="4"/>
      <c r="NHD2" s="4"/>
      <c r="NHE2" s="4"/>
      <c r="NHF2" s="4"/>
      <c r="NHG2" s="4"/>
      <c r="NHH2" s="4"/>
      <c r="NHI2" s="4"/>
      <c r="NHJ2" s="4"/>
      <c r="NHK2" s="4"/>
      <c r="NHL2" s="4"/>
      <c r="NHM2" s="4"/>
      <c r="NHN2" s="4"/>
      <c r="NHO2" s="4"/>
      <c r="NHP2" s="4"/>
      <c r="NHQ2" s="4"/>
      <c r="NHR2" s="4"/>
      <c r="NHS2" s="4"/>
      <c r="NHT2" s="4"/>
      <c r="NHU2" s="4"/>
      <c r="NHV2" s="4"/>
      <c r="NHW2" s="4"/>
      <c r="NHX2" s="4"/>
      <c r="NHY2" s="4"/>
      <c r="NHZ2" s="4"/>
      <c r="NIA2" s="4"/>
      <c r="NIB2" s="4"/>
      <c r="NIC2" s="4"/>
      <c r="NID2" s="4"/>
      <c r="NIE2" s="4"/>
      <c r="NIF2" s="4"/>
      <c r="NIG2" s="4"/>
      <c r="NIH2" s="4"/>
      <c r="NII2" s="4"/>
      <c r="NIJ2" s="4"/>
      <c r="NIK2" s="4"/>
      <c r="NIL2" s="4"/>
      <c r="NIM2" s="4"/>
      <c r="NIN2" s="4"/>
      <c r="NIO2" s="4"/>
      <c r="NIP2" s="4"/>
      <c r="NIQ2" s="4"/>
      <c r="NIR2" s="4"/>
      <c r="NIS2" s="4"/>
      <c r="NIT2" s="4"/>
      <c r="NIU2" s="4"/>
      <c r="NIV2" s="4"/>
      <c r="NIW2" s="4"/>
      <c r="NIX2" s="4"/>
      <c r="NIY2" s="4"/>
      <c r="NIZ2" s="4"/>
      <c r="NJA2" s="4"/>
      <c r="NJB2" s="4"/>
      <c r="NJC2" s="4"/>
      <c r="NJD2" s="4"/>
      <c r="NJE2" s="4"/>
      <c r="NJF2" s="4"/>
      <c r="NJG2" s="4"/>
      <c r="NJH2" s="4"/>
      <c r="NJI2" s="4"/>
      <c r="NJJ2" s="4"/>
      <c r="NJK2" s="4"/>
      <c r="NJL2" s="4"/>
      <c r="NJM2" s="4"/>
      <c r="NJN2" s="4"/>
      <c r="NJO2" s="4"/>
      <c r="NJP2" s="4"/>
      <c r="NJQ2" s="4"/>
      <c r="NJR2" s="4"/>
      <c r="NJS2" s="4"/>
      <c r="NJT2" s="4"/>
      <c r="NJU2" s="4"/>
      <c r="NJV2" s="4"/>
      <c r="NJW2" s="4"/>
      <c r="NJX2" s="4"/>
      <c r="NJY2" s="4"/>
      <c r="NJZ2" s="4"/>
      <c r="NKA2" s="4"/>
      <c r="NKB2" s="4"/>
      <c r="NKC2" s="4"/>
      <c r="NKD2" s="4"/>
      <c r="NKE2" s="4"/>
      <c r="NKF2" s="4"/>
      <c r="NKG2" s="4"/>
      <c r="NKH2" s="4"/>
      <c r="NKI2" s="4"/>
      <c r="NKJ2" s="4"/>
      <c r="NKK2" s="4"/>
      <c r="NKL2" s="4"/>
      <c r="NKM2" s="4"/>
      <c r="NKN2" s="4"/>
      <c r="NKO2" s="4"/>
      <c r="NKP2" s="4"/>
      <c r="NKQ2" s="4"/>
      <c r="NKR2" s="4"/>
      <c r="NKS2" s="4"/>
      <c r="NKT2" s="4"/>
      <c r="NKU2" s="4"/>
      <c r="NKV2" s="4"/>
      <c r="NKW2" s="4"/>
      <c r="NKX2" s="4"/>
      <c r="NKY2" s="4"/>
      <c r="NKZ2" s="4"/>
      <c r="NLA2" s="4"/>
      <c r="NLB2" s="4"/>
      <c r="NLC2" s="4"/>
      <c r="NLD2" s="4"/>
      <c r="NLE2" s="4"/>
      <c r="NLF2" s="4"/>
      <c r="NLG2" s="4"/>
      <c r="NLH2" s="4"/>
      <c r="NLI2" s="4"/>
      <c r="NLJ2" s="4"/>
      <c r="NLK2" s="4"/>
      <c r="NLL2" s="4"/>
      <c r="NLM2" s="4"/>
      <c r="NLN2" s="4"/>
      <c r="NLO2" s="4"/>
      <c r="NLP2" s="4"/>
      <c r="NLQ2" s="4"/>
      <c r="NLR2" s="4"/>
      <c r="NLS2" s="4"/>
      <c r="NLT2" s="4"/>
      <c r="NLU2" s="4"/>
      <c r="NLV2" s="4"/>
      <c r="NLW2" s="4"/>
      <c r="NLX2" s="4"/>
      <c r="NLY2" s="4"/>
      <c r="NLZ2" s="4"/>
      <c r="NMA2" s="4"/>
      <c r="NMB2" s="4"/>
      <c r="NMC2" s="4"/>
      <c r="NMD2" s="4"/>
      <c r="NME2" s="4"/>
      <c r="NMF2" s="4"/>
      <c r="NMG2" s="4"/>
      <c r="NMH2" s="4"/>
      <c r="NMI2" s="4"/>
      <c r="NMJ2" s="4"/>
      <c r="NMK2" s="4"/>
      <c r="NML2" s="4"/>
      <c r="NMM2" s="4"/>
      <c r="NMN2" s="4"/>
      <c r="NMO2" s="4"/>
      <c r="NMP2" s="4"/>
      <c r="NMQ2" s="4"/>
      <c r="NMR2" s="4"/>
      <c r="NMS2" s="4"/>
      <c r="NMT2" s="4"/>
      <c r="NMU2" s="4"/>
      <c r="NMV2" s="4"/>
      <c r="NMW2" s="4"/>
      <c r="NMX2" s="4"/>
      <c r="NMY2" s="4"/>
      <c r="NMZ2" s="4"/>
      <c r="NNA2" s="4"/>
      <c r="NNB2" s="4"/>
      <c r="NNC2" s="4"/>
      <c r="NND2" s="4"/>
      <c r="NNE2" s="4"/>
      <c r="NNF2" s="4"/>
      <c r="NNG2" s="4"/>
      <c r="NNH2" s="4"/>
      <c r="NNI2" s="4"/>
      <c r="NNJ2" s="4"/>
      <c r="NNK2" s="4"/>
      <c r="NNL2" s="4"/>
      <c r="NNM2" s="4"/>
      <c r="NNN2" s="4"/>
      <c r="NNO2" s="4"/>
      <c r="NNP2" s="4"/>
      <c r="NNQ2" s="4"/>
      <c r="NNR2" s="4"/>
      <c r="NNS2" s="4"/>
      <c r="NNT2" s="4"/>
      <c r="NNU2" s="4"/>
      <c r="NNV2" s="4"/>
      <c r="NNW2" s="4"/>
      <c r="NNX2" s="4"/>
      <c r="NNY2" s="4"/>
      <c r="NNZ2" s="4"/>
      <c r="NOA2" s="4"/>
      <c r="NOB2" s="4"/>
      <c r="NOC2" s="4"/>
      <c r="NOD2" s="4"/>
      <c r="NOE2" s="4"/>
      <c r="NOF2" s="4"/>
      <c r="NOG2" s="4"/>
      <c r="NOH2" s="4"/>
      <c r="NOI2" s="4"/>
      <c r="NOJ2" s="4"/>
      <c r="NOK2" s="4"/>
      <c r="NOL2" s="4"/>
      <c r="NOM2" s="4"/>
      <c r="NON2" s="4"/>
      <c r="NOO2" s="4"/>
      <c r="NOP2" s="4"/>
      <c r="NOQ2" s="4"/>
      <c r="NOR2" s="4"/>
      <c r="NOS2" s="4"/>
      <c r="NOT2" s="4"/>
      <c r="NOU2" s="4"/>
      <c r="NOV2" s="4"/>
      <c r="NOW2" s="4"/>
      <c r="NOX2" s="4"/>
      <c r="NOY2" s="4"/>
      <c r="NOZ2" s="4"/>
      <c r="NPA2" s="4"/>
      <c r="NPB2" s="4"/>
      <c r="NPC2" s="4"/>
      <c r="NPD2" s="4"/>
      <c r="NPE2" s="4"/>
      <c r="NPF2" s="4"/>
      <c r="NPG2" s="4"/>
      <c r="NPH2" s="4"/>
      <c r="NPI2" s="4"/>
      <c r="NPJ2" s="4"/>
      <c r="NPK2" s="4"/>
      <c r="NPL2" s="4"/>
      <c r="NPM2" s="4"/>
      <c r="NPN2" s="4"/>
      <c r="NPO2" s="4"/>
      <c r="NPP2" s="4"/>
      <c r="NPQ2" s="4"/>
      <c r="NPR2" s="4"/>
      <c r="NPS2" s="4"/>
      <c r="NPT2" s="4"/>
      <c r="NPU2" s="4"/>
      <c r="NPV2" s="4"/>
      <c r="NPW2" s="4"/>
      <c r="NPX2" s="4"/>
      <c r="NPY2" s="4"/>
      <c r="NPZ2" s="4"/>
      <c r="NQA2" s="4"/>
      <c r="NQB2" s="4"/>
      <c r="NQC2" s="4"/>
      <c r="NQD2" s="4"/>
      <c r="NQE2" s="4"/>
      <c r="NQF2" s="4"/>
      <c r="NQG2" s="4"/>
      <c r="NQH2" s="4"/>
      <c r="NQI2" s="4"/>
      <c r="NQJ2" s="4"/>
      <c r="NQK2" s="4"/>
      <c r="NQL2" s="4"/>
      <c r="NQM2" s="4"/>
      <c r="NQN2" s="4"/>
      <c r="NQO2" s="4"/>
      <c r="NQP2" s="4"/>
      <c r="NQQ2" s="4"/>
      <c r="NQR2" s="4"/>
      <c r="NQS2" s="4"/>
      <c r="NQT2" s="4"/>
      <c r="NQU2" s="4"/>
      <c r="NQV2" s="4"/>
      <c r="NQW2" s="4"/>
      <c r="NQX2" s="4"/>
      <c r="NQY2" s="4"/>
      <c r="NQZ2" s="4"/>
      <c r="NRA2" s="4"/>
      <c r="NRB2" s="4"/>
      <c r="NRC2" s="4"/>
      <c r="NRD2" s="4"/>
      <c r="NRE2" s="4"/>
      <c r="NRF2" s="4"/>
      <c r="NRG2" s="4"/>
      <c r="NRH2" s="4"/>
      <c r="NRI2" s="4"/>
      <c r="NRJ2" s="4"/>
      <c r="NRK2" s="4"/>
      <c r="NRL2" s="4"/>
      <c r="NRM2" s="4"/>
      <c r="NRN2" s="4"/>
      <c r="NRO2" s="4"/>
      <c r="NRP2" s="4"/>
      <c r="NRQ2" s="4"/>
      <c r="NRR2" s="4"/>
      <c r="NRS2" s="4"/>
      <c r="NRT2" s="4"/>
      <c r="NRU2" s="4"/>
      <c r="NRV2" s="4"/>
      <c r="NRW2" s="4"/>
      <c r="NRX2" s="4"/>
      <c r="NRY2" s="4"/>
      <c r="NRZ2" s="4"/>
      <c r="NSA2" s="4"/>
      <c r="NSB2" s="4"/>
      <c r="NSC2" s="4"/>
      <c r="NSD2" s="4"/>
      <c r="NSE2" s="4"/>
      <c r="NSF2" s="4"/>
      <c r="NSG2" s="4"/>
      <c r="NSH2" s="4"/>
      <c r="NSI2" s="4"/>
      <c r="NSJ2" s="4"/>
      <c r="NSK2" s="4"/>
      <c r="NSL2" s="4"/>
      <c r="NSM2" s="4"/>
      <c r="NSN2" s="4"/>
      <c r="NSO2" s="4"/>
      <c r="NSP2" s="4"/>
      <c r="NSQ2" s="4"/>
      <c r="NSR2" s="4"/>
      <c r="NSS2" s="4"/>
      <c r="NST2" s="4"/>
      <c r="NSU2" s="4"/>
      <c r="NSV2" s="4"/>
      <c r="NSW2" s="4"/>
      <c r="NSX2" s="4"/>
      <c r="NSY2" s="4"/>
      <c r="NSZ2" s="4"/>
      <c r="NTA2" s="4"/>
      <c r="NTB2" s="4"/>
      <c r="NTC2" s="4"/>
      <c r="NTD2" s="4"/>
      <c r="NTE2" s="4"/>
      <c r="NTF2" s="4"/>
      <c r="NTG2" s="4"/>
      <c r="NTH2" s="4"/>
      <c r="NTI2" s="4"/>
      <c r="NTJ2" s="4"/>
      <c r="NTK2" s="4"/>
      <c r="NTL2" s="4"/>
      <c r="NTM2" s="4"/>
      <c r="NTN2" s="4"/>
      <c r="NTO2" s="4"/>
      <c r="NTP2" s="4"/>
      <c r="NTQ2" s="4"/>
      <c r="NTR2" s="4"/>
      <c r="NTS2" s="4"/>
      <c r="NTT2" s="4"/>
      <c r="NTU2" s="4"/>
      <c r="NTV2" s="4"/>
      <c r="NTW2" s="4"/>
      <c r="NTX2" s="4"/>
      <c r="NTY2" s="4"/>
      <c r="NTZ2" s="4"/>
      <c r="NUA2" s="4"/>
      <c r="NUB2" s="4"/>
      <c r="NUC2" s="4"/>
      <c r="NUD2" s="4"/>
      <c r="NUE2" s="4"/>
      <c r="NUF2" s="4"/>
      <c r="NUG2" s="4"/>
      <c r="NUH2" s="4"/>
      <c r="NUI2" s="4"/>
      <c r="NUJ2" s="4"/>
      <c r="NUK2" s="4"/>
      <c r="NUL2" s="4"/>
      <c r="NUM2" s="4"/>
      <c r="NUN2" s="4"/>
      <c r="NUO2" s="4"/>
      <c r="NUP2" s="4"/>
      <c r="NUQ2" s="4"/>
      <c r="NUR2" s="4"/>
      <c r="NUS2" s="4"/>
      <c r="NUT2" s="4"/>
      <c r="NUU2" s="4"/>
      <c r="NUV2" s="4"/>
      <c r="NUW2" s="4"/>
      <c r="NUX2" s="4"/>
      <c r="NUY2" s="4"/>
      <c r="NUZ2" s="4"/>
      <c r="NVA2" s="4"/>
      <c r="NVB2" s="4"/>
      <c r="NVC2" s="4"/>
      <c r="NVD2" s="4"/>
      <c r="NVE2" s="4"/>
      <c r="NVF2" s="4"/>
      <c r="NVG2" s="4"/>
      <c r="NVH2" s="4"/>
      <c r="NVI2" s="4"/>
      <c r="NVJ2" s="4"/>
      <c r="NVK2" s="4"/>
      <c r="NVL2" s="4"/>
      <c r="NVM2" s="4"/>
      <c r="NVN2" s="4"/>
      <c r="NVO2" s="4"/>
      <c r="NVP2" s="4"/>
      <c r="NVQ2" s="4"/>
      <c r="NVR2" s="4"/>
      <c r="NVS2" s="4"/>
      <c r="NVT2" s="4"/>
      <c r="NVU2" s="4"/>
      <c r="NVV2" s="4"/>
      <c r="NVW2" s="4"/>
      <c r="NVX2" s="4"/>
      <c r="NVY2" s="4"/>
      <c r="NVZ2" s="4"/>
      <c r="NWA2" s="4"/>
      <c r="NWB2" s="4"/>
      <c r="NWC2" s="4"/>
      <c r="NWD2" s="4"/>
      <c r="NWE2" s="4"/>
      <c r="NWF2" s="4"/>
      <c r="NWG2" s="4"/>
      <c r="NWH2" s="4"/>
      <c r="NWI2" s="4"/>
      <c r="NWJ2" s="4"/>
      <c r="NWK2" s="4"/>
      <c r="NWL2" s="4"/>
      <c r="NWM2" s="4"/>
      <c r="NWN2" s="4"/>
      <c r="NWO2" s="4"/>
      <c r="NWP2" s="4"/>
      <c r="NWQ2" s="4"/>
      <c r="NWR2" s="4"/>
      <c r="NWS2" s="4"/>
      <c r="NWT2" s="4"/>
      <c r="NWU2" s="4"/>
      <c r="NWV2" s="4"/>
      <c r="NWW2" s="4"/>
      <c r="NWX2" s="4"/>
      <c r="NWY2" s="4"/>
      <c r="NWZ2" s="4"/>
      <c r="NXA2" s="4"/>
      <c r="NXB2" s="4"/>
      <c r="NXC2" s="4"/>
      <c r="NXD2" s="4"/>
      <c r="NXE2" s="4"/>
      <c r="NXF2" s="4"/>
      <c r="NXG2" s="4"/>
      <c r="NXH2" s="4"/>
      <c r="NXI2" s="4"/>
      <c r="NXJ2" s="4"/>
      <c r="NXK2" s="4"/>
      <c r="NXL2" s="4"/>
      <c r="NXM2" s="4"/>
      <c r="NXN2" s="4"/>
      <c r="NXO2" s="4"/>
      <c r="NXP2" s="4"/>
      <c r="NXQ2" s="4"/>
      <c r="NXR2" s="4"/>
      <c r="NXS2" s="4"/>
      <c r="NXT2" s="4"/>
      <c r="NXU2" s="4"/>
      <c r="NXV2" s="4"/>
      <c r="NXW2" s="4"/>
      <c r="NXX2" s="4"/>
      <c r="NXY2" s="4"/>
      <c r="NXZ2" s="4"/>
      <c r="NYA2" s="4"/>
      <c r="NYB2" s="4"/>
      <c r="NYC2" s="4"/>
      <c r="NYD2" s="4"/>
      <c r="NYE2" s="4"/>
      <c r="NYF2" s="4"/>
      <c r="NYG2" s="4"/>
      <c r="NYH2" s="4"/>
      <c r="NYI2" s="4"/>
      <c r="NYJ2" s="4"/>
      <c r="NYK2" s="4"/>
      <c r="NYL2" s="4"/>
      <c r="NYM2" s="4"/>
      <c r="NYN2" s="4"/>
      <c r="NYO2" s="4"/>
      <c r="NYP2" s="4"/>
      <c r="NYQ2" s="4"/>
      <c r="NYR2" s="4"/>
      <c r="NYS2" s="4"/>
      <c r="NYT2" s="4"/>
      <c r="NYU2" s="4"/>
      <c r="NYV2" s="4"/>
      <c r="NYW2" s="4"/>
      <c r="NYX2" s="4"/>
      <c r="NYY2" s="4"/>
      <c r="NYZ2" s="4"/>
      <c r="NZA2" s="4"/>
      <c r="NZB2" s="4"/>
      <c r="NZC2" s="4"/>
      <c r="NZD2" s="4"/>
      <c r="NZE2" s="4"/>
      <c r="NZF2" s="4"/>
      <c r="NZG2" s="4"/>
      <c r="NZH2" s="4"/>
      <c r="NZI2" s="4"/>
      <c r="NZJ2" s="4"/>
      <c r="NZK2" s="4"/>
      <c r="NZL2" s="4"/>
      <c r="NZM2" s="4"/>
      <c r="NZN2" s="4"/>
      <c r="NZO2" s="4"/>
      <c r="NZP2" s="4"/>
      <c r="NZQ2" s="4"/>
      <c r="NZR2" s="4"/>
      <c r="NZS2" s="4"/>
      <c r="NZT2" s="4"/>
      <c r="NZU2" s="4"/>
      <c r="NZV2" s="4"/>
      <c r="NZW2" s="4"/>
      <c r="NZX2" s="4"/>
      <c r="NZY2" s="4"/>
      <c r="NZZ2" s="4"/>
      <c r="OAA2" s="4"/>
      <c r="OAB2" s="4"/>
      <c r="OAC2" s="4"/>
      <c r="OAD2" s="4"/>
      <c r="OAE2" s="4"/>
      <c r="OAF2" s="4"/>
      <c r="OAG2" s="4"/>
      <c r="OAH2" s="4"/>
      <c r="OAI2" s="4"/>
      <c r="OAJ2" s="4"/>
      <c r="OAK2" s="4"/>
      <c r="OAL2" s="4"/>
      <c r="OAM2" s="4"/>
      <c r="OAN2" s="4"/>
      <c r="OAO2" s="4"/>
      <c r="OAP2" s="4"/>
      <c r="OAQ2" s="4"/>
      <c r="OAR2" s="4"/>
      <c r="OAS2" s="4"/>
      <c r="OAT2" s="4"/>
      <c r="OAU2" s="4"/>
      <c r="OAV2" s="4"/>
      <c r="OAW2" s="4"/>
      <c r="OAX2" s="4"/>
      <c r="OAY2" s="4"/>
      <c r="OAZ2" s="4"/>
      <c r="OBA2" s="4"/>
      <c r="OBB2" s="4"/>
      <c r="OBC2" s="4"/>
      <c r="OBD2" s="4"/>
      <c r="OBE2" s="4"/>
      <c r="OBF2" s="4"/>
      <c r="OBG2" s="4"/>
      <c r="OBH2" s="4"/>
      <c r="OBI2" s="4"/>
      <c r="OBJ2" s="4"/>
      <c r="OBK2" s="4"/>
      <c r="OBL2" s="4"/>
      <c r="OBM2" s="4"/>
      <c r="OBN2" s="4"/>
      <c r="OBO2" s="4"/>
      <c r="OBP2" s="4"/>
      <c r="OBQ2" s="4"/>
      <c r="OBR2" s="4"/>
      <c r="OBS2" s="4"/>
      <c r="OBT2" s="4"/>
      <c r="OBU2" s="4"/>
      <c r="OBV2" s="4"/>
      <c r="OBW2" s="4"/>
      <c r="OBX2" s="4"/>
      <c r="OBY2" s="4"/>
      <c r="OBZ2" s="4"/>
      <c r="OCA2" s="4"/>
      <c r="OCB2" s="4"/>
      <c r="OCC2" s="4"/>
      <c r="OCD2" s="4"/>
      <c r="OCE2" s="4"/>
      <c r="OCF2" s="4"/>
      <c r="OCG2" s="4"/>
      <c r="OCH2" s="4"/>
      <c r="OCI2" s="4"/>
      <c r="OCJ2" s="4"/>
      <c r="OCK2" s="4"/>
      <c r="OCL2" s="4"/>
      <c r="OCM2" s="4"/>
      <c r="OCN2" s="4"/>
      <c r="OCO2" s="4"/>
      <c r="OCP2" s="4"/>
      <c r="OCQ2" s="4"/>
      <c r="OCR2" s="4"/>
      <c r="OCS2" s="4"/>
      <c r="OCT2" s="4"/>
      <c r="OCU2" s="4"/>
      <c r="OCV2" s="4"/>
      <c r="OCW2" s="4"/>
      <c r="OCX2" s="4"/>
      <c r="OCY2" s="4"/>
      <c r="OCZ2" s="4"/>
      <c r="ODA2" s="4"/>
      <c r="ODB2" s="4"/>
      <c r="ODC2" s="4"/>
      <c r="ODD2" s="4"/>
      <c r="ODE2" s="4"/>
      <c r="ODF2" s="4"/>
      <c r="ODG2" s="4"/>
      <c r="ODH2" s="4"/>
      <c r="ODI2" s="4"/>
      <c r="ODJ2" s="4"/>
      <c r="ODK2" s="4"/>
      <c r="ODL2" s="4"/>
      <c r="ODM2" s="4"/>
      <c r="ODN2" s="4"/>
      <c r="ODO2" s="4"/>
      <c r="ODP2" s="4"/>
      <c r="ODQ2" s="4"/>
      <c r="ODR2" s="4"/>
      <c r="ODS2" s="4"/>
      <c r="ODT2" s="4"/>
      <c r="ODU2" s="4"/>
      <c r="ODV2" s="4"/>
      <c r="ODW2" s="4"/>
      <c r="ODX2" s="4"/>
      <c r="ODY2" s="4"/>
      <c r="ODZ2" s="4"/>
      <c r="OEA2" s="4"/>
      <c r="OEB2" s="4"/>
      <c r="OEC2" s="4"/>
      <c r="OED2" s="4"/>
      <c r="OEE2" s="4"/>
      <c r="OEF2" s="4"/>
      <c r="OEG2" s="4"/>
      <c r="OEH2" s="4"/>
      <c r="OEI2" s="4"/>
      <c r="OEJ2" s="4"/>
      <c r="OEK2" s="4"/>
      <c r="OEL2" s="4"/>
      <c r="OEM2" s="4"/>
      <c r="OEN2" s="4"/>
      <c r="OEO2" s="4"/>
      <c r="OEP2" s="4"/>
      <c r="OEQ2" s="4"/>
      <c r="OER2" s="4"/>
      <c r="OES2" s="4"/>
      <c r="OET2" s="4"/>
      <c r="OEU2" s="4"/>
      <c r="OEV2" s="4"/>
      <c r="OEW2" s="4"/>
      <c r="OEX2" s="4"/>
      <c r="OEY2" s="4"/>
      <c r="OEZ2" s="4"/>
      <c r="OFA2" s="4"/>
      <c r="OFB2" s="4"/>
      <c r="OFC2" s="4"/>
      <c r="OFD2" s="4"/>
      <c r="OFE2" s="4"/>
      <c r="OFF2" s="4"/>
      <c r="OFG2" s="4"/>
      <c r="OFH2" s="4"/>
      <c r="OFI2" s="4"/>
      <c r="OFJ2" s="4"/>
      <c r="OFK2" s="4"/>
      <c r="OFL2" s="4"/>
      <c r="OFM2" s="4"/>
      <c r="OFN2" s="4"/>
      <c r="OFO2" s="4"/>
      <c r="OFP2" s="4"/>
      <c r="OFQ2" s="4"/>
      <c r="OFR2" s="4"/>
      <c r="OFS2" s="4"/>
      <c r="OFT2" s="4"/>
      <c r="OFU2" s="4"/>
      <c r="OFV2" s="4"/>
      <c r="OFW2" s="4"/>
      <c r="OFX2" s="4"/>
      <c r="OFY2" s="4"/>
      <c r="OFZ2" s="4"/>
      <c r="OGA2" s="4"/>
      <c r="OGB2" s="4"/>
      <c r="OGC2" s="4"/>
      <c r="OGD2" s="4"/>
      <c r="OGE2" s="4"/>
      <c r="OGF2" s="4"/>
      <c r="OGG2" s="4"/>
      <c r="OGH2" s="4"/>
      <c r="OGI2" s="4"/>
      <c r="OGJ2" s="4"/>
      <c r="OGK2" s="4"/>
      <c r="OGL2" s="4"/>
      <c r="OGM2" s="4"/>
      <c r="OGN2" s="4"/>
      <c r="OGO2" s="4"/>
      <c r="OGP2" s="4"/>
      <c r="OGQ2" s="4"/>
      <c r="OGR2" s="4"/>
      <c r="OGS2" s="4"/>
      <c r="OGT2" s="4"/>
      <c r="OGU2" s="4"/>
      <c r="OGV2" s="4"/>
      <c r="OGW2" s="4"/>
      <c r="OGX2" s="4"/>
      <c r="OGY2" s="4"/>
      <c r="OGZ2" s="4"/>
      <c r="OHA2" s="4"/>
      <c r="OHB2" s="4"/>
      <c r="OHC2" s="4"/>
      <c r="OHD2" s="4"/>
      <c r="OHE2" s="4"/>
      <c r="OHF2" s="4"/>
      <c r="OHG2" s="4"/>
      <c r="OHH2" s="4"/>
      <c r="OHI2" s="4"/>
      <c r="OHJ2" s="4"/>
      <c r="OHK2" s="4"/>
      <c r="OHL2" s="4"/>
      <c r="OHM2" s="4"/>
      <c r="OHN2" s="4"/>
      <c r="OHO2" s="4"/>
      <c r="OHP2" s="4"/>
      <c r="OHQ2" s="4"/>
      <c r="OHR2" s="4"/>
      <c r="OHS2" s="4"/>
      <c r="OHT2" s="4"/>
      <c r="OHU2" s="4"/>
      <c r="OHV2" s="4"/>
      <c r="OHW2" s="4"/>
      <c r="OHX2" s="4"/>
      <c r="OHY2" s="4"/>
      <c r="OHZ2" s="4"/>
      <c r="OIA2" s="4"/>
      <c r="OIB2" s="4"/>
      <c r="OIC2" s="4"/>
      <c r="OID2" s="4"/>
      <c r="OIE2" s="4"/>
      <c r="OIF2" s="4"/>
      <c r="OIG2" s="4"/>
      <c r="OIH2" s="4"/>
      <c r="OII2" s="4"/>
      <c r="OIJ2" s="4"/>
      <c r="OIK2" s="4"/>
      <c r="OIL2" s="4"/>
      <c r="OIM2" s="4"/>
      <c r="OIN2" s="4"/>
      <c r="OIO2" s="4"/>
      <c r="OIP2" s="4"/>
      <c r="OIQ2" s="4"/>
      <c r="OIR2" s="4"/>
      <c r="OIS2" s="4"/>
      <c r="OIT2" s="4"/>
      <c r="OIU2" s="4"/>
      <c r="OIV2" s="4"/>
      <c r="OIW2" s="4"/>
      <c r="OIX2" s="4"/>
      <c r="OIY2" s="4"/>
      <c r="OIZ2" s="4"/>
      <c r="OJA2" s="4"/>
      <c r="OJB2" s="4"/>
      <c r="OJC2" s="4"/>
      <c r="OJD2" s="4"/>
      <c r="OJE2" s="4"/>
      <c r="OJF2" s="4"/>
      <c r="OJG2" s="4"/>
      <c r="OJH2" s="4"/>
      <c r="OJI2" s="4"/>
      <c r="OJJ2" s="4"/>
      <c r="OJK2" s="4"/>
      <c r="OJL2" s="4"/>
      <c r="OJM2" s="4"/>
      <c r="OJN2" s="4"/>
      <c r="OJO2" s="4"/>
      <c r="OJP2" s="4"/>
      <c r="OJQ2" s="4"/>
      <c r="OJR2" s="4"/>
      <c r="OJS2" s="4"/>
      <c r="OJT2" s="4"/>
      <c r="OJU2" s="4"/>
      <c r="OJV2" s="4"/>
      <c r="OJW2" s="4"/>
      <c r="OJX2" s="4"/>
      <c r="OJY2" s="4"/>
      <c r="OJZ2" s="4"/>
      <c r="OKA2" s="4"/>
      <c r="OKB2" s="4"/>
      <c r="OKC2" s="4"/>
      <c r="OKD2" s="4"/>
      <c r="OKE2" s="4"/>
      <c r="OKF2" s="4"/>
      <c r="OKG2" s="4"/>
      <c r="OKH2" s="4"/>
      <c r="OKI2" s="4"/>
      <c r="OKJ2" s="4"/>
      <c r="OKK2" s="4"/>
      <c r="OKL2" s="4"/>
      <c r="OKM2" s="4"/>
      <c r="OKN2" s="4"/>
      <c r="OKO2" s="4"/>
      <c r="OKP2" s="4"/>
      <c r="OKQ2" s="4"/>
      <c r="OKR2" s="4"/>
      <c r="OKS2" s="4"/>
      <c r="OKT2" s="4"/>
      <c r="OKU2" s="4"/>
      <c r="OKV2" s="4"/>
      <c r="OKW2" s="4"/>
      <c r="OKX2" s="4"/>
      <c r="OKY2" s="4"/>
      <c r="OKZ2" s="4"/>
      <c r="OLA2" s="4"/>
      <c r="OLB2" s="4"/>
      <c r="OLC2" s="4"/>
      <c r="OLD2" s="4"/>
      <c r="OLE2" s="4"/>
      <c r="OLF2" s="4"/>
      <c r="OLG2" s="4"/>
      <c r="OLH2" s="4"/>
      <c r="OLI2" s="4"/>
      <c r="OLJ2" s="4"/>
      <c r="OLK2" s="4"/>
      <c r="OLL2" s="4"/>
      <c r="OLM2" s="4"/>
      <c r="OLN2" s="4"/>
      <c r="OLO2" s="4"/>
      <c r="OLP2" s="4"/>
      <c r="OLQ2" s="4"/>
      <c r="OLR2" s="4"/>
      <c r="OLS2" s="4"/>
      <c r="OLT2" s="4"/>
      <c r="OLU2" s="4"/>
      <c r="OLV2" s="4"/>
      <c r="OLW2" s="4"/>
      <c r="OLX2" s="4"/>
      <c r="OLY2" s="4"/>
      <c r="OLZ2" s="4"/>
      <c r="OMA2" s="4"/>
      <c r="OMB2" s="4"/>
      <c r="OMC2" s="4"/>
      <c r="OMD2" s="4"/>
      <c r="OME2" s="4"/>
      <c r="OMF2" s="4"/>
      <c r="OMG2" s="4"/>
      <c r="OMH2" s="4"/>
      <c r="OMI2" s="4"/>
      <c r="OMJ2" s="4"/>
      <c r="OMK2" s="4"/>
      <c r="OML2" s="4"/>
      <c r="OMM2" s="4"/>
      <c r="OMN2" s="4"/>
      <c r="OMO2" s="4"/>
      <c r="OMP2" s="4"/>
      <c r="OMQ2" s="4"/>
      <c r="OMR2" s="4"/>
      <c r="OMS2" s="4"/>
      <c r="OMT2" s="4"/>
      <c r="OMU2" s="4"/>
      <c r="OMV2" s="4"/>
      <c r="OMW2" s="4"/>
      <c r="OMX2" s="4"/>
      <c r="OMY2" s="4"/>
      <c r="OMZ2" s="4"/>
      <c r="ONA2" s="4"/>
      <c r="ONB2" s="4"/>
      <c r="ONC2" s="4"/>
      <c r="OND2" s="4"/>
      <c r="ONE2" s="4"/>
      <c r="ONF2" s="4"/>
      <c r="ONG2" s="4"/>
      <c r="ONH2" s="4"/>
      <c r="ONI2" s="4"/>
      <c r="ONJ2" s="4"/>
      <c r="ONK2" s="4"/>
      <c r="ONL2" s="4"/>
      <c r="ONM2" s="4"/>
      <c r="ONN2" s="4"/>
      <c r="ONO2" s="4"/>
      <c r="ONP2" s="4"/>
      <c r="ONQ2" s="4"/>
      <c r="ONR2" s="4"/>
      <c r="ONS2" s="4"/>
      <c r="ONT2" s="4"/>
      <c r="ONU2" s="4"/>
      <c r="ONV2" s="4"/>
      <c r="ONW2" s="4"/>
      <c r="ONX2" s="4"/>
      <c r="ONY2" s="4"/>
      <c r="ONZ2" s="4"/>
      <c r="OOA2" s="4"/>
      <c r="OOB2" s="4"/>
      <c r="OOC2" s="4"/>
      <c r="OOD2" s="4"/>
      <c r="OOE2" s="4"/>
      <c r="OOF2" s="4"/>
      <c r="OOG2" s="4"/>
      <c r="OOH2" s="4"/>
      <c r="OOI2" s="4"/>
      <c r="OOJ2" s="4"/>
      <c r="OOK2" s="4"/>
      <c r="OOL2" s="4"/>
      <c r="OOM2" s="4"/>
      <c r="OON2" s="4"/>
      <c r="OOO2" s="4"/>
      <c r="OOP2" s="4"/>
      <c r="OOQ2" s="4"/>
      <c r="OOR2" s="4"/>
      <c r="OOS2" s="4"/>
      <c r="OOT2" s="4"/>
      <c r="OOU2" s="4"/>
      <c r="OOV2" s="4"/>
      <c r="OOW2" s="4"/>
      <c r="OOX2" s="4"/>
      <c r="OOY2" s="4"/>
      <c r="OOZ2" s="4"/>
      <c r="OPA2" s="4"/>
      <c r="OPB2" s="4"/>
      <c r="OPC2" s="4"/>
      <c r="OPD2" s="4"/>
      <c r="OPE2" s="4"/>
      <c r="OPF2" s="4"/>
      <c r="OPG2" s="4"/>
      <c r="OPH2" s="4"/>
      <c r="OPI2" s="4"/>
      <c r="OPJ2" s="4"/>
      <c r="OPK2" s="4"/>
      <c r="OPL2" s="4"/>
      <c r="OPM2" s="4"/>
      <c r="OPN2" s="4"/>
      <c r="OPO2" s="4"/>
      <c r="OPP2" s="4"/>
      <c r="OPQ2" s="4"/>
      <c r="OPR2" s="4"/>
      <c r="OPS2" s="4"/>
      <c r="OPT2" s="4"/>
      <c r="OPU2" s="4"/>
      <c r="OPV2" s="4"/>
      <c r="OPW2" s="4"/>
      <c r="OPX2" s="4"/>
      <c r="OPY2" s="4"/>
      <c r="OPZ2" s="4"/>
      <c r="OQA2" s="4"/>
      <c r="OQB2" s="4"/>
      <c r="OQC2" s="4"/>
      <c r="OQD2" s="4"/>
      <c r="OQE2" s="4"/>
      <c r="OQF2" s="4"/>
      <c r="OQG2" s="4"/>
      <c r="OQH2" s="4"/>
      <c r="OQI2" s="4"/>
      <c r="OQJ2" s="4"/>
      <c r="OQK2" s="4"/>
      <c r="OQL2" s="4"/>
      <c r="OQM2" s="4"/>
      <c r="OQN2" s="4"/>
      <c r="OQO2" s="4"/>
      <c r="OQP2" s="4"/>
      <c r="OQQ2" s="4"/>
      <c r="OQR2" s="4"/>
      <c r="OQS2" s="4"/>
      <c r="OQT2" s="4"/>
      <c r="OQU2" s="4"/>
      <c r="OQV2" s="4"/>
      <c r="OQW2" s="4"/>
      <c r="OQX2" s="4"/>
      <c r="OQY2" s="4"/>
      <c r="OQZ2" s="4"/>
      <c r="ORA2" s="4"/>
      <c r="ORB2" s="4"/>
      <c r="ORC2" s="4"/>
      <c r="ORD2" s="4"/>
      <c r="ORE2" s="4"/>
      <c r="ORF2" s="4"/>
      <c r="ORG2" s="4"/>
      <c r="ORH2" s="4"/>
      <c r="ORI2" s="4"/>
      <c r="ORJ2" s="4"/>
      <c r="ORK2" s="4"/>
      <c r="ORL2" s="4"/>
      <c r="ORM2" s="4"/>
      <c r="ORN2" s="4"/>
      <c r="ORO2" s="4"/>
      <c r="ORP2" s="4"/>
      <c r="ORQ2" s="4"/>
      <c r="ORR2" s="4"/>
      <c r="ORS2" s="4"/>
      <c r="ORT2" s="4"/>
      <c r="ORU2" s="4"/>
      <c r="ORV2" s="4"/>
      <c r="ORW2" s="4"/>
      <c r="ORX2" s="4"/>
      <c r="ORY2" s="4"/>
      <c r="ORZ2" s="4"/>
      <c r="OSA2" s="4"/>
      <c r="OSB2" s="4"/>
      <c r="OSC2" s="4"/>
      <c r="OSD2" s="4"/>
      <c r="OSE2" s="4"/>
      <c r="OSF2" s="4"/>
      <c r="OSG2" s="4"/>
      <c r="OSH2" s="4"/>
      <c r="OSI2" s="4"/>
      <c r="OSJ2" s="4"/>
      <c r="OSK2" s="4"/>
      <c r="OSL2" s="4"/>
      <c r="OSM2" s="4"/>
      <c r="OSN2" s="4"/>
      <c r="OSO2" s="4"/>
      <c r="OSP2" s="4"/>
      <c r="OSQ2" s="4"/>
      <c r="OSR2" s="4"/>
      <c r="OSS2" s="4"/>
      <c r="OST2" s="4"/>
      <c r="OSU2" s="4"/>
      <c r="OSV2" s="4"/>
      <c r="OSW2" s="4"/>
      <c r="OSX2" s="4"/>
      <c r="OSY2" s="4"/>
      <c r="OSZ2" s="4"/>
      <c r="OTA2" s="4"/>
      <c r="OTB2" s="4"/>
      <c r="OTC2" s="4"/>
      <c r="OTD2" s="4"/>
      <c r="OTE2" s="4"/>
      <c r="OTF2" s="4"/>
      <c r="OTG2" s="4"/>
      <c r="OTH2" s="4"/>
      <c r="OTI2" s="4"/>
      <c r="OTJ2" s="4"/>
      <c r="OTK2" s="4"/>
      <c r="OTL2" s="4"/>
      <c r="OTM2" s="4"/>
      <c r="OTN2" s="4"/>
      <c r="OTO2" s="4"/>
      <c r="OTP2" s="4"/>
      <c r="OTQ2" s="4"/>
      <c r="OTR2" s="4"/>
      <c r="OTS2" s="4"/>
      <c r="OTT2" s="4"/>
      <c r="OTU2" s="4"/>
      <c r="OTV2" s="4"/>
      <c r="OTW2" s="4"/>
      <c r="OTX2" s="4"/>
      <c r="OTY2" s="4"/>
      <c r="OTZ2" s="4"/>
      <c r="OUA2" s="4"/>
      <c r="OUB2" s="4"/>
      <c r="OUC2" s="4"/>
      <c r="OUD2" s="4"/>
      <c r="OUE2" s="4"/>
      <c r="OUF2" s="4"/>
      <c r="OUG2" s="4"/>
      <c r="OUH2" s="4"/>
      <c r="OUI2" s="4"/>
      <c r="OUJ2" s="4"/>
      <c r="OUK2" s="4"/>
      <c r="OUL2" s="4"/>
      <c r="OUM2" s="4"/>
      <c r="OUN2" s="4"/>
      <c r="OUO2" s="4"/>
      <c r="OUP2" s="4"/>
      <c r="OUQ2" s="4"/>
      <c r="OUR2" s="4"/>
      <c r="OUS2" s="4"/>
      <c r="OUT2" s="4"/>
      <c r="OUU2" s="4"/>
      <c r="OUV2" s="4"/>
      <c r="OUW2" s="4"/>
      <c r="OUX2" s="4"/>
      <c r="OUY2" s="4"/>
      <c r="OUZ2" s="4"/>
      <c r="OVA2" s="4"/>
      <c r="OVB2" s="4"/>
      <c r="OVC2" s="4"/>
      <c r="OVD2" s="4"/>
      <c r="OVE2" s="4"/>
      <c r="OVF2" s="4"/>
      <c r="OVG2" s="4"/>
      <c r="OVH2" s="4"/>
      <c r="OVI2" s="4"/>
      <c r="OVJ2" s="4"/>
      <c r="OVK2" s="4"/>
      <c r="OVL2" s="4"/>
      <c r="OVM2" s="4"/>
      <c r="OVN2" s="4"/>
      <c r="OVO2" s="4"/>
      <c r="OVP2" s="4"/>
      <c r="OVQ2" s="4"/>
      <c r="OVR2" s="4"/>
      <c r="OVS2" s="4"/>
      <c r="OVT2" s="4"/>
      <c r="OVU2" s="4"/>
      <c r="OVV2" s="4"/>
      <c r="OVW2" s="4"/>
      <c r="OVX2" s="4"/>
      <c r="OVY2" s="4"/>
      <c r="OVZ2" s="4"/>
      <c r="OWA2" s="4"/>
      <c r="OWB2" s="4"/>
      <c r="OWC2" s="4"/>
      <c r="OWD2" s="4"/>
      <c r="OWE2" s="4"/>
      <c r="OWF2" s="4"/>
      <c r="OWG2" s="4"/>
      <c r="OWH2" s="4"/>
      <c r="OWI2" s="4"/>
      <c r="OWJ2" s="4"/>
      <c r="OWK2" s="4"/>
      <c r="OWL2" s="4"/>
      <c r="OWM2" s="4"/>
      <c r="OWN2" s="4"/>
      <c r="OWO2" s="4"/>
      <c r="OWP2" s="4"/>
      <c r="OWQ2" s="4"/>
      <c r="OWR2" s="4"/>
      <c r="OWS2" s="4"/>
      <c r="OWT2" s="4"/>
      <c r="OWU2" s="4"/>
      <c r="OWV2" s="4"/>
      <c r="OWW2" s="4"/>
      <c r="OWX2" s="4"/>
      <c r="OWY2" s="4"/>
      <c r="OWZ2" s="4"/>
      <c r="OXA2" s="4"/>
      <c r="OXB2" s="4"/>
      <c r="OXC2" s="4"/>
      <c r="OXD2" s="4"/>
      <c r="OXE2" s="4"/>
      <c r="OXF2" s="4"/>
      <c r="OXG2" s="4"/>
      <c r="OXH2" s="4"/>
      <c r="OXI2" s="4"/>
      <c r="OXJ2" s="4"/>
      <c r="OXK2" s="4"/>
      <c r="OXL2" s="4"/>
      <c r="OXM2" s="4"/>
      <c r="OXN2" s="4"/>
      <c r="OXO2" s="4"/>
      <c r="OXP2" s="4"/>
      <c r="OXQ2" s="4"/>
      <c r="OXR2" s="4"/>
      <c r="OXS2" s="4"/>
      <c r="OXT2" s="4"/>
      <c r="OXU2" s="4"/>
      <c r="OXV2" s="4"/>
      <c r="OXW2" s="4"/>
      <c r="OXX2" s="4"/>
      <c r="OXY2" s="4"/>
      <c r="OXZ2" s="4"/>
      <c r="OYA2" s="4"/>
      <c r="OYB2" s="4"/>
      <c r="OYC2" s="4"/>
      <c r="OYD2" s="4"/>
      <c r="OYE2" s="4"/>
      <c r="OYF2" s="4"/>
      <c r="OYG2" s="4"/>
      <c r="OYH2" s="4"/>
      <c r="OYI2" s="4"/>
      <c r="OYJ2" s="4"/>
      <c r="OYK2" s="4"/>
      <c r="OYL2" s="4"/>
      <c r="OYM2" s="4"/>
      <c r="OYN2" s="4"/>
      <c r="OYO2" s="4"/>
      <c r="OYP2" s="4"/>
      <c r="OYQ2" s="4"/>
      <c r="OYR2" s="4"/>
      <c r="OYS2" s="4"/>
      <c r="OYT2" s="4"/>
      <c r="OYU2" s="4"/>
      <c r="OYV2" s="4"/>
      <c r="OYW2" s="4"/>
      <c r="OYX2" s="4"/>
      <c r="OYY2" s="4"/>
      <c r="OYZ2" s="4"/>
      <c r="OZA2" s="4"/>
      <c r="OZB2" s="4"/>
      <c r="OZC2" s="4"/>
      <c r="OZD2" s="4"/>
      <c r="OZE2" s="4"/>
      <c r="OZF2" s="4"/>
      <c r="OZG2" s="4"/>
      <c r="OZH2" s="4"/>
      <c r="OZI2" s="4"/>
      <c r="OZJ2" s="4"/>
      <c r="OZK2" s="4"/>
      <c r="OZL2" s="4"/>
      <c r="OZM2" s="4"/>
      <c r="OZN2" s="4"/>
      <c r="OZO2" s="4"/>
      <c r="OZP2" s="4"/>
      <c r="OZQ2" s="4"/>
      <c r="OZR2" s="4"/>
      <c r="OZS2" s="4"/>
      <c r="OZT2" s="4"/>
      <c r="OZU2" s="4"/>
      <c r="OZV2" s="4"/>
      <c r="OZW2" s="4"/>
      <c r="OZX2" s="4"/>
      <c r="OZY2" s="4"/>
      <c r="OZZ2" s="4"/>
      <c r="PAA2" s="4"/>
      <c r="PAB2" s="4"/>
      <c r="PAC2" s="4"/>
      <c r="PAD2" s="4"/>
      <c r="PAE2" s="4"/>
      <c r="PAF2" s="4"/>
      <c r="PAG2" s="4"/>
      <c r="PAH2" s="4"/>
      <c r="PAI2" s="4"/>
      <c r="PAJ2" s="4"/>
      <c r="PAK2" s="4"/>
      <c r="PAL2" s="4"/>
      <c r="PAM2" s="4"/>
      <c r="PAN2" s="4"/>
      <c r="PAO2" s="4"/>
      <c r="PAP2" s="4"/>
      <c r="PAQ2" s="4"/>
      <c r="PAR2" s="4"/>
      <c r="PAS2" s="4"/>
      <c r="PAT2" s="4"/>
      <c r="PAU2" s="4"/>
      <c r="PAV2" s="4"/>
      <c r="PAW2" s="4"/>
      <c r="PAX2" s="4"/>
      <c r="PAY2" s="4"/>
      <c r="PAZ2" s="4"/>
      <c r="PBA2" s="4"/>
      <c r="PBB2" s="4"/>
      <c r="PBC2" s="4"/>
      <c r="PBD2" s="4"/>
      <c r="PBE2" s="4"/>
      <c r="PBF2" s="4"/>
      <c r="PBG2" s="4"/>
      <c r="PBH2" s="4"/>
      <c r="PBI2" s="4"/>
      <c r="PBJ2" s="4"/>
      <c r="PBK2" s="4"/>
      <c r="PBL2" s="4"/>
      <c r="PBM2" s="4"/>
      <c r="PBN2" s="4"/>
      <c r="PBO2" s="4"/>
      <c r="PBP2" s="4"/>
      <c r="PBQ2" s="4"/>
      <c r="PBR2" s="4"/>
      <c r="PBS2" s="4"/>
      <c r="PBT2" s="4"/>
      <c r="PBU2" s="4"/>
      <c r="PBV2" s="4"/>
      <c r="PBW2" s="4"/>
      <c r="PBX2" s="4"/>
      <c r="PBY2" s="4"/>
      <c r="PBZ2" s="4"/>
      <c r="PCA2" s="4"/>
      <c r="PCB2" s="4"/>
      <c r="PCC2" s="4"/>
      <c r="PCD2" s="4"/>
      <c r="PCE2" s="4"/>
      <c r="PCF2" s="4"/>
      <c r="PCG2" s="4"/>
      <c r="PCH2" s="4"/>
      <c r="PCI2" s="4"/>
      <c r="PCJ2" s="4"/>
      <c r="PCK2" s="4"/>
      <c r="PCL2" s="4"/>
      <c r="PCM2" s="4"/>
      <c r="PCN2" s="4"/>
      <c r="PCO2" s="4"/>
      <c r="PCP2" s="4"/>
      <c r="PCQ2" s="4"/>
      <c r="PCR2" s="4"/>
      <c r="PCS2" s="4"/>
      <c r="PCT2" s="4"/>
      <c r="PCU2" s="4"/>
      <c r="PCV2" s="4"/>
      <c r="PCW2" s="4"/>
      <c r="PCX2" s="4"/>
      <c r="PCY2" s="4"/>
      <c r="PCZ2" s="4"/>
      <c r="PDA2" s="4"/>
      <c r="PDB2" s="4"/>
      <c r="PDC2" s="4"/>
      <c r="PDD2" s="4"/>
      <c r="PDE2" s="4"/>
      <c r="PDF2" s="4"/>
      <c r="PDG2" s="4"/>
      <c r="PDH2" s="4"/>
      <c r="PDI2" s="4"/>
      <c r="PDJ2" s="4"/>
      <c r="PDK2" s="4"/>
      <c r="PDL2" s="4"/>
      <c r="PDM2" s="4"/>
      <c r="PDN2" s="4"/>
      <c r="PDO2" s="4"/>
      <c r="PDP2" s="4"/>
      <c r="PDQ2" s="4"/>
      <c r="PDR2" s="4"/>
      <c r="PDS2" s="4"/>
      <c r="PDT2" s="4"/>
      <c r="PDU2" s="4"/>
      <c r="PDV2" s="4"/>
      <c r="PDW2" s="4"/>
      <c r="PDX2" s="4"/>
      <c r="PDY2" s="4"/>
      <c r="PDZ2" s="4"/>
      <c r="PEA2" s="4"/>
      <c r="PEB2" s="4"/>
      <c r="PEC2" s="4"/>
      <c r="PED2" s="4"/>
      <c r="PEE2" s="4"/>
      <c r="PEF2" s="4"/>
      <c r="PEG2" s="4"/>
      <c r="PEH2" s="4"/>
      <c r="PEI2" s="4"/>
      <c r="PEJ2" s="4"/>
      <c r="PEK2" s="4"/>
      <c r="PEL2" s="4"/>
      <c r="PEM2" s="4"/>
      <c r="PEN2" s="4"/>
      <c r="PEO2" s="4"/>
      <c r="PEP2" s="4"/>
      <c r="PEQ2" s="4"/>
      <c r="PER2" s="4"/>
      <c r="PES2" s="4"/>
      <c r="PET2" s="4"/>
      <c r="PEU2" s="4"/>
      <c r="PEV2" s="4"/>
      <c r="PEW2" s="4"/>
      <c r="PEX2" s="4"/>
      <c r="PEY2" s="4"/>
      <c r="PEZ2" s="4"/>
      <c r="PFA2" s="4"/>
      <c r="PFB2" s="4"/>
      <c r="PFC2" s="4"/>
      <c r="PFD2" s="4"/>
      <c r="PFE2" s="4"/>
      <c r="PFF2" s="4"/>
      <c r="PFG2" s="4"/>
      <c r="PFH2" s="4"/>
      <c r="PFI2" s="4"/>
      <c r="PFJ2" s="4"/>
      <c r="PFK2" s="4"/>
      <c r="PFL2" s="4"/>
      <c r="PFM2" s="4"/>
      <c r="PFN2" s="4"/>
      <c r="PFO2" s="4"/>
      <c r="PFP2" s="4"/>
      <c r="PFQ2" s="4"/>
      <c r="PFR2" s="4"/>
      <c r="PFS2" s="4"/>
      <c r="PFT2" s="4"/>
      <c r="PFU2" s="4"/>
      <c r="PFV2" s="4"/>
      <c r="PFW2" s="4"/>
      <c r="PFX2" s="4"/>
      <c r="PFY2" s="4"/>
      <c r="PFZ2" s="4"/>
      <c r="PGA2" s="4"/>
      <c r="PGB2" s="4"/>
      <c r="PGC2" s="4"/>
      <c r="PGD2" s="4"/>
      <c r="PGE2" s="4"/>
      <c r="PGF2" s="4"/>
      <c r="PGG2" s="4"/>
      <c r="PGH2" s="4"/>
      <c r="PGI2" s="4"/>
      <c r="PGJ2" s="4"/>
      <c r="PGK2" s="4"/>
      <c r="PGL2" s="4"/>
      <c r="PGM2" s="4"/>
      <c r="PGN2" s="4"/>
      <c r="PGO2" s="4"/>
      <c r="PGP2" s="4"/>
      <c r="PGQ2" s="4"/>
      <c r="PGR2" s="4"/>
      <c r="PGS2" s="4"/>
      <c r="PGT2" s="4"/>
      <c r="PGU2" s="4"/>
      <c r="PGV2" s="4"/>
      <c r="PGW2" s="4"/>
      <c r="PGX2" s="4"/>
      <c r="PGY2" s="4"/>
      <c r="PGZ2" s="4"/>
      <c r="PHA2" s="4"/>
      <c r="PHB2" s="4"/>
      <c r="PHC2" s="4"/>
      <c r="PHD2" s="4"/>
      <c r="PHE2" s="4"/>
      <c r="PHF2" s="4"/>
      <c r="PHG2" s="4"/>
      <c r="PHH2" s="4"/>
      <c r="PHI2" s="4"/>
      <c r="PHJ2" s="4"/>
      <c r="PHK2" s="4"/>
      <c r="PHL2" s="4"/>
      <c r="PHM2" s="4"/>
      <c r="PHN2" s="4"/>
      <c r="PHO2" s="4"/>
      <c r="PHP2" s="4"/>
      <c r="PHQ2" s="4"/>
      <c r="PHR2" s="4"/>
      <c r="PHS2" s="4"/>
      <c r="PHT2" s="4"/>
      <c r="PHU2" s="4"/>
      <c r="PHV2" s="4"/>
      <c r="PHW2" s="4"/>
      <c r="PHX2" s="4"/>
      <c r="PHY2" s="4"/>
      <c r="PHZ2" s="4"/>
      <c r="PIA2" s="4"/>
      <c r="PIB2" s="4"/>
      <c r="PIC2" s="4"/>
      <c r="PID2" s="4"/>
      <c r="PIE2" s="4"/>
      <c r="PIF2" s="4"/>
      <c r="PIG2" s="4"/>
      <c r="PIH2" s="4"/>
      <c r="PII2" s="4"/>
      <c r="PIJ2" s="4"/>
      <c r="PIK2" s="4"/>
      <c r="PIL2" s="4"/>
      <c r="PIM2" s="4"/>
      <c r="PIN2" s="4"/>
      <c r="PIO2" s="4"/>
      <c r="PIP2" s="4"/>
      <c r="PIQ2" s="4"/>
      <c r="PIR2" s="4"/>
      <c r="PIS2" s="4"/>
      <c r="PIT2" s="4"/>
      <c r="PIU2" s="4"/>
      <c r="PIV2" s="4"/>
      <c r="PIW2" s="4"/>
      <c r="PIX2" s="4"/>
      <c r="PIY2" s="4"/>
      <c r="PIZ2" s="4"/>
      <c r="PJA2" s="4"/>
      <c r="PJB2" s="4"/>
      <c r="PJC2" s="4"/>
      <c r="PJD2" s="4"/>
      <c r="PJE2" s="4"/>
      <c r="PJF2" s="4"/>
      <c r="PJG2" s="4"/>
      <c r="PJH2" s="4"/>
      <c r="PJI2" s="4"/>
      <c r="PJJ2" s="4"/>
      <c r="PJK2" s="4"/>
      <c r="PJL2" s="4"/>
      <c r="PJM2" s="4"/>
      <c r="PJN2" s="4"/>
      <c r="PJO2" s="4"/>
      <c r="PJP2" s="4"/>
      <c r="PJQ2" s="4"/>
      <c r="PJR2" s="4"/>
      <c r="PJS2" s="4"/>
      <c r="PJT2" s="4"/>
      <c r="PJU2" s="4"/>
      <c r="PJV2" s="4"/>
      <c r="PJW2" s="4"/>
      <c r="PJX2" s="4"/>
      <c r="PJY2" s="4"/>
      <c r="PJZ2" s="4"/>
      <c r="PKA2" s="4"/>
      <c r="PKB2" s="4"/>
      <c r="PKC2" s="4"/>
      <c r="PKD2" s="4"/>
      <c r="PKE2" s="4"/>
      <c r="PKF2" s="4"/>
      <c r="PKG2" s="4"/>
      <c r="PKH2" s="4"/>
      <c r="PKI2" s="4"/>
      <c r="PKJ2" s="4"/>
      <c r="PKK2" s="4"/>
      <c r="PKL2" s="4"/>
      <c r="PKM2" s="4"/>
      <c r="PKN2" s="4"/>
      <c r="PKO2" s="4"/>
      <c r="PKP2" s="4"/>
      <c r="PKQ2" s="4"/>
      <c r="PKR2" s="4"/>
      <c r="PKS2" s="4"/>
      <c r="PKT2" s="4"/>
      <c r="PKU2" s="4"/>
      <c r="PKV2" s="4"/>
      <c r="PKW2" s="4"/>
      <c r="PKX2" s="4"/>
      <c r="PKY2" s="4"/>
      <c r="PKZ2" s="4"/>
      <c r="PLA2" s="4"/>
      <c r="PLB2" s="4"/>
      <c r="PLC2" s="4"/>
      <c r="PLD2" s="4"/>
      <c r="PLE2" s="4"/>
      <c r="PLF2" s="4"/>
      <c r="PLG2" s="4"/>
      <c r="PLH2" s="4"/>
      <c r="PLI2" s="4"/>
      <c r="PLJ2" s="4"/>
      <c r="PLK2" s="4"/>
      <c r="PLL2" s="4"/>
      <c r="PLM2" s="4"/>
      <c r="PLN2" s="4"/>
      <c r="PLO2" s="4"/>
      <c r="PLP2" s="4"/>
      <c r="PLQ2" s="4"/>
      <c r="PLR2" s="4"/>
      <c r="PLS2" s="4"/>
      <c r="PLT2" s="4"/>
      <c r="PLU2" s="4"/>
      <c r="PLV2" s="4"/>
      <c r="PLW2" s="4"/>
      <c r="PLX2" s="4"/>
      <c r="PLY2" s="4"/>
      <c r="PLZ2" s="4"/>
      <c r="PMA2" s="4"/>
      <c r="PMB2" s="4"/>
      <c r="PMC2" s="4"/>
      <c r="PMD2" s="4"/>
      <c r="PME2" s="4"/>
      <c r="PMF2" s="4"/>
      <c r="PMG2" s="4"/>
      <c r="PMH2" s="4"/>
      <c r="PMI2" s="4"/>
      <c r="PMJ2" s="4"/>
      <c r="PMK2" s="4"/>
      <c r="PML2" s="4"/>
      <c r="PMM2" s="4"/>
      <c r="PMN2" s="4"/>
      <c r="PMO2" s="4"/>
      <c r="PMP2" s="4"/>
      <c r="PMQ2" s="4"/>
      <c r="PMR2" s="4"/>
      <c r="PMS2" s="4"/>
      <c r="PMT2" s="4"/>
      <c r="PMU2" s="4"/>
      <c r="PMV2" s="4"/>
      <c r="PMW2" s="4"/>
      <c r="PMX2" s="4"/>
      <c r="PMY2" s="4"/>
      <c r="PMZ2" s="4"/>
      <c r="PNA2" s="4"/>
      <c r="PNB2" s="4"/>
      <c r="PNC2" s="4"/>
      <c r="PND2" s="4"/>
      <c r="PNE2" s="4"/>
      <c r="PNF2" s="4"/>
      <c r="PNG2" s="4"/>
      <c r="PNH2" s="4"/>
      <c r="PNI2" s="4"/>
      <c r="PNJ2" s="4"/>
      <c r="PNK2" s="4"/>
      <c r="PNL2" s="4"/>
      <c r="PNM2" s="4"/>
      <c r="PNN2" s="4"/>
      <c r="PNO2" s="4"/>
      <c r="PNP2" s="4"/>
      <c r="PNQ2" s="4"/>
      <c r="PNR2" s="4"/>
      <c r="PNS2" s="4"/>
      <c r="PNT2" s="4"/>
      <c r="PNU2" s="4"/>
      <c r="PNV2" s="4"/>
      <c r="PNW2" s="4"/>
      <c r="PNX2" s="4"/>
      <c r="PNY2" s="4"/>
      <c r="PNZ2" s="4"/>
      <c r="POA2" s="4"/>
      <c r="POB2" s="4"/>
      <c r="POC2" s="4"/>
      <c r="POD2" s="4"/>
      <c r="POE2" s="4"/>
      <c r="POF2" s="4"/>
      <c r="POG2" s="4"/>
      <c r="POH2" s="4"/>
      <c r="POI2" s="4"/>
      <c r="POJ2" s="4"/>
      <c r="POK2" s="4"/>
      <c r="POL2" s="4"/>
      <c r="POM2" s="4"/>
      <c r="PON2" s="4"/>
      <c r="POO2" s="4"/>
      <c r="POP2" s="4"/>
      <c r="POQ2" s="4"/>
      <c r="POR2" s="4"/>
      <c r="POS2" s="4"/>
      <c r="POT2" s="4"/>
      <c r="POU2" s="4"/>
      <c r="POV2" s="4"/>
      <c r="POW2" s="4"/>
      <c r="POX2" s="4"/>
      <c r="POY2" s="4"/>
      <c r="POZ2" s="4"/>
      <c r="PPA2" s="4"/>
      <c r="PPB2" s="4"/>
      <c r="PPC2" s="4"/>
      <c r="PPD2" s="4"/>
      <c r="PPE2" s="4"/>
      <c r="PPF2" s="4"/>
      <c r="PPG2" s="4"/>
      <c r="PPH2" s="4"/>
      <c r="PPI2" s="4"/>
      <c r="PPJ2" s="4"/>
      <c r="PPK2" s="4"/>
      <c r="PPL2" s="4"/>
      <c r="PPM2" s="4"/>
      <c r="PPN2" s="4"/>
      <c r="PPO2" s="4"/>
      <c r="PPP2" s="4"/>
      <c r="PPQ2" s="4"/>
      <c r="PPR2" s="4"/>
      <c r="PPS2" s="4"/>
      <c r="PPT2" s="4"/>
      <c r="PPU2" s="4"/>
      <c r="PPV2" s="4"/>
      <c r="PPW2" s="4"/>
      <c r="PPX2" s="4"/>
      <c r="PPY2" s="4"/>
      <c r="PPZ2" s="4"/>
      <c r="PQA2" s="4"/>
      <c r="PQB2" s="4"/>
      <c r="PQC2" s="4"/>
      <c r="PQD2" s="4"/>
      <c r="PQE2" s="4"/>
      <c r="PQF2" s="4"/>
      <c r="PQG2" s="4"/>
      <c r="PQH2" s="4"/>
      <c r="PQI2" s="4"/>
      <c r="PQJ2" s="4"/>
      <c r="PQK2" s="4"/>
      <c r="PQL2" s="4"/>
      <c r="PQM2" s="4"/>
      <c r="PQN2" s="4"/>
      <c r="PQO2" s="4"/>
      <c r="PQP2" s="4"/>
      <c r="PQQ2" s="4"/>
      <c r="PQR2" s="4"/>
      <c r="PQS2" s="4"/>
      <c r="PQT2" s="4"/>
      <c r="PQU2" s="4"/>
      <c r="PQV2" s="4"/>
      <c r="PQW2" s="4"/>
      <c r="PQX2" s="4"/>
      <c r="PQY2" s="4"/>
      <c r="PQZ2" s="4"/>
      <c r="PRA2" s="4"/>
      <c r="PRB2" s="4"/>
      <c r="PRC2" s="4"/>
      <c r="PRD2" s="4"/>
      <c r="PRE2" s="4"/>
      <c r="PRF2" s="4"/>
      <c r="PRG2" s="4"/>
      <c r="PRH2" s="4"/>
      <c r="PRI2" s="4"/>
      <c r="PRJ2" s="4"/>
      <c r="PRK2" s="4"/>
      <c r="PRL2" s="4"/>
      <c r="PRM2" s="4"/>
      <c r="PRN2" s="4"/>
      <c r="PRO2" s="4"/>
      <c r="PRP2" s="4"/>
      <c r="PRQ2" s="4"/>
      <c r="PRR2" s="4"/>
      <c r="PRS2" s="4"/>
      <c r="PRT2" s="4"/>
      <c r="PRU2" s="4"/>
      <c r="PRV2" s="4"/>
      <c r="PRW2" s="4"/>
      <c r="PRX2" s="4"/>
      <c r="PRY2" s="4"/>
      <c r="PRZ2" s="4"/>
      <c r="PSA2" s="4"/>
      <c r="PSB2" s="4"/>
      <c r="PSC2" s="4"/>
      <c r="PSD2" s="4"/>
      <c r="PSE2" s="4"/>
      <c r="PSF2" s="4"/>
      <c r="PSG2" s="4"/>
      <c r="PSH2" s="4"/>
      <c r="PSI2" s="4"/>
      <c r="PSJ2" s="4"/>
      <c r="PSK2" s="4"/>
      <c r="PSL2" s="4"/>
      <c r="PSM2" s="4"/>
      <c r="PSN2" s="4"/>
      <c r="PSO2" s="4"/>
      <c r="PSP2" s="4"/>
      <c r="PSQ2" s="4"/>
      <c r="PSR2" s="4"/>
      <c r="PSS2" s="4"/>
      <c r="PST2" s="4"/>
      <c r="PSU2" s="4"/>
      <c r="PSV2" s="4"/>
      <c r="PSW2" s="4"/>
      <c r="PSX2" s="4"/>
      <c r="PSY2" s="4"/>
      <c r="PSZ2" s="4"/>
      <c r="PTA2" s="4"/>
      <c r="PTB2" s="4"/>
      <c r="PTC2" s="4"/>
      <c r="PTD2" s="4"/>
      <c r="PTE2" s="4"/>
      <c r="PTF2" s="4"/>
      <c r="PTG2" s="4"/>
      <c r="PTH2" s="4"/>
      <c r="PTI2" s="4"/>
      <c r="PTJ2" s="4"/>
      <c r="PTK2" s="4"/>
      <c r="PTL2" s="4"/>
      <c r="PTM2" s="4"/>
      <c r="PTN2" s="4"/>
      <c r="PTO2" s="4"/>
      <c r="PTP2" s="4"/>
      <c r="PTQ2" s="4"/>
      <c r="PTR2" s="4"/>
      <c r="PTS2" s="4"/>
      <c r="PTT2" s="4"/>
      <c r="PTU2" s="4"/>
      <c r="PTV2" s="4"/>
      <c r="PTW2" s="4"/>
      <c r="PTX2" s="4"/>
      <c r="PTY2" s="4"/>
      <c r="PTZ2" s="4"/>
      <c r="PUA2" s="4"/>
      <c r="PUB2" s="4"/>
      <c r="PUC2" s="4"/>
      <c r="PUD2" s="4"/>
      <c r="PUE2" s="4"/>
      <c r="PUF2" s="4"/>
      <c r="PUG2" s="4"/>
      <c r="PUH2" s="4"/>
      <c r="PUI2" s="4"/>
      <c r="PUJ2" s="4"/>
      <c r="PUK2" s="4"/>
      <c r="PUL2" s="4"/>
      <c r="PUM2" s="4"/>
      <c r="PUN2" s="4"/>
      <c r="PUO2" s="4"/>
      <c r="PUP2" s="4"/>
      <c r="PUQ2" s="4"/>
      <c r="PUR2" s="4"/>
      <c r="PUS2" s="4"/>
      <c r="PUT2" s="4"/>
      <c r="PUU2" s="4"/>
      <c r="PUV2" s="4"/>
      <c r="PUW2" s="4"/>
      <c r="PUX2" s="4"/>
      <c r="PUY2" s="4"/>
      <c r="PUZ2" s="4"/>
      <c r="PVA2" s="4"/>
      <c r="PVB2" s="4"/>
      <c r="PVC2" s="4"/>
      <c r="PVD2" s="4"/>
      <c r="PVE2" s="4"/>
      <c r="PVF2" s="4"/>
      <c r="PVG2" s="4"/>
      <c r="PVH2" s="4"/>
      <c r="PVI2" s="4"/>
      <c r="PVJ2" s="4"/>
      <c r="PVK2" s="4"/>
      <c r="PVL2" s="4"/>
      <c r="PVM2" s="4"/>
      <c r="PVN2" s="4"/>
      <c r="PVO2" s="4"/>
      <c r="PVP2" s="4"/>
      <c r="PVQ2" s="4"/>
      <c r="PVR2" s="4"/>
      <c r="PVS2" s="4"/>
      <c r="PVT2" s="4"/>
      <c r="PVU2" s="4"/>
      <c r="PVV2" s="4"/>
      <c r="PVW2" s="4"/>
      <c r="PVX2" s="4"/>
      <c r="PVY2" s="4"/>
      <c r="PVZ2" s="4"/>
      <c r="PWA2" s="4"/>
      <c r="PWB2" s="4"/>
      <c r="PWC2" s="4"/>
      <c r="PWD2" s="4"/>
      <c r="PWE2" s="4"/>
      <c r="PWF2" s="4"/>
      <c r="PWG2" s="4"/>
      <c r="PWH2" s="4"/>
      <c r="PWI2" s="4"/>
      <c r="PWJ2" s="4"/>
      <c r="PWK2" s="4"/>
      <c r="PWL2" s="4"/>
      <c r="PWM2" s="4"/>
      <c r="PWN2" s="4"/>
      <c r="PWO2" s="4"/>
      <c r="PWP2" s="4"/>
      <c r="PWQ2" s="4"/>
      <c r="PWR2" s="4"/>
      <c r="PWS2" s="4"/>
      <c r="PWT2" s="4"/>
      <c r="PWU2" s="4"/>
      <c r="PWV2" s="4"/>
      <c r="PWW2" s="4"/>
      <c r="PWX2" s="4"/>
      <c r="PWY2" s="4"/>
      <c r="PWZ2" s="4"/>
      <c r="PXA2" s="4"/>
      <c r="PXB2" s="4"/>
      <c r="PXC2" s="4"/>
      <c r="PXD2" s="4"/>
      <c r="PXE2" s="4"/>
      <c r="PXF2" s="4"/>
      <c r="PXG2" s="4"/>
      <c r="PXH2" s="4"/>
      <c r="PXI2" s="4"/>
      <c r="PXJ2" s="4"/>
      <c r="PXK2" s="4"/>
      <c r="PXL2" s="4"/>
      <c r="PXM2" s="4"/>
      <c r="PXN2" s="4"/>
      <c r="PXO2" s="4"/>
      <c r="PXP2" s="4"/>
      <c r="PXQ2" s="4"/>
      <c r="PXR2" s="4"/>
      <c r="PXS2" s="4"/>
      <c r="PXT2" s="4"/>
      <c r="PXU2" s="4"/>
      <c r="PXV2" s="4"/>
      <c r="PXW2" s="4"/>
      <c r="PXX2" s="4"/>
      <c r="PXY2" s="4"/>
      <c r="PXZ2" s="4"/>
      <c r="PYA2" s="4"/>
      <c r="PYB2" s="4"/>
      <c r="PYC2" s="4"/>
      <c r="PYD2" s="4"/>
      <c r="PYE2" s="4"/>
      <c r="PYF2" s="4"/>
      <c r="PYG2" s="4"/>
      <c r="PYH2" s="4"/>
      <c r="PYI2" s="4"/>
      <c r="PYJ2" s="4"/>
      <c r="PYK2" s="4"/>
      <c r="PYL2" s="4"/>
      <c r="PYM2" s="4"/>
      <c r="PYN2" s="4"/>
      <c r="PYO2" s="4"/>
      <c r="PYP2" s="4"/>
      <c r="PYQ2" s="4"/>
      <c r="PYR2" s="4"/>
      <c r="PYS2" s="4"/>
      <c r="PYT2" s="4"/>
      <c r="PYU2" s="4"/>
      <c r="PYV2" s="4"/>
      <c r="PYW2" s="4"/>
      <c r="PYX2" s="4"/>
      <c r="PYY2" s="4"/>
      <c r="PYZ2" s="4"/>
      <c r="PZA2" s="4"/>
      <c r="PZB2" s="4"/>
      <c r="PZC2" s="4"/>
      <c r="PZD2" s="4"/>
      <c r="PZE2" s="4"/>
      <c r="PZF2" s="4"/>
      <c r="PZG2" s="4"/>
      <c r="PZH2" s="4"/>
      <c r="PZI2" s="4"/>
      <c r="PZJ2" s="4"/>
      <c r="PZK2" s="4"/>
      <c r="PZL2" s="4"/>
      <c r="PZM2" s="4"/>
      <c r="PZN2" s="4"/>
      <c r="PZO2" s="4"/>
      <c r="PZP2" s="4"/>
      <c r="PZQ2" s="4"/>
      <c r="PZR2" s="4"/>
      <c r="PZS2" s="4"/>
      <c r="PZT2" s="4"/>
      <c r="PZU2" s="4"/>
      <c r="PZV2" s="4"/>
      <c r="PZW2" s="4"/>
      <c r="PZX2" s="4"/>
      <c r="PZY2" s="4"/>
      <c r="PZZ2" s="4"/>
      <c r="QAA2" s="4"/>
      <c r="QAB2" s="4"/>
      <c r="QAC2" s="4"/>
      <c r="QAD2" s="4"/>
      <c r="QAE2" s="4"/>
      <c r="QAF2" s="4"/>
      <c r="QAG2" s="4"/>
      <c r="QAH2" s="4"/>
      <c r="QAI2" s="4"/>
      <c r="QAJ2" s="4"/>
      <c r="QAK2" s="4"/>
      <c r="QAL2" s="4"/>
      <c r="QAM2" s="4"/>
      <c r="QAN2" s="4"/>
      <c r="QAO2" s="4"/>
      <c r="QAP2" s="4"/>
      <c r="QAQ2" s="4"/>
      <c r="QAR2" s="4"/>
      <c r="QAS2" s="4"/>
      <c r="QAT2" s="4"/>
      <c r="QAU2" s="4"/>
      <c r="QAV2" s="4"/>
      <c r="QAW2" s="4"/>
      <c r="QAX2" s="4"/>
      <c r="QAY2" s="4"/>
      <c r="QAZ2" s="4"/>
      <c r="QBA2" s="4"/>
      <c r="QBB2" s="4"/>
      <c r="QBC2" s="4"/>
      <c r="QBD2" s="4"/>
      <c r="QBE2" s="4"/>
      <c r="QBF2" s="4"/>
      <c r="QBG2" s="4"/>
      <c r="QBH2" s="4"/>
      <c r="QBI2" s="4"/>
      <c r="QBJ2" s="4"/>
      <c r="QBK2" s="4"/>
      <c r="QBL2" s="4"/>
      <c r="QBM2" s="4"/>
      <c r="QBN2" s="4"/>
      <c r="QBO2" s="4"/>
      <c r="QBP2" s="4"/>
      <c r="QBQ2" s="4"/>
      <c r="QBR2" s="4"/>
      <c r="QBS2" s="4"/>
      <c r="QBT2" s="4"/>
      <c r="QBU2" s="4"/>
      <c r="QBV2" s="4"/>
      <c r="QBW2" s="4"/>
      <c r="QBX2" s="4"/>
      <c r="QBY2" s="4"/>
      <c r="QBZ2" s="4"/>
      <c r="QCA2" s="4"/>
      <c r="QCB2" s="4"/>
      <c r="QCC2" s="4"/>
      <c r="QCD2" s="4"/>
      <c r="QCE2" s="4"/>
      <c r="QCF2" s="4"/>
      <c r="QCG2" s="4"/>
      <c r="QCH2" s="4"/>
      <c r="QCI2" s="4"/>
      <c r="QCJ2" s="4"/>
      <c r="QCK2" s="4"/>
      <c r="QCL2" s="4"/>
      <c r="QCM2" s="4"/>
      <c r="QCN2" s="4"/>
      <c r="QCO2" s="4"/>
      <c r="QCP2" s="4"/>
      <c r="QCQ2" s="4"/>
      <c r="QCR2" s="4"/>
      <c r="QCS2" s="4"/>
      <c r="QCT2" s="4"/>
      <c r="QCU2" s="4"/>
      <c r="QCV2" s="4"/>
      <c r="QCW2" s="4"/>
      <c r="QCX2" s="4"/>
      <c r="QCY2" s="4"/>
      <c r="QCZ2" s="4"/>
      <c r="QDA2" s="4"/>
      <c r="QDB2" s="4"/>
      <c r="QDC2" s="4"/>
      <c r="QDD2" s="4"/>
      <c r="QDE2" s="4"/>
      <c r="QDF2" s="4"/>
      <c r="QDG2" s="4"/>
      <c r="QDH2" s="4"/>
      <c r="QDI2" s="4"/>
      <c r="QDJ2" s="4"/>
      <c r="QDK2" s="4"/>
      <c r="QDL2" s="4"/>
      <c r="QDM2" s="4"/>
      <c r="QDN2" s="4"/>
      <c r="QDO2" s="4"/>
      <c r="QDP2" s="4"/>
      <c r="QDQ2" s="4"/>
      <c r="QDR2" s="4"/>
      <c r="QDS2" s="4"/>
      <c r="QDT2" s="4"/>
      <c r="QDU2" s="4"/>
      <c r="QDV2" s="4"/>
      <c r="QDW2" s="4"/>
      <c r="QDX2" s="4"/>
      <c r="QDY2" s="4"/>
      <c r="QDZ2" s="4"/>
      <c r="QEA2" s="4"/>
      <c r="QEB2" s="4"/>
      <c r="QEC2" s="4"/>
      <c r="QED2" s="4"/>
      <c r="QEE2" s="4"/>
      <c r="QEF2" s="4"/>
      <c r="QEG2" s="4"/>
      <c r="QEH2" s="4"/>
      <c r="QEI2" s="4"/>
      <c r="QEJ2" s="4"/>
      <c r="QEK2" s="4"/>
      <c r="QEL2" s="4"/>
      <c r="QEM2" s="4"/>
      <c r="QEN2" s="4"/>
      <c r="QEO2" s="4"/>
      <c r="QEP2" s="4"/>
      <c r="QEQ2" s="4"/>
      <c r="QER2" s="4"/>
      <c r="QES2" s="4"/>
      <c r="QET2" s="4"/>
      <c r="QEU2" s="4"/>
      <c r="QEV2" s="4"/>
      <c r="QEW2" s="4"/>
      <c r="QEX2" s="4"/>
      <c r="QEY2" s="4"/>
      <c r="QEZ2" s="4"/>
      <c r="QFA2" s="4"/>
      <c r="QFB2" s="4"/>
      <c r="QFC2" s="4"/>
      <c r="QFD2" s="4"/>
      <c r="QFE2" s="4"/>
      <c r="QFF2" s="4"/>
      <c r="QFG2" s="4"/>
      <c r="QFH2" s="4"/>
      <c r="QFI2" s="4"/>
      <c r="QFJ2" s="4"/>
      <c r="QFK2" s="4"/>
      <c r="QFL2" s="4"/>
      <c r="QFM2" s="4"/>
      <c r="QFN2" s="4"/>
      <c r="QFO2" s="4"/>
      <c r="QFP2" s="4"/>
      <c r="QFQ2" s="4"/>
      <c r="QFR2" s="4"/>
      <c r="QFS2" s="4"/>
      <c r="QFT2" s="4"/>
      <c r="QFU2" s="4"/>
      <c r="QFV2" s="4"/>
      <c r="QFW2" s="4"/>
      <c r="QFX2" s="4"/>
      <c r="QFY2" s="4"/>
      <c r="QFZ2" s="4"/>
      <c r="QGA2" s="4"/>
      <c r="QGB2" s="4"/>
      <c r="QGC2" s="4"/>
      <c r="QGD2" s="4"/>
      <c r="QGE2" s="4"/>
      <c r="QGF2" s="4"/>
      <c r="QGG2" s="4"/>
      <c r="QGH2" s="4"/>
      <c r="QGI2" s="4"/>
      <c r="QGJ2" s="4"/>
      <c r="QGK2" s="4"/>
      <c r="QGL2" s="4"/>
      <c r="QGM2" s="4"/>
      <c r="QGN2" s="4"/>
      <c r="QGO2" s="4"/>
      <c r="QGP2" s="4"/>
      <c r="QGQ2" s="4"/>
      <c r="QGR2" s="4"/>
      <c r="QGS2" s="4"/>
      <c r="QGT2" s="4"/>
      <c r="QGU2" s="4"/>
      <c r="QGV2" s="4"/>
      <c r="QGW2" s="4"/>
      <c r="QGX2" s="4"/>
      <c r="QGY2" s="4"/>
      <c r="QGZ2" s="4"/>
      <c r="QHA2" s="4"/>
      <c r="QHB2" s="4"/>
      <c r="QHC2" s="4"/>
      <c r="QHD2" s="4"/>
      <c r="QHE2" s="4"/>
      <c r="QHF2" s="4"/>
      <c r="QHG2" s="4"/>
      <c r="QHH2" s="4"/>
      <c r="QHI2" s="4"/>
      <c r="QHJ2" s="4"/>
      <c r="QHK2" s="4"/>
      <c r="QHL2" s="4"/>
      <c r="QHM2" s="4"/>
      <c r="QHN2" s="4"/>
      <c r="QHO2" s="4"/>
      <c r="QHP2" s="4"/>
      <c r="QHQ2" s="4"/>
      <c r="QHR2" s="4"/>
      <c r="QHS2" s="4"/>
      <c r="QHT2" s="4"/>
      <c r="QHU2" s="4"/>
      <c r="QHV2" s="4"/>
      <c r="QHW2" s="4"/>
      <c r="QHX2" s="4"/>
      <c r="QHY2" s="4"/>
      <c r="QHZ2" s="4"/>
      <c r="QIA2" s="4"/>
      <c r="QIB2" s="4"/>
      <c r="QIC2" s="4"/>
      <c r="QID2" s="4"/>
      <c r="QIE2" s="4"/>
      <c r="QIF2" s="4"/>
      <c r="QIG2" s="4"/>
      <c r="QIH2" s="4"/>
      <c r="QII2" s="4"/>
      <c r="QIJ2" s="4"/>
      <c r="QIK2" s="4"/>
      <c r="QIL2" s="4"/>
      <c r="QIM2" s="4"/>
      <c r="QIN2" s="4"/>
      <c r="QIO2" s="4"/>
      <c r="QIP2" s="4"/>
      <c r="QIQ2" s="4"/>
      <c r="QIR2" s="4"/>
      <c r="QIS2" s="4"/>
      <c r="QIT2" s="4"/>
      <c r="QIU2" s="4"/>
      <c r="QIV2" s="4"/>
      <c r="QIW2" s="4"/>
      <c r="QIX2" s="4"/>
      <c r="QIY2" s="4"/>
      <c r="QIZ2" s="4"/>
      <c r="QJA2" s="4"/>
      <c r="QJB2" s="4"/>
      <c r="QJC2" s="4"/>
      <c r="QJD2" s="4"/>
      <c r="QJE2" s="4"/>
      <c r="QJF2" s="4"/>
      <c r="QJG2" s="4"/>
      <c r="QJH2" s="4"/>
      <c r="QJI2" s="4"/>
      <c r="QJJ2" s="4"/>
      <c r="QJK2" s="4"/>
      <c r="QJL2" s="4"/>
      <c r="QJM2" s="4"/>
      <c r="QJN2" s="4"/>
      <c r="QJO2" s="4"/>
      <c r="QJP2" s="4"/>
      <c r="QJQ2" s="4"/>
      <c r="QJR2" s="4"/>
      <c r="QJS2" s="4"/>
      <c r="QJT2" s="4"/>
      <c r="QJU2" s="4"/>
      <c r="QJV2" s="4"/>
      <c r="QJW2" s="4"/>
      <c r="QJX2" s="4"/>
      <c r="QJY2" s="4"/>
      <c r="QJZ2" s="4"/>
      <c r="QKA2" s="4"/>
      <c r="QKB2" s="4"/>
      <c r="QKC2" s="4"/>
      <c r="QKD2" s="4"/>
      <c r="QKE2" s="4"/>
      <c r="QKF2" s="4"/>
      <c r="QKG2" s="4"/>
      <c r="QKH2" s="4"/>
      <c r="QKI2" s="4"/>
      <c r="QKJ2" s="4"/>
      <c r="QKK2" s="4"/>
      <c r="QKL2" s="4"/>
      <c r="QKM2" s="4"/>
      <c r="QKN2" s="4"/>
      <c r="QKO2" s="4"/>
      <c r="QKP2" s="4"/>
      <c r="QKQ2" s="4"/>
      <c r="QKR2" s="4"/>
      <c r="QKS2" s="4"/>
      <c r="QKT2" s="4"/>
      <c r="QKU2" s="4"/>
      <c r="QKV2" s="4"/>
      <c r="QKW2" s="4"/>
      <c r="QKX2" s="4"/>
      <c r="QKY2" s="4"/>
      <c r="QKZ2" s="4"/>
      <c r="QLA2" s="4"/>
      <c r="QLB2" s="4"/>
      <c r="QLC2" s="4"/>
      <c r="QLD2" s="4"/>
      <c r="QLE2" s="4"/>
      <c r="QLF2" s="4"/>
      <c r="QLG2" s="4"/>
      <c r="QLH2" s="4"/>
      <c r="QLI2" s="4"/>
      <c r="QLJ2" s="4"/>
      <c r="QLK2" s="4"/>
      <c r="QLL2" s="4"/>
      <c r="QLM2" s="4"/>
      <c r="QLN2" s="4"/>
      <c r="QLO2" s="4"/>
      <c r="QLP2" s="4"/>
      <c r="QLQ2" s="4"/>
      <c r="QLR2" s="4"/>
      <c r="QLS2" s="4"/>
      <c r="QLT2" s="4"/>
      <c r="QLU2" s="4"/>
      <c r="QLV2" s="4"/>
      <c r="QLW2" s="4"/>
      <c r="QLX2" s="4"/>
      <c r="QLY2" s="4"/>
      <c r="QLZ2" s="4"/>
      <c r="QMA2" s="4"/>
      <c r="QMB2" s="4"/>
      <c r="QMC2" s="4"/>
      <c r="QMD2" s="4"/>
      <c r="QME2" s="4"/>
      <c r="QMF2" s="4"/>
      <c r="QMG2" s="4"/>
      <c r="QMH2" s="4"/>
      <c r="QMI2" s="4"/>
      <c r="QMJ2" s="4"/>
      <c r="QMK2" s="4"/>
      <c r="QML2" s="4"/>
      <c r="QMM2" s="4"/>
      <c r="QMN2" s="4"/>
      <c r="QMO2" s="4"/>
      <c r="QMP2" s="4"/>
      <c r="QMQ2" s="4"/>
      <c r="QMR2" s="4"/>
      <c r="QMS2" s="4"/>
      <c r="QMT2" s="4"/>
      <c r="QMU2" s="4"/>
      <c r="QMV2" s="4"/>
      <c r="QMW2" s="4"/>
      <c r="QMX2" s="4"/>
      <c r="QMY2" s="4"/>
      <c r="QMZ2" s="4"/>
      <c r="QNA2" s="4"/>
      <c r="QNB2" s="4"/>
      <c r="QNC2" s="4"/>
      <c r="QND2" s="4"/>
      <c r="QNE2" s="4"/>
      <c r="QNF2" s="4"/>
      <c r="QNG2" s="4"/>
      <c r="QNH2" s="4"/>
      <c r="QNI2" s="4"/>
      <c r="QNJ2" s="4"/>
      <c r="QNK2" s="4"/>
      <c r="QNL2" s="4"/>
      <c r="QNM2" s="4"/>
      <c r="QNN2" s="4"/>
      <c r="QNO2" s="4"/>
      <c r="QNP2" s="4"/>
      <c r="QNQ2" s="4"/>
      <c r="QNR2" s="4"/>
      <c r="QNS2" s="4"/>
      <c r="QNT2" s="4"/>
      <c r="QNU2" s="4"/>
      <c r="QNV2" s="4"/>
      <c r="QNW2" s="4"/>
      <c r="QNX2" s="4"/>
      <c r="QNY2" s="4"/>
      <c r="QNZ2" s="4"/>
      <c r="QOA2" s="4"/>
      <c r="QOB2" s="4"/>
      <c r="QOC2" s="4"/>
      <c r="QOD2" s="4"/>
      <c r="QOE2" s="4"/>
      <c r="QOF2" s="4"/>
      <c r="QOG2" s="4"/>
      <c r="QOH2" s="4"/>
      <c r="QOI2" s="4"/>
      <c r="QOJ2" s="4"/>
      <c r="QOK2" s="4"/>
      <c r="QOL2" s="4"/>
      <c r="QOM2" s="4"/>
      <c r="QON2" s="4"/>
      <c r="QOO2" s="4"/>
      <c r="QOP2" s="4"/>
      <c r="QOQ2" s="4"/>
      <c r="QOR2" s="4"/>
      <c r="QOS2" s="4"/>
      <c r="QOT2" s="4"/>
      <c r="QOU2" s="4"/>
      <c r="QOV2" s="4"/>
      <c r="QOW2" s="4"/>
      <c r="QOX2" s="4"/>
      <c r="QOY2" s="4"/>
      <c r="QOZ2" s="4"/>
      <c r="QPA2" s="4"/>
      <c r="QPB2" s="4"/>
      <c r="QPC2" s="4"/>
      <c r="QPD2" s="4"/>
      <c r="QPE2" s="4"/>
      <c r="QPF2" s="4"/>
      <c r="QPG2" s="4"/>
      <c r="QPH2" s="4"/>
      <c r="QPI2" s="4"/>
      <c r="QPJ2" s="4"/>
      <c r="QPK2" s="4"/>
      <c r="QPL2" s="4"/>
      <c r="QPM2" s="4"/>
      <c r="QPN2" s="4"/>
      <c r="QPO2" s="4"/>
      <c r="QPP2" s="4"/>
      <c r="QPQ2" s="4"/>
      <c r="QPR2" s="4"/>
      <c r="QPS2" s="4"/>
      <c r="QPT2" s="4"/>
      <c r="QPU2" s="4"/>
      <c r="QPV2" s="4"/>
      <c r="QPW2" s="4"/>
      <c r="QPX2" s="4"/>
      <c r="QPY2" s="4"/>
      <c r="QPZ2" s="4"/>
      <c r="QQA2" s="4"/>
      <c r="QQB2" s="4"/>
      <c r="QQC2" s="4"/>
      <c r="QQD2" s="4"/>
      <c r="QQE2" s="4"/>
      <c r="QQF2" s="4"/>
      <c r="QQG2" s="4"/>
      <c r="QQH2" s="4"/>
      <c r="QQI2" s="4"/>
      <c r="QQJ2" s="4"/>
      <c r="QQK2" s="4"/>
      <c r="QQL2" s="4"/>
      <c r="QQM2" s="4"/>
      <c r="QQN2" s="4"/>
      <c r="QQO2" s="4"/>
      <c r="QQP2" s="4"/>
      <c r="QQQ2" s="4"/>
      <c r="QQR2" s="4"/>
      <c r="QQS2" s="4"/>
      <c r="QQT2" s="4"/>
      <c r="QQU2" s="4"/>
      <c r="QQV2" s="4"/>
      <c r="QQW2" s="4"/>
      <c r="QQX2" s="4"/>
      <c r="QQY2" s="4"/>
      <c r="QQZ2" s="4"/>
      <c r="QRA2" s="4"/>
      <c r="QRB2" s="4"/>
      <c r="QRC2" s="4"/>
      <c r="QRD2" s="4"/>
      <c r="QRE2" s="4"/>
      <c r="QRF2" s="4"/>
      <c r="QRG2" s="4"/>
      <c r="QRH2" s="4"/>
      <c r="QRI2" s="4"/>
      <c r="QRJ2" s="4"/>
      <c r="QRK2" s="4"/>
      <c r="QRL2" s="4"/>
      <c r="QRM2" s="4"/>
      <c r="QRN2" s="4"/>
      <c r="QRO2" s="4"/>
      <c r="QRP2" s="4"/>
      <c r="QRQ2" s="4"/>
      <c r="QRR2" s="4"/>
      <c r="QRS2" s="4"/>
      <c r="QRT2" s="4"/>
      <c r="QRU2" s="4"/>
      <c r="QRV2" s="4"/>
      <c r="QRW2" s="4"/>
      <c r="QRX2" s="4"/>
      <c r="QRY2" s="4"/>
      <c r="QRZ2" s="4"/>
      <c r="QSA2" s="4"/>
      <c r="QSB2" s="4"/>
      <c r="QSC2" s="4"/>
      <c r="QSD2" s="4"/>
      <c r="QSE2" s="4"/>
      <c r="QSF2" s="4"/>
      <c r="QSG2" s="4"/>
      <c r="QSH2" s="4"/>
      <c r="QSI2" s="4"/>
      <c r="QSJ2" s="4"/>
      <c r="QSK2" s="4"/>
      <c r="QSL2" s="4"/>
      <c r="QSM2" s="4"/>
      <c r="QSN2" s="4"/>
      <c r="QSO2" s="4"/>
      <c r="QSP2" s="4"/>
      <c r="QSQ2" s="4"/>
      <c r="QSR2" s="4"/>
      <c r="QSS2" s="4"/>
      <c r="QST2" s="4"/>
      <c r="QSU2" s="4"/>
      <c r="QSV2" s="4"/>
      <c r="QSW2" s="4"/>
      <c r="QSX2" s="4"/>
      <c r="QSY2" s="4"/>
      <c r="QSZ2" s="4"/>
      <c r="QTA2" s="4"/>
      <c r="QTB2" s="4"/>
      <c r="QTC2" s="4"/>
      <c r="QTD2" s="4"/>
      <c r="QTE2" s="4"/>
      <c r="QTF2" s="4"/>
      <c r="QTG2" s="4"/>
      <c r="QTH2" s="4"/>
      <c r="QTI2" s="4"/>
      <c r="QTJ2" s="4"/>
      <c r="QTK2" s="4"/>
      <c r="QTL2" s="4"/>
      <c r="QTM2" s="4"/>
      <c r="QTN2" s="4"/>
      <c r="QTO2" s="4"/>
      <c r="QTP2" s="4"/>
      <c r="QTQ2" s="4"/>
      <c r="QTR2" s="4"/>
      <c r="QTS2" s="4"/>
      <c r="QTT2" s="4"/>
      <c r="QTU2" s="4"/>
      <c r="QTV2" s="4"/>
      <c r="QTW2" s="4"/>
      <c r="QTX2" s="4"/>
      <c r="QTY2" s="4"/>
      <c r="QTZ2" s="4"/>
      <c r="QUA2" s="4"/>
      <c r="QUB2" s="4"/>
      <c r="QUC2" s="4"/>
      <c r="QUD2" s="4"/>
      <c r="QUE2" s="4"/>
      <c r="QUF2" s="4"/>
      <c r="QUG2" s="4"/>
      <c r="QUH2" s="4"/>
      <c r="QUI2" s="4"/>
      <c r="QUJ2" s="4"/>
      <c r="QUK2" s="4"/>
      <c r="QUL2" s="4"/>
      <c r="QUM2" s="4"/>
      <c r="QUN2" s="4"/>
      <c r="QUO2" s="4"/>
      <c r="QUP2" s="4"/>
      <c r="QUQ2" s="4"/>
      <c r="QUR2" s="4"/>
      <c r="QUS2" s="4"/>
      <c r="QUT2" s="4"/>
      <c r="QUU2" s="4"/>
      <c r="QUV2" s="4"/>
      <c r="QUW2" s="4"/>
      <c r="QUX2" s="4"/>
      <c r="QUY2" s="4"/>
      <c r="QUZ2" s="4"/>
      <c r="QVA2" s="4"/>
      <c r="QVB2" s="4"/>
      <c r="QVC2" s="4"/>
      <c r="QVD2" s="4"/>
      <c r="QVE2" s="4"/>
      <c r="QVF2" s="4"/>
      <c r="QVG2" s="4"/>
      <c r="QVH2" s="4"/>
      <c r="QVI2" s="4"/>
      <c r="QVJ2" s="4"/>
      <c r="QVK2" s="4"/>
      <c r="QVL2" s="4"/>
      <c r="QVM2" s="4"/>
      <c r="QVN2" s="4"/>
      <c r="QVO2" s="4"/>
      <c r="QVP2" s="4"/>
      <c r="QVQ2" s="4"/>
      <c r="QVR2" s="4"/>
      <c r="QVS2" s="4"/>
      <c r="QVT2" s="4"/>
      <c r="QVU2" s="4"/>
      <c r="QVV2" s="4"/>
      <c r="QVW2" s="4"/>
      <c r="QVX2" s="4"/>
      <c r="QVY2" s="4"/>
      <c r="QVZ2" s="4"/>
      <c r="QWA2" s="4"/>
      <c r="QWB2" s="4"/>
      <c r="QWC2" s="4"/>
      <c r="QWD2" s="4"/>
      <c r="QWE2" s="4"/>
      <c r="QWF2" s="4"/>
      <c r="QWG2" s="4"/>
      <c r="QWH2" s="4"/>
      <c r="QWI2" s="4"/>
      <c r="QWJ2" s="4"/>
      <c r="QWK2" s="4"/>
      <c r="QWL2" s="4"/>
      <c r="QWM2" s="4"/>
      <c r="QWN2" s="4"/>
      <c r="QWO2" s="4"/>
      <c r="QWP2" s="4"/>
      <c r="QWQ2" s="4"/>
      <c r="QWR2" s="4"/>
      <c r="QWS2" s="4"/>
      <c r="QWT2" s="4"/>
      <c r="QWU2" s="4"/>
      <c r="QWV2" s="4"/>
      <c r="QWW2" s="4"/>
      <c r="QWX2" s="4"/>
      <c r="QWY2" s="4"/>
      <c r="QWZ2" s="4"/>
      <c r="QXA2" s="4"/>
      <c r="QXB2" s="4"/>
      <c r="QXC2" s="4"/>
      <c r="QXD2" s="4"/>
      <c r="QXE2" s="4"/>
      <c r="QXF2" s="4"/>
      <c r="QXG2" s="4"/>
      <c r="QXH2" s="4"/>
      <c r="QXI2" s="4"/>
      <c r="QXJ2" s="4"/>
      <c r="QXK2" s="4"/>
      <c r="QXL2" s="4"/>
      <c r="QXM2" s="4"/>
      <c r="QXN2" s="4"/>
      <c r="QXO2" s="4"/>
      <c r="QXP2" s="4"/>
      <c r="QXQ2" s="4"/>
      <c r="QXR2" s="4"/>
      <c r="QXS2" s="4"/>
      <c r="QXT2" s="4"/>
      <c r="QXU2" s="4"/>
      <c r="QXV2" s="4"/>
      <c r="QXW2" s="4"/>
      <c r="QXX2" s="4"/>
      <c r="QXY2" s="4"/>
      <c r="QXZ2" s="4"/>
      <c r="QYA2" s="4"/>
      <c r="QYB2" s="4"/>
      <c r="QYC2" s="4"/>
      <c r="QYD2" s="4"/>
      <c r="QYE2" s="4"/>
      <c r="QYF2" s="4"/>
      <c r="QYG2" s="4"/>
      <c r="QYH2" s="4"/>
      <c r="QYI2" s="4"/>
      <c r="QYJ2" s="4"/>
      <c r="QYK2" s="4"/>
      <c r="QYL2" s="4"/>
      <c r="QYM2" s="4"/>
      <c r="QYN2" s="4"/>
      <c r="QYO2" s="4"/>
      <c r="QYP2" s="4"/>
      <c r="QYQ2" s="4"/>
      <c r="QYR2" s="4"/>
      <c r="QYS2" s="4"/>
      <c r="QYT2" s="4"/>
      <c r="QYU2" s="4"/>
      <c r="QYV2" s="4"/>
      <c r="QYW2" s="4"/>
      <c r="QYX2" s="4"/>
      <c r="QYY2" s="4"/>
      <c r="QYZ2" s="4"/>
      <c r="QZA2" s="4"/>
      <c r="QZB2" s="4"/>
      <c r="QZC2" s="4"/>
      <c r="QZD2" s="4"/>
      <c r="QZE2" s="4"/>
      <c r="QZF2" s="4"/>
      <c r="QZG2" s="4"/>
      <c r="QZH2" s="4"/>
      <c r="QZI2" s="4"/>
      <c r="QZJ2" s="4"/>
      <c r="QZK2" s="4"/>
      <c r="QZL2" s="4"/>
      <c r="QZM2" s="4"/>
      <c r="QZN2" s="4"/>
      <c r="QZO2" s="4"/>
      <c r="QZP2" s="4"/>
      <c r="QZQ2" s="4"/>
      <c r="QZR2" s="4"/>
      <c r="QZS2" s="4"/>
      <c r="QZT2" s="4"/>
      <c r="QZU2" s="4"/>
      <c r="QZV2" s="4"/>
      <c r="QZW2" s="4"/>
      <c r="QZX2" s="4"/>
      <c r="QZY2" s="4"/>
      <c r="QZZ2" s="4"/>
      <c r="RAA2" s="4"/>
      <c r="RAB2" s="4"/>
      <c r="RAC2" s="4"/>
      <c r="RAD2" s="4"/>
      <c r="RAE2" s="4"/>
      <c r="RAF2" s="4"/>
      <c r="RAG2" s="4"/>
      <c r="RAH2" s="4"/>
      <c r="RAI2" s="4"/>
      <c r="RAJ2" s="4"/>
      <c r="RAK2" s="4"/>
      <c r="RAL2" s="4"/>
      <c r="RAM2" s="4"/>
      <c r="RAN2" s="4"/>
      <c r="RAO2" s="4"/>
      <c r="RAP2" s="4"/>
      <c r="RAQ2" s="4"/>
      <c r="RAR2" s="4"/>
      <c r="RAS2" s="4"/>
      <c r="RAT2" s="4"/>
      <c r="RAU2" s="4"/>
      <c r="RAV2" s="4"/>
      <c r="RAW2" s="4"/>
      <c r="RAX2" s="4"/>
      <c r="RAY2" s="4"/>
      <c r="RAZ2" s="4"/>
      <c r="RBA2" s="4"/>
      <c r="RBB2" s="4"/>
      <c r="RBC2" s="4"/>
      <c r="RBD2" s="4"/>
      <c r="RBE2" s="4"/>
      <c r="RBF2" s="4"/>
      <c r="RBG2" s="4"/>
      <c r="RBH2" s="4"/>
      <c r="RBI2" s="4"/>
      <c r="RBJ2" s="4"/>
      <c r="RBK2" s="4"/>
      <c r="RBL2" s="4"/>
      <c r="RBM2" s="4"/>
      <c r="RBN2" s="4"/>
      <c r="RBO2" s="4"/>
      <c r="RBP2" s="4"/>
      <c r="RBQ2" s="4"/>
      <c r="RBR2" s="4"/>
      <c r="RBS2" s="4"/>
      <c r="RBT2" s="4"/>
      <c r="RBU2" s="4"/>
      <c r="RBV2" s="4"/>
      <c r="RBW2" s="4"/>
      <c r="RBX2" s="4"/>
      <c r="RBY2" s="4"/>
      <c r="RBZ2" s="4"/>
      <c r="RCA2" s="4"/>
      <c r="RCB2" s="4"/>
      <c r="RCC2" s="4"/>
      <c r="RCD2" s="4"/>
      <c r="RCE2" s="4"/>
      <c r="RCF2" s="4"/>
      <c r="RCG2" s="4"/>
      <c r="RCH2" s="4"/>
      <c r="RCI2" s="4"/>
      <c r="RCJ2" s="4"/>
      <c r="RCK2" s="4"/>
      <c r="RCL2" s="4"/>
      <c r="RCM2" s="4"/>
      <c r="RCN2" s="4"/>
      <c r="RCO2" s="4"/>
      <c r="RCP2" s="4"/>
      <c r="RCQ2" s="4"/>
      <c r="RCR2" s="4"/>
      <c r="RCS2" s="4"/>
      <c r="RCT2" s="4"/>
      <c r="RCU2" s="4"/>
      <c r="RCV2" s="4"/>
      <c r="RCW2" s="4"/>
      <c r="RCX2" s="4"/>
      <c r="RCY2" s="4"/>
      <c r="RCZ2" s="4"/>
      <c r="RDA2" s="4"/>
      <c r="RDB2" s="4"/>
      <c r="RDC2" s="4"/>
      <c r="RDD2" s="4"/>
      <c r="RDE2" s="4"/>
      <c r="RDF2" s="4"/>
      <c r="RDG2" s="4"/>
      <c r="RDH2" s="4"/>
      <c r="RDI2" s="4"/>
      <c r="RDJ2" s="4"/>
      <c r="RDK2" s="4"/>
      <c r="RDL2" s="4"/>
      <c r="RDM2" s="4"/>
      <c r="RDN2" s="4"/>
      <c r="RDO2" s="4"/>
      <c r="RDP2" s="4"/>
      <c r="RDQ2" s="4"/>
      <c r="RDR2" s="4"/>
      <c r="RDS2" s="4"/>
      <c r="RDT2" s="4"/>
      <c r="RDU2" s="4"/>
      <c r="RDV2" s="4"/>
      <c r="RDW2" s="4"/>
      <c r="RDX2" s="4"/>
      <c r="RDY2" s="4"/>
      <c r="RDZ2" s="4"/>
      <c r="REA2" s="4"/>
      <c r="REB2" s="4"/>
      <c r="REC2" s="4"/>
      <c r="RED2" s="4"/>
      <c r="REE2" s="4"/>
      <c r="REF2" s="4"/>
      <c r="REG2" s="4"/>
      <c r="REH2" s="4"/>
      <c r="REI2" s="4"/>
      <c r="REJ2" s="4"/>
      <c r="REK2" s="4"/>
      <c r="REL2" s="4"/>
      <c r="REM2" s="4"/>
      <c r="REN2" s="4"/>
      <c r="REO2" s="4"/>
      <c r="REP2" s="4"/>
      <c r="REQ2" s="4"/>
      <c r="RER2" s="4"/>
      <c r="RES2" s="4"/>
      <c r="RET2" s="4"/>
      <c r="REU2" s="4"/>
      <c r="REV2" s="4"/>
      <c r="REW2" s="4"/>
      <c r="REX2" s="4"/>
      <c r="REY2" s="4"/>
      <c r="REZ2" s="4"/>
      <c r="RFA2" s="4"/>
      <c r="RFB2" s="4"/>
      <c r="RFC2" s="4"/>
      <c r="RFD2" s="4"/>
      <c r="RFE2" s="4"/>
      <c r="RFF2" s="4"/>
      <c r="RFG2" s="4"/>
      <c r="RFH2" s="4"/>
      <c r="RFI2" s="4"/>
      <c r="RFJ2" s="4"/>
      <c r="RFK2" s="4"/>
      <c r="RFL2" s="4"/>
      <c r="RFM2" s="4"/>
      <c r="RFN2" s="4"/>
      <c r="RFO2" s="4"/>
      <c r="RFP2" s="4"/>
      <c r="RFQ2" s="4"/>
      <c r="RFR2" s="4"/>
      <c r="RFS2" s="4"/>
      <c r="RFT2" s="4"/>
      <c r="RFU2" s="4"/>
      <c r="RFV2" s="4"/>
      <c r="RFW2" s="4"/>
      <c r="RFX2" s="4"/>
      <c r="RFY2" s="4"/>
      <c r="RFZ2" s="4"/>
      <c r="RGA2" s="4"/>
      <c r="RGB2" s="4"/>
      <c r="RGC2" s="4"/>
      <c r="RGD2" s="4"/>
      <c r="RGE2" s="4"/>
      <c r="RGF2" s="4"/>
      <c r="RGG2" s="4"/>
      <c r="RGH2" s="4"/>
      <c r="RGI2" s="4"/>
      <c r="RGJ2" s="4"/>
      <c r="RGK2" s="4"/>
      <c r="RGL2" s="4"/>
      <c r="RGM2" s="4"/>
      <c r="RGN2" s="4"/>
      <c r="RGO2" s="4"/>
      <c r="RGP2" s="4"/>
      <c r="RGQ2" s="4"/>
      <c r="RGR2" s="4"/>
      <c r="RGS2" s="4"/>
      <c r="RGT2" s="4"/>
      <c r="RGU2" s="4"/>
      <c r="RGV2" s="4"/>
      <c r="RGW2" s="4"/>
      <c r="RGX2" s="4"/>
      <c r="RGY2" s="4"/>
      <c r="RGZ2" s="4"/>
      <c r="RHA2" s="4"/>
      <c r="RHB2" s="4"/>
      <c r="RHC2" s="4"/>
      <c r="RHD2" s="4"/>
      <c r="RHE2" s="4"/>
      <c r="RHF2" s="4"/>
      <c r="RHG2" s="4"/>
      <c r="RHH2" s="4"/>
      <c r="RHI2" s="4"/>
      <c r="RHJ2" s="4"/>
      <c r="RHK2" s="4"/>
      <c r="RHL2" s="4"/>
      <c r="RHM2" s="4"/>
      <c r="RHN2" s="4"/>
      <c r="RHO2" s="4"/>
      <c r="RHP2" s="4"/>
      <c r="RHQ2" s="4"/>
      <c r="RHR2" s="4"/>
      <c r="RHS2" s="4"/>
      <c r="RHT2" s="4"/>
      <c r="RHU2" s="4"/>
      <c r="RHV2" s="4"/>
      <c r="RHW2" s="4"/>
      <c r="RHX2" s="4"/>
      <c r="RHY2" s="4"/>
      <c r="RHZ2" s="4"/>
      <c r="RIA2" s="4"/>
      <c r="RIB2" s="4"/>
      <c r="RIC2" s="4"/>
      <c r="RID2" s="4"/>
      <c r="RIE2" s="4"/>
      <c r="RIF2" s="4"/>
      <c r="RIG2" s="4"/>
      <c r="RIH2" s="4"/>
      <c r="RII2" s="4"/>
      <c r="RIJ2" s="4"/>
      <c r="RIK2" s="4"/>
      <c r="RIL2" s="4"/>
      <c r="RIM2" s="4"/>
      <c r="RIN2" s="4"/>
      <c r="RIO2" s="4"/>
      <c r="RIP2" s="4"/>
      <c r="RIQ2" s="4"/>
      <c r="RIR2" s="4"/>
      <c r="RIS2" s="4"/>
      <c r="RIT2" s="4"/>
      <c r="RIU2" s="4"/>
      <c r="RIV2" s="4"/>
      <c r="RIW2" s="4"/>
      <c r="RIX2" s="4"/>
      <c r="RIY2" s="4"/>
      <c r="RIZ2" s="4"/>
      <c r="RJA2" s="4"/>
      <c r="RJB2" s="4"/>
      <c r="RJC2" s="4"/>
      <c r="RJD2" s="4"/>
      <c r="RJE2" s="4"/>
      <c r="RJF2" s="4"/>
      <c r="RJG2" s="4"/>
      <c r="RJH2" s="4"/>
      <c r="RJI2" s="4"/>
      <c r="RJJ2" s="4"/>
      <c r="RJK2" s="4"/>
      <c r="RJL2" s="4"/>
      <c r="RJM2" s="4"/>
      <c r="RJN2" s="4"/>
      <c r="RJO2" s="4"/>
      <c r="RJP2" s="4"/>
      <c r="RJQ2" s="4"/>
      <c r="RJR2" s="4"/>
      <c r="RJS2" s="4"/>
      <c r="RJT2" s="4"/>
      <c r="RJU2" s="4"/>
      <c r="RJV2" s="4"/>
      <c r="RJW2" s="4"/>
      <c r="RJX2" s="4"/>
      <c r="RJY2" s="4"/>
      <c r="RJZ2" s="4"/>
      <c r="RKA2" s="4"/>
      <c r="RKB2" s="4"/>
      <c r="RKC2" s="4"/>
      <c r="RKD2" s="4"/>
      <c r="RKE2" s="4"/>
      <c r="RKF2" s="4"/>
      <c r="RKG2" s="4"/>
      <c r="RKH2" s="4"/>
      <c r="RKI2" s="4"/>
      <c r="RKJ2" s="4"/>
      <c r="RKK2" s="4"/>
      <c r="RKL2" s="4"/>
      <c r="RKM2" s="4"/>
      <c r="RKN2" s="4"/>
      <c r="RKO2" s="4"/>
      <c r="RKP2" s="4"/>
      <c r="RKQ2" s="4"/>
      <c r="RKR2" s="4"/>
      <c r="RKS2" s="4"/>
      <c r="RKT2" s="4"/>
      <c r="RKU2" s="4"/>
      <c r="RKV2" s="4"/>
      <c r="RKW2" s="4"/>
      <c r="RKX2" s="4"/>
      <c r="RKY2" s="4"/>
      <c r="RKZ2" s="4"/>
      <c r="RLA2" s="4"/>
      <c r="RLB2" s="4"/>
      <c r="RLC2" s="4"/>
      <c r="RLD2" s="4"/>
      <c r="RLE2" s="4"/>
      <c r="RLF2" s="4"/>
      <c r="RLG2" s="4"/>
      <c r="RLH2" s="4"/>
      <c r="RLI2" s="4"/>
      <c r="RLJ2" s="4"/>
      <c r="RLK2" s="4"/>
      <c r="RLL2" s="4"/>
      <c r="RLM2" s="4"/>
      <c r="RLN2" s="4"/>
      <c r="RLO2" s="4"/>
      <c r="RLP2" s="4"/>
      <c r="RLQ2" s="4"/>
      <c r="RLR2" s="4"/>
      <c r="RLS2" s="4"/>
      <c r="RLT2" s="4"/>
      <c r="RLU2" s="4"/>
      <c r="RLV2" s="4"/>
      <c r="RLW2" s="4"/>
      <c r="RLX2" s="4"/>
      <c r="RLY2" s="4"/>
      <c r="RLZ2" s="4"/>
      <c r="RMA2" s="4"/>
      <c r="RMB2" s="4"/>
      <c r="RMC2" s="4"/>
      <c r="RMD2" s="4"/>
      <c r="RME2" s="4"/>
      <c r="RMF2" s="4"/>
      <c r="RMG2" s="4"/>
      <c r="RMH2" s="4"/>
      <c r="RMI2" s="4"/>
      <c r="RMJ2" s="4"/>
      <c r="RMK2" s="4"/>
      <c r="RML2" s="4"/>
      <c r="RMM2" s="4"/>
      <c r="RMN2" s="4"/>
      <c r="RMO2" s="4"/>
      <c r="RMP2" s="4"/>
      <c r="RMQ2" s="4"/>
      <c r="RMR2" s="4"/>
      <c r="RMS2" s="4"/>
      <c r="RMT2" s="4"/>
      <c r="RMU2" s="4"/>
      <c r="RMV2" s="4"/>
      <c r="RMW2" s="4"/>
      <c r="RMX2" s="4"/>
      <c r="RMY2" s="4"/>
      <c r="RMZ2" s="4"/>
      <c r="RNA2" s="4"/>
      <c r="RNB2" s="4"/>
      <c r="RNC2" s="4"/>
      <c r="RND2" s="4"/>
      <c r="RNE2" s="4"/>
      <c r="RNF2" s="4"/>
      <c r="RNG2" s="4"/>
      <c r="RNH2" s="4"/>
      <c r="RNI2" s="4"/>
      <c r="RNJ2" s="4"/>
      <c r="RNK2" s="4"/>
      <c r="RNL2" s="4"/>
      <c r="RNM2" s="4"/>
      <c r="RNN2" s="4"/>
      <c r="RNO2" s="4"/>
      <c r="RNP2" s="4"/>
      <c r="RNQ2" s="4"/>
      <c r="RNR2" s="4"/>
      <c r="RNS2" s="4"/>
      <c r="RNT2" s="4"/>
      <c r="RNU2" s="4"/>
      <c r="RNV2" s="4"/>
      <c r="RNW2" s="4"/>
      <c r="RNX2" s="4"/>
      <c r="RNY2" s="4"/>
      <c r="RNZ2" s="4"/>
      <c r="ROA2" s="4"/>
      <c r="ROB2" s="4"/>
      <c r="ROC2" s="4"/>
      <c r="ROD2" s="4"/>
      <c r="ROE2" s="4"/>
      <c r="ROF2" s="4"/>
      <c r="ROG2" s="4"/>
      <c r="ROH2" s="4"/>
      <c r="ROI2" s="4"/>
      <c r="ROJ2" s="4"/>
      <c r="ROK2" s="4"/>
      <c r="ROL2" s="4"/>
      <c r="ROM2" s="4"/>
      <c r="RON2" s="4"/>
      <c r="ROO2" s="4"/>
      <c r="ROP2" s="4"/>
      <c r="ROQ2" s="4"/>
      <c r="ROR2" s="4"/>
      <c r="ROS2" s="4"/>
      <c r="ROT2" s="4"/>
      <c r="ROU2" s="4"/>
      <c r="ROV2" s="4"/>
      <c r="ROW2" s="4"/>
      <c r="ROX2" s="4"/>
      <c r="ROY2" s="4"/>
      <c r="ROZ2" s="4"/>
      <c r="RPA2" s="4"/>
      <c r="RPB2" s="4"/>
      <c r="RPC2" s="4"/>
      <c r="RPD2" s="4"/>
      <c r="RPE2" s="4"/>
      <c r="RPF2" s="4"/>
      <c r="RPG2" s="4"/>
      <c r="RPH2" s="4"/>
      <c r="RPI2" s="4"/>
      <c r="RPJ2" s="4"/>
      <c r="RPK2" s="4"/>
      <c r="RPL2" s="4"/>
      <c r="RPM2" s="4"/>
      <c r="RPN2" s="4"/>
      <c r="RPO2" s="4"/>
      <c r="RPP2" s="4"/>
      <c r="RPQ2" s="4"/>
      <c r="RPR2" s="4"/>
      <c r="RPS2" s="4"/>
      <c r="RPT2" s="4"/>
      <c r="RPU2" s="4"/>
      <c r="RPV2" s="4"/>
      <c r="RPW2" s="4"/>
      <c r="RPX2" s="4"/>
      <c r="RPY2" s="4"/>
      <c r="RPZ2" s="4"/>
      <c r="RQA2" s="4"/>
      <c r="RQB2" s="4"/>
      <c r="RQC2" s="4"/>
      <c r="RQD2" s="4"/>
      <c r="RQE2" s="4"/>
      <c r="RQF2" s="4"/>
      <c r="RQG2" s="4"/>
      <c r="RQH2" s="4"/>
      <c r="RQI2" s="4"/>
      <c r="RQJ2" s="4"/>
      <c r="RQK2" s="4"/>
      <c r="RQL2" s="4"/>
      <c r="RQM2" s="4"/>
      <c r="RQN2" s="4"/>
      <c r="RQO2" s="4"/>
      <c r="RQP2" s="4"/>
      <c r="RQQ2" s="4"/>
      <c r="RQR2" s="4"/>
      <c r="RQS2" s="4"/>
      <c r="RQT2" s="4"/>
      <c r="RQU2" s="4"/>
      <c r="RQV2" s="4"/>
      <c r="RQW2" s="4"/>
      <c r="RQX2" s="4"/>
      <c r="RQY2" s="4"/>
      <c r="RQZ2" s="4"/>
      <c r="RRA2" s="4"/>
      <c r="RRB2" s="4"/>
      <c r="RRC2" s="4"/>
      <c r="RRD2" s="4"/>
      <c r="RRE2" s="4"/>
      <c r="RRF2" s="4"/>
      <c r="RRG2" s="4"/>
      <c r="RRH2" s="4"/>
      <c r="RRI2" s="4"/>
      <c r="RRJ2" s="4"/>
      <c r="RRK2" s="4"/>
      <c r="RRL2" s="4"/>
      <c r="RRM2" s="4"/>
      <c r="RRN2" s="4"/>
      <c r="RRO2" s="4"/>
      <c r="RRP2" s="4"/>
      <c r="RRQ2" s="4"/>
      <c r="RRR2" s="4"/>
      <c r="RRS2" s="4"/>
      <c r="RRT2" s="4"/>
      <c r="RRU2" s="4"/>
      <c r="RRV2" s="4"/>
      <c r="RRW2" s="4"/>
      <c r="RRX2" s="4"/>
      <c r="RRY2" s="4"/>
      <c r="RRZ2" s="4"/>
      <c r="RSA2" s="4"/>
      <c r="RSB2" s="4"/>
      <c r="RSC2" s="4"/>
      <c r="RSD2" s="4"/>
      <c r="RSE2" s="4"/>
      <c r="RSF2" s="4"/>
      <c r="RSG2" s="4"/>
      <c r="RSH2" s="4"/>
      <c r="RSI2" s="4"/>
      <c r="RSJ2" s="4"/>
      <c r="RSK2" s="4"/>
      <c r="RSL2" s="4"/>
      <c r="RSM2" s="4"/>
      <c r="RSN2" s="4"/>
      <c r="RSO2" s="4"/>
      <c r="RSP2" s="4"/>
      <c r="RSQ2" s="4"/>
      <c r="RSR2" s="4"/>
      <c r="RSS2" s="4"/>
      <c r="RST2" s="4"/>
      <c r="RSU2" s="4"/>
      <c r="RSV2" s="4"/>
      <c r="RSW2" s="4"/>
      <c r="RSX2" s="4"/>
      <c r="RSY2" s="4"/>
      <c r="RSZ2" s="4"/>
      <c r="RTA2" s="4"/>
      <c r="RTB2" s="4"/>
      <c r="RTC2" s="4"/>
      <c r="RTD2" s="4"/>
      <c r="RTE2" s="4"/>
      <c r="RTF2" s="4"/>
      <c r="RTG2" s="4"/>
      <c r="RTH2" s="4"/>
      <c r="RTI2" s="4"/>
      <c r="RTJ2" s="4"/>
      <c r="RTK2" s="4"/>
      <c r="RTL2" s="4"/>
      <c r="RTM2" s="4"/>
      <c r="RTN2" s="4"/>
      <c r="RTO2" s="4"/>
      <c r="RTP2" s="4"/>
      <c r="RTQ2" s="4"/>
      <c r="RTR2" s="4"/>
      <c r="RTS2" s="4"/>
      <c r="RTT2" s="4"/>
      <c r="RTU2" s="4"/>
      <c r="RTV2" s="4"/>
      <c r="RTW2" s="4"/>
      <c r="RTX2" s="4"/>
      <c r="RTY2" s="4"/>
      <c r="RTZ2" s="4"/>
      <c r="RUA2" s="4"/>
      <c r="RUB2" s="4"/>
      <c r="RUC2" s="4"/>
      <c r="RUD2" s="4"/>
      <c r="RUE2" s="4"/>
      <c r="RUF2" s="4"/>
      <c r="RUG2" s="4"/>
      <c r="RUH2" s="4"/>
      <c r="RUI2" s="4"/>
      <c r="RUJ2" s="4"/>
      <c r="RUK2" s="4"/>
      <c r="RUL2" s="4"/>
      <c r="RUM2" s="4"/>
      <c r="RUN2" s="4"/>
      <c r="RUO2" s="4"/>
      <c r="RUP2" s="4"/>
      <c r="RUQ2" s="4"/>
      <c r="RUR2" s="4"/>
      <c r="RUS2" s="4"/>
      <c r="RUT2" s="4"/>
      <c r="RUU2" s="4"/>
      <c r="RUV2" s="4"/>
      <c r="RUW2" s="4"/>
      <c r="RUX2" s="4"/>
      <c r="RUY2" s="4"/>
      <c r="RUZ2" s="4"/>
      <c r="RVA2" s="4"/>
      <c r="RVB2" s="4"/>
      <c r="RVC2" s="4"/>
      <c r="RVD2" s="4"/>
      <c r="RVE2" s="4"/>
      <c r="RVF2" s="4"/>
      <c r="RVG2" s="4"/>
      <c r="RVH2" s="4"/>
      <c r="RVI2" s="4"/>
      <c r="RVJ2" s="4"/>
      <c r="RVK2" s="4"/>
      <c r="RVL2" s="4"/>
      <c r="RVM2" s="4"/>
      <c r="RVN2" s="4"/>
      <c r="RVO2" s="4"/>
      <c r="RVP2" s="4"/>
      <c r="RVQ2" s="4"/>
      <c r="RVR2" s="4"/>
      <c r="RVS2" s="4"/>
      <c r="RVT2" s="4"/>
      <c r="RVU2" s="4"/>
      <c r="RVV2" s="4"/>
      <c r="RVW2" s="4"/>
      <c r="RVX2" s="4"/>
      <c r="RVY2" s="4"/>
      <c r="RVZ2" s="4"/>
      <c r="RWA2" s="4"/>
      <c r="RWB2" s="4"/>
      <c r="RWC2" s="4"/>
      <c r="RWD2" s="4"/>
      <c r="RWE2" s="4"/>
      <c r="RWF2" s="4"/>
      <c r="RWG2" s="4"/>
      <c r="RWH2" s="4"/>
      <c r="RWI2" s="4"/>
      <c r="RWJ2" s="4"/>
      <c r="RWK2" s="4"/>
      <c r="RWL2" s="4"/>
      <c r="RWM2" s="4"/>
      <c r="RWN2" s="4"/>
      <c r="RWO2" s="4"/>
      <c r="RWP2" s="4"/>
      <c r="RWQ2" s="4"/>
      <c r="RWR2" s="4"/>
      <c r="RWS2" s="4"/>
      <c r="RWT2" s="4"/>
      <c r="RWU2" s="4"/>
      <c r="RWV2" s="4"/>
      <c r="RWW2" s="4"/>
      <c r="RWX2" s="4"/>
      <c r="RWY2" s="4"/>
      <c r="RWZ2" s="4"/>
      <c r="RXA2" s="4"/>
      <c r="RXB2" s="4"/>
      <c r="RXC2" s="4"/>
      <c r="RXD2" s="4"/>
      <c r="RXE2" s="4"/>
      <c r="RXF2" s="4"/>
      <c r="RXG2" s="4"/>
      <c r="RXH2" s="4"/>
      <c r="RXI2" s="4"/>
      <c r="RXJ2" s="4"/>
      <c r="RXK2" s="4"/>
      <c r="RXL2" s="4"/>
      <c r="RXM2" s="4"/>
      <c r="RXN2" s="4"/>
      <c r="RXO2" s="4"/>
      <c r="RXP2" s="4"/>
      <c r="RXQ2" s="4"/>
      <c r="RXR2" s="4"/>
      <c r="RXS2" s="4"/>
      <c r="RXT2" s="4"/>
      <c r="RXU2" s="4"/>
      <c r="RXV2" s="4"/>
      <c r="RXW2" s="4"/>
      <c r="RXX2" s="4"/>
      <c r="RXY2" s="4"/>
      <c r="RXZ2" s="4"/>
      <c r="RYA2" s="4"/>
      <c r="RYB2" s="4"/>
      <c r="RYC2" s="4"/>
      <c r="RYD2" s="4"/>
      <c r="RYE2" s="4"/>
      <c r="RYF2" s="4"/>
      <c r="RYG2" s="4"/>
      <c r="RYH2" s="4"/>
      <c r="RYI2" s="4"/>
      <c r="RYJ2" s="4"/>
      <c r="RYK2" s="4"/>
      <c r="RYL2" s="4"/>
      <c r="RYM2" s="4"/>
      <c r="RYN2" s="4"/>
      <c r="RYO2" s="4"/>
      <c r="RYP2" s="4"/>
      <c r="RYQ2" s="4"/>
      <c r="RYR2" s="4"/>
      <c r="RYS2" s="4"/>
      <c r="RYT2" s="4"/>
      <c r="RYU2" s="4"/>
      <c r="RYV2" s="4"/>
      <c r="RYW2" s="4"/>
      <c r="RYX2" s="4"/>
      <c r="RYY2" s="4"/>
      <c r="RYZ2" s="4"/>
      <c r="RZA2" s="4"/>
      <c r="RZB2" s="4"/>
      <c r="RZC2" s="4"/>
      <c r="RZD2" s="4"/>
      <c r="RZE2" s="4"/>
      <c r="RZF2" s="4"/>
      <c r="RZG2" s="4"/>
      <c r="RZH2" s="4"/>
      <c r="RZI2" s="4"/>
      <c r="RZJ2" s="4"/>
      <c r="RZK2" s="4"/>
      <c r="RZL2" s="4"/>
      <c r="RZM2" s="4"/>
      <c r="RZN2" s="4"/>
      <c r="RZO2" s="4"/>
      <c r="RZP2" s="4"/>
      <c r="RZQ2" s="4"/>
      <c r="RZR2" s="4"/>
      <c r="RZS2" s="4"/>
      <c r="RZT2" s="4"/>
      <c r="RZU2" s="4"/>
      <c r="RZV2" s="4"/>
      <c r="RZW2" s="4"/>
      <c r="RZX2" s="4"/>
      <c r="RZY2" s="4"/>
      <c r="RZZ2" s="4"/>
      <c r="SAA2" s="4"/>
      <c r="SAB2" s="4"/>
      <c r="SAC2" s="4"/>
      <c r="SAD2" s="4"/>
      <c r="SAE2" s="4"/>
      <c r="SAF2" s="4"/>
      <c r="SAG2" s="4"/>
      <c r="SAH2" s="4"/>
      <c r="SAI2" s="4"/>
      <c r="SAJ2" s="4"/>
      <c r="SAK2" s="4"/>
      <c r="SAL2" s="4"/>
      <c r="SAM2" s="4"/>
      <c r="SAN2" s="4"/>
      <c r="SAO2" s="4"/>
      <c r="SAP2" s="4"/>
      <c r="SAQ2" s="4"/>
      <c r="SAR2" s="4"/>
      <c r="SAS2" s="4"/>
      <c r="SAT2" s="4"/>
      <c r="SAU2" s="4"/>
      <c r="SAV2" s="4"/>
      <c r="SAW2" s="4"/>
      <c r="SAX2" s="4"/>
      <c r="SAY2" s="4"/>
      <c r="SAZ2" s="4"/>
      <c r="SBA2" s="4"/>
      <c r="SBB2" s="4"/>
      <c r="SBC2" s="4"/>
      <c r="SBD2" s="4"/>
      <c r="SBE2" s="4"/>
      <c r="SBF2" s="4"/>
      <c r="SBG2" s="4"/>
      <c r="SBH2" s="4"/>
      <c r="SBI2" s="4"/>
      <c r="SBJ2" s="4"/>
      <c r="SBK2" s="4"/>
      <c r="SBL2" s="4"/>
      <c r="SBM2" s="4"/>
      <c r="SBN2" s="4"/>
      <c r="SBO2" s="4"/>
      <c r="SBP2" s="4"/>
      <c r="SBQ2" s="4"/>
      <c r="SBR2" s="4"/>
      <c r="SBS2" s="4"/>
      <c r="SBT2" s="4"/>
      <c r="SBU2" s="4"/>
      <c r="SBV2" s="4"/>
      <c r="SBW2" s="4"/>
      <c r="SBX2" s="4"/>
      <c r="SBY2" s="4"/>
      <c r="SBZ2" s="4"/>
      <c r="SCA2" s="4"/>
      <c r="SCB2" s="4"/>
      <c r="SCC2" s="4"/>
      <c r="SCD2" s="4"/>
      <c r="SCE2" s="4"/>
      <c r="SCF2" s="4"/>
      <c r="SCG2" s="4"/>
      <c r="SCH2" s="4"/>
      <c r="SCI2" s="4"/>
      <c r="SCJ2" s="4"/>
      <c r="SCK2" s="4"/>
      <c r="SCL2" s="4"/>
      <c r="SCM2" s="4"/>
      <c r="SCN2" s="4"/>
      <c r="SCO2" s="4"/>
      <c r="SCP2" s="4"/>
      <c r="SCQ2" s="4"/>
      <c r="SCR2" s="4"/>
      <c r="SCS2" s="4"/>
      <c r="SCT2" s="4"/>
      <c r="SCU2" s="4"/>
      <c r="SCV2" s="4"/>
      <c r="SCW2" s="4"/>
      <c r="SCX2" s="4"/>
      <c r="SCY2" s="4"/>
      <c r="SCZ2" s="4"/>
      <c r="SDA2" s="4"/>
      <c r="SDB2" s="4"/>
      <c r="SDC2" s="4"/>
      <c r="SDD2" s="4"/>
      <c r="SDE2" s="4"/>
      <c r="SDF2" s="4"/>
      <c r="SDG2" s="4"/>
      <c r="SDH2" s="4"/>
      <c r="SDI2" s="4"/>
      <c r="SDJ2" s="4"/>
      <c r="SDK2" s="4"/>
      <c r="SDL2" s="4"/>
      <c r="SDM2" s="4"/>
      <c r="SDN2" s="4"/>
      <c r="SDO2" s="4"/>
      <c r="SDP2" s="4"/>
      <c r="SDQ2" s="4"/>
      <c r="SDR2" s="4"/>
      <c r="SDS2" s="4"/>
      <c r="SDT2" s="4"/>
      <c r="SDU2" s="4"/>
      <c r="SDV2" s="4"/>
      <c r="SDW2" s="4"/>
      <c r="SDX2" s="4"/>
      <c r="SDY2" s="4"/>
      <c r="SDZ2" s="4"/>
      <c r="SEA2" s="4"/>
      <c r="SEB2" s="4"/>
      <c r="SEC2" s="4"/>
      <c r="SED2" s="4"/>
      <c r="SEE2" s="4"/>
      <c r="SEF2" s="4"/>
      <c r="SEG2" s="4"/>
      <c r="SEH2" s="4"/>
      <c r="SEI2" s="4"/>
      <c r="SEJ2" s="4"/>
      <c r="SEK2" s="4"/>
      <c r="SEL2" s="4"/>
      <c r="SEM2" s="4"/>
      <c r="SEN2" s="4"/>
      <c r="SEO2" s="4"/>
      <c r="SEP2" s="4"/>
      <c r="SEQ2" s="4"/>
      <c r="SER2" s="4"/>
      <c r="SES2" s="4"/>
      <c r="SET2" s="4"/>
      <c r="SEU2" s="4"/>
      <c r="SEV2" s="4"/>
      <c r="SEW2" s="4"/>
      <c r="SEX2" s="4"/>
      <c r="SEY2" s="4"/>
      <c r="SEZ2" s="4"/>
      <c r="SFA2" s="4"/>
      <c r="SFB2" s="4"/>
      <c r="SFC2" s="4"/>
      <c r="SFD2" s="4"/>
      <c r="SFE2" s="4"/>
      <c r="SFF2" s="4"/>
      <c r="SFG2" s="4"/>
      <c r="SFH2" s="4"/>
      <c r="SFI2" s="4"/>
      <c r="SFJ2" s="4"/>
      <c r="SFK2" s="4"/>
      <c r="SFL2" s="4"/>
      <c r="SFM2" s="4"/>
      <c r="SFN2" s="4"/>
      <c r="SFO2" s="4"/>
      <c r="SFP2" s="4"/>
      <c r="SFQ2" s="4"/>
      <c r="SFR2" s="4"/>
      <c r="SFS2" s="4"/>
      <c r="SFT2" s="4"/>
      <c r="SFU2" s="4"/>
      <c r="SFV2" s="4"/>
      <c r="SFW2" s="4"/>
      <c r="SFX2" s="4"/>
      <c r="SFY2" s="4"/>
      <c r="SFZ2" s="4"/>
      <c r="SGA2" s="4"/>
      <c r="SGB2" s="4"/>
      <c r="SGC2" s="4"/>
      <c r="SGD2" s="4"/>
      <c r="SGE2" s="4"/>
      <c r="SGF2" s="4"/>
      <c r="SGG2" s="4"/>
      <c r="SGH2" s="4"/>
      <c r="SGI2" s="4"/>
      <c r="SGJ2" s="4"/>
      <c r="SGK2" s="4"/>
      <c r="SGL2" s="4"/>
      <c r="SGM2" s="4"/>
      <c r="SGN2" s="4"/>
      <c r="SGO2" s="4"/>
      <c r="SGP2" s="4"/>
      <c r="SGQ2" s="4"/>
      <c r="SGR2" s="4"/>
      <c r="SGS2" s="4"/>
      <c r="SGT2" s="4"/>
      <c r="SGU2" s="4"/>
      <c r="SGV2" s="4"/>
      <c r="SGW2" s="4"/>
      <c r="SGX2" s="4"/>
      <c r="SGY2" s="4"/>
      <c r="SGZ2" s="4"/>
      <c r="SHA2" s="4"/>
      <c r="SHB2" s="4"/>
      <c r="SHC2" s="4"/>
      <c r="SHD2" s="4"/>
      <c r="SHE2" s="4"/>
      <c r="SHF2" s="4"/>
      <c r="SHG2" s="4"/>
      <c r="SHH2" s="4"/>
      <c r="SHI2" s="4"/>
      <c r="SHJ2" s="4"/>
      <c r="SHK2" s="4"/>
      <c r="SHL2" s="4"/>
      <c r="SHM2" s="4"/>
      <c r="SHN2" s="4"/>
      <c r="SHO2" s="4"/>
      <c r="SHP2" s="4"/>
      <c r="SHQ2" s="4"/>
      <c r="SHR2" s="4"/>
      <c r="SHS2" s="4"/>
      <c r="SHT2" s="4"/>
      <c r="SHU2" s="4"/>
      <c r="SHV2" s="4"/>
      <c r="SHW2" s="4"/>
      <c r="SHX2" s="4"/>
      <c r="SHY2" s="4"/>
      <c r="SHZ2" s="4"/>
      <c r="SIA2" s="4"/>
      <c r="SIB2" s="4"/>
      <c r="SIC2" s="4"/>
      <c r="SID2" s="4"/>
      <c r="SIE2" s="4"/>
      <c r="SIF2" s="4"/>
      <c r="SIG2" s="4"/>
      <c r="SIH2" s="4"/>
      <c r="SII2" s="4"/>
      <c r="SIJ2" s="4"/>
      <c r="SIK2" s="4"/>
      <c r="SIL2" s="4"/>
      <c r="SIM2" s="4"/>
      <c r="SIN2" s="4"/>
      <c r="SIO2" s="4"/>
      <c r="SIP2" s="4"/>
      <c r="SIQ2" s="4"/>
      <c r="SIR2" s="4"/>
      <c r="SIS2" s="4"/>
      <c r="SIT2" s="4"/>
      <c r="SIU2" s="4"/>
      <c r="SIV2" s="4"/>
      <c r="SIW2" s="4"/>
      <c r="SIX2" s="4"/>
      <c r="SIY2" s="4"/>
      <c r="SIZ2" s="4"/>
      <c r="SJA2" s="4"/>
      <c r="SJB2" s="4"/>
      <c r="SJC2" s="4"/>
      <c r="SJD2" s="4"/>
      <c r="SJE2" s="4"/>
      <c r="SJF2" s="4"/>
      <c r="SJG2" s="4"/>
      <c r="SJH2" s="4"/>
      <c r="SJI2" s="4"/>
      <c r="SJJ2" s="4"/>
      <c r="SJK2" s="4"/>
      <c r="SJL2" s="4"/>
      <c r="SJM2" s="4"/>
      <c r="SJN2" s="4"/>
      <c r="SJO2" s="4"/>
      <c r="SJP2" s="4"/>
      <c r="SJQ2" s="4"/>
      <c r="SJR2" s="4"/>
      <c r="SJS2" s="4"/>
      <c r="SJT2" s="4"/>
      <c r="SJU2" s="4"/>
      <c r="SJV2" s="4"/>
      <c r="SJW2" s="4"/>
      <c r="SJX2" s="4"/>
      <c r="SJY2" s="4"/>
      <c r="SJZ2" s="4"/>
      <c r="SKA2" s="4"/>
      <c r="SKB2" s="4"/>
      <c r="SKC2" s="4"/>
      <c r="SKD2" s="4"/>
      <c r="SKE2" s="4"/>
      <c r="SKF2" s="4"/>
      <c r="SKG2" s="4"/>
      <c r="SKH2" s="4"/>
      <c r="SKI2" s="4"/>
      <c r="SKJ2" s="4"/>
      <c r="SKK2" s="4"/>
      <c r="SKL2" s="4"/>
      <c r="SKM2" s="4"/>
      <c r="SKN2" s="4"/>
      <c r="SKO2" s="4"/>
      <c r="SKP2" s="4"/>
      <c r="SKQ2" s="4"/>
      <c r="SKR2" s="4"/>
      <c r="SKS2" s="4"/>
      <c r="SKT2" s="4"/>
      <c r="SKU2" s="4"/>
      <c r="SKV2" s="4"/>
      <c r="SKW2" s="4"/>
      <c r="SKX2" s="4"/>
      <c r="SKY2" s="4"/>
      <c r="SKZ2" s="4"/>
      <c r="SLA2" s="4"/>
      <c r="SLB2" s="4"/>
      <c r="SLC2" s="4"/>
      <c r="SLD2" s="4"/>
      <c r="SLE2" s="4"/>
      <c r="SLF2" s="4"/>
      <c r="SLG2" s="4"/>
      <c r="SLH2" s="4"/>
      <c r="SLI2" s="4"/>
      <c r="SLJ2" s="4"/>
      <c r="SLK2" s="4"/>
      <c r="SLL2" s="4"/>
      <c r="SLM2" s="4"/>
      <c r="SLN2" s="4"/>
      <c r="SLO2" s="4"/>
      <c r="SLP2" s="4"/>
      <c r="SLQ2" s="4"/>
      <c r="SLR2" s="4"/>
      <c r="SLS2" s="4"/>
      <c r="SLT2" s="4"/>
      <c r="SLU2" s="4"/>
      <c r="SLV2" s="4"/>
      <c r="SLW2" s="4"/>
      <c r="SLX2" s="4"/>
      <c r="SLY2" s="4"/>
      <c r="SLZ2" s="4"/>
      <c r="SMA2" s="4"/>
      <c r="SMB2" s="4"/>
      <c r="SMC2" s="4"/>
      <c r="SMD2" s="4"/>
      <c r="SME2" s="4"/>
      <c r="SMF2" s="4"/>
      <c r="SMG2" s="4"/>
      <c r="SMH2" s="4"/>
      <c r="SMI2" s="4"/>
      <c r="SMJ2" s="4"/>
      <c r="SMK2" s="4"/>
      <c r="SML2" s="4"/>
      <c r="SMM2" s="4"/>
      <c r="SMN2" s="4"/>
      <c r="SMO2" s="4"/>
      <c r="SMP2" s="4"/>
      <c r="SMQ2" s="4"/>
      <c r="SMR2" s="4"/>
      <c r="SMS2" s="4"/>
      <c r="SMT2" s="4"/>
      <c r="SMU2" s="4"/>
      <c r="SMV2" s="4"/>
      <c r="SMW2" s="4"/>
      <c r="SMX2" s="4"/>
      <c r="SMY2" s="4"/>
      <c r="SMZ2" s="4"/>
      <c r="SNA2" s="4"/>
      <c r="SNB2" s="4"/>
      <c r="SNC2" s="4"/>
      <c r="SND2" s="4"/>
      <c r="SNE2" s="4"/>
      <c r="SNF2" s="4"/>
      <c r="SNG2" s="4"/>
      <c r="SNH2" s="4"/>
      <c r="SNI2" s="4"/>
      <c r="SNJ2" s="4"/>
      <c r="SNK2" s="4"/>
      <c r="SNL2" s="4"/>
      <c r="SNM2" s="4"/>
      <c r="SNN2" s="4"/>
      <c r="SNO2" s="4"/>
      <c r="SNP2" s="4"/>
      <c r="SNQ2" s="4"/>
      <c r="SNR2" s="4"/>
      <c r="SNS2" s="4"/>
      <c r="SNT2" s="4"/>
      <c r="SNU2" s="4"/>
      <c r="SNV2" s="4"/>
      <c r="SNW2" s="4"/>
      <c r="SNX2" s="4"/>
      <c r="SNY2" s="4"/>
      <c r="SNZ2" s="4"/>
      <c r="SOA2" s="4"/>
      <c r="SOB2" s="4"/>
      <c r="SOC2" s="4"/>
      <c r="SOD2" s="4"/>
      <c r="SOE2" s="4"/>
      <c r="SOF2" s="4"/>
      <c r="SOG2" s="4"/>
      <c r="SOH2" s="4"/>
      <c r="SOI2" s="4"/>
      <c r="SOJ2" s="4"/>
      <c r="SOK2" s="4"/>
      <c r="SOL2" s="4"/>
      <c r="SOM2" s="4"/>
      <c r="SON2" s="4"/>
      <c r="SOO2" s="4"/>
      <c r="SOP2" s="4"/>
      <c r="SOQ2" s="4"/>
      <c r="SOR2" s="4"/>
      <c r="SOS2" s="4"/>
      <c r="SOT2" s="4"/>
      <c r="SOU2" s="4"/>
      <c r="SOV2" s="4"/>
      <c r="SOW2" s="4"/>
      <c r="SOX2" s="4"/>
      <c r="SOY2" s="4"/>
      <c r="SOZ2" s="4"/>
      <c r="SPA2" s="4"/>
      <c r="SPB2" s="4"/>
      <c r="SPC2" s="4"/>
      <c r="SPD2" s="4"/>
      <c r="SPE2" s="4"/>
      <c r="SPF2" s="4"/>
      <c r="SPG2" s="4"/>
      <c r="SPH2" s="4"/>
      <c r="SPI2" s="4"/>
      <c r="SPJ2" s="4"/>
      <c r="SPK2" s="4"/>
      <c r="SPL2" s="4"/>
      <c r="SPM2" s="4"/>
      <c r="SPN2" s="4"/>
      <c r="SPO2" s="4"/>
      <c r="SPP2" s="4"/>
      <c r="SPQ2" s="4"/>
      <c r="SPR2" s="4"/>
      <c r="SPS2" s="4"/>
      <c r="SPT2" s="4"/>
      <c r="SPU2" s="4"/>
      <c r="SPV2" s="4"/>
      <c r="SPW2" s="4"/>
      <c r="SPX2" s="4"/>
      <c r="SPY2" s="4"/>
      <c r="SPZ2" s="4"/>
      <c r="SQA2" s="4"/>
      <c r="SQB2" s="4"/>
      <c r="SQC2" s="4"/>
      <c r="SQD2" s="4"/>
      <c r="SQE2" s="4"/>
      <c r="SQF2" s="4"/>
      <c r="SQG2" s="4"/>
      <c r="SQH2" s="4"/>
      <c r="SQI2" s="4"/>
      <c r="SQJ2" s="4"/>
      <c r="SQK2" s="4"/>
      <c r="SQL2" s="4"/>
      <c r="SQM2" s="4"/>
      <c r="SQN2" s="4"/>
      <c r="SQO2" s="4"/>
      <c r="SQP2" s="4"/>
      <c r="SQQ2" s="4"/>
      <c r="SQR2" s="4"/>
      <c r="SQS2" s="4"/>
      <c r="SQT2" s="4"/>
      <c r="SQU2" s="4"/>
      <c r="SQV2" s="4"/>
      <c r="SQW2" s="4"/>
      <c r="SQX2" s="4"/>
      <c r="SQY2" s="4"/>
      <c r="SQZ2" s="4"/>
      <c r="SRA2" s="4"/>
      <c r="SRB2" s="4"/>
      <c r="SRC2" s="4"/>
      <c r="SRD2" s="4"/>
      <c r="SRE2" s="4"/>
      <c r="SRF2" s="4"/>
      <c r="SRG2" s="4"/>
      <c r="SRH2" s="4"/>
      <c r="SRI2" s="4"/>
      <c r="SRJ2" s="4"/>
      <c r="SRK2" s="4"/>
      <c r="SRL2" s="4"/>
      <c r="SRM2" s="4"/>
      <c r="SRN2" s="4"/>
      <c r="SRO2" s="4"/>
      <c r="SRP2" s="4"/>
      <c r="SRQ2" s="4"/>
      <c r="SRR2" s="4"/>
      <c r="SRS2" s="4"/>
      <c r="SRT2" s="4"/>
      <c r="SRU2" s="4"/>
      <c r="SRV2" s="4"/>
      <c r="SRW2" s="4"/>
      <c r="SRX2" s="4"/>
      <c r="SRY2" s="4"/>
      <c r="SRZ2" s="4"/>
      <c r="SSA2" s="4"/>
      <c r="SSB2" s="4"/>
      <c r="SSC2" s="4"/>
      <c r="SSD2" s="4"/>
      <c r="SSE2" s="4"/>
      <c r="SSF2" s="4"/>
      <c r="SSG2" s="4"/>
      <c r="SSH2" s="4"/>
      <c r="SSI2" s="4"/>
      <c r="SSJ2" s="4"/>
      <c r="SSK2" s="4"/>
      <c r="SSL2" s="4"/>
      <c r="SSM2" s="4"/>
      <c r="SSN2" s="4"/>
      <c r="SSO2" s="4"/>
      <c r="SSP2" s="4"/>
      <c r="SSQ2" s="4"/>
      <c r="SSR2" s="4"/>
      <c r="SSS2" s="4"/>
      <c r="SST2" s="4"/>
      <c r="SSU2" s="4"/>
      <c r="SSV2" s="4"/>
      <c r="SSW2" s="4"/>
      <c r="SSX2" s="4"/>
      <c r="SSY2" s="4"/>
      <c r="SSZ2" s="4"/>
      <c r="STA2" s="4"/>
      <c r="STB2" s="4"/>
      <c r="STC2" s="4"/>
      <c r="STD2" s="4"/>
      <c r="STE2" s="4"/>
      <c r="STF2" s="4"/>
      <c r="STG2" s="4"/>
      <c r="STH2" s="4"/>
      <c r="STI2" s="4"/>
      <c r="STJ2" s="4"/>
      <c r="STK2" s="4"/>
      <c r="STL2" s="4"/>
      <c r="STM2" s="4"/>
      <c r="STN2" s="4"/>
      <c r="STO2" s="4"/>
      <c r="STP2" s="4"/>
      <c r="STQ2" s="4"/>
      <c r="STR2" s="4"/>
      <c r="STS2" s="4"/>
      <c r="STT2" s="4"/>
      <c r="STU2" s="4"/>
      <c r="STV2" s="4"/>
      <c r="STW2" s="4"/>
      <c r="STX2" s="4"/>
      <c r="STY2" s="4"/>
      <c r="STZ2" s="4"/>
      <c r="SUA2" s="4"/>
      <c r="SUB2" s="4"/>
      <c r="SUC2" s="4"/>
      <c r="SUD2" s="4"/>
      <c r="SUE2" s="4"/>
      <c r="SUF2" s="4"/>
      <c r="SUG2" s="4"/>
      <c r="SUH2" s="4"/>
      <c r="SUI2" s="4"/>
      <c r="SUJ2" s="4"/>
      <c r="SUK2" s="4"/>
      <c r="SUL2" s="4"/>
      <c r="SUM2" s="4"/>
      <c r="SUN2" s="4"/>
      <c r="SUO2" s="4"/>
      <c r="SUP2" s="4"/>
      <c r="SUQ2" s="4"/>
      <c r="SUR2" s="4"/>
      <c r="SUS2" s="4"/>
      <c r="SUT2" s="4"/>
      <c r="SUU2" s="4"/>
      <c r="SUV2" s="4"/>
      <c r="SUW2" s="4"/>
      <c r="SUX2" s="4"/>
      <c r="SUY2" s="4"/>
      <c r="SUZ2" s="4"/>
      <c r="SVA2" s="4"/>
      <c r="SVB2" s="4"/>
      <c r="SVC2" s="4"/>
      <c r="SVD2" s="4"/>
      <c r="SVE2" s="4"/>
      <c r="SVF2" s="4"/>
      <c r="SVG2" s="4"/>
      <c r="SVH2" s="4"/>
      <c r="SVI2" s="4"/>
      <c r="SVJ2" s="4"/>
      <c r="SVK2" s="4"/>
      <c r="SVL2" s="4"/>
      <c r="SVM2" s="4"/>
      <c r="SVN2" s="4"/>
      <c r="SVO2" s="4"/>
      <c r="SVP2" s="4"/>
      <c r="SVQ2" s="4"/>
      <c r="SVR2" s="4"/>
      <c r="SVS2" s="4"/>
      <c r="SVT2" s="4"/>
      <c r="SVU2" s="4"/>
      <c r="SVV2" s="4"/>
      <c r="SVW2" s="4"/>
      <c r="SVX2" s="4"/>
      <c r="SVY2" s="4"/>
      <c r="SVZ2" s="4"/>
      <c r="SWA2" s="4"/>
      <c r="SWB2" s="4"/>
      <c r="SWC2" s="4"/>
      <c r="SWD2" s="4"/>
      <c r="SWE2" s="4"/>
      <c r="SWF2" s="4"/>
      <c r="SWG2" s="4"/>
      <c r="SWH2" s="4"/>
      <c r="SWI2" s="4"/>
      <c r="SWJ2" s="4"/>
      <c r="SWK2" s="4"/>
      <c r="SWL2" s="4"/>
      <c r="SWM2" s="4"/>
      <c r="SWN2" s="4"/>
      <c r="SWO2" s="4"/>
      <c r="SWP2" s="4"/>
      <c r="SWQ2" s="4"/>
      <c r="SWR2" s="4"/>
      <c r="SWS2" s="4"/>
      <c r="SWT2" s="4"/>
      <c r="SWU2" s="4"/>
      <c r="SWV2" s="4"/>
      <c r="SWW2" s="4"/>
      <c r="SWX2" s="4"/>
      <c r="SWY2" s="4"/>
      <c r="SWZ2" s="4"/>
      <c r="SXA2" s="4"/>
      <c r="SXB2" s="4"/>
      <c r="SXC2" s="4"/>
      <c r="SXD2" s="4"/>
      <c r="SXE2" s="4"/>
      <c r="SXF2" s="4"/>
      <c r="SXG2" s="4"/>
      <c r="SXH2" s="4"/>
      <c r="SXI2" s="4"/>
      <c r="SXJ2" s="4"/>
      <c r="SXK2" s="4"/>
      <c r="SXL2" s="4"/>
      <c r="SXM2" s="4"/>
      <c r="SXN2" s="4"/>
      <c r="SXO2" s="4"/>
      <c r="SXP2" s="4"/>
      <c r="SXQ2" s="4"/>
      <c r="SXR2" s="4"/>
      <c r="SXS2" s="4"/>
      <c r="SXT2" s="4"/>
      <c r="SXU2" s="4"/>
      <c r="SXV2" s="4"/>
      <c r="SXW2" s="4"/>
      <c r="SXX2" s="4"/>
      <c r="SXY2" s="4"/>
      <c r="SXZ2" s="4"/>
      <c r="SYA2" s="4"/>
      <c r="SYB2" s="4"/>
      <c r="SYC2" s="4"/>
      <c r="SYD2" s="4"/>
      <c r="SYE2" s="4"/>
      <c r="SYF2" s="4"/>
      <c r="SYG2" s="4"/>
      <c r="SYH2" s="4"/>
      <c r="SYI2" s="4"/>
      <c r="SYJ2" s="4"/>
      <c r="SYK2" s="4"/>
      <c r="SYL2" s="4"/>
      <c r="SYM2" s="4"/>
      <c r="SYN2" s="4"/>
      <c r="SYO2" s="4"/>
      <c r="SYP2" s="4"/>
      <c r="SYQ2" s="4"/>
      <c r="SYR2" s="4"/>
      <c r="SYS2" s="4"/>
      <c r="SYT2" s="4"/>
      <c r="SYU2" s="4"/>
      <c r="SYV2" s="4"/>
      <c r="SYW2" s="4"/>
      <c r="SYX2" s="4"/>
      <c r="SYY2" s="4"/>
      <c r="SYZ2" s="4"/>
      <c r="SZA2" s="4"/>
      <c r="SZB2" s="4"/>
      <c r="SZC2" s="4"/>
      <c r="SZD2" s="4"/>
      <c r="SZE2" s="4"/>
      <c r="SZF2" s="4"/>
      <c r="SZG2" s="4"/>
      <c r="SZH2" s="4"/>
      <c r="SZI2" s="4"/>
      <c r="SZJ2" s="4"/>
      <c r="SZK2" s="4"/>
      <c r="SZL2" s="4"/>
      <c r="SZM2" s="4"/>
      <c r="SZN2" s="4"/>
      <c r="SZO2" s="4"/>
      <c r="SZP2" s="4"/>
      <c r="SZQ2" s="4"/>
      <c r="SZR2" s="4"/>
      <c r="SZS2" s="4"/>
      <c r="SZT2" s="4"/>
      <c r="SZU2" s="4"/>
      <c r="SZV2" s="4"/>
      <c r="SZW2" s="4"/>
      <c r="SZX2" s="4"/>
      <c r="SZY2" s="4"/>
      <c r="SZZ2" s="4"/>
      <c r="TAA2" s="4"/>
      <c r="TAB2" s="4"/>
      <c r="TAC2" s="4"/>
      <c r="TAD2" s="4"/>
      <c r="TAE2" s="4"/>
      <c r="TAF2" s="4"/>
      <c r="TAG2" s="4"/>
      <c r="TAH2" s="4"/>
      <c r="TAI2" s="4"/>
      <c r="TAJ2" s="4"/>
      <c r="TAK2" s="4"/>
      <c r="TAL2" s="4"/>
      <c r="TAM2" s="4"/>
      <c r="TAN2" s="4"/>
      <c r="TAO2" s="4"/>
      <c r="TAP2" s="4"/>
      <c r="TAQ2" s="4"/>
      <c r="TAR2" s="4"/>
      <c r="TAS2" s="4"/>
      <c r="TAT2" s="4"/>
      <c r="TAU2" s="4"/>
      <c r="TAV2" s="4"/>
      <c r="TAW2" s="4"/>
      <c r="TAX2" s="4"/>
      <c r="TAY2" s="4"/>
      <c r="TAZ2" s="4"/>
      <c r="TBA2" s="4"/>
      <c r="TBB2" s="4"/>
      <c r="TBC2" s="4"/>
      <c r="TBD2" s="4"/>
      <c r="TBE2" s="4"/>
      <c r="TBF2" s="4"/>
      <c r="TBG2" s="4"/>
      <c r="TBH2" s="4"/>
      <c r="TBI2" s="4"/>
      <c r="TBJ2" s="4"/>
      <c r="TBK2" s="4"/>
      <c r="TBL2" s="4"/>
      <c r="TBM2" s="4"/>
      <c r="TBN2" s="4"/>
      <c r="TBO2" s="4"/>
      <c r="TBP2" s="4"/>
      <c r="TBQ2" s="4"/>
      <c r="TBR2" s="4"/>
      <c r="TBS2" s="4"/>
      <c r="TBT2" s="4"/>
      <c r="TBU2" s="4"/>
      <c r="TBV2" s="4"/>
      <c r="TBW2" s="4"/>
      <c r="TBX2" s="4"/>
      <c r="TBY2" s="4"/>
      <c r="TBZ2" s="4"/>
      <c r="TCA2" s="4"/>
      <c r="TCB2" s="4"/>
      <c r="TCC2" s="4"/>
      <c r="TCD2" s="4"/>
      <c r="TCE2" s="4"/>
      <c r="TCF2" s="4"/>
      <c r="TCG2" s="4"/>
      <c r="TCH2" s="4"/>
      <c r="TCI2" s="4"/>
      <c r="TCJ2" s="4"/>
      <c r="TCK2" s="4"/>
      <c r="TCL2" s="4"/>
      <c r="TCM2" s="4"/>
      <c r="TCN2" s="4"/>
      <c r="TCO2" s="4"/>
      <c r="TCP2" s="4"/>
      <c r="TCQ2" s="4"/>
      <c r="TCR2" s="4"/>
      <c r="TCS2" s="4"/>
      <c r="TCT2" s="4"/>
      <c r="TCU2" s="4"/>
      <c r="TCV2" s="4"/>
      <c r="TCW2" s="4"/>
      <c r="TCX2" s="4"/>
      <c r="TCY2" s="4"/>
      <c r="TCZ2" s="4"/>
      <c r="TDA2" s="4"/>
      <c r="TDB2" s="4"/>
      <c r="TDC2" s="4"/>
      <c r="TDD2" s="4"/>
      <c r="TDE2" s="4"/>
      <c r="TDF2" s="4"/>
      <c r="TDG2" s="4"/>
      <c r="TDH2" s="4"/>
      <c r="TDI2" s="4"/>
      <c r="TDJ2" s="4"/>
      <c r="TDK2" s="4"/>
      <c r="TDL2" s="4"/>
      <c r="TDM2" s="4"/>
      <c r="TDN2" s="4"/>
      <c r="TDO2" s="4"/>
      <c r="TDP2" s="4"/>
      <c r="TDQ2" s="4"/>
      <c r="TDR2" s="4"/>
      <c r="TDS2" s="4"/>
      <c r="TDT2" s="4"/>
      <c r="TDU2" s="4"/>
      <c r="TDV2" s="4"/>
      <c r="TDW2" s="4"/>
      <c r="TDX2" s="4"/>
      <c r="TDY2" s="4"/>
      <c r="TDZ2" s="4"/>
      <c r="TEA2" s="4"/>
      <c r="TEB2" s="4"/>
      <c r="TEC2" s="4"/>
      <c r="TED2" s="4"/>
      <c r="TEE2" s="4"/>
      <c r="TEF2" s="4"/>
      <c r="TEG2" s="4"/>
      <c r="TEH2" s="4"/>
      <c r="TEI2" s="4"/>
      <c r="TEJ2" s="4"/>
      <c r="TEK2" s="4"/>
      <c r="TEL2" s="4"/>
      <c r="TEM2" s="4"/>
      <c r="TEN2" s="4"/>
      <c r="TEO2" s="4"/>
      <c r="TEP2" s="4"/>
      <c r="TEQ2" s="4"/>
      <c r="TER2" s="4"/>
      <c r="TES2" s="4"/>
      <c r="TET2" s="4"/>
      <c r="TEU2" s="4"/>
      <c r="TEV2" s="4"/>
      <c r="TEW2" s="4"/>
      <c r="TEX2" s="4"/>
      <c r="TEY2" s="4"/>
      <c r="TEZ2" s="4"/>
      <c r="TFA2" s="4"/>
      <c r="TFB2" s="4"/>
      <c r="TFC2" s="4"/>
      <c r="TFD2" s="4"/>
      <c r="TFE2" s="4"/>
      <c r="TFF2" s="4"/>
      <c r="TFG2" s="4"/>
      <c r="TFH2" s="4"/>
      <c r="TFI2" s="4"/>
      <c r="TFJ2" s="4"/>
      <c r="TFK2" s="4"/>
      <c r="TFL2" s="4"/>
      <c r="TFM2" s="4"/>
      <c r="TFN2" s="4"/>
      <c r="TFO2" s="4"/>
      <c r="TFP2" s="4"/>
      <c r="TFQ2" s="4"/>
      <c r="TFR2" s="4"/>
      <c r="TFS2" s="4"/>
      <c r="TFT2" s="4"/>
      <c r="TFU2" s="4"/>
      <c r="TFV2" s="4"/>
      <c r="TFW2" s="4"/>
      <c r="TFX2" s="4"/>
      <c r="TFY2" s="4"/>
      <c r="TFZ2" s="4"/>
      <c r="TGA2" s="4"/>
      <c r="TGB2" s="4"/>
      <c r="TGC2" s="4"/>
      <c r="TGD2" s="4"/>
      <c r="TGE2" s="4"/>
      <c r="TGF2" s="4"/>
      <c r="TGG2" s="4"/>
      <c r="TGH2" s="4"/>
      <c r="TGI2" s="4"/>
      <c r="TGJ2" s="4"/>
      <c r="TGK2" s="4"/>
      <c r="TGL2" s="4"/>
      <c r="TGM2" s="4"/>
      <c r="TGN2" s="4"/>
      <c r="TGO2" s="4"/>
      <c r="TGP2" s="4"/>
      <c r="TGQ2" s="4"/>
      <c r="TGR2" s="4"/>
      <c r="TGS2" s="4"/>
      <c r="TGT2" s="4"/>
      <c r="TGU2" s="4"/>
      <c r="TGV2" s="4"/>
      <c r="TGW2" s="4"/>
      <c r="TGX2" s="4"/>
      <c r="TGY2" s="4"/>
      <c r="TGZ2" s="4"/>
      <c r="THA2" s="4"/>
      <c r="THB2" s="4"/>
      <c r="THC2" s="4"/>
      <c r="THD2" s="4"/>
      <c r="THE2" s="4"/>
      <c r="THF2" s="4"/>
      <c r="THG2" s="4"/>
      <c r="THH2" s="4"/>
      <c r="THI2" s="4"/>
      <c r="THJ2" s="4"/>
      <c r="THK2" s="4"/>
      <c r="THL2" s="4"/>
      <c r="THM2" s="4"/>
      <c r="THN2" s="4"/>
      <c r="THO2" s="4"/>
      <c r="THP2" s="4"/>
      <c r="THQ2" s="4"/>
      <c r="THR2" s="4"/>
      <c r="THS2" s="4"/>
      <c r="THT2" s="4"/>
      <c r="THU2" s="4"/>
      <c r="THV2" s="4"/>
      <c r="THW2" s="4"/>
      <c r="THX2" s="4"/>
      <c r="THY2" s="4"/>
      <c r="THZ2" s="4"/>
      <c r="TIA2" s="4"/>
      <c r="TIB2" s="4"/>
      <c r="TIC2" s="4"/>
      <c r="TID2" s="4"/>
      <c r="TIE2" s="4"/>
      <c r="TIF2" s="4"/>
      <c r="TIG2" s="4"/>
      <c r="TIH2" s="4"/>
      <c r="TII2" s="4"/>
      <c r="TIJ2" s="4"/>
      <c r="TIK2" s="4"/>
      <c r="TIL2" s="4"/>
      <c r="TIM2" s="4"/>
      <c r="TIN2" s="4"/>
      <c r="TIO2" s="4"/>
      <c r="TIP2" s="4"/>
      <c r="TIQ2" s="4"/>
      <c r="TIR2" s="4"/>
      <c r="TIS2" s="4"/>
      <c r="TIT2" s="4"/>
      <c r="TIU2" s="4"/>
      <c r="TIV2" s="4"/>
      <c r="TIW2" s="4"/>
      <c r="TIX2" s="4"/>
      <c r="TIY2" s="4"/>
      <c r="TIZ2" s="4"/>
      <c r="TJA2" s="4"/>
      <c r="TJB2" s="4"/>
      <c r="TJC2" s="4"/>
      <c r="TJD2" s="4"/>
      <c r="TJE2" s="4"/>
      <c r="TJF2" s="4"/>
      <c r="TJG2" s="4"/>
      <c r="TJH2" s="4"/>
      <c r="TJI2" s="4"/>
      <c r="TJJ2" s="4"/>
      <c r="TJK2" s="4"/>
      <c r="TJL2" s="4"/>
      <c r="TJM2" s="4"/>
      <c r="TJN2" s="4"/>
      <c r="TJO2" s="4"/>
      <c r="TJP2" s="4"/>
      <c r="TJQ2" s="4"/>
      <c r="TJR2" s="4"/>
      <c r="TJS2" s="4"/>
      <c r="TJT2" s="4"/>
      <c r="TJU2" s="4"/>
      <c r="TJV2" s="4"/>
      <c r="TJW2" s="4"/>
      <c r="TJX2" s="4"/>
      <c r="TJY2" s="4"/>
      <c r="TJZ2" s="4"/>
      <c r="TKA2" s="4"/>
      <c r="TKB2" s="4"/>
      <c r="TKC2" s="4"/>
      <c r="TKD2" s="4"/>
      <c r="TKE2" s="4"/>
      <c r="TKF2" s="4"/>
      <c r="TKG2" s="4"/>
      <c r="TKH2" s="4"/>
      <c r="TKI2" s="4"/>
      <c r="TKJ2" s="4"/>
      <c r="TKK2" s="4"/>
      <c r="TKL2" s="4"/>
      <c r="TKM2" s="4"/>
      <c r="TKN2" s="4"/>
      <c r="TKO2" s="4"/>
      <c r="TKP2" s="4"/>
      <c r="TKQ2" s="4"/>
      <c r="TKR2" s="4"/>
      <c r="TKS2" s="4"/>
      <c r="TKT2" s="4"/>
      <c r="TKU2" s="4"/>
      <c r="TKV2" s="4"/>
      <c r="TKW2" s="4"/>
      <c r="TKX2" s="4"/>
      <c r="TKY2" s="4"/>
      <c r="TKZ2" s="4"/>
      <c r="TLA2" s="4"/>
      <c r="TLB2" s="4"/>
      <c r="TLC2" s="4"/>
      <c r="TLD2" s="4"/>
      <c r="TLE2" s="4"/>
      <c r="TLF2" s="4"/>
      <c r="TLG2" s="4"/>
      <c r="TLH2" s="4"/>
      <c r="TLI2" s="4"/>
      <c r="TLJ2" s="4"/>
      <c r="TLK2" s="4"/>
      <c r="TLL2" s="4"/>
      <c r="TLM2" s="4"/>
      <c r="TLN2" s="4"/>
      <c r="TLO2" s="4"/>
      <c r="TLP2" s="4"/>
      <c r="TLQ2" s="4"/>
      <c r="TLR2" s="4"/>
      <c r="TLS2" s="4"/>
      <c r="TLT2" s="4"/>
      <c r="TLU2" s="4"/>
      <c r="TLV2" s="4"/>
      <c r="TLW2" s="4"/>
      <c r="TLX2" s="4"/>
      <c r="TLY2" s="4"/>
      <c r="TLZ2" s="4"/>
      <c r="TMA2" s="4"/>
      <c r="TMB2" s="4"/>
      <c r="TMC2" s="4"/>
      <c r="TMD2" s="4"/>
      <c r="TME2" s="4"/>
      <c r="TMF2" s="4"/>
      <c r="TMG2" s="4"/>
      <c r="TMH2" s="4"/>
      <c r="TMI2" s="4"/>
      <c r="TMJ2" s="4"/>
      <c r="TMK2" s="4"/>
      <c r="TML2" s="4"/>
      <c r="TMM2" s="4"/>
      <c r="TMN2" s="4"/>
      <c r="TMO2" s="4"/>
      <c r="TMP2" s="4"/>
      <c r="TMQ2" s="4"/>
      <c r="TMR2" s="4"/>
      <c r="TMS2" s="4"/>
      <c r="TMT2" s="4"/>
      <c r="TMU2" s="4"/>
      <c r="TMV2" s="4"/>
      <c r="TMW2" s="4"/>
      <c r="TMX2" s="4"/>
      <c r="TMY2" s="4"/>
      <c r="TMZ2" s="4"/>
      <c r="TNA2" s="4"/>
      <c r="TNB2" s="4"/>
      <c r="TNC2" s="4"/>
      <c r="TND2" s="4"/>
      <c r="TNE2" s="4"/>
      <c r="TNF2" s="4"/>
      <c r="TNG2" s="4"/>
      <c r="TNH2" s="4"/>
      <c r="TNI2" s="4"/>
      <c r="TNJ2" s="4"/>
      <c r="TNK2" s="4"/>
      <c r="TNL2" s="4"/>
      <c r="TNM2" s="4"/>
      <c r="TNN2" s="4"/>
      <c r="TNO2" s="4"/>
      <c r="TNP2" s="4"/>
      <c r="TNQ2" s="4"/>
      <c r="TNR2" s="4"/>
      <c r="TNS2" s="4"/>
      <c r="TNT2" s="4"/>
      <c r="TNU2" s="4"/>
      <c r="TNV2" s="4"/>
      <c r="TNW2" s="4"/>
      <c r="TNX2" s="4"/>
      <c r="TNY2" s="4"/>
      <c r="TNZ2" s="4"/>
      <c r="TOA2" s="4"/>
      <c r="TOB2" s="4"/>
      <c r="TOC2" s="4"/>
      <c r="TOD2" s="4"/>
      <c r="TOE2" s="4"/>
      <c r="TOF2" s="4"/>
      <c r="TOG2" s="4"/>
      <c r="TOH2" s="4"/>
      <c r="TOI2" s="4"/>
      <c r="TOJ2" s="4"/>
      <c r="TOK2" s="4"/>
      <c r="TOL2" s="4"/>
      <c r="TOM2" s="4"/>
      <c r="TON2" s="4"/>
      <c r="TOO2" s="4"/>
      <c r="TOP2" s="4"/>
      <c r="TOQ2" s="4"/>
      <c r="TOR2" s="4"/>
      <c r="TOS2" s="4"/>
      <c r="TOT2" s="4"/>
      <c r="TOU2" s="4"/>
      <c r="TOV2" s="4"/>
      <c r="TOW2" s="4"/>
      <c r="TOX2" s="4"/>
      <c r="TOY2" s="4"/>
      <c r="TOZ2" s="4"/>
      <c r="TPA2" s="4"/>
      <c r="TPB2" s="4"/>
      <c r="TPC2" s="4"/>
      <c r="TPD2" s="4"/>
      <c r="TPE2" s="4"/>
      <c r="TPF2" s="4"/>
      <c r="TPG2" s="4"/>
      <c r="TPH2" s="4"/>
      <c r="TPI2" s="4"/>
      <c r="TPJ2" s="4"/>
      <c r="TPK2" s="4"/>
      <c r="TPL2" s="4"/>
      <c r="TPM2" s="4"/>
      <c r="TPN2" s="4"/>
      <c r="TPO2" s="4"/>
      <c r="TPP2" s="4"/>
      <c r="TPQ2" s="4"/>
      <c r="TPR2" s="4"/>
      <c r="TPS2" s="4"/>
      <c r="TPT2" s="4"/>
      <c r="TPU2" s="4"/>
      <c r="TPV2" s="4"/>
      <c r="TPW2" s="4"/>
      <c r="TPX2" s="4"/>
      <c r="TPY2" s="4"/>
      <c r="TPZ2" s="4"/>
      <c r="TQA2" s="4"/>
      <c r="TQB2" s="4"/>
      <c r="TQC2" s="4"/>
      <c r="TQD2" s="4"/>
      <c r="TQE2" s="4"/>
      <c r="TQF2" s="4"/>
      <c r="TQG2" s="4"/>
      <c r="TQH2" s="4"/>
      <c r="TQI2" s="4"/>
      <c r="TQJ2" s="4"/>
      <c r="TQK2" s="4"/>
      <c r="TQL2" s="4"/>
      <c r="TQM2" s="4"/>
      <c r="TQN2" s="4"/>
      <c r="TQO2" s="4"/>
      <c r="TQP2" s="4"/>
      <c r="TQQ2" s="4"/>
      <c r="TQR2" s="4"/>
      <c r="TQS2" s="4"/>
      <c r="TQT2" s="4"/>
      <c r="TQU2" s="4"/>
      <c r="TQV2" s="4"/>
      <c r="TQW2" s="4"/>
      <c r="TQX2" s="4"/>
      <c r="TQY2" s="4"/>
      <c r="TQZ2" s="4"/>
      <c r="TRA2" s="4"/>
      <c r="TRB2" s="4"/>
      <c r="TRC2" s="4"/>
      <c r="TRD2" s="4"/>
      <c r="TRE2" s="4"/>
      <c r="TRF2" s="4"/>
      <c r="TRG2" s="4"/>
      <c r="TRH2" s="4"/>
      <c r="TRI2" s="4"/>
      <c r="TRJ2" s="4"/>
      <c r="TRK2" s="4"/>
      <c r="TRL2" s="4"/>
      <c r="TRM2" s="4"/>
      <c r="TRN2" s="4"/>
      <c r="TRO2" s="4"/>
      <c r="TRP2" s="4"/>
      <c r="TRQ2" s="4"/>
      <c r="TRR2" s="4"/>
      <c r="TRS2" s="4"/>
      <c r="TRT2" s="4"/>
      <c r="TRU2" s="4"/>
      <c r="TRV2" s="4"/>
      <c r="TRW2" s="4"/>
      <c r="TRX2" s="4"/>
      <c r="TRY2" s="4"/>
      <c r="TRZ2" s="4"/>
      <c r="TSA2" s="4"/>
      <c r="TSB2" s="4"/>
      <c r="TSC2" s="4"/>
      <c r="TSD2" s="4"/>
      <c r="TSE2" s="4"/>
      <c r="TSF2" s="4"/>
      <c r="TSG2" s="4"/>
      <c r="TSH2" s="4"/>
      <c r="TSI2" s="4"/>
      <c r="TSJ2" s="4"/>
      <c r="TSK2" s="4"/>
      <c r="TSL2" s="4"/>
      <c r="TSM2" s="4"/>
      <c r="TSN2" s="4"/>
      <c r="TSO2" s="4"/>
      <c r="TSP2" s="4"/>
      <c r="TSQ2" s="4"/>
      <c r="TSR2" s="4"/>
      <c r="TSS2" s="4"/>
      <c r="TST2" s="4"/>
      <c r="TSU2" s="4"/>
      <c r="TSV2" s="4"/>
      <c r="TSW2" s="4"/>
      <c r="TSX2" s="4"/>
      <c r="TSY2" s="4"/>
      <c r="TSZ2" s="4"/>
      <c r="TTA2" s="4"/>
      <c r="TTB2" s="4"/>
      <c r="TTC2" s="4"/>
      <c r="TTD2" s="4"/>
      <c r="TTE2" s="4"/>
      <c r="TTF2" s="4"/>
      <c r="TTG2" s="4"/>
      <c r="TTH2" s="4"/>
      <c r="TTI2" s="4"/>
      <c r="TTJ2" s="4"/>
      <c r="TTK2" s="4"/>
      <c r="TTL2" s="4"/>
      <c r="TTM2" s="4"/>
      <c r="TTN2" s="4"/>
      <c r="TTO2" s="4"/>
      <c r="TTP2" s="4"/>
      <c r="TTQ2" s="4"/>
      <c r="TTR2" s="4"/>
      <c r="TTS2" s="4"/>
      <c r="TTT2" s="4"/>
      <c r="TTU2" s="4"/>
      <c r="TTV2" s="4"/>
      <c r="TTW2" s="4"/>
      <c r="TTX2" s="4"/>
      <c r="TTY2" s="4"/>
      <c r="TTZ2" s="4"/>
      <c r="TUA2" s="4"/>
      <c r="TUB2" s="4"/>
      <c r="TUC2" s="4"/>
      <c r="TUD2" s="4"/>
      <c r="TUE2" s="4"/>
      <c r="TUF2" s="4"/>
      <c r="TUG2" s="4"/>
      <c r="TUH2" s="4"/>
      <c r="TUI2" s="4"/>
      <c r="TUJ2" s="4"/>
      <c r="TUK2" s="4"/>
      <c r="TUL2" s="4"/>
      <c r="TUM2" s="4"/>
      <c r="TUN2" s="4"/>
      <c r="TUO2" s="4"/>
      <c r="TUP2" s="4"/>
      <c r="TUQ2" s="4"/>
      <c r="TUR2" s="4"/>
      <c r="TUS2" s="4"/>
      <c r="TUT2" s="4"/>
      <c r="TUU2" s="4"/>
      <c r="TUV2" s="4"/>
      <c r="TUW2" s="4"/>
      <c r="TUX2" s="4"/>
      <c r="TUY2" s="4"/>
      <c r="TUZ2" s="4"/>
      <c r="TVA2" s="4"/>
      <c r="TVB2" s="4"/>
      <c r="TVC2" s="4"/>
      <c r="TVD2" s="4"/>
      <c r="TVE2" s="4"/>
      <c r="TVF2" s="4"/>
      <c r="TVG2" s="4"/>
      <c r="TVH2" s="4"/>
      <c r="TVI2" s="4"/>
      <c r="TVJ2" s="4"/>
      <c r="TVK2" s="4"/>
      <c r="TVL2" s="4"/>
      <c r="TVM2" s="4"/>
      <c r="TVN2" s="4"/>
      <c r="TVO2" s="4"/>
      <c r="TVP2" s="4"/>
      <c r="TVQ2" s="4"/>
      <c r="TVR2" s="4"/>
      <c r="TVS2" s="4"/>
      <c r="TVT2" s="4"/>
      <c r="TVU2" s="4"/>
      <c r="TVV2" s="4"/>
      <c r="TVW2" s="4"/>
      <c r="TVX2" s="4"/>
      <c r="TVY2" s="4"/>
      <c r="TVZ2" s="4"/>
      <c r="TWA2" s="4"/>
      <c r="TWB2" s="4"/>
      <c r="TWC2" s="4"/>
      <c r="TWD2" s="4"/>
      <c r="TWE2" s="4"/>
      <c r="TWF2" s="4"/>
      <c r="TWG2" s="4"/>
      <c r="TWH2" s="4"/>
      <c r="TWI2" s="4"/>
      <c r="TWJ2" s="4"/>
      <c r="TWK2" s="4"/>
      <c r="TWL2" s="4"/>
      <c r="TWM2" s="4"/>
      <c r="TWN2" s="4"/>
      <c r="TWO2" s="4"/>
      <c r="TWP2" s="4"/>
      <c r="TWQ2" s="4"/>
      <c r="TWR2" s="4"/>
      <c r="TWS2" s="4"/>
      <c r="TWT2" s="4"/>
      <c r="TWU2" s="4"/>
      <c r="TWV2" s="4"/>
      <c r="TWW2" s="4"/>
      <c r="TWX2" s="4"/>
      <c r="TWY2" s="4"/>
      <c r="TWZ2" s="4"/>
      <c r="TXA2" s="4"/>
      <c r="TXB2" s="4"/>
      <c r="TXC2" s="4"/>
      <c r="TXD2" s="4"/>
      <c r="TXE2" s="4"/>
      <c r="TXF2" s="4"/>
      <c r="TXG2" s="4"/>
      <c r="TXH2" s="4"/>
      <c r="TXI2" s="4"/>
      <c r="TXJ2" s="4"/>
      <c r="TXK2" s="4"/>
      <c r="TXL2" s="4"/>
      <c r="TXM2" s="4"/>
      <c r="TXN2" s="4"/>
      <c r="TXO2" s="4"/>
      <c r="TXP2" s="4"/>
      <c r="TXQ2" s="4"/>
      <c r="TXR2" s="4"/>
      <c r="TXS2" s="4"/>
      <c r="TXT2" s="4"/>
      <c r="TXU2" s="4"/>
      <c r="TXV2" s="4"/>
      <c r="TXW2" s="4"/>
      <c r="TXX2" s="4"/>
      <c r="TXY2" s="4"/>
      <c r="TXZ2" s="4"/>
      <c r="TYA2" s="4"/>
      <c r="TYB2" s="4"/>
      <c r="TYC2" s="4"/>
      <c r="TYD2" s="4"/>
      <c r="TYE2" s="4"/>
      <c r="TYF2" s="4"/>
      <c r="TYG2" s="4"/>
      <c r="TYH2" s="4"/>
      <c r="TYI2" s="4"/>
      <c r="TYJ2" s="4"/>
      <c r="TYK2" s="4"/>
      <c r="TYL2" s="4"/>
      <c r="TYM2" s="4"/>
      <c r="TYN2" s="4"/>
      <c r="TYO2" s="4"/>
      <c r="TYP2" s="4"/>
      <c r="TYQ2" s="4"/>
      <c r="TYR2" s="4"/>
      <c r="TYS2" s="4"/>
      <c r="TYT2" s="4"/>
      <c r="TYU2" s="4"/>
      <c r="TYV2" s="4"/>
      <c r="TYW2" s="4"/>
      <c r="TYX2" s="4"/>
      <c r="TYY2" s="4"/>
      <c r="TYZ2" s="4"/>
      <c r="TZA2" s="4"/>
      <c r="TZB2" s="4"/>
      <c r="TZC2" s="4"/>
      <c r="TZD2" s="4"/>
      <c r="TZE2" s="4"/>
      <c r="TZF2" s="4"/>
      <c r="TZG2" s="4"/>
      <c r="TZH2" s="4"/>
      <c r="TZI2" s="4"/>
      <c r="TZJ2" s="4"/>
      <c r="TZK2" s="4"/>
      <c r="TZL2" s="4"/>
      <c r="TZM2" s="4"/>
      <c r="TZN2" s="4"/>
      <c r="TZO2" s="4"/>
      <c r="TZP2" s="4"/>
      <c r="TZQ2" s="4"/>
      <c r="TZR2" s="4"/>
      <c r="TZS2" s="4"/>
      <c r="TZT2" s="4"/>
      <c r="TZU2" s="4"/>
      <c r="TZV2" s="4"/>
      <c r="TZW2" s="4"/>
      <c r="TZX2" s="4"/>
      <c r="TZY2" s="4"/>
      <c r="TZZ2" s="4"/>
      <c r="UAA2" s="4"/>
      <c r="UAB2" s="4"/>
      <c r="UAC2" s="4"/>
      <c r="UAD2" s="4"/>
      <c r="UAE2" s="4"/>
      <c r="UAF2" s="4"/>
      <c r="UAG2" s="4"/>
      <c r="UAH2" s="4"/>
      <c r="UAI2" s="4"/>
      <c r="UAJ2" s="4"/>
      <c r="UAK2" s="4"/>
      <c r="UAL2" s="4"/>
      <c r="UAM2" s="4"/>
      <c r="UAN2" s="4"/>
      <c r="UAO2" s="4"/>
      <c r="UAP2" s="4"/>
      <c r="UAQ2" s="4"/>
      <c r="UAR2" s="4"/>
      <c r="UAS2" s="4"/>
      <c r="UAT2" s="4"/>
      <c r="UAU2" s="4"/>
      <c r="UAV2" s="4"/>
      <c r="UAW2" s="4"/>
      <c r="UAX2" s="4"/>
      <c r="UAY2" s="4"/>
      <c r="UAZ2" s="4"/>
      <c r="UBA2" s="4"/>
      <c r="UBB2" s="4"/>
      <c r="UBC2" s="4"/>
      <c r="UBD2" s="4"/>
      <c r="UBE2" s="4"/>
      <c r="UBF2" s="4"/>
      <c r="UBG2" s="4"/>
      <c r="UBH2" s="4"/>
      <c r="UBI2" s="4"/>
      <c r="UBJ2" s="4"/>
      <c r="UBK2" s="4"/>
      <c r="UBL2" s="4"/>
      <c r="UBM2" s="4"/>
      <c r="UBN2" s="4"/>
      <c r="UBO2" s="4"/>
      <c r="UBP2" s="4"/>
      <c r="UBQ2" s="4"/>
      <c r="UBR2" s="4"/>
      <c r="UBS2" s="4"/>
      <c r="UBT2" s="4"/>
      <c r="UBU2" s="4"/>
      <c r="UBV2" s="4"/>
      <c r="UBW2" s="4"/>
      <c r="UBX2" s="4"/>
      <c r="UBY2" s="4"/>
      <c r="UBZ2" s="4"/>
      <c r="UCA2" s="4"/>
      <c r="UCB2" s="4"/>
      <c r="UCC2" s="4"/>
      <c r="UCD2" s="4"/>
      <c r="UCE2" s="4"/>
      <c r="UCF2" s="4"/>
      <c r="UCG2" s="4"/>
      <c r="UCH2" s="4"/>
      <c r="UCI2" s="4"/>
      <c r="UCJ2" s="4"/>
      <c r="UCK2" s="4"/>
      <c r="UCL2" s="4"/>
      <c r="UCM2" s="4"/>
      <c r="UCN2" s="4"/>
      <c r="UCO2" s="4"/>
      <c r="UCP2" s="4"/>
      <c r="UCQ2" s="4"/>
      <c r="UCR2" s="4"/>
      <c r="UCS2" s="4"/>
      <c r="UCT2" s="4"/>
      <c r="UCU2" s="4"/>
      <c r="UCV2" s="4"/>
      <c r="UCW2" s="4"/>
      <c r="UCX2" s="4"/>
      <c r="UCY2" s="4"/>
      <c r="UCZ2" s="4"/>
      <c r="UDA2" s="4"/>
      <c r="UDB2" s="4"/>
      <c r="UDC2" s="4"/>
      <c r="UDD2" s="4"/>
      <c r="UDE2" s="4"/>
      <c r="UDF2" s="4"/>
      <c r="UDG2" s="4"/>
      <c r="UDH2" s="4"/>
      <c r="UDI2" s="4"/>
      <c r="UDJ2" s="4"/>
      <c r="UDK2" s="4"/>
      <c r="UDL2" s="4"/>
      <c r="UDM2" s="4"/>
      <c r="UDN2" s="4"/>
      <c r="UDO2" s="4"/>
      <c r="UDP2" s="4"/>
      <c r="UDQ2" s="4"/>
      <c r="UDR2" s="4"/>
      <c r="UDS2" s="4"/>
      <c r="UDT2" s="4"/>
      <c r="UDU2" s="4"/>
      <c r="UDV2" s="4"/>
      <c r="UDW2" s="4"/>
      <c r="UDX2" s="4"/>
      <c r="UDY2" s="4"/>
      <c r="UDZ2" s="4"/>
      <c r="UEA2" s="4"/>
      <c r="UEB2" s="4"/>
      <c r="UEC2" s="4"/>
      <c r="UED2" s="4"/>
      <c r="UEE2" s="4"/>
      <c r="UEF2" s="4"/>
      <c r="UEG2" s="4"/>
      <c r="UEH2" s="4"/>
      <c r="UEI2" s="4"/>
      <c r="UEJ2" s="4"/>
      <c r="UEK2" s="4"/>
      <c r="UEL2" s="4"/>
      <c r="UEM2" s="4"/>
      <c r="UEN2" s="4"/>
      <c r="UEO2" s="4"/>
      <c r="UEP2" s="4"/>
      <c r="UEQ2" s="4"/>
      <c r="UER2" s="4"/>
      <c r="UES2" s="4"/>
      <c r="UET2" s="4"/>
      <c r="UEU2" s="4"/>
      <c r="UEV2" s="4"/>
      <c r="UEW2" s="4"/>
      <c r="UEX2" s="4"/>
      <c r="UEY2" s="4"/>
      <c r="UEZ2" s="4"/>
      <c r="UFA2" s="4"/>
      <c r="UFB2" s="4"/>
      <c r="UFC2" s="4"/>
      <c r="UFD2" s="4"/>
      <c r="UFE2" s="4"/>
      <c r="UFF2" s="4"/>
      <c r="UFG2" s="4"/>
      <c r="UFH2" s="4"/>
      <c r="UFI2" s="4"/>
      <c r="UFJ2" s="4"/>
      <c r="UFK2" s="4"/>
      <c r="UFL2" s="4"/>
      <c r="UFM2" s="4"/>
      <c r="UFN2" s="4"/>
      <c r="UFO2" s="4"/>
      <c r="UFP2" s="4"/>
      <c r="UFQ2" s="4"/>
      <c r="UFR2" s="4"/>
      <c r="UFS2" s="4"/>
      <c r="UFT2" s="4"/>
      <c r="UFU2" s="4"/>
      <c r="UFV2" s="4"/>
      <c r="UFW2" s="4"/>
      <c r="UFX2" s="4"/>
      <c r="UFY2" s="4"/>
      <c r="UFZ2" s="4"/>
      <c r="UGA2" s="4"/>
      <c r="UGB2" s="4"/>
      <c r="UGC2" s="4"/>
      <c r="UGD2" s="4"/>
      <c r="UGE2" s="4"/>
      <c r="UGF2" s="4"/>
      <c r="UGG2" s="4"/>
      <c r="UGH2" s="4"/>
      <c r="UGI2" s="4"/>
      <c r="UGJ2" s="4"/>
      <c r="UGK2" s="4"/>
      <c r="UGL2" s="4"/>
      <c r="UGM2" s="4"/>
      <c r="UGN2" s="4"/>
      <c r="UGO2" s="4"/>
      <c r="UGP2" s="4"/>
      <c r="UGQ2" s="4"/>
      <c r="UGR2" s="4"/>
      <c r="UGS2" s="4"/>
      <c r="UGT2" s="4"/>
      <c r="UGU2" s="4"/>
      <c r="UGV2" s="4"/>
      <c r="UGW2" s="4"/>
      <c r="UGX2" s="4"/>
      <c r="UGY2" s="4"/>
      <c r="UGZ2" s="4"/>
      <c r="UHA2" s="4"/>
      <c r="UHB2" s="4"/>
      <c r="UHC2" s="4"/>
      <c r="UHD2" s="4"/>
      <c r="UHE2" s="4"/>
      <c r="UHF2" s="4"/>
      <c r="UHG2" s="4"/>
      <c r="UHH2" s="4"/>
      <c r="UHI2" s="4"/>
      <c r="UHJ2" s="4"/>
      <c r="UHK2" s="4"/>
      <c r="UHL2" s="4"/>
      <c r="UHM2" s="4"/>
      <c r="UHN2" s="4"/>
      <c r="UHO2" s="4"/>
      <c r="UHP2" s="4"/>
      <c r="UHQ2" s="4"/>
      <c r="UHR2" s="4"/>
      <c r="UHS2" s="4"/>
      <c r="UHT2" s="4"/>
      <c r="UHU2" s="4"/>
      <c r="UHV2" s="4"/>
      <c r="UHW2" s="4"/>
      <c r="UHX2" s="4"/>
      <c r="UHY2" s="4"/>
      <c r="UHZ2" s="4"/>
      <c r="UIA2" s="4"/>
      <c r="UIB2" s="4"/>
      <c r="UIC2" s="4"/>
      <c r="UID2" s="4"/>
      <c r="UIE2" s="4"/>
      <c r="UIF2" s="4"/>
      <c r="UIG2" s="4"/>
      <c r="UIH2" s="4"/>
      <c r="UII2" s="4"/>
      <c r="UIJ2" s="4"/>
      <c r="UIK2" s="4"/>
      <c r="UIL2" s="4"/>
      <c r="UIM2" s="4"/>
      <c r="UIN2" s="4"/>
      <c r="UIO2" s="4"/>
      <c r="UIP2" s="4"/>
      <c r="UIQ2" s="4"/>
      <c r="UIR2" s="4"/>
      <c r="UIS2" s="4"/>
      <c r="UIT2" s="4"/>
      <c r="UIU2" s="4"/>
      <c r="UIV2" s="4"/>
      <c r="UIW2" s="4"/>
      <c r="UIX2" s="4"/>
      <c r="UIY2" s="4"/>
      <c r="UIZ2" s="4"/>
      <c r="UJA2" s="4"/>
      <c r="UJB2" s="4"/>
      <c r="UJC2" s="4"/>
      <c r="UJD2" s="4"/>
      <c r="UJE2" s="4"/>
      <c r="UJF2" s="4"/>
      <c r="UJG2" s="4"/>
      <c r="UJH2" s="4"/>
      <c r="UJI2" s="4"/>
      <c r="UJJ2" s="4"/>
      <c r="UJK2" s="4"/>
      <c r="UJL2" s="4"/>
      <c r="UJM2" s="4"/>
      <c r="UJN2" s="4"/>
      <c r="UJO2" s="4"/>
      <c r="UJP2" s="4"/>
      <c r="UJQ2" s="4"/>
      <c r="UJR2" s="4"/>
      <c r="UJS2" s="4"/>
      <c r="UJT2" s="4"/>
      <c r="UJU2" s="4"/>
      <c r="UJV2" s="4"/>
      <c r="UJW2" s="4"/>
      <c r="UJX2" s="4"/>
      <c r="UJY2" s="4"/>
      <c r="UJZ2" s="4"/>
      <c r="UKA2" s="4"/>
      <c r="UKB2" s="4"/>
      <c r="UKC2" s="4"/>
      <c r="UKD2" s="4"/>
      <c r="UKE2" s="4"/>
      <c r="UKF2" s="4"/>
      <c r="UKG2" s="4"/>
      <c r="UKH2" s="4"/>
      <c r="UKI2" s="4"/>
      <c r="UKJ2" s="4"/>
      <c r="UKK2" s="4"/>
      <c r="UKL2" s="4"/>
      <c r="UKM2" s="4"/>
      <c r="UKN2" s="4"/>
      <c r="UKO2" s="4"/>
      <c r="UKP2" s="4"/>
      <c r="UKQ2" s="4"/>
      <c r="UKR2" s="4"/>
      <c r="UKS2" s="4"/>
      <c r="UKT2" s="4"/>
      <c r="UKU2" s="4"/>
      <c r="UKV2" s="4"/>
      <c r="UKW2" s="4"/>
      <c r="UKX2" s="4"/>
      <c r="UKY2" s="4"/>
      <c r="UKZ2" s="4"/>
      <c r="ULA2" s="4"/>
      <c r="ULB2" s="4"/>
      <c r="ULC2" s="4"/>
      <c r="ULD2" s="4"/>
      <c r="ULE2" s="4"/>
      <c r="ULF2" s="4"/>
      <c r="ULG2" s="4"/>
      <c r="ULH2" s="4"/>
      <c r="ULI2" s="4"/>
      <c r="ULJ2" s="4"/>
      <c r="ULK2" s="4"/>
      <c r="ULL2" s="4"/>
      <c r="ULM2" s="4"/>
      <c r="ULN2" s="4"/>
      <c r="ULO2" s="4"/>
      <c r="ULP2" s="4"/>
      <c r="ULQ2" s="4"/>
      <c r="ULR2" s="4"/>
      <c r="ULS2" s="4"/>
      <c r="ULT2" s="4"/>
      <c r="ULU2" s="4"/>
      <c r="ULV2" s="4"/>
      <c r="ULW2" s="4"/>
      <c r="ULX2" s="4"/>
      <c r="ULY2" s="4"/>
      <c r="ULZ2" s="4"/>
      <c r="UMA2" s="4"/>
      <c r="UMB2" s="4"/>
      <c r="UMC2" s="4"/>
      <c r="UMD2" s="4"/>
      <c r="UME2" s="4"/>
      <c r="UMF2" s="4"/>
      <c r="UMG2" s="4"/>
      <c r="UMH2" s="4"/>
      <c r="UMI2" s="4"/>
      <c r="UMJ2" s="4"/>
      <c r="UMK2" s="4"/>
      <c r="UML2" s="4"/>
      <c r="UMM2" s="4"/>
      <c r="UMN2" s="4"/>
      <c r="UMO2" s="4"/>
      <c r="UMP2" s="4"/>
      <c r="UMQ2" s="4"/>
      <c r="UMR2" s="4"/>
      <c r="UMS2" s="4"/>
      <c r="UMT2" s="4"/>
      <c r="UMU2" s="4"/>
      <c r="UMV2" s="4"/>
      <c r="UMW2" s="4"/>
      <c r="UMX2" s="4"/>
      <c r="UMY2" s="4"/>
      <c r="UMZ2" s="4"/>
      <c r="UNA2" s="4"/>
      <c r="UNB2" s="4"/>
      <c r="UNC2" s="4"/>
      <c r="UND2" s="4"/>
      <c r="UNE2" s="4"/>
      <c r="UNF2" s="4"/>
      <c r="UNG2" s="4"/>
      <c r="UNH2" s="4"/>
      <c r="UNI2" s="4"/>
      <c r="UNJ2" s="4"/>
      <c r="UNK2" s="4"/>
      <c r="UNL2" s="4"/>
      <c r="UNM2" s="4"/>
      <c r="UNN2" s="4"/>
      <c r="UNO2" s="4"/>
      <c r="UNP2" s="4"/>
      <c r="UNQ2" s="4"/>
      <c r="UNR2" s="4"/>
      <c r="UNS2" s="4"/>
      <c r="UNT2" s="4"/>
      <c r="UNU2" s="4"/>
      <c r="UNV2" s="4"/>
      <c r="UNW2" s="4"/>
      <c r="UNX2" s="4"/>
      <c r="UNY2" s="4"/>
      <c r="UNZ2" s="4"/>
      <c r="UOA2" s="4"/>
      <c r="UOB2" s="4"/>
      <c r="UOC2" s="4"/>
      <c r="UOD2" s="4"/>
      <c r="UOE2" s="4"/>
      <c r="UOF2" s="4"/>
      <c r="UOG2" s="4"/>
      <c r="UOH2" s="4"/>
      <c r="UOI2" s="4"/>
      <c r="UOJ2" s="4"/>
      <c r="UOK2" s="4"/>
      <c r="UOL2" s="4"/>
      <c r="UOM2" s="4"/>
      <c r="UON2" s="4"/>
      <c r="UOO2" s="4"/>
      <c r="UOP2" s="4"/>
      <c r="UOQ2" s="4"/>
      <c r="UOR2" s="4"/>
      <c r="UOS2" s="4"/>
      <c r="UOT2" s="4"/>
      <c r="UOU2" s="4"/>
      <c r="UOV2" s="4"/>
      <c r="UOW2" s="4"/>
      <c r="UOX2" s="4"/>
      <c r="UOY2" s="4"/>
      <c r="UOZ2" s="4"/>
      <c r="UPA2" s="4"/>
      <c r="UPB2" s="4"/>
      <c r="UPC2" s="4"/>
      <c r="UPD2" s="4"/>
      <c r="UPE2" s="4"/>
      <c r="UPF2" s="4"/>
      <c r="UPG2" s="4"/>
      <c r="UPH2" s="4"/>
      <c r="UPI2" s="4"/>
      <c r="UPJ2" s="4"/>
      <c r="UPK2" s="4"/>
      <c r="UPL2" s="4"/>
      <c r="UPM2" s="4"/>
      <c r="UPN2" s="4"/>
      <c r="UPO2" s="4"/>
      <c r="UPP2" s="4"/>
      <c r="UPQ2" s="4"/>
      <c r="UPR2" s="4"/>
      <c r="UPS2" s="4"/>
      <c r="UPT2" s="4"/>
      <c r="UPU2" s="4"/>
      <c r="UPV2" s="4"/>
      <c r="UPW2" s="4"/>
      <c r="UPX2" s="4"/>
      <c r="UPY2" s="4"/>
      <c r="UPZ2" s="4"/>
      <c r="UQA2" s="4"/>
      <c r="UQB2" s="4"/>
      <c r="UQC2" s="4"/>
      <c r="UQD2" s="4"/>
      <c r="UQE2" s="4"/>
      <c r="UQF2" s="4"/>
      <c r="UQG2" s="4"/>
      <c r="UQH2" s="4"/>
      <c r="UQI2" s="4"/>
      <c r="UQJ2" s="4"/>
      <c r="UQK2" s="4"/>
      <c r="UQL2" s="4"/>
      <c r="UQM2" s="4"/>
      <c r="UQN2" s="4"/>
      <c r="UQO2" s="4"/>
      <c r="UQP2" s="4"/>
      <c r="UQQ2" s="4"/>
      <c r="UQR2" s="4"/>
      <c r="UQS2" s="4"/>
      <c r="UQT2" s="4"/>
      <c r="UQU2" s="4"/>
      <c r="UQV2" s="4"/>
      <c r="UQW2" s="4"/>
      <c r="UQX2" s="4"/>
      <c r="UQY2" s="4"/>
      <c r="UQZ2" s="4"/>
      <c r="URA2" s="4"/>
      <c r="URB2" s="4"/>
      <c r="URC2" s="4"/>
      <c r="URD2" s="4"/>
      <c r="URE2" s="4"/>
      <c r="URF2" s="4"/>
      <c r="URG2" s="4"/>
      <c r="URH2" s="4"/>
      <c r="URI2" s="4"/>
      <c r="URJ2" s="4"/>
      <c r="URK2" s="4"/>
      <c r="URL2" s="4"/>
      <c r="URM2" s="4"/>
      <c r="URN2" s="4"/>
      <c r="URO2" s="4"/>
      <c r="URP2" s="4"/>
      <c r="URQ2" s="4"/>
      <c r="URR2" s="4"/>
      <c r="URS2" s="4"/>
      <c r="URT2" s="4"/>
      <c r="URU2" s="4"/>
      <c r="URV2" s="4"/>
      <c r="URW2" s="4"/>
      <c r="URX2" s="4"/>
      <c r="URY2" s="4"/>
      <c r="URZ2" s="4"/>
      <c r="USA2" s="4"/>
      <c r="USB2" s="4"/>
      <c r="USC2" s="4"/>
      <c r="USD2" s="4"/>
      <c r="USE2" s="4"/>
      <c r="USF2" s="4"/>
      <c r="USG2" s="4"/>
      <c r="USH2" s="4"/>
      <c r="USI2" s="4"/>
      <c r="USJ2" s="4"/>
      <c r="USK2" s="4"/>
      <c r="USL2" s="4"/>
      <c r="USM2" s="4"/>
      <c r="USN2" s="4"/>
      <c r="USO2" s="4"/>
      <c r="USP2" s="4"/>
      <c r="USQ2" s="4"/>
      <c r="USR2" s="4"/>
      <c r="USS2" s="4"/>
      <c r="UST2" s="4"/>
      <c r="USU2" s="4"/>
      <c r="USV2" s="4"/>
      <c r="USW2" s="4"/>
      <c r="USX2" s="4"/>
      <c r="USY2" s="4"/>
      <c r="USZ2" s="4"/>
      <c r="UTA2" s="4"/>
      <c r="UTB2" s="4"/>
      <c r="UTC2" s="4"/>
      <c r="UTD2" s="4"/>
      <c r="UTE2" s="4"/>
      <c r="UTF2" s="4"/>
      <c r="UTG2" s="4"/>
      <c r="UTH2" s="4"/>
      <c r="UTI2" s="4"/>
      <c r="UTJ2" s="4"/>
      <c r="UTK2" s="4"/>
      <c r="UTL2" s="4"/>
      <c r="UTM2" s="4"/>
      <c r="UTN2" s="4"/>
      <c r="UTO2" s="4"/>
      <c r="UTP2" s="4"/>
      <c r="UTQ2" s="4"/>
      <c r="UTR2" s="4"/>
      <c r="UTS2" s="4"/>
      <c r="UTT2" s="4"/>
      <c r="UTU2" s="4"/>
      <c r="UTV2" s="4"/>
      <c r="UTW2" s="4"/>
      <c r="UTX2" s="4"/>
      <c r="UTY2" s="4"/>
      <c r="UTZ2" s="4"/>
      <c r="UUA2" s="4"/>
      <c r="UUB2" s="4"/>
      <c r="UUC2" s="4"/>
      <c r="UUD2" s="4"/>
      <c r="UUE2" s="4"/>
      <c r="UUF2" s="4"/>
      <c r="UUG2" s="4"/>
      <c r="UUH2" s="4"/>
      <c r="UUI2" s="4"/>
      <c r="UUJ2" s="4"/>
      <c r="UUK2" s="4"/>
      <c r="UUL2" s="4"/>
      <c r="UUM2" s="4"/>
      <c r="UUN2" s="4"/>
      <c r="UUO2" s="4"/>
      <c r="UUP2" s="4"/>
      <c r="UUQ2" s="4"/>
      <c r="UUR2" s="4"/>
      <c r="UUS2" s="4"/>
      <c r="UUT2" s="4"/>
      <c r="UUU2" s="4"/>
      <c r="UUV2" s="4"/>
      <c r="UUW2" s="4"/>
      <c r="UUX2" s="4"/>
      <c r="UUY2" s="4"/>
      <c r="UUZ2" s="4"/>
      <c r="UVA2" s="4"/>
      <c r="UVB2" s="4"/>
      <c r="UVC2" s="4"/>
      <c r="UVD2" s="4"/>
      <c r="UVE2" s="4"/>
      <c r="UVF2" s="4"/>
      <c r="UVG2" s="4"/>
      <c r="UVH2" s="4"/>
      <c r="UVI2" s="4"/>
      <c r="UVJ2" s="4"/>
      <c r="UVK2" s="4"/>
      <c r="UVL2" s="4"/>
      <c r="UVM2" s="4"/>
      <c r="UVN2" s="4"/>
      <c r="UVO2" s="4"/>
      <c r="UVP2" s="4"/>
      <c r="UVQ2" s="4"/>
      <c r="UVR2" s="4"/>
      <c r="UVS2" s="4"/>
      <c r="UVT2" s="4"/>
      <c r="UVU2" s="4"/>
      <c r="UVV2" s="4"/>
      <c r="UVW2" s="4"/>
      <c r="UVX2" s="4"/>
      <c r="UVY2" s="4"/>
      <c r="UVZ2" s="4"/>
      <c r="UWA2" s="4"/>
      <c r="UWB2" s="4"/>
      <c r="UWC2" s="4"/>
      <c r="UWD2" s="4"/>
      <c r="UWE2" s="4"/>
      <c r="UWF2" s="4"/>
      <c r="UWG2" s="4"/>
      <c r="UWH2" s="4"/>
      <c r="UWI2" s="4"/>
      <c r="UWJ2" s="4"/>
      <c r="UWK2" s="4"/>
      <c r="UWL2" s="4"/>
      <c r="UWM2" s="4"/>
      <c r="UWN2" s="4"/>
      <c r="UWO2" s="4"/>
      <c r="UWP2" s="4"/>
      <c r="UWQ2" s="4"/>
      <c r="UWR2" s="4"/>
      <c r="UWS2" s="4"/>
      <c r="UWT2" s="4"/>
      <c r="UWU2" s="4"/>
      <c r="UWV2" s="4"/>
      <c r="UWW2" s="4"/>
      <c r="UWX2" s="4"/>
      <c r="UWY2" s="4"/>
      <c r="UWZ2" s="4"/>
      <c r="UXA2" s="4"/>
      <c r="UXB2" s="4"/>
      <c r="UXC2" s="4"/>
      <c r="UXD2" s="4"/>
      <c r="UXE2" s="4"/>
      <c r="UXF2" s="4"/>
      <c r="UXG2" s="4"/>
      <c r="UXH2" s="4"/>
      <c r="UXI2" s="4"/>
      <c r="UXJ2" s="4"/>
      <c r="UXK2" s="4"/>
      <c r="UXL2" s="4"/>
      <c r="UXM2" s="4"/>
      <c r="UXN2" s="4"/>
      <c r="UXO2" s="4"/>
      <c r="UXP2" s="4"/>
      <c r="UXQ2" s="4"/>
      <c r="UXR2" s="4"/>
      <c r="UXS2" s="4"/>
      <c r="UXT2" s="4"/>
      <c r="UXU2" s="4"/>
      <c r="UXV2" s="4"/>
      <c r="UXW2" s="4"/>
      <c r="UXX2" s="4"/>
      <c r="UXY2" s="4"/>
      <c r="UXZ2" s="4"/>
      <c r="UYA2" s="4"/>
      <c r="UYB2" s="4"/>
      <c r="UYC2" s="4"/>
      <c r="UYD2" s="4"/>
      <c r="UYE2" s="4"/>
      <c r="UYF2" s="4"/>
      <c r="UYG2" s="4"/>
      <c r="UYH2" s="4"/>
      <c r="UYI2" s="4"/>
      <c r="UYJ2" s="4"/>
      <c r="UYK2" s="4"/>
      <c r="UYL2" s="4"/>
      <c r="UYM2" s="4"/>
      <c r="UYN2" s="4"/>
      <c r="UYO2" s="4"/>
      <c r="UYP2" s="4"/>
      <c r="UYQ2" s="4"/>
      <c r="UYR2" s="4"/>
      <c r="UYS2" s="4"/>
      <c r="UYT2" s="4"/>
      <c r="UYU2" s="4"/>
      <c r="UYV2" s="4"/>
      <c r="UYW2" s="4"/>
      <c r="UYX2" s="4"/>
      <c r="UYY2" s="4"/>
      <c r="UYZ2" s="4"/>
      <c r="UZA2" s="4"/>
      <c r="UZB2" s="4"/>
      <c r="UZC2" s="4"/>
      <c r="UZD2" s="4"/>
      <c r="UZE2" s="4"/>
      <c r="UZF2" s="4"/>
      <c r="UZG2" s="4"/>
      <c r="UZH2" s="4"/>
      <c r="UZI2" s="4"/>
      <c r="UZJ2" s="4"/>
      <c r="UZK2" s="4"/>
      <c r="UZL2" s="4"/>
      <c r="UZM2" s="4"/>
      <c r="UZN2" s="4"/>
      <c r="UZO2" s="4"/>
      <c r="UZP2" s="4"/>
      <c r="UZQ2" s="4"/>
      <c r="UZR2" s="4"/>
      <c r="UZS2" s="4"/>
      <c r="UZT2" s="4"/>
      <c r="UZU2" s="4"/>
      <c r="UZV2" s="4"/>
      <c r="UZW2" s="4"/>
      <c r="UZX2" s="4"/>
      <c r="UZY2" s="4"/>
      <c r="UZZ2" s="4"/>
      <c r="VAA2" s="4"/>
      <c r="VAB2" s="4"/>
      <c r="VAC2" s="4"/>
      <c r="VAD2" s="4"/>
      <c r="VAE2" s="4"/>
      <c r="VAF2" s="4"/>
      <c r="VAG2" s="4"/>
      <c r="VAH2" s="4"/>
      <c r="VAI2" s="4"/>
      <c r="VAJ2" s="4"/>
      <c r="VAK2" s="4"/>
      <c r="VAL2" s="4"/>
      <c r="VAM2" s="4"/>
      <c r="VAN2" s="4"/>
      <c r="VAO2" s="4"/>
      <c r="VAP2" s="4"/>
      <c r="VAQ2" s="4"/>
      <c r="VAR2" s="4"/>
      <c r="VAS2" s="4"/>
      <c r="VAT2" s="4"/>
      <c r="VAU2" s="4"/>
      <c r="VAV2" s="4"/>
      <c r="VAW2" s="4"/>
      <c r="VAX2" s="4"/>
      <c r="VAY2" s="4"/>
      <c r="VAZ2" s="4"/>
      <c r="VBA2" s="4"/>
      <c r="VBB2" s="4"/>
      <c r="VBC2" s="4"/>
      <c r="VBD2" s="4"/>
      <c r="VBE2" s="4"/>
      <c r="VBF2" s="4"/>
      <c r="VBG2" s="4"/>
      <c r="VBH2" s="4"/>
      <c r="VBI2" s="4"/>
      <c r="VBJ2" s="4"/>
      <c r="VBK2" s="4"/>
      <c r="VBL2" s="4"/>
      <c r="VBM2" s="4"/>
      <c r="VBN2" s="4"/>
      <c r="VBO2" s="4"/>
      <c r="VBP2" s="4"/>
      <c r="VBQ2" s="4"/>
      <c r="VBR2" s="4"/>
      <c r="VBS2" s="4"/>
      <c r="VBT2" s="4"/>
      <c r="VBU2" s="4"/>
      <c r="VBV2" s="4"/>
      <c r="VBW2" s="4"/>
      <c r="VBX2" s="4"/>
      <c r="VBY2" s="4"/>
      <c r="VBZ2" s="4"/>
      <c r="VCA2" s="4"/>
      <c r="VCB2" s="4"/>
      <c r="VCC2" s="4"/>
      <c r="VCD2" s="4"/>
      <c r="VCE2" s="4"/>
      <c r="VCF2" s="4"/>
      <c r="VCG2" s="4"/>
      <c r="VCH2" s="4"/>
      <c r="VCI2" s="4"/>
      <c r="VCJ2" s="4"/>
      <c r="VCK2" s="4"/>
      <c r="VCL2" s="4"/>
      <c r="VCM2" s="4"/>
      <c r="VCN2" s="4"/>
      <c r="VCO2" s="4"/>
      <c r="VCP2" s="4"/>
      <c r="VCQ2" s="4"/>
      <c r="VCR2" s="4"/>
      <c r="VCS2" s="4"/>
      <c r="VCT2" s="4"/>
      <c r="VCU2" s="4"/>
      <c r="VCV2" s="4"/>
      <c r="VCW2" s="4"/>
      <c r="VCX2" s="4"/>
      <c r="VCY2" s="4"/>
      <c r="VCZ2" s="4"/>
      <c r="VDA2" s="4"/>
      <c r="VDB2" s="4"/>
      <c r="VDC2" s="4"/>
      <c r="VDD2" s="4"/>
      <c r="VDE2" s="4"/>
      <c r="VDF2" s="4"/>
      <c r="VDG2" s="4"/>
      <c r="VDH2" s="4"/>
      <c r="VDI2" s="4"/>
      <c r="VDJ2" s="4"/>
      <c r="VDK2" s="4"/>
      <c r="VDL2" s="4"/>
      <c r="VDM2" s="4"/>
      <c r="VDN2" s="4"/>
      <c r="VDO2" s="4"/>
      <c r="VDP2" s="4"/>
      <c r="VDQ2" s="4"/>
      <c r="VDR2" s="4"/>
      <c r="VDS2" s="4"/>
      <c r="VDT2" s="4"/>
      <c r="VDU2" s="4"/>
      <c r="VDV2" s="4"/>
      <c r="VDW2" s="4"/>
      <c r="VDX2" s="4"/>
      <c r="VDY2" s="4"/>
      <c r="VDZ2" s="4"/>
      <c r="VEA2" s="4"/>
      <c r="VEB2" s="4"/>
      <c r="VEC2" s="4"/>
      <c r="VED2" s="4"/>
      <c r="VEE2" s="4"/>
      <c r="VEF2" s="4"/>
      <c r="VEG2" s="4"/>
      <c r="VEH2" s="4"/>
      <c r="VEI2" s="4"/>
      <c r="VEJ2" s="4"/>
      <c r="VEK2" s="4"/>
      <c r="VEL2" s="4"/>
      <c r="VEM2" s="4"/>
      <c r="VEN2" s="4"/>
      <c r="VEO2" s="4"/>
      <c r="VEP2" s="4"/>
      <c r="VEQ2" s="4"/>
      <c r="VER2" s="4"/>
      <c r="VES2" s="4"/>
      <c r="VET2" s="4"/>
      <c r="VEU2" s="4"/>
      <c r="VEV2" s="4"/>
      <c r="VEW2" s="4"/>
      <c r="VEX2" s="4"/>
      <c r="VEY2" s="4"/>
      <c r="VEZ2" s="4"/>
      <c r="VFA2" s="4"/>
      <c r="VFB2" s="4"/>
      <c r="VFC2" s="4"/>
      <c r="VFD2" s="4"/>
      <c r="VFE2" s="4"/>
      <c r="VFF2" s="4"/>
      <c r="VFG2" s="4"/>
      <c r="VFH2" s="4"/>
      <c r="VFI2" s="4"/>
      <c r="VFJ2" s="4"/>
      <c r="VFK2" s="4"/>
      <c r="VFL2" s="4"/>
      <c r="VFM2" s="4"/>
      <c r="VFN2" s="4"/>
      <c r="VFO2" s="4"/>
      <c r="VFP2" s="4"/>
      <c r="VFQ2" s="4"/>
      <c r="VFR2" s="4"/>
      <c r="VFS2" s="4"/>
      <c r="VFT2" s="4"/>
      <c r="VFU2" s="4"/>
      <c r="VFV2" s="4"/>
      <c r="VFW2" s="4"/>
      <c r="VFX2" s="4"/>
      <c r="VFY2" s="4"/>
      <c r="VFZ2" s="4"/>
      <c r="VGA2" s="4"/>
      <c r="VGB2" s="4"/>
      <c r="VGC2" s="4"/>
      <c r="VGD2" s="4"/>
      <c r="VGE2" s="4"/>
      <c r="VGF2" s="4"/>
      <c r="VGG2" s="4"/>
      <c r="VGH2" s="4"/>
      <c r="VGI2" s="4"/>
      <c r="VGJ2" s="4"/>
      <c r="VGK2" s="4"/>
      <c r="VGL2" s="4"/>
      <c r="VGM2" s="4"/>
      <c r="VGN2" s="4"/>
      <c r="VGO2" s="4"/>
      <c r="VGP2" s="4"/>
      <c r="VGQ2" s="4"/>
      <c r="VGR2" s="4"/>
      <c r="VGS2" s="4"/>
      <c r="VGT2" s="4"/>
      <c r="VGU2" s="4"/>
      <c r="VGV2" s="4"/>
      <c r="VGW2" s="4"/>
      <c r="VGX2" s="4"/>
      <c r="VGY2" s="4"/>
      <c r="VGZ2" s="4"/>
      <c r="VHA2" s="4"/>
      <c r="VHB2" s="4"/>
      <c r="VHC2" s="4"/>
      <c r="VHD2" s="4"/>
      <c r="VHE2" s="4"/>
      <c r="VHF2" s="4"/>
      <c r="VHG2" s="4"/>
      <c r="VHH2" s="4"/>
      <c r="VHI2" s="4"/>
      <c r="VHJ2" s="4"/>
      <c r="VHK2" s="4"/>
      <c r="VHL2" s="4"/>
      <c r="VHM2" s="4"/>
      <c r="VHN2" s="4"/>
      <c r="VHO2" s="4"/>
      <c r="VHP2" s="4"/>
      <c r="VHQ2" s="4"/>
      <c r="VHR2" s="4"/>
      <c r="VHS2" s="4"/>
      <c r="VHT2" s="4"/>
      <c r="VHU2" s="4"/>
      <c r="VHV2" s="4"/>
      <c r="VHW2" s="4"/>
      <c r="VHX2" s="4"/>
      <c r="VHY2" s="4"/>
      <c r="VHZ2" s="4"/>
      <c r="VIA2" s="4"/>
      <c r="VIB2" s="4"/>
      <c r="VIC2" s="4"/>
      <c r="VID2" s="4"/>
      <c r="VIE2" s="4"/>
      <c r="VIF2" s="4"/>
      <c r="VIG2" s="4"/>
      <c r="VIH2" s="4"/>
      <c r="VII2" s="4"/>
      <c r="VIJ2" s="4"/>
      <c r="VIK2" s="4"/>
      <c r="VIL2" s="4"/>
      <c r="VIM2" s="4"/>
      <c r="VIN2" s="4"/>
      <c r="VIO2" s="4"/>
      <c r="VIP2" s="4"/>
      <c r="VIQ2" s="4"/>
      <c r="VIR2" s="4"/>
      <c r="VIS2" s="4"/>
      <c r="VIT2" s="4"/>
      <c r="VIU2" s="4"/>
      <c r="VIV2" s="4"/>
      <c r="VIW2" s="4"/>
      <c r="VIX2" s="4"/>
      <c r="VIY2" s="4"/>
      <c r="VIZ2" s="4"/>
      <c r="VJA2" s="4"/>
      <c r="VJB2" s="4"/>
      <c r="VJC2" s="4"/>
      <c r="VJD2" s="4"/>
      <c r="VJE2" s="4"/>
      <c r="VJF2" s="4"/>
      <c r="VJG2" s="4"/>
      <c r="VJH2" s="4"/>
      <c r="VJI2" s="4"/>
      <c r="VJJ2" s="4"/>
      <c r="VJK2" s="4"/>
      <c r="VJL2" s="4"/>
      <c r="VJM2" s="4"/>
      <c r="VJN2" s="4"/>
      <c r="VJO2" s="4"/>
      <c r="VJP2" s="4"/>
      <c r="VJQ2" s="4"/>
      <c r="VJR2" s="4"/>
      <c r="VJS2" s="4"/>
      <c r="VJT2" s="4"/>
      <c r="VJU2" s="4"/>
      <c r="VJV2" s="4"/>
      <c r="VJW2" s="4"/>
      <c r="VJX2" s="4"/>
      <c r="VJY2" s="4"/>
      <c r="VJZ2" s="4"/>
      <c r="VKA2" s="4"/>
      <c r="VKB2" s="4"/>
      <c r="VKC2" s="4"/>
      <c r="VKD2" s="4"/>
      <c r="VKE2" s="4"/>
      <c r="VKF2" s="4"/>
      <c r="VKG2" s="4"/>
      <c r="VKH2" s="4"/>
      <c r="VKI2" s="4"/>
      <c r="VKJ2" s="4"/>
      <c r="VKK2" s="4"/>
      <c r="VKL2" s="4"/>
      <c r="VKM2" s="4"/>
      <c r="VKN2" s="4"/>
      <c r="VKO2" s="4"/>
      <c r="VKP2" s="4"/>
      <c r="VKQ2" s="4"/>
      <c r="VKR2" s="4"/>
      <c r="VKS2" s="4"/>
      <c r="VKT2" s="4"/>
      <c r="VKU2" s="4"/>
      <c r="VKV2" s="4"/>
      <c r="VKW2" s="4"/>
      <c r="VKX2" s="4"/>
      <c r="VKY2" s="4"/>
      <c r="VKZ2" s="4"/>
      <c r="VLA2" s="4"/>
      <c r="VLB2" s="4"/>
      <c r="VLC2" s="4"/>
      <c r="VLD2" s="4"/>
      <c r="VLE2" s="4"/>
      <c r="VLF2" s="4"/>
      <c r="VLG2" s="4"/>
      <c r="VLH2" s="4"/>
      <c r="VLI2" s="4"/>
      <c r="VLJ2" s="4"/>
      <c r="VLK2" s="4"/>
      <c r="VLL2" s="4"/>
      <c r="VLM2" s="4"/>
      <c r="VLN2" s="4"/>
      <c r="VLO2" s="4"/>
      <c r="VLP2" s="4"/>
      <c r="VLQ2" s="4"/>
      <c r="VLR2" s="4"/>
      <c r="VLS2" s="4"/>
      <c r="VLT2" s="4"/>
      <c r="VLU2" s="4"/>
      <c r="VLV2" s="4"/>
      <c r="VLW2" s="4"/>
      <c r="VLX2" s="4"/>
      <c r="VLY2" s="4"/>
      <c r="VLZ2" s="4"/>
      <c r="VMA2" s="4"/>
      <c r="VMB2" s="4"/>
      <c r="VMC2" s="4"/>
      <c r="VMD2" s="4"/>
      <c r="VME2" s="4"/>
      <c r="VMF2" s="4"/>
      <c r="VMG2" s="4"/>
      <c r="VMH2" s="4"/>
      <c r="VMI2" s="4"/>
      <c r="VMJ2" s="4"/>
      <c r="VMK2" s="4"/>
      <c r="VML2" s="4"/>
      <c r="VMM2" s="4"/>
      <c r="VMN2" s="4"/>
      <c r="VMO2" s="4"/>
      <c r="VMP2" s="4"/>
      <c r="VMQ2" s="4"/>
      <c r="VMR2" s="4"/>
      <c r="VMS2" s="4"/>
      <c r="VMT2" s="4"/>
      <c r="VMU2" s="4"/>
      <c r="VMV2" s="4"/>
      <c r="VMW2" s="4"/>
      <c r="VMX2" s="4"/>
      <c r="VMY2" s="4"/>
      <c r="VMZ2" s="4"/>
      <c r="VNA2" s="4"/>
      <c r="VNB2" s="4"/>
      <c r="VNC2" s="4"/>
      <c r="VND2" s="4"/>
      <c r="VNE2" s="4"/>
      <c r="VNF2" s="4"/>
      <c r="VNG2" s="4"/>
      <c r="VNH2" s="4"/>
      <c r="VNI2" s="4"/>
      <c r="VNJ2" s="4"/>
      <c r="VNK2" s="4"/>
      <c r="VNL2" s="4"/>
      <c r="VNM2" s="4"/>
      <c r="VNN2" s="4"/>
      <c r="VNO2" s="4"/>
      <c r="VNP2" s="4"/>
      <c r="VNQ2" s="4"/>
      <c r="VNR2" s="4"/>
      <c r="VNS2" s="4"/>
      <c r="VNT2" s="4"/>
      <c r="VNU2" s="4"/>
      <c r="VNV2" s="4"/>
      <c r="VNW2" s="4"/>
      <c r="VNX2" s="4"/>
      <c r="VNY2" s="4"/>
      <c r="VNZ2" s="4"/>
      <c r="VOA2" s="4"/>
      <c r="VOB2" s="4"/>
      <c r="VOC2" s="4"/>
      <c r="VOD2" s="4"/>
      <c r="VOE2" s="4"/>
      <c r="VOF2" s="4"/>
      <c r="VOG2" s="4"/>
      <c r="VOH2" s="4"/>
      <c r="VOI2" s="4"/>
      <c r="VOJ2" s="4"/>
      <c r="VOK2" s="4"/>
      <c r="VOL2" s="4"/>
      <c r="VOM2" s="4"/>
      <c r="VON2" s="4"/>
      <c r="VOO2" s="4"/>
      <c r="VOP2" s="4"/>
      <c r="VOQ2" s="4"/>
      <c r="VOR2" s="4"/>
      <c r="VOS2" s="4"/>
      <c r="VOT2" s="4"/>
      <c r="VOU2" s="4"/>
      <c r="VOV2" s="4"/>
      <c r="VOW2" s="4"/>
      <c r="VOX2" s="4"/>
      <c r="VOY2" s="4"/>
      <c r="VOZ2" s="4"/>
      <c r="VPA2" s="4"/>
      <c r="VPB2" s="4"/>
      <c r="VPC2" s="4"/>
      <c r="VPD2" s="4"/>
      <c r="VPE2" s="4"/>
      <c r="VPF2" s="4"/>
      <c r="VPG2" s="4"/>
      <c r="VPH2" s="4"/>
      <c r="VPI2" s="4"/>
      <c r="VPJ2" s="4"/>
      <c r="VPK2" s="4"/>
      <c r="VPL2" s="4"/>
      <c r="VPM2" s="4"/>
      <c r="VPN2" s="4"/>
      <c r="VPO2" s="4"/>
      <c r="VPP2" s="4"/>
      <c r="VPQ2" s="4"/>
      <c r="VPR2" s="4"/>
      <c r="VPS2" s="4"/>
      <c r="VPT2" s="4"/>
      <c r="VPU2" s="4"/>
      <c r="VPV2" s="4"/>
      <c r="VPW2" s="4"/>
      <c r="VPX2" s="4"/>
      <c r="VPY2" s="4"/>
      <c r="VPZ2" s="4"/>
      <c r="VQA2" s="4"/>
      <c r="VQB2" s="4"/>
      <c r="VQC2" s="4"/>
      <c r="VQD2" s="4"/>
      <c r="VQE2" s="4"/>
      <c r="VQF2" s="4"/>
      <c r="VQG2" s="4"/>
      <c r="VQH2" s="4"/>
      <c r="VQI2" s="4"/>
      <c r="VQJ2" s="4"/>
      <c r="VQK2" s="4"/>
      <c r="VQL2" s="4"/>
      <c r="VQM2" s="4"/>
      <c r="VQN2" s="4"/>
      <c r="VQO2" s="4"/>
      <c r="VQP2" s="4"/>
      <c r="VQQ2" s="4"/>
      <c r="VQR2" s="4"/>
      <c r="VQS2" s="4"/>
      <c r="VQT2" s="4"/>
      <c r="VQU2" s="4"/>
      <c r="VQV2" s="4"/>
      <c r="VQW2" s="4"/>
      <c r="VQX2" s="4"/>
      <c r="VQY2" s="4"/>
      <c r="VQZ2" s="4"/>
      <c r="VRA2" s="4"/>
      <c r="VRB2" s="4"/>
      <c r="VRC2" s="4"/>
      <c r="VRD2" s="4"/>
      <c r="VRE2" s="4"/>
      <c r="VRF2" s="4"/>
      <c r="VRG2" s="4"/>
      <c r="VRH2" s="4"/>
      <c r="VRI2" s="4"/>
      <c r="VRJ2" s="4"/>
      <c r="VRK2" s="4"/>
      <c r="VRL2" s="4"/>
      <c r="VRM2" s="4"/>
      <c r="VRN2" s="4"/>
      <c r="VRO2" s="4"/>
      <c r="VRP2" s="4"/>
      <c r="VRQ2" s="4"/>
      <c r="VRR2" s="4"/>
      <c r="VRS2" s="4"/>
      <c r="VRT2" s="4"/>
      <c r="VRU2" s="4"/>
      <c r="VRV2" s="4"/>
      <c r="VRW2" s="4"/>
      <c r="VRX2" s="4"/>
      <c r="VRY2" s="4"/>
      <c r="VRZ2" s="4"/>
      <c r="VSA2" s="4"/>
      <c r="VSB2" s="4"/>
      <c r="VSC2" s="4"/>
      <c r="VSD2" s="4"/>
      <c r="VSE2" s="4"/>
      <c r="VSF2" s="4"/>
      <c r="VSG2" s="4"/>
      <c r="VSH2" s="4"/>
      <c r="VSI2" s="4"/>
      <c r="VSJ2" s="4"/>
      <c r="VSK2" s="4"/>
      <c r="VSL2" s="4"/>
      <c r="VSM2" s="4"/>
      <c r="VSN2" s="4"/>
      <c r="VSO2" s="4"/>
      <c r="VSP2" s="4"/>
      <c r="VSQ2" s="4"/>
      <c r="VSR2" s="4"/>
      <c r="VSS2" s="4"/>
      <c r="VST2" s="4"/>
      <c r="VSU2" s="4"/>
      <c r="VSV2" s="4"/>
      <c r="VSW2" s="4"/>
      <c r="VSX2" s="4"/>
      <c r="VSY2" s="4"/>
      <c r="VSZ2" s="4"/>
      <c r="VTA2" s="4"/>
      <c r="VTB2" s="4"/>
      <c r="VTC2" s="4"/>
      <c r="VTD2" s="4"/>
      <c r="VTE2" s="4"/>
      <c r="VTF2" s="4"/>
      <c r="VTG2" s="4"/>
      <c r="VTH2" s="4"/>
      <c r="VTI2" s="4"/>
      <c r="VTJ2" s="4"/>
      <c r="VTK2" s="4"/>
      <c r="VTL2" s="4"/>
      <c r="VTM2" s="4"/>
      <c r="VTN2" s="4"/>
      <c r="VTO2" s="4"/>
      <c r="VTP2" s="4"/>
      <c r="VTQ2" s="4"/>
      <c r="VTR2" s="4"/>
      <c r="VTS2" s="4"/>
      <c r="VTT2" s="4"/>
      <c r="VTU2" s="4"/>
      <c r="VTV2" s="4"/>
      <c r="VTW2" s="4"/>
      <c r="VTX2" s="4"/>
      <c r="VTY2" s="4"/>
      <c r="VTZ2" s="4"/>
      <c r="VUA2" s="4"/>
      <c r="VUB2" s="4"/>
      <c r="VUC2" s="4"/>
      <c r="VUD2" s="4"/>
      <c r="VUE2" s="4"/>
      <c r="VUF2" s="4"/>
      <c r="VUG2" s="4"/>
      <c r="VUH2" s="4"/>
      <c r="VUI2" s="4"/>
      <c r="VUJ2" s="4"/>
      <c r="VUK2" s="4"/>
      <c r="VUL2" s="4"/>
      <c r="VUM2" s="4"/>
      <c r="VUN2" s="4"/>
      <c r="VUO2" s="4"/>
      <c r="VUP2" s="4"/>
      <c r="VUQ2" s="4"/>
      <c r="VUR2" s="4"/>
      <c r="VUS2" s="4"/>
      <c r="VUT2" s="4"/>
      <c r="VUU2" s="4"/>
      <c r="VUV2" s="4"/>
      <c r="VUW2" s="4"/>
      <c r="VUX2" s="4"/>
      <c r="VUY2" s="4"/>
      <c r="VUZ2" s="4"/>
      <c r="VVA2" s="4"/>
      <c r="VVB2" s="4"/>
      <c r="VVC2" s="4"/>
      <c r="VVD2" s="4"/>
      <c r="VVE2" s="4"/>
      <c r="VVF2" s="4"/>
      <c r="VVG2" s="4"/>
      <c r="VVH2" s="4"/>
      <c r="VVI2" s="4"/>
      <c r="VVJ2" s="4"/>
      <c r="VVK2" s="4"/>
      <c r="VVL2" s="4"/>
      <c r="VVM2" s="4"/>
      <c r="VVN2" s="4"/>
      <c r="VVO2" s="4"/>
      <c r="VVP2" s="4"/>
      <c r="VVQ2" s="4"/>
      <c r="VVR2" s="4"/>
      <c r="VVS2" s="4"/>
      <c r="VVT2" s="4"/>
      <c r="VVU2" s="4"/>
      <c r="VVV2" s="4"/>
      <c r="VVW2" s="4"/>
      <c r="VVX2" s="4"/>
      <c r="VVY2" s="4"/>
      <c r="VVZ2" s="4"/>
      <c r="VWA2" s="4"/>
      <c r="VWB2" s="4"/>
      <c r="VWC2" s="4"/>
      <c r="VWD2" s="4"/>
      <c r="VWE2" s="4"/>
      <c r="VWF2" s="4"/>
      <c r="VWG2" s="4"/>
      <c r="VWH2" s="4"/>
      <c r="VWI2" s="4"/>
      <c r="VWJ2" s="4"/>
      <c r="VWK2" s="4"/>
      <c r="VWL2" s="4"/>
      <c r="VWM2" s="4"/>
      <c r="VWN2" s="4"/>
      <c r="VWO2" s="4"/>
      <c r="VWP2" s="4"/>
      <c r="VWQ2" s="4"/>
      <c r="VWR2" s="4"/>
      <c r="VWS2" s="4"/>
      <c r="VWT2" s="4"/>
      <c r="VWU2" s="4"/>
      <c r="VWV2" s="4"/>
      <c r="VWW2" s="4"/>
      <c r="VWX2" s="4"/>
      <c r="VWY2" s="4"/>
      <c r="VWZ2" s="4"/>
      <c r="VXA2" s="4"/>
      <c r="VXB2" s="4"/>
      <c r="VXC2" s="4"/>
      <c r="VXD2" s="4"/>
      <c r="VXE2" s="4"/>
      <c r="VXF2" s="4"/>
      <c r="VXG2" s="4"/>
      <c r="VXH2" s="4"/>
      <c r="VXI2" s="4"/>
      <c r="VXJ2" s="4"/>
      <c r="VXK2" s="4"/>
      <c r="VXL2" s="4"/>
      <c r="VXM2" s="4"/>
      <c r="VXN2" s="4"/>
      <c r="VXO2" s="4"/>
      <c r="VXP2" s="4"/>
      <c r="VXQ2" s="4"/>
      <c r="VXR2" s="4"/>
      <c r="VXS2" s="4"/>
      <c r="VXT2" s="4"/>
      <c r="VXU2" s="4"/>
      <c r="VXV2" s="4"/>
      <c r="VXW2" s="4"/>
      <c r="VXX2" s="4"/>
      <c r="VXY2" s="4"/>
      <c r="VXZ2" s="4"/>
      <c r="VYA2" s="4"/>
      <c r="VYB2" s="4"/>
      <c r="VYC2" s="4"/>
      <c r="VYD2" s="4"/>
      <c r="VYE2" s="4"/>
      <c r="VYF2" s="4"/>
      <c r="VYG2" s="4"/>
      <c r="VYH2" s="4"/>
      <c r="VYI2" s="4"/>
      <c r="VYJ2" s="4"/>
      <c r="VYK2" s="4"/>
      <c r="VYL2" s="4"/>
      <c r="VYM2" s="4"/>
      <c r="VYN2" s="4"/>
      <c r="VYO2" s="4"/>
      <c r="VYP2" s="4"/>
      <c r="VYQ2" s="4"/>
      <c r="VYR2" s="4"/>
      <c r="VYS2" s="4"/>
      <c r="VYT2" s="4"/>
      <c r="VYU2" s="4"/>
      <c r="VYV2" s="4"/>
      <c r="VYW2" s="4"/>
      <c r="VYX2" s="4"/>
      <c r="VYY2" s="4"/>
      <c r="VYZ2" s="4"/>
      <c r="VZA2" s="4"/>
      <c r="VZB2" s="4"/>
      <c r="VZC2" s="4"/>
      <c r="VZD2" s="4"/>
      <c r="VZE2" s="4"/>
      <c r="VZF2" s="4"/>
      <c r="VZG2" s="4"/>
      <c r="VZH2" s="4"/>
      <c r="VZI2" s="4"/>
      <c r="VZJ2" s="4"/>
      <c r="VZK2" s="4"/>
      <c r="VZL2" s="4"/>
      <c r="VZM2" s="4"/>
      <c r="VZN2" s="4"/>
      <c r="VZO2" s="4"/>
      <c r="VZP2" s="4"/>
      <c r="VZQ2" s="4"/>
      <c r="VZR2" s="4"/>
      <c r="VZS2" s="4"/>
      <c r="VZT2" s="4"/>
      <c r="VZU2" s="4"/>
      <c r="VZV2" s="4"/>
      <c r="VZW2" s="4"/>
      <c r="VZX2" s="4"/>
      <c r="VZY2" s="4"/>
      <c r="VZZ2" s="4"/>
      <c r="WAA2" s="4"/>
      <c r="WAB2" s="4"/>
      <c r="WAC2" s="4"/>
      <c r="WAD2" s="4"/>
      <c r="WAE2" s="4"/>
      <c r="WAF2" s="4"/>
      <c r="WAG2" s="4"/>
      <c r="WAH2" s="4"/>
      <c r="WAI2" s="4"/>
      <c r="WAJ2" s="4"/>
      <c r="WAK2" s="4"/>
      <c r="WAL2" s="4"/>
      <c r="WAM2" s="4"/>
      <c r="WAN2" s="4"/>
      <c r="WAO2" s="4"/>
      <c r="WAP2" s="4"/>
      <c r="WAQ2" s="4"/>
      <c r="WAR2" s="4"/>
      <c r="WAS2" s="4"/>
      <c r="WAT2" s="4"/>
      <c r="WAU2" s="4"/>
      <c r="WAV2" s="4"/>
      <c r="WAW2" s="4"/>
      <c r="WAX2" s="4"/>
      <c r="WAY2" s="4"/>
      <c r="WAZ2" s="4"/>
      <c r="WBA2" s="4"/>
      <c r="WBB2" s="4"/>
      <c r="WBC2" s="4"/>
      <c r="WBD2" s="4"/>
      <c r="WBE2" s="4"/>
      <c r="WBF2" s="4"/>
      <c r="WBG2" s="4"/>
      <c r="WBH2" s="4"/>
      <c r="WBI2" s="4"/>
      <c r="WBJ2" s="4"/>
      <c r="WBK2" s="4"/>
      <c r="WBL2" s="4"/>
      <c r="WBM2" s="4"/>
      <c r="WBN2" s="4"/>
      <c r="WBO2" s="4"/>
      <c r="WBP2" s="4"/>
      <c r="WBQ2" s="4"/>
      <c r="WBR2" s="4"/>
      <c r="WBS2" s="4"/>
      <c r="WBT2" s="4"/>
      <c r="WBU2" s="4"/>
      <c r="WBV2" s="4"/>
      <c r="WBW2" s="4"/>
      <c r="WBX2" s="4"/>
      <c r="WBY2" s="4"/>
      <c r="WBZ2" s="4"/>
      <c r="WCA2" s="4"/>
      <c r="WCB2" s="4"/>
      <c r="WCC2" s="4"/>
      <c r="WCD2" s="4"/>
      <c r="WCE2" s="4"/>
      <c r="WCF2" s="4"/>
      <c r="WCG2" s="4"/>
      <c r="WCH2" s="4"/>
      <c r="WCI2" s="4"/>
      <c r="WCJ2" s="4"/>
      <c r="WCK2" s="4"/>
      <c r="WCL2" s="4"/>
      <c r="WCM2" s="4"/>
      <c r="WCN2" s="4"/>
      <c r="WCO2" s="4"/>
      <c r="WCP2" s="4"/>
      <c r="WCQ2" s="4"/>
      <c r="WCR2" s="4"/>
      <c r="WCS2" s="4"/>
      <c r="WCT2" s="4"/>
      <c r="WCU2" s="4"/>
      <c r="WCV2" s="4"/>
      <c r="WCW2" s="4"/>
      <c r="WCX2" s="4"/>
      <c r="WCY2" s="4"/>
      <c r="WCZ2" s="4"/>
      <c r="WDA2" s="4"/>
      <c r="WDB2" s="4"/>
      <c r="WDC2" s="4"/>
      <c r="WDD2" s="4"/>
      <c r="WDE2" s="4"/>
      <c r="WDF2" s="4"/>
      <c r="WDG2" s="4"/>
      <c r="WDH2" s="4"/>
      <c r="WDI2" s="4"/>
      <c r="WDJ2" s="4"/>
      <c r="WDK2" s="4"/>
      <c r="WDL2" s="4"/>
      <c r="WDM2" s="4"/>
      <c r="WDN2" s="4"/>
      <c r="WDO2" s="4"/>
      <c r="WDP2" s="4"/>
      <c r="WDQ2" s="4"/>
      <c r="WDR2" s="4"/>
      <c r="WDS2" s="4"/>
      <c r="WDT2" s="4"/>
      <c r="WDU2" s="4"/>
      <c r="WDV2" s="4"/>
      <c r="WDW2" s="4"/>
      <c r="WDX2" s="4"/>
      <c r="WDY2" s="4"/>
      <c r="WDZ2" s="4"/>
      <c r="WEA2" s="4"/>
      <c r="WEB2" s="4"/>
      <c r="WEC2" s="4"/>
      <c r="WED2" s="4"/>
      <c r="WEE2" s="4"/>
      <c r="WEF2" s="4"/>
      <c r="WEG2" s="4"/>
      <c r="WEH2" s="4"/>
      <c r="WEI2" s="4"/>
      <c r="WEJ2" s="4"/>
      <c r="WEK2" s="4"/>
      <c r="WEL2" s="4"/>
      <c r="WEM2" s="4"/>
      <c r="WEN2" s="4"/>
      <c r="WEO2" s="4"/>
      <c r="WEP2" s="4"/>
      <c r="WEQ2" s="4"/>
      <c r="WER2" s="4"/>
      <c r="WES2" s="4"/>
      <c r="WET2" s="4"/>
      <c r="WEU2" s="4"/>
      <c r="WEV2" s="4"/>
      <c r="WEW2" s="4"/>
      <c r="WEX2" s="4"/>
      <c r="WEY2" s="4"/>
      <c r="WEZ2" s="4"/>
      <c r="WFA2" s="4"/>
      <c r="WFB2" s="4"/>
      <c r="WFC2" s="4"/>
      <c r="WFD2" s="4"/>
      <c r="WFE2" s="4"/>
      <c r="WFF2" s="4"/>
      <c r="WFG2" s="4"/>
      <c r="WFH2" s="4"/>
      <c r="WFI2" s="4"/>
      <c r="WFJ2" s="4"/>
      <c r="WFK2" s="4"/>
      <c r="WFL2" s="4"/>
      <c r="WFM2" s="4"/>
      <c r="WFN2" s="4"/>
      <c r="WFO2" s="4"/>
      <c r="WFP2" s="4"/>
      <c r="WFQ2" s="4"/>
      <c r="WFR2" s="4"/>
      <c r="WFS2" s="4"/>
      <c r="WFT2" s="4"/>
      <c r="WFU2" s="4"/>
      <c r="WFV2" s="4"/>
      <c r="WFW2" s="4"/>
      <c r="WFX2" s="4"/>
      <c r="WFY2" s="4"/>
      <c r="WFZ2" s="4"/>
      <c r="WGA2" s="4"/>
      <c r="WGB2" s="4"/>
      <c r="WGC2" s="4"/>
      <c r="WGD2" s="4"/>
      <c r="WGE2" s="4"/>
      <c r="WGF2" s="4"/>
      <c r="WGG2" s="4"/>
      <c r="WGH2" s="4"/>
      <c r="WGI2" s="4"/>
      <c r="WGJ2" s="4"/>
      <c r="WGK2" s="4"/>
      <c r="WGL2" s="4"/>
      <c r="WGM2" s="4"/>
      <c r="WGN2" s="4"/>
      <c r="WGO2" s="4"/>
      <c r="WGP2" s="4"/>
      <c r="WGQ2" s="4"/>
      <c r="WGR2" s="4"/>
      <c r="WGS2" s="4"/>
      <c r="WGT2" s="4"/>
      <c r="WGU2" s="4"/>
      <c r="WGV2" s="4"/>
      <c r="WGW2" s="4"/>
      <c r="WGX2" s="4"/>
      <c r="WGY2" s="4"/>
      <c r="WGZ2" s="4"/>
      <c r="WHA2" s="4"/>
      <c r="WHB2" s="4"/>
      <c r="WHC2" s="4"/>
      <c r="WHD2" s="4"/>
      <c r="WHE2" s="4"/>
      <c r="WHF2" s="4"/>
      <c r="WHG2" s="4"/>
      <c r="WHH2" s="4"/>
      <c r="WHI2" s="4"/>
      <c r="WHJ2" s="4"/>
      <c r="WHK2" s="4"/>
      <c r="WHL2" s="4"/>
      <c r="WHM2" s="4"/>
      <c r="WHN2" s="4"/>
      <c r="WHO2" s="4"/>
      <c r="WHP2" s="4"/>
      <c r="WHQ2" s="4"/>
      <c r="WHR2" s="4"/>
      <c r="WHS2" s="4"/>
      <c r="WHT2" s="4"/>
      <c r="WHU2" s="4"/>
      <c r="WHV2" s="4"/>
      <c r="WHW2" s="4"/>
      <c r="WHX2" s="4"/>
      <c r="WHY2" s="4"/>
      <c r="WHZ2" s="4"/>
      <c r="WIA2" s="4"/>
      <c r="WIB2" s="4"/>
      <c r="WIC2" s="4"/>
      <c r="WID2" s="4"/>
      <c r="WIE2" s="4"/>
      <c r="WIF2" s="4"/>
      <c r="WIG2" s="4"/>
      <c r="WIH2" s="4"/>
      <c r="WII2" s="4"/>
      <c r="WIJ2" s="4"/>
      <c r="WIK2" s="4"/>
      <c r="WIL2" s="4"/>
      <c r="WIM2" s="4"/>
      <c r="WIN2" s="4"/>
      <c r="WIO2" s="4"/>
      <c r="WIP2" s="4"/>
      <c r="WIQ2" s="4"/>
      <c r="WIR2" s="4"/>
      <c r="WIS2" s="4"/>
      <c r="WIT2" s="4"/>
      <c r="WIU2" s="4"/>
      <c r="WIV2" s="4"/>
      <c r="WIW2" s="4"/>
      <c r="WIX2" s="4"/>
      <c r="WIY2" s="4"/>
      <c r="WIZ2" s="4"/>
      <c r="WJA2" s="4"/>
      <c r="WJB2" s="4"/>
      <c r="WJC2" s="4"/>
      <c r="WJD2" s="4"/>
      <c r="WJE2" s="4"/>
      <c r="WJF2" s="4"/>
      <c r="WJG2" s="4"/>
      <c r="WJH2" s="4"/>
      <c r="WJI2" s="4"/>
      <c r="WJJ2" s="4"/>
      <c r="WJK2" s="4"/>
      <c r="WJL2" s="4"/>
      <c r="WJM2" s="4"/>
      <c r="WJN2" s="4"/>
      <c r="WJO2" s="4"/>
      <c r="WJP2" s="4"/>
      <c r="WJQ2" s="4"/>
      <c r="WJR2" s="4"/>
      <c r="WJS2" s="4"/>
      <c r="WJT2" s="4"/>
      <c r="WJU2" s="4"/>
      <c r="WJV2" s="4"/>
      <c r="WJW2" s="4"/>
      <c r="WJX2" s="4"/>
      <c r="WJY2" s="4"/>
      <c r="WJZ2" s="4"/>
      <c r="WKA2" s="4"/>
      <c r="WKB2" s="4"/>
      <c r="WKC2" s="4"/>
      <c r="WKD2" s="4"/>
      <c r="WKE2" s="4"/>
      <c r="WKF2" s="4"/>
      <c r="WKG2" s="4"/>
      <c r="WKH2" s="4"/>
      <c r="WKI2" s="4"/>
      <c r="WKJ2" s="4"/>
      <c r="WKK2" s="4"/>
      <c r="WKL2" s="4"/>
      <c r="WKM2" s="4"/>
      <c r="WKN2" s="4"/>
      <c r="WKO2" s="4"/>
      <c r="WKP2" s="4"/>
      <c r="WKQ2" s="4"/>
      <c r="WKR2" s="4"/>
      <c r="WKS2" s="4"/>
      <c r="WKT2" s="4"/>
      <c r="WKU2" s="4"/>
      <c r="WKV2" s="4"/>
      <c r="WKW2" s="4"/>
      <c r="WKX2" s="4"/>
      <c r="WKY2" s="4"/>
      <c r="WKZ2" s="4"/>
      <c r="WLA2" s="4"/>
      <c r="WLB2" s="4"/>
      <c r="WLC2" s="4"/>
      <c r="WLD2" s="4"/>
      <c r="WLE2" s="4"/>
      <c r="WLF2" s="4"/>
      <c r="WLG2" s="4"/>
      <c r="WLH2" s="4"/>
      <c r="WLI2" s="4"/>
      <c r="WLJ2" s="4"/>
      <c r="WLK2" s="4"/>
      <c r="WLL2" s="4"/>
      <c r="WLM2" s="4"/>
      <c r="WLN2" s="4"/>
      <c r="WLO2" s="4"/>
      <c r="WLP2" s="4"/>
      <c r="WLQ2" s="4"/>
      <c r="WLR2" s="4"/>
      <c r="WLS2" s="4"/>
      <c r="WLT2" s="4"/>
      <c r="WLU2" s="4"/>
      <c r="WLV2" s="4"/>
      <c r="WLW2" s="4"/>
      <c r="WLX2" s="4"/>
      <c r="WLY2" s="4"/>
      <c r="WLZ2" s="4"/>
      <c r="WMA2" s="4"/>
      <c r="WMB2" s="4"/>
      <c r="WMC2" s="4"/>
      <c r="WMD2" s="4"/>
      <c r="WME2" s="4"/>
      <c r="WMF2" s="4"/>
      <c r="WMG2" s="4"/>
      <c r="WMH2" s="4"/>
      <c r="WMI2" s="4"/>
      <c r="WMJ2" s="4"/>
      <c r="WMK2" s="4"/>
      <c r="WML2" s="4"/>
      <c r="WMM2" s="4"/>
      <c r="WMN2" s="4"/>
      <c r="WMO2" s="4"/>
      <c r="WMP2" s="4"/>
      <c r="WMQ2" s="4"/>
      <c r="WMR2" s="4"/>
      <c r="WMS2" s="4"/>
      <c r="WMT2" s="4"/>
      <c r="WMU2" s="4"/>
      <c r="WMV2" s="4"/>
      <c r="WMW2" s="4"/>
      <c r="WMX2" s="4"/>
      <c r="WMY2" s="4"/>
      <c r="WMZ2" s="4"/>
      <c r="WNA2" s="4"/>
      <c r="WNB2" s="4"/>
      <c r="WNC2" s="4"/>
      <c r="WND2" s="4"/>
      <c r="WNE2" s="4"/>
      <c r="WNF2" s="4"/>
      <c r="WNG2" s="4"/>
      <c r="WNH2" s="4"/>
      <c r="WNI2" s="4"/>
      <c r="WNJ2" s="4"/>
      <c r="WNK2" s="4"/>
      <c r="WNL2" s="4"/>
      <c r="WNM2" s="4"/>
      <c r="WNN2" s="4"/>
      <c r="WNO2" s="4"/>
      <c r="WNP2" s="4"/>
      <c r="WNQ2" s="4"/>
      <c r="WNR2" s="4"/>
      <c r="WNS2" s="4"/>
      <c r="WNT2" s="4"/>
      <c r="WNU2" s="4"/>
      <c r="WNV2" s="4"/>
      <c r="WNW2" s="4"/>
      <c r="WNX2" s="4"/>
      <c r="WNY2" s="4"/>
      <c r="WNZ2" s="4"/>
      <c r="WOA2" s="4"/>
      <c r="WOB2" s="4"/>
      <c r="WOC2" s="4"/>
      <c r="WOD2" s="4"/>
      <c r="WOE2" s="4"/>
      <c r="WOF2" s="4"/>
      <c r="WOG2" s="4"/>
      <c r="WOH2" s="4"/>
      <c r="WOI2" s="4"/>
      <c r="WOJ2" s="4"/>
      <c r="WOK2" s="4"/>
      <c r="WOL2" s="4"/>
      <c r="WOM2" s="4"/>
      <c r="WON2" s="4"/>
      <c r="WOO2" s="4"/>
      <c r="WOP2" s="4"/>
      <c r="WOQ2" s="4"/>
      <c r="WOR2" s="4"/>
      <c r="WOS2" s="4"/>
      <c r="WOT2" s="4"/>
      <c r="WOU2" s="4"/>
      <c r="WOV2" s="4"/>
      <c r="WOW2" s="4"/>
      <c r="WOX2" s="4"/>
      <c r="WOY2" s="4"/>
      <c r="WOZ2" s="4"/>
      <c r="WPA2" s="4"/>
      <c r="WPB2" s="4"/>
      <c r="WPC2" s="4"/>
      <c r="WPD2" s="4"/>
      <c r="WPE2" s="4"/>
      <c r="WPF2" s="4"/>
      <c r="WPG2" s="4"/>
      <c r="WPH2" s="4"/>
      <c r="WPI2" s="4"/>
      <c r="WPJ2" s="4"/>
      <c r="WPK2" s="4"/>
      <c r="WPL2" s="4"/>
      <c r="WPM2" s="4"/>
      <c r="WPN2" s="4"/>
      <c r="WPO2" s="4"/>
      <c r="WPP2" s="4"/>
      <c r="WPQ2" s="4"/>
      <c r="WPR2" s="4"/>
      <c r="WPS2" s="4"/>
      <c r="WPT2" s="4"/>
      <c r="WPU2" s="4"/>
      <c r="WPV2" s="4"/>
      <c r="WPW2" s="4"/>
      <c r="WPX2" s="4"/>
      <c r="WPY2" s="4"/>
      <c r="WPZ2" s="4"/>
      <c r="WQA2" s="4"/>
      <c r="WQB2" s="4"/>
      <c r="WQC2" s="4"/>
      <c r="WQD2" s="4"/>
      <c r="WQE2" s="4"/>
      <c r="WQF2" s="4"/>
      <c r="WQG2" s="4"/>
      <c r="WQH2" s="4"/>
      <c r="WQI2" s="4"/>
      <c r="WQJ2" s="4"/>
      <c r="WQK2" s="4"/>
      <c r="WQL2" s="4"/>
      <c r="WQM2" s="4"/>
      <c r="WQN2" s="4"/>
      <c r="WQO2" s="4"/>
      <c r="WQP2" s="4"/>
      <c r="WQQ2" s="4"/>
      <c r="WQR2" s="4"/>
      <c r="WQS2" s="4"/>
      <c r="WQT2" s="4"/>
      <c r="WQU2" s="4"/>
      <c r="WQV2" s="4"/>
      <c r="WQW2" s="4"/>
      <c r="WQX2" s="4"/>
      <c r="WQY2" s="4"/>
      <c r="WQZ2" s="4"/>
      <c r="WRA2" s="4"/>
      <c r="WRB2" s="4"/>
      <c r="WRC2" s="4"/>
      <c r="WRD2" s="4"/>
      <c r="WRE2" s="4"/>
      <c r="WRF2" s="4"/>
      <c r="WRG2" s="4"/>
      <c r="WRH2" s="4"/>
      <c r="WRI2" s="4"/>
      <c r="WRJ2" s="4"/>
      <c r="WRK2" s="4"/>
      <c r="WRL2" s="4"/>
      <c r="WRM2" s="4"/>
      <c r="WRN2" s="4"/>
      <c r="WRO2" s="4"/>
      <c r="WRP2" s="4"/>
      <c r="WRQ2" s="4"/>
      <c r="WRR2" s="4"/>
      <c r="WRS2" s="4"/>
      <c r="WRT2" s="4"/>
      <c r="WRU2" s="4"/>
      <c r="WRV2" s="4"/>
      <c r="WRW2" s="4"/>
      <c r="WRX2" s="4"/>
      <c r="WRY2" s="4"/>
      <c r="WRZ2" s="4"/>
      <c r="WSA2" s="4"/>
      <c r="WSB2" s="4"/>
      <c r="WSC2" s="4"/>
      <c r="WSD2" s="4"/>
      <c r="WSE2" s="4"/>
      <c r="WSF2" s="4"/>
      <c r="WSG2" s="4"/>
      <c r="WSH2" s="4"/>
      <c r="WSI2" s="4"/>
      <c r="WSJ2" s="4"/>
      <c r="WSK2" s="4"/>
      <c r="WSL2" s="4"/>
      <c r="WSM2" s="4"/>
      <c r="WSN2" s="4"/>
      <c r="WSO2" s="4"/>
      <c r="WSP2" s="4"/>
      <c r="WSQ2" s="4"/>
      <c r="WSR2" s="4"/>
      <c r="WSS2" s="4"/>
      <c r="WST2" s="4"/>
      <c r="WSU2" s="4"/>
      <c r="WSV2" s="4"/>
      <c r="WSW2" s="4"/>
      <c r="WSX2" s="4"/>
      <c r="WSY2" s="4"/>
      <c r="WSZ2" s="4"/>
      <c r="WTA2" s="4"/>
      <c r="WTB2" s="4"/>
      <c r="WTC2" s="4"/>
      <c r="WTD2" s="4"/>
      <c r="WTE2" s="4"/>
      <c r="WTF2" s="4"/>
      <c r="WTG2" s="4"/>
      <c r="WTH2" s="4"/>
      <c r="WTI2" s="4"/>
      <c r="WTJ2" s="4"/>
      <c r="WTK2" s="4"/>
      <c r="WTL2" s="4"/>
      <c r="WTM2" s="4"/>
      <c r="WTN2" s="4"/>
      <c r="WTO2" s="4"/>
      <c r="WTP2" s="4"/>
      <c r="WTQ2" s="4"/>
      <c r="WTR2" s="4"/>
      <c r="WTS2" s="4"/>
      <c r="WTT2" s="4"/>
      <c r="WTU2" s="4"/>
      <c r="WTV2" s="4"/>
      <c r="WTW2" s="4"/>
      <c r="WTX2" s="4"/>
      <c r="WTY2" s="4"/>
      <c r="WTZ2" s="4"/>
      <c r="WUA2" s="4"/>
      <c r="WUB2" s="4"/>
      <c r="WUC2" s="4"/>
      <c r="WUD2" s="4"/>
      <c r="WUE2" s="4"/>
      <c r="WUF2" s="4"/>
      <c r="WUG2" s="4"/>
      <c r="WUH2" s="4"/>
      <c r="WUI2" s="4"/>
      <c r="WUJ2" s="4"/>
      <c r="WUK2" s="4"/>
      <c r="WUL2" s="4"/>
      <c r="WUM2" s="4"/>
      <c r="WUN2" s="4"/>
      <c r="WUO2" s="4"/>
      <c r="WUP2" s="4"/>
      <c r="WUQ2" s="4"/>
      <c r="WUR2" s="4"/>
      <c r="WUS2" s="4"/>
      <c r="WUT2" s="4"/>
      <c r="WUU2" s="4"/>
      <c r="WUV2" s="4"/>
      <c r="WUW2" s="4"/>
      <c r="WUX2" s="4"/>
      <c r="WUY2" s="4"/>
      <c r="WUZ2" s="4"/>
      <c r="WVA2" s="4"/>
      <c r="WVB2" s="4"/>
      <c r="WVC2" s="4"/>
      <c r="WVD2" s="4"/>
      <c r="WVE2" s="4"/>
      <c r="WVF2" s="4"/>
      <c r="WVG2" s="4"/>
      <c r="WVH2" s="4"/>
      <c r="WVI2" s="4"/>
      <c r="WVJ2" s="4"/>
      <c r="WVK2" s="4"/>
      <c r="WVL2" s="4"/>
      <c r="WVM2" s="4"/>
      <c r="WVN2" s="4"/>
      <c r="WVO2" s="4"/>
      <c r="WVP2" s="4"/>
      <c r="WVQ2" s="4"/>
      <c r="WVR2" s="4"/>
      <c r="WVS2" s="4"/>
      <c r="WVT2" s="4"/>
      <c r="WVU2" s="4"/>
      <c r="WVV2" s="4"/>
      <c r="WVW2" s="4"/>
      <c r="WVX2" s="4"/>
      <c r="WVY2" s="4"/>
      <c r="WVZ2" s="4"/>
      <c r="WWA2" s="4"/>
      <c r="WWB2" s="4"/>
      <c r="WWC2" s="4"/>
      <c r="WWD2" s="4"/>
      <c r="WWE2" s="4"/>
      <c r="WWF2" s="4"/>
      <c r="WWG2" s="4"/>
      <c r="WWH2" s="4"/>
      <c r="WWI2" s="4"/>
      <c r="WWJ2" s="4"/>
      <c r="WWK2" s="4"/>
      <c r="WWL2" s="4"/>
      <c r="WWM2" s="4"/>
      <c r="WWN2" s="4"/>
      <c r="WWO2" s="4"/>
      <c r="WWP2" s="4"/>
      <c r="WWQ2" s="4"/>
      <c r="WWR2" s="4"/>
      <c r="WWS2" s="4"/>
      <c r="WWT2" s="4"/>
      <c r="WWU2" s="4"/>
      <c r="WWV2" s="4"/>
      <c r="WWW2" s="4"/>
      <c r="WWX2" s="4"/>
      <c r="WWY2" s="4"/>
      <c r="WWZ2" s="4"/>
      <c r="WXA2" s="4"/>
      <c r="WXB2" s="4"/>
      <c r="WXC2" s="4"/>
      <c r="WXD2" s="4"/>
      <c r="WXE2" s="4"/>
      <c r="WXF2" s="4"/>
      <c r="WXG2" s="4"/>
      <c r="WXH2" s="4"/>
      <c r="WXI2" s="4"/>
      <c r="WXJ2" s="4"/>
      <c r="WXK2" s="4"/>
      <c r="WXL2" s="4"/>
      <c r="WXM2" s="4"/>
      <c r="WXN2" s="4"/>
      <c r="WXO2" s="4"/>
      <c r="WXP2" s="4"/>
      <c r="WXQ2" s="4"/>
      <c r="WXR2" s="4"/>
      <c r="WXS2" s="4"/>
      <c r="WXT2" s="4"/>
      <c r="WXU2" s="4"/>
      <c r="WXV2" s="4"/>
      <c r="WXW2" s="4"/>
      <c r="WXX2" s="4"/>
      <c r="WXY2" s="4"/>
      <c r="WXZ2" s="4"/>
      <c r="WYA2" s="4"/>
      <c r="WYB2" s="4"/>
      <c r="WYC2" s="4"/>
      <c r="WYD2" s="4"/>
      <c r="WYE2" s="4"/>
      <c r="WYF2" s="4"/>
      <c r="WYG2" s="4"/>
      <c r="WYH2" s="4"/>
      <c r="WYI2" s="4"/>
      <c r="WYJ2" s="4"/>
      <c r="WYK2" s="4"/>
      <c r="WYL2" s="4"/>
      <c r="WYM2" s="4"/>
      <c r="WYN2" s="4"/>
      <c r="WYO2" s="4"/>
      <c r="WYP2" s="4"/>
      <c r="WYQ2" s="4"/>
      <c r="WYR2" s="4"/>
      <c r="WYS2" s="4"/>
      <c r="WYT2" s="4"/>
      <c r="WYU2" s="4"/>
      <c r="WYV2" s="4"/>
      <c r="WYW2" s="4"/>
      <c r="WYX2" s="4"/>
      <c r="WYY2" s="4"/>
      <c r="WYZ2" s="4"/>
      <c r="WZA2" s="4"/>
      <c r="WZB2" s="4"/>
      <c r="WZC2" s="4"/>
      <c r="WZD2" s="4"/>
      <c r="WZE2" s="4"/>
      <c r="WZF2" s="4"/>
      <c r="WZG2" s="4"/>
      <c r="WZH2" s="4"/>
      <c r="WZI2" s="4"/>
      <c r="WZJ2" s="4"/>
      <c r="WZK2" s="4"/>
      <c r="WZL2" s="4"/>
      <c r="WZM2" s="4"/>
      <c r="WZN2" s="4"/>
      <c r="WZO2" s="4"/>
      <c r="WZP2" s="4"/>
      <c r="WZQ2" s="4"/>
      <c r="WZR2" s="4"/>
      <c r="WZS2" s="4"/>
      <c r="WZT2" s="4"/>
      <c r="WZU2" s="4"/>
      <c r="WZV2" s="4"/>
      <c r="WZW2" s="4"/>
      <c r="WZX2" s="4"/>
      <c r="WZY2" s="4"/>
      <c r="WZZ2" s="4"/>
      <c r="XAA2" s="4"/>
      <c r="XAB2" s="4"/>
      <c r="XAC2" s="4"/>
      <c r="XAD2" s="4"/>
      <c r="XAE2" s="4"/>
      <c r="XAF2" s="4"/>
      <c r="XAG2" s="4"/>
      <c r="XAH2" s="4"/>
      <c r="XAI2" s="4"/>
      <c r="XAJ2" s="4"/>
      <c r="XAK2" s="4"/>
      <c r="XAL2" s="4"/>
      <c r="XAM2" s="4"/>
      <c r="XAN2" s="4"/>
      <c r="XAO2" s="4"/>
      <c r="XAP2" s="4"/>
      <c r="XAQ2" s="4"/>
      <c r="XAR2" s="4"/>
      <c r="XAS2" s="4"/>
      <c r="XAT2" s="4"/>
      <c r="XAU2" s="4"/>
      <c r="XAV2" s="4"/>
      <c r="XAW2" s="4"/>
      <c r="XAX2" s="4"/>
      <c r="XAY2" s="4"/>
      <c r="XAZ2" s="4"/>
      <c r="XBA2" s="4"/>
      <c r="XBB2" s="4"/>
      <c r="XBC2" s="4"/>
      <c r="XBD2" s="4"/>
      <c r="XBE2" s="4"/>
      <c r="XBF2" s="4"/>
      <c r="XBG2" s="4"/>
      <c r="XBH2" s="4"/>
      <c r="XBI2" s="4"/>
      <c r="XBJ2" s="4"/>
      <c r="XBK2" s="4"/>
      <c r="XBL2" s="4"/>
      <c r="XBM2" s="4"/>
      <c r="XBN2" s="4"/>
      <c r="XBO2" s="4"/>
      <c r="XBP2" s="4"/>
      <c r="XBQ2" s="4"/>
      <c r="XBR2" s="4"/>
      <c r="XBS2" s="4"/>
      <c r="XBT2" s="4"/>
      <c r="XBU2" s="4"/>
      <c r="XBV2" s="4"/>
      <c r="XBW2" s="4"/>
      <c r="XBX2" s="4"/>
      <c r="XBY2" s="4"/>
      <c r="XBZ2" s="4"/>
      <c r="XCA2" s="4"/>
      <c r="XCB2" s="4"/>
      <c r="XCC2" s="4"/>
      <c r="XCD2" s="4"/>
      <c r="XCE2" s="4"/>
      <c r="XCF2" s="4"/>
      <c r="XCG2" s="4"/>
      <c r="XCH2" s="4"/>
      <c r="XCI2" s="4"/>
      <c r="XCJ2" s="4"/>
      <c r="XCK2" s="4"/>
      <c r="XCL2" s="4"/>
      <c r="XCM2" s="4"/>
      <c r="XCN2" s="4"/>
      <c r="XCO2" s="4"/>
      <c r="XCP2" s="4"/>
      <c r="XCQ2" s="4"/>
      <c r="XCR2" s="4"/>
      <c r="XCS2" s="4"/>
      <c r="XCT2" s="4"/>
      <c r="XCU2" s="4"/>
      <c r="XCV2" s="4"/>
      <c r="XCW2" s="4"/>
      <c r="XCX2" s="4"/>
      <c r="XCY2" s="4"/>
      <c r="XCZ2" s="4"/>
      <c r="XDA2" s="4"/>
      <c r="XDB2" s="4"/>
      <c r="XDC2" s="4"/>
      <c r="XDD2" s="4"/>
      <c r="XDE2" s="4"/>
      <c r="XDF2" s="4"/>
      <c r="XDG2" s="4"/>
      <c r="XDH2" s="4"/>
      <c r="XDI2" s="4"/>
      <c r="XDJ2" s="4"/>
      <c r="XDK2" s="4"/>
      <c r="XDL2" s="4"/>
      <c r="XDM2" s="4"/>
      <c r="XDN2" s="4"/>
      <c r="XDO2" s="4"/>
      <c r="XDP2" s="4"/>
      <c r="XDQ2" s="4"/>
      <c r="XDR2" s="4"/>
      <c r="XDS2" s="4"/>
      <c r="XDT2" s="4"/>
      <c r="XDU2" s="4"/>
      <c r="XDV2" s="4"/>
      <c r="XDW2" s="4"/>
      <c r="XDX2" s="4"/>
      <c r="XDY2" s="4"/>
      <c r="XDZ2" s="4"/>
      <c r="XEA2" s="4"/>
      <c r="XEB2" s="4"/>
      <c r="XEC2" s="4"/>
      <c r="XED2" s="4"/>
      <c r="XEE2" s="4"/>
      <c r="XEF2" s="4"/>
      <c r="XEG2" s="4"/>
      <c r="XEH2" s="4"/>
      <c r="XEI2" s="4"/>
      <c r="XEJ2" s="4"/>
      <c r="XEK2" s="4"/>
      <c r="XEL2" s="4"/>
      <c r="XEM2" s="4"/>
      <c r="XEN2" s="4"/>
      <c r="XEO2" s="4"/>
      <c r="XEP2" s="4"/>
      <c r="XEQ2" s="4"/>
      <c r="XER2" s="4"/>
      <c r="XES2" s="4"/>
      <c r="XET2" s="4"/>
      <c r="XEU2" s="4"/>
      <c r="XEV2" s="4"/>
      <c r="XEW2" s="4"/>
      <c r="XEX2" s="4"/>
      <c r="XEY2" s="4"/>
      <c r="XEZ2" s="4"/>
      <c r="XFA2" s="4"/>
      <c r="XFB2" s="4"/>
      <c r="XFC2" s="4"/>
      <c r="XFD2" s="4"/>
    </row>
    <row r="3" spans="2:16384" x14ac:dyDescent="0.25">
      <c r="C3" s="15" t="s">
        <v>263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  <c r="ALM3" s="4"/>
      <c r="ALN3" s="4"/>
      <c r="ALO3" s="4"/>
      <c r="ALP3" s="4"/>
      <c r="ALQ3" s="4"/>
      <c r="ALR3" s="4"/>
      <c r="ALS3" s="4"/>
      <c r="ALT3" s="4"/>
      <c r="ALU3" s="4"/>
      <c r="ALV3" s="4"/>
      <c r="ALW3" s="4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  <c r="AMK3" s="4"/>
      <c r="AML3" s="4"/>
      <c r="AMM3" s="4"/>
      <c r="AMN3" s="4"/>
      <c r="AMO3" s="4"/>
      <c r="AMP3" s="4"/>
      <c r="AMQ3" s="4"/>
      <c r="AMR3" s="4"/>
      <c r="AMS3" s="4"/>
      <c r="AMT3" s="4"/>
      <c r="AMU3" s="4"/>
      <c r="AMV3" s="4"/>
      <c r="AMW3" s="4"/>
      <c r="AMX3" s="4"/>
      <c r="AMY3" s="4"/>
      <c r="AMZ3" s="4"/>
      <c r="ANA3" s="4"/>
      <c r="ANB3" s="4"/>
      <c r="ANC3" s="4"/>
      <c r="AND3" s="4"/>
      <c r="ANE3" s="4"/>
      <c r="ANF3" s="4"/>
      <c r="ANG3" s="4"/>
      <c r="ANH3" s="4"/>
      <c r="ANI3" s="4"/>
      <c r="ANJ3" s="4"/>
      <c r="ANK3" s="4"/>
      <c r="ANL3" s="4"/>
      <c r="ANM3" s="4"/>
      <c r="ANN3" s="4"/>
      <c r="ANO3" s="4"/>
      <c r="ANP3" s="4"/>
      <c r="ANQ3" s="4"/>
      <c r="ANR3" s="4"/>
      <c r="ANS3" s="4"/>
      <c r="ANT3" s="4"/>
      <c r="ANU3" s="4"/>
      <c r="ANV3" s="4"/>
      <c r="ANW3" s="4"/>
      <c r="ANX3" s="4"/>
      <c r="ANY3" s="4"/>
      <c r="ANZ3" s="4"/>
      <c r="AOA3" s="4"/>
      <c r="AOB3" s="4"/>
      <c r="AOC3" s="4"/>
      <c r="AOD3" s="4"/>
      <c r="AOE3" s="4"/>
      <c r="AOF3" s="4"/>
      <c r="AOG3" s="4"/>
      <c r="AOH3" s="4"/>
      <c r="AOI3" s="4"/>
      <c r="AOJ3" s="4"/>
      <c r="AOK3" s="4"/>
      <c r="AOL3" s="4"/>
      <c r="AOM3" s="4"/>
      <c r="AON3" s="4"/>
      <c r="AOO3" s="4"/>
      <c r="AOP3" s="4"/>
      <c r="AOQ3" s="4"/>
      <c r="AOR3" s="4"/>
      <c r="AOS3" s="4"/>
      <c r="AOT3" s="4"/>
      <c r="AOU3" s="4"/>
      <c r="AOV3" s="4"/>
      <c r="AOW3" s="4"/>
      <c r="AOX3" s="4"/>
      <c r="AOY3" s="4"/>
      <c r="AOZ3" s="4"/>
      <c r="APA3" s="4"/>
      <c r="APB3" s="4"/>
      <c r="APC3" s="4"/>
      <c r="APD3" s="4"/>
      <c r="APE3" s="4"/>
      <c r="APF3" s="4"/>
      <c r="APG3" s="4"/>
      <c r="APH3" s="4"/>
      <c r="API3" s="4"/>
      <c r="APJ3" s="4"/>
      <c r="APK3" s="4"/>
      <c r="APL3" s="4"/>
      <c r="APM3" s="4"/>
      <c r="APN3" s="4"/>
      <c r="APO3" s="4"/>
      <c r="APP3" s="4"/>
      <c r="APQ3" s="4"/>
      <c r="APR3" s="4"/>
      <c r="APS3" s="4"/>
      <c r="APT3" s="4"/>
      <c r="APU3" s="4"/>
      <c r="APV3" s="4"/>
      <c r="APW3" s="4"/>
      <c r="APX3" s="4"/>
      <c r="APY3" s="4"/>
      <c r="APZ3" s="4"/>
      <c r="AQA3" s="4"/>
      <c r="AQB3" s="4"/>
      <c r="AQC3" s="4"/>
      <c r="AQD3" s="4"/>
      <c r="AQE3" s="4"/>
      <c r="AQF3" s="4"/>
      <c r="AQG3" s="4"/>
      <c r="AQH3" s="4"/>
      <c r="AQI3" s="4"/>
      <c r="AQJ3" s="4"/>
      <c r="AQK3" s="4"/>
      <c r="AQL3" s="4"/>
      <c r="AQM3" s="4"/>
      <c r="AQN3" s="4"/>
      <c r="AQO3" s="4"/>
      <c r="AQP3" s="4"/>
      <c r="AQQ3" s="4"/>
      <c r="AQR3" s="4"/>
      <c r="AQS3" s="4"/>
      <c r="AQT3" s="4"/>
      <c r="AQU3" s="4"/>
      <c r="AQV3" s="4"/>
      <c r="AQW3" s="4"/>
      <c r="AQX3" s="4"/>
      <c r="AQY3" s="4"/>
      <c r="AQZ3" s="4"/>
      <c r="ARA3" s="4"/>
      <c r="ARB3" s="4"/>
      <c r="ARC3" s="4"/>
      <c r="ARD3" s="4"/>
      <c r="ARE3" s="4"/>
      <c r="ARF3" s="4"/>
      <c r="ARG3" s="4"/>
      <c r="ARH3" s="4"/>
      <c r="ARI3" s="4"/>
      <c r="ARJ3" s="4"/>
      <c r="ARK3" s="4"/>
      <c r="ARL3" s="4"/>
      <c r="ARM3" s="4"/>
      <c r="ARN3" s="4"/>
      <c r="ARO3" s="4"/>
      <c r="ARP3" s="4"/>
      <c r="ARQ3" s="4"/>
      <c r="ARR3" s="4"/>
      <c r="ARS3" s="4"/>
      <c r="ART3" s="4"/>
      <c r="ARU3" s="4"/>
      <c r="ARV3" s="4"/>
      <c r="ARW3" s="4"/>
      <c r="ARX3" s="4"/>
      <c r="ARY3" s="4"/>
      <c r="ARZ3" s="4"/>
      <c r="ASA3" s="4"/>
      <c r="ASB3" s="4"/>
      <c r="ASC3" s="4"/>
      <c r="ASD3" s="4"/>
      <c r="ASE3" s="4"/>
      <c r="ASF3" s="4"/>
      <c r="ASG3" s="4"/>
      <c r="ASH3" s="4"/>
      <c r="ASI3" s="4"/>
      <c r="ASJ3" s="4"/>
      <c r="ASK3" s="4"/>
      <c r="ASL3" s="4"/>
      <c r="ASM3" s="4"/>
      <c r="ASN3" s="4"/>
      <c r="ASO3" s="4"/>
      <c r="ASP3" s="4"/>
      <c r="ASQ3" s="4"/>
      <c r="ASR3" s="4"/>
      <c r="ASS3" s="4"/>
      <c r="AST3" s="4"/>
      <c r="ASU3" s="4"/>
      <c r="ASV3" s="4"/>
      <c r="ASW3" s="4"/>
      <c r="ASX3" s="4"/>
      <c r="ASY3" s="4"/>
      <c r="ASZ3" s="4"/>
      <c r="ATA3" s="4"/>
      <c r="ATB3" s="4"/>
      <c r="ATC3" s="4"/>
      <c r="ATD3" s="4"/>
      <c r="ATE3" s="4"/>
      <c r="ATF3" s="4"/>
      <c r="ATG3" s="4"/>
      <c r="ATH3" s="4"/>
      <c r="ATI3" s="4"/>
      <c r="ATJ3" s="4"/>
      <c r="ATK3" s="4"/>
      <c r="ATL3" s="4"/>
      <c r="ATM3" s="4"/>
      <c r="ATN3" s="4"/>
      <c r="ATO3" s="4"/>
      <c r="ATP3" s="4"/>
      <c r="ATQ3" s="4"/>
      <c r="ATR3" s="4"/>
      <c r="ATS3" s="4"/>
      <c r="ATT3" s="4"/>
      <c r="ATU3" s="4"/>
      <c r="ATV3" s="4"/>
      <c r="ATW3" s="4"/>
      <c r="ATX3" s="4"/>
      <c r="ATY3" s="4"/>
      <c r="ATZ3" s="4"/>
      <c r="AUA3" s="4"/>
      <c r="AUB3" s="4"/>
      <c r="AUC3" s="4"/>
      <c r="AUD3" s="4"/>
      <c r="AUE3" s="4"/>
      <c r="AUF3" s="4"/>
      <c r="AUG3" s="4"/>
      <c r="AUH3" s="4"/>
      <c r="AUI3" s="4"/>
      <c r="AUJ3" s="4"/>
      <c r="AUK3" s="4"/>
      <c r="AUL3" s="4"/>
      <c r="AUM3" s="4"/>
      <c r="AUN3" s="4"/>
      <c r="AUO3" s="4"/>
      <c r="AUP3" s="4"/>
      <c r="AUQ3" s="4"/>
      <c r="AUR3" s="4"/>
      <c r="AUS3" s="4"/>
      <c r="AUT3" s="4"/>
      <c r="AUU3" s="4"/>
      <c r="AUV3" s="4"/>
      <c r="AUW3" s="4"/>
      <c r="AUX3" s="4"/>
      <c r="AUY3" s="4"/>
      <c r="AUZ3" s="4"/>
      <c r="AVA3" s="4"/>
      <c r="AVB3" s="4"/>
      <c r="AVC3" s="4"/>
      <c r="AVD3" s="4"/>
      <c r="AVE3" s="4"/>
      <c r="AVF3" s="4"/>
      <c r="AVG3" s="4"/>
      <c r="AVH3" s="4"/>
      <c r="AVI3" s="4"/>
      <c r="AVJ3" s="4"/>
      <c r="AVK3" s="4"/>
      <c r="AVL3" s="4"/>
      <c r="AVM3" s="4"/>
      <c r="AVN3" s="4"/>
      <c r="AVO3" s="4"/>
      <c r="AVP3" s="4"/>
      <c r="AVQ3" s="4"/>
      <c r="AVR3" s="4"/>
      <c r="AVS3" s="4"/>
      <c r="AVT3" s="4"/>
      <c r="AVU3" s="4"/>
      <c r="AVV3" s="4"/>
      <c r="AVW3" s="4"/>
      <c r="AVX3" s="4"/>
      <c r="AVY3" s="4"/>
      <c r="AVZ3" s="4"/>
      <c r="AWA3" s="4"/>
      <c r="AWB3" s="4"/>
      <c r="AWC3" s="4"/>
      <c r="AWD3" s="4"/>
      <c r="AWE3" s="4"/>
      <c r="AWF3" s="4"/>
      <c r="AWG3" s="4"/>
      <c r="AWH3" s="4"/>
      <c r="AWI3" s="4"/>
      <c r="AWJ3" s="4"/>
      <c r="AWK3" s="4"/>
      <c r="AWL3" s="4"/>
      <c r="AWM3" s="4"/>
      <c r="AWN3" s="4"/>
      <c r="AWO3" s="4"/>
      <c r="AWP3" s="4"/>
      <c r="AWQ3" s="4"/>
      <c r="AWR3" s="4"/>
      <c r="AWS3" s="4"/>
      <c r="AWT3" s="4"/>
      <c r="AWU3" s="4"/>
      <c r="AWV3" s="4"/>
      <c r="AWW3" s="4"/>
      <c r="AWX3" s="4"/>
      <c r="AWY3" s="4"/>
      <c r="AWZ3" s="4"/>
      <c r="AXA3" s="4"/>
      <c r="AXB3" s="4"/>
      <c r="AXC3" s="4"/>
      <c r="AXD3" s="4"/>
      <c r="AXE3" s="4"/>
      <c r="AXF3" s="4"/>
      <c r="AXG3" s="4"/>
      <c r="AXH3" s="4"/>
      <c r="AXI3" s="4"/>
      <c r="AXJ3" s="4"/>
      <c r="AXK3" s="4"/>
      <c r="AXL3" s="4"/>
      <c r="AXM3" s="4"/>
      <c r="AXN3" s="4"/>
      <c r="AXO3" s="4"/>
      <c r="AXP3" s="4"/>
      <c r="AXQ3" s="4"/>
      <c r="AXR3" s="4"/>
      <c r="AXS3" s="4"/>
      <c r="AXT3" s="4"/>
      <c r="AXU3" s="4"/>
      <c r="AXV3" s="4"/>
      <c r="AXW3" s="4"/>
      <c r="AXX3" s="4"/>
      <c r="AXY3" s="4"/>
      <c r="AXZ3" s="4"/>
      <c r="AYA3" s="4"/>
      <c r="AYB3" s="4"/>
      <c r="AYC3" s="4"/>
      <c r="AYD3" s="4"/>
      <c r="AYE3" s="4"/>
      <c r="AYF3" s="4"/>
      <c r="AYG3" s="4"/>
      <c r="AYH3" s="4"/>
      <c r="AYI3" s="4"/>
      <c r="AYJ3" s="4"/>
      <c r="AYK3" s="4"/>
      <c r="AYL3" s="4"/>
      <c r="AYM3" s="4"/>
      <c r="AYN3" s="4"/>
      <c r="AYO3" s="4"/>
      <c r="AYP3" s="4"/>
      <c r="AYQ3" s="4"/>
      <c r="AYR3" s="4"/>
      <c r="AYS3" s="4"/>
      <c r="AYT3" s="4"/>
      <c r="AYU3" s="4"/>
      <c r="AYV3" s="4"/>
      <c r="AYW3" s="4"/>
      <c r="AYX3" s="4"/>
      <c r="AYY3" s="4"/>
      <c r="AYZ3" s="4"/>
      <c r="AZA3" s="4"/>
      <c r="AZB3" s="4"/>
      <c r="AZC3" s="4"/>
      <c r="AZD3" s="4"/>
      <c r="AZE3" s="4"/>
      <c r="AZF3" s="4"/>
      <c r="AZG3" s="4"/>
      <c r="AZH3" s="4"/>
      <c r="AZI3" s="4"/>
      <c r="AZJ3" s="4"/>
      <c r="AZK3" s="4"/>
      <c r="AZL3" s="4"/>
      <c r="AZM3" s="4"/>
      <c r="AZN3" s="4"/>
      <c r="AZO3" s="4"/>
      <c r="AZP3" s="4"/>
      <c r="AZQ3" s="4"/>
      <c r="AZR3" s="4"/>
      <c r="AZS3" s="4"/>
      <c r="AZT3" s="4"/>
      <c r="AZU3" s="4"/>
      <c r="AZV3" s="4"/>
      <c r="AZW3" s="4"/>
      <c r="AZX3" s="4"/>
      <c r="AZY3" s="4"/>
      <c r="AZZ3" s="4"/>
      <c r="BAA3" s="4"/>
      <c r="BAB3" s="4"/>
      <c r="BAC3" s="4"/>
      <c r="BAD3" s="4"/>
      <c r="BAE3" s="4"/>
      <c r="BAF3" s="4"/>
      <c r="BAG3" s="4"/>
      <c r="BAH3" s="4"/>
      <c r="BAI3" s="4"/>
      <c r="BAJ3" s="4"/>
      <c r="BAK3" s="4"/>
      <c r="BAL3" s="4"/>
      <c r="BAM3" s="4"/>
      <c r="BAN3" s="4"/>
      <c r="BAO3" s="4"/>
      <c r="BAP3" s="4"/>
      <c r="BAQ3" s="4"/>
      <c r="BAR3" s="4"/>
      <c r="BAS3" s="4"/>
      <c r="BAT3" s="4"/>
      <c r="BAU3" s="4"/>
      <c r="BAV3" s="4"/>
      <c r="BAW3" s="4"/>
      <c r="BAX3" s="4"/>
      <c r="BAY3" s="4"/>
      <c r="BAZ3" s="4"/>
      <c r="BBA3" s="4"/>
      <c r="BBB3" s="4"/>
      <c r="BBC3" s="4"/>
      <c r="BBD3" s="4"/>
      <c r="BBE3" s="4"/>
      <c r="BBF3" s="4"/>
      <c r="BBG3" s="4"/>
      <c r="BBH3" s="4"/>
      <c r="BBI3" s="4"/>
      <c r="BBJ3" s="4"/>
      <c r="BBK3" s="4"/>
      <c r="BBL3" s="4"/>
      <c r="BBM3" s="4"/>
      <c r="BBN3" s="4"/>
      <c r="BBO3" s="4"/>
      <c r="BBP3" s="4"/>
      <c r="BBQ3" s="4"/>
      <c r="BBR3" s="4"/>
      <c r="BBS3" s="4"/>
      <c r="BBT3" s="4"/>
      <c r="BBU3" s="4"/>
      <c r="BBV3" s="4"/>
      <c r="BBW3" s="4"/>
      <c r="BBX3" s="4"/>
      <c r="BBY3" s="4"/>
      <c r="BBZ3" s="4"/>
      <c r="BCA3" s="4"/>
      <c r="BCB3" s="4"/>
      <c r="BCC3" s="4"/>
      <c r="BCD3" s="4"/>
      <c r="BCE3" s="4"/>
      <c r="BCF3" s="4"/>
      <c r="BCG3" s="4"/>
      <c r="BCH3" s="4"/>
      <c r="BCI3" s="4"/>
      <c r="BCJ3" s="4"/>
      <c r="BCK3" s="4"/>
      <c r="BCL3" s="4"/>
      <c r="BCM3" s="4"/>
      <c r="BCN3" s="4"/>
      <c r="BCO3" s="4"/>
      <c r="BCP3" s="4"/>
      <c r="BCQ3" s="4"/>
      <c r="BCR3" s="4"/>
      <c r="BCS3" s="4"/>
      <c r="BCT3" s="4"/>
      <c r="BCU3" s="4"/>
      <c r="BCV3" s="4"/>
      <c r="BCW3" s="4"/>
      <c r="BCX3" s="4"/>
      <c r="BCY3" s="4"/>
      <c r="BCZ3" s="4"/>
      <c r="BDA3" s="4"/>
      <c r="BDB3" s="4"/>
      <c r="BDC3" s="4"/>
      <c r="BDD3" s="4"/>
      <c r="BDE3" s="4"/>
      <c r="BDF3" s="4"/>
      <c r="BDG3" s="4"/>
      <c r="BDH3" s="4"/>
      <c r="BDI3" s="4"/>
      <c r="BDJ3" s="4"/>
      <c r="BDK3" s="4"/>
      <c r="BDL3" s="4"/>
      <c r="BDM3" s="4"/>
      <c r="BDN3" s="4"/>
      <c r="BDO3" s="4"/>
      <c r="BDP3" s="4"/>
      <c r="BDQ3" s="4"/>
      <c r="BDR3" s="4"/>
      <c r="BDS3" s="4"/>
      <c r="BDT3" s="4"/>
      <c r="BDU3" s="4"/>
      <c r="BDV3" s="4"/>
      <c r="BDW3" s="4"/>
      <c r="BDX3" s="4"/>
      <c r="BDY3" s="4"/>
      <c r="BDZ3" s="4"/>
      <c r="BEA3" s="4"/>
      <c r="BEB3" s="4"/>
      <c r="BEC3" s="4"/>
      <c r="BED3" s="4"/>
      <c r="BEE3" s="4"/>
      <c r="BEF3" s="4"/>
      <c r="BEG3" s="4"/>
      <c r="BEH3" s="4"/>
      <c r="BEI3" s="4"/>
      <c r="BEJ3" s="4"/>
      <c r="BEK3" s="4"/>
      <c r="BEL3" s="4"/>
      <c r="BEM3" s="4"/>
      <c r="BEN3" s="4"/>
      <c r="BEO3" s="4"/>
      <c r="BEP3" s="4"/>
      <c r="BEQ3" s="4"/>
      <c r="BER3" s="4"/>
      <c r="BES3" s="4"/>
      <c r="BET3" s="4"/>
      <c r="BEU3" s="4"/>
      <c r="BEV3" s="4"/>
      <c r="BEW3" s="4"/>
      <c r="BEX3" s="4"/>
      <c r="BEY3" s="4"/>
      <c r="BEZ3" s="4"/>
      <c r="BFA3" s="4"/>
      <c r="BFB3" s="4"/>
      <c r="BFC3" s="4"/>
      <c r="BFD3" s="4"/>
      <c r="BFE3" s="4"/>
      <c r="BFF3" s="4"/>
      <c r="BFG3" s="4"/>
      <c r="BFH3" s="4"/>
      <c r="BFI3" s="4"/>
      <c r="BFJ3" s="4"/>
      <c r="BFK3" s="4"/>
      <c r="BFL3" s="4"/>
      <c r="BFM3" s="4"/>
      <c r="BFN3" s="4"/>
      <c r="BFO3" s="4"/>
      <c r="BFP3" s="4"/>
      <c r="BFQ3" s="4"/>
      <c r="BFR3" s="4"/>
      <c r="BFS3" s="4"/>
      <c r="BFT3" s="4"/>
      <c r="BFU3" s="4"/>
      <c r="BFV3" s="4"/>
      <c r="BFW3" s="4"/>
      <c r="BFX3" s="4"/>
      <c r="BFY3" s="4"/>
      <c r="BFZ3" s="4"/>
      <c r="BGA3" s="4"/>
      <c r="BGB3" s="4"/>
      <c r="BGC3" s="4"/>
      <c r="BGD3" s="4"/>
      <c r="BGE3" s="4"/>
      <c r="BGF3" s="4"/>
      <c r="BGG3" s="4"/>
      <c r="BGH3" s="4"/>
      <c r="BGI3" s="4"/>
      <c r="BGJ3" s="4"/>
      <c r="BGK3" s="4"/>
      <c r="BGL3" s="4"/>
      <c r="BGM3" s="4"/>
      <c r="BGN3" s="4"/>
      <c r="BGO3" s="4"/>
      <c r="BGP3" s="4"/>
      <c r="BGQ3" s="4"/>
      <c r="BGR3" s="4"/>
      <c r="BGS3" s="4"/>
      <c r="BGT3" s="4"/>
      <c r="BGU3" s="4"/>
      <c r="BGV3" s="4"/>
      <c r="BGW3" s="4"/>
      <c r="BGX3" s="4"/>
      <c r="BGY3" s="4"/>
      <c r="BGZ3" s="4"/>
      <c r="BHA3" s="4"/>
      <c r="BHB3" s="4"/>
      <c r="BHC3" s="4"/>
      <c r="BHD3" s="4"/>
      <c r="BHE3" s="4"/>
      <c r="BHF3" s="4"/>
      <c r="BHG3" s="4"/>
      <c r="BHH3" s="4"/>
      <c r="BHI3" s="4"/>
      <c r="BHJ3" s="4"/>
      <c r="BHK3" s="4"/>
      <c r="BHL3" s="4"/>
      <c r="BHM3" s="4"/>
      <c r="BHN3" s="4"/>
      <c r="BHO3" s="4"/>
      <c r="BHP3" s="4"/>
      <c r="BHQ3" s="4"/>
      <c r="BHR3" s="4"/>
      <c r="BHS3" s="4"/>
      <c r="BHT3" s="4"/>
      <c r="BHU3" s="4"/>
      <c r="BHV3" s="4"/>
      <c r="BHW3" s="4"/>
      <c r="BHX3" s="4"/>
      <c r="BHY3" s="4"/>
      <c r="BHZ3" s="4"/>
      <c r="BIA3" s="4"/>
      <c r="BIB3" s="4"/>
      <c r="BIC3" s="4"/>
      <c r="BID3" s="4"/>
      <c r="BIE3" s="4"/>
      <c r="BIF3" s="4"/>
      <c r="BIG3" s="4"/>
      <c r="BIH3" s="4"/>
      <c r="BII3" s="4"/>
      <c r="BIJ3" s="4"/>
      <c r="BIK3" s="4"/>
      <c r="BIL3" s="4"/>
      <c r="BIM3" s="4"/>
      <c r="BIN3" s="4"/>
      <c r="BIO3" s="4"/>
      <c r="BIP3" s="4"/>
      <c r="BIQ3" s="4"/>
      <c r="BIR3" s="4"/>
      <c r="BIS3" s="4"/>
      <c r="BIT3" s="4"/>
      <c r="BIU3" s="4"/>
      <c r="BIV3" s="4"/>
      <c r="BIW3" s="4"/>
      <c r="BIX3" s="4"/>
      <c r="BIY3" s="4"/>
      <c r="BIZ3" s="4"/>
      <c r="BJA3" s="4"/>
      <c r="BJB3" s="4"/>
      <c r="BJC3" s="4"/>
      <c r="BJD3" s="4"/>
      <c r="BJE3" s="4"/>
      <c r="BJF3" s="4"/>
      <c r="BJG3" s="4"/>
      <c r="BJH3" s="4"/>
      <c r="BJI3" s="4"/>
      <c r="BJJ3" s="4"/>
      <c r="BJK3" s="4"/>
      <c r="BJL3" s="4"/>
      <c r="BJM3" s="4"/>
      <c r="BJN3" s="4"/>
      <c r="BJO3" s="4"/>
      <c r="BJP3" s="4"/>
      <c r="BJQ3" s="4"/>
      <c r="BJR3" s="4"/>
      <c r="BJS3" s="4"/>
      <c r="BJT3" s="4"/>
      <c r="BJU3" s="4"/>
      <c r="BJV3" s="4"/>
      <c r="BJW3" s="4"/>
      <c r="BJX3" s="4"/>
      <c r="BJY3" s="4"/>
      <c r="BJZ3" s="4"/>
      <c r="BKA3" s="4"/>
      <c r="BKB3" s="4"/>
      <c r="BKC3" s="4"/>
      <c r="BKD3" s="4"/>
      <c r="BKE3" s="4"/>
      <c r="BKF3" s="4"/>
      <c r="BKG3" s="4"/>
      <c r="BKH3" s="4"/>
      <c r="BKI3" s="4"/>
      <c r="BKJ3" s="4"/>
      <c r="BKK3" s="4"/>
      <c r="BKL3" s="4"/>
      <c r="BKM3" s="4"/>
      <c r="BKN3" s="4"/>
      <c r="BKO3" s="4"/>
      <c r="BKP3" s="4"/>
      <c r="BKQ3" s="4"/>
      <c r="BKR3" s="4"/>
      <c r="BKS3" s="4"/>
      <c r="BKT3" s="4"/>
      <c r="BKU3" s="4"/>
      <c r="BKV3" s="4"/>
      <c r="BKW3" s="4"/>
      <c r="BKX3" s="4"/>
      <c r="BKY3" s="4"/>
      <c r="BKZ3" s="4"/>
      <c r="BLA3" s="4"/>
      <c r="BLB3" s="4"/>
      <c r="BLC3" s="4"/>
      <c r="BLD3" s="4"/>
      <c r="BLE3" s="4"/>
      <c r="BLF3" s="4"/>
      <c r="BLG3" s="4"/>
      <c r="BLH3" s="4"/>
      <c r="BLI3" s="4"/>
      <c r="BLJ3" s="4"/>
      <c r="BLK3" s="4"/>
      <c r="BLL3" s="4"/>
      <c r="BLM3" s="4"/>
      <c r="BLN3" s="4"/>
      <c r="BLO3" s="4"/>
      <c r="BLP3" s="4"/>
      <c r="BLQ3" s="4"/>
      <c r="BLR3" s="4"/>
      <c r="BLS3" s="4"/>
      <c r="BLT3" s="4"/>
      <c r="BLU3" s="4"/>
      <c r="BLV3" s="4"/>
      <c r="BLW3" s="4"/>
      <c r="BLX3" s="4"/>
      <c r="BLY3" s="4"/>
      <c r="BLZ3" s="4"/>
      <c r="BMA3" s="4"/>
      <c r="BMB3" s="4"/>
      <c r="BMC3" s="4"/>
      <c r="BMD3" s="4"/>
      <c r="BME3" s="4"/>
      <c r="BMF3" s="4"/>
      <c r="BMG3" s="4"/>
      <c r="BMH3" s="4"/>
      <c r="BMI3" s="4"/>
      <c r="BMJ3" s="4"/>
      <c r="BMK3" s="4"/>
      <c r="BML3" s="4"/>
      <c r="BMM3" s="4"/>
      <c r="BMN3" s="4"/>
      <c r="BMO3" s="4"/>
      <c r="BMP3" s="4"/>
      <c r="BMQ3" s="4"/>
      <c r="BMR3" s="4"/>
      <c r="BMS3" s="4"/>
      <c r="BMT3" s="4"/>
      <c r="BMU3" s="4"/>
      <c r="BMV3" s="4"/>
      <c r="BMW3" s="4"/>
      <c r="BMX3" s="4"/>
      <c r="BMY3" s="4"/>
      <c r="BMZ3" s="4"/>
      <c r="BNA3" s="4"/>
      <c r="BNB3" s="4"/>
      <c r="BNC3" s="4"/>
      <c r="BND3" s="4"/>
      <c r="BNE3" s="4"/>
      <c r="BNF3" s="4"/>
      <c r="BNG3" s="4"/>
      <c r="BNH3" s="4"/>
      <c r="BNI3" s="4"/>
      <c r="BNJ3" s="4"/>
      <c r="BNK3" s="4"/>
      <c r="BNL3" s="4"/>
      <c r="BNM3" s="4"/>
      <c r="BNN3" s="4"/>
      <c r="BNO3" s="4"/>
      <c r="BNP3" s="4"/>
      <c r="BNQ3" s="4"/>
      <c r="BNR3" s="4"/>
      <c r="BNS3" s="4"/>
      <c r="BNT3" s="4"/>
      <c r="BNU3" s="4"/>
      <c r="BNV3" s="4"/>
      <c r="BNW3" s="4"/>
      <c r="BNX3" s="4"/>
      <c r="BNY3" s="4"/>
      <c r="BNZ3" s="4"/>
      <c r="BOA3" s="4"/>
      <c r="BOB3" s="4"/>
      <c r="BOC3" s="4"/>
      <c r="BOD3" s="4"/>
      <c r="BOE3" s="4"/>
      <c r="BOF3" s="4"/>
      <c r="BOG3" s="4"/>
      <c r="BOH3" s="4"/>
      <c r="BOI3" s="4"/>
      <c r="BOJ3" s="4"/>
      <c r="BOK3" s="4"/>
      <c r="BOL3" s="4"/>
      <c r="BOM3" s="4"/>
      <c r="BON3" s="4"/>
      <c r="BOO3" s="4"/>
      <c r="BOP3" s="4"/>
      <c r="BOQ3" s="4"/>
      <c r="BOR3" s="4"/>
      <c r="BOS3" s="4"/>
      <c r="BOT3" s="4"/>
      <c r="BOU3" s="4"/>
      <c r="BOV3" s="4"/>
      <c r="BOW3" s="4"/>
      <c r="BOX3" s="4"/>
      <c r="BOY3" s="4"/>
      <c r="BOZ3" s="4"/>
      <c r="BPA3" s="4"/>
      <c r="BPB3" s="4"/>
      <c r="BPC3" s="4"/>
      <c r="BPD3" s="4"/>
      <c r="BPE3" s="4"/>
      <c r="BPF3" s="4"/>
      <c r="BPG3" s="4"/>
      <c r="BPH3" s="4"/>
      <c r="BPI3" s="4"/>
      <c r="BPJ3" s="4"/>
      <c r="BPK3" s="4"/>
      <c r="BPL3" s="4"/>
      <c r="BPM3" s="4"/>
      <c r="BPN3" s="4"/>
      <c r="BPO3" s="4"/>
      <c r="BPP3" s="4"/>
      <c r="BPQ3" s="4"/>
      <c r="BPR3" s="4"/>
      <c r="BPS3" s="4"/>
      <c r="BPT3" s="4"/>
      <c r="BPU3" s="4"/>
      <c r="BPV3" s="4"/>
      <c r="BPW3" s="4"/>
      <c r="BPX3" s="4"/>
      <c r="BPY3" s="4"/>
      <c r="BPZ3" s="4"/>
      <c r="BQA3" s="4"/>
      <c r="BQB3" s="4"/>
      <c r="BQC3" s="4"/>
      <c r="BQD3" s="4"/>
      <c r="BQE3" s="4"/>
      <c r="BQF3" s="4"/>
      <c r="BQG3" s="4"/>
      <c r="BQH3" s="4"/>
      <c r="BQI3" s="4"/>
      <c r="BQJ3" s="4"/>
      <c r="BQK3" s="4"/>
      <c r="BQL3" s="4"/>
      <c r="BQM3" s="4"/>
      <c r="BQN3" s="4"/>
      <c r="BQO3" s="4"/>
      <c r="BQP3" s="4"/>
      <c r="BQQ3" s="4"/>
      <c r="BQR3" s="4"/>
      <c r="BQS3" s="4"/>
      <c r="BQT3" s="4"/>
      <c r="BQU3" s="4"/>
      <c r="BQV3" s="4"/>
      <c r="BQW3" s="4"/>
      <c r="BQX3" s="4"/>
      <c r="BQY3" s="4"/>
      <c r="BQZ3" s="4"/>
      <c r="BRA3" s="4"/>
      <c r="BRB3" s="4"/>
      <c r="BRC3" s="4"/>
      <c r="BRD3" s="4"/>
      <c r="BRE3" s="4"/>
      <c r="BRF3" s="4"/>
      <c r="BRG3" s="4"/>
      <c r="BRH3" s="4"/>
      <c r="BRI3" s="4"/>
      <c r="BRJ3" s="4"/>
      <c r="BRK3" s="4"/>
      <c r="BRL3" s="4"/>
      <c r="BRM3" s="4"/>
      <c r="BRN3" s="4"/>
      <c r="BRO3" s="4"/>
      <c r="BRP3" s="4"/>
      <c r="BRQ3" s="4"/>
      <c r="BRR3" s="4"/>
      <c r="BRS3" s="4"/>
      <c r="BRT3" s="4"/>
      <c r="BRU3" s="4"/>
      <c r="BRV3" s="4"/>
      <c r="BRW3" s="4"/>
      <c r="BRX3" s="4"/>
      <c r="BRY3" s="4"/>
      <c r="BRZ3" s="4"/>
      <c r="BSA3" s="4"/>
      <c r="BSB3" s="4"/>
      <c r="BSC3" s="4"/>
      <c r="BSD3" s="4"/>
      <c r="BSE3" s="4"/>
      <c r="BSF3" s="4"/>
      <c r="BSG3" s="4"/>
      <c r="BSH3" s="4"/>
      <c r="BSI3" s="4"/>
      <c r="BSJ3" s="4"/>
      <c r="BSK3" s="4"/>
      <c r="BSL3" s="4"/>
      <c r="BSM3" s="4"/>
      <c r="BSN3" s="4"/>
      <c r="BSO3" s="4"/>
      <c r="BSP3" s="4"/>
      <c r="BSQ3" s="4"/>
      <c r="BSR3" s="4"/>
      <c r="BSS3" s="4"/>
      <c r="BST3" s="4"/>
      <c r="BSU3" s="4"/>
      <c r="BSV3" s="4"/>
      <c r="BSW3" s="4"/>
      <c r="BSX3" s="4"/>
      <c r="BSY3" s="4"/>
      <c r="BSZ3" s="4"/>
      <c r="BTA3" s="4"/>
      <c r="BTB3" s="4"/>
      <c r="BTC3" s="4"/>
      <c r="BTD3" s="4"/>
      <c r="BTE3" s="4"/>
      <c r="BTF3" s="4"/>
      <c r="BTG3" s="4"/>
      <c r="BTH3" s="4"/>
      <c r="BTI3" s="4"/>
      <c r="BTJ3" s="4"/>
      <c r="BTK3" s="4"/>
      <c r="BTL3" s="4"/>
      <c r="BTM3" s="4"/>
      <c r="BTN3" s="4"/>
      <c r="BTO3" s="4"/>
      <c r="BTP3" s="4"/>
      <c r="BTQ3" s="4"/>
      <c r="BTR3" s="4"/>
      <c r="BTS3" s="4"/>
      <c r="BTT3" s="4"/>
      <c r="BTU3" s="4"/>
      <c r="BTV3" s="4"/>
      <c r="BTW3" s="4"/>
      <c r="BTX3" s="4"/>
      <c r="BTY3" s="4"/>
      <c r="BTZ3" s="4"/>
      <c r="BUA3" s="4"/>
      <c r="BUB3" s="4"/>
      <c r="BUC3" s="4"/>
      <c r="BUD3" s="4"/>
      <c r="BUE3" s="4"/>
      <c r="BUF3" s="4"/>
      <c r="BUG3" s="4"/>
      <c r="BUH3" s="4"/>
      <c r="BUI3" s="4"/>
      <c r="BUJ3" s="4"/>
      <c r="BUK3" s="4"/>
      <c r="BUL3" s="4"/>
      <c r="BUM3" s="4"/>
      <c r="BUN3" s="4"/>
      <c r="BUO3" s="4"/>
      <c r="BUP3" s="4"/>
      <c r="BUQ3" s="4"/>
      <c r="BUR3" s="4"/>
      <c r="BUS3" s="4"/>
      <c r="BUT3" s="4"/>
      <c r="BUU3" s="4"/>
      <c r="BUV3" s="4"/>
      <c r="BUW3" s="4"/>
      <c r="BUX3" s="4"/>
      <c r="BUY3" s="4"/>
      <c r="BUZ3" s="4"/>
      <c r="BVA3" s="4"/>
      <c r="BVB3" s="4"/>
      <c r="BVC3" s="4"/>
      <c r="BVD3" s="4"/>
      <c r="BVE3" s="4"/>
      <c r="BVF3" s="4"/>
      <c r="BVG3" s="4"/>
      <c r="BVH3" s="4"/>
      <c r="BVI3" s="4"/>
      <c r="BVJ3" s="4"/>
      <c r="BVK3" s="4"/>
      <c r="BVL3" s="4"/>
      <c r="BVM3" s="4"/>
      <c r="BVN3" s="4"/>
      <c r="BVO3" s="4"/>
      <c r="BVP3" s="4"/>
      <c r="BVQ3" s="4"/>
      <c r="BVR3" s="4"/>
      <c r="BVS3" s="4"/>
      <c r="BVT3" s="4"/>
      <c r="BVU3" s="4"/>
      <c r="BVV3" s="4"/>
      <c r="BVW3" s="4"/>
      <c r="BVX3" s="4"/>
      <c r="BVY3" s="4"/>
      <c r="BVZ3" s="4"/>
      <c r="BWA3" s="4"/>
      <c r="BWB3" s="4"/>
      <c r="BWC3" s="4"/>
      <c r="BWD3" s="4"/>
      <c r="BWE3" s="4"/>
      <c r="BWF3" s="4"/>
      <c r="BWG3" s="4"/>
      <c r="BWH3" s="4"/>
      <c r="BWI3" s="4"/>
      <c r="BWJ3" s="4"/>
      <c r="BWK3" s="4"/>
      <c r="BWL3" s="4"/>
      <c r="BWM3" s="4"/>
      <c r="BWN3" s="4"/>
      <c r="BWO3" s="4"/>
      <c r="BWP3" s="4"/>
      <c r="BWQ3" s="4"/>
      <c r="BWR3" s="4"/>
      <c r="BWS3" s="4"/>
      <c r="BWT3" s="4"/>
      <c r="BWU3" s="4"/>
      <c r="BWV3" s="4"/>
      <c r="BWW3" s="4"/>
      <c r="BWX3" s="4"/>
      <c r="BWY3" s="4"/>
      <c r="BWZ3" s="4"/>
      <c r="BXA3" s="4"/>
      <c r="BXB3" s="4"/>
      <c r="BXC3" s="4"/>
      <c r="BXD3" s="4"/>
      <c r="BXE3" s="4"/>
      <c r="BXF3" s="4"/>
      <c r="BXG3" s="4"/>
      <c r="BXH3" s="4"/>
      <c r="BXI3" s="4"/>
      <c r="BXJ3" s="4"/>
      <c r="BXK3" s="4"/>
      <c r="BXL3" s="4"/>
      <c r="BXM3" s="4"/>
      <c r="BXN3" s="4"/>
      <c r="BXO3" s="4"/>
      <c r="BXP3" s="4"/>
      <c r="BXQ3" s="4"/>
      <c r="BXR3" s="4"/>
      <c r="BXS3" s="4"/>
      <c r="BXT3" s="4"/>
      <c r="BXU3" s="4"/>
      <c r="BXV3" s="4"/>
      <c r="BXW3" s="4"/>
      <c r="BXX3" s="4"/>
      <c r="BXY3" s="4"/>
      <c r="BXZ3" s="4"/>
      <c r="BYA3" s="4"/>
      <c r="BYB3" s="4"/>
      <c r="BYC3" s="4"/>
      <c r="BYD3" s="4"/>
      <c r="BYE3" s="4"/>
      <c r="BYF3" s="4"/>
      <c r="BYG3" s="4"/>
      <c r="BYH3" s="4"/>
      <c r="BYI3" s="4"/>
      <c r="BYJ3" s="4"/>
      <c r="BYK3" s="4"/>
      <c r="BYL3" s="4"/>
      <c r="BYM3" s="4"/>
      <c r="BYN3" s="4"/>
      <c r="BYO3" s="4"/>
      <c r="BYP3" s="4"/>
      <c r="BYQ3" s="4"/>
      <c r="BYR3" s="4"/>
      <c r="BYS3" s="4"/>
      <c r="BYT3" s="4"/>
      <c r="BYU3" s="4"/>
      <c r="BYV3" s="4"/>
      <c r="BYW3" s="4"/>
      <c r="BYX3" s="4"/>
      <c r="BYY3" s="4"/>
      <c r="BYZ3" s="4"/>
      <c r="BZA3" s="4"/>
      <c r="BZB3" s="4"/>
      <c r="BZC3" s="4"/>
      <c r="BZD3" s="4"/>
      <c r="BZE3" s="4"/>
      <c r="BZF3" s="4"/>
      <c r="BZG3" s="4"/>
      <c r="BZH3" s="4"/>
      <c r="BZI3" s="4"/>
      <c r="BZJ3" s="4"/>
      <c r="BZK3" s="4"/>
      <c r="BZL3" s="4"/>
      <c r="BZM3" s="4"/>
      <c r="BZN3" s="4"/>
      <c r="BZO3" s="4"/>
      <c r="BZP3" s="4"/>
      <c r="BZQ3" s="4"/>
      <c r="BZR3" s="4"/>
      <c r="BZS3" s="4"/>
      <c r="BZT3" s="4"/>
      <c r="BZU3" s="4"/>
      <c r="BZV3" s="4"/>
      <c r="BZW3" s="4"/>
      <c r="BZX3" s="4"/>
      <c r="BZY3" s="4"/>
      <c r="BZZ3" s="4"/>
      <c r="CAA3" s="4"/>
      <c r="CAB3" s="4"/>
      <c r="CAC3" s="4"/>
      <c r="CAD3" s="4"/>
      <c r="CAE3" s="4"/>
      <c r="CAF3" s="4"/>
      <c r="CAG3" s="4"/>
      <c r="CAH3" s="4"/>
      <c r="CAI3" s="4"/>
      <c r="CAJ3" s="4"/>
      <c r="CAK3" s="4"/>
      <c r="CAL3" s="4"/>
      <c r="CAM3" s="4"/>
      <c r="CAN3" s="4"/>
      <c r="CAO3" s="4"/>
      <c r="CAP3" s="4"/>
      <c r="CAQ3" s="4"/>
      <c r="CAR3" s="4"/>
      <c r="CAS3" s="4"/>
      <c r="CAT3" s="4"/>
      <c r="CAU3" s="4"/>
      <c r="CAV3" s="4"/>
      <c r="CAW3" s="4"/>
      <c r="CAX3" s="4"/>
      <c r="CAY3" s="4"/>
      <c r="CAZ3" s="4"/>
      <c r="CBA3" s="4"/>
      <c r="CBB3" s="4"/>
      <c r="CBC3" s="4"/>
      <c r="CBD3" s="4"/>
      <c r="CBE3" s="4"/>
      <c r="CBF3" s="4"/>
      <c r="CBG3" s="4"/>
      <c r="CBH3" s="4"/>
      <c r="CBI3" s="4"/>
      <c r="CBJ3" s="4"/>
      <c r="CBK3" s="4"/>
      <c r="CBL3" s="4"/>
      <c r="CBM3" s="4"/>
      <c r="CBN3" s="4"/>
      <c r="CBO3" s="4"/>
      <c r="CBP3" s="4"/>
      <c r="CBQ3" s="4"/>
      <c r="CBR3" s="4"/>
      <c r="CBS3" s="4"/>
      <c r="CBT3" s="4"/>
      <c r="CBU3" s="4"/>
      <c r="CBV3" s="4"/>
      <c r="CBW3" s="4"/>
      <c r="CBX3" s="4"/>
      <c r="CBY3" s="4"/>
      <c r="CBZ3" s="4"/>
      <c r="CCA3" s="4"/>
      <c r="CCB3" s="4"/>
      <c r="CCC3" s="4"/>
      <c r="CCD3" s="4"/>
      <c r="CCE3" s="4"/>
      <c r="CCF3" s="4"/>
      <c r="CCG3" s="4"/>
      <c r="CCH3" s="4"/>
      <c r="CCI3" s="4"/>
      <c r="CCJ3" s="4"/>
      <c r="CCK3" s="4"/>
      <c r="CCL3" s="4"/>
      <c r="CCM3" s="4"/>
      <c r="CCN3" s="4"/>
      <c r="CCO3" s="4"/>
      <c r="CCP3" s="4"/>
      <c r="CCQ3" s="4"/>
      <c r="CCR3" s="4"/>
      <c r="CCS3" s="4"/>
      <c r="CCT3" s="4"/>
      <c r="CCU3" s="4"/>
      <c r="CCV3" s="4"/>
      <c r="CCW3" s="4"/>
      <c r="CCX3" s="4"/>
      <c r="CCY3" s="4"/>
      <c r="CCZ3" s="4"/>
      <c r="CDA3" s="4"/>
      <c r="CDB3" s="4"/>
      <c r="CDC3" s="4"/>
      <c r="CDD3" s="4"/>
      <c r="CDE3" s="4"/>
      <c r="CDF3" s="4"/>
      <c r="CDG3" s="4"/>
      <c r="CDH3" s="4"/>
      <c r="CDI3" s="4"/>
      <c r="CDJ3" s="4"/>
      <c r="CDK3" s="4"/>
      <c r="CDL3" s="4"/>
      <c r="CDM3" s="4"/>
      <c r="CDN3" s="4"/>
      <c r="CDO3" s="4"/>
      <c r="CDP3" s="4"/>
      <c r="CDQ3" s="4"/>
      <c r="CDR3" s="4"/>
      <c r="CDS3" s="4"/>
      <c r="CDT3" s="4"/>
      <c r="CDU3" s="4"/>
      <c r="CDV3" s="4"/>
      <c r="CDW3" s="4"/>
      <c r="CDX3" s="4"/>
      <c r="CDY3" s="4"/>
      <c r="CDZ3" s="4"/>
      <c r="CEA3" s="4"/>
      <c r="CEB3" s="4"/>
      <c r="CEC3" s="4"/>
      <c r="CED3" s="4"/>
      <c r="CEE3" s="4"/>
      <c r="CEF3" s="4"/>
      <c r="CEG3" s="4"/>
      <c r="CEH3" s="4"/>
      <c r="CEI3" s="4"/>
      <c r="CEJ3" s="4"/>
      <c r="CEK3" s="4"/>
      <c r="CEL3" s="4"/>
      <c r="CEM3" s="4"/>
      <c r="CEN3" s="4"/>
      <c r="CEO3" s="4"/>
      <c r="CEP3" s="4"/>
      <c r="CEQ3" s="4"/>
      <c r="CER3" s="4"/>
      <c r="CES3" s="4"/>
      <c r="CET3" s="4"/>
      <c r="CEU3" s="4"/>
      <c r="CEV3" s="4"/>
      <c r="CEW3" s="4"/>
      <c r="CEX3" s="4"/>
      <c r="CEY3" s="4"/>
      <c r="CEZ3" s="4"/>
      <c r="CFA3" s="4"/>
      <c r="CFB3" s="4"/>
      <c r="CFC3" s="4"/>
      <c r="CFD3" s="4"/>
      <c r="CFE3" s="4"/>
      <c r="CFF3" s="4"/>
      <c r="CFG3" s="4"/>
      <c r="CFH3" s="4"/>
      <c r="CFI3" s="4"/>
      <c r="CFJ3" s="4"/>
      <c r="CFK3" s="4"/>
      <c r="CFL3" s="4"/>
      <c r="CFM3" s="4"/>
      <c r="CFN3" s="4"/>
      <c r="CFO3" s="4"/>
      <c r="CFP3" s="4"/>
      <c r="CFQ3" s="4"/>
      <c r="CFR3" s="4"/>
      <c r="CFS3" s="4"/>
      <c r="CFT3" s="4"/>
      <c r="CFU3" s="4"/>
      <c r="CFV3" s="4"/>
      <c r="CFW3" s="4"/>
      <c r="CFX3" s="4"/>
      <c r="CFY3" s="4"/>
      <c r="CFZ3" s="4"/>
      <c r="CGA3" s="4"/>
      <c r="CGB3" s="4"/>
      <c r="CGC3" s="4"/>
      <c r="CGD3" s="4"/>
      <c r="CGE3" s="4"/>
      <c r="CGF3" s="4"/>
      <c r="CGG3" s="4"/>
      <c r="CGH3" s="4"/>
      <c r="CGI3" s="4"/>
      <c r="CGJ3" s="4"/>
      <c r="CGK3" s="4"/>
      <c r="CGL3" s="4"/>
      <c r="CGM3" s="4"/>
      <c r="CGN3" s="4"/>
      <c r="CGO3" s="4"/>
      <c r="CGP3" s="4"/>
      <c r="CGQ3" s="4"/>
      <c r="CGR3" s="4"/>
      <c r="CGS3" s="4"/>
      <c r="CGT3" s="4"/>
      <c r="CGU3" s="4"/>
      <c r="CGV3" s="4"/>
      <c r="CGW3" s="4"/>
      <c r="CGX3" s="4"/>
      <c r="CGY3" s="4"/>
      <c r="CGZ3" s="4"/>
      <c r="CHA3" s="4"/>
      <c r="CHB3" s="4"/>
      <c r="CHC3" s="4"/>
      <c r="CHD3" s="4"/>
      <c r="CHE3" s="4"/>
      <c r="CHF3" s="4"/>
      <c r="CHG3" s="4"/>
      <c r="CHH3" s="4"/>
      <c r="CHI3" s="4"/>
      <c r="CHJ3" s="4"/>
      <c r="CHK3" s="4"/>
      <c r="CHL3" s="4"/>
      <c r="CHM3" s="4"/>
      <c r="CHN3" s="4"/>
      <c r="CHO3" s="4"/>
      <c r="CHP3" s="4"/>
      <c r="CHQ3" s="4"/>
      <c r="CHR3" s="4"/>
      <c r="CHS3" s="4"/>
      <c r="CHT3" s="4"/>
      <c r="CHU3" s="4"/>
      <c r="CHV3" s="4"/>
      <c r="CHW3" s="4"/>
      <c r="CHX3" s="4"/>
      <c r="CHY3" s="4"/>
      <c r="CHZ3" s="4"/>
      <c r="CIA3" s="4"/>
      <c r="CIB3" s="4"/>
      <c r="CIC3" s="4"/>
      <c r="CID3" s="4"/>
      <c r="CIE3" s="4"/>
      <c r="CIF3" s="4"/>
      <c r="CIG3" s="4"/>
      <c r="CIH3" s="4"/>
      <c r="CII3" s="4"/>
      <c r="CIJ3" s="4"/>
      <c r="CIK3" s="4"/>
      <c r="CIL3" s="4"/>
      <c r="CIM3" s="4"/>
      <c r="CIN3" s="4"/>
      <c r="CIO3" s="4"/>
      <c r="CIP3" s="4"/>
      <c r="CIQ3" s="4"/>
      <c r="CIR3" s="4"/>
      <c r="CIS3" s="4"/>
      <c r="CIT3" s="4"/>
      <c r="CIU3" s="4"/>
      <c r="CIV3" s="4"/>
      <c r="CIW3" s="4"/>
      <c r="CIX3" s="4"/>
      <c r="CIY3" s="4"/>
      <c r="CIZ3" s="4"/>
      <c r="CJA3" s="4"/>
      <c r="CJB3" s="4"/>
      <c r="CJC3" s="4"/>
      <c r="CJD3" s="4"/>
      <c r="CJE3" s="4"/>
      <c r="CJF3" s="4"/>
      <c r="CJG3" s="4"/>
      <c r="CJH3" s="4"/>
      <c r="CJI3" s="4"/>
      <c r="CJJ3" s="4"/>
      <c r="CJK3" s="4"/>
      <c r="CJL3" s="4"/>
      <c r="CJM3" s="4"/>
      <c r="CJN3" s="4"/>
      <c r="CJO3" s="4"/>
      <c r="CJP3" s="4"/>
      <c r="CJQ3" s="4"/>
      <c r="CJR3" s="4"/>
      <c r="CJS3" s="4"/>
      <c r="CJT3" s="4"/>
      <c r="CJU3" s="4"/>
      <c r="CJV3" s="4"/>
      <c r="CJW3" s="4"/>
      <c r="CJX3" s="4"/>
      <c r="CJY3" s="4"/>
      <c r="CJZ3" s="4"/>
      <c r="CKA3" s="4"/>
      <c r="CKB3" s="4"/>
      <c r="CKC3" s="4"/>
      <c r="CKD3" s="4"/>
      <c r="CKE3" s="4"/>
      <c r="CKF3" s="4"/>
      <c r="CKG3" s="4"/>
      <c r="CKH3" s="4"/>
      <c r="CKI3" s="4"/>
      <c r="CKJ3" s="4"/>
      <c r="CKK3" s="4"/>
      <c r="CKL3" s="4"/>
      <c r="CKM3" s="4"/>
      <c r="CKN3" s="4"/>
      <c r="CKO3" s="4"/>
      <c r="CKP3" s="4"/>
      <c r="CKQ3" s="4"/>
      <c r="CKR3" s="4"/>
      <c r="CKS3" s="4"/>
      <c r="CKT3" s="4"/>
      <c r="CKU3" s="4"/>
      <c r="CKV3" s="4"/>
      <c r="CKW3" s="4"/>
      <c r="CKX3" s="4"/>
      <c r="CKY3" s="4"/>
      <c r="CKZ3" s="4"/>
      <c r="CLA3" s="4"/>
      <c r="CLB3" s="4"/>
      <c r="CLC3" s="4"/>
      <c r="CLD3" s="4"/>
      <c r="CLE3" s="4"/>
      <c r="CLF3" s="4"/>
      <c r="CLG3" s="4"/>
      <c r="CLH3" s="4"/>
      <c r="CLI3" s="4"/>
      <c r="CLJ3" s="4"/>
      <c r="CLK3" s="4"/>
      <c r="CLL3" s="4"/>
      <c r="CLM3" s="4"/>
      <c r="CLN3" s="4"/>
      <c r="CLO3" s="4"/>
      <c r="CLP3" s="4"/>
      <c r="CLQ3" s="4"/>
      <c r="CLR3" s="4"/>
      <c r="CLS3" s="4"/>
      <c r="CLT3" s="4"/>
      <c r="CLU3" s="4"/>
      <c r="CLV3" s="4"/>
      <c r="CLW3" s="4"/>
      <c r="CLX3" s="4"/>
      <c r="CLY3" s="4"/>
      <c r="CLZ3" s="4"/>
      <c r="CMA3" s="4"/>
      <c r="CMB3" s="4"/>
      <c r="CMC3" s="4"/>
      <c r="CMD3" s="4"/>
      <c r="CME3" s="4"/>
      <c r="CMF3" s="4"/>
      <c r="CMG3" s="4"/>
      <c r="CMH3" s="4"/>
      <c r="CMI3" s="4"/>
      <c r="CMJ3" s="4"/>
      <c r="CMK3" s="4"/>
      <c r="CML3" s="4"/>
      <c r="CMM3" s="4"/>
      <c r="CMN3" s="4"/>
      <c r="CMO3" s="4"/>
      <c r="CMP3" s="4"/>
      <c r="CMQ3" s="4"/>
      <c r="CMR3" s="4"/>
      <c r="CMS3" s="4"/>
      <c r="CMT3" s="4"/>
      <c r="CMU3" s="4"/>
      <c r="CMV3" s="4"/>
      <c r="CMW3" s="4"/>
      <c r="CMX3" s="4"/>
      <c r="CMY3" s="4"/>
      <c r="CMZ3" s="4"/>
      <c r="CNA3" s="4"/>
      <c r="CNB3" s="4"/>
      <c r="CNC3" s="4"/>
      <c r="CND3" s="4"/>
      <c r="CNE3" s="4"/>
      <c r="CNF3" s="4"/>
      <c r="CNG3" s="4"/>
      <c r="CNH3" s="4"/>
      <c r="CNI3" s="4"/>
      <c r="CNJ3" s="4"/>
      <c r="CNK3" s="4"/>
      <c r="CNL3" s="4"/>
      <c r="CNM3" s="4"/>
      <c r="CNN3" s="4"/>
      <c r="CNO3" s="4"/>
      <c r="CNP3" s="4"/>
      <c r="CNQ3" s="4"/>
      <c r="CNR3" s="4"/>
      <c r="CNS3" s="4"/>
      <c r="CNT3" s="4"/>
      <c r="CNU3" s="4"/>
      <c r="CNV3" s="4"/>
      <c r="CNW3" s="4"/>
      <c r="CNX3" s="4"/>
      <c r="CNY3" s="4"/>
      <c r="CNZ3" s="4"/>
      <c r="COA3" s="4"/>
      <c r="COB3" s="4"/>
      <c r="COC3" s="4"/>
      <c r="COD3" s="4"/>
      <c r="COE3" s="4"/>
      <c r="COF3" s="4"/>
      <c r="COG3" s="4"/>
      <c r="COH3" s="4"/>
      <c r="COI3" s="4"/>
      <c r="COJ3" s="4"/>
      <c r="COK3" s="4"/>
      <c r="COL3" s="4"/>
      <c r="COM3" s="4"/>
      <c r="CON3" s="4"/>
      <c r="COO3" s="4"/>
      <c r="COP3" s="4"/>
      <c r="COQ3" s="4"/>
      <c r="COR3" s="4"/>
      <c r="COS3" s="4"/>
      <c r="COT3" s="4"/>
      <c r="COU3" s="4"/>
      <c r="COV3" s="4"/>
      <c r="COW3" s="4"/>
      <c r="COX3" s="4"/>
      <c r="COY3" s="4"/>
      <c r="COZ3" s="4"/>
      <c r="CPA3" s="4"/>
      <c r="CPB3" s="4"/>
      <c r="CPC3" s="4"/>
      <c r="CPD3" s="4"/>
      <c r="CPE3" s="4"/>
      <c r="CPF3" s="4"/>
      <c r="CPG3" s="4"/>
      <c r="CPH3" s="4"/>
      <c r="CPI3" s="4"/>
      <c r="CPJ3" s="4"/>
      <c r="CPK3" s="4"/>
      <c r="CPL3" s="4"/>
      <c r="CPM3" s="4"/>
      <c r="CPN3" s="4"/>
      <c r="CPO3" s="4"/>
      <c r="CPP3" s="4"/>
      <c r="CPQ3" s="4"/>
      <c r="CPR3" s="4"/>
      <c r="CPS3" s="4"/>
      <c r="CPT3" s="4"/>
      <c r="CPU3" s="4"/>
      <c r="CPV3" s="4"/>
      <c r="CPW3" s="4"/>
      <c r="CPX3" s="4"/>
      <c r="CPY3" s="4"/>
      <c r="CPZ3" s="4"/>
      <c r="CQA3" s="4"/>
      <c r="CQB3" s="4"/>
      <c r="CQC3" s="4"/>
      <c r="CQD3" s="4"/>
      <c r="CQE3" s="4"/>
      <c r="CQF3" s="4"/>
      <c r="CQG3" s="4"/>
      <c r="CQH3" s="4"/>
      <c r="CQI3" s="4"/>
      <c r="CQJ3" s="4"/>
      <c r="CQK3" s="4"/>
      <c r="CQL3" s="4"/>
      <c r="CQM3" s="4"/>
      <c r="CQN3" s="4"/>
      <c r="CQO3" s="4"/>
      <c r="CQP3" s="4"/>
      <c r="CQQ3" s="4"/>
      <c r="CQR3" s="4"/>
      <c r="CQS3" s="4"/>
      <c r="CQT3" s="4"/>
      <c r="CQU3" s="4"/>
      <c r="CQV3" s="4"/>
      <c r="CQW3" s="4"/>
      <c r="CQX3" s="4"/>
      <c r="CQY3" s="4"/>
      <c r="CQZ3" s="4"/>
      <c r="CRA3" s="4"/>
      <c r="CRB3" s="4"/>
      <c r="CRC3" s="4"/>
      <c r="CRD3" s="4"/>
      <c r="CRE3" s="4"/>
      <c r="CRF3" s="4"/>
      <c r="CRG3" s="4"/>
      <c r="CRH3" s="4"/>
      <c r="CRI3" s="4"/>
      <c r="CRJ3" s="4"/>
      <c r="CRK3" s="4"/>
      <c r="CRL3" s="4"/>
      <c r="CRM3" s="4"/>
      <c r="CRN3" s="4"/>
      <c r="CRO3" s="4"/>
      <c r="CRP3" s="4"/>
      <c r="CRQ3" s="4"/>
      <c r="CRR3" s="4"/>
      <c r="CRS3" s="4"/>
      <c r="CRT3" s="4"/>
      <c r="CRU3" s="4"/>
      <c r="CRV3" s="4"/>
      <c r="CRW3" s="4"/>
      <c r="CRX3" s="4"/>
      <c r="CRY3" s="4"/>
      <c r="CRZ3" s="4"/>
      <c r="CSA3" s="4"/>
      <c r="CSB3" s="4"/>
      <c r="CSC3" s="4"/>
      <c r="CSD3" s="4"/>
      <c r="CSE3" s="4"/>
      <c r="CSF3" s="4"/>
      <c r="CSG3" s="4"/>
      <c r="CSH3" s="4"/>
      <c r="CSI3" s="4"/>
      <c r="CSJ3" s="4"/>
      <c r="CSK3" s="4"/>
      <c r="CSL3" s="4"/>
      <c r="CSM3" s="4"/>
      <c r="CSN3" s="4"/>
      <c r="CSO3" s="4"/>
      <c r="CSP3" s="4"/>
      <c r="CSQ3" s="4"/>
      <c r="CSR3" s="4"/>
      <c r="CSS3" s="4"/>
      <c r="CST3" s="4"/>
      <c r="CSU3" s="4"/>
      <c r="CSV3" s="4"/>
      <c r="CSW3" s="4"/>
      <c r="CSX3" s="4"/>
      <c r="CSY3" s="4"/>
      <c r="CSZ3" s="4"/>
      <c r="CTA3" s="4"/>
      <c r="CTB3" s="4"/>
      <c r="CTC3" s="4"/>
      <c r="CTD3" s="4"/>
      <c r="CTE3" s="4"/>
      <c r="CTF3" s="4"/>
      <c r="CTG3" s="4"/>
      <c r="CTH3" s="4"/>
      <c r="CTI3" s="4"/>
      <c r="CTJ3" s="4"/>
      <c r="CTK3" s="4"/>
      <c r="CTL3" s="4"/>
      <c r="CTM3" s="4"/>
      <c r="CTN3" s="4"/>
      <c r="CTO3" s="4"/>
      <c r="CTP3" s="4"/>
      <c r="CTQ3" s="4"/>
      <c r="CTR3" s="4"/>
      <c r="CTS3" s="4"/>
      <c r="CTT3" s="4"/>
      <c r="CTU3" s="4"/>
      <c r="CTV3" s="4"/>
      <c r="CTW3" s="4"/>
      <c r="CTX3" s="4"/>
      <c r="CTY3" s="4"/>
      <c r="CTZ3" s="4"/>
      <c r="CUA3" s="4"/>
      <c r="CUB3" s="4"/>
      <c r="CUC3" s="4"/>
      <c r="CUD3" s="4"/>
      <c r="CUE3" s="4"/>
      <c r="CUF3" s="4"/>
      <c r="CUG3" s="4"/>
      <c r="CUH3" s="4"/>
      <c r="CUI3" s="4"/>
      <c r="CUJ3" s="4"/>
      <c r="CUK3" s="4"/>
      <c r="CUL3" s="4"/>
      <c r="CUM3" s="4"/>
      <c r="CUN3" s="4"/>
      <c r="CUO3" s="4"/>
      <c r="CUP3" s="4"/>
      <c r="CUQ3" s="4"/>
      <c r="CUR3" s="4"/>
      <c r="CUS3" s="4"/>
      <c r="CUT3" s="4"/>
      <c r="CUU3" s="4"/>
      <c r="CUV3" s="4"/>
      <c r="CUW3" s="4"/>
      <c r="CUX3" s="4"/>
      <c r="CUY3" s="4"/>
      <c r="CUZ3" s="4"/>
      <c r="CVA3" s="4"/>
      <c r="CVB3" s="4"/>
      <c r="CVC3" s="4"/>
      <c r="CVD3" s="4"/>
      <c r="CVE3" s="4"/>
      <c r="CVF3" s="4"/>
      <c r="CVG3" s="4"/>
      <c r="CVH3" s="4"/>
      <c r="CVI3" s="4"/>
      <c r="CVJ3" s="4"/>
      <c r="CVK3" s="4"/>
      <c r="CVL3" s="4"/>
      <c r="CVM3" s="4"/>
      <c r="CVN3" s="4"/>
      <c r="CVO3" s="4"/>
      <c r="CVP3" s="4"/>
      <c r="CVQ3" s="4"/>
      <c r="CVR3" s="4"/>
      <c r="CVS3" s="4"/>
      <c r="CVT3" s="4"/>
      <c r="CVU3" s="4"/>
      <c r="CVV3" s="4"/>
      <c r="CVW3" s="4"/>
      <c r="CVX3" s="4"/>
      <c r="CVY3" s="4"/>
      <c r="CVZ3" s="4"/>
      <c r="CWA3" s="4"/>
      <c r="CWB3" s="4"/>
      <c r="CWC3" s="4"/>
      <c r="CWD3" s="4"/>
      <c r="CWE3" s="4"/>
      <c r="CWF3" s="4"/>
      <c r="CWG3" s="4"/>
      <c r="CWH3" s="4"/>
      <c r="CWI3" s="4"/>
      <c r="CWJ3" s="4"/>
      <c r="CWK3" s="4"/>
      <c r="CWL3" s="4"/>
      <c r="CWM3" s="4"/>
      <c r="CWN3" s="4"/>
      <c r="CWO3" s="4"/>
      <c r="CWP3" s="4"/>
      <c r="CWQ3" s="4"/>
      <c r="CWR3" s="4"/>
      <c r="CWS3" s="4"/>
      <c r="CWT3" s="4"/>
      <c r="CWU3" s="4"/>
      <c r="CWV3" s="4"/>
      <c r="CWW3" s="4"/>
      <c r="CWX3" s="4"/>
      <c r="CWY3" s="4"/>
      <c r="CWZ3" s="4"/>
      <c r="CXA3" s="4"/>
      <c r="CXB3" s="4"/>
      <c r="CXC3" s="4"/>
      <c r="CXD3" s="4"/>
      <c r="CXE3" s="4"/>
      <c r="CXF3" s="4"/>
      <c r="CXG3" s="4"/>
      <c r="CXH3" s="4"/>
      <c r="CXI3" s="4"/>
      <c r="CXJ3" s="4"/>
      <c r="CXK3" s="4"/>
      <c r="CXL3" s="4"/>
      <c r="CXM3" s="4"/>
      <c r="CXN3" s="4"/>
      <c r="CXO3" s="4"/>
      <c r="CXP3" s="4"/>
      <c r="CXQ3" s="4"/>
      <c r="CXR3" s="4"/>
      <c r="CXS3" s="4"/>
      <c r="CXT3" s="4"/>
      <c r="CXU3" s="4"/>
      <c r="CXV3" s="4"/>
      <c r="CXW3" s="4"/>
      <c r="CXX3" s="4"/>
      <c r="CXY3" s="4"/>
      <c r="CXZ3" s="4"/>
      <c r="CYA3" s="4"/>
      <c r="CYB3" s="4"/>
      <c r="CYC3" s="4"/>
      <c r="CYD3" s="4"/>
      <c r="CYE3" s="4"/>
      <c r="CYF3" s="4"/>
      <c r="CYG3" s="4"/>
      <c r="CYH3" s="4"/>
      <c r="CYI3" s="4"/>
      <c r="CYJ3" s="4"/>
      <c r="CYK3" s="4"/>
      <c r="CYL3" s="4"/>
      <c r="CYM3" s="4"/>
      <c r="CYN3" s="4"/>
      <c r="CYO3" s="4"/>
      <c r="CYP3" s="4"/>
      <c r="CYQ3" s="4"/>
      <c r="CYR3" s="4"/>
      <c r="CYS3" s="4"/>
      <c r="CYT3" s="4"/>
      <c r="CYU3" s="4"/>
      <c r="CYV3" s="4"/>
      <c r="CYW3" s="4"/>
      <c r="CYX3" s="4"/>
      <c r="CYY3" s="4"/>
      <c r="CYZ3" s="4"/>
      <c r="CZA3" s="4"/>
      <c r="CZB3" s="4"/>
      <c r="CZC3" s="4"/>
      <c r="CZD3" s="4"/>
      <c r="CZE3" s="4"/>
      <c r="CZF3" s="4"/>
      <c r="CZG3" s="4"/>
      <c r="CZH3" s="4"/>
      <c r="CZI3" s="4"/>
      <c r="CZJ3" s="4"/>
      <c r="CZK3" s="4"/>
      <c r="CZL3" s="4"/>
      <c r="CZM3" s="4"/>
      <c r="CZN3" s="4"/>
      <c r="CZO3" s="4"/>
      <c r="CZP3" s="4"/>
      <c r="CZQ3" s="4"/>
      <c r="CZR3" s="4"/>
      <c r="CZS3" s="4"/>
      <c r="CZT3" s="4"/>
      <c r="CZU3" s="4"/>
      <c r="CZV3" s="4"/>
      <c r="CZW3" s="4"/>
      <c r="CZX3" s="4"/>
      <c r="CZY3" s="4"/>
      <c r="CZZ3" s="4"/>
      <c r="DAA3" s="4"/>
      <c r="DAB3" s="4"/>
      <c r="DAC3" s="4"/>
      <c r="DAD3" s="4"/>
      <c r="DAE3" s="4"/>
      <c r="DAF3" s="4"/>
      <c r="DAG3" s="4"/>
      <c r="DAH3" s="4"/>
      <c r="DAI3" s="4"/>
      <c r="DAJ3" s="4"/>
      <c r="DAK3" s="4"/>
      <c r="DAL3" s="4"/>
      <c r="DAM3" s="4"/>
      <c r="DAN3" s="4"/>
      <c r="DAO3" s="4"/>
      <c r="DAP3" s="4"/>
      <c r="DAQ3" s="4"/>
      <c r="DAR3" s="4"/>
      <c r="DAS3" s="4"/>
      <c r="DAT3" s="4"/>
      <c r="DAU3" s="4"/>
      <c r="DAV3" s="4"/>
      <c r="DAW3" s="4"/>
      <c r="DAX3" s="4"/>
      <c r="DAY3" s="4"/>
      <c r="DAZ3" s="4"/>
      <c r="DBA3" s="4"/>
      <c r="DBB3" s="4"/>
      <c r="DBC3" s="4"/>
      <c r="DBD3" s="4"/>
      <c r="DBE3" s="4"/>
      <c r="DBF3" s="4"/>
      <c r="DBG3" s="4"/>
      <c r="DBH3" s="4"/>
      <c r="DBI3" s="4"/>
      <c r="DBJ3" s="4"/>
      <c r="DBK3" s="4"/>
      <c r="DBL3" s="4"/>
      <c r="DBM3" s="4"/>
      <c r="DBN3" s="4"/>
      <c r="DBO3" s="4"/>
      <c r="DBP3" s="4"/>
      <c r="DBQ3" s="4"/>
      <c r="DBR3" s="4"/>
      <c r="DBS3" s="4"/>
      <c r="DBT3" s="4"/>
      <c r="DBU3" s="4"/>
      <c r="DBV3" s="4"/>
      <c r="DBW3" s="4"/>
      <c r="DBX3" s="4"/>
      <c r="DBY3" s="4"/>
      <c r="DBZ3" s="4"/>
      <c r="DCA3" s="4"/>
      <c r="DCB3" s="4"/>
      <c r="DCC3" s="4"/>
      <c r="DCD3" s="4"/>
      <c r="DCE3" s="4"/>
      <c r="DCF3" s="4"/>
      <c r="DCG3" s="4"/>
      <c r="DCH3" s="4"/>
      <c r="DCI3" s="4"/>
      <c r="DCJ3" s="4"/>
      <c r="DCK3" s="4"/>
      <c r="DCL3" s="4"/>
      <c r="DCM3" s="4"/>
      <c r="DCN3" s="4"/>
      <c r="DCO3" s="4"/>
      <c r="DCP3" s="4"/>
      <c r="DCQ3" s="4"/>
      <c r="DCR3" s="4"/>
      <c r="DCS3" s="4"/>
      <c r="DCT3" s="4"/>
      <c r="DCU3" s="4"/>
      <c r="DCV3" s="4"/>
      <c r="DCW3" s="4"/>
      <c r="DCX3" s="4"/>
      <c r="DCY3" s="4"/>
      <c r="DCZ3" s="4"/>
      <c r="DDA3" s="4"/>
      <c r="DDB3" s="4"/>
      <c r="DDC3" s="4"/>
      <c r="DDD3" s="4"/>
      <c r="DDE3" s="4"/>
      <c r="DDF3" s="4"/>
      <c r="DDG3" s="4"/>
      <c r="DDH3" s="4"/>
      <c r="DDI3" s="4"/>
      <c r="DDJ3" s="4"/>
      <c r="DDK3" s="4"/>
      <c r="DDL3" s="4"/>
      <c r="DDM3" s="4"/>
      <c r="DDN3" s="4"/>
      <c r="DDO3" s="4"/>
      <c r="DDP3" s="4"/>
      <c r="DDQ3" s="4"/>
      <c r="DDR3" s="4"/>
      <c r="DDS3" s="4"/>
      <c r="DDT3" s="4"/>
      <c r="DDU3" s="4"/>
      <c r="DDV3" s="4"/>
      <c r="DDW3" s="4"/>
      <c r="DDX3" s="4"/>
      <c r="DDY3" s="4"/>
      <c r="DDZ3" s="4"/>
      <c r="DEA3" s="4"/>
      <c r="DEB3" s="4"/>
      <c r="DEC3" s="4"/>
      <c r="DED3" s="4"/>
      <c r="DEE3" s="4"/>
      <c r="DEF3" s="4"/>
      <c r="DEG3" s="4"/>
      <c r="DEH3" s="4"/>
      <c r="DEI3" s="4"/>
      <c r="DEJ3" s="4"/>
      <c r="DEK3" s="4"/>
      <c r="DEL3" s="4"/>
      <c r="DEM3" s="4"/>
      <c r="DEN3" s="4"/>
      <c r="DEO3" s="4"/>
      <c r="DEP3" s="4"/>
      <c r="DEQ3" s="4"/>
      <c r="DER3" s="4"/>
      <c r="DES3" s="4"/>
      <c r="DET3" s="4"/>
      <c r="DEU3" s="4"/>
      <c r="DEV3" s="4"/>
      <c r="DEW3" s="4"/>
      <c r="DEX3" s="4"/>
      <c r="DEY3" s="4"/>
      <c r="DEZ3" s="4"/>
      <c r="DFA3" s="4"/>
      <c r="DFB3" s="4"/>
      <c r="DFC3" s="4"/>
      <c r="DFD3" s="4"/>
      <c r="DFE3" s="4"/>
      <c r="DFF3" s="4"/>
      <c r="DFG3" s="4"/>
      <c r="DFH3" s="4"/>
      <c r="DFI3" s="4"/>
      <c r="DFJ3" s="4"/>
      <c r="DFK3" s="4"/>
      <c r="DFL3" s="4"/>
      <c r="DFM3" s="4"/>
      <c r="DFN3" s="4"/>
      <c r="DFO3" s="4"/>
      <c r="DFP3" s="4"/>
      <c r="DFQ3" s="4"/>
      <c r="DFR3" s="4"/>
      <c r="DFS3" s="4"/>
      <c r="DFT3" s="4"/>
      <c r="DFU3" s="4"/>
      <c r="DFV3" s="4"/>
      <c r="DFW3" s="4"/>
      <c r="DFX3" s="4"/>
      <c r="DFY3" s="4"/>
      <c r="DFZ3" s="4"/>
      <c r="DGA3" s="4"/>
      <c r="DGB3" s="4"/>
      <c r="DGC3" s="4"/>
      <c r="DGD3" s="4"/>
      <c r="DGE3" s="4"/>
      <c r="DGF3" s="4"/>
      <c r="DGG3" s="4"/>
      <c r="DGH3" s="4"/>
      <c r="DGI3" s="4"/>
      <c r="DGJ3" s="4"/>
      <c r="DGK3" s="4"/>
      <c r="DGL3" s="4"/>
      <c r="DGM3" s="4"/>
      <c r="DGN3" s="4"/>
      <c r="DGO3" s="4"/>
      <c r="DGP3" s="4"/>
      <c r="DGQ3" s="4"/>
      <c r="DGR3" s="4"/>
      <c r="DGS3" s="4"/>
      <c r="DGT3" s="4"/>
      <c r="DGU3" s="4"/>
      <c r="DGV3" s="4"/>
      <c r="DGW3" s="4"/>
      <c r="DGX3" s="4"/>
      <c r="DGY3" s="4"/>
      <c r="DGZ3" s="4"/>
      <c r="DHA3" s="4"/>
      <c r="DHB3" s="4"/>
      <c r="DHC3" s="4"/>
      <c r="DHD3" s="4"/>
      <c r="DHE3" s="4"/>
      <c r="DHF3" s="4"/>
      <c r="DHG3" s="4"/>
      <c r="DHH3" s="4"/>
      <c r="DHI3" s="4"/>
      <c r="DHJ3" s="4"/>
      <c r="DHK3" s="4"/>
      <c r="DHL3" s="4"/>
      <c r="DHM3" s="4"/>
      <c r="DHN3" s="4"/>
      <c r="DHO3" s="4"/>
      <c r="DHP3" s="4"/>
      <c r="DHQ3" s="4"/>
      <c r="DHR3" s="4"/>
      <c r="DHS3" s="4"/>
      <c r="DHT3" s="4"/>
      <c r="DHU3" s="4"/>
      <c r="DHV3" s="4"/>
      <c r="DHW3" s="4"/>
      <c r="DHX3" s="4"/>
      <c r="DHY3" s="4"/>
      <c r="DHZ3" s="4"/>
      <c r="DIA3" s="4"/>
      <c r="DIB3" s="4"/>
      <c r="DIC3" s="4"/>
      <c r="DID3" s="4"/>
      <c r="DIE3" s="4"/>
      <c r="DIF3" s="4"/>
      <c r="DIG3" s="4"/>
      <c r="DIH3" s="4"/>
      <c r="DII3" s="4"/>
      <c r="DIJ3" s="4"/>
      <c r="DIK3" s="4"/>
      <c r="DIL3" s="4"/>
      <c r="DIM3" s="4"/>
      <c r="DIN3" s="4"/>
      <c r="DIO3" s="4"/>
      <c r="DIP3" s="4"/>
      <c r="DIQ3" s="4"/>
      <c r="DIR3" s="4"/>
      <c r="DIS3" s="4"/>
      <c r="DIT3" s="4"/>
      <c r="DIU3" s="4"/>
      <c r="DIV3" s="4"/>
      <c r="DIW3" s="4"/>
      <c r="DIX3" s="4"/>
      <c r="DIY3" s="4"/>
      <c r="DIZ3" s="4"/>
      <c r="DJA3" s="4"/>
      <c r="DJB3" s="4"/>
      <c r="DJC3" s="4"/>
      <c r="DJD3" s="4"/>
      <c r="DJE3" s="4"/>
      <c r="DJF3" s="4"/>
      <c r="DJG3" s="4"/>
      <c r="DJH3" s="4"/>
      <c r="DJI3" s="4"/>
      <c r="DJJ3" s="4"/>
      <c r="DJK3" s="4"/>
      <c r="DJL3" s="4"/>
      <c r="DJM3" s="4"/>
      <c r="DJN3" s="4"/>
      <c r="DJO3" s="4"/>
      <c r="DJP3" s="4"/>
      <c r="DJQ3" s="4"/>
      <c r="DJR3" s="4"/>
      <c r="DJS3" s="4"/>
      <c r="DJT3" s="4"/>
      <c r="DJU3" s="4"/>
      <c r="DJV3" s="4"/>
      <c r="DJW3" s="4"/>
      <c r="DJX3" s="4"/>
      <c r="DJY3" s="4"/>
      <c r="DJZ3" s="4"/>
      <c r="DKA3" s="4"/>
      <c r="DKB3" s="4"/>
      <c r="DKC3" s="4"/>
      <c r="DKD3" s="4"/>
      <c r="DKE3" s="4"/>
      <c r="DKF3" s="4"/>
      <c r="DKG3" s="4"/>
      <c r="DKH3" s="4"/>
      <c r="DKI3" s="4"/>
      <c r="DKJ3" s="4"/>
      <c r="DKK3" s="4"/>
      <c r="DKL3" s="4"/>
      <c r="DKM3" s="4"/>
      <c r="DKN3" s="4"/>
      <c r="DKO3" s="4"/>
      <c r="DKP3" s="4"/>
      <c r="DKQ3" s="4"/>
      <c r="DKR3" s="4"/>
      <c r="DKS3" s="4"/>
      <c r="DKT3" s="4"/>
      <c r="DKU3" s="4"/>
      <c r="DKV3" s="4"/>
      <c r="DKW3" s="4"/>
      <c r="DKX3" s="4"/>
      <c r="DKY3" s="4"/>
      <c r="DKZ3" s="4"/>
      <c r="DLA3" s="4"/>
      <c r="DLB3" s="4"/>
      <c r="DLC3" s="4"/>
      <c r="DLD3" s="4"/>
      <c r="DLE3" s="4"/>
      <c r="DLF3" s="4"/>
      <c r="DLG3" s="4"/>
      <c r="DLH3" s="4"/>
      <c r="DLI3" s="4"/>
      <c r="DLJ3" s="4"/>
      <c r="DLK3" s="4"/>
      <c r="DLL3" s="4"/>
      <c r="DLM3" s="4"/>
      <c r="DLN3" s="4"/>
      <c r="DLO3" s="4"/>
      <c r="DLP3" s="4"/>
      <c r="DLQ3" s="4"/>
      <c r="DLR3" s="4"/>
      <c r="DLS3" s="4"/>
      <c r="DLT3" s="4"/>
      <c r="DLU3" s="4"/>
      <c r="DLV3" s="4"/>
      <c r="DLW3" s="4"/>
      <c r="DLX3" s="4"/>
      <c r="DLY3" s="4"/>
      <c r="DLZ3" s="4"/>
      <c r="DMA3" s="4"/>
      <c r="DMB3" s="4"/>
      <c r="DMC3" s="4"/>
      <c r="DMD3" s="4"/>
      <c r="DME3" s="4"/>
      <c r="DMF3" s="4"/>
      <c r="DMG3" s="4"/>
      <c r="DMH3" s="4"/>
      <c r="DMI3" s="4"/>
      <c r="DMJ3" s="4"/>
      <c r="DMK3" s="4"/>
      <c r="DML3" s="4"/>
      <c r="DMM3" s="4"/>
      <c r="DMN3" s="4"/>
      <c r="DMO3" s="4"/>
      <c r="DMP3" s="4"/>
      <c r="DMQ3" s="4"/>
      <c r="DMR3" s="4"/>
      <c r="DMS3" s="4"/>
      <c r="DMT3" s="4"/>
      <c r="DMU3" s="4"/>
      <c r="DMV3" s="4"/>
      <c r="DMW3" s="4"/>
      <c r="DMX3" s="4"/>
      <c r="DMY3" s="4"/>
      <c r="DMZ3" s="4"/>
      <c r="DNA3" s="4"/>
      <c r="DNB3" s="4"/>
      <c r="DNC3" s="4"/>
      <c r="DND3" s="4"/>
      <c r="DNE3" s="4"/>
      <c r="DNF3" s="4"/>
      <c r="DNG3" s="4"/>
      <c r="DNH3" s="4"/>
      <c r="DNI3" s="4"/>
      <c r="DNJ3" s="4"/>
      <c r="DNK3" s="4"/>
      <c r="DNL3" s="4"/>
      <c r="DNM3" s="4"/>
      <c r="DNN3" s="4"/>
      <c r="DNO3" s="4"/>
      <c r="DNP3" s="4"/>
      <c r="DNQ3" s="4"/>
      <c r="DNR3" s="4"/>
      <c r="DNS3" s="4"/>
      <c r="DNT3" s="4"/>
      <c r="DNU3" s="4"/>
      <c r="DNV3" s="4"/>
      <c r="DNW3" s="4"/>
      <c r="DNX3" s="4"/>
      <c r="DNY3" s="4"/>
      <c r="DNZ3" s="4"/>
      <c r="DOA3" s="4"/>
      <c r="DOB3" s="4"/>
      <c r="DOC3" s="4"/>
      <c r="DOD3" s="4"/>
      <c r="DOE3" s="4"/>
      <c r="DOF3" s="4"/>
      <c r="DOG3" s="4"/>
      <c r="DOH3" s="4"/>
      <c r="DOI3" s="4"/>
      <c r="DOJ3" s="4"/>
      <c r="DOK3" s="4"/>
      <c r="DOL3" s="4"/>
      <c r="DOM3" s="4"/>
      <c r="DON3" s="4"/>
      <c r="DOO3" s="4"/>
      <c r="DOP3" s="4"/>
      <c r="DOQ3" s="4"/>
      <c r="DOR3" s="4"/>
      <c r="DOS3" s="4"/>
      <c r="DOT3" s="4"/>
      <c r="DOU3" s="4"/>
      <c r="DOV3" s="4"/>
      <c r="DOW3" s="4"/>
      <c r="DOX3" s="4"/>
      <c r="DOY3" s="4"/>
      <c r="DOZ3" s="4"/>
      <c r="DPA3" s="4"/>
      <c r="DPB3" s="4"/>
      <c r="DPC3" s="4"/>
      <c r="DPD3" s="4"/>
      <c r="DPE3" s="4"/>
      <c r="DPF3" s="4"/>
      <c r="DPG3" s="4"/>
      <c r="DPH3" s="4"/>
      <c r="DPI3" s="4"/>
      <c r="DPJ3" s="4"/>
      <c r="DPK3" s="4"/>
      <c r="DPL3" s="4"/>
      <c r="DPM3" s="4"/>
      <c r="DPN3" s="4"/>
      <c r="DPO3" s="4"/>
      <c r="DPP3" s="4"/>
      <c r="DPQ3" s="4"/>
      <c r="DPR3" s="4"/>
      <c r="DPS3" s="4"/>
      <c r="DPT3" s="4"/>
      <c r="DPU3" s="4"/>
      <c r="DPV3" s="4"/>
      <c r="DPW3" s="4"/>
      <c r="DPX3" s="4"/>
      <c r="DPY3" s="4"/>
      <c r="DPZ3" s="4"/>
      <c r="DQA3" s="4"/>
      <c r="DQB3" s="4"/>
      <c r="DQC3" s="4"/>
      <c r="DQD3" s="4"/>
      <c r="DQE3" s="4"/>
      <c r="DQF3" s="4"/>
      <c r="DQG3" s="4"/>
      <c r="DQH3" s="4"/>
      <c r="DQI3" s="4"/>
      <c r="DQJ3" s="4"/>
      <c r="DQK3" s="4"/>
      <c r="DQL3" s="4"/>
      <c r="DQM3" s="4"/>
      <c r="DQN3" s="4"/>
      <c r="DQO3" s="4"/>
      <c r="DQP3" s="4"/>
      <c r="DQQ3" s="4"/>
      <c r="DQR3" s="4"/>
      <c r="DQS3" s="4"/>
      <c r="DQT3" s="4"/>
      <c r="DQU3" s="4"/>
      <c r="DQV3" s="4"/>
      <c r="DQW3" s="4"/>
      <c r="DQX3" s="4"/>
      <c r="DQY3" s="4"/>
      <c r="DQZ3" s="4"/>
      <c r="DRA3" s="4"/>
      <c r="DRB3" s="4"/>
      <c r="DRC3" s="4"/>
      <c r="DRD3" s="4"/>
      <c r="DRE3" s="4"/>
      <c r="DRF3" s="4"/>
      <c r="DRG3" s="4"/>
      <c r="DRH3" s="4"/>
      <c r="DRI3" s="4"/>
      <c r="DRJ3" s="4"/>
      <c r="DRK3" s="4"/>
      <c r="DRL3" s="4"/>
      <c r="DRM3" s="4"/>
      <c r="DRN3" s="4"/>
      <c r="DRO3" s="4"/>
      <c r="DRP3" s="4"/>
      <c r="DRQ3" s="4"/>
      <c r="DRR3" s="4"/>
      <c r="DRS3" s="4"/>
      <c r="DRT3" s="4"/>
      <c r="DRU3" s="4"/>
      <c r="DRV3" s="4"/>
      <c r="DRW3" s="4"/>
      <c r="DRX3" s="4"/>
      <c r="DRY3" s="4"/>
      <c r="DRZ3" s="4"/>
      <c r="DSA3" s="4"/>
      <c r="DSB3" s="4"/>
      <c r="DSC3" s="4"/>
      <c r="DSD3" s="4"/>
      <c r="DSE3" s="4"/>
      <c r="DSF3" s="4"/>
      <c r="DSG3" s="4"/>
      <c r="DSH3" s="4"/>
      <c r="DSI3" s="4"/>
      <c r="DSJ3" s="4"/>
      <c r="DSK3" s="4"/>
      <c r="DSL3" s="4"/>
      <c r="DSM3" s="4"/>
      <c r="DSN3" s="4"/>
      <c r="DSO3" s="4"/>
      <c r="DSP3" s="4"/>
      <c r="DSQ3" s="4"/>
      <c r="DSR3" s="4"/>
      <c r="DSS3" s="4"/>
      <c r="DST3" s="4"/>
      <c r="DSU3" s="4"/>
      <c r="DSV3" s="4"/>
      <c r="DSW3" s="4"/>
      <c r="DSX3" s="4"/>
      <c r="DSY3" s="4"/>
      <c r="DSZ3" s="4"/>
      <c r="DTA3" s="4"/>
      <c r="DTB3" s="4"/>
      <c r="DTC3" s="4"/>
      <c r="DTD3" s="4"/>
      <c r="DTE3" s="4"/>
      <c r="DTF3" s="4"/>
      <c r="DTG3" s="4"/>
      <c r="DTH3" s="4"/>
      <c r="DTI3" s="4"/>
      <c r="DTJ3" s="4"/>
      <c r="DTK3" s="4"/>
      <c r="DTL3" s="4"/>
      <c r="DTM3" s="4"/>
      <c r="DTN3" s="4"/>
      <c r="DTO3" s="4"/>
      <c r="DTP3" s="4"/>
      <c r="DTQ3" s="4"/>
      <c r="DTR3" s="4"/>
      <c r="DTS3" s="4"/>
      <c r="DTT3" s="4"/>
      <c r="DTU3" s="4"/>
      <c r="DTV3" s="4"/>
      <c r="DTW3" s="4"/>
      <c r="DTX3" s="4"/>
      <c r="DTY3" s="4"/>
      <c r="DTZ3" s="4"/>
      <c r="DUA3" s="4"/>
      <c r="DUB3" s="4"/>
      <c r="DUC3" s="4"/>
      <c r="DUD3" s="4"/>
      <c r="DUE3" s="4"/>
      <c r="DUF3" s="4"/>
      <c r="DUG3" s="4"/>
      <c r="DUH3" s="4"/>
      <c r="DUI3" s="4"/>
      <c r="DUJ3" s="4"/>
      <c r="DUK3" s="4"/>
      <c r="DUL3" s="4"/>
      <c r="DUM3" s="4"/>
      <c r="DUN3" s="4"/>
      <c r="DUO3" s="4"/>
      <c r="DUP3" s="4"/>
      <c r="DUQ3" s="4"/>
      <c r="DUR3" s="4"/>
      <c r="DUS3" s="4"/>
      <c r="DUT3" s="4"/>
      <c r="DUU3" s="4"/>
      <c r="DUV3" s="4"/>
      <c r="DUW3" s="4"/>
      <c r="DUX3" s="4"/>
      <c r="DUY3" s="4"/>
      <c r="DUZ3" s="4"/>
      <c r="DVA3" s="4"/>
      <c r="DVB3" s="4"/>
      <c r="DVC3" s="4"/>
      <c r="DVD3" s="4"/>
      <c r="DVE3" s="4"/>
      <c r="DVF3" s="4"/>
      <c r="DVG3" s="4"/>
      <c r="DVH3" s="4"/>
      <c r="DVI3" s="4"/>
      <c r="DVJ3" s="4"/>
      <c r="DVK3" s="4"/>
      <c r="DVL3" s="4"/>
      <c r="DVM3" s="4"/>
      <c r="DVN3" s="4"/>
      <c r="DVO3" s="4"/>
      <c r="DVP3" s="4"/>
      <c r="DVQ3" s="4"/>
      <c r="DVR3" s="4"/>
      <c r="DVS3" s="4"/>
      <c r="DVT3" s="4"/>
      <c r="DVU3" s="4"/>
      <c r="DVV3" s="4"/>
      <c r="DVW3" s="4"/>
      <c r="DVX3" s="4"/>
      <c r="DVY3" s="4"/>
      <c r="DVZ3" s="4"/>
      <c r="DWA3" s="4"/>
      <c r="DWB3" s="4"/>
      <c r="DWC3" s="4"/>
      <c r="DWD3" s="4"/>
      <c r="DWE3" s="4"/>
      <c r="DWF3" s="4"/>
      <c r="DWG3" s="4"/>
      <c r="DWH3" s="4"/>
      <c r="DWI3" s="4"/>
      <c r="DWJ3" s="4"/>
      <c r="DWK3" s="4"/>
      <c r="DWL3" s="4"/>
      <c r="DWM3" s="4"/>
      <c r="DWN3" s="4"/>
      <c r="DWO3" s="4"/>
      <c r="DWP3" s="4"/>
      <c r="DWQ3" s="4"/>
      <c r="DWR3" s="4"/>
      <c r="DWS3" s="4"/>
      <c r="DWT3" s="4"/>
      <c r="DWU3" s="4"/>
      <c r="DWV3" s="4"/>
      <c r="DWW3" s="4"/>
      <c r="DWX3" s="4"/>
      <c r="DWY3" s="4"/>
      <c r="DWZ3" s="4"/>
      <c r="DXA3" s="4"/>
      <c r="DXB3" s="4"/>
      <c r="DXC3" s="4"/>
      <c r="DXD3" s="4"/>
      <c r="DXE3" s="4"/>
      <c r="DXF3" s="4"/>
      <c r="DXG3" s="4"/>
      <c r="DXH3" s="4"/>
      <c r="DXI3" s="4"/>
      <c r="DXJ3" s="4"/>
      <c r="DXK3" s="4"/>
      <c r="DXL3" s="4"/>
      <c r="DXM3" s="4"/>
      <c r="DXN3" s="4"/>
      <c r="DXO3" s="4"/>
      <c r="DXP3" s="4"/>
      <c r="DXQ3" s="4"/>
      <c r="DXR3" s="4"/>
      <c r="DXS3" s="4"/>
      <c r="DXT3" s="4"/>
      <c r="DXU3" s="4"/>
      <c r="DXV3" s="4"/>
      <c r="DXW3" s="4"/>
      <c r="DXX3" s="4"/>
      <c r="DXY3" s="4"/>
      <c r="DXZ3" s="4"/>
      <c r="DYA3" s="4"/>
      <c r="DYB3" s="4"/>
      <c r="DYC3" s="4"/>
      <c r="DYD3" s="4"/>
      <c r="DYE3" s="4"/>
      <c r="DYF3" s="4"/>
      <c r="DYG3" s="4"/>
      <c r="DYH3" s="4"/>
      <c r="DYI3" s="4"/>
      <c r="DYJ3" s="4"/>
      <c r="DYK3" s="4"/>
      <c r="DYL3" s="4"/>
      <c r="DYM3" s="4"/>
      <c r="DYN3" s="4"/>
      <c r="DYO3" s="4"/>
      <c r="DYP3" s="4"/>
      <c r="DYQ3" s="4"/>
      <c r="DYR3" s="4"/>
      <c r="DYS3" s="4"/>
      <c r="DYT3" s="4"/>
      <c r="DYU3" s="4"/>
      <c r="DYV3" s="4"/>
      <c r="DYW3" s="4"/>
      <c r="DYX3" s="4"/>
      <c r="DYY3" s="4"/>
      <c r="DYZ3" s="4"/>
      <c r="DZA3" s="4"/>
      <c r="DZB3" s="4"/>
      <c r="DZC3" s="4"/>
      <c r="DZD3" s="4"/>
      <c r="DZE3" s="4"/>
      <c r="DZF3" s="4"/>
      <c r="DZG3" s="4"/>
      <c r="DZH3" s="4"/>
      <c r="DZI3" s="4"/>
      <c r="DZJ3" s="4"/>
      <c r="DZK3" s="4"/>
      <c r="DZL3" s="4"/>
      <c r="DZM3" s="4"/>
      <c r="DZN3" s="4"/>
      <c r="DZO3" s="4"/>
      <c r="DZP3" s="4"/>
      <c r="DZQ3" s="4"/>
      <c r="DZR3" s="4"/>
      <c r="DZS3" s="4"/>
      <c r="DZT3" s="4"/>
      <c r="DZU3" s="4"/>
      <c r="DZV3" s="4"/>
      <c r="DZW3" s="4"/>
      <c r="DZX3" s="4"/>
      <c r="DZY3" s="4"/>
      <c r="DZZ3" s="4"/>
      <c r="EAA3" s="4"/>
      <c r="EAB3" s="4"/>
      <c r="EAC3" s="4"/>
      <c r="EAD3" s="4"/>
      <c r="EAE3" s="4"/>
      <c r="EAF3" s="4"/>
      <c r="EAG3" s="4"/>
      <c r="EAH3" s="4"/>
      <c r="EAI3" s="4"/>
      <c r="EAJ3" s="4"/>
      <c r="EAK3" s="4"/>
      <c r="EAL3" s="4"/>
      <c r="EAM3" s="4"/>
      <c r="EAN3" s="4"/>
      <c r="EAO3" s="4"/>
      <c r="EAP3" s="4"/>
      <c r="EAQ3" s="4"/>
      <c r="EAR3" s="4"/>
      <c r="EAS3" s="4"/>
      <c r="EAT3" s="4"/>
      <c r="EAU3" s="4"/>
      <c r="EAV3" s="4"/>
      <c r="EAW3" s="4"/>
      <c r="EAX3" s="4"/>
      <c r="EAY3" s="4"/>
      <c r="EAZ3" s="4"/>
      <c r="EBA3" s="4"/>
      <c r="EBB3" s="4"/>
      <c r="EBC3" s="4"/>
      <c r="EBD3" s="4"/>
      <c r="EBE3" s="4"/>
      <c r="EBF3" s="4"/>
      <c r="EBG3" s="4"/>
      <c r="EBH3" s="4"/>
      <c r="EBI3" s="4"/>
      <c r="EBJ3" s="4"/>
      <c r="EBK3" s="4"/>
      <c r="EBL3" s="4"/>
      <c r="EBM3" s="4"/>
      <c r="EBN3" s="4"/>
      <c r="EBO3" s="4"/>
      <c r="EBP3" s="4"/>
      <c r="EBQ3" s="4"/>
      <c r="EBR3" s="4"/>
      <c r="EBS3" s="4"/>
      <c r="EBT3" s="4"/>
      <c r="EBU3" s="4"/>
      <c r="EBV3" s="4"/>
      <c r="EBW3" s="4"/>
      <c r="EBX3" s="4"/>
      <c r="EBY3" s="4"/>
      <c r="EBZ3" s="4"/>
      <c r="ECA3" s="4"/>
      <c r="ECB3" s="4"/>
      <c r="ECC3" s="4"/>
      <c r="ECD3" s="4"/>
      <c r="ECE3" s="4"/>
      <c r="ECF3" s="4"/>
      <c r="ECG3" s="4"/>
      <c r="ECH3" s="4"/>
      <c r="ECI3" s="4"/>
      <c r="ECJ3" s="4"/>
      <c r="ECK3" s="4"/>
      <c r="ECL3" s="4"/>
      <c r="ECM3" s="4"/>
      <c r="ECN3" s="4"/>
      <c r="ECO3" s="4"/>
      <c r="ECP3" s="4"/>
      <c r="ECQ3" s="4"/>
      <c r="ECR3" s="4"/>
      <c r="ECS3" s="4"/>
      <c r="ECT3" s="4"/>
      <c r="ECU3" s="4"/>
      <c r="ECV3" s="4"/>
      <c r="ECW3" s="4"/>
      <c r="ECX3" s="4"/>
      <c r="ECY3" s="4"/>
      <c r="ECZ3" s="4"/>
      <c r="EDA3" s="4"/>
      <c r="EDB3" s="4"/>
      <c r="EDC3" s="4"/>
      <c r="EDD3" s="4"/>
      <c r="EDE3" s="4"/>
      <c r="EDF3" s="4"/>
      <c r="EDG3" s="4"/>
      <c r="EDH3" s="4"/>
      <c r="EDI3" s="4"/>
      <c r="EDJ3" s="4"/>
      <c r="EDK3" s="4"/>
      <c r="EDL3" s="4"/>
      <c r="EDM3" s="4"/>
      <c r="EDN3" s="4"/>
      <c r="EDO3" s="4"/>
      <c r="EDP3" s="4"/>
      <c r="EDQ3" s="4"/>
      <c r="EDR3" s="4"/>
      <c r="EDS3" s="4"/>
      <c r="EDT3" s="4"/>
      <c r="EDU3" s="4"/>
      <c r="EDV3" s="4"/>
      <c r="EDW3" s="4"/>
      <c r="EDX3" s="4"/>
      <c r="EDY3" s="4"/>
      <c r="EDZ3" s="4"/>
      <c r="EEA3" s="4"/>
      <c r="EEB3" s="4"/>
      <c r="EEC3" s="4"/>
      <c r="EED3" s="4"/>
      <c r="EEE3" s="4"/>
      <c r="EEF3" s="4"/>
      <c r="EEG3" s="4"/>
      <c r="EEH3" s="4"/>
      <c r="EEI3" s="4"/>
      <c r="EEJ3" s="4"/>
      <c r="EEK3" s="4"/>
      <c r="EEL3" s="4"/>
      <c r="EEM3" s="4"/>
      <c r="EEN3" s="4"/>
      <c r="EEO3" s="4"/>
      <c r="EEP3" s="4"/>
      <c r="EEQ3" s="4"/>
      <c r="EER3" s="4"/>
      <c r="EES3" s="4"/>
      <c r="EET3" s="4"/>
      <c r="EEU3" s="4"/>
      <c r="EEV3" s="4"/>
      <c r="EEW3" s="4"/>
      <c r="EEX3" s="4"/>
      <c r="EEY3" s="4"/>
      <c r="EEZ3" s="4"/>
      <c r="EFA3" s="4"/>
      <c r="EFB3" s="4"/>
      <c r="EFC3" s="4"/>
      <c r="EFD3" s="4"/>
      <c r="EFE3" s="4"/>
      <c r="EFF3" s="4"/>
      <c r="EFG3" s="4"/>
      <c r="EFH3" s="4"/>
      <c r="EFI3" s="4"/>
      <c r="EFJ3" s="4"/>
      <c r="EFK3" s="4"/>
      <c r="EFL3" s="4"/>
      <c r="EFM3" s="4"/>
      <c r="EFN3" s="4"/>
      <c r="EFO3" s="4"/>
      <c r="EFP3" s="4"/>
      <c r="EFQ3" s="4"/>
      <c r="EFR3" s="4"/>
      <c r="EFS3" s="4"/>
      <c r="EFT3" s="4"/>
      <c r="EFU3" s="4"/>
      <c r="EFV3" s="4"/>
      <c r="EFW3" s="4"/>
      <c r="EFX3" s="4"/>
      <c r="EFY3" s="4"/>
      <c r="EFZ3" s="4"/>
      <c r="EGA3" s="4"/>
      <c r="EGB3" s="4"/>
      <c r="EGC3" s="4"/>
      <c r="EGD3" s="4"/>
      <c r="EGE3" s="4"/>
      <c r="EGF3" s="4"/>
      <c r="EGG3" s="4"/>
      <c r="EGH3" s="4"/>
      <c r="EGI3" s="4"/>
      <c r="EGJ3" s="4"/>
      <c r="EGK3" s="4"/>
      <c r="EGL3" s="4"/>
      <c r="EGM3" s="4"/>
      <c r="EGN3" s="4"/>
      <c r="EGO3" s="4"/>
      <c r="EGP3" s="4"/>
      <c r="EGQ3" s="4"/>
      <c r="EGR3" s="4"/>
      <c r="EGS3" s="4"/>
      <c r="EGT3" s="4"/>
      <c r="EGU3" s="4"/>
      <c r="EGV3" s="4"/>
      <c r="EGW3" s="4"/>
      <c r="EGX3" s="4"/>
      <c r="EGY3" s="4"/>
      <c r="EGZ3" s="4"/>
      <c r="EHA3" s="4"/>
      <c r="EHB3" s="4"/>
      <c r="EHC3" s="4"/>
      <c r="EHD3" s="4"/>
      <c r="EHE3" s="4"/>
      <c r="EHF3" s="4"/>
      <c r="EHG3" s="4"/>
      <c r="EHH3" s="4"/>
      <c r="EHI3" s="4"/>
      <c r="EHJ3" s="4"/>
      <c r="EHK3" s="4"/>
      <c r="EHL3" s="4"/>
      <c r="EHM3" s="4"/>
      <c r="EHN3" s="4"/>
      <c r="EHO3" s="4"/>
      <c r="EHP3" s="4"/>
      <c r="EHQ3" s="4"/>
      <c r="EHR3" s="4"/>
      <c r="EHS3" s="4"/>
      <c r="EHT3" s="4"/>
      <c r="EHU3" s="4"/>
      <c r="EHV3" s="4"/>
      <c r="EHW3" s="4"/>
      <c r="EHX3" s="4"/>
      <c r="EHY3" s="4"/>
      <c r="EHZ3" s="4"/>
      <c r="EIA3" s="4"/>
      <c r="EIB3" s="4"/>
      <c r="EIC3" s="4"/>
      <c r="EID3" s="4"/>
      <c r="EIE3" s="4"/>
      <c r="EIF3" s="4"/>
      <c r="EIG3" s="4"/>
      <c r="EIH3" s="4"/>
      <c r="EII3" s="4"/>
      <c r="EIJ3" s="4"/>
      <c r="EIK3" s="4"/>
      <c r="EIL3" s="4"/>
      <c r="EIM3" s="4"/>
      <c r="EIN3" s="4"/>
      <c r="EIO3" s="4"/>
      <c r="EIP3" s="4"/>
      <c r="EIQ3" s="4"/>
      <c r="EIR3" s="4"/>
      <c r="EIS3" s="4"/>
      <c r="EIT3" s="4"/>
      <c r="EIU3" s="4"/>
      <c r="EIV3" s="4"/>
      <c r="EIW3" s="4"/>
      <c r="EIX3" s="4"/>
      <c r="EIY3" s="4"/>
      <c r="EIZ3" s="4"/>
      <c r="EJA3" s="4"/>
      <c r="EJB3" s="4"/>
      <c r="EJC3" s="4"/>
      <c r="EJD3" s="4"/>
      <c r="EJE3" s="4"/>
      <c r="EJF3" s="4"/>
      <c r="EJG3" s="4"/>
      <c r="EJH3" s="4"/>
      <c r="EJI3" s="4"/>
      <c r="EJJ3" s="4"/>
      <c r="EJK3" s="4"/>
      <c r="EJL3" s="4"/>
      <c r="EJM3" s="4"/>
      <c r="EJN3" s="4"/>
      <c r="EJO3" s="4"/>
      <c r="EJP3" s="4"/>
      <c r="EJQ3" s="4"/>
      <c r="EJR3" s="4"/>
      <c r="EJS3" s="4"/>
      <c r="EJT3" s="4"/>
      <c r="EJU3" s="4"/>
      <c r="EJV3" s="4"/>
      <c r="EJW3" s="4"/>
      <c r="EJX3" s="4"/>
      <c r="EJY3" s="4"/>
      <c r="EJZ3" s="4"/>
      <c r="EKA3" s="4"/>
      <c r="EKB3" s="4"/>
      <c r="EKC3" s="4"/>
      <c r="EKD3" s="4"/>
      <c r="EKE3" s="4"/>
      <c r="EKF3" s="4"/>
      <c r="EKG3" s="4"/>
      <c r="EKH3" s="4"/>
      <c r="EKI3" s="4"/>
      <c r="EKJ3" s="4"/>
      <c r="EKK3" s="4"/>
      <c r="EKL3" s="4"/>
      <c r="EKM3" s="4"/>
      <c r="EKN3" s="4"/>
      <c r="EKO3" s="4"/>
      <c r="EKP3" s="4"/>
      <c r="EKQ3" s="4"/>
      <c r="EKR3" s="4"/>
      <c r="EKS3" s="4"/>
      <c r="EKT3" s="4"/>
      <c r="EKU3" s="4"/>
      <c r="EKV3" s="4"/>
      <c r="EKW3" s="4"/>
      <c r="EKX3" s="4"/>
      <c r="EKY3" s="4"/>
      <c r="EKZ3" s="4"/>
      <c r="ELA3" s="4"/>
      <c r="ELB3" s="4"/>
      <c r="ELC3" s="4"/>
      <c r="ELD3" s="4"/>
      <c r="ELE3" s="4"/>
      <c r="ELF3" s="4"/>
      <c r="ELG3" s="4"/>
      <c r="ELH3" s="4"/>
      <c r="ELI3" s="4"/>
      <c r="ELJ3" s="4"/>
      <c r="ELK3" s="4"/>
      <c r="ELL3" s="4"/>
      <c r="ELM3" s="4"/>
      <c r="ELN3" s="4"/>
      <c r="ELO3" s="4"/>
      <c r="ELP3" s="4"/>
      <c r="ELQ3" s="4"/>
      <c r="ELR3" s="4"/>
      <c r="ELS3" s="4"/>
      <c r="ELT3" s="4"/>
      <c r="ELU3" s="4"/>
      <c r="ELV3" s="4"/>
      <c r="ELW3" s="4"/>
      <c r="ELX3" s="4"/>
      <c r="ELY3" s="4"/>
      <c r="ELZ3" s="4"/>
      <c r="EMA3" s="4"/>
      <c r="EMB3" s="4"/>
      <c r="EMC3" s="4"/>
      <c r="EMD3" s="4"/>
      <c r="EME3" s="4"/>
      <c r="EMF3" s="4"/>
      <c r="EMG3" s="4"/>
      <c r="EMH3" s="4"/>
      <c r="EMI3" s="4"/>
      <c r="EMJ3" s="4"/>
      <c r="EMK3" s="4"/>
      <c r="EML3" s="4"/>
      <c r="EMM3" s="4"/>
      <c r="EMN3" s="4"/>
      <c r="EMO3" s="4"/>
      <c r="EMP3" s="4"/>
      <c r="EMQ3" s="4"/>
      <c r="EMR3" s="4"/>
      <c r="EMS3" s="4"/>
      <c r="EMT3" s="4"/>
      <c r="EMU3" s="4"/>
      <c r="EMV3" s="4"/>
      <c r="EMW3" s="4"/>
      <c r="EMX3" s="4"/>
      <c r="EMY3" s="4"/>
      <c r="EMZ3" s="4"/>
      <c r="ENA3" s="4"/>
      <c r="ENB3" s="4"/>
      <c r="ENC3" s="4"/>
      <c r="END3" s="4"/>
      <c r="ENE3" s="4"/>
      <c r="ENF3" s="4"/>
      <c r="ENG3" s="4"/>
      <c r="ENH3" s="4"/>
      <c r="ENI3" s="4"/>
      <c r="ENJ3" s="4"/>
      <c r="ENK3" s="4"/>
      <c r="ENL3" s="4"/>
      <c r="ENM3" s="4"/>
      <c r="ENN3" s="4"/>
      <c r="ENO3" s="4"/>
      <c r="ENP3" s="4"/>
      <c r="ENQ3" s="4"/>
      <c r="ENR3" s="4"/>
      <c r="ENS3" s="4"/>
      <c r="ENT3" s="4"/>
      <c r="ENU3" s="4"/>
      <c r="ENV3" s="4"/>
      <c r="ENW3" s="4"/>
      <c r="ENX3" s="4"/>
      <c r="ENY3" s="4"/>
      <c r="ENZ3" s="4"/>
      <c r="EOA3" s="4"/>
      <c r="EOB3" s="4"/>
      <c r="EOC3" s="4"/>
      <c r="EOD3" s="4"/>
      <c r="EOE3" s="4"/>
      <c r="EOF3" s="4"/>
      <c r="EOG3" s="4"/>
      <c r="EOH3" s="4"/>
      <c r="EOI3" s="4"/>
      <c r="EOJ3" s="4"/>
      <c r="EOK3" s="4"/>
      <c r="EOL3" s="4"/>
      <c r="EOM3" s="4"/>
      <c r="EON3" s="4"/>
      <c r="EOO3" s="4"/>
      <c r="EOP3" s="4"/>
      <c r="EOQ3" s="4"/>
      <c r="EOR3" s="4"/>
      <c r="EOS3" s="4"/>
      <c r="EOT3" s="4"/>
      <c r="EOU3" s="4"/>
      <c r="EOV3" s="4"/>
      <c r="EOW3" s="4"/>
      <c r="EOX3" s="4"/>
      <c r="EOY3" s="4"/>
      <c r="EOZ3" s="4"/>
      <c r="EPA3" s="4"/>
      <c r="EPB3" s="4"/>
      <c r="EPC3" s="4"/>
      <c r="EPD3" s="4"/>
      <c r="EPE3" s="4"/>
      <c r="EPF3" s="4"/>
      <c r="EPG3" s="4"/>
      <c r="EPH3" s="4"/>
      <c r="EPI3" s="4"/>
      <c r="EPJ3" s="4"/>
      <c r="EPK3" s="4"/>
      <c r="EPL3" s="4"/>
      <c r="EPM3" s="4"/>
      <c r="EPN3" s="4"/>
      <c r="EPO3" s="4"/>
      <c r="EPP3" s="4"/>
      <c r="EPQ3" s="4"/>
      <c r="EPR3" s="4"/>
      <c r="EPS3" s="4"/>
      <c r="EPT3" s="4"/>
      <c r="EPU3" s="4"/>
      <c r="EPV3" s="4"/>
      <c r="EPW3" s="4"/>
      <c r="EPX3" s="4"/>
      <c r="EPY3" s="4"/>
      <c r="EPZ3" s="4"/>
      <c r="EQA3" s="4"/>
      <c r="EQB3" s="4"/>
      <c r="EQC3" s="4"/>
      <c r="EQD3" s="4"/>
      <c r="EQE3" s="4"/>
      <c r="EQF3" s="4"/>
      <c r="EQG3" s="4"/>
      <c r="EQH3" s="4"/>
      <c r="EQI3" s="4"/>
      <c r="EQJ3" s="4"/>
      <c r="EQK3" s="4"/>
      <c r="EQL3" s="4"/>
      <c r="EQM3" s="4"/>
      <c r="EQN3" s="4"/>
      <c r="EQO3" s="4"/>
      <c r="EQP3" s="4"/>
      <c r="EQQ3" s="4"/>
      <c r="EQR3" s="4"/>
      <c r="EQS3" s="4"/>
      <c r="EQT3" s="4"/>
      <c r="EQU3" s="4"/>
      <c r="EQV3" s="4"/>
      <c r="EQW3" s="4"/>
      <c r="EQX3" s="4"/>
      <c r="EQY3" s="4"/>
      <c r="EQZ3" s="4"/>
      <c r="ERA3" s="4"/>
      <c r="ERB3" s="4"/>
      <c r="ERC3" s="4"/>
      <c r="ERD3" s="4"/>
      <c r="ERE3" s="4"/>
      <c r="ERF3" s="4"/>
      <c r="ERG3" s="4"/>
      <c r="ERH3" s="4"/>
      <c r="ERI3" s="4"/>
      <c r="ERJ3" s="4"/>
      <c r="ERK3" s="4"/>
      <c r="ERL3" s="4"/>
      <c r="ERM3" s="4"/>
      <c r="ERN3" s="4"/>
      <c r="ERO3" s="4"/>
      <c r="ERP3" s="4"/>
      <c r="ERQ3" s="4"/>
      <c r="ERR3" s="4"/>
      <c r="ERS3" s="4"/>
      <c r="ERT3" s="4"/>
      <c r="ERU3" s="4"/>
      <c r="ERV3" s="4"/>
      <c r="ERW3" s="4"/>
      <c r="ERX3" s="4"/>
      <c r="ERY3" s="4"/>
      <c r="ERZ3" s="4"/>
      <c r="ESA3" s="4"/>
      <c r="ESB3" s="4"/>
      <c r="ESC3" s="4"/>
      <c r="ESD3" s="4"/>
      <c r="ESE3" s="4"/>
      <c r="ESF3" s="4"/>
      <c r="ESG3" s="4"/>
      <c r="ESH3" s="4"/>
      <c r="ESI3" s="4"/>
      <c r="ESJ3" s="4"/>
      <c r="ESK3" s="4"/>
      <c r="ESL3" s="4"/>
      <c r="ESM3" s="4"/>
      <c r="ESN3" s="4"/>
      <c r="ESO3" s="4"/>
      <c r="ESP3" s="4"/>
      <c r="ESQ3" s="4"/>
      <c r="ESR3" s="4"/>
      <c r="ESS3" s="4"/>
      <c r="EST3" s="4"/>
      <c r="ESU3" s="4"/>
      <c r="ESV3" s="4"/>
      <c r="ESW3" s="4"/>
      <c r="ESX3" s="4"/>
      <c r="ESY3" s="4"/>
      <c r="ESZ3" s="4"/>
      <c r="ETA3" s="4"/>
      <c r="ETB3" s="4"/>
      <c r="ETC3" s="4"/>
      <c r="ETD3" s="4"/>
      <c r="ETE3" s="4"/>
      <c r="ETF3" s="4"/>
      <c r="ETG3" s="4"/>
      <c r="ETH3" s="4"/>
      <c r="ETI3" s="4"/>
      <c r="ETJ3" s="4"/>
      <c r="ETK3" s="4"/>
      <c r="ETL3" s="4"/>
      <c r="ETM3" s="4"/>
      <c r="ETN3" s="4"/>
      <c r="ETO3" s="4"/>
      <c r="ETP3" s="4"/>
      <c r="ETQ3" s="4"/>
      <c r="ETR3" s="4"/>
      <c r="ETS3" s="4"/>
      <c r="ETT3" s="4"/>
      <c r="ETU3" s="4"/>
      <c r="ETV3" s="4"/>
      <c r="ETW3" s="4"/>
      <c r="ETX3" s="4"/>
      <c r="ETY3" s="4"/>
      <c r="ETZ3" s="4"/>
      <c r="EUA3" s="4"/>
      <c r="EUB3" s="4"/>
      <c r="EUC3" s="4"/>
      <c r="EUD3" s="4"/>
      <c r="EUE3" s="4"/>
      <c r="EUF3" s="4"/>
      <c r="EUG3" s="4"/>
      <c r="EUH3" s="4"/>
      <c r="EUI3" s="4"/>
      <c r="EUJ3" s="4"/>
      <c r="EUK3" s="4"/>
      <c r="EUL3" s="4"/>
      <c r="EUM3" s="4"/>
      <c r="EUN3" s="4"/>
      <c r="EUO3" s="4"/>
      <c r="EUP3" s="4"/>
      <c r="EUQ3" s="4"/>
      <c r="EUR3" s="4"/>
      <c r="EUS3" s="4"/>
      <c r="EUT3" s="4"/>
      <c r="EUU3" s="4"/>
      <c r="EUV3" s="4"/>
      <c r="EUW3" s="4"/>
      <c r="EUX3" s="4"/>
      <c r="EUY3" s="4"/>
      <c r="EUZ3" s="4"/>
      <c r="EVA3" s="4"/>
      <c r="EVB3" s="4"/>
      <c r="EVC3" s="4"/>
      <c r="EVD3" s="4"/>
      <c r="EVE3" s="4"/>
      <c r="EVF3" s="4"/>
      <c r="EVG3" s="4"/>
      <c r="EVH3" s="4"/>
      <c r="EVI3" s="4"/>
      <c r="EVJ3" s="4"/>
      <c r="EVK3" s="4"/>
      <c r="EVL3" s="4"/>
      <c r="EVM3" s="4"/>
      <c r="EVN3" s="4"/>
      <c r="EVO3" s="4"/>
      <c r="EVP3" s="4"/>
      <c r="EVQ3" s="4"/>
      <c r="EVR3" s="4"/>
      <c r="EVS3" s="4"/>
      <c r="EVT3" s="4"/>
      <c r="EVU3" s="4"/>
      <c r="EVV3" s="4"/>
      <c r="EVW3" s="4"/>
      <c r="EVX3" s="4"/>
      <c r="EVY3" s="4"/>
      <c r="EVZ3" s="4"/>
      <c r="EWA3" s="4"/>
      <c r="EWB3" s="4"/>
      <c r="EWC3" s="4"/>
      <c r="EWD3" s="4"/>
      <c r="EWE3" s="4"/>
      <c r="EWF3" s="4"/>
      <c r="EWG3" s="4"/>
      <c r="EWH3" s="4"/>
      <c r="EWI3" s="4"/>
      <c r="EWJ3" s="4"/>
      <c r="EWK3" s="4"/>
      <c r="EWL3" s="4"/>
      <c r="EWM3" s="4"/>
      <c r="EWN3" s="4"/>
      <c r="EWO3" s="4"/>
      <c r="EWP3" s="4"/>
      <c r="EWQ3" s="4"/>
      <c r="EWR3" s="4"/>
      <c r="EWS3" s="4"/>
      <c r="EWT3" s="4"/>
      <c r="EWU3" s="4"/>
      <c r="EWV3" s="4"/>
      <c r="EWW3" s="4"/>
      <c r="EWX3" s="4"/>
      <c r="EWY3" s="4"/>
      <c r="EWZ3" s="4"/>
      <c r="EXA3" s="4"/>
      <c r="EXB3" s="4"/>
      <c r="EXC3" s="4"/>
      <c r="EXD3" s="4"/>
      <c r="EXE3" s="4"/>
      <c r="EXF3" s="4"/>
      <c r="EXG3" s="4"/>
      <c r="EXH3" s="4"/>
      <c r="EXI3" s="4"/>
      <c r="EXJ3" s="4"/>
      <c r="EXK3" s="4"/>
      <c r="EXL3" s="4"/>
      <c r="EXM3" s="4"/>
      <c r="EXN3" s="4"/>
      <c r="EXO3" s="4"/>
      <c r="EXP3" s="4"/>
      <c r="EXQ3" s="4"/>
      <c r="EXR3" s="4"/>
      <c r="EXS3" s="4"/>
      <c r="EXT3" s="4"/>
      <c r="EXU3" s="4"/>
      <c r="EXV3" s="4"/>
      <c r="EXW3" s="4"/>
      <c r="EXX3" s="4"/>
      <c r="EXY3" s="4"/>
      <c r="EXZ3" s="4"/>
      <c r="EYA3" s="4"/>
      <c r="EYB3" s="4"/>
      <c r="EYC3" s="4"/>
      <c r="EYD3" s="4"/>
      <c r="EYE3" s="4"/>
      <c r="EYF3" s="4"/>
      <c r="EYG3" s="4"/>
      <c r="EYH3" s="4"/>
      <c r="EYI3" s="4"/>
      <c r="EYJ3" s="4"/>
      <c r="EYK3" s="4"/>
      <c r="EYL3" s="4"/>
      <c r="EYM3" s="4"/>
      <c r="EYN3" s="4"/>
      <c r="EYO3" s="4"/>
      <c r="EYP3" s="4"/>
      <c r="EYQ3" s="4"/>
      <c r="EYR3" s="4"/>
      <c r="EYS3" s="4"/>
      <c r="EYT3" s="4"/>
      <c r="EYU3" s="4"/>
      <c r="EYV3" s="4"/>
      <c r="EYW3" s="4"/>
      <c r="EYX3" s="4"/>
      <c r="EYY3" s="4"/>
      <c r="EYZ3" s="4"/>
      <c r="EZA3" s="4"/>
      <c r="EZB3" s="4"/>
      <c r="EZC3" s="4"/>
      <c r="EZD3" s="4"/>
      <c r="EZE3" s="4"/>
      <c r="EZF3" s="4"/>
      <c r="EZG3" s="4"/>
      <c r="EZH3" s="4"/>
      <c r="EZI3" s="4"/>
      <c r="EZJ3" s="4"/>
      <c r="EZK3" s="4"/>
      <c r="EZL3" s="4"/>
      <c r="EZM3" s="4"/>
      <c r="EZN3" s="4"/>
      <c r="EZO3" s="4"/>
      <c r="EZP3" s="4"/>
      <c r="EZQ3" s="4"/>
      <c r="EZR3" s="4"/>
      <c r="EZS3" s="4"/>
      <c r="EZT3" s="4"/>
      <c r="EZU3" s="4"/>
      <c r="EZV3" s="4"/>
      <c r="EZW3" s="4"/>
      <c r="EZX3" s="4"/>
      <c r="EZY3" s="4"/>
      <c r="EZZ3" s="4"/>
      <c r="FAA3" s="4"/>
      <c r="FAB3" s="4"/>
      <c r="FAC3" s="4"/>
      <c r="FAD3" s="4"/>
      <c r="FAE3" s="4"/>
      <c r="FAF3" s="4"/>
      <c r="FAG3" s="4"/>
      <c r="FAH3" s="4"/>
      <c r="FAI3" s="4"/>
      <c r="FAJ3" s="4"/>
      <c r="FAK3" s="4"/>
      <c r="FAL3" s="4"/>
      <c r="FAM3" s="4"/>
      <c r="FAN3" s="4"/>
      <c r="FAO3" s="4"/>
      <c r="FAP3" s="4"/>
      <c r="FAQ3" s="4"/>
      <c r="FAR3" s="4"/>
      <c r="FAS3" s="4"/>
      <c r="FAT3" s="4"/>
      <c r="FAU3" s="4"/>
      <c r="FAV3" s="4"/>
      <c r="FAW3" s="4"/>
      <c r="FAX3" s="4"/>
      <c r="FAY3" s="4"/>
      <c r="FAZ3" s="4"/>
      <c r="FBA3" s="4"/>
      <c r="FBB3" s="4"/>
      <c r="FBC3" s="4"/>
      <c r="FBD3" s="4"/>
      <c r="FBE3" s="4"/>
      <c r="FBF3" s="4"/>
      <c r="FBG3" s="4"/>
      <c r="FBH3" s="4"/>
      <c r="FBI3" s="4"/>
      <c r="FBJ3" s="4"/>
      <c r="FBK3" s="4"/>
      <c r="FBL3" s="4"/>
      <c r="FBM3" s="4"/>
      <c r="FBN3" s="4"/>
      <c r="FBO3" s="4"/>
      <c r="FBP3" s="4"/>
      <c r="FBQ3" s="4"/>
      <c r="FBR3" s="4"/>
      <c r="FBS3" s="4"/>
      <c r="FBT3" s="4"/>
      <c r="FBU3" s="4"/>
      <c r="FBV3" s="4"/>
      <c r="FBW3" s="4"/>
      <c r="FBX3" s="4"/>
      <c r="FBY3" s="4"/>
      <c r="FBZ3" s="4"/>
      <c r="FCA3" s="4"/>
      <c r="FCB3" s="4"/>
      <c r="FCC3" s="4"/>
      <c r="FCD3" s="4"/>
      <c r="FCE3" s="4"/>
      <c r="FCF3" s="4"/>
      <c r="FCG3" s="4"/>
      <c r="FCH3" s="4"/>
      <c r="FCI3" s="4"/>
      <c r="FCJ3" s="4"/>
      <c r="FCK3" s="4"/>
      <c r="FCL3" s="4"/>
      <c r="FCM3" s="4"/>
      <c r="FCN3" s="4"/>
      <c r="FCO3" s="4"/>
      <c r="FCP3" s="4"/>
      <c r="FCQ3" s="4"/>
      <c r="FCR3" s="4"/>
      <c r="FCS3" s="4"/>
      <c r="FCT3" s="4"/>
      <c r="FCU3" s="4"/>
      <c r="FCV3" s="4"/>
      <c r="FCW3" s="4"/>
      <c r="FCX3" s="4"/>
      <c r="FCY3" s="4"/>
      <c r="FCZ3" s="4"/>
      <c r="FDA3" s="4"/>
      <c r="FDB3" s="4"/>
      <c r="FDC3" s="4"/>
      <c r="FDD3" s="4"/>
      <c r="FDE3" s="4"/>
      <c r="FDF3" s="4"/>
      <c r="FDG3" s="4"/>
      <c r="FDH3" s="4"/>
      <c r="FDI3" s="4"/>
      <c r="FDJ3" s="4"/>
      <c r="FDK3" s="4"/>
      <c r="FDL3" s="4"/>
      <c r="FDM3" s="4"/>
      <c r="FDN3" s="4"/>
      <c r="FDO3" s="4"/>
      <c r="FDP3" s="4"/>
      <c r="FDQ3" s="4"/>
      <c r="FDR3" s="4"/>
      <c r="FDS3" s="4"/>
      <c r="FDT3" s="4"/>
      <c r="FDU3" s="4"/>
      <c r="FDV3" s="4"/>
      <c r="FDW3" s="4"/>
      <c r="FDX3" s="4"/>
      <c r="FDY3" s="4"/>
      <c r="FDZ3" s="4"/>
      <c r="FEA3" s="4"/>
      <c r="FEB3" s="4"/>
      <c r="FEC3" s="4"/>
      <c r="FED3" s="4"/>
      <c r="FEE3" s="4"/>
      <c r="FEF3" s="4"/>
      <c r="FEG3" s="4"/>
      <c r="FEH3" s="4"/>
      <c r="FEI3" s="4"/>
      <c r="FEJ3" s="4"/>
      <c r="FEK3" s="4"/>
      <c r="FEL3" s="4"/>
      <c r="FEM3" s="4"/>
      <c r="FEN3" s="4"/>
      <c r="FEO3" s="4"/>
      <c r="FEP3" s="4"/>
      <c r="FEQ3" s="4"/>
      <c r="FER3" s="4"/>
      <c r="FES3" s="4"/>
      <c r="FET3" s="4"/>
      <c r="FEU3" s="4"/>
      <c r="FEV3" s="4"/>
      <c r="FEW3" s="4"/>
      <c r="FEX3" s="4"/>
      <c r="FEY3" s="4"/>
      <c r="FEZ3" s="4"/>
      <c r="FFA3" s="4"/>
      <c r="FFB3" s="4"/>
      <c r="FFC3" s="4"/>
      <c r="FFD3" s="4"/>
      <c r="FFE3" s="4"/>
      <c r="FFF3" s="4"/>
      <c r="FFG3" s="4"/>
      <c r="FFH3" s="4"/>
      <c r="FFI3" s="4"/>
      <c r="FFJ3" s="4"/>
      <c r="FFK3" s="4"/>
      <c r="FFL3" s="4"/>
      <c r="FFM3" s="4"/>
      <c r="FFN3" s="4"/>
      <c r="FFO3" s="4"/>
      <c r="FFP3" s="4"/>
      <c r="FFQ3" s="4"/>
      <c r="FFR3" s="4"/>
      <c r="FFS3" s="4"/>
      <c r="FFT3" s="4"/>
      <c r="FFU3" s="4"/>
      <c r="FFV3" s="4"/>
      <c r="FFW3" s="4"/>
      <c r="FFX3" s="4"/>
      <c r="FFY3" s="4"/>
      <c r="FFZ3" s="4"/>
      <c r="FGA3" s="4"/>
      <c r="FGB3" s="4"/>
      <c r="FGC3" s="4"/>
      <c r="FGD3" s="4"/>
      <c r="FGE3" s="4"/>
      <c r="FGF3" s="4"/>
      <c r="FGG3" s="4"/>
      <c r="FGH3" s="4"/>
      <c r="FGI3" s="4"/>
      <c r="FGJ3" s="4"/>
      <c r="FGK3" s="4"/>
      <c r="FGL3" s="4"/>
      <c r="FGM3" s="4"/>
      <c r="FGN3" s="4"/>
      <c r="FGO3" s="4"/>
      <c r="FGP3" s="4"/>
      <c r="FGQ3" s="4"/>
      <c r="FGR3" s="4"/>
      <c r="FGS3" s="4"/>
      <c r="FGT3" s="4"/>
      <c r="FGU3" s="4"/>
      <c r="FGV3" s="4"/>
      <c r="FGW3" s="4"/>
      <c r="FGX3" s="4"/>
      <c r="FGY3" s="4"/>
      <c r="FGZ3" s="4"/>
      <c r="FHA3" s="4"/>
      <c r="FHB3" s="4"/>
      <c r="FHC3" s="4"/>
      <c r="FHD3" s="4"/>
      <c r="FHE3" s="4"/>
      <c r="FHF3" s="4"/>
      <c r="FHG3" s="4"/>
      <c r="FHH3" s="4"/>
      <c r="FHI3" s="4"/>
      <c r="FHJ3" s="4"/>
      <c r="FHK3" s="4"/>
      <c r="FHL3" s="4"/>
      <c r="FHM3" s="4"/>
      <c r="FHN3" s="4"/>
      <c r="FHO3" s="4"/>
      <c r="FHP3" s="4"/>
      <c r="FHQ3" s="4"/>
      <c r="FHR3" s="4"/>
      <c r="FHS3" s="4"/>
      <c r="FHT3" s="4"/>
      <c r="FHU3" s="4"/>
      <c r="FHV3" s="4"/>
      <c r="FHW3" s="4"/>
      <c r="FHX3" s="4"/>
      <c r="FHY3" s="4"/>
      <c r="FHZ3" s="4"/>
      <c r="FIA3" s="4"/>
      <c r="FIB3" s="4"/>
      <c r="FIC3" s="4"/>
      <c r="FID3" s="4"/>
      <c r="FIE3" s="4"/>
      <c r="FIF3" s="4"/>
      <c r="FIG3" s="4"/>
      <c r="FIH3" s="4"/>
      <c r="FII3" s="4"/>
      <c r="FIJ3" s="4"/>
      <c r="FIK3" s="4"/>
      <c r="FIL3" s="4"/>
      <c r="FIM3" s="4"/>
      <c r="FIN3" s="4"/>
      <c r="FIO3" s="4"/>
      <c r="FIP3" s="4"/>
      <c r="FIQ3" s="4"/>
      <c r="FIR3" s="4"/>
      <c r="FIS3" s="4"/>
      <c r="FIT3" s="4"/>
      <c r="FIU3" s="4"/>
      <c r="FIV3" s="4"/>
      <c r="FIW3" s="4"/>
      <c r="FIX3" s="4"/>
      <c r="FIY3" s="4"/>
      <c r="FIZ3" s="4"/>
      <c r="FJA3" s="4"/>
      <c r="FJB3" s="4"/>
      <c r="FJC3" s="4"/>
      <c r="FJD3" s="4"/>
      <c r="FJE3" s="4"/>
      <c r="FJF3" s="4"/>
      <c r="FJG3" s="4"/>
      <c r="FJH3" s="4"/>
      <c r="FJI3" s="4"/>
      <c r="FJJ3" s="4"/>
      <c r="FJK3" s="4"/>
      <c r="FJL3" s="4"/>
      <c r="FJM3" s="4"/>
      <c r="FJN3" s="4"/>
      <c r="FJO3" s="4"/>
      <c r="FJP3" s="4"/>
      <c r="FJQ3" s="4"/>
      <c r="FJR3" s="4"/>
      <c r="FJS3" s="4"/>
      <c r="FJT3" s="4"/>
      <c r="FJU3" s="4"/>
      <c r="FJV3" s="4"/>
      <c r="FJW3" s="4"/>
      <c r="FJX3" s="4"/>
      <c r="FJY3" s="4"/>
      <c r="FJZ3" s="4"/>
      <c r="FKA3" s="4"/>
      <c r="FKB3" s="4"/>
      <c r="FKC3" s="4"/>
      <c r="FKD3" s="4"/>
      <c r="FKE3" s="4"/>
      <c r="FKF3" s="4"/>
      <c r="FKG3" s="4"/>
      <c r="FKH3" s="4"/>
      <c r="FKI3" s="4"/>
      <c r="FKJ3" s="4"/>
      <c r="FKK3" s="4"/>
      <c r="FKL3" s="4"/>
      <c r="FKM3" s="4"/>
      <c r="FKN3" s="4"/>
      <c r="FKO3" s="4"/>
      <c r="FKP3" s="4"/>
      <c r="FKQ3" s="4"/>
      <c r="FKR3" s="4"/>
      <c r="FKS3" s="4"/>
      <c r="FKT3" s="4"/>
      <c r="FKU3" s="4"/>
      <c r="FKV3" s="4"/>
      <c r="FKW3" s="4"/>
      <c r="FKX3" s="4"/>
      <c r="FKY3" s="4"/>
      <c r="FKZ3" s="4"/>
      <c r="FLA3" s="4"/>
      <c r="FLB3" s="4"/>
      <c r="FLC3" s="4"/>
      <c r="FLD3" s="4"/>
      <c r="FLE3" s="4"/>
      <c r="FLF3" s="4"/>
      <c r="FLG3" s="4"/>
      <c r="FLH3" s="4"/>
      <c r="FLI3" s="4"/>
      <c r="FLJ3" s="4"/>
      <c r="FLK3" s="4"/>
      <c r="FLL3" s="4"/>
      <c r="FLM3" s="4"/>
      <c r="FLN3" s="4"/>
      <c r="FLO3" s="4"/>
      <c r="FLP3" s="4"/>
      <c r="FLQ3" s="4"/>
      <c r="FLR3" s="4"/>
      <c r="FLS3" s="4"/>
      <c r="FLT3" s="4"/>
      <c r="FLU3" s="4"/>
      <c r="FLV3" s="4"/>
      <c r="FLW3" s="4"/>
      <c r="FLX3" s="4"/>
      <c r="FLY3" s="4"/>
      <c r="FLZ3" s="4"/>
      <c r="FMA3" s="4"/>
      <c r="FMB3" s="4"/>
      <c r="FMC3" s="4"/>
      <c r="FMD3" s="4"/>
      <c r="FME3" s="4"/>
      <c r="FMF3" s="4"/>
      <c r="FMG3" s="4"/>
      <c r="FMH3" s="4"/>
      <c r="FMI3" s="4"/>
      <c r="FMJ3" s="4"/>
      <c r="FMK3" s="4"/>
      <c r="FML3" s="4"/>
      <c r="FMM3" s="4"/>
      <c r="FMN3" s="4"/>
      <c r="FMO3" s="4"/>
      <c r="FMP3" s="4"/>
      <c r="FMQ3" s="4"/>
      <c r="FMR3" s="4"/>
      <c r="FMS3" s="4"/>
      <c r="FMT3" s="4"/>
      <c r="FMU3" s="4"/>
      <c r="FMV3" s="4"/>
      <c r="FMW3" s="4"/>
      <c r="FMX3" s="4"/>
      <c r="FMY3" s="4"/>
      <c r="FMZ3" s="4"/>
      <c r="FNA3" s="4"/>
      <c r="FNB3" s="4"/>
      <c r="FNC3" s="4"/>
      <c r="FND3" s="4"/>
      <c r="FNE3" s="4"/>
      <c r="FNF3" s="4"/>
      <c r="FNG3" s="4"/>
      <c r="FNH3" s="4"/>
      <c r="FNI3" s="4"/>
      <c r="FNJ3" s="4"/>
      <c r="FNK3" s="4"/>
      <c r="FNL3" s="4"/>
      <c r="FNM3" s="4"/>
      <c r="FNN3" s="4"/>
      <c r="FNO3" s="4"/>
      <c r="FNP3" s="4"/>
      <c r="FNQ3" s="4"/>
      <c r="FNR3" s="4"/>
      <c r="FNS3" s="4"/>
      <c r="FNT3" s="4"/>
      <c r="FNU3" s="4"/>
      <c r="FNV3" s="4"/>
      <c r="FNW3" s="4"/>
      <c r="FNX3" s="4"/>
      <c r="FNY3" s="4"/>
      <c r="FNZ3" s="4"/>
      <c r="FOA3" s="4"/>
      <c r="FOB3" s="4"/>
      <c r="FOC3" s="4"/>
      <c r="FOD3" s="4"/>
      <c r="FOE3" s="4"/>
      <c r="FOF3" s="4"/>
      <c r="FOG3" s="4"/>
      <c r="FOH3" s="4"/>
      <c r="FOI3" s="4"/>
      <c r="FOJ3" s="4"/>
      <c r="FOK3" s="4"/>
      <c r="FOL3" s="4"/>
      <c r="FOM3" s="4"/>
      <c r="FON3" s="4"/>
      <c r="FOO3" s="4"/>
      <c r="FOP3" s="4"/>
      <c r="FOQ3" s="4"/>
      <c r="FOR3" s="4"/>
      <c r="FOS3" s="4"/>
      <c r="FOT3" s="4"/>
      <c r="FOU3" s="4"/>
      <c r="FOV3" s="4"/>
      <c r="FOW3" s="4"/>
      <c r="FOX3" s="4"/>
      <c r="FOY3" s="4"/>
      <c r="FOZ3" s="4"/>
      <c r="FPA3" s="4"/>
      <c r="FPB3" s="4"/>
      <c r="FPC3" s="4"/>
      <c r="FPD3" s="4"/>
      <c r="FPE3" s="4"/>
      <c r="FPF3" s="4"/>
      <c r="FPG3" s="4"/>
      <c r="FPH3" s="4"/>
      <c r="FPI3" s="4"/>
      <c r="FPJ3" s="4"/>
      <c r="FPK3" s="4"/>
      <c r="FPL3" s="4"/>
      <c r="FPM3" s="4"/>
      <c r="FPN3" s="4"/>
      <c r="FPO3" s="4"/>
      <c r="FPP3" s="4"/>
      <c r="FPQ3" s="4"/>
      <c r="FPR3" s="4"/>
      <c r="FPS3" s="4"/>
      <c r="FPT3" s="4"/>
      <c r="FPU3" s="4"/>
      <c r="FPV3" s="4"/>
      <c r="FPW3" s="4"/>
      <c r="FPX3" s="4"/>
      <c r="FPY3" s="4"/>
      <c r="FPZ3" s="4"/>
      <c r="FQA3" s="4"/>
      <c r="FQB3" s="4"/>
      <c r="FQC3" s="4"/>
      <c r="FQD3" s="4"/>
      <c r="FQE3" s="4"/>
      <c r="FQF3" s="4"/>
      <c r="FQG3" s="4"/>
      <c r="FQH3" s="4"/>
      <c r="FQI3" s="4"/>
      <c r="FQJ3" s="4"/>
      <c r="FQK3" s="4"/>
      <c r="FQL3" s="4"/>
      <c r="FQM3" s="4"/>
      <c r="FQN3" s="4"/>
      <c r="FQO3" s="4"/>
      <c r="FQP3" s="4"/>
      <c r="FQQ3" s="4"/>
      <c r="FQR3" s="4"/>
      <c r="FQS3" s="4"/>
      <c r="FQT3" s="4"/>
      <c r="FQU3" s="4"/>
      <c r="FQV3" s="4"/>
      <c r="FQW3" s="4"/>
      <c r="FQX3" s="4"/>
      <c r="FQY3" s="4"/>
      <c r="FQZ3" s="4"/>
      <c r="FRA3" s="4"/>
      <c r="FRB3" s="4"/>
      <c r="FRC3" s="4"/>
      <c r="FRD3" s="4"/>
      <c r="FRE3" s="4"/>
      <c r="FRF3" s="4"/>
      <c r="FRG3" s="4"/>
      <c r="FRH3" s="4"/>
      <c r="FRI3" s="4"/>
      <c r="FRJ3" s="4"/>
      <c r="FRK3" s="4"/>
      <c r="FRL3" s="4"/>
      <c r="FRM3" s="4"/>
      <c r="FRN3" s="4"/>
      <c r="FRO3" s="4"/>
      <c r="FRP3" s="4"/>
      <c r="FRQ3" s="4"/>
      <c r="FRR3" s="4"/>
      <c r="FRS3" s="4"/>
      <c r="FRT3" s="4"/>
      <c r="FRU3" s="4"/>
      <c r="FRV3" s="4"/>
      <c r="FRW3" s="4"/>
      <c r="FRX3" s="4"/>
      <c r="FRY3" s="4"/>
      <c r="FRZ3" s="4"/>
      <c r="FSA3" s="4"/>
      <c r="FSB3" s="4"/>
      <c r="FSC3" s="4"/>
      <c r="FSD3" s="4"/>
      <c r="FSE3" s="4"/>
      <c r="FSF3" s="4"/>
      <c r="FSG3" s="4"/>
      <c r="FSH3" s="4"/>
      <c r="FSI3" s="4"/>
      <c r="FSJ3" s="4"/>
      <c r="FSK3" s="4"/>
      <c r="FSL3" s="4"/>
      <c r="FSM3" s="4"/>
      <c r="FSN3" s="4"/>
      <c r="FSO3" s="4"/>
      <c r="FSP3" s="4"/>
      <c r="FSQ3" s="4"/>
      <c r="FSR3" s="4"/>
      <c r="FSS3" s="4"/>
      <c r="FST3" s="4"/>
      <c r="FSU3" s="4"/>
      <c r="FSV3" s="4"/>
      <c r="FSW3" s="4"/>
      <c r="FSX3" s="4"/>
      <c r="FSY3" s="4"/>
      <c r="FSZ3" s="4"/>
      <c r="FTA3" s="4"/>
      <c r="FTB3" s="4"/>
      <c r="FTC3" s="4"/>
      <c r="FTD3" s="4"/>
      <c r="FTE3" s="4"/>
      <c r="FTF3" s="4"/>
      <c r="FTG3" s="4"/>
      <c r="FTH3" s="4"/>
      <c r="FTI3" s="4"/>
      <c r="FTJ3" s="4"/>
      <c r="FTK3" s="4"/>
      <c r="FTL3" s="4"/>
      <c r="FTM3" s="4"/>
      <c r="FTN3" s="4"/>
      <c r="FTO3" s="4"/>
      <c r="FTP3" s="4"/>
      <c r="FTQ3" s="4"/>
      <c r="FTR3" s="4"/>
      <c r="FTS3" s="4"/>
      <c r="FTT3" s="4"/>
      <c r="FTU3" s="4"/>
      <c r="FTV3" s="4"/>
      <c r="FTW3" s="4"/>
      <c r="FTX3" s="4"/>
      <c r="FTY3" s="4"/>
      <c r="FTZ3" s="4"/>
      <c r="FUA3" s="4"/>
      <c r="FUB3" s="4"/>
      <c r="FUC3" s="4"/>
      <c r="FUD3" s="4"/>
      <c r="FUE3" s="4"/>
      <c r="FUF3" s="4"/>
      <c r="FUG3" s="4"/>
      <c r="FUH3" s="4"/>
      <c r="FUI3" s="4"/>
      <c r="FUJ3" s="4"/>
      <c r="FUK3" s="4"/>
      <c r="FUL3" s="4"/>
      <c r="FUM3" s="4"/>
      <c r="FUN3" s="4"/>
      <c r="FUO3" s="4"/>
      <c r="FUP3" s="4"/>
      <c r="FUQ3" s="4"/>
      <c r="FUR3" s="4"/>
      <c r="FUS3" s="4"/>
      <c r="FUT3" s="4"/>
      <c r="FUU3" s="4"/>
      <c r="FUV3" s="4"/>
      <c r="FUW3" s="4"/>
      <c r="FUX3" s="4"/>
      <c r="FUY3" s="4"/>
      <c r="FUZ3" s="4"/>
      <c r="FVA3" s="4"/>
      <c r="FVB3" s="4"/>
      <c r="FVC3" s="4"/>
      <c r="FVD3" s="4"/>
      <c r="FVE3" s="4"/>
      <c r="FVF3" s="4"/>
      <c r="FVG3" s="4"/>
      <c r="FVH3" s="4"/>
      <c r="FVI3" s="4"/>
      <c r="FVJ3" s="4"/>
      <c r="FVK3" s="4"/>
      <c r="FVL3" s="4"/>
      <c r="FVM3" s="4"/>
      <c r="FVN3" s="4"/>
      <c r="FVO3" s="4"/>
      <c r="FVP3" s="4"/>
      <c r="FVQ3" s="4"/>
      <c r="FVR3" s="4"/>
      <c r="FVS3" s="4"/>
      <c r="FVT3" s="4"/>
      <c r="FVU3" s="4"/>
      <c r="FVV3" s="4"/>
      <c r="FVW3" s="4"/>
      <c r="FVX3" s="4"/>
      <c r="FVY3" s="4"/>
      <c r="FVZ3" s="4"/>
      <c r="FWA3" s="4"/>
      <c r="FWB3" s="4"/>
      <c r="FWC3" s="4"/>
      <c r="FWD3" s="4"/>
      <c r="FWE3" s="4"/>
      <c r="FWF3" s="4"/>
      <c r="FWG3" s="4"/>
      <c r="FWH3" s="4"/>
      <c r="FWI3" s="4"/>
      <c r="FWJ3" s="4"/>
      <c r="FWK3" s="4"/>
      <c r="FWL3" s="4"/>
      <c r="FWM3" s="4"/>
      <c r="FWN3" s="4"/>
      <c r="FWO3" s="4"/>
      <c r="FWP3" s="4"/>
      <c r="FWQ3" s="4"/>
      <c r="FWR3" s="4"/>
      <c r="FWS3" s="4"/>
      <c r="FWT3" s="4"/>
      <c r="FWU3" s="4"/>
      <c r="FWV3" s="4"/>
      <c r="FWW3" s="4"/>
      <c r="FWX3" s="4"/>
      <c r="FWY3" s="4"/>
      <c r="FWZ3" s="4"/>
      <c r="FXA3" s="4"/>
      <c r="FXB3" s="4"/>
      <c r="FXC3" s="4"/>
      <c r="FXD3" s="4"/>
      <c r="FXE3" s="4"/>
      <c r="FXF3" s="4"/>
      <c r="FXG3" s="4"/>
      <c r="FXH3" s="4"/>
      <c r="FXI3" s="4"/>
      <c r="FXJ3" s="4"/>
      <c r="FXK3" s="4"/>
      <c r="FXL3" s="4"/>
      <c r="FXM3" s="4"/>
      <c r="FXN3" s="4"/>
      <c r="FXO3" s="4"/>
      <c r="FXP3" s="4"/>
      <c r="FXQ3" s="4"/>
      <c r="FXR3" s="4"/>
      <c r="FXS3" s="4"/>
      <c r="FXT3" s="4"/>
      <c r="FXU3" s="4"/>
      <c r="FXV3" s="4"/>
      <c r="FXW3" s="4"/>
      <c r="FXX3" s="4"/>
      <c r="FXY3" s="4"/>
      <c r="FXZ3" s="4"/>
      <c r="FYA3" s="4"/>
      <c r="FYB3" s="4"/>
      <c r="FYC3" s="4"/>
      <c r="FYD3" s="4"/>
      <c r="FYE3" s="4"/>
      <c r="FYF3" s="4"/>
      <c r="FYG3" s="4"/>
      <c r="FYH3" s="4"/>
      <c r="FYI3" s="4"/>
      <c r="FYJ3" s="4"/>
      <c r="FYK3" s="4"/>
      <c r="FYL3" s="4"/>
      <c r="FYM3" s="4"/>
      <c r="FYN3" s="4"/>
      <c r="FYO3" s="4"/>
      <c r="FYP3" s="4"/>
      <c r="FYQ3" s="4"/>
      <c r="FYR3" s="4"/>
      <c r="FYS3" s="4"/>
      <c r="FYT3" s="4"/>
      <c r="FYU3" s="4"/>
      <c r="FYV3" s="4"/>
      <c r="FYW3" s="4"/>
      <c r="FYX3" s="4"/>
      <c r="FYY3" s="4"/>
      <c r="FYZ3" s="4"/>
      <c r="FZA3" s="4"/>
      <c r="FZB3" s="4"/>
      <c r="FZC3" s="4"/>
      <c r="FZD3" s="4"/>
      <c r="FZE3" s="4"/>
      <c r="FZF3" s="4"/>
      <c r="FZG3" s="4"/>
      <c r="FZH3" s="4"/>
      <c r="FZI3" s="4"/>
      <c r="FZJ3" s="4"/>
      <c r="FZK3" s="4"/>
      <c r="FZL3" s="4"/>
      <c r="FZM3" s="4"/>
      <c r="FZN3" s="4"/>
      <c r="FZO3" s="4"/>
      <c r="FZP3" s="4"/>
      <c r="FZQ3" s="4"/>
      <c r="FZR3" s="4"/>
      <c r="FZS3" s="4"/>
      <c r="FZT3" s="4"/>
      <c r="FZU3" s="4"/>
      <c r="FZV3" s="4"/>
      <c r="FZW3" s="4"/>
      <c r="FZX3" s="4"/>
      <c r="FZY3" s="4"/>
      <c r="FZZ3" s="4"/>
      <c r="GAA3" s="4"/>
      <c r="GAB3" s="4"/>
      <c r="GAC3" s="4"/>
      <c r="GAD3" s="4"/>
      <c r="GAE3" s="4"/>
      <c r="GAF3" s="4"/>
      <c r="GAG3" s="4"/>
      <c r="GAH3" s="4"/>
      <c r="GAI3" s="4"/>
      <c r="GAJ3" s="4"/>
      <c r="GAK3" s="4"/>
      <c r="GAL3" s="4"/>
      <c r="GAM3" s="4"/>
      <c r="GAN3" s="4"/>
      <c r="GAO3" s="4"/>
      <c r="GAP3" s="4"/>
      <c r="GAQ3" s="4"/>
      <c r="GAR3" s="4"/>
      <c r="GAS3" s="4"/>
      <c r="GAT3" s="4"/>
      <c r="GAU3" s="4"/>
      <c r="GAV3" s="4"/>
      <c r="GAW3" s="4"/>
      <c r="GAX3" s="4"/>
      <c r="GAY3" s="4"/>
      <c r="GAZ3" s="4"/>
      <c r="GBA3" s="4"/>
      <c r="GBB3" s="4"/>
      <c r="GBC3" s="4"/>
      <c r="GBD3" s="4"/>
      <c r="GBE3" s="4"/>
      <c r="GBF3" s="4"/>
      <c r="GBG3" s="4"/>
      <c r="GBH3" s="4"/>
      <c r="GBI3" s="4"/>
      <c r="GBJ3" s="4"/>
      <c r="GBK3" s="4"/>
      <c r="GBL3" s="4"/>
      <c r="GBM3" s="4"/>
      <c r="GBN3" s="4"/>
      <c r="GBO3" s="4"/>
      <c r="GBP3" s="4"/>
      <c r="GBQ3" s="4"/>
      <c r="GBR3" s="4"/>
      <c r="GBS3" s="4"/>
      <c r="GBT3" s="4"/>
      <c r="GBU3" s="4"/>
      <c r="GBV3" s="4"/>
      <c r="GBW3" s="4"/>
      <c r="GBX3" s="4"/>
      <c r="GBY3" s="4"/>
      <c r="GBZ3" s="4"/>
      <c r="GCA3" s="4"/>
      <c r="GCB3" s="4"/>
      <c r="GCC3" s="4"/>
      <c r="GCD3" s="4"/>
      <c r="GCE3" s="4"/>
      <c r="GCF3" s="4"/>
      <c r="GCG3" s="4"/>
      <c r="GCH3" s="4"/>
      <c r="GCI3" s="4"/>
      <c r="GCJ3" s="4"/>
      <c r="GCK3" s="4"/>
      <c r="GCL3" s="4"/>
      <c r="GCM3" s="4"/>
      <c r="GCN3" s="4"/>
      <c r="GCO3" s="4"/>
      <c r="GCP3" s="4"/>
      <c r="GCQ3" s="4"/>
      <c r="GCR3" s="4"/>
      <c r="GCS3" s="4"/>
      <c r="GCT3" s="4"/>
      <c r="GCU3" s="4"/>
      <c r="GCV3" s="4"/>
      <c r="GCW3" s="4"/>
      <c r="GCX3" s="4"/>
      <c r="GCY3" s="4"/>
      <c r="GCZ3" s="4"/>
      <c r="GDA3" s="4"/>
      <c r="GDB3" s="4"/>
      <c r="GDC3" s="4"/>
      <c r="GDD3" s="4"/>
      <c r="GDE3" s="4"/>
      <c r="GDF3" s="4"/>
      <c r="GDG3" s="4"/>
      <c r="GDH3" s="4"/>
      <c r="GDI3" s="4"/>
      <c r="GDJ3" s="4"/>
      <c r="GDK3" s="4"/>
      <c r="GDL3" s="4"/>
      <c r="GDM3" s="4"/>
      <c r="GDN3" s="4"/>
      <c r="GDO3" s="4"/>
      <c r="GDP3" s="4"/>
      <c r="GDQ3" s="4"/>
      <c r="GDR3" s="4"/>
      <c r="GDS3" s="4"/>
      <c r="GDT3" s="4"/>
      <c r="GDU3" s="4"/>
      <c r="GDV3" s="4"/>
      <c r="GDW3" s="4"/>
      <c r="GDX3" s="4"/>
      <c r="GDY3" s="4"/>
      <c r="GDZ3" s="4"/>
      <c r="GEA3" s="4"/>
      <c r="GEB3" s="4"/>
      <c r="GEC3" s="4"/>
      <c r="GED3" s="4"/>
      <c r="GEE3" s="4"/>
      <c r="GEF3" s="4"/>
      <c r="GEG3" s="4"/>
      <c r="GEH3" s="4"/>
      <c r="GEI3" s="4"/>
      <c r="GEJ3" s="4"/>
      <c r="GEK3" s="4"/>
      <c r="GEL3" s="4"/>
      <c r="GEM3" s="4"/>
      <c r="GEN3" s="4"/>
      <c r="GEO3" s="4"/>
      <c r="GEP3" s="4"/>
      <c r="GEQ3" s="4"/>
      <c r="GER3" s="4"/>
      <c r="GES3" s="4"/>
      <c r="GET3" s="4"/>
      <c r="GEU3" s="4"/>
      <c r="GEV3" s="4"/>
      <c r="GEW3" s="4"/>
      <c r="GEX3" s="4"/>
      <c r="GEY3" s="4"/>
      <c r="GEZ3" s="4"/>
      <c r="GFA3" s="4"/>
      <c r="GFB3" s="4"/>
      <c r="GFC3" s="4"/>
      <c r="GFD3" s="4"/>
      <c r="GFE3" s="4"/>
      <c r="GFF3" s="4"/>
      <c r="GFG3" s="4"/>
      <c r="GFH3" s="4"/>
      <c r="GFI3" s="4"/>
      <c r="GFJ3" s="4"/>
      <c r="GFK3" s="4"/>
      <c r="GFL3" s="4"/>
      <c r="GFM3" s="4"/>
      <c r="GFN3" s="4"/>
      <c r="GFO3" s="4"/>
      <c r="GFP3" s="4"/>
      <c r="GFQ3" s="4"/>
      <c r="GFR3" s="4"/>
      <c r="GFS3" s="4"/>
      <c r="GFT3" s="4"/>
      <c r="GFU3" s="4"/>
      <c r="GFV3" s="4"/>
      <c r="GFW3" s="4"/>
      <c r="GFX3" s="4"/>
      <c r="GFY3" s="4"/>
      <c r="GFZ3" s="4"/>
      <c r="GGA3" s="4"/>
      <c r="GGB3" s="4"/>
      <c r="GGC3" s="4"/>
      <c r="GGD3" s="4"/>
      <c r="GGE3" s="4"/>
      <c r="GGF3" s="4"/>
      <c r="GGG3" s="4"/>
      <c r="GGH3" s="4"/>
      <c r="GGI3" s="4"/>
      <c r="GGJ3" s="4"/>
      <c r="GGK3" s="4"/>
      <c r="GGL3" s="4"/>
      <c r="GGM3" s="4"/>
      <c r="GGN3" s="4"/>
      <c r="GGO3" s="4"/>
      <c r="GGP3" s="4"/>
      <c r="GGQ3" s="4"/>
      <c r="GGR3" s="4"/>
      <c r="GGS3" s="4"/>
      <c r="GGT3" s="4"/>
      <c r="GGU3" s="4"/>
      <c r="GGV3" s="4"/>
      <c r="GGW3" s="4"/>
      <c r="GGX3" s="4"/>
      <c r="GGY3" s="4"/>
      <c r="GGZ3" s="4"/>
      <c r="GHA3" s="4"/>
      <c r="GHB3" s="4"/>
      <c r="GHC3" s="4"/>
      <c r="GHD3" s="4"/>
      <c r="GHE3" s="4"/>
      <c r="GHF3" s="4"/>
      <c r="GHG3" s="4"/>
      <c r="GHH3" s="4"/>
      <c r="GHI3" s="4"/>
      <c r="GHJ3" s="4"/>
      <c r="GHK3" s="4"/>
      <c r="GHL3" s="4"/>
      <c r="GHM3" s="4"/>
      <c r="GHN3" s="4"/>
      <c r="GHO3" s="4"/>
      <c r="GHP3" s="4"/>
      <c r="GHQ3" s="4"/>
      <c r="GHR3" s="4"/>
      <c r="GHS3" s="4"/>
      <c r="GHT3" s="4"/>
      <c r="GHU3" s="4"/>
      <c r="GHV3" s="4"/>
      <c r="GHW3" s="4"/>
      <c r="GHX3" s="4"/>
      <c r="GHY3" s="4"/>
      <c r="GHZ3" s="4"/>
      <c r="GIA3" s="4"/>
      <c r="GIB3" s="4"/>
      <c r="GIC3" s="4"/>
      <c r="GID3" s="4"/>
      <c r="GIE3" s="4"/>
      <c r="GIF3" s="4"/>
      <c r="GIG3" s="4"/>
      <c r="GIH3" s="4"/>
      <c r="GII3" s="4"/>
      <c r="GIJ3" s="4"/>
      <c r="GIK3" s="4"/>
      <c r="GIL3" s="4"/>
      <c r="GIM3" s="4"/>
      <c r="GIN3" s="4"/>
      <c r="GIO3" s="4"/>
      <c r="GIP3" s="4"/>
      <c r="GIQ3" s="4"/>
      <c r="GIR3" s="4"/>
      <c r="GIS3" s="4"/>
      <c r="GIT3" s="4"/>
      <c r="GIU3" s="4"/>
      <c r="GIV3" s="4"/>
      <c r="GIW3" s="4"/>
      <c r="GIX3" s="4"/>
      <c r="GIY3" s="4"/>
      <c r="GIZ3" s="4"/>
      <c r="GJA3" s="4"/>
      <c r="GJB3" s="4"/>
      <c r="GJC3" s="4"/>
      <c r="GJD3" s="4"/>
      <c r="GJE3" s="4"/>
      <c r="GJF3" s="4"/>
      <c r="GJG3" s="4"/>
      <c r="GJH3" s="4"/>
      <c r="GJI3" s="4"/>
      <c r="GJJ3" s="4"/>
      <c r="GJK3" s="4"/>
      <c r="GJL3" s="4"/>
      <c r="GJM3" s="4"/>
      <c r="GJN3" s="4"/>
      <c r="GJO3" s="4"/>
      <c r="GJP3" s="4"/>
      <c r="GJQ3" s="4"/>
      <c r="GJR3" s="4"/>
      <c r="GJS3" s="4"/>
      <c r="GJT3" s="4"/>
      <c r="GJU3" s="4"/>
      <c r="GJV3" s="4"/>
      <c r="GJW3" s="4"/>
      <c r="GJX3" s="4"/>
      <c r="GJY3" s="4"/>
      <c r="GJZ3" s="4"/>
      <c r="GKA3" s="4"/>
      <c r="GKB3" s="4"/>
      <c r="GKC3" s="4"/>
      <c r="GKD3" s="4"/>
      <c r="GKE3" s="4"/>
      <c r="GKF3" s="4"/>
      <c r="GKG3" s="4"/>
      <c r="GKH3" s="4"/>
      <c r="GKI3" s="4"/>
      <c r="GKJ3" s="4"/>
      <c r="GKK3" s="4"/>
      <c r="GKL3" s="4"/>
      <c r="GKM3" s="4"/>
      <c r="GKN3" s="4"/>
      <c r="GKO3" s="4"/>
      <c r="GKP3" s="4"/>
      <c r="GKQ3" s="4"/>
      <c r="GKR3" s="4"/>
      <c r="GKS3" s="4"/>
      <c r="GKT3" s="4"/>
      <c r="GKU3" s="4"/>
      <c r="GKV3" s="4"/>
      <c r="GKW3" s="4"/>
      <c r="GKX3" s="4"/>
      <c r="GKY3" s="4"/>
      <c r="GKZ3" s="4"/>
      <c r="GLA3" s="4"/>
      <c r="GLB3" s="4"/>
      <c r="GLC3" s="4"/>
      <c r="GLD3" s="4"/>
      <c r="GLE3" s="4"/>
      <c r="GLF3" s="4"/>
      <c r="GLG3" s="4"/>
      <c r="GLH3" s="4"/>
      <c r="GLI3" s="4"/>
      <c r="GLJ3" s="4"/>
      <c r="GLK3" s="4"/>
      <c r="GLL3" s="4"/>
      <c r="GLM3" s="4"/>
      <c r="GLN3" s="4"/>
      <c r="GLO3" s="4"/>
      <c r="GLP3" s="4"/>
      <c r="GLQ3" s="4"/>
      <c r="GLR3" s="4"/>
      <c r="GLS3" s="4"/>
      <c r="GLT3" s="4"/>
      <c r="GLU3" s="4"/>
      <c r="GLV3" s="4"/>
      <c r="GLW3" s="4"/>
      <c r="GLX3" s="4"/>
      <c r="GLY3" s="4"/>
      <c r="GLZ3" s="4"/>
      <c r="GMA3" s="4"/>
      <c r="GMB3" s="4"/>
      <c r="GMC3" s="4"/>
      <c r="GMD3" s="4"/>
      <c r="GME3" s="4"/>
      <c r="GMF3" s="4"/>
      <c r="GMG3" s="4"/>
      <c r="GMH3" s="4"/>
      <c r="GMI3" s="4"/>
      <c r="GMJ3" s="4"/>
      <c r="GMK3" s="4"/>
      <c r="GML3" s="4"/>
      <c r="GMM3" s="4"/>
      <c r="GMN3" s="4"/>
      <c r="GMO3" s="4"/>
      <c r="GMP3" s="4"/>
      <c r="GMQ3" s="4"/>
      <c r="GMR3" s="4"/>
      <c r="GMS3" s="4"/>
      <c r="GMT3" s="4"/>
      <c r="GMU3" s="4"/>
      <c r="GMV3" s="4"/>
      <c r="GMW3" s="4"/>
      <c r="GMX3" s="4"/>
      <c r="GMY3" s="4"/>
      <c r="GMZ3" s="4"/>
      <c r="GNA3" s="4"/>
      <c r="GNB3" s="4"/>
      <c r="GNC3" s="4"/>
      <c r="GND3" s="4"/>
      <c r="GNE3" s="4"/>
      <c r="GNF3" s="4"/>
      <c r="GNG3" s="4"/>
      <c r="GNH3" s="4"/>
      <c r="GNI3" s="4"/>
      <c r="GNJ3" s="4"/>
      <c r="GNK3" s="4"/>
      <c r="GNL3" s="4"/>
      <c r="GNM3" s="4"/>
      <c r="GNN3" s="4"/>
      <c r="GNO3" s="4"/>
      <c r="GNP3" s="4"/>
      <c r="GNQ3" s="4"/>
      <c r="GNR3" s="4"/>
      <c r="GNS3" s="4"/>
      <c r="GNT3" s="4"/>
      <c r="GNU3" s="4"/>
      <c r="GNV3" s="4"/>
      <c r="GNW3" s="4"/>
      <c r="GNX3" s="4"/>
      <c r="GNY3" s="4"/>
      <c r="GNZ3" s="4"/>
      <c r="GOA3" s="4"/>
      <c r="GOB3" s="4"/>
      <c r="GOC3" s="4"/>
      <c r="GOD3" s="4"/>
      <c r="GOE3" s="4"/>
      <c r="GOF3" s="4"/>
      <c r="GOG3" s="4"/>
      <c r="GOH3" s="4"/>
      <c r="GOI3" s="4"/>
      <c r="GOJ3" s="4"/>
      <c r="GOK3" s="4"/>
      <c r="GOL3" s="4"/>
      <c r="GOM3" s="4"/>
      <c r="GON3" s="4"/>
      <c r="GOO3" s="4"/>
      <c r="GOP3" s="4"/>
      <c r="GOQ3" s="4"/>
      <c r="GOR3" s="4"/>
      <c r="GOS3" s="4"/>
      <c r="GOT3" s="4"/>
      <c r="GOU3" s="4"/>
      <c r="GOV3" s="4"/>
      <c r="GOW3" s="4"/>
      <c r="GOX3" s="4"/>
      <c r="GOY3" s="4"/>
      <c r="GOZ3" s="4"/>
      <c r="GPA3" s="4"/>
      <c r="GPB3" s="4"/>
      <c r="GPC3" s="4"/>
      <c r="GPD3" s="4"/>
      <c r="GPE3" s="4"/>
      <c r="GPF3" s="4"/>
      <c r="GPG3" s="4"/>
      <c r="GPH3" s="4"/>
      <c r="GPI3" s="4"/>
      <c r="GPJ3" s="4"/>
      <c r="GPK3" s="4"/>
      <c r="GPL3" s="4"/>
      <c r="GPM3" s="4"/>
      <c r="GPN3" s="4"/>
      <c r="GPO3" s="4"/>
      <c r="GPP3" s="4"/>
      <c r="GPQ3" s="4"/>
      <c r="GPR3" s="4"/>
      <c r="GPS3" s="4"/>
      <c r="GPT3" s="4"/>
      <c r="GPU3" s="4"/>
      <c r="GPV3" s="4"/>
      <c r="GPW3" s="4"/>
      <c r="GPX3" s="4"/>
      <c r="GPY3" s="4"/>
      <c r="GPZ3" s="4"/>
      <c r="GQA3" s="4"/>
      <c r="GQB3" s="4"/>
      <c r="GQC3" s="4"/>
      <c r="GQD3" s="4"/>
      <c r="GQE3" s="4"/>
      <c r="GQF3" s="4"/>
      <c r="GQG3" s="4"/>
      <c r="GQH3" s="4"/>
      <c r="GQI3" s="4"/>
      <c r="GQJ3" s="4"/>
      <c r="GQK3" s="4"/>
      <c r="GQL3" s="4"/>
      <c r="GQM3" s="4"/>
      <c r="GQN3" s="4"/>
      <c r="GQO3" s="4"/>
      <c r="GQP3" s="4"/>
      <c r="GQQ3" s="4"/>
      <c r="GQR3" s="4"/>
      <c r="GQS3" s="4"/>
      <c r="GQT3" s="4"/>
      <c r="GQU3" s="4"/>
      <c r="GQV3" s="4"/>
      <c r="GQW3" s="4"/>
      <c r="GQX3" s="4"/>
      <c r="GQY3" s="4"/>
      <c r="GQZ3" s="4"/>
      <c r="GRA3" s="4"/>
      <c r="GRB3" s="4"/>
      <c r="GRC3" s="4"/>
      <c r="GRD3" s="4"/>
      <c r="GRE3" s="4"/>
      <c r="GRF3" s="4"/>
      <c r="GRG3" s="4"/>
      <c r="GRH3" s="4"/>
      <c r="GRI3" s="4"/>
      <c r="GRJ3" s="4"/>
      <c r="GRK3" s="4"/>
      <c r="GRL3" s="4"/>
      <c r="GRM3" s="4"/>
      <c r="GRN3" s="4"/>
      <c r="GRO3" s="4"/>
      <c r="GRP3" s="4"/>
      <c r="GRQ3" s="4"/>
      <c r="GRR3" s="4"/>
      <c r="GRS3" s="4"/>
      <c r="GRT3" s="4"/>
      <c r="GRU3" s="4"/>
      <c r="GRV3" s="4"/>
      <c r="GRW3" s="4"/>
      <c r="GRX3" s="4"/>
      <c r="GRY3" s="4"/>
      <c r="GRZ3" s="4"/>
      <c r="GSA3" s="4"/>
      <c r="GSB3" s="4"/>
      <c r="GSC3" s="4"/>
      <c r="GSD3" s="4"/>
      <c r="GSE3" s="4"/>
      <c r="GSF3" s="4"/>
      <c r="GSG3" s="4"/>
      <c r="GSH3" s="4"/>
      <c r="GSI3" s="4"/>
      <c r="GSJ3" s="4"/>
      <c r="GSK3" s="4"/>
      <c r="GSL3" s="4"/>
      <c r="GSM3" s="4"/>
      <c r="GSN3" s="4"/>
      <c r="GSO3" s="4"/>
      <c r="GSP3" s="4"/>
      <c r="GSQ3" s="4"/>
      <c r="GSR3" s="4"/>
      <c r="GSS3" s="4"/>
      <c r="GST3" s="4"/>
      <c r="GSU3" s="4"/>
      <c r="GSV3" s="4"/>
      <c r="GSW3" s="4"/>
      <c r="GSX3" s="4"/>
      <c r="GSY3" s="4"/>
      <c r="GSZ3" s="4"/>
      <c r="GTA3" s="4"/>
      <c r="GTB3" s="4"/>
      <c r="GTC3" s="4"/>
      <c r="GTD3" s="4"/>
      <c r="GTE3" s="4"/>
      <c r="GTF3" s="4"/>
      <c r="GTG3" s="4"/>
      <c r="GTH3" s="4"/>
      <c r="GTI3" s="4"/>
      <c r="GTJ3" s="4"/>
      <c r="GTK3" s="4"/>
      <c r="GTL3" s="4"/>
      <c r="GTM3" s="4"/>
      <c r="GTN3" s="4"/>
      <c r="GTO3" s="4"/>
      <c r="GTP3" s="4"/>
      <c r="GTQ3" s="4"/>
      <c r="GTR3" s="4"/>
      <c r="GTS3" s="4"/>
      <c r="GTT3" s="4"/>
      <c r="GTU3" s="4"/>
      <c r="GTV3" s="4"/>
      <c r="GTW3" s="4"/>
      <c r="GTX3" s="4"/>
      <c r="GTY3" s="4"/>
      <c r="GTZ3" s="4"/>
      <c r="GUA3" s="4"/>
      <c r="GUB3" s="4"/>
      <c r="GUC3" s="4"/>
      <c r="GUD3" s="4"/>
      <c r="GUE3" s="4"/>
      <c r="GUF3" s="4"/>
      <c r="GUG3" s="4"/>
      <c r="GUH3" s="4"/>
      <c r="GUI3" s="4"/>
      <c r="GUJ3" s="4"/>
      <c r="GUK3" s="4"/>
      <c r="GUL3" s="4"/>
      <c r="GUM3" s="4"/>
      <c r="GUN3" s="4"/>
      <c r="GUO3" s="4"/>
      <c r="GUP3" s="4"/>
      <c r="GUQ3" s="4"/>
      <c r="GUR3" s="4"/>
      <c r="GUS3" s="4"/>
      <c r="GUT3" s="4"/>
      <c r="GUU3" s="4"/>
      <c r="GUV3" s="4"/>
      <c r="GUW3" s="4"/>
      <c r="GUX3" s="4"/>
      <c r="GUY3" s="4"/>
      <c r="GUZ3" s="4"/>
      <c r="GVA3" s="4"/>
      <c r="GVB3" s="4"/>
      <c r="GVC3" s="4"/>
      <c r="GVD3" s="4"/>
      <c r="GVE3" s="4"/>
      <c r="GVF3" s="4"/>
      <c r="GVG3" s="4"/>
      <c r="GVH3" s="4"/>
      <c r="GVI3" s="4"/>
      <c r="GVJ3" s="4"/>
      <c r="GVK3" s="4"/>
      <c r="GVL3" s="4"/>
      <c r="GVM3" s="4"/>
      <c r="GVN3" s="4"/>
      <c r="GVO3" s="4"/>
      <c r="GVP3" s="4"/>
      <c r="GVQ3" s="4"/>
      <c r="GVR3" s="4"/>
      <c r="GVS3" s="4"/>
      <c r="GVT3" s="4"/>
      <c r="GVU3" s="4"/>
      <c r="GVV3" s="4"/>
      <c r="GVW3" s="4"/>
      <c r="GVX3" s="4"/>
      <c r="GVY3" s="4"/>
      <c r="GVZ3" s="4"/>
      <c r="GWA3" s="4"/>
      <c r="GWB3" s="4"/>
      <c r="GWC3" s="4"/>
      <c r="GWD3" s="4"/>
      <c r="GWE3" s="4"/>
      <c r="GWF3" s="4"/>
      <c r="GWG3" s="4"/>
      <c r="GWH3" s="4"/>
      <c r="GWI3" s="4"/>
      <c r="GWJ3" s="4"/>
      <c r="GWK3" s="4"/>
      <c r="GWL3" s="4"/>
      <c r="GWM3" s="4"/>
      <c r="GWN3" s="4"/>
      <c r="GWO3" s="4"/>
      <c r="GWP3" s="4"/>
      <c r="GWQ3" s="4"/>
      <c r="GWR3" s="4"/>
      <c r="GWS3" s="4"/>
      <c r="GWT3" s="4"/>
      <c r="GWU3" s="4"/>
      <c r="GWV3" s="4"/>
      <c r="GWW3" s="4"/>
      <c r="GWX3" s="4"/>
      <c r="GWY3" s="4"/>
      <c r="GWZ3" s="4"/>
      <c r="GXA3" s="4"/>
      <c r="GXB3" s="4"/>
      <c r="GXC3" s="4"/>
      <c r="GXD3" s="4"/>
      <c r="GXE3" s="4"/>
      <c r="GXF3" s="4"/>
      <c r="GXG3" s="4"/>
      <c r="GXH3" s="4"/>
      <c r="GXI3" s="4"/>
      <c r="GXJ3" s="4"/>
      <c r="GXK3" s="4"/>
      <c r="GXL3" s="4"/>
      <c r="GXM3" s="4"/>
      <c r="GXN3" s="4"/>
      <c r="GXO3" s="4"/>
      <c r="GXP3" s="4"/>
      <c r="GXQ3" s="4"/>
      <c r="GXR3" s="4"/>
      <c r="GXS3" s="4"/>
      <c r="GXT3" s="4"/>
      <c r="GXU3" s="4"/>
      <c r="GXV3" s="4"/>
      <c r="GXW3" s="4"/>
      <c r="GXX3" s="4"/>
      <c r="GXY3" s="4"/>
      <c r="GXZ3" s="4"/>
      <c r="GYA3" s="4"/>
      <c r="GYB3" s="4"/>
      <c r="GYC3" s="4"/>
      <c r="GYD3" s="4"/>
      <c r="GYE3" s="4"/>
      <c r="GYF3" s="4"/>
      <c r="GYG3" s="4"/>
      <c r="GYH3" s="4"/>
      <c r="GYI3" s="4"/>
      <c r="GYJ3" s="4"/>
      <c r="GYK3" s="4"/>
      <c r="GYL3" s="4"/>
      <c r="GYM3" s="4"/>
      <c r="GYN3" s="4"/>
      <c r="GYO3" s="4"/>
      <c r="GYP3" s="4"/>
      <c r="GYQ3" s="4"/>
      <c r="GYR3" s="4"/>
      <c r="GYS3" s="4"/>
      <c r="GYT3" s="4"/>
      <c r="GYU3" s="4"/>
      <c r="GYV3" s="4"/>
      <c r="GYW3" s="4"/>
      <c r="GYX3" s="4"/>
      <c r="GYY3" s="4"/>
      <c r="GYZ3" s="4"/>
      <c r="GZA3" s="4"/>
      <c r="GZB3" s="4"/>
      <c r="GZC3" s="4"/>
      <c r="GZD3" s="4"/>
      <c r="GZE3" s="4"/>
      <c r="GZF3" s="4"/>
      <c r="GZG3" s="4"/>
      <c r="GZH3" s="4"/>
      <c r="GZI3" s="4"/>
      <c r="GZJ3" s="4"/>
      <c r="GZK3" s="4"/>
      <c r="GZL3" s="4"/>
      <c r="GZM3" s="4"/>
      <c r="GZN3" s="4"/>
      <c r="GZO3" s="4"/>
      <c r="GZP3" s="4"/>
      <c r="GZQ3" s="4"/>
      <c r="GZR3" s="4"/>
      <c r="GZS3" s="4"/>
      <c r="GZT3" s="4"/>
      <c r="GZU3" s="4"/>
      <c r="GZV3" s="4"/>
      <c r="GZW3" s="4"/>
      <c r="GZX3" s="4"/>
      <c r="GZY3" s="4"/>
      <c r="GZZ3" s="4"/>
      <c r="HAA3" s="4"/>
      <c r="HAB3" s="4"/>
      <c r="HAC3" s="4"/>
      <c r="HAD3" s="4"/>
      <c r="HAE3" s="4"/>
      <c r="HAF3" s="4"/>
      <c r="HAG3" s="4"/>
      <c r="HAH3" s="4"/>
      <c r="HAI3" s="4"/>
      <c r="HAJ3" s="4"/>
      <c r="HAK3" s="4"/>
      <c r="HAL3" s="4"/>
      <c r="HAM3" s="4"/>
      <c r="HAN3" s="4"/>
      <c r="HAO3" s="4"/>
      <c r="HAP3" s="4"/>
      <c r="HAQ3" s="4"/>
      <c r="HAR3" s="4"/>
      <c r="HAS3" s="4"/>
      <c r="HAT3" s="4"/>
      <c r="HAU3" s="4"/>
      <c r="HAV3" s="4"/>
      <c r="HAW3" s="4"/>
      <c r="HAX3" s="4"/>
      <c r="HAY3" s="4"/>
      <c r="HAZ3" s="4"/>
      <c r="HBA3" s="4"/>
      <c r="HBB3" s="4"/>
      <c r="HBC3" s="4"/>
      <c r="HBD3" s="4"/>
      <c r="HBE3" s="4"/>
      <c r="HBF3" s="4"/>
      <c r="HBG3" s="4"/>
      <c r="HBH3" s="4"/>
      <c r="HBI3" s="4"/>
      <c r="HBJ3" s="4"/>
      <c r="HBK3" s="4"/>
      <c r="HBL3" s="4"/>
      <c r="HBM3" s="4"/>
      <c r="HBN3" s="4"/>
      <c r="HBO3" s="4"/>
      <c r="HBP3" s="4"/>
      <c r="HBQ3" s="4"/>
      <c r="HBR3" s="4"/>
      <c r="HBS3" s="4"/>
      <c r="HBT3" s="4"/>
      <c r="HBU3" s="4"/>
      <c r="HBV3" s="4"/>
      <c r="HBW3" s="4"/>
      <c r="HBX3" s="4"/>
      <c r="HBY3" s="4"/>
      <c r="HBZ3" s="4"/>
      <c r="HCA3" s="4"/>
      <c r="HCB3" s="4"/>
      <c r="HCC3" s="4"/>
      <c r="HCD3" s="4"/>
      <c r="HCE3" s="4"/>
      <c r="HCF3" s="4"/>
      <c r="HCG3" s="4"/>
      <c r="HCH3" s="4"/>
      <c r="HCI3" s="4"/>
      <c r="HCJ3" s="4"/>
      <c r="HCK3" s="4"/>
      <c r="HCL3" s="4"/>
      <c r="HCM3" s="4"/>
      <c r="HCN3" s="4"/>
      <c r="HCO3" s="4"/>
      <c r="HCP3" s="4"/>
      <c r="HCQ3" s="4"/>
      <c r="HCR3" s="4"/>
      <c r="HCS3" s="4"/>
      <c r="HCT3" s="4"/>
      <c r="HCU3" s="4"/>
      <c r="HCV3" s="4"/>
      <c r="HCW3" s="4"/>
      <c r="HCX3" s="4"/>
      <c r="HCY3" s="4"/>
      <c r="HCZ3" s="4"/>
      <c r="HDA3" s="4"/>
      <c r="HDB3" s="4"/>
      <c r="HDC3" s="4"/>
      <c r="HDD3" s="4"/>
      <c r="HDE3" s="4"/>
      <c r="HDF3" s="4"/>
      <c r="HDG3" s="4"/>
      <c r="HDH3" s="4"/>
      <c r="HDI3" s="4"/>
      <c r="HDJ3" s="4"/>
      <c r="HDK3" s="4"/>
      <c r="HDL3" s="4"/>
      <c r="HDM3" s="4"/>
      <c r="HDN3" s="4"/>
      <c r="HDO3" s="4"/>
      <c r="HDP3" s="4"/>
      <c r="HDQ3" s="4"/>
      <c r="HDR3" s="4"/>
      <c r="HDS3" s="4"/>
      <c r="HDT3" s="4"/>
      <c r="HDU3" s="4"/>
      <c r="HDV3" s="4"/>
      <c r="HDW3" s="4"/>
      <c r="HDX3" s="4"/>
      <c r="HDY3" s="4"/>
      <c r="HDZ3" s="4"/>
      <c r="HEA3" s="4"/>
      <c r="HEB3" s="4"/>
      <c r="HEC3" s="4"/>
      <c r="HED3" s="4"/>
      <c r="HEE3" s="4"/>
      <c r="HEF3" s="4"/>
      <c r="HEG3" s="4"/>
      <c r="HEH3" s="4"/>
      <c r="HEI3" s="4"/>
      <c r="HEJ3" s="4"/>
      <c r="HEK3" s="4"/>
      <c r="HEL3" s="4"/>
      <c r="HEM3" s="4"/>
      <c r="HEN3" s="4"/>
      <c r="HEO3" s="4"/>
      <c r="HEP3" s="4"/>
      <c r="HEQ3" s="4"/>
      <c r="HER3" s="4"/>
      <c r="HES3" s="4"/>
      <c r="HET3" s="4"/>
      <c r="HEU3" s="4"/>
      <c r="HEV3" s="4"/>
      <c r="HEW3" s="4"/>
      <c r="HEX3" s="4"/>
      <c r="HEY3" s="4"/>
      <c r="HEZ3" s="4"/>
      <c r="HFA3" s="4"/>
      <c r="HFB3" s="4"/>
      <c r="HFC3" s="4"/>
      <c r="HFD3" s="4"/>
      <c r="HFE3" s="4"/>
      <c r="HFF3" s="4"/>
      <c r="HFG3" s="4"/>
      <c r="HFH3" s="4"/>
      <c r="HFI3" s="4"/>
      <c r="HFJ3" s="4"/>
      <c r="HFK3" s="4"/>
      <c r="HFL3" s="4"/>
      <c r="HFM3" s="4"/>
      <c r="HFN3" s="4"/>
      <c r="HFO3" s="4"/>
      <c r="HFP3" s="4"/>
      <c r="HFQ3" s="4"/>
      <c r="HFR3" s="4"/>
      <c r="HFS3" s="4"/>
      <c r="HFT3" s="4"/>
      <c r="HFU3" s="4"/>
      <c r="HFV3" s="4"/>
      <c r="HFW3" s="4"/>
      <c r="HFX3" s="4"/>
      <c r="HFY3" s="4"/>
      <c r="HFZ3" s="4"/>
      <c r="HGA3" s="4"/>
      <c r="HGB3" s="4"/>
      <c r="HGC3" s="4"/>
      <c r="HGD3" s="4"/>
      <c r="HGE3" s="4"/>
      <c r="HGF3" s="4"/>
      <c r="HGG3" s="4"/>
      <c r="HGH3" s="4"/>
      <c r="HGI3" s="4"/>
      <c r="HGJ3" s="4"/>
      <c r="HGK3" s="4"/>
      <c r="HGL3" s="4"/>
      <c r="HGM3" s="4"/>
      <c r="HGN3" s="4"/>
      <c r="HGO3" s="4"/>
      <c r="HGP3" s="4"/>
      <c r="HGQ3" s="4"/>
      <c r="HGR3" s="4"/>
      <c r="HGS3" s="4"/>
      <c r="HGT3" s="4"/>
      <c r="HGU3" s="4"/>
      <c r="HGV3" s="4"/>
      <c r="HGW3" s="4"/>
      <c r="HGX3" s="4"/>
      <c r="HGY3" s="4"/>
      <c r="HGZ3" s="4"/>
      <c r="HHA3" s="4"/>
      <c r="HHB3" s="4"/>
      <c r="HHC3" s="4"/>
      <c r="HHD3" s="4"/>
      <c r="HHE3" s="4"/>
      <c r="HHF3" s="4"/>
      <c r="HHG3" s="4"/>
      <c r="HHH3" s="4"/>
      <c r="HHI3" s="4"/>
      <c r="HHJ3" s="4"/>
      <c r="HHK3" s="4"/>
      <c r="HHL3" s="4"/>
      <c r="HHM3" s="4"/>
      <c r="HHN3" s="4"/>
      <c r="HHO3" s="4"/>
      <c r="HHP3" s="4"/>
      <c r="HHQ3" s="4"/>
      <c r="HHR3" s="4"/>
      <c r="HHS3" s="4"/>
      <c r="HHT3" s="4"/>
      <c r="HHU3" s="4"/>
      <c r="HHV3" s="4"/>
      <c r="HHW3" s="4"/>
      <c r="HHX3" s="4"/>
      <c r="HHY3" s="4"/>
      <c r="HHZ3" s="4"/>
      <c r="HIA3" s="4"/>
      <c r="HIB3" s="4"/>
      <c r="HIC3" s="4"/>
      <c r="HID3" s="4"/>
      <c r="HIE3" s="4"/>
      <c r="HIF3" s="4"/>
      <c r="HIG3" s="4"/>
      <c r="HIH3" s="4"/>
      <c r="HII3" s="4"/>
      <c r="HIJ3" s="4"/>
      <c r="HIK3" s="4"/>
      <c r="HIL3" s="4"/>
      <c r="HIM3" s="4"/>
      <c r="HIN3" s="4"/>
      <c r="HIO3" s="4"/>
      <c r="HIP3" s="4"/>
      <c r="HIQ3" s="4"/>
      <c r="HIR3" s="4"/>
      <c r="HIS3" s="4"/>
      <c r="HIT3" s="4"/>
      <c r="HIU3" s="4"/>
      <c r="HIV3" s="4"/>
      <c r="HIW3" s="4"/>
      <c r="HIX3" s="4"/>
      <c r="HIY3" s="4"/>
      <c r="HIZ3" s="4"/>
      <c r="HJA3" s="4"/>
      <c r="HJB3" s="4"/>
      <c r="HJC3" s="4"/>
      <c r="HJD3" s="4"/>
      <c r="HJE3" s="4"/>
      <c r="HJF3" s="4"/>
      <c r="HJG3" s="4"/>
      <c r="HJH3" s="4"/>
      <c r="HJI3" s="4"/>
      <c r="HJJ3" s="4"/>
      <c r="HJK3" s="4"/>
      <c r="HJL3" s="4"/>
      <c r="HJM3" s="4"/>
      <c r="HJN3" s="4"/>
      <c r="HJO3" s="4"/>
      <c r="HJP3" s="4"/>
      <c r="HJQ3" s="4"/>
      <c r="HJR3" s="4"/>
      <c r="HJS3" s="4"/>
      <c r="HJT3" s="4"/>
      <c r="HJU3" s="4"/>
      <c r="HJV3" s="4"/>
      <c r="HJW3" s="4"/>
      <c r="HJX3" s="4"/>
      <c r="HJY3" s="4"/>
      <c r="HJZ3" s="4"/>
      <c r="HKA3" s="4"/>
      <c r="HKB3" s="4"/>
      <c r="HKC3" s="4"/>
      <c r="HKD3" s="4"/>
      <c r="HKE3" s="4"/>
      <c r="HKF3" s="4"/>
      <c r="HKG3" s="4"/>
      <c r="HKH3" s="4"/>
      <c r="HKI3" s="4"/>
      <c r="HKJ3" s="4"/>
      <c r="HKK3" s="4"/>
      <c r="HKL3" s="4"/>
      <c r="HKM3" s="4"/>
      <c r="HKN3" s="4"/>
      <c r="HKO3" s="4"/>
      <c r="HKP3" s="4"/>
      <c r="HKQ3" s="4"/>
      <c r="HKR3" s="4"/>
      <c r="HKS3" s="4"/>
      <c r="HKT3" s="4"/>
      <c r="HKU3" s="4"/>
      <c r="HKV3" s="4"/>
      <c r="HKW3" s="4"/>
      <c r="HKX3" s="4"/>
      <c r="HKY3" s="4"/>
      <c r="HKZ3" s="4"/>
      <c r="HLA3" s="4"/>
      <c r="HLB3" s="4"/>
      <c r="HLC3" s="4"/>
      <c r="HLD3" s="4"/>
      <c r="HLE3" s="4"/>
      <c r="HLF3" s="4"/>
      <c r="HLG3" s="4"/>
      <c r="HLH3" s="4"/>
      <c r="HLI3" s="4"/>
      <c r="HLJ3" s="4"/>
      <c r="HLK3" s="4"/>
      <c r="HLL3" s="4"/>
      <c r="HLM3" s="4"/>
      <c r="HLN3" s="4"/>
      <c r="HLO3" s="4"/>
      <c r="HLP3" s="4"/>
      <c r="HLQ3" s="4"/>
      <c r="HLR3" s="4"/>
      <c r="HLS3" s="4"/>
      <c r="HLT3" s="4"/>
      <c r="HLU3" s="4"/>
      <c r="HLV3" s="4"/>
      <c r="HLW3" s="4"/>
      <c r="HLX3" s="4"/>
      <c r="HLY3" s="4"/>
      <c r="HLZ3" s="4"/>
      <c r="HMA3" s="4"/>
      <c r="HMB3" s="4"/>
      <c r="HMC3" s="4"/>
      <c r="HMD3" s="4"/>
      <c r="HME3" s="4"/>
      <c r="HMF3" s="4"/>
      <c r="HMG3" s="4"/>
      <c r="HMH3" s="4"/>
      <c r="HMI3" s="4"/>
      <c r="HMJ3" s="4"/>
      <c r="HMK3" s="4"/>
      <c r="HML3" s="4"/>
      <c r="HMM3" s="4"/>
      <c r="HMN3" s="4"/>
      <c r="HMO3" s="4"/>
      <c r="HMP3" s="4"/>
      <c r="HMQ3" s="4"/>
      <c r="HMR3" s="4"/>
      <c r="HMS3" s="4"/>
      <c r="HMT3" s="4"/>
      <c r="HMU3" s="4"/>
      <c r="HMV3" s="4"/>
      <c r="HMW3" s="4"/>
      <c r="HMX3" s="4"/>
      <c r="HMY3" s="4"/>
      <c r="HMZ3" s="4"/>
      <c r="HNA3" s="4"/>
      <c r="HNB3" s="4"/>
      <c r="HNC3" s="4"/>
      <c r="HND3" s="4"/>
      <c r="HNE3" s="4"/>
      <c r="HNF3" s="4"/>
      <c r="HNG3" s="4"/>
      <c r="HNH3" s="4"/>
      <c r="HNI3" s="4"/>
      <c r="HNJ3" s="4"/>
      <c r="HNK3" s="4"/>
      <c r="HNL3" s="4"/>
      <c r="HNM3" s="4"/>
      <c r="HNN3" s="4"/>
      <c r="HNO3" s="4"/>
      <c r="HNP3" s="4"/>
      <c r="HNQ3" s="4"/>
      <c r="HNR3" s="4"/>
      <c r="HNS3" s="4"/>
      <c r="HNT3" s="4"/>
      <c r="HNU3" s="4"/>
      <c r="HNV3" s="4"/>
      <c r="HNW3" s="4"/>
      <c r="HNX3" s="4"/>
      <c r="HNY3" s="4"/>
      <c r="HNZ3" s="4"/>
      <c r="HOA3" s="4"/>
      <c r="HOB3" s="4"/>
      <c r="HOC3" s="4"/>
      <c r="HOD3" s="4"/>
      <c r="HOE3" s="4"/>
      <c r="HOF3" s="4"/>
      <c r="HOG3" s="4"/>
      <c r="HOH3" s="4"/>
      <c r="HOI3" s="4"/>
      <c r="HOJ3" s="4"/>
      <c r="HOK3" s="4"/>
      <c r="HOL3" s="4"/>
      <c r="HOM3" s="4"/>
      <c r="HON3" s="4"/>
      <c r="HOO3" s="4"/>
      <c r="HOP3" s="4"/>
      <c r="HOQ3" s="4"/>
      <c r="HOR3" s="4"/>
      <c r="HOS3" s="4"/>
      <c r="HOT3" s="4"/>
      <c r="HOU3" s="4"/>
      <c r="HOV3" s="4"/>
      <c r="HOW3" s="4"/>
      <c r="HOX3" s="4"/>
      <c r="HOY3" s="4"/>
      <c r="HOZ3" s="4"/>
      <c r="HPA3" s="4"/>
      <c r="HPB3" s="4"/>
      <c r="HPC3" s="4"/>
      <c r="HPD3" s="4"/>
      <c r="HPE3" s="4"/>
      <c r="HPF3" s="4"/>
      <c r="HPG3" s="4"/>
      <c r="HPH3" s="4"/>
      <c r="HPI3" s="4"/>
      <c r="HPJ3" s="4"/>
      <c r="HPK3" s="4"/>
      <c r="HPL3" s="4"/>
      <c r="HPM3" s="4"/>
      <c r="HPN3" s="4"/>
      <c r="HPO3" s="4"/>
      <c r="HPP3" s="4"/>
      <c r="HPQ3" s="4"/>
      <c r="HPR3" s="4"/>
      <c r="HPS3" s="4"/>
      <c r="HPT3" s="4"/>
      <c r="HPU3" s="4"/>
      <c r="HPV3" s="4"/>
      <c r="HPW3" s="4"/>
      <c r="HPX3" s="4"/>
      <c r="HPY3" s="4"/>
      <c r="HPZ3" s="4"/>
      <c r="HQA3" s="4"/>
      <c r="HQB3" s="4"/>
      <c r="HQC3" s="4"/>
      <c r="HQD3" s="4"/>
      <c r="HQE3" s="4"/>
      <c r="HQF3" s="4"/>
      <c r="HQG3" s="4"/>
      <c r="HQH3" s="4"/>
      <c r="HQI3" s="4"/>
      <c r="HQJ3" s="4"/>
      <c r="HQK3" s="4"/>
      <c r="HQL3" s="4"/>
      <c r="HQM3" s="4"/>
      <c r="HQN3" s="4"/>
      <c r="HQO3" s="4"/>
      <c r="HQP3" s="4"/>
      <c r="HQQ3" s="4"/>
      <c r="HQR3" s="4"/>
      <c r="HQS3" s="4"/>
      <c r="HQT3" s="4"/>
      <c r="HQU3" s="4"/>
      <c r="HQV3" s="4"/>
      <c r="HQW3" s="4"/>
      <c r="HQX3" s="4"/>
      <c r="HQY3" s="4"/>
      <c r="HQZ3" s="4"/>
      <c r="HRA3" s="4"/>
      <c r="HRB3" s="4"/>
      <c r="HRC3" s="4"/>
      <c r="HRD3" s="4"/>
      <c r="HRE3" s="4"/>
      <c r="HRF3" s="4"/>
      <c r="HRG3" s="4"/>
      <c r="HRH3" s="4"/>
      <c r="HRI3" s="4"/>
      <c r="HRJ3" s="4"/>
      <c r="HRK3" s="4"/>
      <c r="HRL3" s="4"/>
      <c r="HRM3" s="4"/>
      <c r="HRN3" s="4"/>
      <c r="HRO3" s="4"/>
      <c r="HRP3" s="4"/>
      <c r="HRQ3" s="4"/>
      <c r="HRR3" s="4"/>
      <c r="HRS3" s="4"/>
      <c r="HRT3" s="4"/>
      <c r="HRU3" s="4"/>
      <c r="HRV3" s="4"/>
      <c r="HRW3" s="4"/>
      <c r="HRX3" s="4"/>
      <c r="HRY3" s="4"/>
      <c r="HRZ3" s="4"/>
      <c r="HSA3" s="4"/>
      <c r="HSB3" s="4"/>
      <c r="HSC3" s="4"/>
      <c r="HSD3" s="4"/>
      <c r="HSE3" s="4"/>
      <c r="HSF3" s="4"/>
      <c r="HSG3" s="4"/>
      <c r="HSH3" s="4"/>
      <c r="HSI3" s="4"/>
      <c r="HSJ3" s="4"/>
      <c r="HSK3" s="4"/>
      <c r="HSL3" s="4"/>
      <c r="HSM3" s="4"/>
      <c r="HSN3" s="4"/>
      <c r="HSO3" s="4"/>
      <c r="HSP3" s="4"/>
      <c r="HSQ3" s="4"/>
      <c r="HSR3" s="4"/>
      <c r="HSS3" s="4"/>
      <c r="HST3" s="4"/>
      <c r="HSU3" s="4"/>
      <c r="HSV3" s="4"/>
      <c r="HSW3" s="4"/>
      <c r="HSX3" s="4"/>
      <c r="HSY3" s="4"/>
      <c r="HSZ3" s="4"/>
      <c r="HTA3" s="4"/>
      <c r="HTB3" s="4"/>
      <c r="HTC3" s="4"/>
      <c r="HTD3" s="4"/>
      <c r="HTE3" s="4"/>
      <c r="HTF3" s="4"/>
      <c r="HTG3" s="4"/>
      <c r="HTH3" s="4"/>
      <c r="HTI3" s="4"/>
      <c r="HTJ3" s="4"/>
      <c r="HTK3" s="4"/>
      <c r="HTL3" s="4"/>
      <c r="HTM3" s="4"/>
      <c r="HTN3" s="4"/>
      <c r="HTO3" s="4"/>
      <c r="HTP3" s="4"/>
      <c r="HTQ3" s="4"/>
      <c r="HTR3" s="4"/>
      <c r="HTS3" s="4"/>
      <c r="HTT3" s="4"/>
      <c r="HTU3" s="4"/>
      <c r="HTV3" s="4"/>
      <c r="HTW3" s="4"/>
      <c r="HTX3" s="4"/>
      <c r="HTY3" s="4"/>
      <c r="HTZ3" s="4"/>
      <c r="HUA3" s="4"/>
      <c r="HUB3" s="4"/>
      <c r="HUC3" s="4"/>
      <c r="HUD3" s="4"/>
      <c r="HUE3" s="4"/>
      <c r="HUF3" s="4"/>
      <c r="HUG3" s="4"/>
      <c r="HUH3" s="4"/>
      <c r="HUI3" s="4"/>
      <c r="HUJ3" s="4"/>
      <c r="HUK3" s="4"/>
      <c r="HUL3" s="4"/>
      <c r="HUM3" s="4"/>
      <c r="HUN3" s="4"/>
      <c r="HUO3" s="4"/>
      <c r="HUP3" s="4"/>
      <c r="HUQ3" s="4"/>
      <c r="HUR3" s="4"/>
      <c r="HUS3" s="4"/>
      <c r="HUT3" s="4"/>
      <c r="HUU3" s="4"/>
      <c r="HUV3" s="4"/>
      <c r="HUW3" s="4"/>
      <c r="HUX3" s="4"/>
      <c r="HUY3" s="4"/>
      <c r="HUZ3" s="4"/>
      <c r="HVA3" s="4"/>
      <c r="HVB3" s="4"/>
      <c r="HVC3" s="4"/>
      <c r="HVD3" s="4"/>
      <c r="HVE3" s="4"/>
      <c r="HVF3" s="4"/>
      <c r="HVG3" s="4"/>
      <c r="HVH3" s="4"/>
      <c r="HVI3" s="4"/>
      <c r="HVJ3" s="4"/>
      <c r="HVK3" s="4"/>
      <c r="HVL3" s="4"/>
      <c r="HVM3" s="4"/>
      <c r="HVN3" s="4"/>
      <c r="HVO3" s="4"/>
      <c r="HVP3" s="4"/>
      <c r="HVQ3" s="4"/>
      <c r="HVR3" s="4"/>
      <c r="HVS3" s="4"/>
      <c r="HVT3" s="4"/>
      <c r="HVU3" s="4"/>
      <c r="HVV3" s="4"/>
      <c r="HVW3" s="4"/>
      <c r="HVX3" s="4"/>
      <c r="HVY3" s="4"/>
      <c r="HVZ3" s="4"/>
      <c r="HWA3" s="4"/>
      <c r="HWB3" s="4"/>
      <c r="HWC3" s="4"/>
      <c r="HWD3" s="4"/>
      <c r="HWE3" s="4"/>
      <c r="HWF3" s="4"/>
      <c r="HWG3" s="4"/>
      <c r="HWH3" s="4"/>
      <c r="HWI3" s="4"/>
      <c r="HWJ3" s="4"/>
      <c r="HWK3" s="4"/>
      <c r="HWL3" s="4"/>
      <c r="HWM3" s="4"/>
      <c r="HWN3" s="4"/>
      <c r="HWO3" s="4"/>
      <c r="HWP3" s="4"/>
      <c r="HWQ3" s="4"/>
      <c r="HWR3" s="4"/>
      <c r="HWS3" s="4"/>
      <c r="HWT3" s="4"/>
      <c r="HWU3" s="4"/>
      <c r="HWV3" s="4"/>
      <c r="HWW3" s="4"/>
      <c r="HWX3" s="4"/>
      <c r="HWY3" s="4"/>
      <c r="HWZ3" s="4"/>
      <c r="HXA3" s="4"/>
      <c r="HXB3" s="4"/>
      <c r="HXC3" s="4"/>
      <c r="HXD3" s="4"/>
      <c r="HXE3" s="4"/>
      <c r="HXF3" s="4"/>
      <c r="HXG3" s="4"/>
      <c r="HXH3" s="4"/>
      <c r="HXI3" s="4"/>
      <c r="HXJ3" s="4"/>
      <c r="HXK3" s="4"/>
      <c r="HXL3" s="4"/>
      <c r="HXM3" s="4"/>
      <c r="HXN3" s="4"/>
      <c r="HXO3" s="4"/>
      <c r="HXP3" s="4"/>
      <c r="HXQ3" s="4"/>
      <c r="HXR3" s="4"/>
      <c r="HXS3" s="4"/>
      <c r="HXT3" s="4"/>
      <c r="HXU3" s="4"/>
      <c r="HXV3" s="4"/>
      <c r="HXW3" s="4"/>
      <c r="HXX3" s="4"/>
      <c r="HXY3" s="4"/>
      <c r="HXZ3" s="4"/>
      <c r="HYA3" s="4"/>
      <c r="HYB3" s="4"/>
      <c r="HYC3" s="4"/>
      <c r="HYD3" s="4"/>
      <c r="HYE3" s="4"/>
      <c r="HYF3" s="4"/>
      <c r="HYG3" s="4"/>
      <c r="HYH3" s="4"/>
      <c r="HYI3" s="4"/>
      <c r="HYJ3" s="4"/>
      <c r="HYK3" s="4"/>
      <c r="HYL3" s="4"/>
      <c r="HYM3" s="4"/>
      <c r="HYN3" s="4"/>
      <c r="HYO3" s="4"/>
      <c r="HYP3" s="4"/>
      <c r="HYQ3" s="4"/>
      <c r="HYR3" s="4"/>
      <c r="HYS3" s="4"/>
      <c r="HYT3" s="4"/>
      <c r="HYU3" s="4"/>
      <c r="HYV3" s="4"/>
      <c r="HYW3" s="4"/>
      <c r="HYX3" s="4"/>
      <c r="HYY3" s="4"/>
      <c r="HYZ3" s="4"/>
      <c r="HZA3" s="4"/>
      <c r="HZB3" s="4"/>
      <c r="HZC3" s="4"/>
      <c r="HZD3" s="4"/>
      <c r="HZE3" s="4"/>
      <c r="HZF3" s="4"/>
      <c r="HZG3" s="4"/>
      <c r="HZH3" s="4"/>
      <c r="HZI3" s="4"/>
      <c r="HZJ3" s="4"/>
      <c r="HZK3" s="4"/>
      <c r="HZL3" s="4"/>
      <c r="HZM3" s="4"/>
      <c r="HZN3" s="4"/>
      <c r="HZO3" s="4"/>
      <c r="HZP3" s="4"/>
      <c r="HZQ3" s="4"/>
      <c r="HZR3" s="4"/>
      <c r="HZS3" s="4"/>
      <c r="HZT3" s="4"/>
      <c r="HZU3" s="4"/>
      <c r="HZV3" s="4"/>
      <c r="HZW3" s="4"/>
      <c r="HZX3" s="4"/>
      <c r="HZY3" s="4"/>
      <c r="HZZ3" s="4"/>
      <c r="IAA3" s="4"/>
      <c r="IAB3" s="4"/>
      <c r="IAC3" s="4"/>
      <c r="IAD3" s="4"/>
      <c r="IAE3" s="4"/>
      <c r="IAF3" s="4"/>
      <c r="IAG3" s="4"/>
      <c r="IAH3" s="4"/>
      <c r="IAI3" s="4"/>
      <c r="IAJ3" s="4"/>
      <c r="IAK3" s="4"/>
      <c r="IAL3" s="4"/>
      <c r="IAM3" s="4"/>
      <c r="IAN3" s="4"/>
      <c r="IAO3" s="4"/>
      <c r="IAP3" s="4"/>
      <c r="IAQ3" s="4"/>
      <c r="IAR3" s="4"/>
      <c r="IAS3" s="4"/>
      <c r="IAT3" s="4"/>
      <c r="IAU3" s="4"/>
      <c r="IAV3" s="4"/>
      <c r="IAW3" s="4"/>
      <c r="IAX3" s="4"/>
      <c r="IAY3" s="4"/>
      <c r="IAZ3" s="4"/>
      <c r="IBA3" s="4"/>
      <c r="IBB3" s="4"/>
      <c r="IBC3" s="4"/>
      <c r="IBD3" s="4"/>
      <c r="IBE3" s="4"/>
      <c r="IBF3" s="4"/>
      <c r="IBG3" s="4"/>
      <c r="IBH3" s="4"/>
      <c r="IBI3" s="4"/>
      <c r="IBJ3" s="4"/>
      <c r="IBK3" s="4"/>
      <c r="IBL3" s="4"/>
      <c r="IBM3" s="4"/>
      <c r="IBN3" s="4"/>
      <c r="IBO3" s="4"/>
      <c r="IBP3" s="4"/>
      <c r="IBQ3" s="4"/>
      <c r="IBR3" s="4"/>
      <c r="IBS3" s="4"/>
      <c r="IBT3" s="4"/>
      <c r="IBU3" s="4"/>
      <c r="IBV3" s="4"/>
      <c r="IBW3" s="4"/>
      <c r="IBX3" s="4"/>
      <c r="IBY3" s="4"/>
      <c r="IBZ3" s="4"/>
      <c r="ICA3" s="4"/>
      <c r="ICB3" s="4"/>
      <c r="ICC3" s="4"/>
      <c r="ICD3" s="4"/>
      <c r="ICE3" s="4"/>
      <c r="ICF3" s="4"/>
      <c r="ICG3" s="4"/>
      <c r="ICH3" s="4"/>
      <c r="ICI3" s="4"/>
      <c r="ICJ3" s="4"/>
      <c r="ICK3" s="4"/>
      <c r="ICL3" s="4"/>
      <c r="ICM3" s="4"/>
      <c r="ICN3" s="4"/>
      <c r="ICO3" s="4"/>
      <c r="ICP3" s="4"/>
      <c r="ICQ3" s="4"/>
      <c r="ICR3" s="4"/>
      <c r="ICS3" s="4"/>
      <c r="ICT3" s="4"/>
      <c r="ICU3" s="4"/>
      <c r="ICV3" s="4"/>
      <c r="ICW3" s="4"/>
      <c r="ICX3" s="4"/>
      <c r="ICY3" s="4"/>
      <c r="ICZ3" s="4"/>
      <c r="IDA3" s="4"/>
      <c r="IDB3" s="4"/>
      <c r="IDC3" s="4"/>
      <c r="IDD3" s="4"/>
      <c r="IDE3" s="4"/>
      <c r="IDF3" s="4"/>
      <c r="IDG3" s="4"/>
      <c r="IDH3" s="4"/>
      <c r="IDI3" s="4"/>
      <c r="IDJ3" s="4"/>
      <c r="IDK3" s="4"/>
      <c r="IDL3" s="4"/>
      <c r="IDM3" s="4"/>
      <c r="IDN3" s="4"/>
      <c r="IDO3" s="4"/>
      <c r="IDP3" s="4"/>
      <c r="IDQ3" s="4"/>
      <c r="IDR3" s="4"/>
      <c r="IDS3" s="4"/>
      <c r="IDT3" s="4"/>
      <c r="IDU3" s="4"/>
      <c r="IDV3" s="4"/>
      <c r="IDW3" s="4"/>
      <c r="IDX3" s="4"/>
      <c r="IDY3" s="4"/>
      <c r="IDZ3" s="4"/>
      <c r="IEA3" s="4"/>
      <c r="IEB3" s="4"/>
      <c r="IEC3" s="4"/>
      <c r="IED3" s="4"/>
      <c r="IEE3" s="4"/>
      <c r="IEF3" s="4"/>
      <c r="IEG3" s="4"/>
      <c r="IEH3" s="4"/>
      <c r="IEI3" s="4"/>
      <c r="IEJ3" s="4"/>
      <c r="IEK3" s="4"/>
      <c r="IEL3" s="4"/>
      <c r="IEM3" s="4"/>
      <c r="IEN3" s="4"/>
      <c r="IEO3" s="4"/>
      <c r="IEP3" s="4"/>
      <c r="IEQ3" s="4"/>
      <c r="IER3" s="4"/>
      <c r="IES3" s="4"/>
      <c r="IET3" s="4"/>
      <c r="IEU3" s="4"/>
      <c r="IEV3" s="4"/>
      <c r="IEW3" s="4"/>
      <c r="IEX3" s="4"/>
      <c r="IEY3" s="4"/>
      <c r="IEZ3" s="4"/>
      <c r="IFA3" s="4"/>
      <c r="IFB3" s="4"/>
      <c r="IFC3" s="4"/>
      <c r="IFD3" s="4"/>
      <c r="IFE3" s="4"/>
      <c r="IFF3" s="4"/>
      <c r="IFG3" s="4"/>
      <c r="IFH3" s="4"/>
      <c r="IFI3" s="4"/>
      <c r="IFJ3" s="4"/>
      <c r="IFK3" s="4"/>
      <c r="IFL3" s="4"/>
      <c r="IFM3" s="4"/>
      <c r="IFN3" s="4"/>
      <c r="IFO3" s="4"/>
      <c r="IFP3" s="4"/>
      <c r="IFQ3" s="4"/>
      <c r="IFR3" s="4"/>
      <c r="IFS3" s="4"/>
      <c r="IFT3" s="4"/>
      <c r="IFU3" s="4"/>
      <c r="IFV3" s="4"/>
      <c r="IFW3" s="4"/>
      <c r="IFX3" s="4"/>
      <c r="IFY3" s="4"/>
      <c r="IFZ3" s="4"/>
      <c r="IGA3" s="4"/>
      <c r="IGB3" s="4"/>
      <c r="IGC3" s="4"/>
      <c r="IGD3" s="4"/>
      <c r="IGE3" s="4"/>
      <c r="IGF3" s="4"/>
      <c r="IGG3" s="4"/>
      <c r="IGH3" s="4"/>
      <c r="IGI3" s="4"/>
      <c r="IGJ3" s="4"/>
      <c r="IGK3" s="4"/>
      <c r="IGL3" s="4"/>
      <c r="IGM3" s="4"/>
      <c r="IGN3" s="4"/>
      <c r="IGO3" s="4"/>
      <c r="IGP3" s="4"/>
      <c r="IGQ3" s="4"/>
      <c r="IGR3" s="4"/>
      <c r="IGS3" s="4"/>
      <c r="IGT3" s="4"/>
      <c r="IGU3" s="4"/>
      <c r="IGV3" s="4"/>
      <c r="IGW3" s="4"/>
      <c r="IGX3" s="4"/>
      <c r="IGY3" s="4"/>
      <c r="IGZ3" s="4"/>
      <c r="IHA3" s="4"/>
      <c r="IHB3" s="4"/>
      <c r="IHC3" s="4"/>
      <c r="IHD3" s="4"/>
      <c r="IHE3" s="4"/>
      <c r="IHF3" s="4"/>
      <c r="IHG3" s="4"/>
      <c r="IHH3" s="4"/>
      <c r="IHI3" s="4"/>
      <c r="IHJ3" s="4"/>
      <c r="IHK3" s="4"/>
      <c r="IHL3" s="4"/>
      <c r="IHM3" s="4"/>
      <c r="IHN3" s="4"/>
      <c r="IHO3" s="4"/>
      <c r="IHP3" s="4"/>
      <c r="IHQ3" s="4"/>
      <c r="IHR3" s="4"/>
      <c r="IHS3" s="4"/>
      <c r="IHT3" s="4"/>
      <c r="IHU3" s="4"/>
      <c r="IHV3" s="4"/>
      <c r="IHW3" s="4"/>
      <c r="IHX3" s="4"/>
      <c r="IHY3" s="4"/>
      <c r="IHZ3" s="4"/>
      <c r="IIA3" s="4"/>
      <c r="IIB3" s="4"/>
      <c r="IIC3" s="4"/>
      <c r="IID3" s="4"/>
      <c r="IIE3" s="4"/>
      <c r="IIF3" s="4"/>
      <c r="IIG3" s="4"/>
      <c r="IIH3" s="4"/>
      <c r="III3" s="4"/>
      <c r="IIJ3" s="4"/>
      <c r="IIK3" s="4"/>
      <c r="IIL3" s="4"/>
      <c r="IIM3" s="4"/>
      <c r="IIN3" s="4"/>
      <c r="IIO3" s="4"/>
      <c r="IIP3" s="4"/>
      <c r="IIQ3" s="4"/>
      <c r="IIR3" s="4"/>
      <c r="IIS3" s="4"/>
      <c r="IIT3" s="4"/>
      <c r="IIU3" s="4"/>
      <c r="IIV3" s="4"/>
      <c r="IIW3" s="4"/>
      <c r="IIX3" s="4"/>
      <c r="IIY3" s="4"/>
      <c r="IIZ3" s="4"/>
      <c r="IJA3" s="4"/>
      <c r="IJB3" s="4"/>
      <c r="IJC3" s="4"/>
      <c r="IJD3" s="4"/>
      <c r="IJE3" s="4"/>
      <c r="IJF3" s="4"/>
      <c r="IJG3" s="4"/>
      <c r="IJH3" s="4"/>
      <c r="IJI3" s="4"/>
      <c r="IJJ3" s="4"/>
      <c r="IJK3" s="4"/>
      <c r="IJL3" s="4"/>
      <c r="IJM3" s="4"/>
      <c r="IJN3" s="4"/>
      <c r="IJO3" s="4"/>
      <c r="IJP3" s="4"/>
      <c r="IJQ3" s="4"/>
      <c r="IJR3" s="4"/>
      <c r="IJS3" s="4"/>
      <c r="IJT3" s="4"/>
      <c r="IJU3" s="4"/>
      <c r="IJV3" s="4"/>
      <c r="IJW3" s="4"/>
      <c r="IJX3" s="4"/>
      <c r="IJY3" s="4"/>
      <c r="IJZ3" s="4"/>
      <c r="IKA3" s="4"/>
      <c r="IKB3" s="4"/>
      <c r="IKC3" s="4"/>
      <c r="IKD3" s="4"/>
      <c r="IKE3" s="4"/>
      <c r="IKF3" s="4"/>
      <c r="IKG3" s="4"/>
      <c r="IKH3" s="4"/>
      <c r="IKI3" s="4"/>
      <c r="IKJ3" s="4"/>
      <c r="IKK3" s="4"/>
      <c r="IKL3" s="4"/>
      <c r="IKM3" s="4"/>
      <c r="IKN3" s="4"/>
      <c r="IKO3" s="4"/>
      <c r="IKP3" s="4"/>
      <c r="IKQ3" s="4"/>
      <c r="IKR3" s="4"/>
      <c r="IKS3" s="4"/>
      <c r="IKT3" s="4"/>
      <c r="IKU3" s="4"/>
      <c r="IKV3" s="4"/>
      <c r="IKW3" s="4"/>
      <c r="IKX3" s="4"/>
      <c r="IKY3" s="4"/>
      <c r="IKZ3" s="4"/>
      <c r="ILA3" s="4"/>
      <c r="ILB3" s="4"/>
      <c r="ILC3" s="4"/>
      <c r="ILD3" s="4"/>
      <c r="ILE3" s="4"/>
      <c r="ILF3" s="4"/>
      <c r="ILG3" s="4"/>
      <c r="ILH3" s="4"/>
      <c r="ILI3" s="4"/>
      <c r="ILJ3" s="4"/>
      <c r="ILK3" s="4"/>
      <c r="ILL3" s="4"/>
      <c r="ILM3" s="4"/>
      <c r="ILN3" s="4"/>
      <c r="ILO3" s="4"/>
      <c r="ILP3" s="4"/>
      <c r="ILQ3" s="4"/>
      <c r="ILR3" s="4"/>
      <c r="ILS3" s="4"/>
      <c r="ILT3" s="4"/>
      <c r="ILU3" s="4"/>
      <c r="ILV3" s="4"/>
      <c r="ILW3" s="4"/>
      <c r="ILX3" s="4"/>
      <c r="ILY3" s="4"/>
      <c r="ILZ3" s="4"/>
      <c r="IMA3" s="4"/>
      <c r="IMB3" s="4"/>
      <c r="IMC3" s="4"/>
      <c r="IMD3" s="4"/>
      <c r="IME3" s="4"/>
      <c r="IMF3" s="4"/>
      <c r="IMG3" s="4"/>
      <c r="IMH3" s="4"/>
      <c r="IMI3" s="4"/>
      <c r="IMJ3" s="4"/>
      <c r="IMK3" s="4"/>
      <c r="IML3" s="4"/>
      <c r="IMM3" s="4"/>
      <c r="IMN3" s="4"/>
      <c r="IMO3" s="4"/>
      <c r="IMP3" s="4"/>
      <c r="IMQ3" s="4"/>
      <c r="IMR3" s="4"/>
      <c r="IMS3" s="4"/>
      <c r="IMT3" s="4"/>
      <c r="IMU3" s="4"/>
      <c r="IMV3" s="4"/>
      <c r="IMW3" s="4"/>
      <c r="IMX3" s="4"/>
      <c r="IMY3" s="4"/>
      <c r="IMZ3" s="4"/>
      <c r="INA3" s="4"/>
      <c r="INB3" s="4"/>
      <c r="INC3" s="4"/>
      <c r="IND3" s="4"/>
      <c r="INE3" s="4"/>
      <c r="INF3" s="4"/>
      <c r="ING3" s="4"/>
      <c r="INH3" s="4"/>
      <c r="INI3" s="4"/>
      <c r="INJ3" s="4"/>
      <c r="INK3" s="4"/>
      <c r="INL3" s="4"/>
      <c r="INM3" s="4"/>
      <c r="INN3" s="4"/>
      <c r="INO3" s="4"/>
      <c r="INP3" s="4"/>
      <c r="INQ3" s="4"/>
      <c r="INR3" s="4"/>
      <c r="INS3" s="4"/>
      <c r="INT3" s="4"/>
      <c r="INU3" s="4"/>
      <c r="INV3" s="4"/>
      <c r="INW3" s="4"/>
      <c r="INX3" s="4"/>
      <c r="INY3" s="4"/>
      <c r="INZ3" s="4"/>
      <c r="IOA3" s="4"/>
      <c r="IOB3" s="4"/>
      <c r="IOC3" s="4"/>
      <c r="IOD3" s="4"/>
      <c r="IOE3" s="4"/>
      <c r="IOF3" s="4"/>
      <c r="IOG3" s="4"/>
      <c r="IOH3" s="4"/>
      <c r="IOI3" s="4"/>
      <c r="IOJ3" s="4"/>
      <c r="IOK3" s="4"/>
      <c r="IOL3" s="4"/>
      <c r="IOM3" s="4"/>
      <c r="ION3" s="4"/>
      <c r="IOO3" s="4"/>
      <c r="IOP3" s="4"/>
      <c r="IOQ3" s="4"/>
      <c r="IOR3" s="4"/>
      <c r="IOS3" s="4"/>
      <c r="IOT3" s="4"/>
      <c r="IOU3" s="4"/>
      <c r="IOV3" s="4"/>
      <c r="IOW3" s="4"/>
      <c r="IOX3" s="4"/>
      <c r="IOY3" s="4"/>
      <c r="IOZ3" s="4"/>
      <c r="IPA3" s="4"/>
      <c r="IPB3" s="4"/>
      <c r="IPC3" s="4"/>
      <c r="IPD3" s="4"/>
      <c r="IPE3" s="4"/>
      <c r="IPF3" s="4"/>
      <c r="IPG3" s="4"/>
      <c r="IPH3" s="4"/>
      <c r="IPI3" s="4"/>
      <c r="IPJ3" s="4"/>
      <c r="IPK3" s="4"/>
      <c r="IPL3" s="4"/>
      <c r="IPM3" s="4"/>
      <c r="IPN3" s="4"/>
      <c r="IPO3" s="4"/>
      <c r="IPP3" s="4"/>
      <c r="IPQ3" s="4"/>
      <c r="IPR3" s="4"/>
      <c r="IPS3" s="4"/>
      <c r="IPT3" s="4"/>
      <c r="IPU3" s="4"/>
      <c r="IPV3" s="4"/>
      <c r="IPW3" s="4"/>
      <c r="IPX3" s="4"/>
      <c r="IPY3" s="4"/>
      <c r="IPZ3" s="4"/>
      <c r="IQA3" s="4"/>
      <c r="IQB3" s="4"/>
      <c r="IQC3" s="4"/>
      <c r="IQD3" s="4"/>
      <c r="IQE3" s="4"/>
      <c r="IQF3" s="4"/>
      <c r="IQG3" s="4"/>
      <c r="IQH3" s="4"/>
      <c r="IQI3" s="4"/>
      <c r="IQJ3" s="4"/>
      <c r="IQK3" s="4"/>
      <c r="IQL3" s="4"/>
      <c r="IQM3" s="4"/>
      <c r="IQN3" s="4"/>
      <c r="IQO3" s="4"/>
      <c r="IQP3" s="4"/>
      <c r="IQQ3" s="4"/>
      <c r="IQR3" s="4"/>
      <c r="IQS3" s="4"/>
      <c r="IQT3" s="4"/>
      <c r="IQU3" s="4"/>
      <c r="IQV3" s="4"/>
      <c r="IQW3" s="4"/>
      <c r="IQX3" s="4"/>
      <c r="IQY3" s="4"/>
      <c r="IQZ3" s="4"/>
      <c r="IRA3" s="4"/>
      <c r="IRB3" s="4"/>
      <c r="IRC3" s="4"/>
      <c r="IRD3" s="4"/>
      <c r="IRE3" s="4"/>
      <c r="IRF3" s="4"/>
      <c r="IRG3" s="4"/>
      <c r="IRH3" s="4"/>
      <c r="IRI3" s="4"/>
      <c r="IRJ3" s="4"/>
      <c r="IRK3" s="4"/>
      <c r="IRL3" s="4"/>
      <c r="IRM3" s="4"/>
      <c r="IRN3" s="4"/>
      <c r="IRO3" s="4"/>
      <c r="IRP3" s="4"/>
      <c r="IRQ3" s="4"/>
      <c r="IRR3" s="4"/>
      <c r="IRS3" s="4"/>
      <c r="IRT3" s="4"/>
      <c r="IRU3" s="4"/>
      <c r="IRV3" s="4"/>
      <c r="IRW3" s="4"/>
      <c r="IRX3" s="4"/>
      <c r="IRY3" s="4"/>
      <c r="IRZ3" s="4"/>
      <c r="ISA3" s="4"/>
      <c r="ISB3" s="4"/>
      <c r="ISC3" s="4"/>
      <c r="ISD3" s="4"/>
      <c r="ISE3" s="4"/>
      <c r="ISF3" s="4"/>
      <c r="ISG3" s="4"/>
      <c r="ISH3" s="4"/>
      <c r="ISI3" s="4"/>
      <c r="ISJ3" s="4"/>
      <c r="ISK3" s="4"/>
      <c r="ISL3" s="4"/>
      <c r="ISM3" s="4"/>
      <c r="ISN3" s="4"/>
      <c r="ISO3" s="4"/>
      <c r="ISP3" s="4"/>
      <c r="ISQ3" s="4"/>
      <c r="ISR3" s="4"/>
      <c r="ISS3" s="4"/>
      <c r="IST3" s="4"/>
      <c r="ISU3" s="4"/>
      <c r="ISV3" s="4"/>
      <c r="ISW3" s="4"/>
      <c r="ISX3" s="4"/>
      <c r="ISY3" s="4"/>
      <c r="ISZ3" s="4"/>
      <c r="ITA3" s="4"/>
      <c r="ITB3" s="4"/>
      <c r="ITC3" s="4"/>
      <c r="ITD3" s="4"/>
      <c r="ITE3" s="4"/>
      <c r="ITF3" s="4"/>
      <c r="ITG3" s="4"/>
      <c r="ITH3" s="4"/>
      <c r="ITI3" s="4"/>
      <c r="ITJ3" s="4"/>
      <c r="ITK3" s="4"/>
      <c r="ITL3" s="4"/>
      <c r="ITM3" s="4"/>
      <c r="ITN3" s="4"/>
      <c r="ITO3" s="4"/>
      <c r="ITP3" s="4"/>
      <c r="ITQ3" s="4"/>
      <c r="ITR3" s="4"/>
      <c r="ITS3" s="4"/>
      <c r="ITT3" s="4"/>
      <c r="ITU3" s="4"/>
      <c r="ITV3" s="4"/>
      <c r="ITW3" s="4"/>
      <c r="ITX3" s="4"/>
      <c r="ITY3" s="4"/>
      <c r="ITZ3" s="4"/>
      <c r="IUA3" s="4"/>
      <c r="IUB3" s="4"/>
      <c r="IUC3" s="4"/>
      <c r="IUD3" s="4"/>
      <c r="IUE3" s="4"/>
      <c r="IUF3" s="4"/>
      <c r="IUG3" s="4"/>
      <c r="IUH3" s="4"/>
      <c r="IUI3" s="4"/>
      <c r="IUJ3" s="4"/>
      <c r="IUK3" s="4"/>
      <c r="IUL3" s="4"/>
      <c r="IUM3" s="4"/>
      <c r="IUN3" s="4"/>
      <c r="IUO3" s="4"/>
      <c r="IUP3" s="4"/>
      <c r="IUQ3" s="4"/>
      <c r="IUR3" s="4"/>
      <c r="IUS3" s="4"/>
      <c r="IUT3" s="4"/>
      <c r="IUU3" s="4"/>
      <c r="IUV3" s="4"/>
      <c r="IUW3" s="4"/>
      <c r="IUX3" s="4"/>
      <c r="IUY3" s="4"/>
      <c r="IUZ3" s="4"/>
      <c r="IVA3" s="4"/>
      <c r="IVB3" s="4"/>
      <c r="IVC3" s="4"/>
      <c r="IVD3" s="4"/>
      <c r="IVE3" s="4"/>
      <c r="IVF3" s="4"/>
      <c r="IVG3" s="4"/>
      <c r="IVH3" s="4"/>
      <c r="IVI3" s="4"/>
      <c r="IVJ3" s="4"/>
      <c r="IVK3" s="4"/>
      <c r="IVL3" s="4"/>
      <c r="IVM3" s="4"/>
      <c r="IVN3" s="4"/>
      <c r="IVO3" s="4"/>
      <c r="IVP3" s="4"/>
      <c r="IVQ3" s="4"/>
      <c r="IVR3" s="4"/>
      <c r="IVS3" s="4"/>
      <c r="IVT3" s="4"/>
      <c r="IVU3" s="4"/>
      <c r="IVV3" s="4"/>
      <c r="IVW3" s="4"/>
      <c r="IVX3" s="4"/>
      <c r="IVY3" s="4"/>
      <c r="IVZ3" s="4"/>
      <c r="IWA3" s="4"/>
      <c r="IWB3" s="4"/>
      <c r="IWC3" s="4"/>
      <c r="IWD3" s="4"/>
      <c r="IWE3" s="4"/>
      <c r="IWF3" s="4"/>
      <c r="IWG3" s="4"/>
      <c r="IWH3" s="4"/>
      <c r="IWI3" s="4"/>
      <c r="IWJ3" s="4"/>
      <c r="IWK3" s="4"/>
      <c r="IWL3" s="4"/>
      <c r="IWM3" s="4"/>
      <c r="IWN3" s="4"/>
      <c r="IWO3" s="4"/>
      <c r="IWP3" s="4"/>
      <c r="IWQ3" s="4"/>
      <c r="IWR3" s="4"/>
      <c r="IWS3" s="4"/>
      <c r="IWT3" s="4"/>
      <c r="IWU3" s="4"/>
      <c r="IWV3" s="4"/>
      <c r="IWW3" s="4"/>
      <c r="IWX3" s="4"/>
      <c r="IWY3" s="4"/>
      <c r="IWZ3" s="4"/>
      <c r="IXA3" s="4"/>
      <c r="IXB3" s="4"/>
      <c r="IXC3" s="4"/>
      <c r="IXD3" s="4"/>
      <c r="IXE3" s="4"/>
      <c r="IXF3" s="4"/>
      <c r="IXG3" s="4"/>
      <c r="IXH3" s="4"/>
      <c r="IXI3" s="4"/>
      <c r="IXJ3" s="4"/>
      <c r="IXK3" s="4"/>
      <c r="IXL3" s="4"/>
      <c r="IXM3" s="4"/>
      <c r="IXN3" s="4"/>
      <c r="IXO3" s="4"/>
      <c r="IXP3" s="4"/>
      <c r="IXQ3" s="4"/>
      <c r="IXR3" s="4"/>
      <c r="IXS3" s="4"/>
      <c r="IXT3" s="4"/>
      <c r="IXU3" s="4"/>
      <c r="IXV3" s="4"/>
      <c r="IXW3" s="4"/>
      <c r="IXX3" s="4"/>
      <c r="IXY3" s="4"/>
      <c r="IXZ3" s="4"/>
      <c r="IYA3" s="4"/>
      <c r="IYB3" s="4"/>
      <c r="IYC3" s="4"/>
      <c r="IYD3" s="4"/>
      <c r="IYE3" s="4"/>
      <c r="IYF3" s="4"/>
      <c r="IYG3" s="4"/>
      <c r="IYH3" s="4"/>
      <c r="IYI3" s="4"/>
      <c r="IYJ3" s="4"/>
      <c r="IYK3" s="4"/>
      <c r="IYL3" s="4"/>
      <c r="IYM3" s="4"/>
      <c r="IYN3" s="4"/>
      <c r="IYO3" s="4"/>
      <c r="IYP3" s="4"/>
      <c r="IYQ3" s="4"/>
      <c r="IYR3" s="4"/>
      <c r="IYS3" s="4"/>
      <c r="IYT3" s="4"/>
      <c r="IYU3" s="4"/>
      <c r="IYV3" s="4"/>
      <c r="IYW3" s="4"/>
      <c r="IYX3" s="4"/>
      <c r="IYY3" s="4"/>
      <c r="IYZ3" s="4"/>
      <c r="IZA3" s="4"/>
      <c r="IZB3" s="4"/>
      <c r="IZC3" s="4"/>
      <c r="IZD3" s="4"/>
      <c r="IZE3" s="4"/>
      <c r="IZF3" s="4"/>
      <c r="IZG3" s="4"/>
      <c r="IZH3" s="4"/>
      <c r="IZI3" s="4"/>
      <c r="IZJ3" s="4"/>
      <c r="IZK3" s="4"/>
      <c r="IZL3" s="4"/>
      <c r="IZM3" s="4"/>
      <c r="IZN3" s="4"/>
      <c r="IZO3" s="4"/>
      <c r="IZP3" s="4"/>
      <c r="IZQ3" s="4"/>
      <c r="IZR3" s="4"/>
      <c r="IZS3" s="4"/>
      <c r="IZT3" s="4"/>
      <c r="IZU3" s="4"/>
      <c r="IZV3" s="4"/>
      <c r="IZW3" s="4"/>
      <c r="IZX3" s="4"/>
      <c r="IZY3" s="4"/>
      <c r="IZZ3" s="4"/>
      <c r="JAA3" s="4"/>
      <c r="JAB3" s="4"/>
      <c r="JAC3" s="4"/>
      <c r="JAD3" s="4"/>
      <c r="JAE3" s="4"/>
      <c r="JAF3" s="4"/>
      <c r="JAG3" s="4"/>
      <c r="JAH3" s="4"/>
      <c r="JAI3" s="4"/>
      <c r="JAJ3" s="4"/>
      <c r="JAK3" s="4"/>
      <c r="JAL3" s="4"/>
      <c r="JAM3" s="4"/>
      <c r="JAN3" s="4"/>
      <c r="JAO3" s="4"/>
      <c r="JAP3" s="4"/>
      <c r="JAQ3" s="4"/>
      <c r="JAR3" s="4"/>
      <c r="JAS3" s="4"/>
      <c r="JAT3" s="4"/>
      <c r="JAU3" s="4"/>
      <c r="JAV3" s="4"/>
      <c r="JAW3" s="4"/>
      <c r="JAX3" s="4"/>
      <c r="JAY3" s="4"/>
      <c r="JAZ3" s="4"/>
      <c r="JBA3" s="4"/>
      <c r="JBB3" s="4"/>
      <c r="JBC3" s="4"/>
      <c r="JBD3" s="4"/>
      <c r="JBE3" s="4"/>
      <c r="JBF3" s="4"/>
      <c r="JBG3" s="4"/>
      <c r="JBH3" s="4"/>
      <c r="JBI3" s="4"/>
      <c r="JBJ3" s="4"/>
      <c r="JBK3" s="4"/>
      <c r="JBL3" s="4"/>
      <c r="JBM3" s="4"/>
      <c r="JBN3" s="4"/>
      <c r="JBO3" s="4"/>
      <c r="JBP3" s="4"/>
      <c r="JBQ3" s="4"/>
      <c r="JBR3" s="4"/>
      <c r="JBS3" s="4"/>
      <c r="JBT3" s="4"/>
      <c r="JBU3" s="4"/>
      <c r="JBV3" s="4"/>
      <c r="JBW3" s="4"/>
      <c r="JBX3" s="4"/>
      <c r="JBY3" s="4"/>
      <c r="JBZ3" s="4"/>
      <c r="JCA3" s="4"/>
      <c r="JCB3" s="4"/>
      <c r="JCC3" s="4"/>
      <c r="JCD3" s="4"/>
      <c r="JCE3" s="4"/>
      <c r="JCF3" s="4"/>
      <c r="JCG3" s="4"/>
      <c r="JCH3" s="4"/>
      <c r="JCI3" s="4"/>
      <c r="JCJ3" s="4"/>
      <c r="JCK3" s="4"/>
      <c r="JCL3" s="4"/>
      <c r="JCM3" s="4"/>
      <c r="JCN3" s="4"/>
      <c r="JCO3" s="4"/>
      <c r="JCP3" s="4"/>
      <c r="JCQ3" s="4"/>
      <c r="JCR3" s="4"/>
      <c r="JCS3" s="4"/>
      <c r="JCT3" s="4"/>
      <c r="JCU3" s="4"/>
      <c r="JCV3" s="4"/>
      <c r="JCW3" s="4"/>
      <c r="JCX3" s="4"/>
      <c r="JCY3" s="4"/>
      <c r="JCZ3" s="4"/>
      <c r="JDA3" s="4"/>
      <c r="JDB3" s="4"/>
      <c r="JDC3" s="4"/>
      <c r="JDD3" s="4"/>
      <c r="JDE3" s="4"/>
      <c r="JDF3" s="4"/>
      <c r="JDG3" s="4"/>
      <c r="JDH3" s="4"/>
      <c r="JDI3" s="4"/>
      <c r="JDJ3" s="4"/>
      <c r="JDK3" s="4"/>
      <c r="JDL3" s="4"/>
      <c r="JDM3" s="4"/>
      <c r="JDN3" s="4"/>
      <c r="JDO3" s="4"/>
      <c r="JDP3" s="4"/>
      <c r="JDQ3" s="4"/>
      <c r="JDR3" s="4"/>
      <c r="JDS3" s="4"/>
      <c r="JDT3" s="4"/>
      <c r="JDU3" s="4"/>
      <c r="JDV3" s="4"/>
      <c r="JDW3" s="4"/>
      <c r="JDX3" s="4"/>
      <c r="JDY3" s="4"/>
      <c r="JDZ3" s="4"/>
      <c r="JEA3" s="4"/>
      <c r="JEB3" s="4"/>
      <c r="JEC3" s="4"/>
      <c r="JED3" s="4"/>
      <c r="JEE3" s="4"/>
      <c r="JEF3" s="4"/>
      <c r="JEG3" s="4"/>
      <c r="JEH3" s="4"/>
      <c r="JEI3" s="4"/>
      <c r="JEJ3" s="4"/>
      <c r="JEK3" s="4"/>
      <c r="JEL3" s="4"/>
      <c r="JEM3" s="4"/>
      <c r="JEN3" s="4"/>
      <c r="JEO3" s="4"/>
      <c r="JEP3" s="4"/>
      <c r="JEQ3" s="4"/>
      <c r="JER3" s="4"/>
      <c r="JES3" s="4"/>
      <c r="JET3" s="4"/>
      <c r="JEU3" s="4"/>
      <c r="JEV3" s="4"/>
      <c r="JEW3" s="4"/>
      <c r="JEX3" s="4"/>
      <c r="JEY3" s="4"/>
      <c r="JEZ3" s="4"/>
      <c r="JFA3" s="4"/>
      <c r="JFB3" s="4"/>
      <c r="JFC3" s="4"/>
      <c r="JFD3" s="4"/>
      <c r="JFE3" s="4"/>
      <c r="JFF3" s="4"/>
      <c r="JFG3" s="4"/>
      <c r="JFH3" s="4"/>
      <c r="JFI3" s="4"/>
      <c r="JFJ3" s="4"/>
      <c r="JFK3" s="4"/>
      <c r="JFL3" s="4"/>
      <c r="JFM3" s="4"/>
      <c r="JFN3" s="4"/>
      <c r="JFO3" s="4"/>
      <c r="JFP3" s="4"/>
      <c r="JFQ3" s="4"/>
      <c r="JFR3" s="4"/>
      <c r="JFS3" s="4"/>
      <c r="JFT3" s="4"/>
      <c r="JFU3" s="4"/>
      <c r="JFV3" s="4"/>
      <c r="JFW3" s="4"/>
      <c r="JFX3" s="4"/>
      <c r="JFY3" s="4"/>
      <c r="JFZ3" s="4"/>
      <c r="JGA3" s="4"/>
      <c r="JGB3" s="4"/>
      <c r="JGC3" s="4"/>
      <c r="JGD3" s="4"/>
      <c r="JGE3" s="4"/>
      <c r="JGF3" s="4"/>
      <c r="JGG3" s="4"/>
      <c r="JGH3" s="4"/>
      <c r="JGI3" s="4"/>
      <c r="JGJ3" s="4"/>
      <c r="JGK3" s="4"/>
      <c r="JGL3" s="4"/>
      <c r="JGM3" s="4"/>
      <c r="JGN3" s="4"/>
      <c r="JGO3" s="4"/>
      <c r="JGP3" s="4"/>
      <c r="JGQ3" s="4"/>
      <c r="JGR3" s="4"/>
      <c r="JGS3" s="4"/>
      <c r="JGT3" s="4"/>
      <c r="JGU3" s="4"/>
      <c r="JGV3" s="4"/>
      <c r="JGW3" s="4"/>
      <c r="JGX3" s="4"/>
      <c r="JGY3" s="4"/>
      <c r="JGZ3" s="4"/>
      <c r="JHA3" s="4"/>
      <c r="JHB3" s="4"/>
      <c r="JHC3" s="4"/>
      <c r="JHD3" s="4"/>
      <c r="JHE3" s="4"/>
      <c r="JHF3" s="4"/>
      <c r="JHG3" s="4"/>
      <c r="JHH3" s="4"/>
      <c r="JHI3" s="4"/>
      <c r="JHJ3" s="4"/>
      <c r="JHK3" s="4"/>
      <c r="JHL3" s="4"/>
      <c r="JHM3" s="4"/>
      <c r="JHN3" s="4"/>
      <c r="JHO3" s="4"/>
      <c r="JHP3" s="4"/>
      <c r="JHQ3" s="4"/>
      <c r="JHR3" s="4"/>
      <c r="JHS3" s="4"/>
      <c r="JHT3" s="4"/>
      <c r="JHU3" s="4"/>
      <c r="JHV3" s="4"/>
      <c r="JHW3" s="4"/>
      <c r="JHX3" s="4"/>
      <c r="JHY3" s="4"/>
      <c r="JHZ3" s="4"/>
      <c r="JIA3" s="4"/>
      <c r="JIB3" s="4"/>
      <c r="JIC3" s="4"/>
      <c r="JID3" s="4"/>
      <c r="JIE3" s="4"/>
      <c r="JIF3" s="4"/>
      <c r="JIG3" s="4"/>
      <c r="JIH3" s="4"/>
      <c r="JII3" s="4"/>
      <c r="JIJ3" s="4"/>
      <c r="JIK3" s="4"/>
      <c r="JIL3" s="4"/>
      <c r="JIM3" s="4"/>
      <c r="JIN3" s="4"/>
      <c r="JIO3" s="4"/>
      <c r="JIP3" s="4"/>
      <c r="JIQ3" s="4"/>
      <c r="JIR3" s="4"/>
      <c r="JIS3" s="4"/>
      <c r="JIT3" s="4"/>
      <c r="JIU3" s="4"/>
      <c r="JIV3" s="4"/>
      <c r="JIW3" s="4"/>
      <c r="JIX3" s="4"/>
      <c r="JIY3" s="4"/>
      <c r="JIZ3" s="4"/>
      <c r="JJA3" s="4"/>
      <c r="JJB3" s="4"/>
      <c r="JJC3" s="4"/>
      <c r="JJD3" s="4"/>
      <c r="JJE3" s="4"/>
      <c r="JJF3" s="4"/>
      <c r="JJG3" s="4"/>
      <c r="JJH3" s="4"/>
      <c r="JJI3" s="4"/>
      <c r="JJJ3" s="4"/>
      <c r="JJK3" s="4"/>
      <c r="JJL3" s="4"/>
      <c r="JJM3" s="4"/>
      <c r="JJN3" s="4"/>
      <c r="JJO3" s="4"/>
      <c r="JJP3" s="4"/>
      <c r="JJQ3" s="4"/>
      <c r="JJR3" s="4"/>
      <c r="JJS3" s="4"/>
      <c r="JJT3" s="4"/>
      <c r="JJU3" s="4"/>
      <c r="JJV3" s="4"/>
      <c r="JJW3" s="4"/>
      <c r="JJX3" s="4"/>
      <c r="JJY3" s="4"/>
      <c r="JJZ3" s="4"/>
      <c r="JKA3" s="4"/>
      <c r="JKB3" s="4"/>
      <c r="JKC3" s="4"/>
      <c r="JKD3" s="4"/>
      <c r="JKE3" s="4"/>
      <c r="JKF3" s="4"/>
      <c r="JKG3" s="4"/>
      <c r="JKH3" s="4"/>
      <c r="JKI3" s="4"/>
      <c r="JKJ3" s="4"/>
      <c r="JKK3" s="4"/>
      <c r="JKL3" s="4"/>
      <c r="JKM3" s="4"/>
      <c r="JKN3" s="4"/>
      <c r="JKO3" s="4"/>
      <c r="JKP3" s="4"/>
      <c r="JKQ3" s="4"/>
      <c r="JKR3" s="4"/>
      <c r="JKS3" s="4"/>
      <c r="JKT3" s="4"/>
      <c r="JKU3" s="4"/>
      <c r="JKV3" s="4"/>
      <c r="JKW3" s="4"/>
      <c r="JKX3" s="4"/>
      <c r="JKY3" s="4"/>
      <c r="JKZ3" s="4"/>
      <c r="JLA3" s="4"/>
      <c r="JLB3" s="4"/>
      <c r="JLC3" s="4"/>
      <c r="JLD3" s="4"/>
      <c r="JLE3" s="4"/>
      <c r="JLF3" s="4"/>
      <c r="JLG3" s="4"/>
      <c r="JLH3" s="4"/>
      <c r="JLI3" s="4"/>
      <c r="JLJ3" s="4"/>
      <c r="JLK3" s="4"/>
      <c r="JLL3" s="4"/>
      <c r="JLM3" s="4"/>
      <c r="JLN3" s="4"/>
      <c r="JLO3" s="4"/>
      <c r="JLP3" s="4"/>
      <c r="JLQ3" s="4"/>
      <c r="JLR3" s="4"/>
      <c r="JLS3" s="4"/>
      <c r="JLT3" s="4"/>
      <c r="JLU3" s="4"/>
      <c r="JLV3" s="4"/>
      <c r="JLW3" s="4"/>
      <c r="JLX3" s="4"/>
      <c r="JLY3" s="4"/>
      <c r="JLZ3" s="4"/>
      <c r="JMA3" s="4"/>
      <c r="JMB3" s="4"/>
      <c r="JMC3" s="4"/>
      <c r="JMD3" s="4"/>
      <c r="JME3" s="4"/>
      <c r="JMF3" s="4"/>
      <c r="JMG3" s="4"/>
      <c r="JMH3" s="4"/>
      <c r="JMI3" s="4"/>
      <c r="JMJ3" s="4"/>
      <c r="JMK3" s="4"/>
      <c r="JML3" s="4"/>
      <c r="JMM3" s="4"/>
      <c r="JMN3" s="4"/>
      <c r="JMO3" s="4"/>
      <c r="JMP3" s="4"/>
      <c r="JMQ3" s="4"/>
      <c r="JMR3" s="4"/>
      <c r="JMS3" s="4"/>
      <c r="JMT3" s="4"/>
      <c r="JMU3" s="4"/>
      <c r="JMV3" s="4"/>
      <c r="JMW3" s="4"/>
      <c r="JMX3" s="4"/>
      <c r="JMY3" s="4"/>
      <c r="JMZ3" s="4"/>
      <c r="JNA3" s="4"/>
      <c r="JNB3" s="4"/>
      <c r="JNC3" s="4"/>
      <c r="JND3" s="4"/>
      <c r="JNE3" s="4"/>
      <c r="JNF3" s="4"/>
      <c r="JNG3" s="4"/>
      <c r="JNH3" s="4"/>
      <c r="JNI3" s="4"/>
      <c r="JNJ3" s="4"/>
      <c r="JNK3" s="4"/>
      <c r="JNL3" s="4"/>
      <c r="JNM3" s="4"/>
      <c r="JNN3" s="4"/>
      <c r="JNO3" s="4"/>
      <c r="JNP3" s="4"/>
      <c r="JNQ3" s="4"/>
      <c r="JNR3" s="4"/>
      <c r="JNS3" s="4"/>
      <c r="JNT3" s="4"/>
      <c r="JNU3" s="4"/>
      <c r="JNV3" s="4"/>
      <c r="JNW3" s="4"/>
      <c r="JNX3" s="4"/>
      <c r="JNY3" s="4"/>
      <c r="JNZ3" s="4"/>
      <c r="JOA3" s="4"/>
      <c r="JOB3" s="4"/>
      <c r="JOC3" s="4"/>
      <c r="JOD3" s="4"/>
      <c r="JOE3" s="4"/>
      <c r="JOF3" s="4"/>
      <c r="JOG3" s="4"/>
      <c r="JOH3" s="4"/>
      <c r="JOI3" s="4"/>
      <c r="JOJ3" s="4"/>
      <c r="JOK3" s="4"/>
      <c r="JOL3" s="4"/>
      <c r="JOM3" s="4"/>
      <c r="JON3" s="4"/>
      <c r="JOO3" s="4"/>
      <c r="JOP3" s="4"/>
      <c r="JOQ3" s="4"/>
      <c r="JOR3" s="4"/>
      <c r="JOS3" s="4"/>
      <c r="JOT3" s="4"/>
      <c r="JOU3" s="4"/>
      <c r="JOV3" s="4"/>
      <c r="JOW3" s="4"/>
      <c r="JOX3" s="4"/>
      <c r="JOY3" s="4"/>
      <c r="JOZ3" s="4"/>
      <c r="JPA3" s="4"/>
      <c r="JPB3" s="4"/>
      <c r="JPC3" s="4"/>
      <c r="JPD3" s="4"/>
      <c r="JPE3" s="4"/>
      <c r="JPF3" s="4"/>
      <c r="JPG3" s="4"/>
      <c r="JPH3" s="4"/>
      <c r="JPI3" s="4"/>
      <c r="JPJ3" s="4"/>
      <c r="JPK3" s="4"/>
      <c r="JPL3" s="4"/>
      <c r="JPM3" s="4"/>
      <c r="JPN3" s="4"/>
      <c r="JPO3" s="4"/>
      <c r="JPP3" s="4"/>
      <c r="JPQ3" s="4"/>
      <c r="JPR3" s="4"/>
      <c r="JPS3" s="4"/>
      <c r="JPT3" s="4"/>
      <c r="JPU3" s="4"/>
      <c r="JPV3" s="4"/>
      <c r="JPW3" s="4"/>
      <c r="JPX3" s="4"/>
      <c r="JPY3" s="4"/>
      <c r="JPZ3" s="4"/>
      <c r="JQA3" s="4"/>
      <c r="JQB3" s="4"/>
      <c r="JQC3" s="4"/>
      <c r="JQD3" s="4"/>
      <c r="JQE3" s="4"/>
      <c r="JQF3" s="4"/>
      <c r="JQG3" s="4"/>
      <c r="JQH3" s="4"/>
      <c r="JQI3" s="4"/>
      <c r="JQJ3" s="4"/>
      <c r="JQK3" s="4"/>
      <c r="JQL3" s="4"/>
      <c r="JQM3" s="4"/>
      <c r="JQN3" s="4"/>
      <c r="JQO3" s="4"/>
      <c r="JQP3" s="4"/>
      <c r="JQQ3" s="4"/>
      <c r="JQR3" s="4"/>
      <c r="JQS3" s="4"/>
      <c r="JQT3" s="4"/>
      <c r="JQU3" s="4"/>
      <c r="JQV3" s="4"/>
      <c r="JQW3" s="4"/>
      <c r="JQX3" s="4"/>
      <c r="JQY3" s="4"/>
      <c r="JQZ3" s="4"/>
      <c r="JRA3" s="4"/>
      <c r="JRB3" s="4"/>
      <c r="JRC3" s="4"/>
      <c r="JRD3" s="4"/>
      <c r="JRE3" s="4"/>
      <c r="JRF3" s="4"/>
      <c r="JRG3" s="4"/>
      <c r="JRH3" s="4"/>
      <c r="JRI3" s="4"/>
      <c r="JRJ3" s="4"/>
      <c r="JRK3" s="4"/>
      <c r="JRL3" s="4"/>
      <c r="JRM3" s="4"/>
      <c r="JRN3" s="4"/>
      <c r="JRO3" s="4"/>
      <c r="JRP3" s="4"/>
      <c r="JRQ3" s="4"/>
      <c r="JRR3" s="4"/>
      <c r="JRS3" s="4"/>
      <c r="JRT3" s="4"/>
      <c r="JRU3" s="4"/>
      <c r="JRV3" s="4"/>
      <c r="JRW3" s="4"/>
      <c r="JRX3" s="4"/>
      <c r="JRY3" s="4"/>
      <c r="JRZ3" s="4"/>
      <c r="JSA3" s="4"/>
      <c r="JSB3" s="4"/>
      <c r="JSC3" s="4"/>
      <c r="JSD3" s="4"/>
      <c r="JSE3" s="4"/>
      <c r="JSF3" s="4"/>
      <c r="JSG3" s="4"/>
      <c r="JSH3" s="4"/>
      <c r="JSI3" s="4"/>
      <c r="JSJ3" s="4"/>
      <c r="JSK3" s="4"/>
      <c r="JSL3" s="4"/>
      <c r="JSM3" s="4"/>
      <c r="JSN3" s="4"/>
      <c r="JSO3" s="4"/>
      <c r="JSP3" s="4"/>
      <c r="JSQ3" s="4"/>
      <c r="JSR3" s="4"/>
      <c r="JSS3" s="4"/>
      <c r="JST3" s="4"/>
      <c r="JSU3" s="4"/>
      <c r="JSV3" s="4"/>
      <c r="JSW3" s="4"/>
      <c r="JSX3" s="4"/>
      <c r="JSY3" s="4"/>
      <c r="JSZ3" s="4"/>
      <c r="JTA3" s="4"/>
      <c r="JTB3" s="4"/>
      <c r="JTC3" s="4"/>
      <c r="JTD3" s="4"/>
      <c r="JTE3" s="4"/>
      <c r="JTF3" s="4"/>
      <c r="JTG3" s="4"/>
      <c r="JTH3" s="4"/>
      <c r="JTI3" s="4"/>
      <c r="JTJ3" s="4"/>
      <c r="JTK3" s="4"/>
      <c r="JTL3" s="4"/>
      <c r="JTM3" s="4"/>
      <c r="JTN3" s="4"/>
      <c r="JTO3" s="4"/>
      <c r="JTP3" s="4"/>
      <c r="JTQ3" s="4"/>
      <c r="JTR3" s="4"/>
      <c r="JTS3" s="4"/>
      <c r="JTT3" s="4"/>
      <c r="JTU3" s="4"/>
      <c r="JTV3" s="4"/>
      <c r="JTW3" s="4"/>
      <c r="JTX3" s="4"/>
      <c r="JTY3" s="4"/>
      <c r="JTZ3" s="4"/>
      <c r="JUA3" s="4"/>
      <c r="JUB3" s="4"/>
      <c r="JUC3" s="4"/>
      <c r="JUD3" s="4"/>
      <c r="JUE3" s="4"/>
      <c r="JUF3" s="4"/>
      <c r="JUG3" s="4"/>
      <c r="JUH3" s="4"/>
      <c r="JUI3" s="4"/>
      <c r="JUJ3" s="4"/>
      <c r="JUK3" s="4"/>
      <c r="JUL3" s="4"/>
      <c r="JUM3" s="4"/>
      <c r="JUN3" s="4"/>
      <c r="JUO3" s="4"/>
      <c r="JUP3" s="4"/>
      <c r="JUQ3" s="4"/>
      <c r="JUR3" s="4"/>
      <c r="JUS3" s="4"/>
      <c r="JUT3" s="4"/>
      <c r="JUU3" s="4"/>
      <c r="JUV3" s="4"/>
      <c r="JUW3" s="4"/>
      <c r="JUX3" s="4"/>
      <c r="JUY3" s="4"/>
      <c r="JUZ3" s="4"/>
      <c r="JVA3" s="4"/>
      <c r="JVB3" s="4"/>
      <c r="JVC3" s="4"/>
      <c r="JVD3" s="4"/>
      <c r="JVE3" s="4"/>
      <c r="JVF3" s="4"/>
      <c r="JVG3" s="4"/>
      <c r="JVH3" s="4"/>
      <c r="JVI3" s="4"/>
      <c r="JVJ3" s="4"/>
      <c r="JVK3" s="4"/>
      <c r="JVL3" s="4"/>
      <c r="JVM3" s="4"/>
      <c r="JVN3" s="4"/>
      <c r="JVO3" s="4"/>
      <c r="JVP3" s="4"/>
      <c r="JVQ3" s="4"/>
      <c r="JVR3" s="4"/>
      <c r="JVS3" s="4"/>
      <c r="JVT3" s="4"/>
      <c r="JVU3" s="4"/>
      <c r="JVV3" s="4"/>
      <c r="JVW3" s="4"/>
      <c r="JVX3" s="4"/>
      <c r="JVY3" s="4"/>
      <c r="JVZ3" s="4"/>
      <c r="JWA3" s="4"/>
      <c r="JWB3" s="4"/>
      <c r="JWC3" s="4"/>
      <c r="JWD3" s="4"/>
      <c r="JWE3" s="4"/>
      <c r="JWF3" s="4"/>
      <c r="JWG3" s="4"/>
      <c r="JWH3" s="4"/>
      <c r="JWI3" s="4"/>
      <c r="JWJ3" s="4"/>
      <c r="JWK3" s="4"/>
      <c r="JWL3" s="4"/>
      <c r="JWM3" s="4"/>
      <c r="JWN3" s="4"/>
      <c r="JWO3" s="4"/>
      <c r="JWP3" s="4"/>
      <c r="JWQ3" s="4"/>
      <c r="JWR3" s="4"/>
      <c r="JWS3" s="4"/>
      <c r="JWT3" s="4"/>
      <c r="JWU3" s="4"/>
      <c r="JWV3" s="4"/>
      <c r="JWW3" s="4"/>
      <c r="JWX3" s="4"/>
      <c r="JWY3" s="4"/>
      <c r="JWZ3" s="4"/>
      <c r="JXA3" s="4"/>
      <c r="JXB3" s="4"/>
      <c r="JXC3" s="4"/>
      <c r="JXD3" s="4"/>
      <c r="JXE3" s="4"/>
      <c r="JXF3" s="4"/>
      <c r="JXG3" s="4"/>
      <c r="JXH3" s="4"/>
      <c r="JXI3" s="4"/>
      <c r="JXJ3" s="4"/>
      <c r="JXK3" s="4"/>
      <c r="JXL3" s="4"/>
      <c r="JXM3" s="4"/>
      <c r="JXN3" s="4"/>
      <c r="JXO3" s="4"/>
      <c r="JXP3" s="4"/>
      <c r="JXQ3" s="4"/>
      <c r="JXR3" s="4"/>
      <c r="JXS3" s="4"/>
      <c r="JXT3" s="4"/>
      <c r="JXU3" s="4"/>
      <c r="JXV3" s="4"/>
      <c r="JXW3" s="4"/>
      <c r="JXX3" s="4"/>
      <c r="JXY3" s="4"/>
      <c r="JXZ3" s="4"/>
      <c r="JYA3" s="4"/>
      <c r="JYB3" s="4"/>
      <c r="JYC3" s="4"/>
      <c r="JYD3" s="4"/>
      <c r="JYE3" s="4"/>
      <c r="JYF3" s="4"/>
      <c r="JYG3" s="4"/>
      <c r="JYH3" s="4"/>
      <c r="JYI3" s="4"/>
      <c r="JYJ3" s="4"/>
      <c r="JYK3" s="4"/>
      <c r="JYL3" s="4"/>
      <c r="JYM3" s="4"/>
      <c r="JYN3" s="4"/>
      <c r="JYO3" s="4"/>
      <c r="JYP3" s="4"/>
      <c r="JYQ3" s="4"/>
      <c r="JYR3" s="4"/>
      <c r="JYS3" s="4"/>
      <c r="JYT3" s="4"/>
      <c r="JYU3" s="4"/>
      <c r="JYV3" s="4"/>
      <c r="JYW3" s="4"/>
      <c r="JYX3" s="4"/>
      <c r="JYY3" s="4"/>
      <c r="JYZ3" s="4"/>
      <c r="JZA3" s="4"/>
      <c r="JZB3" s="4"/>
      <c r="JZC3" s="4"/>
      <c r="JZD3" s="4"/>
      <c r="JZE3" s="4"/>
      <c r="JZF3" s="4"/>
      <c r="JZG3" s="4"/>
      <c r="JZH3" s="4"/>
      <c r="JZI3" s="4"/>
      <c r="JZJ3" s="4"/>
      <c r="JZK3" s="4"/>
      <c r="JZL3" s="4"/>
      <c r="JZM3" s="4"/>
      <c r="JZN3" s="4"/>
      <c r="JZO3" s="4"/>
      <c r="JZP3" s="4"/>
      <c r="JZQ3" s="4"/>
      <c r="JZR3" s="4"/>
      <c r="JZS3" s="4"/>
      <c r="JZT3" s="4"/>
      <c r="JZU3" s="4"/>
      <c r="JZV3" s="4"/>
      <c r="JZW3" s="4"/>
      <c r="JZX3" s="4"/>
      <c r="JZY3" s="4"/>
      <c r="JZZ3" s="4"/>
      <c r="KAA3" s="4"/>
      <c r="KAB3" s="4"/>
      <c r="KAC3" s="4"/>
      <c r="KAD3" s="4"/>
      <c r="KAE3" s="4"/>
      <c r="KAF3" s="4"/>
      <c r="KAG3" s="4"/>
      <c r="KAH3" s="4"/>
      <c r="KAI3" s="4"/>
      <c r="KAJ3" s="4"/>
      <c r="KAK3" s="4"/>
      <c r="KAL3" s="4"/>
      <c r="KAM3" s="4"/>
      <c r="KAN3" s="4"/>
      <c r="KAO3" s="4"/>
      <c r="KAP3" s="4"/>
      <c r="KAQ3" s="4"/>
      <c r="KAR3" s="4"/>
      <c r="KAS3" s="4"/>
      <c r="KAT3" s="4"/>
      <c r="KAU3" s="4"/>
      <c r="KAV3" s="4"/>
      <c r="KAW3" s="4"/>
      <c r="KAX3" s="4"/>
      <c r="KAY3" s="4"/>
      <c r="KAZ3" s="4"/>
      <c r="KBA3" s="4"/>
      <c r="KBB3" s="4"/>
      <c r="KBC3" s="4"/>
      <c r="KBD3" s="4"/>
      <c r="KBE3" s="4"/>
      <c r="KBF3" s="4"/>
      <c r="KBG3" s="4"/>
      <c r="KBH3" s="4"/>
      <c r="KBI3" s="4"/>
      <c r="KBJ3" s="4"/>
      <c r="KBK3" s="4"/>
      <c r="KBL3" s="4"/>
      <c r="KBM3" s="4"/>
      <c r="KBN3" s="4"/>
      <c r="KBO3" s="4"/>
      <c r="KBP3" s="4"/>
      <c r="KBQ3" s="4"/>
      <c r="KBR3" s="4"/>
      <c r="KBS3" s="4"/>
      <c r="KBT3" s="4"/>
      <c r="KBU3" s="4"/>
      <c r="KBV3" s="4"/>
      <c r="KBW3" s="4"/>
      <c r="KBX3" s="4"/>
      <c r="KBY3" s="4"/>
      <c r="KBZ3" s="4"/>
      <c r="KCA3" s="4"/>
      <c r="KCB3" s="4"/>
      <c r="KCC3" s="4"/>
      <c r="KCD3" s="4"/>
      <c r="KCE3" s="4"/>
      <c r="KCF3" s="4"/>
      <c r="KCG3" s="4"/>
      <c r="KCH3" s="4"/>
      <c r="KCI3" s="4"/>
      <c r="KCJ3" s="4"/>
      <c r="KCK3" s="4"/>
      <c r="KCL3" s="4"/>
      <c r="KCM3" s="4"/>
      <c r="KCN3" s="4"/>
      <c r="KCO3" s="4"/>
      <c r="KCP3" s="4"/>
      <c r="KCQ3" s="4"/>
      <c r="KCR3" s="4"/>
      <c r="KCS3" s="4"/>
      <c r="KCT3" s="4"/>
      <c r="KCU3" s="4"/>
      <c r="KCV3" s="4"/>
      <c r="KCW3" s="4"/>
      <c r="KCX3" s="4"/>
      <c r="KCY3" s="4"/>
      <c r="KCZ3" s="4"/>
      <c r="KDA3" s="4"/>
      <c r="KDB3" s="4"/>
      <c r="KDC3" s="4"/>
      <c r="KDD3" s="4"/>
      <c r="KDE3" s="4"/>
      <c r="KDF3" s="4"/>
      <c r="KDG3" s="4"/>
      <c r="KDH3" s="4"/>
      <c r="KDI3" s="4"/>
      <c r="KDJ3" s="4"/>
      <c r="KDK3" s="4"/>
      <c r="KDL3" s="4"/>
      <c r="KDM3" s="4"/>
      <c r="KDN3" s="4"/>
      <c r="KDO3" s="4"/>
      <c r="KDP3" s="4"/>
      <c r="KDQ3" s="4"/>
      <c r="KDR3" s="4"/>
      <c r="KDS3" s="4"/>
      <c r="KDT3" s="4"/>
      <c r="KDU3" s="4"/>
      <c r="KDV3" s="4"/>
      <c r="KDW3" s="4"/>
      <c r="KDX3" s="4"/>
      <c r="KDY3" s="4"/>
      <c r="KDZ3" s="4"/>
      <c r="KEA3" s="4"/>
      <c r="KEB3" s="4"/>
      <c r="KEC3" s="4"/>
      <c r="KED3" s="4"/>
      <c r="KEE3" s="4"/>
      <c r="KEF3" s="4"/>
      <c r="KEG3" s="4"/>
      <c r="KEH3" s="4"/>
      <c r="KEI3" s="4"/>
      <c r="KEJ3" s="4"/>
      <c r="KEK3" s="4"/>
      <c r="KEL3" s="4"/>
      <c r="KEM3" s="4"/>
      <c r="KEN3" s="4"/>
      <c r="KEO3" s="4"/>
      <c r="KEP3" s="4"/>
      <c r="KEQ3" s="4"/>
      <c r="KER3" s="4"/>
      <c r="KES3" s="4"/>
      <c r="KET3" s="4"/>
      <c r="KEU3" s="4"/>
      <c r="KEV3" s="4"/>
      <c r="KEW3" s="4"/>
      <c r="KEX3" s="4"/>
      <c r="KEY3" s="4"/>
      <c r="KEZ3" s="4"/>
      <c r="KFA3" s="4"/>
      <c r="KFB3" s="4"/>
      <c r="KFC3" s="4"/>
      <c r="KFD3" s="4"/>
      <c r="KFE3" s="4"/>
      <c r="KFF3" s="4"/>
      <c r="KFG3" s="4"/>
      <c r="KFH3" s="4"/>
      <c r="KFI3" s="4"/>
      <c r="KFJ3" s="4"/>
      <c r="KFK3" s="4"/>
      <c r="KFL3" s="4"/>
      <c r="KFM3" s="4"/>
      <c r="KFN3" s="4"/>
      <c r="KFO3" s="4"/>
      <c r="KFP3" s="4"/>
      <c r="KFQ3" s="4"/>
      <c r="KFR3" s="4"/>
      <c r="KFS3" s="4"/>
      <c r="KFT3" s="4"/>
      <c r="KFU3" s="4"/>
      <c r="KFV3" s="4"/>
      <c r="KFW3" s="4"/>
      <c r="KFX3" s="4"/>
      <c r="KFY3" s="4"/>
      <c r="KFZ3" s="4"/>
      <c r="KGA3" s="4"/>
      <c r="KGB3" s="4"/>
      <c r="KGC3" s="4"/>
      <c r="KGD3" s="4"/>
      <c r="KGE3" s="4"/>
      <c r="KGF3" s="4"/>
      <c r="KGG3" s="4"/>
      <c r="KGH3" s="4"/>
      <c r="KGI3" s="4"/>
      <c r="KGJ3" s="4"/>
      <c r="KGK3" s="4"/>
      <c r="KGL3" s="4"/>
      <c r="KGM3" s="4"/>
      <c r="KGN3" s="4"/>
      <c r="KGO3" s="4"/>
      <c r="KGP3" s="4"/>
      <c r="KGQ3" s="4"/>
      <c r="KGR3" s="4"/>
      <c r="KGS3" s="4"/>
      <c r="KGT3" s="4"/>
      <c r="KGU3" s="4"/>
      <c r="KGV3" s="4"/>
      <c r="KGW3" s="4"/>
      <c r="KGX3" s="4"/>
      <c r="KGY3" s="4"/>
      <c r="KGZ3" s="4"/>
      <c r="KHA3" s="4"/>
      <c r="KHB3" s="4"/>
      <c r="KHC3" s="4"/>
      <c r="KHD3" s="4"/>
      <c r="KHE3" s="4"/>
      <c r="KHF3" s="4"/>
      <c r="KHG3" s="4"/>
      <c r="KHH3" s="4"/>
      <c r="KHI3" s="4"/>
      <c r="KHJ3" s="4"/>
      <c r="KHK3" s="4"/>
      <c r="KHL3" s="4"/>
      <c r="KHM3" s="4"/>
      <c r="KHN3" s="4"/>
      <c r="KHO3" s="4"/>
      <c r="KHP3" s="4"/>
      <c r="KHQ3" s="4"/>
      <c r="KHR3" s="4"/>
      <c r="KHS3" s="4"/>
      <c r="KHT3" s="4"/>
      <c r="KHU3" s="4"/>
      <c r="KHV3" s="4"/>
      <c r="KHW3" s="4"/>
      <c r="KHX3" s="4"/>
      <c r="KHY3" s="4"/>
      <c r="KHZ3" s="4"/>
      <c r="KIA3" s="4"/>
      <c r="KIB3" s="4"/>
      <c r="KIC3" s="4"/>
      <c r="KID3" s="4"/>
      <c r="KIE3" s="4"/>
      <c r="KIF3" s="4"/>
      <c r="KIG3" s="4"/>
      <c r="KIH3" s="4"/>
      <c r="KII3" s="4"/>
      <c r="KIJ3" s="4"/>
      <c r="KIK3" s="4"/>
      <c r="KIL3" s="4"/>
      <c r="KIM3" s="4"/>
      <c r="KIN3" s="4"/>
      <c r="KIO3" s="4"/>
      <c r="KIP3" s="4"/>
      <c r="KIQ3" s="4"/>
      <c r="KIR3" s="4"/>
      <c r="KIS3" s="4"/>
      <c r="KIT3" s="4"/>
      <c r="KIU3" s="4"/>
      <c r="KIV3" s="4"/>
      <c r="KIW3" s="4"/>
      <c r="KIX3" s="4"/>
      <c r="KIY3" s="4"/>
      <c r="KIZ3" s="4"/>
      <c r="KJA3" s="4"/>
      <c r="KJB3" s="4"/>
      <c r="KJC3" s="4"/>
      <c r="KJD3" s="4"/>
      <c r="KJE3" s="4"/>
      <c r="KJF3" s="4"/>
      <c r="KJG3" s="4"/>
      <c r="KJH3" s="4"/>
      <c r="KJI3" s="4"/>
      <c r="KJJ3" s="4"/>
      <c r="KJK3" s="4"/>
      <c r="KJL3" s="4"/>
      <c r="KJM3" s="4"/>
      <c r="KJN3" s="4"/>
      <c r="KJO3" s="4"/>
      <c r="KJP3" s="4"/>
      <c r="KJQ3" s="4"/>
      <c r="KJR3" s="4"/>
      <c r="KJS3" s="4"/>
      <c r="KJT3" s="4"/>
      <c r="KJU3" s="4"/>
      <c r="KJV3" s="4"/>
      <c r="KJW3" s="4"/>
      <c r="KJX3" s="4"/>
      <c r="KJY3" s="4"/>
      <c r="KJZ3" s="4"/>
      <c r="KKA3" s="4"/>
      <c r="KKB3" s="4"/>
      <c r="KKC3" s="4"/>
      <c r="KKD3" s="4"/>
      <c r="KKE3" s="4"/>
      <c r="KKF3" s="4"/>
      <c r="KKG3" s="4"/>
      <c r="KKH3" s="4"/>
      <c r="KKI3" s="4"/>
      <c r="KKJ3" s="4"/>
      <c r="KKK3" s="4"/>
      <c r="KKL3" s="4"/>
      <c r="KKM3" s="4"/>
      <c r="KKN3" s="4"/>
      <c r="KKO3" s="4"/>
      <c r="KKP3" s="4"/>
      <c r="KKQ3" s="4"/>
      <c r="KKR3" s="4"/>
      <c r="KKS3" s="4"/>
      <c r="KKT3" s="4"/>
      <c r="KKU3" s="4"/>
      <c r="KKV3" s="4"/>
      <c r="KKW3" s="4"/>
      <c r="KKX3" s="4"/>
      <c r="KKY3" s="4"/>
      <c r="KKZ3" s="4"/>
      <c r="KLA3" s="4"/>
      <c r="KLB3" s="4"/>
      <c r="KLC3" s="4"/>
      <c r="KLD3" s="4"/>
      <c r="KLE3" s="4"/>
      <c r="KLF3" s="4"/>
      <c r="KLG3" s="4"/>
      <c r="KLH3" s="4"/>
      <c r="KLI3" s="4"/>
      <c r="KLJ3" s="4"/>
      <c r="KLK3" s="4"/>
      <c r="KLL3" s="4"/>
      <c r="KLM3" s="4"/>
      <c r="KLN3" s="4"/>
      <c r="KLO3" s="4"/>
      <c r="KLP3" s="4"/>
      <c r="KLQ3" s="4"/>
      <c r="KLR3" s="4"/>
      <c r="KLS3" s="4"/>
      <c r="KLT3" s="4"/>
      <c r="KLU3" s="4"/>
      <c r="KLV3" s="4"/>
      <c r="KLW3" s="4"/>
      <c r="KLX3" s="4"/>
      <c r="KLY3" s="4"/>
      <c r="KLZ3" s="4"/>
      <c r="KMA3" s="4"/>
      <c r="KMB3" s="4"/>
      <c r="KMC3" s="4"/>
      <c r="KMD3" s="4"/>
      <c r="KME3" s="4"/>
      <c r="KMF3" s="4"/>
      <c r="KMG3" s="4"/>
      <c r="KMH3" s="4"/>
      <c r="KMI3" s="4"/>
      <c r="KMJ3" s="4"/>
      <c r="KMK3" s="4"/>
      <c r="KML3" s="4"/>
      <c r="KMM3" s="4"/>
      <c r="KMN3" s="4"/>
      <c r="KMO3" s="4"/>
      <c r="KMP3" s="4"/>
      <c r="KMQ3" s="4"/>
      <c r="KMR3" s="4"/>
      <c r="KMS3" s="4"/>
      <c r="KMT3" s="4"/>
      <c r="KMU3" s="4"/>
      <c r="KMV3" s="4"/>
      <c r="KMW3" s="4"/>
      <c r="KMX3" s="4"/>
      <c r="KMY3" s="4"/>
      <c r="KMZ3" s="4"/>
      <c r="KNA3" s="4"/>
      <c r="KNB3" s="4"/>
      <c r="KNC3" s="4"/>
      <c r="KND3" s="4"/>
      <c r="KNE3" s="4"/>
      <c r="KNF3" s="4"/>
      <c r="KNG3" s="4"/>
      <c r="KNH3" s="4"/>
      <c r="KNI3" s="4"/>
      <c r="KNJ3" s="4"/>
      <c r="KNK3" s="4"/>
      <c r="KNL3" s="4"/>
      <c r="KNM3" s="4"/>
      <c r="KNN3" s="4"/>
      <c r="KNO3" s="4"/>
      <c r="KNP3" s="4"/>
      <c r="KNQ3" s="4"/>
      <c r="KNR3" s="4"/>
      <c r="KNS3" s="4"/>
      <c r="KNT3" s="4"/>
      <c r="KNU3" s="4"/>
      <c r="KNV3" s="4"/>
      <c r="KNW3" s="4"/>
      <c r="KNX3" s="4"/>
      <c r="KNY3" s="4"/>
      <c r="KNZ3" s="4"/>
      <c r="KOA3" s="4"/>
      <c r="KOB3" s="4"/>
      <c r="KOC3" s="4"/>
      <c r="KOD3" s="4"/>
      <c r="KOE3" s="4"/>
      <c r="KOF3" s="4"/>
      <c r="KOG3" s="4"/>
      <c r="KOH3" s="4"/>
      <c r="KOI3" s="4"/>
      <c r="KOJ3" s="4"/>
      <c r="KOK3" s="4"/>
      <c r="KOL3" s="4"/>
      <c r="KOM3" s="4"/>
      <c r="KON3" s="4"/>
      <c r="KOO3" s="4"/>
      <c r="KOP3" s="4"/>
      <c r="KOQ3" s="4"/>
      <c r="KOR3" s="4"/>
      <c r="KOS3" s="4"/>
      <c r="KOT3" s="4"/>
      <c r="KOU3" s="4"/>
      <c r="KOV3" s="4"/>
      <c r="KOW3" s="4"/>
      <c r="KOX3" s="4"/>
      <c r="KOY3" s="4"/>
      <c r="KOZ3" s="4"/>
      <c r="KPA3" s="4"/>
      <c r="KPB3" s="4"/>
      <c r="KPC3" s="4"/>
      <c r="KPD3" s="4"/>
      <c r="KPE3" s="4"/>
      <c r="KPF3" s="4"/>
      <c r="KPG3" s="4"/>
      <c r="KPH3" s="4"/>
      <c r="KPI3" s="4"/>
      <c r="KPJ3" s="4"/>
      <c r="KPK3" s="4"/>
      <c r="KPL3" s="4"/>
      <c r="KPM3" s="4"/>
      <c r="KPN3" s="4"/>
      <c r="KPO3" s="4"/>
      <c r="KPP3" s="4"/>
      <c r="KPQ3" s="4"/>
      <c r="KPR3" s="4"/>
      <c r="KPS3" s="4"/>
      <c r="KPT3" s="4"/>
      <c r="KPU3" s="4"/>
      <c r="KPV3" s="4"/>
      <c r="KPW3" s="4"/>
      <c r="KPX3" s="4"/>
      <c r="KPY3" s="4"/>
      <c r="KPZ3" s="4"/>
      <c r="KQA3" s="4"/>
      <c r="KQB3" s="4"/>
      <c r="KQC3" s="4"/>
      <c r="KQD3" s="4"/>
      <c r="KQE3" s="4"/>
      <c r="KQF3" s="4"/>
      <c r="KQG3" s="4"/>
      <c r="KQH3" s="4"/>
      <c r="KQI3" s="4"/>
      <c r="KQJ3" s="4"/>
      <c r="KQK3" s="4"/>
      <c r="KQL3" s="4"/>
      <c r="KQM3" s="4"/>
      <c r="KQN3" s="4"/>
      <c r="KQO3" s="4"/>
      <c r="KQP3" s="4"/>
      <c r="KQQ3" s="4"/>
      <c r="KQR3" s="4"/>
      <c r="KQS3" s="4"/>
      <c r="KQT3" s="4"/>
      <c r="KQU3" s="4"/>
      <c r="KQV3" s="4"/>
      <c r="KQW3" s="4"/>
      <c r="KQX3" s="4"/>
      <c r="KQY3" s="4"/>
      <c r="KQZ3" s="4"/>
      <c r="KRA3" s="4"/>
      <c r="KRB3" s="4"/>
      <c r="KRC3" s="4"/>
      <c r="KRD3" s="4"/>
      <c r="KRE3" s="4"/>
      <c r="KRF3" s="4"/>
      <c r="KRG3" s="4"/>
      <c r="KRH3" s="4"/>
      <c r="KRI3" s="4"/>
      <c r="KRJ3" s="4"/>
      <c r="KRK3" s="4"/>
      <c r="KRL3" s="4"/>
      <c r="KRM3" s="4"/>
      <c r="KRN3" s="4"/>
      <c r="KRO3" s="4"/>
      <c r="KRP3" s="4"/>
      <c r="KRQ3" s="4"/>
      <c r="KRR3" s="4"/>
      <c r="KRS3" s="4"/>
      <c r="KRT3" s="4"/>
      <c r="KRU3" s="4"/>
      <c r="KRV3" s="4"/>
      <c r="KRW3" s="4"/>
      <c r="KRX3" s="4"/>
      <c r="KRY3" s="4"/>
      <c r="KRZ3" s="4"/>
      <c r="KSA3" s="4"/>
      <c r="KSB3" s="4"/>
      <c r="KSC3" s="4"/>
      <c r="KSD3" s="4"/>
      <c r="KSE3" s="4"/>
      <c r="KSF3" s="4"/>
      <c r="KSG3" s="4"/>
      <c r="KSH3" s="4"/>
      <c r="KSI3" s="4"/>
      <c r="KSJ3" s="4"/>
      <c r="KSK3" s="4"/>
      <c r="KSL3" s="4"/>
      <c r="KSM3" s="4"/>
      <c r="KSN3" s="4"/>
      <c r="KSO3" s="4"/>
      <c r="KSP3" s="4"/>
      <c r="KSQ3" s="4"/>
      <c r="KSR3" s="4"/>
      <c r="KSS3" s="4"/>
      <c r="KST3" s="4"/>
      <c r="KSU3" s="4"/>
      <c r="KSV3" s="4"/>
      <c r="KSW3" s="4"/>
      <c r="KSX3" s="4"/>
      <c r="KSY3" s="4"/>
      <c r="KSZ3" s="4"/>
      <c r="KTA3" s="4"/>
      <c r="KTB3" s="4"/>
      <c r="KTC3" s="4"/>
      <c r="KTD3" s="4"/>
      <c r="KTE3" s="4"/>
      <c r="KTF3" s="4"/>
      <c r="KTG3" s="4"/>
      <c r="KTH3" s="4"/>
      <c r="KTI3" s="4"/>
      <c r="KTJ3" s="4"/>
      <c r="KTK3" s="4"/>
      <c r="KTL3" s="4"/>
      <c r="KTM3" s="4"/>
      <c r="KTN3" s="4"/>
      <c r="KTO3" s="4"/>
      <c r="KTP3" s="4"/>
      <c r="KTQ3" s="4"/>
      <c r="KTR3" s="4"/>
      <c r="KTS3" s="4"/>
      <c r="KTT3" s="4"/>
      <c r="KTU3" s="4"/>
      <c r="KTV3" s="4"/>
      <c r="KTW3" s="4"/>
      <c r="KTX3" s="4"/>
      <c r="KTY3" s="4"/>
      <c r="KTZ3" s="4"/>
      <c r="KUA3" s="4"/>
      <c r="KUB3" s="4"/>
      <c r="KUC3" s="4"/>
      <c r="KUD3" s="4"/>
      <c r="KUE3" s="4"/>
      <c r="KUF3" s="4"/>
      <c r="KUG3" s="4"/>
      <c r="KUH3" s="4"/>
      <c r="KUI3" s="4"/>
      <c r="KUJ3" s="4"/>
      <c r="KUK3" s="4"/>
      <c r="KUL3" s="4"/>
      <c r="KUM3" s="4"/>
      <c r="KUN3" s="4"/>
      <c r="KUO3" s="4"/>
      <c r="KUP3" s="4"/>
      <c r="KUQ3" s="4"/>
      <c r="KUR3" s="4"/>
      <c r="KUS3" s="4"/>
      <c r="KUT3" s="4"/>
      <c r="KUU3" s="4"/>
      <c r="KUV3" s="4"/>
      <c r="KUW3" s="4"/>
      <c r="KUX3" s="4"/>
      <c r="KUY3" s="4"/>
      <c r="KUZ3" s="4"/>
      <c r="KVA3" s="4"/>
      <c r="KVB3" s="4"/>
      <c r="KVC3" s="4"/>
      <c r="KVD3" s="4"/>
      <c r="KVE3" s="4"/>
      <c r="KVF3" s="4"/>
      <c r="KVG3" s="4"/>
      <c r="KVH3" s="4"/>
      <c r="KVI3" s="4"/>
      <c r="KVJ3" s="4"/>
      <c r="KVK3" s="4"/>
      <c r="KVL3" s="4"/>
      <c r="KVM3" s="4"/>
      <c r="KVN3" s="4"/>
      <c r="KVO3" s="4"/>
      <c r="KVP3" s="4"/>
      <c r="KVQ3" s="4"/>
      <c r="KVR3" s="4"/>
      <c r="KVS3" s="4"/>
      <c r="KVT3" s="4"/>
      <c r="KVU3" s="4"/>
      <c r="KVV3" s="4"/>
      <c r="KVW3" s="4"/>
      <c r="KVX3" s="4"/>
      <c r="KVY3" s="4"/>
      <c r="KVZ3" s="4"/>
      <c r="KWA3" s="4"/>
      <c r="KWB3" s="4"/>
      <c r="KWC3" s="4"/>
      <c r="KWD3" s="4"/>
      <c r="KWE3" s="4"/>
      <c r="KWF3" s="4"/>
      <c r="KWG3" s="4"/>
      <c r="KWH3" s="4"/>
      <c r="KWI3" s="4"/>
      <c r="KWJ3" s="4"/>
      <c r="KWK3" s="4"/>
      <c r="KWL3" s="4"/>
      <c r="KWM3" s="4"/>
      <c r="KWN3" s="4"/>
      <c r="KWO3" s="4"/>
      <c r="KWP3" s="4"/>
      <c r="KWQ3" s="4"/>
      <c r="KWR3" s="4"/>
      <c r="KWS3" s="4"/>
      <c r="KWT3" s="4"/>
      <c r="KWU3" s="4"/>
      <c r="KWV3" s="4"/>
      <c r="KWW3" s="4"/>
      <c r="KWX3" s="4"/>
      <c r="KWY3" s="4"/>
      <c r="KWZ3" s="4"/>
      <c r="KXA3" s="4"/>
      <c r="KXB3" s="4"/>
      <c r="KXC3" s="4"/>
      <c r="KXD3" s="4"/>
      <c r="KXE3" s="4"/>
      <c r="KXF3" s="4"/>
      <c r="KXG3" s="4"/>
      <c r="KXH3" s="4"/>
      <c r="KXI3" s="4"/>
      <c r="KXJ3" s="4"/>
      <c r="KXK3" s="4"/>
      <c r="KXL3" s="4"/>
      <c r="KXM3" s="4"/>
      <c r="KXN3" s="4"/>
      <c r="KXO3" s="4"/>
      <c r="KXP3" s="4"/>
      <c r="KXQ3" s="4"/>
      <c r="KXR3" s="4"/>
      <c r="KXS3" s="4"/>
      <c r="KXT3" s="4"/>
      <c r="KXU3" s="4"/>
      <c r="KXV3" s="4"/>
      <c r="KXW3" s="4"/>
      <c r="KXX3" s="4"/>
      <c r="KXY3" s="4"/>
      <c r="KXZ3" s="4"/>
      <c r="KYA3" s="4"/>
      <c r="KYB3" s="4"/>
      <c r="KYC3" s="4"/>
      <c r="KYD3" s="4"/>
      <c r="KYE3" s="4"/>
      <c r="KYF3" s="4"/>
      <c r="KYG3" s="4"/>
      <c r="KYH3" s="4"/>
      <c r="KYI3" s="4"/>
      <c r="KYJ3" s="4"/>
      <c r="KYK3" s="4"/>
      <c r="KYL3" s="4"/>
      <c r="KYM3" s="4"/>
      <c r="KYN3" s="4"/>
      <c r="KYO3" s="4"/>
      <c r="KYP3" s="4"/>
      <c r="KYQ3" s="4"/>
      <c r="KYR3" s="4"/>
      <c r="KYS3" s="4"/>
      <c r="KYT3" s="4"/>
      <c r="KYU3" s="4"/>
      <c r="KYV3" s="4"/>
      <c r="KYW3" s="4"/>
      <c r="KYX3" s="4"/>
      <c r="KYY3" s="4"/>
      <c r="KYZ3" s="4"/>
      <c r="KZA3" s="4"/>
      <c r="KZB3" s="4"/>
      <c r="KZC3" s="4"/>
      <c r="KZD3" s="4"/>
      <c r="KZE3" s="4"/>
      <c r="KZF3" s="4"/>
      <c r="KZG3" s="4"/>
      <c r="KZH3" s="4"/>
      <c r="KZI3" s="4"/>
      <c r="KZJ3" s="4"/>
      <c r="KZK3" s="4"/>
      <c r="KZL3" s="4"/>
      <c r="KZM3" s="4"/>
      <c r="KZN3" s="4"/>
      <c r="KZO3" s="4"/>
      <c r="KZP3" s="4"/>
      <c r="KZQ3" s="4"/>
      <c r="KZR3" s="4"/>
      <c r="KZS3" s="4"/>
      <c r="KZT3" s="4"/>
      <c r="KZU3" s="4"/>
      <c r="KZV3" s="4"/>
      <c r="KZW3" s="4"/>
      <c r="KZX3" s="4"/>
      <c r="KZY3" s="4"/>
      <c r="KZZ3" s="4"/>
      <c r="LAA3" s="4"/>
      <c r="LAB3" s="4"/>
      <c r="LAC3" s="4"/>
      <c r="LAD3" s="4"/>
      <c r="LAE3" s="4"/>
      <c r="LAF3" s="4"/>
      <c r="LAG3" s="4"/>
      <c r="LAH3" s="4"/>
      <c r="LAI3" s="4"/>
      <c r="LAJ3" s="4"/>
      <c r="LAK3" s="4"/>
      <c r="LAL3" s="4"/>
      <c r="LAM3" s="4"/>
      <c r="LAN3" s="4"/>
      <c r="LAO3" s="4"/>
      <c r="LAP3" s="4"/>
      <c r="LAQ3" s="4"/>
      <c r="LAR3" s="4"/>
      <c r="LAS3" s="4"/>
      <c r="LAT3" s="4"/>
      <c r="LAU3" s="4"/>
      <c r="LAV3" s="4"/>
      <c r="LAW3" s="4"/>
      <c r="LAX3" s="4"/>
      <c r="LAY3" s="4"/>
      <c r="LAZ3" s="4"/>
      <c r="LBA3" s="4"/>
      <c r="LBB3" s="4"/>
      <c r="LBC3" s="4"/>
      <c r="LBD3" s="4"/>
      <c r="LBE3" s="4"/>
      <c r="LBF3" s="4"/>
      <c r="LBG3" s="4"/>
      <c r="LBH3" s="4"/>
      <c r="LBI3" s="4"/>
      <c r="LBJ3" s="4"/>
      <c r="LBK3" s="4"/>
      <c r="LBL3" s="4"/>
      <c r="LBM3" s="4"/>
      <c r="LBN3" s="4"/>
      <c r="LBO3" s="4"/>
      <c r="LBP3" s="4"/>
      <c r="LBQ3" s="4"/>
      <c r="LBR3" s="4"/>
      <c r="LBS3" s="4"/>
      <c r="LBT3" s="4"/>
      <c r="LBU3" s="4"/>
      <c r="LBV3" s="4"/>
      <c r="LBW3" s="4"/>
      <c r="LBX3" s="4"/>
      <c r="LBY3" s="4"/>
      <c r="LBZ3" s="4"/>
      <c r="LCA3" s="4"/>
      <c r="LCB3" s="4"/>
      <c r="LCC3" s="4"/>
      <c r="LCD3" s="4"/>
      <c r="LCE3" s="4"/>
      <c r="LCF3" s="4"/>
      <c r="LCG3" s="4"/>
      <c r="LCH3" s="4"/>
      <c r="LCI3" s="4"/>
      <c r="LCJ3" s="4"/>
      <c r="LCK3" s="4"/>
      <c r="LCL3" s="4"/>
      <c r="LCM3" s="4"/>
      <c r="LCN3" s="4"/>
      <c r="LCO3" s="4"/>
      <c r="LCP3" s="4"/>
      <c r="LCQ3" s="4"/>
      <c r="LCR3" s="4"/>
      <c r="LCS3" s="4"/>
      <c r="LCT3" s="4"/>
      <c r="LCU3" s="4"/>
      <c r="LCV3" s="4"/>
      <c r="LCW3" s="4"/>
      <c r="LCX3" s="4"/>
      <c r="LCY3" s="4"/>
      <c r="LCZ3" s="4"/>
      <c r="LDA3" s="4"/>
      <c r="LDB3" s="4"/>
      <c r="LDC3" s="4"/>
      <c r="LDD3" s="4"/>
      <c r="LDE3" s="4"/>
      <c r="LDF3" s="4"/>
      <c r="LDG3" s="4"/>
      <c r="LDH3" s="4"/>
      <c r="LDI3" s="4"/>
      <c r="LDJ3" s="4"/>
      <c r="LDK3" s="4"/>
      <c r="LDL3" s="4"/>
      <c r="LDM3" s="4"/>
      <c r="LDN3" s="4"/>
      <c r="LDO3" s="4"/>
      <c r="LDP3" s="4"/>
      <c r="LDQ3" s="4"/>
      <c r="LDR3" s="4"/>
      <c r="LDS3" s="4"/>
      <c r="LDT3" s="4"/>
      <c r="LDU3" s="4"/>
      <c r="LDV3" s="4"/>
      <c r="LDW3" s="4"/>
      <c r="LDX3" s="4"/>
      <c r="LDY3" s="4"/>
      <c r="LDZ3" s="4"/>
      <c r="LEA3" s="4"/>
      <c r="LEB3" s="4"/>
      <c r="LEC3" s="4"/>
      <c r="LED3" s="4"/>
      <c r="LEE3" s="4"/>
      <c r="LEF3" s="4"/>
      <c r="LEG3" s="4"/>
      <c r="LEH3" s="4"/>
      <c r="LEI3" s="4"/>
      <c r="LEJ3" s="4"/>
      <c r="LEK3" s="4"/>
      <c r="LEL3" s="4"/>
      <c r="LEM3" s="4"/>
      <c r="LEN3" s="4"/>
      <c r="LEO3" s="4"/>
      <c r="LEP3" s="4"/>
      <c r="LEQ3" s="4"/>
      <c r="LER3" s="4"/>
      <c r="LES3" s="4"/>
      <c r="LET3" s="4"/>
      <c r="LEU3" s="4"/>
      <c r="LEV3" s="4"/>
      <c r="LEW3" s="4"/>
      <c r="LEX3" s="4"/>
      <c r="LEY3" s="4"/>
      <c r="LEZ3" s="4"/>
      <c r="LFA3" s="4"/>
      <c r="LFB3" s="4"/>
      <c r="LFC3" s="4"/>
      <c r="LFD3" s="4"/>
      <c r="LFE3" s="4"/>
      <c r="LFF3" s="4"/>
      <c r="LFG3" s="4"/>
      <c r="LFH3" s="4"/>
      <c r="LFI3" s="4"/>
      <c r="LFJ3" s="4"/>
      <c r="LFK3" s="4"/>
      <c r="LFL3" s="4"/>
      <c r="LFM3" s="4"/>
      <c r="LFN3" s="4"/>
      <c r="LFO3" s="4"/>
      <c r="LFP3" s="4"/>
      <c r="LFQ3" s="4"/>
      <c r="LFR3" s="4"/>
      <c r="LFS3" s="4"/>
      <c r="LFT3" s="4"/>
      <c r="LFU3" s="4"/>
      <c r="LFV3" s="4"/>
      <c r="LFW3" s="4"/>
      <c r="LFX3" s="4"/>
      <c r="LFY3" s="4"/>
      <c r="LFZ3" s="4"/>
      <c r="LGA3" s="4"/>
      <c r="LGB3" s="4"/>
      <c r="LGC3" s="4"/>
      <c r="LGD3" s="4"/>
      <c r="LGE3" s="4"/>
      <c r="LGF3" s="4"/>
      <c r="LGG3" s="4"/>
      <c r="LGH3" s="4"/>
      <c r="LGI3" s="4"/>
      <c r="LGJ3" s="4"/>
      <c r="LGK3" s="4"/>
      <c r="LGL3" s="4"/>
      <c r="LGM3" s="4"/>
      <c r="LGN3" s="4"/>
      <c r="LGO3" s="4"/>
      <c r="LGP3" s="4"/>
      <c r="LGQ3" s="4"/>
      <c r="LGR3" s="4"/>
      <c r="LGS3" s="4"/>
      <c r="LGT3" s="4"/>
      <c r="LGU3" s="4"/>
      <c r="LGV3" s="4"/>
      <c r="LGW3" s="4"/>
      <c r="LGX3" s="4"/>
      <c r="LGY3" s="4"/>
      <c r="LGZ3" s="4"/>
      <c r="LHA3" s="4"/>
      <c r="LHB3" s="4"/>
      <c r="LHC3" s="4"/>
      <c r="LHD3" s="4"/>
      <c r="LHE3" s="4"/>
      <c r="LHF3" s="4"/>
      <c r="LHG3" s="4"/>
      <c r="LHH3" s="4"/>
      <c r="LHI3" s="4"/>
      <c r="LHJ3" s="4"/>
      <c r="LHK3" s="4"/>
      <c r="LHL3" s="4"/>
      <c r="LHM3" s="4"/>
      <c r="LHN3" s="4"/>
      <c r="LHO3" s="4"/>
      <c r="LHP3" s="4"/>
      <c r="LHQ3" s="4"/>
      <c r="LHR3" s="4"/>
      <c r="LHS3" s="4"/>
      <c r="LHT3" s="4"/>
      <c r="LHU3" s="4"/>
      <c r="LHV3" s="4"/>
      <c r="LHW3" s="4"/>
      <c r="LHX3" s="4"/>
      <c r="LHY3" s="4"/>
      <c r="LHZ3" s="4"/>
      <c r="LIA3" s="4"/>
      <c r="LIB3" s="4"/>
      <c r="LIC3" s="4"/>
      <c r="LID3" s="4"/>
      <c r="LIE3" s="4"/>
      <c r="LIF3" s="4"/>
      <c r="LIG3" s="4"/>
      <c r="LIH3" s="4"/>
      <c r="LII3" s="4"/>
      <c r="LIJ3" s="4"/>
      <c r="LIK3" s="4"/>
      <c r="LIL3" s="4"/>
      <c r="LIM3" s="4"/>
      <c r="LIN3" s="4"/>
      <c r="LIO3" s="4"/>
      <c r="LIP3" s="4"/>
      <c r="LIQ3" s="4"/>
      <c r="LIR3" s="4"/>
      <c r="LIS3" s="4"/>
      <c r="LIT3" s="4"/>
      <c r="LIU3" s="4"/>
      <c r="LIV3" s="4"/>
      <c r="LIW3" s="4"/>
      <c r="LIX3" s="4"/>
      <c r="LIY3" s="4"/>
      <c r="LIZ3" s="4"/>
      <c r="LJA3" s="4"/>
      <c r="LJB3" s="4"/>
      <c r="LJC3" s="4"/>
      <c r="LJD3" s="4"/>
      <c r="LJE3" s="4"/>
      <c r="LJF3" s="4"/>
      <c r="LJG3" s="4"/>
      <c r="LJH3" s="4"/>
      <c r="LJI3" s="4"/>
      <c r="LJJ3" s="4"/>
      <c r="LJK3" s="4"/>
      <c r="LJL3" s="4"/>
      <c r="LJM3" s="4"/>
      <c r="LJN3" s="4"/>
      <c r="LJO3" s="4"/>
      <c r="LJP3" s="4"/>
      <c r="LJQ3" s="4"/>
      <c r="LJR3" s="4"/>
      <c r="LJS3" s="4"/>
      <c r="LJT3" s="4"/>
      <c r="LJU3" s="4"/>
      <c r="LJV3" s="4"/>
      <c r="LJW3" s="4"/>
      <c r="LJX3" s="4"/>
      <c r="LJY3" s="4"/>
      <c r="LJZ3" s="4"/>
      <c r="LKA3" s="4"/>
      <c r="LKB3" s="4"/>
      <c r="LKC3" s="4"/>
      <c r="LKD3" s="4"/>
      <c r="LKE3" s="4"/>
      <c r="LKF3" s="4"/>
      <c r="LKG3" s="4"/>
      <c r="LKH3" s="4"/>
      <c r="LKI3" s="4"/>
      <c r="LKJ3" s="4"/>
      <c r="LKK3" s="4"/>
      <c r="LKL3" s="4"/>
      <c r="LKM3" s="4"/>
      <c r="LKN3" s="4"/>
      <c r="LKO3" s="4"/>
      <c r="LKP3" s="4"/>
      <c r="LKQ3" s="4"/>
      <c r="LKR3" s="4"/>
      <c r="LKS3" s="4"/>
      <c r="LKT3" s="4"/>
      <c r="LKU3" s="4"/>
      <c r="LKV3" s="4"/>
      <c r="LKW3" s="4"/>
      <c r="LKX3" s="4"/>
      <c r="LKY3" s="4"/>
      <c r="LKZ3" s="4"/>
      <c r="LLA3" s="4"/>
      <c r="LLB3" s="4"/>
      <c r="LLC3" s="4"/>
      <c r="LLD3" s="4"/>
      <c r="LLE3" s="4"/>
      <c r="LLF3" s="4"/>
      <c r="LLG3" s="4"/>
      <c r="LLH3" s="4"/>
      <c r="LLI3" s="4"/>
      <c r="LLJ3" s="4"/>
      <c r="LLK3" s="4"/>
      <c r="LLL3" s="4"/>
      <c r="LLM3" s="4"/>
      <c r="LLN3" s="4"/>
      <c r="LLO3" s="4"/>
      <c r="LLP3" s="4"/>
      <c r="LLQ3" s="4"/>
      <c r="LLR3" s="4"/>
      <c r="LLS3" s="4"/>
      <c r="LLT3" s="4"/>
      <c r="LLU3" s="4"/>
      <c r="LLV3" s="4"/>
      <c r="LLW3" s="4"/>
      <c r="LLX3" s="4"/>
      <c r="LLY3" s="4"/>
      <c r="LLZ3" s="4"/>
      <c r="LMA3" s="4"/>
      <c r="LMB3" s="4"/>
      <c r="LMC3" s="4"/>
      <c r="LMD3" s="4"/>
      <c r="LME3" s="4"/>
      <c r="LMF3" s="4"/>
      <c r="LMG3" s="4"/>
      <c r="LMH3" s="4"/>
      <c r="LMI3" s="4"/>
      <c r="LMJ3" s="4"/>
      <c r="LMK3" s="4"/>
      <c r="LML3" s="4"/>
      <c r="LMM3" s="4"/>
      <c r="LMN3" s="4"/>
      <c r="LMO3" s="4"/>
      <c r="LMP3" s="4"/>
      <c r="LMQ3" s="4"/>
      <c r="LMR3" s="4"/>
      <c r="LMS3" s="4"/>
      <c r="LMT3" s="4"/>
      <c r="LMU3" s="4"/>
      <c r="LMV3" s="4"/>
      <c r="LMW3" s="4"/>
      <c r="LMX3" s="4"/>
      <c r="LMY3" s="4"/>
      <c r="LMZ3" s="4"/>
      <c r="LNA3" s="4"/>
      <c r="LNB3" s="4"/>
      <c r="LNC3" s="4"/>
      <c r="LND3" s="4"/>
      <c r="LNE3" s="4"/>
      <c r="LNF3" s="4"/>
      <c r="LNG3" s="4"/>
      <c r="LNH3" s="4"/>
      <c r="LNI3" s="4"/>
      <c r="LNJ3" s="4"/>
      <c r="LNK3" s="4"/>
      <c r="LNL3" s="4"/>
      <c r="LNM3" s="4"/>
      <c r="LNN3" s="4"/>
      <c r="LNO3" s="4"/>
      <c r="LNP3" s="4"/>
      <c r="LNQ3" s="4"/>
      <c r="LNR3" s="4"/>
      <c r="LNS3" s="4"/>
      <c r="LNT3" s="4"/>
      <c r="LNU3" s="4"/>
      <c r="LNV3" s="4"/>
      <c r="LNW3" s="4"/>
      <c r="LNX3" s="4"/>
      <c r="LNY3" s="4"/>
      <c r="LNZ3" s="4"/>
      <c r="LOA3" s="4"/>
      <c r="LOB3" s="4"/>
      <c r="LOC3" s="4"/>
      <c r="LOD3" s="4"/>
      <c r="LOE3" s="4"/>
      <c r="LOF3" s="4"/>
      <c r="LOG3" s="4"/>
      <c r="LOH3" s="4"/>
      <c r="LOI3" s="4"/>
      <c r="LOJ3" s="4"/>
      <c r="LOK3" s="4"/>
      <c r="LOL3" s="4"/>
      <c r="LOM3" s="4"/>
      <c r="LON3" s="4"/>
      <c r="LOO3" s="4"/>
      <c r="LOP3" s="4"/>
      <c r="LOQ3" s="4"/>
      <c r="LOR3" s="4"/>
      <c r="LOS3" s="4"/>
      <c r="LOT3" s="4"/>
      <c r="LOU3" s="4"/>
      <c r="LOV3" s="4"/>
      <c r="LOW3" s="4"/>
      <c r="LOX3" s="4"/>
      <c r="LOY3" s="4"/>
      <c r="LOZ3" s="4"/>
      <c r="LPA3" s="4"/>
      <c r="LPB3" s="4"/>
      <c r="LPC3" s="4"/>
      <c r="LPD3" s="4"/>
      <c r="LPE3" s="4"/>
      <c r="LPF3" s="4"/>
      <c r="LPG3" s="4"/>
      <c r="LPH3" s="4"/>
      <c r="LPI3" s="4"/>
      <c r="LPJ3" s="4"/>
      <c r="LPK3" s="4"/>
      <c r="LPL3" s="4"/>
      <c r="LPM3" s="4"/>
      <c r="LPN3" s="4"/>
      <c r="LPO3" s="4"/>
      <c r="LPP3" s="4"/>
      <c r="LPQ3" s="4"/>
      <c r="LPR3" s="4"/>
      <c r="LPS3" s="4"/>
      <c r="LPT3" s="4"/>
      <c r="LPU3" s="4"/>
      <c r="LPV3" s="4"/>
      <c r="LPW3" s="4"/>
      <c r="LPX3" s="4"/>
      <c r="LPY3" s="4"/>
      <c r="LPZ3" s="4"/>
      <c r="LQA3" s="4"/>
      <c r="LQB3" s="4"/>
      <c r="LQC3" s="4"/>
      <c r="LQD3" s="4"/>
      <c r="LQE3" s="4"/>
      <c r="LQF3" s="4"/>
      <c r="LQG3" s="4"/>
      <c r="LQH3" s="4"/>
      <c r="LQI3" s="4"/>
      <c r="LQJ3" s="4"/>
      <c r="LQK3" s="4"/>
      <c r="LQL3" s="4"/>
      <c r="LQM3" s="4"/>
      <c r="LQN3" s="4"/>
      <c r="LQO3" s="4"/>
      <c r="LQP3" s="4"/>
      <c r="LQQ3" s="4"/>
      <c r="LQR3" s="4"/>
      <c r="LQS3" s="4"/>
      <c r="LQT3" s="4"/>
      <c r="LQU3" s="4"/>
      <c r="LQV3" s="4"/>
      <c r="LQW3" s="4"/>
      <c r="LQX3" s="4"/>
      <c r="LQY3" s="4"/>
      <c r="LQZ3" s="4"/>
      <c r="LRA3" s="4"/>
      <c r="LRB3" s="4"/>
      <c r="LRC3" s="4"/>
      <c r="LRD3" s="4"/>
      <c r="LRE3" s="4"/>
      <c r="LRF3" s="4"/>
      <c r="LRG3" s="4"/>
      <c r="LRH3" s="4"/>
      <c r="LRI3" s="4"/>
      <c r="LRJ3" s="4"/>
      <c r="LRK3" s="4"/>
      <c r="LRL3" s="4"/>
      <c r="LRM3" s="4"/>
      <c r="LRN3" s="4"/>
      <c r="LRO3" s="4"/>
      <c r="LRP3" s="4"/>
      <c r="LRQ3" s="4"/>
      <c r="LRR3" s="4"/>
      <c r="LRS3" s="4"/>
      <c r="LRT3" s="4"/>
      <c r="LRU3" s="4"/>
      <c r="LRV3" s="4"/>
      <c r="LRW3" s="4"/>
      <c r="LRX3" s="4"/>
      <c r="LRY3" s="4"/>
      <c r="LRZ3" s="4"/>
      <c r="LSA3" s="4"/>
      <c r="LSB3" s="4"/>
      <c r="LSC3" s="4"/>
      <c r="LSD3" s="4"/>
      <c r="LSE3" s="4"/>
      <c r="LSF3" s="4"/>
      <c r="LSG3" s="4"/>
      <c r="LSH3" s="4"/>
      <c r="LSI3" s="4"/>
      <c r="LSJ3" s="4"/>
      <c r="LSK3" s="4"/>
      <c r="LSL3" s="4"/>
      <c r="LSM3" s="4"/>
      <c r="LSN3" s="4"/>
      <c r="LSO3" s="4"/>
      <c r="LSP3" s="4"/>
      <c r="LSQ3" s="4"/>
      <c r="LSR3" s="4"/>
      <c r="LSS3" s="4"/>
      <c r="LST3" s="4"/>
      <c r="LSU3" s="4"/>
      <c r="LSV3" s="4"/>
      <c r="LSW3" s="4"/>
      <c r="LSX3" s="4"/>
      <c r="LSY3" s="4"/>
      <c r="LSZ3" s="4"/>
      <c r="LTA3" s="4"/>
      <c r="LTB3" s="4"/>
      <c r="LTC3" s="4"/>
      <c r="LTD3" s="4"/>
      <c r="LTE3" s="4"/>
      <c r="LTF3" s="4"/>
      <c r="LTG3" s="4"/>
      <c r="LTH3" s="4"/>
      <c r="LTI3" s="4"/>
      <c r="LTJ3" s="4"/>
      <c r="LTK3" s="4"/>
      <c r="LTL3" s="4"/>
      <c r="LTM3" s="4"/>
      <c r="LTN3" s="4"/>
      <c r="LTO3" s="4"/>
      <c r="LTP3" s="4"/>
      <c r="LTQ3" s="4"/>
      <c r="LTR3" s="4"/>
      <c r="LTS3" s="4"/>
      <c r="LTT3" s="4"/>
      <c r="LTU3" s="4"/>
      <c r="LTV3" s="4"/>
      <c r="LTW3" s="4"/>
      <c r="LTX3" s="4"/>
      <c r="LTY3" s="4"/>
      <c r="LTZ3" s="4"/>
      <c r="LUA3" s="4"/>
      <c r="LUB3" s="4"/>
      <c r="LUC3" s="4"/>
      <c r="LUD3" s="4"/>
      <c r="LUE3" s="4"/>
      <c r="LUF3" s="4"/>
      <c r="LUG3" s="4"/>
      <c r="LUH3" s="4"/>
      <c r="LUI3" s="4"/>
      <c r="LUJ3" s="4"/>
      <c r="LUK3" s="4"/>
      <c r="LUL3" s="4"/>
      <c r="LUM3" s="4"/>
      <c r="LUN3" s="4"/>
      <c r="LUO3" s="4"/>
      <c r="LUP3" s="4"/>
      <c r="LUQ3" s="4"/>
      <c r="LUR3" s="4"/>
      <c r="LUS3" s="4"/>
      <c r="LUT3" s="4"/>
      <c r="LUU3" s="4"/>
      <c r="LUV3" s="4"/>
      <c r="LUW3" s="4"/>
      <c r="LUX3" s="4"/>
      <c r="LUY3" s="4"/>
      <c r="LUZ3" s="4"/>
      <c r="LVA3" s="4"/>
      <c r="LVB3" s="4"/>
      <c r="LVC3" s="4"/>
      <c r="LVD3" s="4"/>
      <c r="LVE3" s="4"/>
      <c r="LVF3" s="4"/>
      <c r="LVG3" s="4"/>
      <c r="LVH3" s="4"/>
      <c r="LVI3" s="4"/>
      <c r="LVJ3" s="4"/>
      <c r="LVK3" s="4"/>
      <c r="LVL3" s="4"/>
      <c r="LVM3" s="4"/>
      <c r="LVN3" s="4"/>
      <c r="LVO3" s="4"/>
      <c r="LVP3" s="4"/>
      <c r="LVQ3" s="4"/>
      <c r="LVR3" s="4"/>
      <c r="LVS3" s="4"/>
      <c r="LVT3" s="4"/>
      <c r="LVU3" s="4"/>
      <c r="LVV3" s="4"/>
      <c r="LVW3" s="4"/>
      <c r="LVX3" s="4"/>
      <c r="LVY3" s="4"/>
      <c r="LVZ3" s="4"/>
      <c r="LWA3" s="4"/>
      <c r="LWB3" s="4"/>
      <c r="LWC3" s="4"/>
      <c r="LWD3" s="4"/>
      <c r="LWE3" s="4"/>
      <c r="LWF3" s="4"/>
      <c r="LWG3" s="4"/>
      <c r="LWH3" s="4"/>
      <c r="LWI3" s="4"/>
      <c r="LWJ3" s="4"/>
      <c r="LWK3" s="4"/>
      <c r="LWL3" s="4"/>
      <c r="LWM3" s="4"/>
      <c r="LWN3" s="4"/>
      <c r="LWO3" s="4"/>
      <c r="LWP3" s="4"/>
      <c r="LWQ3" s="4"/>
      <c r="LWR3" s="4"/>
      <c r="LWS3" s="4"/>
      <c r="LWT3" s="4"/>
      <c r="LWU3" s="4"/>
      <c r="LWV3" s="4"/>
      <c r="LWW3" s="4"/>
      <c r="LWX3" s="4"/>
      <c r="LWY3" s="4"/>
      <c r="LWZ3" s="4"/>
      <c r="LXA3" s="4"/>
      <c r="LXB3" s="4"/>
      <c r="LXC3" s="4"/>
      <c r="LXD3" s="4"/>
      <c r="LXE3" s="4"/>
      <c r="LXF3" s="4"/>
      <c r="LXG3" s="4"/>
      <c r="LXH3" s="4"/>
      <c r="LXI3" s="4"/>
      <c r="LXJ3" s="4"/>
      <c r="LXK3" s="4"/>
      <c r="LXL3" s="4"/>
      <c r="LXM3" s="4"/>
      <c r="LXN3" s="4"/>
      <c r="LXO3" s="4"/>
      <c r="LXP3" s="4"/>
      <c r="LXQ3" s="4"/>
      <c r="LXR3" s="4"/>
      <c r="LXS3" s="4"/>
      <c r="LXT3" s="4"/>
      <c r="LXU3" s="4"/>
      <c r="LXV3" s="4"/>
      <c r="LXW3" s="4"/>
      <c r="LXX3" s="4"/>
      <c r="LXY3" s="4"/>
      <c r="LXZ3" s="4"/>
      <c r="LYA3" s="4"/>
      <c r="LYB3" s="4"/>
      <c r="LYC3" s="4"/>
      <c r="LYD3" s="4"/>
      <c r="LYE3" s="4"/>
      <c r="LYF3" s="4"/>
      <c r="LYG3" s="4"/>
      <c r="LYH3" s="4"/>
      <c r="LYI3" s="4"/>
      <c r="LYJ3" s="4"/>
      <c r="LYK3" s="4"/>
      <c r="LYL3" s="4"/>
      <c r="LYM3" s="4"/>
      <c r="LYN3" s="4"/>
      <c r="LYO3" s="4"/>
      <c r="LYP3" s="4"/>
      <c r="LYQ3" s="4"/>
      <c r="LYR3" s="4"/>
      <c r="LYS3" s="4"/>
      <c r="LYT3" s="4"/>
      <c r="LYU3" s="4"/>
      <c r="LYV3" s="4"/>
      <c r="LYW3" s="4"/>
      <c r="LYX3" s="4"/>
      <c r="LYY3" s="4"/>
      <c r="LYZ3" s="4"/>
      <c r="LZA3" s="4"/>
      <c r="LZB3" s="4"/>
      <c r="LZC3" s="4"/>
      <c r="LZD3" s="4"/>
      <c r="LZE3" s="4"/>
      <c r="LZF3" s="4"/>
      <c r="LZG3" s="4"/>
      <c r="LZH3" s="4"/>
      <c r="LZI3" s="4"/>
      <c r="LZJ3" s="4"/>
      <c r="LZK3" s="4"/>
      <c r="LZL3" s="4"/>
      <c r="LZM3" s="4"/>
      <c r="LZN3" s="4"/>
      <c r="LZO3" s="4"/>
      <c r="LZP3" s="4"/>
      <c r="LZQ3" s="4"/>
      <c r="LZR3" s="4"/>
      <c r="LZS3" s="4"/>
      <c r="LZT3" s="4"/>
      <c r="LZU3" s="4"/>
      <c r="LZV3" s="4"/>
      <c r="LZW3" s="4"/>
      <c r="LZX3" s="4"/>
      <c r="LZY3" s="4"/>
      <c r="LZZ3" s="4"/>
      <c r="MAA3" s="4"/>
      <c r="MAB3" s="4"/>
      <c r="MAC3" s="4"/>
      <c r="MAD3" s="4"/>
      <c r="MAE3" s="4"/>
      <c r="MAF3" s="4"/>
      <c r="MAG3" s="4"/>
      <c r="MAH3" s="4"/>
      <c r="MAI3" s="4"/>
      <c r="MAJ3" s="4"/>
      <c r="MAK3" s="4"/>
      <c r="MAL3" s="4"/>
      <c r="MAM3" s="4"/>
      <c r="MAN3" s="4"/>
      <c r="MAO3" s="4"/>
      <c r="MAP3" s="4"/>
      <c r="MAQ3" s="4"/>
      <c r="MAR3" s="4"/>
      <c r="MAS3" s="4"/>
      <c r="MAT3" s="4"/>
      <c r="MAU3" s="4"/>
      <c r="MAV3" s="4"/>
      <c r="MAW3" s="4"/>
      <c r="MAX3" s="4"/>
      <c r="MAY3" s="4"/>
      <c r="MAZ3" s="4"/>
      <c r="MBA3" s="4"/>
      <c r="MBB3" s="4"/>
      <c r="MBC3" s="4"/>
      <c r="MBD3" s="4"/>
      <c r="MBE3" s="4"/>
      <c r="MBF3" s="4"/>
      <c r="MBG3" s="4"/>
      <c r="MBH3" s="4"/>
      <c r="MBI3" s="4"/>
      <c r="MBJ3" s="4"/>
      <c r="MBK3" s="4"/>
      <c r="MBL3" s="4"/>
      <c r="MBM3" s="4"/>
      <c r="MBN3" s="4"/>
      <c r="MBO3" s="4"/>
      <c r="MBP3" s="4"/>
      <c r="MBQ3" s="4"/>
      <c r="MBR3" s="4"/>
      <c r="MBS3" s="4"/>
      <c r="MBT3" s="4"/>
      <c r="MBU3" s="4"/>
      <c r="MBV3" s="4"/>
      <c r="MBW3" s="4"/>
      <c r="MBX3" s="4"/>
      <c r="MBY3" s="4"/>
      <c r="MBZ3" s="4"/>
      <c r="MCA3" s="4"/>
      <c r="MCB3" s="4"/>
      <c r="MCC3" s="4"/>
      <c r="MCD3" s="4"/>
      <c r="MCE3" s="4"/>
      <c r="MCF3" s="4"/>
      <c r="MCG3" s="4"/>
      <c r="MCH3" s="4"/>
      <c r="MCI3" s="4"/>
      <c r="MCJ3" s="4"/>
      <c r="MCK3" s="4"/>
      <c r="MCL3" s="4"/>
      <c r="MCM3" s="4"/>
      <c r="MCN3" s="4"/>
      <c r="MCO3" s="4"/>
      <c r="MCP3" s="4"/>
      <c r="MCQ3" s="4"/>
      <c r="MCR3" s="4"/>
      <c r="MCS3" s="4"/>
      <c r="MCT3" s="4"/>
      <c r="MCU3" s="4"/>
      <c r="MCV3" s="4"/>
      <c r="MCW3" s="4"/>
      <c r="MCX3" s="4"/>
      <c r="MCY3" s="4"/>
      <c r="MCZ3" s="4"/>
      <c r="MDA3" s="4"/>
      <c r="MDB3" s="4"/>
      <c r="MDC3" s="4"/>
      <c r="MDD3" s="4"/>
      <c r="MDE3" s="4"/>
      <c r="MDF3" s="4"/>
      <c r="MDG3" s="4"/>
      <c r="MDH3" s="4"/>
      <c r="MDI3" s="4"/>
      <c r="MDJ3" s="4"/>
      <c r="MDK3" s="4"/>
      <c r="MDL3" s="4"/>
      <c r="MDM3" s="4"/>
      <c r="MDN3" s="4"/>
      <c r="MDO3" s="4"/>
      <c r="MDP3" s="4"/>
      <c r="MDQ3" s="4"/>
      <c r="MDR3" s="4"/>
      <c r="MDS3" s="4"/>
      <c r="MDT3" s="4"/>
      <c r="MDU3" s="4"/>
      <c r="MDV3" s="4"/>
      <c r="MDW3" s="4"/>
      <c r="MDX3" s="4"/>
      <c r="MDY3" s="4"/>
      <c r="MDZ3" s="4"/>
      <c r="MEA3" s="4"/>
      <c r="MEB3" s="4"/>
      <c r="MEC3" s="4"/>
      <c r="MED3" s="4"/>
      <c r="MEE3" s="4"/>
      <c r="MEF3" s="4"/>
      <c r="MEG3" s="4"/>
      <c r="MEH3" s="4"/>
      <c r="MEI3" s="4"/>
      <c r="MEJ3" s="4"/>
      <c r="MEK3" s="4"/>
      <c r="MEL3" s="4"/>
      <c r="MEM3" s="4"/>
      <c r="MEN3" s="4"/>
      <c r="MEO3" s="4"/>
      <c r="MEP3" s="4"/>
      <c r="MEQ3" s="4"/>
      <c r="MER3" s="4"/>
      <c r="MES3" s="4"/>
      <c r="MET3" s="4"/>
      <c r="MEU3" s="4"/>
      <c r="MEV3" s="4"/>
      <c r="MEW3" s="4"/>
      <c r="MEX3" s="4"/>
      <c r="MEY3" s="4"/>
      <c r="MEZ3" s="4"/>
      <c r="MFA3" s="4"/>
      <c r="MFB3" s="4"/>
      <c r="MFC3" s="4"/>
      <c r="MFD3" s="4"/>
      <c r="MFE3" s="4"/>
      <c r="MFF3" s="4"/>
      <c r="MFG3" s="4"/>
      <c r="MFH3" s="4"/>
      <c r="MFI3" s="4"/>
      <c r="MFJ3" s="4"/>
      <c r="MFK3" s="4"/>
      <c r="MFL3" s="4"/>
      <c r="MFM3" s="4"/>
      <c r="MFN3" s="4"/>
      <c r="MFO3" s="4"/>
      <c r="MFP3" s="4"/>
      <c r="MFQ3" s="4"/>
      <c r="MFR3" s="4"/>
      <c r="MFS3" s="4"/>
      <c r="MFT3" s="4"/>
      <c r="MFU3" s="4"/>
      <c r="MFV3" s="4"/>
      <c r="MFW3" s="4"/>
      <c r="MFX3" s="4"/>
      <c r="MFY3" s="4"/>
      <c r="MFZ3" s="4"/>
      <c r="MGA3" s="4"/>
      <c r="MGB3" s="4"/>
      <c r="MGC3" s="4"/>
      <c r="MGD3" s="4"/>
      <c r="MGE3" s="4"/>
      <c r="MGF3" s="4"/>
      <c r="MGG3" s="4"/>
      <c r="MGH3" s="4"/>
      <c r="MGI3" s="4"/>
      <c r="MGJ3" s="4"/>
      <c r="MGK3" s="4"/>
      <c r="MGL3" s="4"/>
      <c r="MGM3" s="4"/>
      <c r="MGN3" s="4"/>
      <c r="MGO3" s="4"/>
      <c r="MGP3" s="4"/>
      <c r="MGQ3" s="4"/>
      <c r="MGR3" s="4"/>
      <c r="MGS3" s="4"/>
      <c r="MGT3" s="4"/>
      <c r="MGU3" s="4"/>
      <c r="MGV3" s="4"/>
      <c r="MGW3" s="4"/>
      <c r="MGX3" s="4"/>
      <c r="MGY3" s="4"/>
      <c r="MGZ3" s="4"/>
      <c r="MHA3" s="4"/>
      <c r="MHB3" s="4"/>
      <c r="MHC3" s="4"/>
      <c r="MHD3" s="4"/>
      <c r="MHE3" s="4"/>
      <c r="MHF3" s="4"/>
      <c r="MHG3" s="4"/>
      <c r="MHH3" s="4"/>
      <c r="MHI3" s="4"/>
      <c r="MHJ3" s="4"/>
      <c r="MHK3" s="4"/>
      <c r="MHL3" s="4"/>
      <c r="MHM3" s="4"/>
      <c r="MHN3" s="4"/>
      <c r="MHO3" s="4"/>
      <c r="MHP3" s="4"/>
      <c r="MHQ3" s="4"/>
      <c r="MHR3" s="4"/>
      <c r="MHS3" s="4"/>
      <c r="MHT3" s="4"/>
      <c r="MHU3" s="4"/>
      <c r="MHV3" s="4"/>
      <c r="MHW3" s="4"/>
      <c r="MHX3" s="4"/>
      <c r="MHY3" s="4"/>
      <c r="MHZ3" s="4"/>
      <c r="MIA3" s="4"/>
      <c r="MIB3" s="4"/>
      <c r="MIC3" s="4"/>
      <c r="MID3" s="4"/>
      <c r="MIE3" s="4"/>
      <c r="MIF3" s="4"/>
      <c r="MIG3" s="4"/>
      <c r="MIH3" s="4"/>
      <c r="MII3" s="4"/>
      <c r="MIJ3" s="4"/>
      <c r="MIK3" s="4"/>
      <c r="MIL3" s="4"/>
      <c r="MIM3" s="4"/>
      <c r="MIN3" s="4"/>
      <c r="MIO3" s="4"/>
      <c r="MIP3" s="4"/>
      <c r="MIQ3" s="4"/>
      <c r="MIR3" s="4"/>
      <c r="MIS3" s="4"/>
      <c r="MIT3" s="4"/>
      <c r="MIU3" s="4"/>
      <c r="MIV3" s="4"/>
      <c r="MIW3" s="4"/>
      <c r="MIX3" s="4"/>
      <c r="MIY3" s="4"/>
      <c r="MIZ3" s="4"/>
      <c r="MJA3" s="4"/>
      <c r="MJB3" s="4"/>
      <c r="MJC3" s="4"/>
      <c r="MJD3" s="4"/>
      <c r="MJE3" s="4"/>
      <c r="MJF3" s="4"/>
      <c r="MJG3" s="4"/>
      <c r="MJH3" s="4"/>
      <c r="MJI3" s="4"/>
      <c r="MJJ3" s="4"/>
      <c r="MJK3" s="4"/>
      <c r="MJL3" s="4"/>
      <c r="MJM3" s="4"/>
      <c r="MJN3" s="4"/>
      <c r="MJO3" s="4"/>
      <c r="MJP3" s="4"/>
      <c r="MJQ3" s="4"/>
      <c r="MJR3" s="4"/>
      <c r="MJS3" s="4"/>
      <c r="MJT3" s="4"/>
      <c r="MJU3" s="4"/>
      <c r="MJV3" s="4"/>
      <c r="MJW3" s="4"/>
      <c r="MJX3" s="4"/>
      <c r="MJY3" s="4"/>
      <c r="MJZ3" s="4"/>
      <c r="MKA3" s="4"/>
      <c r="MKB3" s="4"/>
      <c r="MKC3" s="4"/>
      <c r="MKD3" s="4"/>
      <c r="MKE3" s="4"/>
      <c r="MKF3" s="4"/>
      <c r="MKG3" s="4"/>
      <c r="MKH3" s="4"/>
      <c r="MKI3" s="4"/>
      <c r="MKJ3" s="4"/>
      <c r="MKK3" s="4"/>
      <c r="MKL3" s="4"/>
      <c r="MKM3" s="4"/>
      <c r="MKN3" s="4"/>
      <c r="MKO3" s="4"/>
      <c r="MKP3" s="4"/>
      <c r="MKQ3" s="4"/>
      <c r="MKR3" s="4"/>
      <c r="MKS3" s="4"/>
      <c r="MKT3" s="4"/>
      <c r="MKU3" s="4"/>
      <c r="MKV3" s="4"/>
      <c r="MKW3" s="4"/>
      <c r="MKX3" s="4"/>
      <c r="MKY3" s="4"/>
      <c r="MKZ3" s="4"/>
      <c r="MLA3" s="4"/>
      <c r="MLB3" s="4"/>
      <c r="MLC3" s="4"/>
      <c r="MLD3" s="4"/>
      <c r="MLE3" s="4"/>
      <c r="MLF3" s="4"/>
      <c r="MLG3" s="4"/>
      <c r="MLH3" s="4"/>
      <c r="MLI3" s="4"/>
      <c r="MLJ3" s="4"/>
      <c r="MLK3" s="4"/>
      <c r="MLL3" s="4"/>
      <c r="MLM3" s="4"/>
      <c r="MLN3" s="4"/>
      <c r="MLO3" s="4"/>
      <c r="MLP3" s="4"/>
      <c r="MLQ3" s="4"/>
      <c r="MLR3" s="4"/>
      <c r="MLS3" s="4"/>
      <c r="MLT3" s="4"/>
      <c r="MLU3" s="4"/>
      <c r="MLV3" s="4"/>
      <c r="MLW3" s="4"/>
      <c r="MLX3" s="4"/>
      <c r="MLY3" s="4"/>
      <c r="MLZ3" s="4"/>
      <c r="MMA3" s="4"/>
      <c r="MMB3" s="4"/>
      <c r="MMC3" s="4"/>
      <c r="MMD3" s="4"/>
      <c r="MME3" s="4"/>
      <c r="MMF3" s="4"/>
      <c r="MMG3" s="4"/>
      <c r="MMH3" s="4"/>
      <c r="MMI3" s="4"/>
      <c r="MMJ3" s="4"/>
      <c r="MMK3" s="4"/>
      <c r="MML3" s="4"/>
      <c r="MMM3" s="4"/>
      <c r="MMN3" s="4"/>
      <c r="MMO3" s="4"/>
      <c r="MMP3" s="4"/>
      <c r="MMQ3" s="4"/>
      <c r="MMR3" s="4"/>
      <c r="MMS3" s="4"/>
      <c r="MMT3" s="4"/>
      <c r="MMU3" s="4"/>
      <c r="MMV3" s="4"/>
      <c r="MMW3" s="4"/>
      <c r="MMX3" s="4"/>
      <c r="MMY3" s="4"/>
      <c r="MMZ3" s="4"/>
      <c r="MNA3" s="4"/>
      <c r="MNB3" s="4"/>
      <c r="MNC3" s="4"/>
      <c r="MND3" s="4"/>
      <c r="MNE3" s="4"/>
      <c r="MNF3" s="4"/>
      <c r="MNG3" s="4"/>
      <c r="MNH3" s="4"/>
      <c r="MNI3" s="4"/>
      <c r="MNJ3" s="4"/>
      <c r="MNK3" s="4"/>
      <c r="MNL3" s="4"/>
      <c r="MNM3" s="4"/>
      <c r="MNN3" s="4"/>
      <c r="MNO3" s="4"/>
      <c r="MNP3" s="4"/>
      <c r="MNQ3" s="4"/>
      <c r="MNR3" s="4"/>
      <c r="MNS3" s="4"/>
      <c r="MNT3" s="4"/>
      <c r="MNU3" s="4"/>
      <c r="MNV3" s="4"/>
      <c r="MNW3" s="4"/>
      <c r="MNX3" s="4"/>
      <c r="MNY3" s="4"/>
      <c r="MNZ3" s="4"/>
      <c r="MOA3" s="4"/>
      <c r="MOB3" s="4"/>
      <c r="MOC3" s="4"/>
      <c r="MOD3" s="4"/>
      <c r="MOE3" s="4"/>
      <c r="MOF3" s="4"/>
      <c r="MOG3" s="4"/>
      <c r="MOH3" s="4"/>
      <c r="MOI3" s="4"/>
      <c r="MOJ3" s="4"/>
      <c r="MOK3" s="4"/>
      <c r="MOL3" s="4"/>
      <c r="MOM3" s="4"/>
      <c r="MON3" s="4"/>
      <c r="MOO3" s="4"/>
      <c r="MOP3" s="4"/>
      <c r="MOQ3" s="4"/>
      <c r="MOR3" s="4"/>
      <c r="MOS3" s="4"/>
      <c r="MOT3" s="4"/>
      <c r="MOU3" s="4"/>
      <c r="MOV3" s="4"/>
      <c r="MOW3" s="4"/>
      <c r="MOX3" s="4"/>
      <c r="MOY3" s="4"/>
      <c r="MOZ3" s="4"/>
      <c r="MPA3" s="4"/>
      <c r="MPB3" s="4"/>
      <c r="MPC3" s="4"/>
      <c r="MPD3" s="4"/>
      <c r="MPE3" s="4"/>
      <c r="MPF3" s="4"/>
      <c r="MPG3" s="4"/>
      <c r="MPH3" s="4"/>
      <c r="MPI3" s="4"/>
      <c r="MPJ3" s="4"/>
      <c r="MPK3" s="4"/>
      <c r="MPL3" s="4"/>
      <c r="MPM3" s="4"/>
      <c r="MPN3" s="4"/>
      <c r="MPO3" s="4"/>
      <c r="MPP3" s="4"/>
      <c r="MPQ3" s="4"/>
      <c r="MPR3" s="4"/>
      <c r="MPS3" s="4"/>
      <c r="MPT3" s="4"/>
      <c r="MPU3" s="4"/>
      <c r="MPV3" s="4"/>
      <c r="MPW3" s="4"/>
      <c r="MPX3" s="4"/>
      <c r="MPY3" s="4"/>
      <c r="MPZ3" s="4"/>
      <c r="MQA3" s="4"/>
      <c r="MQB3" s="4"/>
      <c r="MQC3" s="4"/>
      <c r="MQD3" s="4"/>
      <c r="MQE3" s="4"/>
      <c r="MQF3" s="4"/>
      <c r="MQG3" s="4"/>
      <c r="MQH3" s="4"/>
      <c r="MQI3" s="4"/>
      <c r="MQJ3" s="4"/>
      <c r="MQK3" s="4"/>
      <c r="MQL3" s="4"/>
      <c r="MQM3" s="4"/>
      <c r="MQN3" s="4"/>
      <c r="MQO3" s="4"/>
      <c r="MQP3" s="4"/>
      <c r="MQQ3" s="4"/>
      <c r="MQR3" s="4"/>
      <c r="MQS3" s="4"/>
      <c r="MQT3" s="4"/>
      <c r="MQU3" s="4"/>
      <c r="MQV3" s="4"/>
      <c r="MQW3" s="4"/>
      <c r="MQX3" s="4"/>
      <c r="MQY3" s="4"/>
      <c r="MQZ3" s="4"/>
      <c r="MRA3" s="4"/>
      <c r="MRB3" s="4"/>
      <c r="MRC3" s="4"/>
      <c r="MRD3" s="4"/>
      <c r="MRE3" s="4"/>
      <c r="MRF3" s="4"/>
      <c r="MRG3" s="4"/>
      <c r="MRH3" s="4"/>
      <c r="MRI3" s="4"/>
      <c r="MRJ3" s="4"/>
      <c r="MRK3" s="4"/>
      <c r="MRL3" s="4"/>
      <c r="MRM3" s="4"/>
      <c r="MRN3" s="4"/>
      <c r="MRO3" s="4"/>
      <c r="MRP3" s="4"/>
      <c r="MRQ3" s="4"/>
      <c r="MRR3" s="4"/>
      <c r="MRS3" s="4"/>
      <c r="MRT3" s="4"/>
      <c r="MRU3" s="4"/>
      <c r="MRV3" s="4"/>
      <c r="MRW3" s="4"/>
      <c r="MRX3" s="4"/>
      <c r="MRY3" s="4"/>
      <c r="MRZ3" s="4"/>
      <c r="MSA3" s="4"/>
      <c r="MSB3" s="4"/>
      <c r="MSC3" s="4"/>
      <c r="MSD3" s="4"/>
      <c r="MSE3" s="4"/>
      <c r="MSF3" s="4"/>
      <c r="MSG3" s="4"/>
      <c r="MSH3" s="4"/>
      <c r="MSI3" s="4"/>
      <c r="MSJ3" s="4"/>
      <c r="MSK3" s="4"/>
      <c r="MSL3" s="4"/>
      <c r="MSM3" s="4"/>
      <c r="MSN3" s="4"/>
      <c r="MSO3" s="4"/>
      <c r="MSP3" s="4"/>
      <c r="MSQ3" s="4"/>
      <c r="MSR3" s="4"/>
      <c r="MSS3" s="4"/>
      <c r="MST3" s="4"/>
      <c r="MSU3" s="4"/>
      <c r="MSV3" s="4"/>
      <c r="MSW3" s="4"/>
      <c r="MSX3" s="4"/>
      <c r="MSY3" s="4"/>
      <c r="MSZ3" s="4"/>
      <c r="MTA3" s="4"/>
      <c r="MTB3" s="4"/>
      <c r="MTC3" s="4"/>
      <c r="MTD3" s="4"/>
      <c r="MTE3" s="4"/>
      <c r="MTF3" s="4"/>
      <c r="MTG3" s="4"/>
      <c r="MTH3" s="4"/>
      <c r="MTI3" s="4"/>
      <c r="MTJ3" s="4"/>
      <c r="MTK3" s="4"/>
      <c r="MTL3" s="4"/>
      <c r="MTM3" s="4"/>
      <c r="MTN3" s="4"/>
      <c r="MTO3" s="4"/>
      <c r="MTP3" s="4"/>
      <c r="MTQ3" s="4"/>
      <c r="MTR3" s="4"/>
      <c r="MTS3" s="4"/>
      <c r="MTT3" s="4"/>
      <c r="MTU3" s="4"/>
      <c r="MTV3" s="4"/>
      <c r="MTW3" s="4"/>
      <c r="MTX3" s="4"/>
      <c r="MTY3" s="4"/>
      <c r="MTZ3" s="4"/>
      <c r="MUA3" s="4"/>
      <c r="MUB3" s="4"/>
      <c r="MUC3" s="4"/>
      <c r="MUD3" s="4"/>
      <c r="MUE3" s="4"/>
      <c r="MUF3" s="4"/>
      <c r="MUG3" s="4"/>
      <c r="MUH3" s="4"/>
      <c r="MUI3" s="4"/>
      <c r="MUJ3" s="4"/>
      <c r="MUK3" s="4"/>
      <c r="MUL3" s="4"/>
      <c r="MUM3" s="4"/>
      <c r="MUN3" s="4"/>
      <c r="MUO3" s="4"/>
      <c r="MUP3" s="4"/>
      <c r="MUQ3" s="4"/>
      <c r="MUR3" s="4"/>
      <c r="MUS3" s="4"/>
      <c r="MUT3" s="4"/>
      <c r="MUU3" s="4"/>
      <c r="MUV3" s="4"/>
      <c r="MUW3" s="4"/>
      <c r="MUX3" s="4"/>
      <c r="MUY3" s="4"/>
      <c r="MUZ3" s="4"/>
      <c r="MVA3" s="4"/>
      <c r="MVB3" s="4"/>
      <c r="MVC3" s="4"/>
      <c r="MVD3" s="4"/>
      <c r="MVE3" s="4"/>
      <c r="MVF3" s="4"/>
      <c r="MVG3" s="4"/>
      <c r="MVH3" s="4"/>
      <c r="MVI3" s="4"/>
      <c r="MVJ3" s="4"/>
      <c r="MVK3" s="4"/>
      <c r="MVL3" s="4"/>
      <c r="MVM3" s="4"/>
      <c r="MVN3" s="4"/>
      <c r="MVO3" s="4"/>
      <c r="MVP3" s="4"/>
      <c r="MVQ3" s="4"/>
      <c r="MVR3" s="4"/>
      <c r="MVS3" s="4"/>
      <c r="MVT3" s="4"/>
      <c r="MVU3" s="4"/>
      <c r="MVV3" s="4"/>
      <c r="MVW3" s="4"/>
      <c r="MVX3" s="4"/>
      <c r="MVY3" s="4"/>
      <c r="MVZ3" s="4"/>
      <c r="MWA3" s="4"/>
      <c r="MWB3" s="4"/>
      <c r="MWC3" s="4"/>
      <c r="MWD3" s="4"/>
      <c r="MWE3" s="4"/>
      <c r="MWF3" s="4"/>
      <c r="MWG3" s="4"/>
      <c r="MWH3" s="4"/>
      <c r="MWI3" s="4"/>
      <c r="MWJ3" s="4"/>
      <c r="MWK3" s="4"/>
      <c r="MWL3" s="4"/>
      <c r="MWM3" s="4"/>
      <c r="MWN3" s="4"/>
      <c r="MWO3" s="4"/>
      <c r="MWP3" s="4"/>
      <c r="MWQ3" s="4"/>
      <c r="MWR3" s="4"/>
      <c r="MWS3" s="4"/>
      <c r="MWT3" s="4"/>
      <c r="MWU3" s="4"/>
      <c r="MWV3" s="4"/>
      <c r="MWW3" s="4"/>
      <c r="MWX3" s="4"/>
      <c r="MWY3" s="4"/>
      <c r="MWZ3" s="4"/>
      <c r="MXA3" s="4"/>
      <c r="MXB3" s="4"/>
      <c r="MXC3" s="4"/>
      <c r="MXD3" s="4"/>
      <c r="MXE3" s="4"/>
      <c r="MXF3" s="4"/>
      <c r="MXG3" s="4"/>
      <c r="MXH3" s="4"/>
      <c r="MXI3" s="4"/>
      <c r="MXJ3" s="4"/>
      <c r="MXK3" s="4"/>
      <c r="MXL3" s="4"/>
      <c r="MXM3" s="4"/>
      <c r="MXN3" s="4"/>
      <c r="MXO3" s="4"/>
      <c r="MXP3" s="4"/>
      <c r="MXQ3" s="4"/>
      <c r="MXR3" s="4"/>
      <c r="MXS3" s="4"/>
      <c r="MXT3" s="4"/>
      <c r="MXU3" s="4"/>
      <c r="MXV3" s="4"/>
      <c r="MXW3" s="4"/>
      <c r="MXX3" s="4"/>
      <c r="MXY3" s="4"/>
      <c r="MXZ3" s="4"/>
      <c r="MYA3" s="4"/>
      <c r="MYB3" s="4"/>
      <c r="MYC3" s="4"/>
      <c r="MYD3" s="4"/>
      <c r="MYE3" s="4"/>
      <c r="MYF3" s="4"/>
      <c r="MYG3" s="4"/>
      <c r="MYH3" s="4"/>
      <c r="MYI3" s="4"/>
      <c r="MYJ3" s="4"/>
      <c r="MYK3" s="4"/>
      <c r="MYL3" s="4"/>
      <c r="MYM3" s="4"/>
      <c r="MYN3" s="4"/>
      <c r="MYO3" s="4"/>
      <c r="MYP3" s="4"/>
      <c r="MYQ3" s="4"/>
      <c r="MYR3" s="4"/>
      <c r="MYS3" s="4"/>
      <c r="MYT3" s="4"/>
      <c r="MYU3" s="4"/>
      <c r="MYV3" s="4"/>
      <c r="MYW3" s="4"/>
      <c r="MYX3" s="4"/>
      <c r="MYY3" s="4"/>
      <c r="MYZ3" s="4"/>
      <c r="MZA3" s="4"/>
      <c r="MZB3" s="4"/>
      <c r="MZC3" s="4"/>
      <c r="MZD3" s="4"/>
      <c r="MZE3" s="4"/>
      <c r="MZF3" s="4"/>
      <c r="MZG3" s="4"/>
      <c r="MZH3" s="4"/>
      <c r="MZI3" s="4"/>
      <c r="MZJ3" s="4"/>
      <c r="MZK3" s="4"/>
      <c r="MZL3" s="4"/>
      <c r="MZM3" s="4"/>
      <c r="MZN3" s="4"/>
      <c r="MZO3" s="4"/>
      <c r="MZP3" s="4"/>
      <c r="MZQ3" s="4"/>
      <c r="MZR3" s="4"/>
      <c r="MZS3" s="4"/>
      <c r="MZT3" s="4"/>
      <c r="MZU3" s="4"/>
      <c r="MZV3" s="4"/>
      <c r="MZW3" s="4"/>
      <c r="MZX3" s="4"/>
      <c r="MZY3" s="4"/>
      <c r="MZZ3" s="4"/>
      <c r="NAA3" s="4"/>
      <c r="NAB3" s="4"/>
      <c r="NAC3" s="4"/>
      <c r="NAD3" s="4"/>
      <c r="NAE3" s="4"/>
      <c r="NAF3" s="4"/>
      <c r="NAG3" s="4"/>
      <c r="NAH3" s="4"/>
      <c r="NAI3" s="4"/>
      <c r="NAJ3" s="4"/>
      <c r="NAK3" s="4"/>
      <c r="NAL3" s="4"/>
      <c r="NAM3" s="4"/>
      <c r="NAN3" s="4"/>
      <c r="NAO3" s="4"/>
      <c r="NAP3" s="4"/>
      <c r="NAQ3" s="4"/>
      <c r="NAR3" s="4"/>
      <c r="NAS3" s="4"/>
      <c r="NAT3" s="4"/>
      <c r="NAU3" s="4"/>
      <c r="NAV3" s="4"/>
      <c r="NAW3" s="4"/>
      <c r="NAX3" s="4"/>
      <c r="NAY3" s="4"/>
      <c r="NAZ3" s="4"/>
      <c r="NBA3" s="4"/>
      <c r="NBB3" s="4"/>
      <c r="NBC3" s="4"/>
      <c r="NBD3" s="4"/>
      <c r="NBE3" s="4"/>
      <c r="NBF3" s="4"/>
      <c r="NBG3" s="4"/>
      <c r="NBH3" s="4"/>
      <c r="NBI3" s="4"/>
      <c r="NBJ3" s="4"/>
      <c r="NBK3" s="4"/>
      <c r="NBL3" s="4"/>
      <c r="NBM3" s="4"/>
      <c r="NBN3" s="4"/>
      <c r="NBO3" s="4"/>
      <c r="NBP3" s="4"/>
      <c r="NBQ3" s="4"/>
      <c r="NBR3" s="4"/>
      <c r="NBS3" s="4"/>
      <c r="NBT3" s="4"/>
      <c r="NBU3" s="4"/>
      <c r="NBV3" s="4"/>
      <c r="NBW3" s="4"/>
      <c r="NBX3" s="4"/>
      <c r="NBY3" s="4"/>
      <c r="NBZ3" s="4"/>
      <c r="NCA3" s="4"/>
      <c r="NCB3" s="4"/>
      <c r="NCC3" s="4"/>
      <c r="NCD3" s="4"/>
      <c r="NCE3" s="4"/>
      <c r="NCF3" s="4"/>
      <c r="NCG3" s="4"/>
      <c r="NCH3" s="4"/>
      <c r="NCI3" s="4"/>
      <c r="NCJ3" s="4"/>
      <c r="NCK3" s="4"/>
      <c r="NCL3" s="4"/>
      <c r="NCM3" s="4"/>
      <c r="NCN3" s="4"/>
      <c r="NCO3" s="4"/>
      <c r="NCP3" s="4"/>
      <c r="NCQ3" s="4"/>
      <c r="NCR3" s="4"/>
      <c r="NCS3" s="4"/>
      <c r="NCT3" s="4"/>
      <c r="NCU3" s="4"/>
      <c r="NCV3" s="4"/>
      <c r="NCW3" s="4"/>
      <c r="NCX3" s="4"/>
      <c r="NCY3" s="4"/>
      <c r="NCZ3" s="4"/>
      <c r="NDA3" s="4"/>
      <c r="NDB3" s="4"/>
      <c r="NDC3" s="4"/>
      <c r="NDD3" s="4"/>
      <c r="NDE3" s="4"/>
      <c r="NDF3" s="4"/>
      <c r="NDG3" s="4"/>
      <c r="NDH3" s="4"/>
      <c r="NDI3" s="4"/>
      <c r="NDJ3" s="4"/>
      <c r="NDK3" s="4"/>
      <c r="NDL3" s="4"/>
      <c r="NDM3" s="4"/>
      <c r="NDN3" s="4"/>
      <c r="NDO3" s="4"/>
      <c r="NDP3" s="4"/>
      <c r="NDQ3" s="4"/>
      <c r="NDR3" s="4"/>
      <c r="NDS3" s="4"/>
      <c r="NDT3" s="4"/>
      <c r="NDU3" s="4"/>
      <c r="NDV3" s="4"/>
      <c r="NDW3" s="4"/>
      <c r="NDX3" s="4"/>
      <c r="NDY3" s="4"/>
      <c r="NDZ3" s="4"/>
      <c r="NEA3" s="4"/>
      <c r="NEB3" s="4"/>
      <c r="NEC3" s="4"/>
      <c r="NED3" s="4"/>
      <c r="NEE3" s="4"/>
      <c r="NEF3" s="4"/>
      <c r="NEG3" s="4"/>
      <c r="NEH3" s="4"/>
      <c r="NEI3" s="4"/>
      <c r="NEJ3" s="4"/>
      <c r="NEK3" s="4"/>
      <c r="NEL3" s="4"/>
      <c r="NEM3" s="4"/>
      <c r="NEN3" s="4"/>
      <c r="NEO3" s="4"/>
      <c r="NEP3" s="4"/>
      <c r="NEQ3" s="4"/>
      <c r="NER3" s="4"/>
      <c r="NES3" s="4"/>
      <c r="NET3" s="4"/>
      <c r="NEU3" s="4"/>
      <c r="NEV3" s="4"/>
      <c r="NEW3" s="4"/>
      <c r="NEX3" s="4"/>
      <c r="NEY3" s="4"/>
      <c r="NEZ3" s="4"/>
      <c r="NFA3" s="4"/>
      <c r="NFB3" s="4"/>
      <c r="NFC3" s="4"/>
      <c r="NFD3" s="4"/>
      <c r="NFE3" s="4"/>
      <c r="NFF3" s="4"/>
      <c r="NFG3" s="4"/>
      <c r="NFH3" s="4"/>
      <c r="NFI3" s="4"/>
      <c r="NFJ3" s="4"/>
      <c r="NFK3" s="4"/>
      <c r="NFL3" s="4"/>
      <c r="NFM3" s="4"/>
      <c r="NFN3" s="4"/>
      <c r="NFO3" s="4"/>
      <c r="NFP3" s="4"/>
      <c r="NFQ3" s="4"/>
      <c r="NFR3" s="4"/>
      <c r="NFS3" s="4"/>
      <c r="NFT3" s="4"/>
      <c r="NFU3" s="4"/>
      <c r="NFV3" s="4"/>
      <c r="NFW3" s="4"/>
      <c r="NFX3" s="4"/>
      <c r="NFY3" s="4"/>
      <c r="NFZ3" s="4"/>
      <c r="NGA3" s="4"/>
      <c r="NGB3" s="4"/>
      <c r="NGC3" s="4"/>
      <c r="NGD3" s="4"/>
      <c r="NGE3" s="4"/>
      <c r="NGF3" s="4"/>
      <c r="NGG3" s="4"/>
      <c r="NGH3" s="4"/>
      <c r="NGI3" s="4"/>
      <c r="NGJ3" s="4"/>
      <c r="NGK3" s="4"/>
      <c r="NGL3" s="4"/>
      <c r="NGM3" s="4"/>
      <c r="NGN3" s="4"/>
      <c r="NGO3" s="4"/>
      <c r="NGP3" s="4"/>
      <c r="NGQ3" s="4"/>
      <c r="NGR3" s="4"/>
      <c r="NGS3" s="4"/>
      <c r="NGT3" s="4"/>
      <c r="NGU3" s="4"/>
      <c r="NGV3" s="4"/>
      <c r="NGW3" s="4"/>
      <c r="NGX3" s="4"/>
      <c r="NGY3" s="4"/>
      <c r="NGZ3" s="4"/>
      <c r="NHA3" s="4"/>
      <c r="NHB3" s="4"/>
      <c r="NHC3" s="4"/>
      <c r="NHD3" s="4"/>
      <c r="NHE3" s="4"/>
      <c r="NHF3" s="4"/>
      <c r="NHG3" s="4"/>
      <c r="NHH3" s="4"/>
      <c r="NHI3" s="4"/>
      <c r="NHJ3" s="4"/>
      <c r="NHK3" s="4"/>
      <c r="NHL3" s="4"/>
      <c r="NHM3" s="4"/>
      <c r="NHN3" s="4"/>
      <c r="NHO3" s="4"/>
      <c r="NHP3" s="4"/>
      <c r="NHQ3" s="4"/>
      <c r="NHR3" s="4"/>
      <c r="NHS3" s="4"/>
      <c r="NHT3" s="4"/>
      <c r="NHU3" s="4"/>
      <c r="NHV3" s="4"/>
      <c r="NHW3" s="4"/>
      <c r="NHX3" s="4"/>
      <c r="NHY3" s="4"/>
      <c r="NHZ3" s="4"/>
      <c r="NIA3" s="4"/>
      <c r="NIB3" s="4"/>
      <c r="NIC3" s="4"/>
      <c r="NID3" s="4"/>
      <c r="NIE3" s="4"/>
      <c r="NIF3" s="4"/>
      <c r="NIG3" s="4"/>
      <c r="NIH3" s="4"/>
      <c r="NII3" s="4"/>
      <c r="NIJ3" s="4"/>
      <c r="NIK3" s="4"/>
      <c r="NIL3" s="4"/>
      <c r="NIM3" s="4"/>
      <c r="NIN3" s="4"/>
      <c r="NIO3" s="4"/>
      <c r="NIP3" s="4"/>
      <c r="NIQ3" s="4"/>
      <c r="NIR3" s="4"/>
      <c r="NIS3" s="4"/>
      <c r="NIT3" s="4"/>
      <c r="NIU3" s="4"/>
      <c r="NIV3" s="4"/>
      <c r="NIW3" s="4"/>
      <c r="NIX3" s="4"/>
      <c r="NIY3" s="4"/>
      <c r="NIZ3" s="4"/>
      <c r="NJA3" s="4"/>
      <c r="NJB3" s="4"/>
      <c r="NJC3" s="4"/>
      <c r="NJD3" s="4"/>
      <c r="NJE3" s="4"/>
      <c r="NJF3" s="4"/>
      <c r="NJG3" s="4"/>
      <c r="NJH3" s="4"/>
      <c r="NJI3" s="4"/>
      <c r="NJJ3" s="4"/>
      <c r="NJK3" s="4"/>
      <c r="NJL3" s="4"/>
      <c r="NJM3" s="4"/>
      <c r="NJN3" s="4"/>
      <c r="NJO3" s="4"/>
      <c r="NJP3" s="4"/>
      <c r="NJQ3" s="4"/>
      <c r="NJR3" s="4"/>
      <c r="NJS3" s="4"/>
      <c r="NJT3" s="4"/>
      <c r="NJU3" s="4"/>
      <c r="NJV3" s="4"/>
      <c r="NJW3" s="4"/>
      <c r="NJX3" s="4"/>
      <c r="NJY3" s="4"/>
      <c r="NJZ3" s="4"/>
      <c r="NKA3" s="4"/>
      <c r="NKB3" s="4"/>
      <c r="NKC3" s="4"/>
      <c r="NKD3" s="4"/>
      <c r="NKE3" s="4"/>
      <c r="NKF3" s="4"/>
      <c r="NKG3" s="4"/>
      <c r="NKH3" s="4"/>
      <c r="NKI3" s="4"/>
      <c r="NKJ3" s="4"/>
      <c r="NKK3" s="4"/>
      <c r="NKL3" s="4"/>
      <c r="NKM3" s="4"/>
      <c r="NKN3" s="4"/>
      <c r="NKO3" s="4"/>
      <c r="NKP3" s="4"/>
      <c r="NKQ3" s="4"/>
      <c r="NKR3" s="4"/>
      <c r="NKS3" s="4"/>
      <c r="NKT3" s="4"/>
      <c r="NKU3" s="4"/>
      <c r="NKV3" s="4"/>
      <c r="NKW3" s="4"/>
      <c r="NKX3" s="4"/>
      <c r="NKY3" s="4"/>
      <c r="NKZ3" s="4"/>
      <c r="NLA3" s="4"/>
      <c r="NLB3" s="4"/>
      <c r="NLC3" s="4"/>
      <c r="NLD3" s="4"/>
      <c r="NLE3" s="4"/>
      <c r="NLF3" s="4"/>
      <c r="NLG3" s="4"/>
      <c r="NLH3" s="4"/>
      <c r="NLI3" s="4"/>
      <c r="NLJ3" s="4"/>
      <c r="NLK3" s="4"/>
      <c r="NLL3" s="4"/>
      <c r="NLM3" s="4"/>
      <c r="NLN3" s="4"/>
      <c r="NLO3" s="4"/>
      <c r="NLP3" s="4"/>
      <c r="NLQ3" s="4"/>
      <c r="NLR3" s="4"/>
      <c r="NLS3" s="4"/>
      <c r="NLT3" s="4"/>
      <c r="NLU3" s="4"/>
      <c r="NLV3" s="4"/>
      <c r="NLW3" s="4"/>
      <c r="NLX3" s="4"/>
      <c r="NLY3" s="4"/>
      <c r="NLZ3" s="4"/>
      <c r="NMA3" s="4"/>
      <c r="NMB3" s="4"/>
      <c r="NMC3" s="4"/>
      <c r="NMD3" s="4"/>
      <c r="NME3" s="4"/>
      <c r="NMF3" s="4"/>
      <c r="NMG3" s="4"/>
      <c r="NMH3" s="4"/>
      <c r="NMI3" s="4"/>
      <c r="NMJ3" s="4"/>
      <c r="NMK3" s="4"/>
      <c r="NML3" s="4"/>
      <c r="NMM3" s="4"/>
      <c r="NMN3" s="4"/>
      <c r="NMO3" s="4"/>
      <c r="NMP3" s="4"/>
      <c r="NMQ3" s="4"/>
      <c r="NMR3" s="4"/>
      <c r="NMS3" s="4"/>
      <c r="NMT3" s="4"/>
      <c r="NMU3" s="4"/>
      <c r="NMV3" s="4"/>
      <c r="NMW3" s="4"/>
      <c r="NMX3" s="4"/>
      <c r="NMY3" s="4"/>
      <c r="NMZ3" s="4"/>
      <c r="NNA3" s="4"/>
      <c r="NNB3" s="4"/>
      <c r="NNC3" s="4"/>
      <c r="NND3" s="4"/>
      <c r="NNE3" s="4"/>
      <c r="NNF3" s="4"/>
      <c r="NNG3" s="4"/>
      <c r="NNH3" s="4"/>
      <c r="NNI3" s="4"/>
      <c r="NNJ3" s="4"/>
      <c r="NNK3" s="4"/>
      <c r="NNL3" s="4"/>
      <c r="NNM3" s="4"/>
      <c r="NNN3" s="4"/>
      <c r="NNO3" s="4"/>
      <c r="NNP3" s="4"/>
      <c r="NNQ3" s="4"/>
      <c r="NNR3" s="4"/>
      <c r="NNS3" s="4"/>
      <c r="NNT3" s="4"/>
      <c r="NNU3" s="4"/>
      <c r="NNV3" s="4"/>
      <c r="NNW3" s="4"/>
      <c r="NNX3" s="4"/>
      <c r="NNY3" s="4"/>
      <c r="NNZ3" s="4"/>
      <c r="NOA3" s="4"/>
      <c r="NOB3" s="4"/>
      <c r="NOC3" s="4"/>
      <c r="NOD3" s="4"/>
      <c r="NOE3" s="4"/>
      <c r="NOF3" s="4"/>
      <c r="NOG3" s="4"/>
      <c r="NOH3" s="4"/>
      <c r="NOI3" s="4"/>
      <c r="NOJ3" s="4"/>
      <c r="NOK3" s="4"/>
      <c r="NOL3" s="4"/>
      <c r="NOM3" s="4"/>
      <c r="NON3" s="4"/>
      <c r="NOO3" s="4"/>
      <c r="NOP3" s="4"/>
      <c r="NOQ3" s="4"/>
      <c r="NOR3" s="4"/>
      <c r="NOS3" s="4"/>
      <c r="NOT3" s="4"/>
      <c r="NOU3" s="4"/>
      <c r="NOV3" s="4"/>
      <c r="NOW3" s="4"/>
      <c r="NOX3" s="4"/>
      <c r="NOY3" s="4"/>
      <c r="NOZ3" s="4"/>
      <c r="NPA3" s="4"/>
      <c r="NPB3" s="4"/>
      <c r="NPC3" s="4"/>
      <c r="NPD3" s="4"/>
      <c r="NPE3" s="4"/>
      <c r="NPF3" s="4"/>
      <c r="NPG3" s="4"/>
      <c r="NPH3" s="4"/>
      <c r="NPI3" s="4"/>
      <c r="NPJ3" s="4"/>
      <c r="NPK3" s="4"/>
      <c r="NPL3" s="4"/>
      <c r="NPM3" s="4"/>
      <c r="NPN3" s="4"/>
      <c r="NPO3" s="4"/>
      <c r="NPP3" s="4"/>
      <c r="NPQ3" s="4"/>
      <c r="NPR3" s="4"/>
      <c r="NPS3" s="4"/>
      <c r="NPT3" s="4"/>
      <c r="NPU3" s="4"/>
      <c r="NPV3" s="4"/>
      <c r="NPW3" s="4"/>
      <c r="NPX3" s="4"/>
      <c r="NPY3" s="4"/>
      <c r="NPZ3" s="4"/>
      <c r="NQA3" s="4"/>
      <c r="NQB3" s="4"/>
      <c r="NQC3" s="4"/>
      <c r="NQD3" s="4"/>
      <c r="NQE3" s="4"/>
      <c r="NQF3" s="4"/>
      <c r="NQG3" s="4"/>
      <c r="NQH3" s="4"/>
      <c r="NQI3" s="4"/>
      <c r="NQJ3" s="4"/>
      <c r="NQK3" s="4"/>
      <c r="NQL3" s="4"/>
      <c r="NQM3" s="4"/>
      <c r="NQN3" s="4"/>
      <c r="NQO3" s="4"/>
      <c r="NQP3" s="4"/>
      <c r="NQQ3" s="4"/>
      <c r="NQR3" s="4"/>
      <c r="NQS3" s="4"/>
      <c r="NQT3" s="4"/>
      <c r="NQU3" s="4"/>
      <c r="NQV3" s="4"/>
      <c r="NQW3" s="4"/>
      <c r="NQX3" s="4"/>
      <c r="NQY3" s="4"/>
      <c r="NQZ3" s="4"/>
      <c r="NRA3" s="4"/>
      <c r="NRB3" s="4"/>
      <c r="NRC3" s="4"/>
      <c r="NRD3" s="4"/>
      <c r="NRE3" s="4"/>
      <c r="NRF3" s="4"/>
      <c r="NRG3" s="4"/>
      <c r="NRH3" s="4"/>
      <c r="NRI3" s="4"/>
      <c r="NRJ3" s="4"/>
      <c r="NRK3" s="4"/>
      <c r="NRL3" s="4"/>
      <c r="NRM3" s="4"/>
      <c r="NRN3" s="4"/>
      <c r="NRO3" s="4"/>
      <c r="NRP3" s="4"/>
      <c r="NRQ3" s="4"/>
      <c r="NRR3" s="4"/>
      <c r="NRS3" s="4"/>
      <c r="NRT3" s="4"/>
      <c r="NRU3" s="4"/>
      <c r="NRV3" s="4"/>
      <c r="NRW3" s="4"/>
      <c r="NRX3" s="4"/>
      <c r="NRY3" s="4"/>
      <c r="NRZ3" s="4"/>
      <c r="NSA3" s="4"/>
      <c r="NSB3" s="4"/>
      <c r="NSC3" s="4"/>
      <c r="NSD3" s="4"/>
      <c r="NSE3" s="4"/>
      <c r="NSF3" s="4"/>
      <c r="NSG3" s="4"/>
      <c r="NSH3" s="4"/>
      <c r="NSI3" s="4"/>
      <c r="NSJ3" s="4"/>
      <c r="NSK3" s="4"/>
      <c r="NSL3" s="4"/>
      <c r="NSM3" s="4"/>
      <c r="NSN3" s="4"/>
      <c r="NSO3" s="4"/>
      <c r="NSP3" s="4"/>
      <c r="NSQ3" s="4"/>
      <c r="NSR3" s="4"/>
      <c r="NSS3" s="4"/>
      <c r="NST3" s="4"/>
      <c r="NSU3" s="4"/>
      <c r="NSV3" s="4"/>
      <c r="NSW3" s="4"/>
      <c r="NSX3" s="4"/>
      <c r="NSY3" s="4"/>
      <c r="NSZ3" s="4"/>
      <c r="NTA3" s="4"/>
      <c r="NTB3" s="4"/>
      <c r="NTC3" s="4"/>
      <c r="NTD3" s="4"/>
      <c r="NTE3" s="4"/>
      <c r="NTF3" s="4"/>
      <c r="NTG3" s="4"/>
      <c r="NTH3" s="4"/>
      <c r="NTI3" s="4"/>
      <c r="NTJ3" s="4"/>
      <c r="NTK3" s="4"/>
      <c r="NTL3" s="4"/>
      <c r="NTM3" s="4"/>
      <c r="NTN3" s="4"/>
      <c r="NTO3" s="4"/>
      <c r="NTP3" s="4"/>
      <c r="NTQ3" s="4"/>
      <c r="NTR3" s="4"/>
      <c r="NTS3" s="4"/>
      <c r="NTT3" s="4"/>
      <c r="NTU3" s="4"/>
      <c r="NTV3" s="4"/>
      <c r="NTW3" s="4"/>
      <c r="NTX3" s="4"/>
      <c r="NTY3" s="4"/>
      <c r="NTZ3" s="4"/>
      <c r="NUA3" s="4"/>
      <c r="NUB3" s="4"/>
      <c r="NUC3" s="4"/>
      <c r="NUD3" s="4"/>
      <c r="NUE3" s="4"/>
      <c r="NUF3" s="4"/>
      <c r="NUG3" s="4"/>
      <c r="NUH3" s="4"/>
      <c r="NUI3" s="4"/>
      <c r="NUJ3" s="4"/>
      <c r="NUK3" s="4"/>
      <c r="NUL3" s="4"/>
      <c r="NUM3" s="4"/>
      <c r="NUN3" s="4"/>
      <c r="NUO3" s="4"/>
      <c r="NUP3" s="4"/>
      <c r="NUQ3" s="4"/>
      <c r="NUR3" s="4"/>
      <c r="NUS3" s="4"/>
      <c r="NUT3" s="4"/>
      <c r="NUU3" s="4"/>
      <c r="NUV3" s="4"/>
      <c r="NUW3" s="4"/>
      <c r="NUX3" s="4"/>
      <c r="NUY3" s="4"/>
      <c r="NUZ3" s="4"/>
      <c r="NVA3" s="4"/>
      <c r="NVB3" s="4"/>
      <c r="NVC3" s="4"/>
      <c r="NVD3" s="4"/>
      <c r="NVE3" s="4"/>
      <c r="NVF3" s="4"/>
      <c r="NVG3" s="4"/>
      <c r="NVH3" s="4"/>
      <c r="NVI3" s="4"/>
      <c r="NVJ3" s="4"/>
      <c r="NVK3" s="4"/>
      <c r="NVL3" s="4"/>
      <c r="NVM3" s="4"/>
      <c r="NVN3" s="4"/>
      <c r="NVO3" s="4"/>
      <c r="NVP3" s="4"/>
      <c r="NVQ3" s="4"/>
      <c r="NVR3" s="4"/>
      <c r="NVS3" s="4"/>
      <c r="NVT3" s="4"/>
      <c r="NVU3" s="4"/>
      <c r="NVV3" s="4"/>
      <c r="NVW3" s="4"/>
      <c r="NVX3" s="4"/>
      <c r="NVY3" s="4"/>
      <c r="NVZ3" s="4"/>
      <c r="NWA3" s="4"/>
      <c r="NWB3" s="4"/>
      <c r="NWC3" s="4"/>
      <c r="NWD3" s="4"/>
      <c r="NWE3" s="4"/>
      <c r="NWF3" s="4"/>
      <c r="NWG3" s="4"/>
      <c r="NWH3" s="4"/>
      <c r="NWI3" s="4"/>
      <c r="NWJ3" s="4"/>
      <c r="NWK3" s="4"/>
      <c r="NWL3" s="4"/>
      <c r="NWM3" s="4"/>
      <c r="NWN3" s="4"/>
      <c r="NWO3" s="4"/>
      <c r="NWP3" s="4"/>
      <c r="NWQ3" s="4"/>
      <c r="NWR3" s="4"/>
      <c r="NWS3" s="4"/>
      <c r="NWT3" s="4"/>
      <c r="NWU3" s="4"/>
      <c r="NWV3" s="4"/>
      <c r="NWW3" s="4"/>
      <c r="NWX3" s="4"/>
      <c r="NWY3" s="4"/>
      <c r="NWZ3" s="4"/>
      <c r="NXA3" s="4"/>
      <c r="NXB3" s="4"/>
      <c r="NXC3" s="4"/>
      <c r="NXD3" s="4"/>
      <c r="NXE3" s="4"/>
      <c r="NXF3" s="4"/>
      <c r="NXG3" s="4"/>
      <c r="NXH3" s="4"/>
      <c r="NXI3" s="4"/>
      <c r="NXJ3" s="4"/>
      <c r="NXK3" s="4"/>
      <c r="NXL3" s="4"/>
      <c r="NXM3" s="4"/>
      <c r="NXN3" s="4"/>
      <c r="NXO3" s="4"/>
      <c r="NXP3" s="4"/>
      <c r="NXQ3" s="4"/>
      <c r="NXR3" s="4"/>
      <c r="NXS3" s="4"/>
      <c r="NXT3" s="4"/>
      <c r="NXU3" s="4"/>
      <c r="NXV3" s="4"/>
      <c r="NXW3" s="4"/>
      <c r="NXX3" s="4"/>
      <c r="NXY3" s="4"/>
      <c r="NXZ3" s="4"/>
      <c r="NYA3" s="4"/>
      <c r="NYB3" s="4"/>
      <c r="NYC3" s="4"/>
      <c r="NYD3" s="4"/>
      <c r="NYE3" s="4"/>
      <c r="NYF3" s="4"/>
      <c r="NYG3" s="4"/>
      <c r="NYH3" s="4"/>
      <c r="NYI3" s="4"/>
      <c r="NYJ3" s="4"/>
      <c r="NYK3" s="4"/>
      <c r="NYL3" s="4"/>
      <c r="NYM3" s="4"/>
      <c r="NYN3" s="4"/>
      <c r="NYO3" s="4"/>
      <c r="NYP3" s="4"/>
      <c r="NYQ3" s="4"/>
      <c r="NYR3" s="4"/>
      <c r="NYS3" s="4"/>
      <c r="NYT3" s="4"/>
      <c r="NYU3" s="4"/>
      <c r="NYV3" s="4"/>
      <c r="NYW3" s="4"/>
      <c r="NYX3" s="4"/>
      <c r="NYY3" s="4"/>
      <c r="NYZ3" s="4"/>
      <c r="NZA3" s="4"/>
      <c r="NZB3" s="4"/>
      <c r="NZC3" s="4"/>
      <c r="NZD3" s="4"/>
      <c r="NZE3" s="4"/>
      <c r="NZF3" s="4"/>
      <c r="NZG3" s="4"/>
      <c r="NZH3" s="4"/>
      <c r="NZI3" s="4"/>
      <c r="NZJ3" s="4"/>
      <c r="NZK3" s="4"/>
      <c r="NZL3" s="4"/>
      <c r="NZM3" s="4"/>
      <c r="NZN3" s="4"/>
      <c r="NZO3" s="4"/>
      <c r="NZP3" s="4"/>
      <c r="NZQ3" s="4"/>
      <c r="NZR3" s="4"/>
      <c r="NZS3" s="4"/>
      <c r="NZT3" s="4"/>
      <c r="NZU3" s="4"/>
      <c r="NZV3" s="4"/>
      <c r="NZW3" s="4"/>
      <c r="NZX3" s="4"/>
      <c r="NZY3" s="4"/>
      <c r="NZZ3" s="4"/>
      <c r="OAA3" s="4"/>
      <c r="OAB3" s="4"/>
      <c r="OAC3" s="4"/>
      <c r="OAD3" s="4"/>
      <c r="OAE3" s="4"/>
      <c r="OAF3" s="4"/>
      <c r="OAG3" s="4"/>
      <c r="OAH3" s="4"/>
      <c r="OAI3" s="4"/>
      <c r="OAJ3" s="4"/>
      <c r="OAK3" s="4"/>
      <c r="OAL3" s="4"/>
      <c r="OAM3" s="4"/>
      <c r="OAN3" s="4"/>
      <c r="OAO3" s="4"/>
      <c r="OAP3" s="4"/>
      <c r="OAQ3" s="4"/>
      <c r="OAR3" s="4"/>
      <c r="OAS3" s="4"/>
      <c r="OAT3" s="4"/>
      <c r="OAU3" s="4"/>
      <c r="OAV3" s="4"/>
      <c r="OAW3" s="4"/>
      <c r="OAX3" s="4"/>
      <c r="OAY3" s="4"/>
      <c r="OAZ3" s="4"/>
      <c r="OBA3" s="4"/>
      <c r="OBB3" s="4"/>
      <c r="OBC3" s="4"/>
      <c r="OBD3" s="4"/>
      <c r="OBE3" s="4"/>
      <c r="OBF3" s="4"/>
      <c r="OBG3" s="4"/>
      <c r="OBH3" s="4"/>
      <c r="OBI3" s="4"/>
      <c r="OBJ3" s="4"/>
      <c r="OBK3" s="4"/>
      <c r="OBL3" s="4"/>
      <c r="OBM3" s="4"/>
      <c r="OBN3" s="4"/>
      <c r="OBO3" s="4"/>
      <c r="OBP3" s="4"/>
      <c r="OBQ3" s="4"/>
      <c r="OBR3" s="4"/>
      <c r="OBS3" s="4"/>
      <c r="OBT3" s="4"/>
      <c r="OBU3" s="4"/>
      <c r="OBV3" s="4"/>
      <c r="OBW3" s="4"/>
      <c r="OBX3" s="4"/>
      <c r="OBY3" s="4"/>
      <c r="OBZ3" s="4"/>
      <c r="OCA3" s="4"/>
      <c r="OCB3" s="4"/>
      <c r="OCC3" s="4"/>
      <c r="OCD3" s="4"/>
      <c r="OCE3" s="4"/>
      <c r="OCF3" s="4"/>
      <c r="OCG3" s="4"/>
      <c r="OCH3" s="4"/>
      <c r="OCI3" s="4"/>
      <c r="OCJ3" s="4"/>
      <c r="OCK3" s="4"/>
      <c r="OCL3" s="4"/>
      <c r="OCM3" s="4"/>
      <c r="OCN3" s="4"/>
      <c r="OCO3" s="4"/>
      <c r="OCP3" s="4"/>
      <c r="OCQ3" s="4"/>
      <c r="OCR3" s="4"/>
      <c r="OCS3" s="4"/>
      <c r="OCT3" s="4"/>
      <c r="OCU3" s="4"/>
      <c r="OCV3" s="4"/>
      <c r="OCW3" s="4"/>
      <c r="OCX3" s="4"/>
      <c r="OCY3" s="4"/>
      <c r="OCZ3" s="4"/>
      <c r="ODA3" s="4"/>
      <c r="ODB3" s="4"/>
      <c r="ODC3" s="4"/>
      <c r="ODD3" s="4"/>
      <c r="ODE3" s="4"/>
      <c r="ODF3" s="4"/>
      <c r="ODG3" s="4"/>
      <c r="ODH3" s="4"/>
      <c r="ODI3" s="4"/>
      <c r="ODJ3" s="4"/>
      <c r="ODK3" s="4"/>
      <c r="ODL3" s="4"/>
      <c r="ODM3" s="4"/>
      <c r="ODN3" s="4"/>
      <c r="ODO3" s="4"/>
      <c r="ODP3" s="4"/>
      <c r="ODQ3" s="4"/>
      <c r="ODR3" s="4"/>
      <c r="ODS3" s="4"/>
      <c r="ODT3" s="4"/>
      <c r="ODU3" s="4"/>
      <c r="ODV3" s="4"/>
      <c r="ODW3" s="4"/>
      <c r="ODX3" s="4"/>
      <c r="ODY3" s="4"/>
      <c r="ODZ3" s="4"/>
      <c r="OEA3" s="4"/>
      <c r="OEB3" s="4"/>
      <c r="OEC3" s="4"/>
      <c r="OED3" s="4"/>
      <c r="OEE3" s="4"/>
      <c r="OEF3" s="4"/>
      <c r="OEG3" s="4"/>
      <c r="OEH3" s="4"/>
      <c r="OEI3" s="4"/>
      <c r="OEJ3" s="4"/>
      <c r="OEK3" s="4"/>
      <c r="OEL3" s="4"/>
      <c r="OEM3" s="4"/>
      <c r="OEN3" s="4"/>
      <c r="OEO3" s="4"/>
      <c r="OEP3" s="4"/>
      <c r="OEQ3" s="4"/>
      <c r="OER3" s="4"/>
      <c r="OES3" s="4"/>
      <c r="OET3" s="4"/>
      <c r="OEU3" s="4"/>
      <c r="OEV3" s="4"/>
      <c r="OEW3" s="4"/>
      <c r="OEX3" s="4"/>
      <c r="OEY3" s="4"/>
      <c r="OEZ3" s="4"/>
      <c r="OFA3" s="4"/>
      <c r="OFB3" s="4"/>
      <c r="OFC3" s="4"/>
      <c r="OFD3" s="4"/>
      <c r="OFE3" s="4"/>
      <c r="OFF3" s="4"/>
      <c r="OFG3" s="4"/>
      <c r="OFH3" s="4"/>
      <c r="OFI3" s="4"/>
      <c r="OFJ3" s="4"/>
      <c r="OFK3" s="4"/>
      <c r="OFL3" s="4"/>
      <c r="OFM3" s="4"/>
      <c r="OFN3" s="4"/>
      <c r="OFO3" s="4"/>
      <c r="OFP3" s="4"/>
      <c r="OFQ3" s="4"/>
      <c r="OFR3" s="4"/>
      <c r="OFS3" s="4"/>
      <c r="OFT3" s="4"/>
      <c r="OFU3" s="4"/>
      <c r="OFV3" s="4"/>
      <c r="OFW3" s="4"/>
      <c r="OFX3" s="4"/>
      <c r="OFY3" s="4"/>
      <c r="OFZ3" s="4"/>
      <c r="OGA3" s="4"/>
      <c r="OGB3" s="4"/>
      <c r="OGC3" s="4"/>
      <c r="OGD3" s="4"/>
      <c r="OGE3" s="4"/>
      <c r="OGF3" s="4"/>
      <c r="OGG3" s="4"/>
      <c r="OGH3" s="4"/>
      <c r="OGI3" s="4"/>
      <c r="OGJ3" s="4"/>
      <c r="OGK3" s="4"/>
      <c r="OGL3" s="4"/>
      <c r="OGM3" s="4"/>
      <c r="OGN3" s="4"/>
      <c r="OGO3" s="4"/>
      <c r="OGP3" s="4"/>
      <c r="OGQ3" s="4"/>
      <c r="OGR3" s="4"/>
      <c r="OGS3" s="4"/>
      <c r="OGT3" s="4"/>
      <c r="OGU3" s="4"/>
      <c r="OGV3" s="4"/>
      <c r="OGW3" s="4"/>
      <c r="OGX3" s="4"/>
      <c r="OGY3" s="4"/>
      <c r="OGZ3" s="4"/>
      <c r="OHA3" s="4"/>
      <c r="OHB3" s="4"/>
      <c r="OHC3" s="4"/>
      <c r="OHD3" s="4"/>
      <c r="OHE3" s="4"/>
      <c r="OHF3" s="4"/>
      <c r="OHG3" s="4"/>
      <c r="OHH3" s="4"/>
      <c r="OHI3" s="4"/>
      <c r="OHJ3" s="4"/>
      <c r="OHK3" s="4"/>
      <c r="OHL3" s="4"/>
      <c r="OHM3" s="4"/>
      <c r="OHN3" s="4"/>
      <c r="OHO3" s="4"/>
      <c r="OHP3" s="4"/>
      <c r="OHQ3" s="4"/>
      <c r="OHR3" s="4"/>
      <c r="OHS3" s="4"/>
      <c r="OHT3" s="4"/>
      <c r="OHU3" s="4"/>
      <c r="OHV3" s="4"/>
      <c r="OHW3" s="4"/>
      <c r="OHX3" s="4"/>
      <c r="OHY3" s="4"/>
      <c r="OHZ3" s="4"/>
      <c r="OIA3" s="4"/>
      <c r="OIB3" s="4"/>
      <c r="OIC3" s="4"/>
      <c r="OID3" s="4"/>
      <c r="OIE3" s="4"/>
      <c r="OIF3" s="4"/>
      <c r="OIG3" s="4"/>
      <c r="OIH3" s="4"/>
      <c r="OII3" s="4"/>
      <c r="OIJ3" s="4"/>
      <c r="OIK3" s="4"/>
      <c r="OIL3" s="4"/>
      <c r="OIM3" s="4"/>
      <c r="OIN3" s="4"/>
      <c r="OIO3" s="4"/>
      <c r="OIP3" s="4"/>
      <c r="OIQ3" s="4"/>
      <c r="OIR3" s="4"/>
      <c r="OIS3" s="4"/>
      <c r="OIT3" s="4"/>
      <c r="OIU3" s="4"/>
      <c r="OIV3" s="4"/>
      <c r="OIW3" s="4"/>
      <c r="OIX3" s="4"/>
      <c r="OIY3" s="4"/>
      <c r="OIZ3" s="4"/>
      <c r="OJA3" s="4"/>
      <c r="OJB3" s="4"/>
      <c r="OJC3" s="4"/>
      <c r="OJD3" s="4"/>
      <c r="OJE3" s="4"/>
      <c r="OJF3" s="4"/>
      <c r="OJG3" s="4"/>
      <c r="OJH3" s="4"/>
      <c r="OJI3" s="4"/>
      <c r="OJJ3" s="4"/>
      <c r="OJK3" s="4"/>
      <c r="OJL3" s="4"/>
      <c r="OJM3" s="4"/>
      <c r="OJN3" s="4"/>
      <c r="OJO3" s="4"/>
      <c r="OJP3" s="4"/>
      <c r="OJQ3" s="4"/>
      <c r="OJR3" s="4"/>
      <c r="OJS3" s="4"/>
      <c r="OJT3" s="4"/>
      <c r="OJU3" s="4"/>
      <c r="OJV3" s="4"/>
      <c r="OJW3" s="4"/>
      <c r="OJX3" s="4"/>
      <c r="OJY3" s="4"/>
      <c r="OJZ3" s="4"/>
      <c r="OKA3" s="4"/>
      <c r="OKB3" s="4"/>
      <c r="OKC3" s="4"/>
      <c r="OKD3" s="4"/>
      <c r="OKE3" s="4"/>
      <c r="OKF3" s="4"/>
      <c r="OKG3" s="4"/>
      <c r="OKH3" s="4"/>
      <c r="OKI3" s="4"/>
      <c r="OKJ3" s="4"/>
      <c r="OKK3" s="4"/>
      <c r="OKL3" s="4"/>
      <c r="OKM3" s="4"/>
      <c r="OKN3" s="4"/>
      <c r="OKO3" s="4"/>
      <c r="OKP3" s="4"/>
      <c r="OKQ3" s="4"/>
      <c r="OKR3" s="4"/>
      <c r="OKS3" s="4"/>
      <c r="OKT3" s="4"/>
      <c r="OKU3" s="4"/>
      <c r="OKV3" s="4"/>
      <c r="OKW3" s="4"/>
      <c r="OKX3" s="4"/>
      <c r="OKY3" s="4"/>
      <c r="OKZ3" s="4"/>
      <c r="OLA3" s="4"/>
      <c r="OLB3" s="4"/>
      <c r="OLC3" s="4"/>
      <c r="OLD3" s="4"/>
      <c r="OLE3" s="4"/>
      <c r="OLF3" s="4"/>
      <c r="OLG3" s="4"/>
      <c r="OLH3" s="4"/>
      <c r="OLI3" s="4"/>
      <c r="OLJ3" s="4"/>
      <c r="OLK3" s="4"/>
      <c r="OLL3" s="4"/>
      <c r="OLM3" s="4"/>
      <c r="OLN3" s="4"/>
      <c r="OLO3" s="4"/>
      <c r="OLP3" s="4"/>
      <c r="OLQ3" s="4"/>
      <c r="OLR3" s="4"/>
      <c r="OLS3" s="4"/>
      <c r="OLT3" s="4"/>
      <c r="OLU3" s="4"/>
      <c r="OLV3" s="4"/>
      <c r="OLW3" s="4"/>
      <c r="OLX3" s="4"/>
      <c r="OLY3" s="4"/>
      <c r="OLZ3" s="4"/>
      <c r="OMA3" s="4"/>
      <c r="OMB3" s="4"/>
      <c r="OMC3" s="4"/>
      <c r="OMD3" s="4"/>
      <c r="OME3" s="4"/>
      <c r="OMF3" s="4"/>
      <c r="OMG3" s="4"/>
      <c r="OMH3" s="4"/>
      <c r="OMI3" s="4"/>
      <c r="OMJ3" s="4"/>
      <c r="OMK3" s="4"/>
      <c r="OML3" s="4"/>
      <c r="OMM3" s="4"/>
      <c r="OMN3" s="4"/>
      <c r="OMO3" s="4"/>
      <c r="OMP3" s="4"/>
      <c r="OMQ3" s="4"/>
      <c r="OMR3" s="4"/>
      <c r="OMS3" s="4"/>
      <c r="OMT3" s="4"/>
      <c r="OMU3" s="4"/>
      <c r="OMV3" s="4"/>
      <c r="OMW3" s="4"/>
      <c r="OMX3" s="4"/>
      <c r="OMY3" s="4"/>
      <c r="OMZ3" s="4"/>
      <c r="ONA3" s="4"/>
      <c r="ONB3" s="4"/>
      <c r="ONC3" s="4"/>
      <c r="OND3" s="4"/>
      <c r="ONE3" s="4"/>
      <c r="ONF3" s="4"/>
      <c r="ONG3" s="4"/>
      <c r="ONH3" s="4"/>
      <c r="ONI3" s="4"/>
      <c r="ONJ3" s="4"/>
      <c r="ONK3" s="4"/>
      <c r="ONL3" s="4"/>
      <c r="ONM3" s="4"/>
      <c r="ONN3" s="4"/>
      <c r="ONO3" s="4"/>
      <c r="ONP3" s="4"/>
      <c r="ONQ3" s="4"/>
      <c r="ONR3" s="4"/>
      <c r="ONS3" s="4"/>
      <c r="ONT3" s="4"/>
      <c r="ONU3" s="4"/>
      <c r="ONV3" s="4"/>
      <c r="ONW3" s="4"/>
      <c r="ONX3" s="4"/>
      <c r="ONY3" s="4"/>
      <c r="ONZ3" s="4"/>
      <c r="OOA3" s="4"/>
      <c r="OOB3" s="4"/>
      <c r="OOC3" s="4"/>
      <c r="OOD3" s="4"/>
      <c r="OOE3" s="4"/>
      <c r="OOF3" s="4"/>
      <c r="OOG3" s="4"/>
      <c r="OOH3" s="4"/>
      <c r="OOI3" s="4"/>
      <c r="OOJ3" s="4"/>
      <c r="OOK3" s="4"/>
      <c r="OOL3" s="4"/>
      <c r="OOM3" s="4"/>
      <c r="OON3" s="4"/>
      <c r="OOO3" s="4"/>
      <c r="OOP3" s="4"/>
      <c r="OOQ3" s="4"/>
      <c r="OOR3" s="4"/>
      <c r="OOS3" s="4"/>
      <c r="OOT3" s="4"/>
      <c r="OOU3" s="4"/>
      <c r="OOV3" s="4"/>
      <c r="OOW3" s="4"/>
      <c r="OOX3" s="4"/>
      <c r="OOY3" s="4"/>
      <c r="OOZ3" s="4"/>
      <c r="OPA3" s="4"/>
      <c r="OPB3" s="4"/>
      <c r="OPC3" s="4"/>
      <c r="OPD3" s="4"/>
      <c r="OPE3" s="4"/>
      <c r="OPF3" s="4"/>
      <c r="OPG3" s="4"/>
      <c r="OPH3" s="4"/>
      <c r="OPI3" s="4"/>
      <c r="OPJ3" s="4"/>
      <c r="OPK3" s="4"/>
      <c r="OPL3" s="4"/>
      <c r="OPM3" s="4"/>
      <c r="OPN3" s="4"/>
      <c r="OPO3" s="4"/>
      <c r="OPP3" s="4"/>
      <c r="OPQ3" s="4"/>
      <c r="OPR3" s="4"/>
      <c r="OPS3" s="4"/>
      <c r="OPT3" s="4"/>
      <c r="OPU3" s="4"/>
      <c r="OPV3" s="4"/>
      <c r="OPW3" s="4"/>
      <c r="OPX3" s="4"/>
      <c r="OPY3" s="4"/>
      <c r="OPZ3" s="4"/>
      <c r="OQA3" s="4"/>
      <c r="OQB3" s="4"/>
      <c r="OQC3" s="4"/>
      <c r="OQD3" s="4"/>
      <c r="OQE3" s="4"/>
      <c r="OQF3" s="4"/>
      <c r="OQG3" s="4"/>
      <c r="OQH3" s="4"/>
      <c r="OQI3" s="4"/>
      <c r="OQJ3" s="4"/>
      <c r="OQK3" s="4"/>
      <c r="OQL3" s="4"/>
      <c r="OQM3" s="4"/>
      <c r="OQN3" s="4"/>
      <c r="OQO3" s="4"/>
      <c r="OQP3" s="4"/>
      <c r="OQQ3" s="4"/>
      <c r="OQR3" s="4"/>
      <c r="OQS3" s="4"/>
      <c r="OQT3" s="4"/>
      <c r="OQU3" s="4"/>
      <c r="OQV3" s="4"/>
      <c r="OQW3" s="4"/>
      <c r="OQX3" s="4"/>
      <c r="OQY3" s="4"/>
      <c r="OQZ3" s="4"/>
      <c r="ORA3" s="4"/>
      <c r="ORB3" s="4"/>
      <c r="ORC3" s="4"/>
      <c r="ORD3" s="4"/>
      <c r="ORE3" s="4"/>
      <c r="ORF3" s="4"/>
      <c r="ORG3" s="4"/>
      <c r="ORH3" s="4"/>
      <c r="ORI3" s="4"/>
      <c r="ORJ3" s="4"/>
      <c r="ORK3" s="4"/>
      <c r="ORL3" s="4"/>
      <c r="ORM3" s="4"/>
      <c r="ORN3" s="4"/>
      <c r="ORO3" s="4"/>
      <c r="ORP3" s="4"/>
      <c r="ORQ3" s="4"/>
      <c r="ORR3" s="4"/>
      <c r="ORS3" s="4"/>
      <c r="ORT3" s="4"/>
      <c r="ORU3" s="4"/>
      <c r="ORV3" s="4"/>
      <c r="ORW3" s="4"/>
      <c r="ORX3" s="4"/>
      <c r="ORY3" s="4"/>
      <c r="ORZ3" s="4"/>
      <c r="OSA3" s="4"/>
      <c r="OSB3" s="4"/>
      <c r="OSC3" s="4"/>
      <c r="OSD3" s="4"/>
      <c r="OSE3" s="4"/>
      <c r="OSF3" s="4"/>
      <c r="OSG3" s="4"/>
      <c r="OSH3" s="4"/>
      <c r="OSI3" s="4"/>
      <c r="OSJ3" s="4"/>
      <c r="OSK3" s="4"/>
      <c r="OSL3" s="4"/>
      <c r="OSM3" s="4"/>
      <c r="OSN3" s="4"/>
      <c r="OSO3" s="4"/>
      <c r="OSP3" s="4"/>
      <c r="OSQ3" s="4"/>
      <c r="OSR3" s="4"/>
      <c r="OSS3" s="4"/>
      <c r="OST3" s="4"/>
      <c r="OSU3" s="4"/>
      <c r="OSV3" s="4"/>
      <c r="OSW3" s="4"/>
      <c r="OSX3" s="4"/>
      <c r="OSY3" s="4"/>
      <c r="OSZ3" s="4"/>
      <c r="OTA3" s="4"/>
      <c r="OTB3" s="4"/>
      <c r="OTC3" s="4"/>
      <c r="OTD3" s="4"/>
      <c r="OTE3" s="4"/>
      <c r="OTF3" s="4"/>
      <c r="OTG3" s="4"/>
      <c r="OTH3" s="4"/>
      <c r="OTI3" s="4"/>
      <c r="OTJ3" s="4"/>
      <c r="OTK3" s="4"/>
      <c r="OTL3" s="4"/>
      <c r="OTM3" s="4"/>
      <c r="OTN3" s="4"/>
      <c r="OTO3" s="4"/>
      <c r="OTP3" s="4"/>
      <c r="OTQ3" s="4"/>
      <c r="OTR3" s="4"/>
      <c r="OTS3" s="4"/>
      <c r="OTT3" s="4"/>
      <c r="OTU3" s="4"/>
      <c r="OTV3" s="4"/>
      <c r="OTW3" s="4"/>
      <c r="OTX3" s="4"/>
      <c r="OTY3" s="4"/>
      <c r="OTZ3" s="4"/>
      <c r="OUA3" s="4"/>
      <c r="OUB3" s="4"/>
      <c r="OUC3" s="4"/>
      <c r="OUD3" s="4"/>
      <c r="OUE3" s="4"/>
      <c r="OUF3" s="4"/>
      <c r="OUG3" s="4"/>
      <c r="OUH3" s="4"/>
      <c r="OUI3" s="4"/>
      <c r="OUJ3" s="4"/>
      <c r="OUK3" s="4"/>
      <c r="OUL3" s="4"/>
      <c r="OUM3" s="4"/>
      <c r="OUN3" s="4"/>
      <c r="OUO3" s="4"/>
      <c r="OUP3" s="4"/>
      <c r="OUQ3" s="4"/>
      <c r="OUR3" s="4"/>
      <c r="OUS3" s="4"/>
      <c r="OUT3" s="4"/>
      <c r="OUU3" s="4"/>
      <c r="OUV3" s="4"/>
      <c r="OUW3" s="4"/>
      <c r="OUX3" s="4"/>
      <c r="OUY3" s="4"/>
      <c r="OUZ3" s="4"/>
      <c r="OVA3" s="4"/>
      <c r="OVB3" s="4"/>
      <c r="OVC3" s="4"/>
      <c r="OVD3" s="4"/>
      <c r="OVE3" s="4"/>
      <c r="OVF3" s="4"/>
      <c r="OVG3" s="4"/>
      <c r="OVH3" s="4"/>
      <c r="OVI3" s="4"/>
      <c r="OVJ3" s="4"/>
      <c r="OVK3" s="4"/>
      <c r="OVL3" s="4"/>
      <c r="OVM3" s="4"/>
      <c r="OVN3" s="4"/>
      <c r="OVO3" s="4"/>
      <c r="OVP3" s="4"/>
      <c r="OVQ3" s="4"/>
      <c r="OVR3" s="4"/>
      <c r="OVS3" s="4"/>
      <c r="OVT3" s="4"/>
      <c r="OVU3" s="4"/>
      <c r="OVV3" s="4"/>
      <c r="OVW3" s="4"/>
      <c r="OVX3" s="4"/>
      <c r="OVY3" s="4"/>
      <c r="OVZ3" s="4"/>
      <c r="OWA3" s="4"/>
      <c r="OWB3" s="4"/>
      <c r="OWC3" s="4"/>
      <c r="OWD3" s="4"/>
      <c r="OWE3" s="4"/>
      <c r="OWF3" s="4"/>
      <c r="OWG3" s="4"/>
      <c r="OWH3" s="4"/>
      <c r="OWI3" s="4"/>
      <c r="OWJ3" s="4"/>
      <c r="OWK3" s="4"/>
      <c r="OWL3" s="4"/>
      <c r="OWM3" s="4"/>
      <c r="OWN3" s="4"/>
      <c r="OWO3" s="4"/>
      <c r="OWP3" s="4"/>
      <c r="OWQ3" s="4"/>
      <c r="OWR3" s="4"/>
      <c r="OWS3" s="4"/>
      <c r="OWT3" s="4"/>
      <c r="OWU3" s="4"/>
      <c r="OWV3" s="4"/>
      <c r="OWW3" s="4"/>
      <c r="OWX3" s="4"/>
      <c r="OWY3" s="4"/>
      <c r="OWZ3" s="4"/>
      <c r="OXA3" s="4"/>
      <c r="OXB3" s="4"/>
      <c r="OXC3" s="4"/>
      <c r="OXD3" s="4"/>
      <c r="OXE3" s="4"/>
      <c r="OXF3" s="4"/>
      <c r="OXG3" s="4"/>
      <c r="OXH3" s="4"/>
      <c r="OXI3" s="4"/>
      <c r="OXJ3" s="4"/>
      <c r="OXK3" s="4"/>
      <c r="OXL3" s="4"/>
      <c r="OXM3" s="4"/>
      <c r="OXN3" s="4"/>
      <c r="OXO3" s="4"/>
      <c r="OXP3" s="4"/>
      <c r="OXQ3" s="4"/>
      <c r="OXR3" s="4"/>
      <c r="OXS3" s="4"/>
      <c r="OXT3" s="4"/>
      <c r="OXU3" s="4"/>
      <c r="OXV3" s="4"/>
      <c r="OXW3" s="4"/>
      <c r="OXX3" s="4"/>
      <c r="OXY3" s="4"/>
      <c r="OXZ3" s="4"/>
      <c r="OYA3" s="4"/>
      <c r="OYB3" s="4"/>
      <c r="OYC3" s="4"/>
      <c r="OYD3" s="4"/>
      <c r="OYE3" s="4"/>
      <c r="OYF3" s="4"/>
      <c r="OYG3" s="4"/>
      <c r="OYH3" s="4"/>
      <c r="OYI3" s="4"/>
      <c r="OYJ3" s="4"/>
      <c r="OYK3" s="4"/>
      <c r="OYL3" s="4"/>
      <c r="OYM3" s="4"/>
      <c r="OYN3" s="4"/>
      <c r="OYO3" s="4"/>
      <c r="OYP3" s="4"/>
      <c r="OYQ3" s="4"/>
      <c r="OYR3" s="4"/>
      <c r="OYS3" s="4"/>
      <c r="OYT3" s="4"/>
      <c r="OYU3" s="4"/>
      <c r="OYV3" s="4"/>
      <c r="OYW3" s="4"/>
      <c r="OYX3" s="4"/>
      <c r="OYY3" s="4"/>
      <c r="OYZ3" s="4"/>
      <c r="OZA3" s="4"/>
      <c r="OZB3" s="4"/>
      <c r="OZC3" s="4"/>
      <c r="OZD3" s="4"/>
      <c r="OZE3" s="4"/>
      <c r="OZF3" s="4"/>
      <c r="OZG3" s="4"/>
      <c r="OZH3" s="4"/>
      <c r="OZI3" s="4"/>
      <c r="OZJ3" s="4"/>
      <c r="OZK3" s="4"/>
      <c r="OZL3" s="4"/>
      <c r="OZM3" s="4"/>
      <c r="OZN3" s="4"/>
      <c r="OZO3" s="4"/>
      <c r="OZP3" s="4"/>
      <c r="OZQ3" s="4"/>
      <c r="OZR3" s="4"/>
      <c r="OZS3" s="4"/>
      <c r="OZT3" s="4"/>
      <c r="OZU3" s="4"/>
      <c r="OZV3" s="4"/>
      <c r="OZW3" s="4"/>
      <c r="OZX3" s="4"/>
      <c r="OZY3" s="4"/>
      <c r="OZZ3" s="4"/>
      <c r="PAA3" s="4"/>
      <c r="PAB3" s="4"/>
      <c r="PAC3" s="4"/>
      <c r="PAD3" s="4"/>
      <c r="PAE3" s="4"/>
      <c r="PAF3" s="4"/>
      <c r="PAG3" s="4"/>
      <c r="PAH3" s="4"/>
      <c r="PAI3" s="4"/>
      <c r="PAJ3" s="4"/>
      <c r="PAK3" s="4"/>
      <c r="PAL3" s="4"/>
      <c r="PAM3" s="4"/>
      <c r="PAN3" s="4"/>
      <c r="PAO3" s="4"/>
      <c r="PAP3" s="4"/>
      <c r="PAQ3" s="4"/>
      <c r="PAR3" s="4"/>
      <c r="PAS3" s="4"/>
      <c r="PAT3" s="4"/>
      <c r="PAU3" s="4"/>
      <c r="PAV3" s="4"/>
      <c r="PAW3" s="4"/>
      <c r="PAX3" s="4"/>
      <c r="PAY3" s="4"/>
      <c r="PAZ3" s="4"/>
      <c r="PBA3" s="4"/>
      <c r="PBB3" s="4"/>
      <c r="PBC3" s="4"/>
      <c r="PBD3" s="4"/>
      <c r="PBE3" s="4"/>
      <c r="PBF3" s="4"/>
      <c r="PBG3" s="4"/>
      <c r="PBH3" s="4"/>
      <c r="PBI3" s="4"/>
      <c r="PBJ3" s="4"/>
      <c r="PBK3" s="4"/>
      <c r="PBL3" s="4"/>
      <c r="PBM3" s="4"/>
      <c r="PBN3" s="4"/>
      <c r="PBO3" s="4"/>
      <c r="PBP3" s="4"/>
      <c r="PBQ3" s="4"/>
      <c r="PBR3" s="4"/>
      <c r="PBS3" s="4"/>
      <c r="PBT3" s="4"/>
      <c r="PBU3" s="4"/>
      <c r="PBV3" s="4"/>
      <c r="PBW3" s="4"/>
      <c r="PBX3" s="4"/>
      <c r="PBY3" s="4"/>
      <c r="PBZ3" s="4"/>
      <c r="PCA3" s="4"/>
      <c r="PCB3" s="4"/>
      <c r="PCC3" s="4"/>
      <c r="PCD3" s="4"/>
      <c r="PCE3" s="4"/>
      <c r="PCF3" s="4"/>
      <c r="PCG3" s="4"/>
      <c r="PCH3" s="4"/>
      <c r="PCI3" s="4"/>
      <c r="PCJ3" s="4"/>
      <c r="PCK3" s="4"/>
      <c r="PCL3" s="4"/>
      <c r="PCM3" s="4"/>
      <c r="PCN3" s="4"/>
      <c r="PCO3" s="4"/>
      <c r="PCP3" s="4"/>
      <c r="PCQ3" s="4"/>
      <c r="PCR3" s="4"/>
      <c r="PCS3" s="4"/>
      <c r="PCT3" s="4"/>
      <c r="PCU3" s="4"/>
      <c r="PCV3" s="4"/>
      <c r="PCW3" s="4"/>
      <c r="PCX3" s="4"/>
      <c r="PCY3" s="4"/>
      <c r="PCZ3" s="4"/>
      <c r="PDA3" s="4"/>
      <c r="PDB3" s="4"/>
      <c r="PDC3" s="4"/>
      <c r="PDD3" s="4"/>
      <c r="PDE3" s="4"/>
      <c r="PDF3" s="4"/>
      <c r="PDG3" s="4"/>
      <c r="PDH3" s="4"/>
      <c r="PDI3" s="4"/>
      <c r="PDJ3" s="4"/>
      <c r="PDK3" s="4"/>
      <c r="PDL3" s="4"/>
      <c r="PDM3" s="4"/>
      <c r="PDN3" s="4"/>
      <c r="PDO3" s="4"/>
      <c r="PDP3" s="4"/>
      <c r="PDQ3" s="4"/>
      <c r="PDR3" s="4"/>
      <c r="PDS3" s="4"/>
      <c r="PDT3" s="4"/>
      <c r="PDU3" s="4"/>
      <c r="PDV3" s="4"/>
      <c r="PDW3" s="4"/>
      <c r="PDX3" s="4"/>
      <c r="PDY3" s="4"/>
      <c r="PDZ3" s="4"/>
      <c r="PEA3" s="4"/>
      <c r="PEB3" s="4"/>
      <c r="PEC3" s="4"/>
      <c r="PED3" s="4"/>
      <c r="PEE3" s="4"/>
      <c r="PEF3" s="4"/>
      <c r="PEG3" s="4"/>
      <c r="PEH3" s="4"/>
      <c r="PEI3" s="4"/>
      <c r="PEJ3" s="4"/>
      <c r="PEK3" s="4"/>
      <c r="PEL3" s="4"/>
      <c r="PEM3" s="4"/>
      <c r="PEN3" s="4"/>
      <c r="PEO3" s="4"/>
      <c r="PEP3" s="4"/>
      <c r="PEQ3" s="4"/>
      <c r="PER3" s="4"/>
      <c r="PES3" s="4"/>
      <c r="PET3" s="4"/>
      <c r="PEU3" s="4"/>
      <c r="PEV3" s="4"/>
      <c r="PEW3" s="4"/>
      <c r="PEX3" s="4"/>
      <c r="PEY3" s="4"/>
      <c r="PEZ3" s="4"/>
      <c r="PFA3" s="4"/>
      <c r="PFB3" s="4"/>
      <c r="PFC3" s="4"/>
      <c r="PFD3" s="4"/>
      <c r="PFE3" s="4"/>
      <c r="PFF3" s="4"/>
      <c r="PFG3" s="4"/>
      <c r="PFH3" s="4"/>
      <c r="PFI3" s="4"/>
      <c r="PFJ3" s="4"/>
      <c r="PFK3" s="4"/>
      <c r="PFL3" s="4"/>
      <c r="PFM3" s="4"/>
      <c r="PFN3" s="4"/>
      <c r="PFO3" s="4"/>
      <c r="PFP3" s="4"/>
      <c r="PFQ3" s="4"/>
      <c r="PFR3" s="4"/>
      <c r="PFS3" s="4"/>
      <c r="PFT3" s="4"/>
      <c r="PFU3" s="4"/>
      <c r="PFV3" s="4"/>
      <c r="PFW3" s="4"/>
      <c r="PFX3" s="4"/>
      <c r="PFY3" s="4"/>
      <c r="PFZ3" s="4"/>
      <c r="PGA3" s="4"/>
      <c r="PGB3" s="4"/>
      <c r="PGC3" s="4"/>
      <c r="PGD3" s="4"/>
      <c r="PGE3" s="4"/>
      <c r="PGF3" s="4"/>
      <c r="PGG3" s="4"/>
      <c r="PGH3" s="4"/>
      <c r="PGI3" s="4"/>
      <c r="PGJ3" s="4"/>
      <c r="PGK3" s="4"/>
      <c r="PGL3" s="4"/>
      <c r="PGM3" s="4"/>
      <c r="PGN3" s="4"/>
      <c r="PGO3" s="4"/>
      <c r="PGP3" s="4"/>
      <c r="PGQ3" s="4"/>
      <c r="PGR3" s="4"/>
      <c r="PGS3" s="4"/>
      <c r="PGT3" s="4"/>
      <c r="PGU3" s="4"/>
      <c r="PGV3" s="4"/>
      <c r="PGW3" s="4"/>
      <c r="PGX3" s="4"/>
      <c r="PGY3" s="4"/>
      <c r="PGZ3" s="4"/>
      <c r="PHA3" s="4"/>
      <c r="PHB3" s="4"/>
      <c r="PHC3" s="4"/>
      <c r="PHD3" s="4"/>
      <c r="PHE3" s="4"/>
      <c r="PHF3" s="4"/>
      <c r="PHG3" s="4"/>
      <c r="PHH3" s="4"/>
      <c r="PHI3" s="4"/>
      <c r="PHJ3" s="4"/>
      <c r="PHK3" s="4"/>
      <c r="PHL3" s="4"/>
      <c r="PHM3" s="4"/>
      <c r="PHN3" s="4"/>
      <c r="PHO3" s="4"/>
      <c r="PHP3" s="4"/>
      <c r="PHQ3" s="4"/>
      <c r="PHR3" s="4"/>
      <c r="PHS3" s="4"/>
      <c r="PHT3" s="4"/>
      <c r="PHU3" s="4"/>
      <c r="PHV3" s="4"/>
      <c r="PHW3" s="4"/>
      <c r="PHX3" s="4"/>
      <c r="PHY3" s="4"/>
      <c r="PHZ3" s="4"/>
      <c r="PIA3" s="4"/>
      <c r="PIB3" s="4"/>
      <c r="PIC3" s="4"/>
      <c r="PID3" s="4"/>
      <c r="PIE3" s="4"/>
      <c r="PIF3" s="4"/>
      <c r="PIG3" s="4"/>
      <c r="PIH3" s="4"/>
      <c r="PII3" s="4"/>
      <c r="PIJ3" s="4"/>
      <c r="PIK3" s="4"/>
      <c r="PIL3" s="4"/>
      <c r="PIM3" s="4"/>
      <c r="PIN3" s="4"/>
      <c r="PIO3" s="4"/>
      <c r="PIP3" s="4"/>
      <c r="PIQ3" s="4"/>
      <c r="PIR3" s="4"/>
      <c r="PIS3" s="4"/>
      <c r="PIT3" s="4"/>
      <c r="PIU3" s="4"/>
      <c r="PIV3" s="4"/>
      <c r="PIW3" s="4"/>
      <c r="PIX3" s="4"/>
      <c r="PIY3" s="4"/>
      <c r="PIZ3" s="4"/>
      <c r="PJA3" s="4"/>
      <c r="PJB3" s="4"/>
      <c r="PJC3" s="4"/>
      <c r="PJD3" s="4"/>
      <c r="PJE3" s="4"/>
      <c r="PJF3" s="4"/>
      <c r="PJG3" s="4"/>
      <c r="PJH3" s="4"/>
      <c r="PJI3" s="4"/>
      <c r="PJJ3" s="4"/>
      <c r="PJK3" s="4"/>
      <c r="PJL3" s="4"/>
      <c r="PJM3" s="4"/>
      <c r="PJN3" s="4"/>
      <c r="PJO3" s="4"/>
      <c r="PJP3" s="4"/>
      <c r="PJQ3" s="4"/>
      <c r="PJR3" s="4"/>
      <c r="PJS3" s="4"/>
      <c r="PJT3" s="4"/>
      <c r="PJU3" s="4"/>
      <c r="PJV3" s="4"/>
      <c r="PJW3" s="4"/>
      <c r="PJX3" s="4"/>
      <c r="PJY3" s="4"/>
      <c r="PJZ3" s="4"/>
      <c r="PKA3" s="4"/>
      <c r="PKB3" s="4"/>
      <c r="PKC3" s="4"/>
      <c r="PKD3" s="4"/>
      <c r="PKE3" s="4"/>
      <c r="PKF3" s="4"/>
      <c r="PKG3" s="4"/>
      <c r="PKH3" s="4"/>
      <c r="PKI3" s="4"/>
      <c r="PKJ3" s="4"/>
      <c r="PKK3" s="4"/>
      <c r="PKL3" s="4"/>
      <c r="PKM3" s="4"/>
      <c r="PKN3" s="4"/>
      <c r="PKO3" s="4"/>
      <c r="PKP3" s="4"/>
      <c r="PKQ3" s="4"/>
      <c r="PKR3" s="4"/>
      <c r="PKS3" s="4"/>
      <c r="PKT3" s="4"/>
      <c r="PKU3" s="4"/>
      <c r="PKV3" s="4"/>
      <c r="PKW3" s="4"/>
      <c r="PKX3" s="4"/>
      <c r="PKY3" s="4"/>
      <c r="PKZ3" s="4"/>
      <c r="PLA3" s="4"/>
      <c r="PLB3" s="4"/>
      <c r="PLC3" s="4"/>
      <c r="PLD3" s="4"/>
      <c r="PLE3" s="4"/>
      <c r="PLF3" s="4"/>
      <c r="PLG3" s="4"/>
      <c r="PLH3" s="4"/>
      <c r="PLI3" s="4"/>
      <c r="PLJ3" s="4"/>
      <c r="PLK3" s="4"/>
      <c r="PLL3" s="4"/>
      <c r="PLM3" s="4"/>
      <c r="PLN3" s="4"/>
      <c r="PLO3" s="4"/>
      <c r="PLP3" s="4"/>
      <c r="PLQ3" s="4"/>
      <c r="PLR3" s="4"/>
      <c r="PLS3" s="4"/>
      <c r="PLT3" s="4"/>
      <c r="PLU3" s="4"/>
      <c r="PLV3" s="4"/>
      <c r="PLW3" s="4"/>
      <c r="PLX3" s="4"/>
      <c r="PLY3" s="4"/>
      <c r="PLZ3" s="4"/>
      <c r="PMA3" s="4"/>
      <c r="PMB3" s="4"/>
      <c r="PMC3" s="4"/>
      <c r="PMD3" s="4"/>
      <c r="PME3" s="4"/>
      <c r="PMF3" s="4"/>
      <c r="PMG3" s="4"/>
      <c r="PMH3" s="4"/>
      <c r="PMI3" s="4"/>
      <c r="PMJ3" s="4"/>
      <c r="PMK3" s="4"/>
      <c r="PML3" s="4"/>
      <c r="PMM3" s="4"/>
      <c r="PMN3" s="4"/>
      <c r="PMO3" s="4"/>
      <c r="PMP3" s="4"/>
      <c r="PMQ3" s="4"/>
      <c r="PMR3" s="4"/>
      <c r="PMS3" s="4"/>
      <c r="PMT3" s="4"/>
      <c r="PMU3" s="4"/>
      <c r="PMV3" s="4"/>
      <c r="PMW3" s="4"/>
      <c r="PMX3" s="4"/>
      <c r="PMY3" s="4"/>
      <c r="PMZ3" s="4"/>
      <c r="PNA3" s="4"/>
      <c r="PNB3" s="4"/>
      <c r="PNC3" s="4"/>
      <c r="PND3" s="4"/>
      <c r="PNE3" s="4"/>
      <c r="PNF3" s="4"/>
      <c r="PNG3" s="4"/>
      <c r="PNH3" s="4"/>
      <c r="PNI3" s="4"/>
      <c r="PNJ3" s="4"/>
      <c r="PNK3" s="4"/>
      <c r="PNL3" s="4"/>
      <c r="PNM3" s="4"/>
      <c r="PNN3" s="4"/>
      <c r="PNO3" s="4"/>
      <c r="PNP3" s="4"/>
      <c r="PNQ3" s="4"/>
      <c r="PNR3" s="4"/>
      <c r="PNS3" s="4"/>
      <c r="PNT3" s="4"/>
      <c r="PNU3" s="4"/>
      <c r="PNV3" s="4"/>
      <c r="PNW3" s="4"/>
      <c r="PNX3" s="4"/>
      <c r="PNY3" s="4"/>
      <c r="PNZ3" s="4"/>
      <c r="POA3" s="4"/>
      <c r="POB3" s="4"/>
      <c r="POC3" s="4"/>
      <c r="POD3" s="4"/>
      <c r="POE3" s="4"/>
      <c r="POF3" s="4"/>
      <c r="POG3" s="4"/>
      <c r="POH3" s="4"/>
      <c r="POI3" s="4"/>
      <c r="POJ3" s="4"/>
      <c r="POK3" s="4"/>
      <c r="POL3" s="4"/>
      <c r="POM3" s="4"/>
      <c r="PON3" s="4"/>
      <c r="POO3" s="4"/>
      <c r="POP3" s="4"/>
      <c r="POQ3" s="4"/>
      <c r="POR3" s="4"/>
      <c r="POS3" s="4"/>
      <c r="POT3" s="4"/>
      <c r="POU3" s="4"/>
      <c r="POV3" s="4"/>
      <c r="POW3" s="4"/>
      <c r="POX3" s="4"/>
      <c r="POY3" s="4"/>
      <c r="POZ3" s="4"/>
      <c r="PPA3" s="4"/>
      <c r="PPB3" s="4"/>
      <c r="PPC3" s="4"/>
      <c r="PPD3" s="4"/>
      <c r="PPE3" s="4"/>
      <c r="PPF3" s="4"/>
      <c r="PPG3" s="4"/>
      <c r="PPH3" s="4"/>
      <c r="PPI3" s="4"/>
      <c r="PPJ3" s="4"/>
      <c r="PPK3" s="4"/>
      <c r="PPL3" s="4"/>
      <c r="PPM3" s="4"/>
      <c r="PPN3" s="4"/>
      <c r="PPO3" s="4"/>
      <c r="PPP3" s="4"/>
      <c r="PPQ3" s="4"/>
      <c r="PPR3" s="4"/>
      <c r="PPS3" s="4"/>
      <c r="PPT3" s="4"/>
      <c r="PPU3" s="4"/>
      <c r="PPV3" s="4"/>
      <c r="PPW3" s="4"/>
      <c r="PPX3" s="4"/>
      <c r="PPY3" s="4"/>
      <c r="PPZ3" s="4"/>
      <c r="PQA3" s="4"/>
      <c r="PQB3" s="4"/>
      <c r="PQC3" s="4"/>
      <c r="PQD3" s="4"/>
      <c r="PQE3" s="4"/>
      <c r="PQF3" s="4"/>
      <c r="PQG3" s="4"/>
      <c r="PQH3" s="4"/>
      <c r="PQI3" s="4"/>
      <c r="PQJ3" s="4"/>
      <c r="PQK3" s="4"/>
      <c r="PQL3" s="4"/>
      <c r="PQM3" s="4"/>
      <c r="PQN3" s="4"/>
      <c r="PQO3" s="4"/>
      <c r="PQP3" s="4"/>
      <c r="PQQ3" s="4"/>
      <c r="PQR3" s="4"/>
      <c r="PQS3" s="4"/>
      <c r="PQT3" s="4"/>
      <c r="PQU3" s="4"/>
      <c r="PQV3" s="4"/>
      <c r="PQW3" s="4"/>
      <c r="PQX3" s="4"/>
      <c r="PQY3" s="4"/>
      <c r="PQZ3" s="4"/>
      <c r="PRA3" s="4"/>
      <c r="PRB3" s="4"/>
      <c r="PRC3" s="4"/>
      <c r="PRD3" s="4"/>
      <c r="PRE3" s="4"/>
      <c r="PRF3" s="4"/>
      <c r="PRG3" s="4"/>
      <c r="PRH3" s="4"/>
      <c r="PRI3" s="4"/>
      <c r="PRJ3" s="4"/>
      <c r="PRK3" s="4"/>
      <c r="PRL3" s="4"/>
      <c r="PRM3" s="4"/>
      <c r="PRN3" s="4"/>
      <c r="PRO3" s="4"/>
      <c r="PRP3" s="4"/>
      <c r="PRQ3" s="4"/>
      <c r="PRR3" s="4"/>
      <c r="PRS3" s="4"/>
      <c r="PRT3" s="4"/>
      <c r="PRU3" s="4"/>
      <c r="PRV3" s="4"/>
      <c r="PRW3" s="4"/>
      <c r="PRX3" s="4"/>
      <c r="PRY3" s="4"/>
      <c r="PRZ3" s="4"/>
      <c r="PSA3" s="4"/>
      <c r="PSB3" s="4"/>
      <c r="PSC3" s="4"/>
      <c r="PSD3" s="4"/>
      <c r="PSE3" s="4"/>
      <c r="PSF3" s="4"/>
      <c r="PSG3" s="4"/>
      <c r="PSH3" s="4"/>
      <c r="PSI3" s="4"/>
      <c r="PSJ3" s="4"/>
      <c r="PSK3" s="4"/>
      <c r="PSL3" s="4"/>
      <c r="PSM3" s="4"/>
      <c r="PSN3" s="4"/>
      <c r="PSO3" s="4"/>
      <c r="PSP3" s="4"/>
      <c r="PSQ3" s="4"/>
      <c r="PSR3" s="4"/>
      <c r="PSS3" s="4"/>
      <c r="PST3" s="4"/>
      <c r="PSU3" s="4"/>
      <c r="PSV3" s="4"/>
      <c r="PSW3" s="4"/>
      <c r="PSX3" s="4"/>
      <c r="PSY3" s="4"/>
      <c r="PSZ3" s="4"/>
      <c r="PTA3" s="4"/>
      <c r="PTB3" s="4"/>
      <c r="PTC3" s="4"/>
      <c r="PTD3" s="4"/>
      <c r="PTE3" s="4"/>
      <c r="PTF3" s="4"/>
      <c r="PTG3" s="4"/>
      <c r="PTH3" s="4"/>
      <c r="PTI3" s="4"/>
      <c r="PTJ3" s="4"/>
      <c r="PTK3" s="4"/>
      <c r="PTL3" s="4"/>
      <c r="PTM3" s="4"/>
      <c r="PTN3" s="4"/>
      <c r="PTO3" s="4"/>
      <c r="PTP3" s="4"/>
      <c r="PTQ3" s="4"/>
      <c r="PTR3" s="4"/>
      <c r="PTS3" s="4"/>
      <c r="PTT3" s="4"/>
      <c r="PTU3" s="4"/>
      <c r="PTV3" s="4"/>
      <c r="PTW3" s="4"/>
      <c r="PTX3" s="4"/>
      <c r="PTY3" s="4"/>
      <c r="PTZ3" s="4"/>
      <c r="PUA3" s="4"/>
      <c r="PUB3" s="4"/>
      <c r="PUC3" s="4"/>
      <c r="PUD3" s="4"/>
      <c r="PUE3" s="4"/>
      <c r="PUF3" s="4"/>
      <c r="PUG3" s="4"/>
      <c r="PUH3" s="4"/>
      <c r="PUI3" s="4"/>
      <c r="PUJ3" s="4"/>
      <c r="PUK3" s="4"/>
      <c r="PUL3" s="4"/>
      <c r="PUM3" s="4"/>
      <c r="PUN3" s="4"/>
      <c r="PUO3" s="4"/>
      <c r="PUP3" s="4"/>
      <c r="PUQ3" s="4"/>
      <c r="PUR3" s="4"/>
      <c r="PUS3" s="4"/>
      <c r="PUT3" s="4"/>
      <c r="PUU3" s="4"/>
      <c r="PUV3" s="4"/>
      <c r="PUW3" s="4"/>
      <c r="PUX3" s="4"/>
      <c r="PUY3" s="4"/>
      <c r="PUZ3" s="4"/>
      <c r="PVA3" s="4"/>
      <c r="PVB3" s="4"/>
      <c r="PVC3" s="4"/>
      <c r="PVD3" s="4"/>
      <c r="PVE3" s="4"/>
      <c r="PVF3" s="4"/>
      <c r="PVG3" s="4"/>
      <c r="PVH3" s="4"/>
      <c r="PVI3" s="4"/>
      <c r="PVJ3" s="4"/>
      <c r="PVK3" s="4"/>
      <c r="PVL3" s="4"/>
      <c r="PVM3" s="4"/>
      <c r="PVN3" s="4"/>
      <c r="PVO3" s="4"/>
      <c r="PVP3" s="4"/>
      <c r="PVQ3" s="4"/>
      <c r="PVR3" s="4"/>
      <c r="PVS3" s="4"/>
      <c r="PVT3" s="4"/>
      <c r="PVU3" s="4"/>
      <c r="PVV3" s="4"/>
      <c r="PVW3" s="4"/>
      <c r="PVX3" s="4"/>
      <c r="PVY3" s="4"/>
      <c r="PVZ3" s="4"/>
      <c r="PWA3" s="4"/>
      <c r="PWB3" s="4"/>
      <c r="PWC3" s="4"/>
      <c r="PWD3" s="4"/>
      <c r="PWE3" s="4"/>
      <c r="PWF3" s="4"/>
      <c r="PWG3" s="4"/>
      <c r="PWH3" s="4"/>
      <c r="PWI3" s="4"/>
      <c r="PWJ3" s="4"/>
      <c r="PWK3" s="4"/>
      <c r="PWL3" s="4"/>
      <c r="PWM3" s="4"/>
      <c r="PWN3" s="4"/>
      <c r="PWO3" s="4"/>
      <c r="PWP3" s="4"/>
      <c r="PWQ3" s="4"/>
      <c r="PWR3" s="4"/>
      <c r="PWS3" s="4"/>
      <c r="PWT3" s="4"/>
      <c r="PWU3" s="4"/>
      <c r="PWV3" s="4"/>
      <c r="PWW3" s="4"/>
      <c r="PWX3" s="4"/>
      <c r="PWY3" s="4"/>
      <c r="PWZ3" s="4"/>
      <c r="PXA3" s="4"/>
      <c r="PXB3" s="4"/>
      <c r="PXC3" s="4"/>
      <c r="PXD3" s="4"/>
      <c r="PXE3" s="4"/>
      <c r="PXF3" s="4"/>
      <c r="PXG3" s="4"/>
      <c r="PXH3" s="4"/>
      <c r="PXI3" s="4"/>
      <c r="PXJ3" s="4"/>
      <c r="PXK3" s="4"/>
      <c r="PXL3" s="4"/>
      <c r="PXM3" s="4"/>
      <c r="PXN3" s="4"/>
      <c r="PXO3" s="4"/>
      <c r="PXP3" s="4"/>
      <c r="PXQ3" s="4"/>
      <c r="PXR3" s="4"/>
      <c r="PXS3" s="4"/>
      <c r="PXT3" s="4"/>
      <c r="PXU3" s="4"/>
      <c r="PXV3" s="4"/>
      <c r="PXW3" s="4"/>
      <c r="PXX3" s="4"/>
      <c r="PXY3" s="4"/>
      <c r="PXZ3" s="4"/>
      <c r="PYA3" s="4"/>
      <c r="PYB3" s="4"/>
      <c r="PYC3" s="4"/>
      <c r="PYD3" s="4"/>
      <c r="PYE3" s="4"/>
      <c r="PYF3" s="4"/>
      <c r="PYG3" s="4"/>
      <c r="PYH3" s="4"/>
      <c r="PYI3" s="4"/>
      <c r="PYJ3" s="4"/>
      <c r="PYK3" s="4"/>
      <c r="PYL3" s="4"/>
      <c r="PYM3" s="4"/>
      <c r="PYN3" s="4"/>
      <c r="PYO3" s="4"/>
      <c r="PYP3" s="4"/>
      <c r="PYQ3" s="4"/>
      <c r="PYR3" s="4"/>
      <c r="PYS3" s="4"/>
      <c r="PYT3" s="4"/>
      <c r="PYU3" s="4"/>
      <c r="PYV3" s="4"/>
      <c r="PYW3" s="4"/>
      <c r="PYX3" s="4"/>
      <c r="PYY3" s="4"/>
      <c r="PYZ3" s="4"/>
      <c r="PZA3" s="4"/>
      <c r="PZB3" s="4"/>
      <c r="PZC3" s="4"/>
      <c r="PZD3" s="4"/>
      <c r="PZE3" s="4"/>
      <c r="PZF3" s="4"/>
      <c r="PZG3" s="4"/>
      <c r="PZH3" s="4"/>
      <c r="PZI3" s="4"/>
      <c r="PZJ3" s="4"/>
      <c r="PZK3" s="4"/>
      <c r="PZL3" s="4"/>
      <c r="PZM3" s="4"/>
      <c r="PZN3" s="4"/>
      <c r="PZO3" s="4"/>
      <c r="PZP3" s="4"/>
      <c r="PZQ3" s="4"/>
      <c r="PZR3" s="4"/>
      <c r="PZS3" s="4"/>
      <c r="PZT3" s="4"/>
      <c r="PZU3" s="4"/>
      <c r="PZV3" s="4"/>
      <c r="PZW3" s="4"/>
      <c r="PZX3" s="4"/>
      <c r="PZY3" s="4"/>
      <c r="PZZ3" s="4"/>
      <c r="QAA3" s="4"/>
      <c r="QAB3" s="4"/>
      <c r="QAC3" s="4"/>
      <c r="QAD3" s="4"/>
      <c r="QAE3" s="4"/>
      <c r="QAF3" s="4"/>
      <c r="QAG3" s="4"/>
      <c r="QAH3" s="4"/>
      <c r="QAI3" s="4"/>
      <c r="QAJ3" s="4"/>
      <c r="QAK3" s="4"/>
      <c r="QAL3" s="4"/>
      <c r="QAM3" s="4"/>
      <c r="QAN3" s="4"/>
      <c r="QAO3" s="4"/>
      <c r="QAP3" s="4"/>
      <c r="QAQ3" s="4"/>
      <c r="QAR3" s="4"/>
      <c r="QAS3" s="4"/>
      <c r="QAT3" s="4"/>
      <c r="QAU3" s="4"/>
      <c r="QAV3" s="4"/>
      <c r="QAW3" s="4"/>
      <c r="QAX3" s="4"/>
      <c r="QAY3" s="4"/>
      <c r="QAZ3" s="4"/>
      <c r="QBA3" s="4"/>
      <c r="QBB3" s="4"/>
      <c r="QBC3" s="4"/>
      <c r="QBD3" s="4"/>
      <c r="QBE3" s="4"/>
      <c r="QBF3" s="4"/>
      <c r="QBG3" s="4"/>
      <c r="QBH3" s="4"/>
      <c r="QBI3" s="4"/>
      <c r="QBJ3" s="4"/>
      <c r="QBK3" s="4"/>
      <c r="QBL3" s="4"/>
      <c r="QBM3" s="4"/>
      <c r="QBN3" s="4"/>
      <c r="QBO3" s="4"/>
      <c r="QBP3" s="4"/>
      <c r="QBQ3" s="4"/>
      <c r="QBR3" s="4"/>
      <c r="QBS3" s="4"/>
      <c r="QBT3" s="4"/>
      <c r="QBU3" s="4"/>
      <c r="QBV3" s="4"/>
      <c r="QBW3" s="4"/>
      <c r="QBX3" s="4"/>
      <c r="QBY3" s="4"/>
      <c r="QBZ3" s="4"/>
      <c r="QCA3" s="4"/>
      <c r="QCB3" s="4"/>
      <c r="QCC3" s="4"/>
      <c r="QCD3" s="4"/>
      <c r="QCE3" s="4"/>
      <c r="QCF3" s="4"/>
      <c r="QCG3" s="4"/>
      <c r="QCH3" s="4"/>
      <c r="QCI3" s="4"/>
      <c r="QCJ3" s="4"/>
      <c r="QCK3" s="4"/>
      <c r="QCL3" s="4"/>
      <c r="QCM3" s="4"/>
      <c r="QCN3" s="4"/>
      <c r="QCO3" s="4"/>
      <c r="QCP3" s="4"/>
      <c r="QCQ3" s="4"/>
      <c r="QCR3" s="4"/>
      <c r="QCS3" s="4"/>
      <c r="QCT3" s="4"/>
      <c r="QCU3" s="4"/>
      <c r="QCV3" s="4"/>
      <c r="QCW3" s="4"/>
      <c r="QCX3" s="4"/>
      <c r="QCY3" s="4"/>
      <c r="QCZ3" s="4"/>
      <c r="QDA3" s="4"/>
      <c r="QDB3" s="4"/>
      <c r="QDC3" s="4"/>
      <c r="QDD3" s="4"/>
      <c r="QDE3" s="4"/>
      <c r="QDF3" s="4"/>
      <c r="QDG3" s="4"/>
      <c r="QDH3" s="4"/>
      <c r="QDI3" s="4"/>
      <c r="QDJ3" s="4"/>
      <c r="QDK3" s="4"/>
      <c r="QDL3" s="4"/>
      <c r="QDM3" s="4"/>
      <c r="QDN3" s="4"/>
      <c r="QDO3" s="4"/>
      <c r="QDP3" s="4"/>
      <c r="QDQ3" s="4"/>
      <c r="QDR3" s="4"/>
      <c r="QDS3" s="4"/>
      <c r="QDT3" s="4"/>
      <c r="QDU3" s="4"/>
      <c r="QDV3" s="4"/>
      <c r="QDW3" s="4"/>
      <c r="QDX3" s="4"/>
      <c r="QDY3" s="4"/>
      <c r="QDZ3" s="4"/>
      <c r="QEA3" s="4"/>
      <c r="QEB3" s="4"/>
      <c r="QEC3" s="4"/>
      <c r="QED3" s="4"/>
      <c r="QEE3" s="4"/>
      <c r="QEF3" s="4"/>
      <c r="QEG3" s="4"/>
      <c r="QEH3" s="4"/>
      <c r="QEI3" s="4"/>
      <c r="QEJ3" s="4"/>
      <c r="QEK3" s="4"/>
      <c r="QEL3" s="4"/>
      <c r="QEM3" s="4"/>
      <c r="QEN3" s="4"/>
      <c r="QEO3" s="4"/>
      <c r="QEP3" s="4"/>
      <c r="QEQ3" s="4"/>
      <c r="QER3" s="4"/>
      <c r="QES3" s="4"/>
      <c r="QET3" s="4"/>
      <c r="QEU3" s="4"/>
      <c r="QEV3" s="4"/>
      <c r="QEW3" s="4"/>
      <c r="QEX3" s="4"/>
      <c r="QEY3" s="4"/>
      <c r="QEZ3" s="4"/>
      <c r="QFA3" s="4"/>
      <c r="QFB3" s="4"/>
      <c r="QFC3" s="4"/>
      <c r="QFD3" s="4"/>
      <c r="QFE3" s="4"/>
      <c r="QFF3" s="4"/>
      <c r="QFG3" s="4"/>
      <c r="QFH3" s="4"/>
      <c r="QFI3" s="4"/>
      <c r="QFJ3" s="4"/>
      <c r="QFK3" s="4"/>
      <c r="QFL3" s="4"/>
      <c r="QFM3" s="4"/>
      <c r="QFN3" s="4"/>
      <c r="QFO3" s="4"/>
      <c r="QFP3" s="4"/>
      <c r="QFQ3" s="4"/>
      <c r="QFR3" s="4"/>
      <c r="QFS3" s="4"/>
      <c r="QFT3" s="4"/>
      <c r="QFU3" s="4"/>
      <c r="QFV3" s="4"/>
      <c r="QFW3" s="4"/>
      <c r="QFX3" s="4"/>
      <c r="QFY3" s="4"/>
      <c r="QFZ3" s="4"/>
      <c r="QGA3" s="4"/>
      <c r="QGB3" s="4"/>
      <c r="QGC3" s="4"/>
      <c r="QGD3" s="4"/>
      <c r="QGE3" s="4"/>
      <c r="QGF3" s="4"/>
      <c r="QGG3" s="4"/>
      <c r="QGH3" s="4"/>
      <c r="QGI3" s="4"/>
      <c r="QGJ3" s="4"/>
      <c r="QGK3" s="4"/>
      <c r="QGL3" s="4"/>
      <c r="QGM3" s="4"/>
      <c r="QGN3" s="4"/>
      <c r="QGO3" s="4"/>
      <c r="QGP3" s="4"/>
      <c r="QGQ3" s="4"/>
      <c r="QGR3" s="4"/>
      <c r="QGS3" s="4"/>
      <c r="QGT3" s="4"/>
      <c r="QGU3" s="4"/>
      <c r="QGV3" s="4"/>
      <c r="QGW3" s="4"/>
      <c r="QGX3" s="4"/>
      <c r="QGY3" s="4"/>
      <c r="QGZ3" s="4"/>
      <c r="QHA3" s="4"/>
      <c r="QHB3" s="4"/>
      <c r="QHC3" s="4"/>
      <c r="QHD3" s="4"/>
      <c r="QHE3" s="4"/>
      <c r="QHF3" s="4"/>
      <c r="QHG3" s="4"/>
      <c r="QHH3" s="4"/>
      <c r="QHI3" s="4"/>
      <c r="QHJ3" s="4"/>
      <c r="QHK3" s="4"/>
      <c r="QHL3" s="4"/>
      <c r="QHM3" s="4"/>
      <c r="QHN3" s="4"/>
      <c r="QHO3" s="4"/>
      <c r="QHP3" s="4"/>
      <c r="QHQ3" s="4"/>
      <c r="QHR3" s="4"/>
      <c r="QHS3" s="4"/>
      <c r="QHT3" s="4"/>
      <c r="QHU3" s="4"/>
      <c r="QHV3" s="4"/>
      <c r="QHW3" s="4"/>
      <c r="QHX3" s="4"/>
      <c r="QHY3" s="4"/>
      <c r="QHZ3" s="4"/>
      <c r="QIA3" s="4"/>
      <c r="QIB3" s="4"/>
      <c r="QIC3" s="4"/>
      <c r="QID3" s="4"/>
      <c r="QIE3" s="4"/>
      <c r="QIF3" s="4"/>
      <c r="QIG3" s="4"/>
      <c r="QIH3" s="4"/>
      <c r="QII3" s="4"/>
      <c r="QIJ3" s="4"/>
      <c r="QIK3" s="4"/>
      <c r="QIL3" s="4"/>
      <c r="QIM3" s="4"/>
      <c r="QIN3" s="4"/>
      <c r="QIO3" s="4"/>
      <c r="QIP3" s="4"/>
      <c r="QIQ3" s="4"/>
      <c r="QIR3" s="4"/>
      <c r="QIS3" s="4"/>
      <c r="QIT3" s="4"/>
      <c r="QIU3" s="4"/>
      <c r="QIV3" s="4"/>
      <c r="QIW3" s="4"/>
      <c r="QIX3" s="4"/>
      <c r="QIY3" s="4"/>
      <c r="QIZ3" s="4"/>
      <c r="QJA3" s="4"/>
      <c r="QJB3" s="4"/>
      <c r="QJC3" s="4"/>
      <c r="QJD3" s="4"/>
      <c r="QJE3" s="4"/>
      <c r="QJF3" s="4"/>
      <c r="QJG3" s="4"/>
      <c r="QJH3" s="4"/>
      <c r="QJI3" s="4"/>
      <c r="QJJ3" s="4"/>
      <c r="QJK3" s="4"/>
      <c r="QJL3" s="4"/>
      <c r="QJM3" s="4"/>
      <c r="QJN3" s="4"/>
      <c r="QJO3" s="4"/>
      <c r="QJP3" s="4"/>
      <c r="QJQ3" s="4"/>
      <c r="QJR3" s="4"/>
      <c r="QJS3" s="4"/>
      <c r="QJT3" s="4"/>
      <c r="QJU3" s="4"/>
      <c r="QJV3" s="4"/>
      <c r="QJW3" s="4"/>
      <c r="QJX3" s="4"/>
      <c r="QJY3" s="4"/>
      <c r="QJZ3" s="4"/>
      <c r="QKA3" s="4"/>
      <c r="QKB3" s="4"/>
      <c r="QKC3" s="4"/>
      <c r="QKD3" s="4"/>
      <c r="QKE3" s="4"/>
      <c r="QKF3" s="4"/>
      <c r="QKG3" s="4"/>
      <c r="QKH3" s="4"/>
      <c r="QKI3" s="4"/>
      <c r="QKJ3" s="4"/>
      <c r="QKK3" s="4"/>
      <c r="QKL3" s="4"/>
      <c r="QKM3" s="4"/>
      <c r="QKN3" s="4"/>
      <c r="QKO3" s="4"/>
      <c r="QKP3" s="4"/>
      <c r="QKQ3" s="4"/>
      <c r="QKR3" s="4"/>
      <c r="QKS3" s="4"/>
      <c r="QKT3" s="4"/>
      <c r="QKU3" s="4"/>
      <c r="QKV3" s="4"/>
      <c r="QKW3" s="4"/>
      <c r="QKX3" s="4"/>
      <c r="QKY3" s="4"/>
      <c r="QKZ3" s="4"/>
      <c r="QLA3" s="4"/>
      <c r="QLB3" s="4"/>
      <c r="QLC3" s="4"/>
      <c r="QLD3" s="4"/>
      <c r="QLE3" s="4"/>
      <c r="QLF3" s="4"/>
      <c r="QLG3" s="4"/>
      <c r="QLH3" s="4"/>
      <c r="QLI3" s="4"/>
      <c r="QLJ3" s="4"/>
      <c r="QLK3" s="4"/>
      <c r="QLL3" s="4"/>
      <c r="QLM3" s="4"/>
      <c r="QLN3" s="4"/>
      <c r="QLO3" s="4"/>
      <c r="QLP3" s="4"/>
      <c r="QLQ3" s="4"/>
      <c r="QLR3" s="4"/>
      <c r="QLS3" s="4"/>
      <c r="QLT3" s="4"/>
      <c r="QLU3" s="4"/>
      <c r="QLV3" s="4"/>
      <c r="QLW3" s="4"/>
      <c r="QLX3" s="4"/>
      <c r="QLY3" s="4"/>
      <c r="QLZ3" s="4"/>
      <c r="QMA3" s="4"/>
      <c r="QMB3" s="4"/>
      <c r="QMC3" s="4"/>
      <c r="QMD3" s="4"/>
      <c r="QME3" s="4"/>
      <c r="QMF3" s="4"/>
      <c r="QMG3" s="4"/>
      <c r="QMH3" s="4"/>
      <c r="QMI3" s="4"/>
      <c r="QMJ3" s="4"/>
      <c r="QMK3" s="4"/>
      <c r="QML3" s="4"/>
      <c r="QMM3" s="4"/>
      <c r="QMN3" s="4"/>
      <c r="QMO3" s="4"/>
      <c r="QMP3" s="4"/>
      <c r="QMQ3" s="4"/>
      <c r="QMR3" s="4"/>
      <c r="QMS3" s="4"/>
      <c r="QMT3" s="4"/>
      <c r="QMU3" s="4"/>
      <c r="QMV3" s="4"/>
      <c r="QMW3" s="4"/>
      <c r="QMX3" s="4"/>
      <c r="QMY3" s="4"/>
      <c r="QMZ3" s="4"/>
      <c r="QNA3" s="4"/>
      <c r="QNB3" s="4"/>
      <c r="QNC3" s="4"/>
      <c r="QND3" s="4"/>
      <c r="QNE3" s="4"/>
      <c r="QNF3" s="4"/>
      <c r="QNG3" s="4"/>
      <c r="QNH3" s="4"/>
      <c r="QNI3" s="4"/>
      <c r="QNJ3" s="4"/>
      <c r="QNK3" s="4"/>
      <c r="QNL3" s="4"/>
      <c r="QNM3" s="4"/>
      <c r="QNN3" s="4"/>
      <c r="QNO3" s="4"/>
      <c r="QNP3" s="4"/>
      <c r="QNQ3" s="4"/>
      <c r="QNR3" s="4"/>
      <c r="QNS3" s="4"/>
      <c r="QNT3" s="4"/>
      <c r="QNU3" s="4"/>
      <c r="QNV3" s="4"/>
      <c r="QNW3" s="4"/>
      <c r="QNX3" s="4"/>
      <c r="QNY3" s="4"/>
      <c r="QNZ3" s="4"/>
      <c r="QOA3" s="4"/>
      <c r="QOB3" s="4"/>
      <c r="QOC3" s="4"/>
      <c r="QOD3" s="4"/>
      <c r="QOE3" s="4"/>
      <c r="QOF3" s="4"/>
      <c r="QOG3" s="4"/>
      <c r="QOH3" s="4"/>
      <c r="QOI3" s="4"/>
      <c r="QOJ3" s="4"/>
      <c r="QOK3" s="4"/>
      <c r="QOL3" s="4"/>
      <c r="QOM3" s="4"/>
      <c r="QON3" s="4"/>
      <c r="QOO3" s="4"/>
      <c r="QOP3" s="4"/>
      <c r="QOQ3" s="4"/>
      <c r="QOR3" s="4"/>
      <c r="QOS3" s="4"/>
      <c r="QOT3" s="4"/>
      <c r="QOU3" s="4"/>
      <c r="QOV3" s="4"/>
      <c r="QOW3" s="4"/>
      <c r="QOX3" s="4"/>
      <c r="QOY3" s="4"/>
      <c r="QOZ3" s="4"/>
      <c r="QPA3" s="4"/>
      <c r="QPB3" s="4"/>
      <c r="QPC3" s="4"/>
      <c r="QPD3" s="4"/>
      <c r="QPE3" s="4"/>
      <c r="QPF3" s="4"/>
      <c r="QPG3" s="4"/>
      <c r="QPH3" s="4"/>
      <c r="QPI3" s="4"/>
      <c r="QPJ3" s="4"/>
      <c r="QPK3" s="4"/>
      <c r="QPL3" s="4"/>
      <c r="QPM3" s="4"/>
      <c r="QPN3" s="4"/>
      <c r="QPO3" s="4"/>
      <c r="QPP3" s="4"/>
      <c r="QPQ3" s="4"/>
      <c r="QPR3" s="4"/>
      <c r="QPS3" s="4"/>
      <c r="QPT3" s="4"/>
      <c r="QPU3" s="4"/>
      <c r="QPV3" s="4"/>
      <c r="QPW3" s="4"/>
      <c r="QPX3" s="4"/>
      <c r="QPY3" s="4"/>
      <c r="QPZ3" s="4"/>
      <c r="QQA3" s="4"/>
      <c r="QQB3" s="4"/>
      <c r="QQC3" s="4"/>
      <c r="QQD3" s="4"/>
      <c r="QQE3" s="4"/>
      <c r="QQF3" s="4"/>
      <c r="QQG3" s="4"/>
      <c r="QQH3" s="4"/>
      <c r="QQI3" s="4"/>
      <c r="QQJ3" s="4"/>
      <c r="QQK3" s="4"/>
      <c r="QQL3" s="4"/>
      <c r="QQM3" s="4"/>
      <c r="QQN3" s="4"/>
      <c r="QQO3" s="4"/>
      <c r="QQP3" s="4"/>
      <c r="QQQ3" s="4"/>
      <c r="QQR3" s="4"/>
      <c r="QQS3" s="4"/>
      <c r="QQT3" s="4"/>
      <c r="QQU3" s="4"/>
      <c r="QQV3" s="4"/>
      <c r="QQW3" s="4"/>
      <c r="QQX3" s="4"/>
      <c r="QQY3" s="4"/>
      <c r="QQZ3" s="4"/>
      <c r="QRA3" s="4"/>
      <c r="QRB3" s="4"/>
      <c r="QRC3" s="4"/>
      <c r="QRD3" s="4"/>
      <c r="QRE3" s="4"/>
      <c r="QRF3" s="4"/>
      <c r="QRG3" s="4"/>
      <c r="QRH3" s="4"/>
      <c r="QRI3" s="4"/>
      <c r="QRJ3" s="4"/>
      <c r="QRK3" s="4"/>
      <c r="QRL3" s="4"/>
      <c r="QRM3" s="4"/>
      <c r="QRN3" s="4"/>
      <c r="QRO3" s="4"/>
      <c r="QRP3" s="4"/>
      <c r="QRQ3" s="4"/>
      <c r="QRR3" s="4"/>
      <c r="QRS3" s="4"/>
      <c r="QRT3" s="4"/>
      <c r="QRU3" s="4"/>
      <c r="QRV3" s="4"/>
      <c r="QRW3" s="4"/>
      <c r="QRX3" s="4"/>
      <c r="QRY3" s="4"/>
      <c r="QRZ3" s="4"/>
      <c r="QSA3" s="4"/>
      <c r="QSB3" s="4"/>
      <c r="QSC3" s="4"/>
      <c r="QSD3" s="4"/>
      <c r="QSE3" s="4"/>
      <c r="QSF3" s="4"/>
      <c r="QSG3" s="4"/>
      <c r="QSH3" s="4"/>
      <c r="QSI3" s="4"/>
      <c r="QSJ3" s="4"/>
      <c r="QSK3" s="4"/>
      <c r="QSL3" s="4"/>
      <c r="QSM3" s="4"/>
      <c r="QSN3" s="4"/>
      <c r="QSO3" s="4"/>
      <c r="QSP3" s="4"/>
      <c r="QSQ3" s="4"/>
      <c r="QSR3" s="4"/>
      <c r="QSS3" s="4"/>
      <c r="QST3" s="4"/>
      <c r="QSU3" s="4"/>
      <c r="QSV3" s="4"/>
      <c r="QSW3" s="4"/>
      <c r="QSX3" s="4"/>
      <c r="QSY3" s="4"/>
      <c r="QSZ3" s="4"/>
      <c r="QTA3" s="4"/>
      <c r="QTB3" s="4"/>
      <c r="QTC3" s="4"/>
      <c r="QTD3" s="4"/>
      <c r="QTE3" s="4"/>
      <c r="QTF3" s="4"/>
      <c r="QTG3" s="4"/>
      <c r="QTH3" s="4"/>
      <c r="QTI3" s="4"/>
      <c r="QTJ3" s="4"/>
      <c r="QTK3" s="4"/>
      <c r="QTL3" s="4"/>
      <c r="QTM3" s="4"/>
      <c r="QTN3" s="4"/>
      <c r="QTO3" s="4"/>
      <c r="QTP3" s="4"/>
      <c r="QTQ3" s="4"/>
      <c r="QTR3" s="4"/>
      <c r="QTS3" s="4"/>
      <c r="QTT3" s="4"/>
      <c r="QTU3" s="4"/>
      <c r="QTV3" s="4"/>
      <c r="QTW3" s="4"/>
      <c r="QTX3" s="4"/>
      <c r="QTY3" s="4"/>
      <c r="QTZ3" s="4"/>
      <c r="QUA3" s="4"/>
      <c r="QUB3" s="4"/>
      <c r="QUC3" s="4"/>
      <c r="QUD3" s="4"/>
      <c r="QUE3" s="4"/>
      <c r="QUF3" s="4"/>
      <c r="QUG3" s="4"/>
      <c r="QUH3" s="4"/>
      <c r="QUI3" s="4"/>
      <c r="QUJ3" s="4"/>
      <c r="QUK3" s="4"/>
      <c r="QUL3" s="4"/>
      <c r="QUM3" s="4"/>
      <c r="QUN3" s="4"/>
      <c r="QUO3" s="4"/>
      <c r="QUP3" s="4"/>
      <c r="QUQ3" s="4"/>
      <c r="QUR3" s="4"/>
      <c r="QUS3" s="4"/>
      <c r="QUT3" s="4"/>
      <c r="QUU3" s="4"/>
      <c r="QUV3" s="4"/>
      <c r="QUW3" s="4"/>
      <c r="QUX3" s="4"/>
      <c r="QUY3" s="4"/>
      <c r="QUZ3" s="4"/>
      <c r="QVA3" s="4"/>
      <c r="QVB3" s="4"/>
      <c r="QVC3" s="4"/>
      <c r="QVD3" s="4"/>
      <c r="QVE3" s="4"/>
      <c r="QVF3" s="4"/>
      <c r="QVG3" s="4"/>
      <c r="QVH3" s="4"/>
      <c r="QVI3" s="4"/>
      <c r="QVJ3" s="4"/>
      <c r="QVK3" s="4"/>
      <c r="QVL3" s="4"/>
      <c r="QVM3" s="4"/>
      <c r="QVN3" s="4"/>
      <c r="QVO3" s="4"/>
      <c r="QVP3" s="4"/>
      <c r="QVQ3" s="4"/>
      <c r="QVR3" s="4"/>
      <c r="QVS3" s="4"/>
      <c r="QVT3" s="4"/>
      <c r="QVU3" s="4"/>
      <c r="QVV3" s="4"/>
      <c r="QVW3" s="4"/>
      <c r="QVX3" s="4"/>
      <c r="QVY3" s="4"/>
      <c r="QVZ3" s="4"/>
      <c r="QWA3" s="4"/>
      <c r="QWB3" s="4"/>
      <c r="QWC3" s="4"/>
      <c r="QWD3" s="4"/>
      <c r="QWE3" s="4"/>
      <c r="QWF3" s="4"/>
      <c r="QWG3" s="4"/>
      <c r="QWH3" s="4"/>
      <c r="QWI3" s="4"/>
      <c r="QWJ3" s="4"/>
      <c r="QWK3" s="4"/>
      <c r="QWL3" s="4"/>
      <c r="QWM3" s="4"/>
      <c r="QWN3" s="4"/>
      <c r="QWO3" s="4"/>
      <c r="QWP3" s="4"/>
      <c r="QWQ3" s="4"/>
      <c r="QWR3" s="4"/>
      <c r="QWS3" s="4"/>
      <c r="QWT3" s="4"/>
      <c r="QWU3" s="4"/>
      <c r="QWV3" s="4"/>
      <c r="QWW3" s="4"/>
      <c r="QWX3" s="4"/>
      <c r="QWY3" s="4"/>
      <c r="QWZ3" s="4"/>
      <c r="QXA3" s="4"/>
      <c r="QXB3" s="4"/>
      <c r="QXC3" s="4"/>
      <c r="QXD3" s="4"/>
      <c r="QXE3" s="4"/>
      <c r="QXF3" s="4"/>
      <c r="QXG3" s="4"/>
      <c r="QXH3" s="4"/>
      <c r="QXI3" s="4"/>
      <c r="QXJ3" s="4"/>
      <c r="QXK3" s="4"/>
      <c r="QXL3" s="4"/>
      <c r="QXM3" s="4"/>
      <c r="QXN3" s="4"/>
      <c r="QXO3" s="4"/>
      <c r="QXP3" s="4"/>
      <c r="QXQ3" s="4"/>
      <c r="QXR3" s="4"/>
      <c r="QXS3" s="4"/>
      <c r="QXT3" s="4"/>
      <c r="QXU3" s="4"/>
      <c r="QXV3" s="4"/>
      <c r="QXW3" s="4"/>
      <c r="QXX3" s="4"/>
      <c r="QXY3" s="4"/>
      <c r="QXZ3" s="4"/>
      <c r="QYA3" s="4"/>
      <c r="QYB3" s="4"/>
      <c r="QYC3" s="4"/>
      <c r="QYD3" s="4"/>
      <c r="QYE3" s="4"/>
      <c r="QYF3" s="4"/>
      <c r="QYG3" s="4"/>
      <c r="QYH3" s="4"/>
      <c r="QYI3" s="4"/>
      <c r="QYJ3" s="4"/>
      <c r="QYK3" s="4"/>
      <c r="QYL3" s="4"/>
      <c r="QYM3" s="4"/>
      <c r="QYN3" s="4"/>
      <c r="QYO3" s="4"/>
      <c r="QYP3" s="4"/>
      <c r="QYQ3" s="4"/>
      <c r="QYR3" s="4"/>
      <c r="QYS3" s="4"/>
      <c r="QYT3" s="4"/>
      <c r="QYU3" s="4"/>
      <c r="QYV3" s="4"/>
      <c r="QYW3" s="4"/>
      <c r="QYX3" s="4"/>
      <c r="QYY3" s="4"/>
      <c r="QYZ3" s="4"/>
      <c r="QZA3" s="4"/>
      <c r="QZB3" s="4"/>
      <c r="QZC3" s="4"/>
      <c r="QZD3" s="4"/>
      <c r="QZE3" s="4"/>
      <c r="QZF3" s="4"/>
      <c r="QZG3" s="4"/>
      <c r="QZH3" s="4"/>
      <c r="QZI3" s="4"/>
      <c r="QZJ3" s="4"/>
      <c r="QZK3" s="4"/>
      <c r="QZL3" s="4"/>
      <c r="QZM3" s="4"/>
      <c r="QZN3" s="4"/>
      <c r="QZO3" s="4"/>
      <c r="QZP3" s="4"/>
      <c r="QZQ3" s="4"/>
      <c r="QZR3" s="4"/>
      <c r="QZS3" s="4"/>
      <c r="QZT3" s="4"/>
      <c r="QZU3" s="4"/>
      <c r="QZV3" s="4"/>
      <c r="QZW3" s="4"/>
      <c r="QZX3" s="4"/>
      <c r="QZY3" s="4"/>
      <c r="QZZ3" s="4"/>
      <c r="RAA3" s="4"/>
      <c r="RAB3" s="4"/>
      <c r="RAC3" s="4"/>
      <c r="RAD3" s="4"/>
      <c r="RAE3" s="4"/>
      <c r="RAF3" s="4"/>
      <c r="RAG3" s="4"/>
      <c r="RAH3" s="4"/>
      <c r="RAI3" s="4"/>
      <c r="RAJ3" s="4"/>
      <c r="RAK3" s="4"/>
      <c r="RAL3" s="4"/>
      <c r="RAM3" s="4"/>
      <c r="RAN3" s="4"/>
      <c r="RAO3" s="4"/>
      <c r="RAP3" s="4"/>
      <c r="RAQ3" s="4"/>
      <c r="RAR3" s="4"/>
      <c r="RAS3" s="4"/>
      <c r="RAT3" s="4"/>
      <c r="RAU3" s="4"/>
      <c r="RAV3" s="4"/>
      <c r="RAW3" s="4"/>
      <c r="RAX3" s="4"/>
      <c r="RAY3" s="4"/>
      <c r="RAZ3" s="4"/>
      <c r="RBA3" s="4"/>
      <c r="RBB3" s="4"/>
      <c r="RBC3" s="4"/>
      <c r="RBD3" s="4"/>
      <c r="RBE3" s="4"/>
      <c r="RBF3" s="4"/>
      <c r="RBG3" s="4"/>
      <c r="RBH3" s="4"/>
      <c r="RBI3" s="4"/>
      <c r="RBJ3" s="4"/>
      <c r="RBK3" s="4"/>
      <c r="RBL3" s="4"/>
      <c r="RBM3" s="4"/>
      <c r="RBN3" s="4"/>
      <c r="RBO3" s="4"/>
      <c r="RBP3" s="4"/>
      <c r="RBQ3" s="4"/>
      <c r="RBR3" s="4"/>
      <c r="RBS3" s="4"/>
      <c r="RBT3" s="4"/>
      <c r="RBU3" s="4"/>
      <c r="RBV3" s="4"/>
      <c r="RBW3" s="4"/>
      <c r="RBX3" s="4"/>
      <c r="RBY3" s="4"/>
      <c r="RBZ3" s="4"/>
      <c r="RCA3" s="4"/>
      <c r="RCB3" s="4"/>
      <c r="RCC3" s="4"/>
      <c r="RCD3" s="4"/>
      <c r="RCE3" s="4"/>
      <c r="RCF3" s="4"/>
      <c r="RCG3" s="4"/>
      <c r="RCH3" s="4"/>
      <c r="RCI3" s="4"/>
      <c r="RCJ3" s="4"/>
      <c r="RCK3" s="4"/>
      <c r="RCL3" s="4"/>
      <c r="RCM3" s="4"/>
      <c r="RCN3" s="4"/>
      <c r="RCO3" s="4"/>
      <c r="RCP3" s="4"/>
      <c r="RCQ3" s="4"/>
      <c r="RCR3" s="4"/>
      <c r="RCS3" s="4"/>
      <c r="RCT3" s="4"/>
      <c r="RCU3" s="4"/>
      <c r="RCV3" s="4"/>
      <c r="RCW3" s="4"/>
      <c r="RCX3" s="4"/>
      <c r="RCY3" s="4"/>
      <c r="RCZ3" s="4"/>
      <c r="RDA3" s="4"/>
      <c r="RDB3" s="4"/>
      <c r="RDC3" s="4"/>
      <c r="RDD3" s="4"/>
      <c r="RDE3" s="4"/>
      <c r="RDF3" s="4"/>
      <c r="RDG3" s="4"/>
      <c r="RDH3" s="4"/>
      <c r="RDI3" s="4"/>
      <c r="RDJ3" s="4"/>
      <c r="RDK3" s="4"/>
      <c r="RDL3" s="4"/>
      <c r="RDM3" s="4"/>
      <c r="RDN3" s="4"/>
      <c r="RDO3" s="4"/>
      <c r="RDP3" s="4"/>
      <c r="RDQ3" s="4"/>
      <c r="RDR3" s="4"/>
      <c r="RDS3" s="4"/>
      <c r="RDT3" s="4"/>
      <c r="RDU3" s="4"/>
      <c r="RDV3" s="4"/>
      <c r="RDW3" s="4"/>
      <c r="RDX3" s="4"/>
      <c r="RDY3" s="4"/>
      <c r="RDZ3" s="4"/>
      <c r="REA3" s="4"/>
      <c r="REB3" s="4"/>
      <c r="REC3" s="4"/>
      <c r="RED3" s="4"/>
      <c r="REE3" s="4"/>
      <c r="REF3" s="4"/>
      <c r="REG3" s="4"/>
      <c r="REH3" s="4"/>
      <c r="REI3" s="4"/>
      <c r="REJ3" s="4"/>
      <c r="REK3" s="4"/>
      <c r="REL3" s="4"/>
      <c r="REM3" s="4"/>
      <c r="REN3" s="4"/>
      <c r="REO3" s="4"/>
      <c r="REP3" s="4"/>
      <c r="REQ3" s="4"/>
      <c r="RER3" s="4"/>
      <c r="RES3" s="4"/>
      <c r="RET3" s="4"/>
      <c r="REU3" s="4"/>
      <c r="REV3" s="4"/>
      <c r="REW3" s="4"/>
      <c r="REX3" s="4"/>
      <c r="REY3" s="4"/>
      <c r="REZ3" s="4"/>
      <c r="RFA3" s="4"/>
      <c r="RFB3" s="4"/>
      <c r="RFC3" s="4"/>
      <c r="RFD3" s="4"/>
      <c r="RFE3" s="4"/>
      <c r="RFF3" s="4"/>
      <c r="RFG3" s="4"/>
      <c r="RFH3" s="4"/>
      <c r="RFI3" s="4"/>
      <c r="RFJ3" s="4"/>
      <c r="RFK3" s="4"/>
      <c r="RFL3" s="4"/>
      <c r="RFM3" s="4"/>
      <c r="RFN3" s="4"/>
      <c r="RFO3" s="4"/>
      <c r="RFP3" s="4"/>
      <c r="RFQ3" s="4"/>
      <c r="RFR3" s="4"/>
      <c r="RFS3" s="4"/>
      <c r="RFT3" s="4"/>
      <c r="RFU3" s="4"/>
      <c r="RFV3" s="4"/>
      <c r="RFW3" s="4"/>
      <c r="RFX3" s="4"/>
      <c r="RFY3" s="4"/>
      <c r="RFZ3" s="4"/>
      <c r="RGA3" s="4"/>
      <c r="RGB3" s="4"/>
      <c r="RGC3" s="4"/>
      <c r="RGD3" s="4"/>
      <c r="RGE3" s="4"/>
      <c r="RGF3" s="4"/>
      <c r="RGG3" s="4"/>
      <c r="RGH3" s="4"/>
      <c r="RGI3" s="4"/>
      <c r="RGJ3" s="4"/>
      <c r="RGK3" s="4"/>
      <c r="RGL3" s="4"/>
      <c r="RGM3" s="4"/>
      <c r="RGN3" s="4"/>
      <c r="RGO3" s="4"/>
      <c r="RGP3" s="4"/>
      <c r="RGQ3" s="4"/>
      <c r="RGR3" s="4"/>
      <c r="RGS3" s="4"/>
      <c r="RGT3" s="4"/>
      <c r="RGU3" s="4"/>
      <c r="RGV3" s="4"/>
      <c r="RGW3" s="4"/>
      <c r="RGX3" s="4"/>
      <c r="RGY3" s="4"/>
      <c r="RGZ3" s="4"/>
      <c r="RHA3" s="4"/>
      <c r="RHB3" s="4"/>
      <c r="RHC3" s="4"/>
      <c r="RHD3" s="4"/>
      <c r="RHE3" s="4"/>
      <c r="RHF3" s="4"/>
      <c r="RHG3" s="4"/>
      <c r="RHH3" s="4"/>
      <c r="RHI3" s="4"/>
      <c r="RHJ3" s="4"/>
      <c r="RHK3" s="4"/>
      <c r="RHL3" s="4"/>
      <c r="RHM3" s="4"/>
      <c r="RHN3" s="4"/>
      <c r="RHO3" s="4"/>
      <c r="RHP3" s="4"/>
      <c r="RHQ3" s="4"/>
      <c r="RHR3" s="4"/>
      <c r="RHS3" s="4"/>
      <c r="RHT3" s="4"/>
      <c r="RHU3" s="4"/>
      <c r="RHV3" s="4"/>
      <c r="RHW3" s="4"/>
      <c r="RHX3" s="4"/>
      <c r="RHY3" s="4"/>
      <c r="RHZ3" s="4"/>
      <c r="RIA3" s="4"/>
      <c r="RIB3" s="4"/>
      <c r="RIC3" s="4"/>
      <c r="RID3" s="4"/>
      <c r="RIE3" s="4"/>
      <c r="RIF3" s="4"/>
      <c r="RIG3" s="4"/>
      <c r="RIH3" s="4"/>
      <c r="RII3" s="4"/>
      <c r="RIJ3" s="4"/>
      <c r="RIK3" s="4"/>
      <c r="RIL3" s="4"/>
      <c r="RIM3" s="4"/>
      <c r="RIN3" s="4"/>
      <c r="RIO3" s="4"/>
      <c r="RIP3" s="4"/>
      <c r="RIQ3" s="4"/>
      <c r="RIR3" s="4"/>
      <c r="RIS3" s="4"/>
      <c r="RIT3" s="4"/>
      <c r="RIU3" s="4"/>
      <c r="RIV3" s="4"/>
      <c r="RIW3" s="4"/>
      <c r="RIX3" s="4"/>
      <c r="RIY3" s="4"/>
      <c r="RIZ3" s="4"/>
      <c r="RJA3" s="4"/>
      <c r="RJB3" s="4"/>
      <c r="RJC3" s="4"/>
      <c r="RJD3" s="4"/>
      <c r="RJE3" s="4"/>
      <c r="RJF3" s="4"/>
      <c r="RJG3" s="4"/>
      <c r="RJH3" s="4"/>
      <c r="RJI3" s="4"/>
      <c r="RJJ3" s="4"/>
      <c r="RJK3" s="4"/>
      <c r="RJL3" s="4"/>
      <c r="RJM3" s="4"/>
      <c r="RJN3" s="4"/>
      <c r="RJO3" s="4"/>
      <c r="RJP3" s="4"/>
      <c r="RJQ3" s="4"/>
      <c r="RJR3" s="4"/>
      <c r="RJS3" s="4"/>
      <c r="RJT3" s="4"/>
      <c r="RJU3" s="4"/>
      <c r="RJV3" s="4"/>
      <c r="RJW3" s="4"/>
      <c r="RJX3" s="4"/>
      <c r="RJY3" s="4"/>
      <c r="RJZ3" s="4"/>
      <c r="RKA3" s="4"/>
      <c r="RKB3" s="4"/>
      <c r="RKC3" s="4"/>
      <c r="RKD3" s="4"/>
      <c r="RKE3" s="4"/>
      <c r="RKF3" s="4"/>
      <c r="RKG3" s="4"/>
      <c r="RKH3" s="4"/>
      <c r="RKI3" s="4"/>
      <c r="RKJ3" s="4"/>
      <c r="RKK3" s="4"/>
      <c r="RKL3" s="4"/>
      <c r="RKM3" s="4"/>
      <c r="RKN3" s="4"/>
      <c r="RKO3" s="4"/>
      <c r="RKP3" s="4"/>
      <c r="RKQ3" s="4"/>
      <c r="RKR3" s="4"/>
      <c r="RKS3" s="4"/>
      <c r="RKT3" s="4"/>
      <c r="RKU3" s="4"/>
      <c r="RKV3" s="4"/>
      <c r="RKW3" s="4"/>
      <c r="RKX3" s="4"/>
      <c r="RKY3" s="4"/>
      <c r="RKZ3" s="4"/>
      <c r="RLA3" s="4"/>
      <c r="RLB3" s="4"/>
      <c r="RLC3" s="4"/>
      <c r="RLD3" s="4"/>
      <c r="RLE3" s="4"/>
      <c r="RLF3" s="4"/>
      <c r="RLG3" s="4"/>
      <c r="RLH3" s="4"/>
      <c r="RLI3" s="4"/>
      <c r="RLJ3" s="4"/>
      <c r="RLK3" s="4"/>
      <c r="RLL3" s="4"/>
      <c r="RLM3" s="4"/>
      <c r="RLN3" s="4"/>
      <c r="RLO3" s="4"/>
      <c r="RLP3" s="4"/>
      <c r="RLQ3" s="4"/>
      <c r="RLR3" s="4"/>
      <c r="RLS3" s="4"/>
      <c r="RLT3" s="4"/>
      <c r="RLU3" s="4"/>
      <c r="RLV3" s="4"/>
      <c r="RLW3" s="4"/>
      <c r="RLX3" s="4"/>
      <c r="RLY3" s="4"/>
      <c r="RLZ3" s="4"/>
      <c r="RMA3" s="4"/>
      <c r="RMB3" s="4"/>
      <c r="RMC3" s="4"/>
      <c r="RMD3" s="4"/>
      <c r="RME3" s="4"/>
      <c r="RMF3" s="4"/>
      <c r="RMG3" s="4"/>
      <c r="RMH3" s="4"/>
      <c r="RMI3" s="4"/>
      <c r="RMJ3" s="4"/>
      <c r="RMK3" s="4"/>
      <c r="RML3" s="4"/>
      <c r="RMM3" s="4"/>
      <c r="RMN3" s="4"/>
      <c r="RMO3" s="4"/>
      <c r="RMP3" s="4"/>
      <c r="RMQ3" s="4"/>
      <c r="RMR3" s="4"/>
      <c r="RMS3" s="4"/>
      <c r="RMT3" s="4"/>
      <c r="RMU3" s="4"/>
      <c r="RMV3" s="4"/>
      <c r="RMW3" s="4"/>
      <c r="RMX3" s="4"/>
      <c r="RMY3" s="4"/>
      <c r="RMZ3" s="4"/>
      <c r="RNA3" s="4"/>
      <c r="RNB3" s="4"/>
      <c r="RNC3" s="4"/>
      <c r="RND3" s="4"/>
      <c r="RNE3" s="4"/>
      <c r="RNF3" s="4"/>
      <c r="RNG3" s="4"/>
      <c r="RNH3" s="4"/>
      <c r="RNI3" s="4"/>
      <c r="RNJ3" s="4"/>
      <c r="RNK3" s="4"/>
      <c r="RNL3" s="4"/>
      <c r="RNM3" s="4"/>
      <c r="RNN3" s="4"/>
      <c r="RNO3" s="4"/>
      <c r="RNP3" s="4"/>
      <c r="RNQ3" s="4"/>
      <c r="RNR3" s="4"/>
      <c r="RNS3" s="4"/>
      <c r="RNT3" s="4"/>
      <c r="RNU3" s="4"/>
      <c r="RNV3" s="4"/>
      <c r="RNW3" s="4"/>
      <c r="RNX3" s="4"/>
      <c r="RNY3" s="4"/>
      <c r="RNZ3" s="4"/>
      <c r="ROA3" s="4"/>
      <c r="ROB3" s="4"/>
      <c r="ROC3" s="4"/>
      <c r="ROD3" s="4"/>
      <c r="ROE3" s="4"/>
      <c r="ROF3" s="4"/>
      <c r="ROG3" s="4"/>
      <c r="ROH3" s="4"/>
      <c r="ROI3" s="4"/>
      <c r="ROJ3" s="4"/>
      <c r="ROK3" s="4"/>
      <c r="ROL3" s="4"/>
      <c r="ROM3" s="4"/>
      <c r="RON3" s="4"/>
      <c r="ROO3" s="4"/>
      <c r="ROP3" s="4"/>
      <c r="ROQ3" s="4"/>
      <c r="ROR3" s="4"/>
      <c r="ROS3" s="4"/>
      <c r="ROT3" s="4"/>
      <c r="ROU3" s="4"/>
      <c r="ROV3" s="4"/>
      <c r="ROW3" s="4"/>
      <c r="ROX3" s="4"/>
      <c r="ROY3" s="4"/>
      <c r="ROZ3" s="4"/>
      <c r="RPA3" s="4"/>
      <c r="RPB3" s="4"/>
      <c r="RPC3" s="4"/>
      <c r="RPD3" s="4"/>
      <c r="RPE3" s="4"/>
      <c r="RPF3" s="4"/>
      <c r="RPG3" s="4"/>
      <c r="RPH3" s="4"/>
      <c r="RPI3" s="4"/>
      <c r="RPJ3" s="4"/>
      <c r="RPK3" s="4"/>
      <c r="RPL3" s="4"/>
      <c r="RPM3" s="4"/>
      <c r="RPN3" s="4"/>
      <c r="RPO3" s="4"/>
      <c r="RPP3" s="4"/>
      <c r="RPQ3" s="4"/>
      <c r="RPR3" s="4"/>
      <c r="RPS3" s="4"/>
      <c r="RPT3" s="4"/>
      <c r="RPU3" s="4"/>
      <c r="RPV3" s="4"/>
      <c r="RPW3" s="4"/>
      <c r="RPX3" s="4"/>
      <c r="RPY3" s="4"/>
      <c r="RPZ3" s="4"/>
      <c r="RQA3" s="4"/>
      <c r="RQB3" s="4"/>
      <c r="RQC3" s="4"/>
      <c r="RQD3" s="4"/>
      <c r="RQE3" s="4"/>
      <c r="RQF3" s="4"/>
      <c r="RQG3" s="4"/>
      <c r="RQH3" s="4"/>
      <c r="RQI3" s="4"/>
      <c r="RQJ3" s="4"/>
      <c r="RQK3" s="4"/>
      <c r="RQL3" s="4"/>
      <c r="RQM3" s="4"/>
      <c r="RQN3" s="4"/>
      <c r="RQO3" s="4"/>
      <c r="RQP3" s="4"/>
      <c r="RQQ3" s="4"/>
      <c r="RQR3" s="4"/>
      <c r="RQS3" s="4"/>
      <c r="RQT3" s="4"/>
      <c r="RQU3" s="4"/>
      <c r="RQV3" s="4"/>
      <c r="RQW3" s="4"/>
      <c r="RQX3" s="4"/>
      <c r="RQY3" s="4"/>
      <c r="RQZ3" s="4"/>
      <c r="RRA3" s="4"/>
      <c r="RRB3" s="4"/>
      <c r="RRC3" s="4"/>
      <c r="RRD3" s="4"/>
      <c r="RRE3" s="4"/>
      <c r="RRF3" s="4"/>
      <c r="RRG3" s="4"/>
      <c r="RRH3" s="4"/>
      <c r="RRI3" s="4"/>
      <c r="RRJ3" s="4"/>
      <c r="RRK3" s="4"/>
      <c r="RRL3" s="4"/>
      <c r="RRM3" s="4"/>
      <c r="RRN3" s="4"/>
      <c r="RRO3" s="4"/>
      <c r="RRP3" s="4"/>
      <c r="RRQ3" s="4"/>
      <c r="RRR3" s="4"/>
      <c r="RRS3" s="4"/>
      <c r="RRT3" s="4"/>
      <c r="RRU3" s="4"/>
      <c r="RRV3" s="4"/>
      <c r="RRW3" s="4"/>
      <c r="RRX3" s="4"/>
      <c r="RRY3" s="4"/>
      <c r="RRZ3" s="4"/>
      <c r="RSA3" s="4"/>
      <c r="RSB3" s="4"/>
      <c r="RSC3" s="4"/>
      <c r="RSD3" s="4"/>
      <c r="RSE3" s="4"/>
      <c r="RSF3" s="4"/>
      <c r="RSG3" s="4"/>
      <c r="RSH3" s="4"/>
      <c r="RSI3" s="4"/>
      <c r="RSJ3" s="4"/>
      <c r="RSK3" s="4"/>
      <c r="RSL3" s="4"/>
      <c r="RSM3" s="4"/>
      <c r="RSN3" s="4"/>
      <c r="RSO3" s="4"/>
      <c r="RSP3" s="4"/>
      <c r="RSQ3" s="4"/>
      <c r="RSR3" s="4"/>
      <c r="RSS3" s="4"/>
      <c r="RST3" s="4"/>
      <c r="RSU3" s="4"/>
      <c r="RSV3" s="4"/>
      <c r="RSW3" s="4"/>
      <c r="RSX3" s="4"/>
      <c r="RSY3" s="4"/>
      <c r="RSZ3" s="4"/>
      <c r="RTA3" s="4"/>
      <c r="RTB3" s="4"/>
      <c r="RTC3" s="4"/>
      <c r="RTD3" s="4"/>
      <c r="RTE3" s="4"/>
      <c r="RTF3" s="4"/>
      <c r="RTG3" s="4"/>
      <c r="RTH3" s="4"/>
      <c r="RTI3" s="4"/>
      <c r="RTJ3" s="4"/>
      <c r="RTK3" s="4"/>
      <c r="RTL3" s="4"/>
      <c r="RTM3" s="4"/>
      <c r="RTN3" s="4"/>
      <c r="RTO3" s="4"/>
      <c r="RTP3" s="4"/>
      <c r="RTQ3" s="4"/>
      <c r="RTR3" s="4"/>
      <c r="RTS3" s="4"/>
      <c r="RTT3" s="4"/>
      <c r="RTU3" s="4"/>
      <c r="RTV3" s="4"/>
      <c r="RTW3" s="4"/>
      <c r="RTX3" s="4"/>
      <c r="RTY3" s="4"/>
      <c r="RTZ3" s="4"/>
      <c r="RUA3" s="4"/>
      <c r="RUB3" s="4"/>
      <c r="RUC3" s="4"/>
      <c r="RUD3" s="4"/>
      <c r="RUE3" s="4"/>
      <c r="RUF3" s="4"/>
      <c r="RUG3" s="4"/>
      <c r="RUH3" s="4"/>
      <c r="RUI3" s="4"/>
      <c r="RUJ3" s="4"/>
      <c r="RUK3" s="4"/>
      <c r="RUL3" s="4"/>
      <c r="RUM3" s="4"/>
      <c r="RUN3" s="4"/>
      <c r="RUO3" s="4"/>
      <c r="RUP3" s="4"/>
      <c r="RUQ3" s="4"/>
      <c r="RUR3" s="4"/>
      <c r="RUS3" s="4"/>
      <c r="RUT3" s="4"/>
      <c r="RUU3" s="4"/>
      <c r="RUV3" s="4"/>
      <c r="RUW3" s="4"/>
      <c r="RUX3" s="4"/>
      <c r="RUY3" s="4"/>
      <c r="RUZ3" s="4"/>
      <c r="RVA3" s="4"/>
      <c r="RVB3" s="4"/>
      <c r="RVC3" s="4"/>
      <c r="RVD3" s="4"/>
      <c r="RVE3" s="4"/>
      <c r="RVF3" s="4"/>
      <c r="RVG3" s="4"/>
      <c r="RVH3" s="4"/>
      <c r="RVI3" s="4"/>
      <c r="RVJ3" s="4"/>
      <c r="RVK3" s="4"/>
      <c r="RVL3" s="4"/>
      <c r="RVM3" s="4"/>
      <c r="RVN3" s="4"/>
      <c r="RVO3" s="4"/>
      <c r="RVP3" s="4"/>
      <c r="RVQ3" s="4"/>
      <c r="RVR3" s="4"/>
      <c r="RVS3" s="4"/>
      <c r="RVT3" s="4"/>
      <c r="RVU3" s="4"/>
      <c r="RVV3" s="4"/>
      <c r="RVW3" s="4"/>
      <c r="RVX3" s="4"/>
      <c r="RVY3" s="4"/>
      <c r="RVZ3" s="4"/>
      <c r="RWA3" s="4"/>
      <c r="RWB3" s="4"/>
      <c r="RWC3" s="4"/>
      <c r="RWD3" s="4"/>
      <c r="RWE3" s="4"/>
      <c r="RWF3" s="4"/>
      <c r="RWG3" s="4"/>
      <c r="RWH3" s="4"/>
      <c r="RWI3" s="4"/>
      <c r="RWJ3" s="4"/>
      <c r="RWK3" s="4"/>
      <c r="RWL3" s="4"/>
      <c r="RWM3" s="4"/>
      <c r="RWN3" s="4"/>
      <c r="RWO3" s="4"/>
      <c r="RWP3" s="4"/>
      <c r="RWQ3" s="4"/>
      <c r="RWR3" s="4"/>
      <c r="RWS3" s="4"/>
      <c r="RWT3" s="4"/>
      <c r="RWU3" s="4"/>
      <c r="RWV3" s="4"/>
      <c r="RWW3" s="4"/>
      <c r="RWX3" s="4"/>
      <c r="RWY3" s="4"/>
      <c r="RWZ3" s="4"/>
      <c r="RXA3" s="4"/>
      <c r="RXB3" s="4"/>
      <c r="RXC3" s="4"/>
      <c r="RXD3" s="4"/>
      <c r="RXE3" s="4"/>
      <c r="RXF3" s="4"/>
      <c r="RXG3" s="4"/>
      <c r="RXH3" s="4"/>
      <c r="RXI3" s="4"/>
      <c r="RXJ3" s="4"/>
      <c r="RXK3" s="4"/>
      <c r="RXL3" s="4"/>
      <c r="RXM3" s="4"/>
      <c r="RXN3" s="4"/>
      <c r="RXO3" s="4"/>
      <c r="RXP3" s="4"/>
      <c r="RXQ3" s="4"/>
      <c r="RXR3" s="4"/>
      <c r="RXS3" s="4"/>
      <c r="RXT3" s="4"/>
      <c r="RXU3" s="4"/>
      <c r="RXV3" s="4"/>
      <c r="RXW3" s="4"/>
      <c r="RXX3" s="4"/>
      <c r="RXY3" s="4"/>
      <c r="RXZ3" s="4"/>
      <c r="RYA3" s="4"/>
      <c r="RYB3" s="4"/>
      <c r="RYC3" s="4"/>
      <c r="RYD3" s="4"/>
      <c r="RYE3" s="4"/>
      <c r="RYF3" s="4"/>
      <c r="RYG3" s="4"/>
      <c r="RYH3" s="4"/>
      <c r="RYI3" s="4"/>
      <c r="RYJ3" s="4"/>
      <c r="RYK3" s="4"/>
      <c r="RYL3" s="4"/>
      <c r="RYM3" s="4"/>
      <c r="RYN3" s="4"/>
      <c r="RYO3" s="4"/>
      <c r="RYP3" s="4"/>
      <c r="RYQ3" s="4"/>
      <c r="RYR3" s="4"/>
      <c r="RYS3" s="4"/>
      <c r="RYT3" s="4"/>
      <c r="RYU3" s="4"/>
      <c r="RYV3" s="4"/>
      <c r="RYW3" s="4"/>
      <c r="RYX3" s="4"/>
      <c r="RYY3" s="4"/>
      <c r="RYZ3" s="4"/>
      <c r="RZA3" s="4"/>
      <c r="RZB3" s="4"/>
      <c r="RZC3" s="4"/>
      <c r="RZD3" s="4"/>
      <c r="RZE3" s="4"/>
      <c r="RZF3" s="4"/>
      <c r="RZG3" s="4"/>
      <c r="RZH3" s="4"/>
      <c r="RZI3" s="4"/>
      <c r="RZJ3" s="4"/>
      <c r="RZK3" s="4"/>
      <c r="RZL3" s="4"/>
      <c r="RZM3" s="4"/>
      <c r="RZN3" s="4"/>
      <c r="RZO3" s="4"/>
      <c r="RZP3" s="4"/>
      <c r="RZQ3" s="4"/>
      <c r="RZR3" s="4"/>
      <c r="RZS3" s="4"/>
      <c r="RZT3" s="4"/>
      <c r="RZU3" s="4"/>
      <c r="RZV3" s="4"/>
      <c r="RZW3" s="4"/>
      <c r="RZX3" s="4"/>
      <c r="RZY3" s="4"/>
      <c r="RZZ3" s="4"/>
      <c r="SAA3" s="4"/>
      <c r="SAB3" s="4"/>
      <c r="SAC3" s="4"/>
      <c r="SAD3" s="4"/>
      <c r="SAE3" s="4"/>
      <c r="SAF3" s="4"/>
      <c r="SAG3" s="4"/>
      <c r="SAH3" s="4"/>
      <c r="SAI3" s="4"/>
      <c r="SAJ3" s="4"/>
      <c r="SAK3" s="4"/>
      <c r="SAL3" s="4"/>
      <c r="SAM3" s="4"/>
      <c r="SAN3" s="4"/>
      <c r="SAO3" s="4"/>
      <c r="SAP3" s="4"/>
      <c r="SAQ3" s="4"/>
      <c r="SAR3" s="4"/>
      <c r="SAS3" s="4"/>
      <c r="SAT3" s="4"/>
      <c r="SAU3" s="4"/>
      <c r="SAV3" s="4"/>
      <c r="SAW3" s="4"/>
      <c r="SAX3" s="4"/>
      <c r="SAY3" s="4"/>
      <c r="SAZ3" s="4"/>
      <c r="SBA3" s="4"/>
      <c r="SBB3" s="4"/>
      <c r="SBC3" s="4"/>
      <c r="SBD3" s="4"/>
      <c r="SBE3" s="4"/>
      <c r="SBF3" s="4"/>
      <c r="SBG3" s="4"/>
      <c r="SBH3" s="4"/>
      <c r="SBI3" s="4"/>
      <c r="SBJ3" s="4"/>
      <c r="SBK3" s="4"/>
      <c r="SBL3" s="4"/>
      <c r="SBM3" s="4"/>
      <c r="SBN3" s="4"/>
      <c r="SBO3" s="4"/>
      <c r="SBP3" s="4"/>
      <c r="SBQ3" s="4"/>
      <c r="SBR3" s="4"/>
      <c r="SBS3" s="4"/>
      <c r="SBT3" s="4"/>
      <c r="SBU3" s="4"/>
      <c r="SBV3" s="4"/>
      <c r="SBW3" s="4"/>
      <c r="SBX3" s="4"/>
      <c r="SBY3" s="4"/>
      <c r="SBZ3" s="4"/>
      <c r="SCA3" s="4"/>
      <c r="SCB3" s="4"/>
      <c r="SCC3" s="4"/>
      <c r="SCD3" s="4"/>
      <c r="SCE3" s="4"/>
      <c r="SCF3" s="4"/>
      <c r="SCG3" s="4"/>
      <c r="SCH3" s="4"/>
      <c r="SCI3" s="4"/>
      <c r="SCJ3" s="4"/>
      <c r="SCK3" s="4"/>
      <c r="SCL3" s="4"/>
      <c r="SCM3" s="4"/>
      <c r="SCN3" s="4"/>
      <c r="SCO3" s="4"/>
      <c r="SCP3" s="4"/>
      <c r="SCQ3" s="4"/>
      <c r="SCR3" s="4"/>
      <c r="SCS3" s="4"/>
      <c r="SCT3" s="4"/>
      <c r="SCU3" s="4"/>
      <c r="SCV3" s="4"/>
      <c r="SCW3" s="4"/>
      <c r="SCX3" s="4"/>
      <c r="SCY3" s="4"/>
      <c r="SCZ3" s="4"/>
      <c r="SDA3" s="4"/>
      <c r="SDB3" s="4"/>
      <c r="SDC3" s="4"/>
      <c r="SDD3" s="4"/>
      <c r="SDE3" s="4"/>
      <c r="SDF3" s="4"/>
      <c r="SDG3" s="4"/>
      <c r="SDH3" s="4"/>
      <c r="SDI3" s="4"/>
      <c r="SDJ3" s="4"/>
      <c r="SDK3" s="4"/>
      <c r="SDL3" s="4"/>
      <c r="SDM3" s="4"/>
      <c r="SDN3" s="4"/>
      <c r="SDO3" s="4"/>
      <c r="SDP3" s="4"/>
      <c r="SDQ3" s="4"/>
      <c r="SDR3" s="4"/>
      <c r="SDS3" s="4"/>
      <c r="SDT3" s="4"/>
      <c r="SDU3" s="4"/>
      <c r="SDV3" s="4"/>
      <c r="SDW3" s="4"/>
      <c r="SDX3" s="4"/>
      <c r="SDY3" s="4"/>
      <c r="SDZ3" s="4"/>
      <c r="SEA3" s="4"/>
      <c r="SEB3" s="4"/>
      <c r="SEC3" s="4"/>
      <c r="SED3" s="4"/>
      <c r="SEE3" s="4"/>
      <c r="SEF3" s="4"/>
      <c r="SEG3" s="4"/>
      <c r="SEH3" s="4"/>
      <c r="SEI3" s="4"/>
      <c r="SEJ3" s="4"/>
      <c r="SEK3" s="4"/>
      <c r="SEL3" s="4"/>
      <c r="SEM3" s="4"/>
      <c r="SEN3" s="4"/>
      <c r="SEO3" s="4"/>
      <c r="SEP3" s="4"/>
      <c r="SEQ3" s="4"/>
      <c r="SER3" s="4"/>
      <c r="SES3" s="4"/>
      <c r="SET3" s="4"/>
      <c r="SEU3" s="4"/>
      <c r="SEV3" s="4"/>
      <c r="SEW3" s="4"/>
      <c r="SEX3" s="4"/>
      <c r="SEY3" s="4"/>
      <c r="SEZ3" s="4"/>
      <c r="SFA3" s="4"/>
      <c r="SFB3" s="4"/>
      <c r="SFC3" s="4"/>
      <c r="SFD3" s="4"/>
      <c r="SFE3" s="4"/>
      <c r="SFF3" s="4"/>
      <c r="SFG3" s="4"/>
      <c r="SFH3" s="4"/>
      <c r="SFI3" s="4"/>
      <c r="SFJ3" s="4"/>
      <c r="SFK3" s="4"/>
      <c r="SFL3" s="4"/>
      <c r="SFM3" s="4"/>
      <c r="SFN3" s="4"/>
      <c r="SFO3" s="4"/>
      <c r="SFP3" s="4"/>
      <c r="SFQ3" s="4"/>
      <c r="SFR3" s="4"/>
      <c r="SFS3" s="4"/>
      <c r="SFT3" s="4"/>
      <c r="SFU3" s="4"/>
      <c r="SFV3" s="4"/>
      <c r="SFW3" s="4"/>
      <c r="SFX3" s="4"/>
      <c r="SFY3" s="4"/>
      <c r="SFZ3" s="4"/>
      <c r="SGA3" s="4"/>
      <c r="SGB3" s="4"/>
      <c r="SGC3" s="4"/>
      <c r="SGD3" s="4"/>
      <c r="SGE3" s="4"/>
      <c r="SGF3" s="4"/>
      <c r="SGG3" s="4"/>
      <c r="SGH3" s="4"/>
      <c r="SGI3" s="4"/>
      <c r="SGJ3" s="4"/>
      <c r="SGK3" s="4"/>
      <c r="SGL3" s="4"/>
      <c r="SGM3" s="4"/>
      <c r="SGN3" s="4"/>
      <c r="SGO3" s="4"/>
      <c r="SGP3" s="4"/>
      <c r="SGQ3" s="4"/>
      <c r="SGR3" s="4"/>
      <c r="SGS3" s="4"/>
      <c r="SGT3" s="4"/>
      <c r="SGU3" s="4"/>
      <c r="SGV3" s="4"/>
      <c r="SGW3" s="4"/>
      <c r="SGX3" s="4"/>
      <c r="SGY3" s="4"/>
      <c r="SGZ3" s="4"/>
      <c r="SHA3" s="4"/>
      <c r="SHB3" s="4"/>
      <c r="SHC3" s="4"/>
      <c r="SHD3" s="4"/>
      <c r="SHE3" s="4"/>
      <c r="SHF3" s="4"/>
      <c r="SHG3" s="4"/>
      <c r="SHH3" s="4"/>
      <c r="SHI3" s="4"/>
      <c r="SHJ3" s="4"/>
      <c r="SHK3" s="4"/>
      <c r="SHL3" s="4"/>
      <c r="SHM3" s="4"/>
      <c r="SHN3" s="4"/>
      <c r="SHO3" s="4"/>
      <c r="SHP3" s="4"/>
      <c r="SHQ3" s="4"/>
      <c r="SHR3" s="4"/>
      <c r="SHS3" s="4"/>
      <c r="SHT3" s="4"/>
      <c r="SHU3" s="4"/>
      <c r="SHV3" s="4"/>
      <c r="SHW3" s="4"/>
      <c r="SHX3" s="4"/>
      <c r="SHY3" s="4"/>
      <c r="SHZ3" s="4"/>
      <c r="SIA3" s="4"/>
      <c r="SIB3" s="4"/>
      <c r="SIC3" s="4"/>
      <c r="SID3" s="4"/>
      <c r="SIE3" s="4"/>
      <c r="SIF3" s="4"/>
      <c r="SIG3" s="4"/>
      <c r="SIH3" s="4"/>
      <c r="SII3" s="4"/>
      <c r="SIJ3" s="4"/>
      <c r="SIK3" s="4"/>
      <c r="SIL3" s="4"/>
      <c r="SIM3" s="4"/>
      <c r="SIN3" s="4"/>
      <c r="SIO3" s="4"/>
      <c r="SIP3" s="4"/>
      <c r="SIQ3" s="4"/>
      <c r="SIR3" s="4"/>
      <c r="SIS3" s="4"/>
      <c r="SIT3" s="4"/>
      <c r="SIU3" s="4"/>
      <c r="SIV3" s="4"/>
      <c r="SIW3" s="4"/>
      <c r="SIX3" s="4"/>
      <c r="SIY3" s="4"/>
      <c r="SIZ3" s="4"/>
      <c r="SJA3" s="4"/>
      <c r="SJB3" s="4"/>
      <c r="SJC3" s="4"/>
      <c r="SJD3" s="4"/>
      <c r="SJE3" s="4"/>
      <c r="SJF3" s="4"/>
      <c r="SJG3" s="4"/>
      <c r="SJH3" s="4"/>
      <c r="SJI3" s="4"/>
      <c r="SJJ3" s="4"/>
      <c r="SJK3" s="4"/>
      <c r="SJL3" s="4"/>
      <c r="SJM3" s="4"/>
      <c r="SJN3" s="4"/>
      <c r="SJO3" s="4"/>
      <c r="SJP3" s="4"/>
      <c r="SJQ3" s="4"/>
      <c r="SJR3" s="4"/>
      <c r="SJS3" s="4"/>
      <c r="SJT3" s="4"/>
      <c r="SJU3" s="4"/>
      <c r="SJV3" s="4"/>
      <c r="SJW3" s="4"/>
      <c r="SJX3" s="4"/>
      <c r="SJY3" s="4"/>
      <c r="SJZ3" s="4"/>
      <c r="SKA3" s="4"/>
      <c r="SKB3" s="4"/>
      <c r="SKC3" s="4"/>
      <c r="SKD3" s="4"/>
      <c r="SKE3" s="4"/>
      <c r="SKF3" s="4"/>
      <c r="SKG3" s="4"/>
      <c r="SKH3" s="4"/>
      <c r="SKI3" s="4"/>
      <c r="SKJ3" s="4"/>
      <c r="SKK3" s="4"/>
      <c r="SKL3" s="4"/>
      <c r="SKM3" s="4"/>
      <c r="SKN3" s="4"/>
      <c r="SKO3" s="4"/>
      <c r="SKP3" s="4"/>
      <c r="SKQ3" s="4"/>
      <c r="SKR3" s="4"/>
      <c r="SKS3" s="4"/>
      <c r="SKT3" s="4"/>
      <c r="SKU3" s="4"/>
      <c r="SKV3" s="4"/>
      <c r="SKW3" s="4"/>
      <c r="SKX3" s="4"/>
      <c r="SKY3" s="4"/>
      <c r="SKZ3" s="4"/>
      <c r="SLA3" s="4"/>
      <c r="SLB3" s="4"/>
      <c r="SLC3" s="4"/>
      <c r="SLD3" s="4"/>
      <c r="SLE3" s="4"/>
      <c r="SLF3" s="4"/>
      <c r="SLG3" s="4"/>
      <c r="SLH3" s="4"/>
      <c r="SLI3" s="4"/>
      <c r="SLJ3" s="4"/>
      <c r="SLK3" s="4"/>
      <c r="SLL3" s="4"/>
      <c r="SLM3" s="4"/>
      <c r="SLN3" s="4"/>
      <c r="SLO3" s="4"/>
      <c r="SLP3" s="4"/>
      <c r="SLQ3" s="4"/>
      <c r="SLR3" s="4"/>
      <c r="SLS3" s="4"/>
      <c r="SLT3" s="4"/>
      <c r="SLU3" s="4"/>
      <c r="SLV3" s="4"/>
      <c r="SLW3" s="4"/>
      <c r="SLX3" s="4"/>
      <c r="SLY3" s="4"/>
      <c r="SLZ3" s="4"/>
      <c r="SMA3" s="4"/>
      <c r="SMB3" s="4"/>
      <c r="SMC3" s="4"/>
      <c r="SMD3" s="4"/>
      <c r="SME3" s="4"/>
      <c r="SMF3" s="4"/>
      <c r="SMG3" s="4"/>
      <c r="SMH3" s="4"/>
      <c r="SMI3" s="4"/>
      <c r="SMJ3" s="4"/>
      <c r="SMK3" s="4"/>
      <c r="SML3" s="4"/>
      <c r="SMM3" s="4"/>
      <c r="SMN3" s="4"/>
      <c r="SMO3" s="4"/>
      <c r="SMP3" s="4"/>
      <c r="SMQ3" s="4"/>
      <c r="SMR3" s="4"/>
      <c r="SMS3" s="4"/>
      <c r="SMT3" s="4"/>
      <c r="SMU3" s="4"/>
      <c r="SMV3" s="4"/>
      <c r="SMW3" s="4"/>
      <c r="SMX3" s="4"/>
      <c r="SMY3" s="4"/>
      <c r="SMZ3" s="4"/>
      <c r="SNA3" s="4"/>
      <c r="SNB3" s="4"/>
      <c r="SNC3" s="4"/>
      <c r="SND3" s="4"/>
      <c r="SNE3" s="4"/>
      <c r="SNF3" s="4"/>
      <c r="SNG3" s="4"/>
      <c r="SNH3" s="4"/>
      <c r="SNI3" s="4"/>
      <c r="SNJ3" s="4"/>
      <c r="SNK3" s="4"/>
      <c r="SNL3" s="4"/>
      <c r="SNM3" s="4"/>
      <c r="SNN3" s="4"/>
      <c r="SNO3" s="4"/>
      <c r="SNP3" s="4"/>
      <c r="SNQ3" s="4"/>
      <c r="SNR3" s="4"/>
      <c r="SNS3" s="4"/>
      <c r="SNT3" s="4"/>
      <c r="SNU3" s="4"/>
      <c r="SNV3" s="4"/>
      <c r="SNW3" s="4"/>
      <c r="SNX3" s="4"/>
      <c r="SNY3" s="4"/>
      <c r="SNZ3" s="4"/>
      <c r="SOA3" s="4"/>
      <c r="SOB3" s="4"/>
      <c r="SOC3" s="4"/>
      <c r="SOD3" s="4"/>
      <c r="SOE3" s="4"/>
      <c r="SOF3" s="4"/>
      <c r="SOG3" s="4"/>
      <c r="SOH3" s="4"/>
      <c r="SOI3" s="4"/>
      <c r="SOJ3" s="4"/>
      <c r="SOK3" s="4"/>
      <c r="SOL3" s="4"/>
      <c r="SOM3" s="4"/>
      <c r="SON3" s="4"/>
      <c r="SOO3" s="4"/>
      <c r="SOP3" s="4"/>
      <c r="SOQ3" s="4"/>
      <c r="SOR3" s="4"/>
      <c r="SOS3" s="4"/>
      <c r="SOT3" s="4"/>
      <c r="SOU3" s="4"/>
      <c r="SOV3" s="4"/>
      <c r="SOW3" s="4"/>
      <c r="SOX3" s="4"/>
      <c r="SOY3" s="4"/>
      <c r="SOZ3" s="4"/>
      <c r="SPA3" s="4"/>
      <c r="SPB3" s="4"/>
      <c r="SPC3" s="4"/>
      <c r="SPD3" s="4"/>
      <c r="SPE3" s="4"/>
      <c r="SPF3" s="4"/>
      <c r="SPG3" s="4"/>
      <c r="SPH3" s="4"/>
      <c r="SPI3" s="4"/>
      <c r="SPJ3" s="4"/>
      <c r="SPK3" s="4"/>
      <c r="SPL3" s="4"/>
      <c r="SPM3" s="4"/>
      <c r="SPN3" s="4"/>
      <c r="SPO3" s="4"/>
      <c r="SPP3" s="4"/>
      <c r="SPQ3" s="4"/>
      <c r="SPR3" s="4"/>
      <c r="SPS3" s="4"/>
      <c r="SPT3" s="4"/>
      <c r="SPU3" s="4"/>
      <c r="SPV3" s="4"/>
      <c r="SPW3" s="4"/>
      <c r="SPX3" s="4"/>
      <c r="SPY3" s="4"/>
      <c r="SPZ3" s="4"/>
      <c r="SQA3" s="4"/>
      <c r="SQB3" s="4"/>
      <c r="SQC3" s="4"/>
      <c r="SQD3" s="4"/>
      <c r="SQE3" s="4"/>
      <c r="SQF3" s="4"/>
      <c r="SQG3" s="4"/>
      <c r="SQH3" s="4"/>
      <c r="SQI3" s="4"/>
      <c r="SQJ3" s="4"/>
      <c r="SQK3" s="4"/>
      <c r="SQL3" s="4"/>
      <c r="SQM3" s="4"/>
      <c r="SQN3" s="4"/>
      <c r="SQO3" s="4"/>
      <c r="SQP3" s="4"/>
      <c r="SQQ3" s="4"/>
      <c r="SQR3" s="4"/>
      <c r="SQS3" s="4"/>
      <c r="SQT3" s="4"/>
      <c r="SQU3" s="4"/>
      <c r="SQV3" s="4"/>
      <c r="SQW3" s="4"/>
      <c r="SQX3" s="4"/>
      <c r="SQY3" s="4"/>
      <c r="SQZ3" s="4"/>
      <c r="SRA3" s="4"/>
      <c r="SRB3" s="4"/>
      <c r="SRC3" s="4"/>
      <c r="SRD3" s="4"/>
      <c r="SRE3" s="4"/>
      <c r="SRF3" s="4"/>
      <c r="SRG3" s="4"/>
      <c r="SRH3" s="4"/>
      <c r="SRI3" s="4"/>
      <c r="SRJ3" s="4"/>
      <c r="SRK3" s="4"/>
      <c r="SRL3" s="4"/>
      <c r="SRM3" s="4"/>
      <c r="SRN3" s="4"/>
      <c r="SRO3" s="4"/>
      <c r="SRP3" s="4"/>
      <c r="SRQ3" s="4"/>
      <c r="SRR3" s="4"/>
      <c r="SRS3" s="4"/>
      <c r="SRT3" s="4"/>
      <c r="SRU3" s="4"/>
      <c r="SRV3" s="4"/>
      <c r="SRW3" s="4"/>
      <c r="SRX3" s="4"/>
      <c r="SRY3" s="4"/>
      <c r="SRZ3" s="4"/>
      <c r="SSA3" s="4"/>
      <c r="SSB3" s="4"/>
      <c r="SSC3" s="4"/>
      <c r="SSD3" s="4"/>
      <c r="SSE3" s="4"/>
      <c r="SSF3" s="4"/>
      <c r="SSG3" s="4"/>
      <c r="SSH3" s="4"/>
      <c r="SSI3" s="4"/>
      <c r="SSJ3" s="4"/>
      <c r="SSK3" s="4"/>
      <c r="SSL3" s="4"/>
      <c r="SSM3" s="4"/>
      <c r="SSN3" s="4"/>
      <c r="SSO3" s="4"/>
      <c r="SSP3" s="4"/>
      <c r="SSQ3" s="4"/>
      <c r="SSR3" s="4"/>
      <c r="SSS3" s="4"/>
      <c r="SST3" s="4"/>
      <c r="SSU3" s="4"/>
      <c r="SSV3" s="4"/>
      <c r="SSW3" s="4"/>
      <c r="SSX3" s="4"/>
      <c r="SSY3" s="4"/>
      <c r="SSZ3" s="4"/>
      <c r="STA3" s="4"/>
      <c r="STB3" s="4"/>
      <c r="STC3" s="4"/>
      <c r="STD3" s="4"/>
      <c r="STE3" s="4"/>
      <c r="STF3" s="4"/>
      <c r="STG3" s="4"/>
      <c r="STH3" s="4"/>
      <c r="STI3" s="4"/>
      <c r="STJ3" s="4"/>
      <c r="STK3" s="4"/>
      <c r="STL3" s="4"/>
      <c r="STM3" s="4"/>
      <c r="STN3" s="4"/>
      <c r="STO3" s="4"/>
      <c r="STP3" s="4"/>
      <c r="STQ3" s="4"/>
      <c r="STR3" s="4"/>
      <c r="STS3" s="4"/>
      <c r="STT3" s="4"/>
      <c r="STU3" s="4"/>
      <c r="STV3" s="4"/>
      <c r="STW3" s="4"/>
      <c r="STX3" s="4"/>
      <c r="STY3" s="4"/>
      <c r="STZ3" s="4"/>
      <c r="SUA3" s="4"/>
      <c r="SUB3" s="4"/>
      <c r="SUC3" s="4"/>
      <c r="SUD3" s="4"/>
      <c r="SUE3" s="4"/>
      <c r="SUF3" s="4"/>
      <c r="SUG3" s="4"/>
      <c r="SUH3" s="4"/>
      <c r="SUI3" s="4"/>
      <c r="SUJ3" s="4"/>
      <c r="SUK3" s="4"/>
      <c r="SUL3" s="4"/>
      <c r="SUM3" s="4"/>
      <c r="SUN3" s="4"/>
      <c r="SUO3" s="4"/>
      <c r="SUP3" s="4"/>
      <c r="SUQ3" s="4"/>
      <c r="SUR3" s="4"/>
      <c r="SUS3" s="4"/>
      <c r="SUT3" s="4"/>
      <c r="SUU3" s="4"/>
      <c r="SUV3" s="4"/>
      <c r="SUW3" s="4"/>
      <c r="SUX3" s="4"/>
      <c r="SUY3" s="4"/>
      <c r="SUZ3" s="4"/>
      <c r="SVA3" s="4"/>
      <c r="SVB3" s="4"/>
      <c r="SVC3" s="4"/>
      <c r="SVD3" s="4"/>
      <c r="SVE3" s="4"/>
      <c r="SVF3" s="4"/>
      <c r="SVG3" s="4"/>
      <c r="SVH3" s="4"/>
      <c r="SVI3" s="4"/>
      <c r="SVJ3" s="4"/>
      <c r="SVK3" s="4"/>
      <c r="SVL3" s="4"/>
      <c r="SVM3" s="4"/>
      <c r="SVN3" s="4"/>
      <c r="SVO3" s="4"/>
      <c r="SVP3" s="4"/>
      <c r="SVQ3" s="4"/>
      <c r="SVR3" s="4"/>
      <c r="SVS3" s="4"/>
      <c r="SVT3" s="4"/>
      <c r="SVU3" s="4"/>
      <c r="SVV3" s="4"/>
      <c r="SVW3" s="4"/>
      <c r="SVX3" s="4"/>
      <c r="SVY3" s="4"/>
      <c r="SVZ3" s="4"/>
      <c r="SWA3" s="4"/>
      <c r="SWB3" s="4"/>
      <c r="SWC3" s="4"/>
      <c r="SWD3" s="4"/>
      <c r="SWE3" s="4"/>
      <c r="SWF3" s="4"/>
      <c r="SWG3" s="4"/>
      <c r="SWH3" s="4"/>
      <c r="SWI3" s="4"/>
      <c r="SWJ3" s="4"/>
      <c r="SWK3" s="4"/>
      <c r="SWL3" s="4"/>
      <c r="SWM3" s="4"/>
      <c r="SWN3" s="4"/>
      <c r="SWO3" s="4"/>
      <c r="SWP3" s="4"/>
      <c r="SWQ3" s="4"/>
      <c r="SWR3" s="4"/>
      <c r="SWS3" s="4"/>
      <c r="SWT3" s="4"/>
      <c r="SWU3" s="4"/>
      <c r="SWV3" s="4"/>
      <c r="SWW3" s="4"/>
      <c r="SWX3" s="4"/>
      <c r="SWY3" s="4"/>
      <c r="SWZ3" s="4"/>
      <c r="SXA3" s="4"/>
      <c r="SXB3" s="4"/>
      <c r="SXC3" s="4"/>
      <c r="SXD3" s="4"/>
      <c r="SXE3" s="4"/>
      <c r="SXF3" s="4"/>
      <c r="SXG3" s="4"/>
      <c r="SXH3" s="4"/>
      <c r="SXI3" s="4"/>
      <c r="SXJ3" s="4"/>
      <c r="SXK3" s="4"/>
      <c r="SXL3" s="4"/>
      <c r="SXM3" s="4"/>
      <c r="SXN3" s="4"/>
      <c r="SXO3" s="4"/>
      <c r="SXP3" s="4"/>
      <c r="SXQ3" s="4"/>
      <c r="SXR3" s="4"/>
      <c r="SXS3" s="4"/>
      <c r="SXT3" s="4"/>
      <c r="SXU3" s="4"/>
      <c r="SXV3" s="4"/>
      <c r="SXW3" s="4"/>
      <c r="SXX3" s="4"/>
      <c r="SXY3" s="4"/>
      <c r="SXZ3" s="4"/>
      <c r="SYA3" s="4"/>
      <c r="SYB3" s="4"/>
      <c r="SYC3" s="4"/>
      <c r="SYD3" s="4"/>
      <c r="SYE3" s="4"/>
      <c r="SYF3" s="4"/>
      <c r="SYG3" s="4"/>
      <c r="SYH3" s="4"/>
      <c r="SYI3" s="4"/>
      <c r="SYJ3" s="4"/>
      <c r="SYK3" s="4"/>
      <c r="SYL3" s="4"/>
      <c r="SYM3" s="4"/>
      <c r="SYN3" s="4"/>
      <c r="SYO3" s="4"/>
      <c r="SYP3" s="4"/>
      <c r="SYQ3" s="4"/>
      <c r="SYR3" s="4"/>
      <c r="SYS3" s="4"/>
      <c r="SYT3" s="4"/>
      <c r="SYU3" s="4"/>
      <c r="SYV3" s="4"/>
      <c r="SYW3" s="4"/>
      <c r="SYX3" s="4"/>
      <c r="SYY3" s="4"/>
      <c r="SYZ3" s="4"/>
      <c r="SZA3" s="4"/>
      <c r="SZB3" s="4"/>
      <c r="SZC3" s="4"/>
      <c r="SZD3" s="4"/>
      <c r="SZE3" s="4"/>
      <c r="SZF3" s="4"/>
      <c r="SZG3" s="4"/>
      <c r="SZH3" s="4"/>
      <c r="SZI3" s="4"/>
      <c r="SZJ3" s="4"/>
      <c r="SZK3" s="4"/>
      <c r="SZL3" s="4"/>
      <c r="SZM3" s="4"/>
      <c r="SZN3" s="4"/>
      <c r="SZO3" s="4"/>
      <c r="SZP3" s="4"/>
      <c r="SZQ3" s="4"/>
      <c r="SZR3" s="4"/>
      <c r="SZS3" s="4"/>
      <c r="SZT3" s="4"/>
      <c r="SZU3" s="4"/>
      <c r="SZV3" s="4"/>
      <c r="SZW3" s="4"/>
      <c r="SZX3" s="4"/>
      <c r="SZY3" s="4"/>
      <c r="SZZ3" s="4"/>
      <c r="TAA3" s="4"/>
      <c r="TAB3" s="4"/>
      <c r="TAC3" s="4"/>
      <c r="TAD3" s="4"/>
      <c r="TAE3" s="4"/>
      <c r="TAF3" s="4"/>
      <c r="TAG3" s="4"/>
      <c r="TAH3" s="4"/>
      <c r="TAI3" s="4"/>
      <c r="TAJ3" s="4"/>
      <c r="TAK3" s="4"/>
      <c r="TAL3" s="4"/>
      <c r="TAM3" s="4"/>
      <c r="TAN3" s="4"/>
      <c r="TAO3" s="4"/>
      <c r="TAP3" s="4"/>
      <c r="TAQ3" s="4"/>
      <c r="TAR3" s="4"/>
      <c r="TAS3" s="4"/>
      <c r="TAT3" s="4"/>
      <c r="TAU3" s="4"/>
      <c r="TAV3" s="4"/>
      <c r="TAW3" s="4"/>
      <c r="TAX3" s="4"/>
      <c r="TAY3" s="4"/>
      <c r="TAZ3" s="4"/>
      <c r="TBA3" s="4"/>
      <c r="TBB3" s="4"/>
      <c r="TBC3" s="4"/>
      <c r="TBD3" s="4"/>
      <c r="TBE3" s="4"/>
      <c r="TBF3" s="4"/>
      <c r="TBG3" s="4"/>
      <c r="TBH3" s="4"/>
      <c r="TBI3" s="4"/>
      <c r="TBJ3" s="4"/>
      <c r="TBK3" s="4"/>
      <c r="TBL3" s="4"/>
      <c r="TBM3" s="4"/>
      <c r="TBN3" s="4"/>
      <c r="TBO3" s="4"/>
      <c r="TBP3" s="4"/>
      <c r="TBQ3" s="4"/>
      <c r="TBR3" s="4"/>
      <c r="TBS3" s="4"/>
      <c r="TBT3" s="4"/>
      <c r="TBU3" s="4"/>
      <c r="TBV3" s="4"/>
      <c r="TBW3" s="4"/>
      <c r="TBX3" s="4"/>
      <c r="TBY3" s="4"/>
      <c r="TBZ3" s="4"/>
      <c r="TCA3" s="4"/>
      <c r="TCB3" s="4"/>
      <c r="TCC3" s="4"/>
      <c r="TCD3" s="4"/>
      <c r="TCE3" s="4"/>
      <c r="TCF3" s="4"/>
      <c r="TCG3" s="4"/>
      <c r="TCH3" s="4"/>
      <c r="TCI3" s="4"/>
      <c r="TCJ3" s="4"/>
      <c r="TCK3" s="4"/>
      <c r="TCL3" s="4"/>
      <c r="TCM3" s="4"/>
      <c r="TCN3" s="4"/>
      <c r="TCO3" s="4"/>
      <c r="TCP3" s="4"/>
      <c r="TCQ3" s="4"/>
      <c r="TCR3" s="4"/>
      <c r="TCS3" s="4"/>
      <c r="TCT3" s="4"/>
      <c r="TCU3" s="4"/>
      <c r="TCV3" s="4"/>
      <c r="TCW3" s="4"/>
      <c r="TCX3" s="4"/>
      <c r="TCY3" s="4"/>
      <c r="TCZ3" s="4"/>
      <c r="TDA3" s="4"/>
      <c r="TDB3" s="4"/>
      <c r="TDC3" s="4"/>
      <c r="TDD3" s="4"/>
      <c r="TDE3" s="4"/>
      <c r="TDF3" s="4"/>
      <c r="TDG3" s="4"/>
      <c r="TDH3" s="4"/>
      <c r="TDI3" s="4"/>
      <c r="TDJ3" s="4"/>
      <c r="TDK3" s="4"/>
      <c r="TDL3" s="4"/>
      <c r="TDM3" s="4"/>
      <c r="TDN3" s="4"/>
      <c r="TDO3" s="4"/>
      <c r="TDP3" s="4"/>
      <c r="TDQ3" s="4"/>
      <c r="TDR3" s="4"/>
      <c r="TDS3" s="4"/>
      <c r="TDT3" s="4"/>
      <c r="TDU3" s="4"/>
      <c r="TDV3" s="4"/>
      <c r="TDW3" s="4"/>
      <c r="TDX3" s="4"/>
      <c r="TDY3" s="4"/>
      <c r="TDZ3" s="4"/>
      <c r="TEA3" s="4"/>
      <c r="TEB3" s="4"/>
      <c r="TEC3" s="4"/>
      <c r="TED3" s="4"/>
      <c r="TEE3" s="4"/>
      <c r="TEF3" s="4"/>
      <c r="TEG3" s="4"/>
      <c r="TEH3" s="4"/>
      <c r="TEI3" s="4"/>
      <c r="TEJ3" s="4"/>
      <c r="TEK3" s="4"/>
      <c r="TEL3" s="4"/>
      <c r="TEM3" s="4"/>
      <c r="TEN3" s="4"/>
      <c r="TEO3" s="4"/>
      <c r="TEP3" s="4"/>
      <c r="TEQ3" s="4"/>
      <c r="TER3" s="4"/>
      <c r="TES3" s="4"/>
      <c r="TET3" s="4"/>
      <c r="TEU3" s="4"/>
      <c r="TEV3" s="4"/>
      <c r="TEW3" s="4"/>
      <c r="TEX3" s="4"/>
      <c r="TEY3" s="4"/>
      <c r="TEZ3" s="4"/>
      <c r="TFA3" s="4"/>
      <c r="TFB3" s="4"/>
      <c r="TFC3" s="4"/>
      <c r="TFD3" s="4"/>
      <c r="TFE3" s="4"/>
      <c r="TFF3" s="4"/>
      <c r="TFG3" s="4"/>
      <c r="TFH3" s="4"/>
      <c r="TFI3" s="4"/>
      <c r="TFJ3" s="4"/>
      <c r="TFK3" s="4"/>
      <c r="TFL3" s="4"/>
      <c r="TFM3" s="4"/>
      <c r="TFN3" s="4"/>
      <c r="TFO3" s="4"/>
      <c r="TFP3" s="4"/>
      <c r="TFQ3" s="4"/>
      <c r="TFR3" s="4"/>
      <c r="TFS3" s="4"/>
      <c r="TFT3" s="4"/>
      <c r="TFU3" s="4"/>
      <c r="TFV3" s="4"/>
      <c r="TFW3" s="4"/>
      <c r="TFX3" s="4"/>
      <c r="TFY3" s="4"/>
      <c r="TFZ3" s="4"/>
      <c r="TGA3" s="4"/>
      <c r="TGB3" s="4"/>
      <c r="TGC3" s="4"/>
      <c r="TGD3" s="4"/>
      <c r="TGE3" s="4"/>
      <c r="TGF3" s="4"/>
      <c r="TGG3" s="4"/>
      <c r="TGH3" s="4"/>
      <c r="TGI3" s="4"/>
      <c r="TGJ3" s="4"/>
      <c r="TGK3" s="4"/>
      <c r="TGL3" s="4"/>
      <c r="TGM3" s="4"/>
      <c r="TGN3" s="4"/>
      <c r="TGO3" s="4"/>
      <c r="TGP3" s="4"/>
      <c r="TGQ3" s="4"/>
      <c r="TGR3" s="4"/>
      <c r="TGS3" s="4"/>
      <c r="TGT3" s="4"/>
      <c r="TGU3" s="4"/>
      <c r="TGV3" s="4"/>
      <c r="TGW3" s="4"/>
      <c r="TGX3" s="4"/>
      <c r="TGY3" s="4"/>
      <c r="TGZ3" s="4"/>
      <c r="THA3" s="4"/>
      <c r="THB3" s="4"/>
      <c r="THC3" s="4"/>
      <c r="THD3" s="4"/>
      <c r="THE3" s="4"/>
      <c r="THF3" s="4"/>
      <c r="THG3" s="4"/>
      <c r="THH3" s="4"/>
      <c r="THI3" s="4"/>
      <c r="THJ3" s="4"/>
      <c r="THK3" s="4"/>
      <c r="THL3" s="4"/>
      <c r="THM3" s="4"/>
      <c r="THN3" s="4"/>
      <c r="THO3" s="4"/>
      <c r="THP3" s="4"/>
      <c r="THQ3" s="4"/>
      <c r="THR3" s="4"/>
      <c r="THS3" s="4"/>
      <c r="THT3" s="4"/>
      <c r="THU3" s="4"/>
      <c r="THV3" s="4"/>
      <c r="THW3" s="4"/>
      <c r="THX3" s="4"/>
      <c r="THY3" s="4"/>
      <c r="THZ3" s="4"/>
      <c r="TIA3" s="4"/>
      <c r="TIB3" s="4"/>
      <c r="TIC3" s="4"/>
      <c r="TID3" s="4"/>
      <c r="TIE3" s="4"/>
      <c r="TIF3" s="4"/>
      <c r="TIG3" s="4"/>
      <c r="TIH3" s="4"/>
      <c r="TII3" s="4"/>
      <c r="TIJ3" s="4"/>
      <c r="TIK3" s="4"/>
      <c r="TIL3" s="4"/>
      <c r="TIM3" s="4"/>
      <c r="TIN3" s="4"/>
      <c r="TIO3" s="4"/>
      <c r="TIP3" s="4"/>
      <c r="TIQ3" s="4"/>
      <c r="TIR3" s="4"/>
      <c r="TIS3" s="4"/>
      <c r="TIT3" s="4"/>
      <c r="TIU3" s="4"/>
      <c r="TIV3" s="4"/>
      <c r="TIW3" s="4"/>
      <c r="TIX3" s="4"/>
      <c r="TIY3" s="4"/>
      <c r="TIZ3" s="4"/>
      <c r="TJA3" s="4"/>
      <c r="TJB3" s="4"/>
      <c r="TJC3" s="4"/>
      <c r="TJD3" s="4"/>
      <c r="TJE3" s="4"/>
      <c r="TJF3" s="4"/>
      <c r="TJG3" s="4"/>
      <c r="TJH3" s="4"/>
      <c r="TJI3" s="4"/>
      <c r="TJJ3" s="4"/>
      <c r="TJK3" s="4"/>
      <c r="TJL3" s="4"/>
      <c r="TJM3" s="4"/>
      <c r="TJN3" s="4"/>
      <c r="TJO3" s="4"/>
      <c r="TJP3" s="4"/>
      <c r="TJQ3" s="4"/>
      <c r="TJR3" s="4"/>
      <c r="TJS3" s="4"/>
      <c r="TJT3" s="4"/>
      <c r="TJU3" s="4"/>
      <c r="TJV3" s="4"/>
      <c r="TJW3" s="4"/>
      <c r="TJX3" s="4"/>
      <c r="TJY3" s="4"/>
      <c r="TJZ3" s="4"/>
      <c r="TKA3" s="4"/>
      <c r="TKB3" s="4"/>
      <c r="TKC3" s="4"/>
      <c r="TKD3" s="4"/>
      <c r="TKE3" s="4"/>
      <c r="TKF3" s="4"/>
      <c r="TKG3" s="4"/>
      <c r="TKH3" s="4"/>
      <c r="TKI3" s="4"/>
      <c r="TKJ3" s="4"/>
      <c r="TKK3" s="4"/>
      <c r="TKL3" s="4"/>
      <c r="TKM3" s="4"/>
      <c r="TKN3" s="4"/>
      <c r="TKO3" s="4"/>
      <c r="TKP3" s="4"/>
      <c r="TKQ3" s="4"/>
      <c r="TKR3" s="4"/>
      <c r="TKS3" s="4"/>
      <c r="TKT3" s="4"/>
      <c r="TKU3" s="4"/>
      <c r="TKV3" s="4"/>
      <c r="TKW3" s="4"/>
      <c r="TKX3" s="4"/>
      <c r="TKY3" s="4"/>
      <c r="TKZ3" s="4"/>
      <c r="TLA3" s="4"/>
      <c r="TLB3" s="4"/>
      <c r="TLC3" s="4"/>
      <c r="TLD3" s="4"/>
      <c r="TLE3" s="4"/>
      <c r="TLF3" s="4"/>
      <c r="TLG3" s="4"/>
      <c r="TLH3" s="4"/>
      <c r="TLI3" s="4"/>
      <c r="TLJ3" s="4"/>
      <c r="TLK3" s="4"/>
      <c r="TLL3" s="4"/>
      <c r="TLM3" s="4"/>
      <c r="TLN3" s="4"/>
      <c r="TLO3" s="4"/>
      <c r="TLP3" s="4"/>
      <c r="TLQ3" s="4"/>
      <c r="TLR3" s="4"/>
      <c r="TLS3" s="4"/>
      <c r="TLT3" s="4"/>
      <c r="TLU3" s="4"/>
      <c r="TLV3" s="4"/>
      <c r="TLW3" s="4"/>
      <c r="TLX3" s="4"/>
      <c r="TLY3" s="4"/>
      <c r="TLZ3" s="4"/>
      <c r="TMA3" s="4"/>
      <c r="TMB3" s="4"/>
      <c r="TMC3" s="4"/>
      <c r="TMD3" s="4"/>
      <c r="TME3" s="4"/>
      <c r="TMF3" s="4"/>
      <c r="TMG3" s="4"/>
      <c r="TMH3" s="4"/>
      <c r="TMI3" s="4"/>
      <c r="TMJ3" s="4"/>
      <c r="TMK3" s="4"/>
      <c r="TML3" s="4"/>
      <c r="TMM3" s="4"/>
      <c r="TMN3" s="4"/>
      <c r="TMO3" s="4"/>
      <c r="TMP3" s="4"/>
      <c r="TMQ3" s="4"/>
      <c r="TMR3" s="4"/>
      <c r="TMS3" s="4"/>
      <c r="TMT3" s="4"/>
      <c r="TMU3" s="4"/>
      <c r="TMV3" s="4"/>
      <c r="TMW3" s="4"/>
      <c r="TMX3" s="4"/>
      <c r="TMY3" s="4"/>
      <c r="TMZ3" s="4"/>
      <c r="TNA3" s="4"/>
      <c r="TNB3" s="4"/>
      <c r="TNC3" s="4"/>
      <c r="TND3" s="4"/>
      <c r="TNE3" s="4"/>
      <c r="TNF3" s="4"/>
      <c r="TNG3" s="4"/>
      <c r="TNH3" s="4"/>
      <c r="TNI3" s="4"/>
      <c r="TNJ3" s="4"/>
      <c r="TNK3" s="4"/>
      <c r="TNL3" s="4"/>
      <c r="TNM3" s="4"/>
      <c r="TNN3" s="4"/>
      <c r="TNO3" s="4"/>
      <c r="TNP3" s="4"/>
      <c r="TNQ3" s="4"/>
      <c r="TNR3" s="4"/>
      <c r="TNS3" s="4"/>
      <c r="TNT3" s="4"/>
      <c r="TNU3" s="4"/>
      <c r="TNV3" s="4"/>
      <c r="TNW3" s="4"/>
      <c r="TNX3" s="4"/>
      <c r="TNY3" s="4"/>
      <c r="TNZ3" s="4"/>
      <c r="TOA3" s="4"/>
      <c r="TOB3" s="4"/>
      <c r="TOC3" s="4"/>
      <c r="TOD3" s="4"/>
      <c r="TOE3" s="4"/>
      <c r="TOF3" s="4"/>
      <c r="TOG3" s="4"/>
      <c r="TOH3" s="4"/>
      <c r="TOI3" s="4"/>
      <c r="TOJ3" s="4"/>
      <c r="TOK3" s="4"/>
      <c r="TOL3" s="4"/>
      <c r="TOM3" s="4"/>
      <c r="TON3" s="4"/>
      <c r="TOO3" s="4"/>
      <c r="TOP3" s="4"/>
      <c r="TOQ3" s="4"/>
      <c r="TOR3" s="4"/>
      <c r="TOS3" s="4"/>
      <c r="TOT3" s="4"/>
      <c r="TOU3" s="4"/>
      <c r="TOV3" s="4"/>
      <c r="TOW3" s="4"/>
      <c r="TOX3" s="4"/>
      <c r="TOY3" s="4"/>
      <c r="TOZ3" s="4"/>
      <c r="TPA3" s="4"/>
      <c r="TPB3" s="4"/>
      <c r="TPC3" s="4"/>
      <c r="TPD3" s="4"/>
      <c r="TPE3" s="4"/>
      <c r="TPF3" s="4"/>
      <c r="TPG3" s="4"/>
      <c r="TPH3" s="4"/>
      <c r="TPI3" s="4"/>
      <c r="TPJ3" s="4"/>
      <c r="TPK3" s="4"/>
      <c r="TPL3" s="4"/>
      <c r="TPM3" s="4"/>
      <c r="TPN3" s="4"/>
      <c r="TPO3" s="4"/>
      <c r="TPP3" s="4"/>
      <c r="TPQ3" s="4"/>
      <c r="TPR3" s="4"/>
      <c r="TPS3" s="4"/>
      <c r="TPT3" s="4"/>
      <c r="TPU3" s="4"/>
      <c r="TPV3" s="4"/>
      <c r="TPW3" s="4"/>
      <c r="TPX3" s="4"/>
      <c r="TPY3" s="4"/>
      <c r="TPZ3" s="4"/>
      <c r="TQA3" s="4"/>
      <c r="TQB3" s="4"/>
      <c r="TQC3" s="4"/>
      <c r="TQD3" s="4"/>
      <c r="TQE3" s="4"/>
      <c r="TQF3" s="4"/>
      <c r="TQG3" s="4"/>
      <c r="TQH3" s="4"/>
      <c r="TQI3" s="4"/>
      <c r="TQJ3" s="4"/>
      <c r="TQK3" s="4"/>
      <c r="TQL3" s="4"/>
      <c r="TQM3" s="4"/>
      <c r="TQN3" s="4"/>
      <c r="TQO3" s="4"/>
      <c r="TQP3" s="4"/>
      <c r="TQQ3" s="4"/>
      <c r="TQR3" s="4"/>
      <c r="TQS3" s="4"/>
      <c r="TQT3" s="4"/>
      <c r="TQU3" s="4"/>
      <c r="TQV3" s="4"/>
      <c r="TQW3" s="4"/>
      <c r="TQX3" s="4"/>
      <c r="TQY3" s="4"/>
      <c r="TQZ3" s="4"/>
      <c r="TRA3" s="4"/>
      <c r="TRB3" s="4"/>
      <c r="TRC3" s="4"/>
      <c r="TRD3" s="4"/>
      <c r="TRE3" s="4"/>
      <c r="TRF3" s="4"/>
      <c r="TRG3" s="4"/>
      <c r="TRH3" s="4"/>
      <c r="TRI3" s="4"/>
      <c r="TRJ3" s="4"/>
      <c r="TRK3" s="4"/>
      <c r="TRL3" s="4"/>
      <c r="TRM3" s="4"/>
      <c r="TRN3" s="4"/>
      <c r="TRO3" s="4"/>
      <c r="TRP3" s="4"/>
      <c r="TRQ3" s="4"/>
      <c r="TRR3" s="4"/>
      <c r="TRS3" s="4"/>
      <c r="TRT3" s="4"/>
      <c r="TRU3" s="4"/>
      <c r="TRV3" s="4"/>
      <c r="TRW3" s="4"/>
      <c r="TRX3" s="4"/>
      <c r="TRY3" s="4"/>
      <c r="TRZ3" s="4"/>
      <c r="TSA3" s="4"/>
      <c r="TSB3" s="4"/>
      <c r="TSC3" s="4"/>
      <c r="TSD3" s="4"/>
      <c r="TSE3" s="4"/>
      <c r="TSF3" s="4"/>
      <c r="TSG3" s="4"/>
      <c r="TSH3" s="4"/>
      <c r="TSI3" s="4"/>
      <c r="TSJ3" s="4"/>
      <c r="TSK3" s="4"/>
      <c r="TSL3" s="4"/>
      <c r="TSM3" s="4"/>
      <c r="TSN3" s="4"/>
      <c r="TSO3" s="4"/>
      <c r="TSP3" s="4"/>
      <c r="TSQ3" s="4"/>
      <c r="TSR3" s="4"/>
      <c r="TSS3" s="4"/>
      <c r="TST3" s="4"/>
      <c r="TSU3" s="4"/>
      <c r="TSV3" s="4"/>
      <c r="TSW3" s="4"/>
      <c r="TSX3" s="4"/>
      <c r="TSY3" s="4"/>
      <c r="TSZ3" s="4"/>
      <c r="TTA3" s="4"/>
      <c r="TTB3" s="4"/>
      <c r="TTC3" s="4"/>
      <c r="TTD3" s="4"/>
      <c r="TTE3" s="4"/>
      <c r="TTF3" s="4"/>
      <c r="TTG3" s="4"/>
      <c r="TTH3" s="4"/>
      <c r="TTI3" s="4"/>
      <c r="TTJ3" s="4"/>
      <c r="TTK3" s="4"/>
      <c r="TTL3" s="4"/>
      <c r="TTM3" s="4"/>
      <c r="TTN3" s="4"/>
      <c r="TTO3" s="4"/>
      <c r="TTP3" s="4"/>
      <c r="TTQ3" s="4"/>
      <c r="TTR3" s="4"/>
      <c r="TTS3" s="4"/>
      <c r="TTT3" s="4"/>
      <c r="TTU3" s="4"/>
      <c r="TTV3" s="4"/>
      <c r="TTW3" s="4"/>
      <c r="TTX3" s="4"/>
      <c r="TTY3" s="4"/>
      <c r="TTZ3" s="4"/>
      <c r="TUA3" s="4"/>
      <c r="TUB3" s="4"/>
      <c r="TUC3" s="4"/>
      <c r="TUD3" s="4"/>
      <c r="TUE3" s="4"/>
      <c r="TUF3" s="4"/>
      <c r="TUG3" s="4"/>
      <c r="TUH3" s="4"/>
      <c r="TUI3" s="4"/>
      <c r="TUJ3" s="4"/>
      <c r="TUK3" s="4"/>
      <c r="TUL3" s="4"/>
      <c r="TUM3" s="4"/>
      <c r="TUN3" s="4"/>
      <c r="TUO3" s="4"/>
      <c r="TUP3" s="4"/>
      <c r="TUQ3" s="4"/>
      <c r="TUR3" s="4"/>
      <c r="TUS3" s="4"/>
      <c r="TUT3" s="4"/>
      <c r="TUU3" s="4"/>
      <c r="TUV3" s="4"/>
      <c r="TUW3" s="4"/>
      <c r="TUX3" s="4"/>
      <c r="TUY3" s="4"/>
      <c r="TUZ3" s="4"/>
      <c r="TVA3" s="4"/>
      <c r="TVB3" s="4"/>
      <c r="TVC3" s="4"/>
      <c r="TVD3" s="4"/>
      <c r="TVE3" s="4"/>
      <c r="TVF3" s="4"/>
      <c r="TVG3" s="4"/>
      <c r="TVH3" s="4"/>
      <c r="TVI3" s="4"/>
      <c r="TVJ3" s="4"/>
      <c r="TVK3" s="4"/>
      <c r="TVL3" s="4"/>
      <c r="TVM3" s="4"/>
      <c r="TVN3" s="4"/>
      <c r="TVO3" s="4"/>
      <c r="TVP3" s="4"/>
      <c r="TVQ3" s="4"/>
      <c r="TVR3" s="4"/>
      <c r="TVS3" s="4"/>
      <c r="TVT3" s="4"/>
      <c r="TVU3" s="4"/>
      <c r="TVV3" s="4"/>
      <c r="TVW3" s="4"/>
      <c r="TVX3" s="4"/>
      <c r="TVY3" s="4"/>
      <c r="TVZ3" s="4"/>
      <c r="TWA3" s="4"/>
      <c r="TWB3" s="4"/>
      <c r="TWC3" s="4"/>
      <c r="TWD3" s="4"/>
      <c r="TWE3" s="4"/>
      <c r="TWF3" s="4"/>
      <c r="TWG3" s="4"/>
      <c r="TWH3" s="4"/>
      <c r="TWI3" s="4"/>
      <c r="TWJ3" s="4"/>
      <c r="TWK3" s="4"/>
      <c r="TWL3" s="4"/>
      <c r="TWM3" s="4"/>
      <c r="TWN3" s="4"/>
      <c r="TWO3" s="4"/>
      <c r="TWP3" s="4"/>
      <c r="TWQ3" s="4"/>
      <c r="TWR3" s="4"/>
      <c r="TWS3" s="4"/>
      <c r="TWT3" s="4"/>
      <c r="TWU3" s="4"/>
      <c r="TWV3" s="4"/>
      <c r="TWW3" s="4"/>
      <c r="TWX3" s="4"/>
      <c r="TWY3" s="4"/>
      <c r="TWZ3" s="4"/>
      <c r="TXA3" s="4"/>
      <c r="TXB3" s="4"/>
      <c r="TXC3" s="4"/>
      <c r="TXD3" s="4"/>
      <c r="TXE3" s="4"/>
      <c r="TXF3" s="4"/>
      <c r="TXG3" s="4"/>
      <c r="TXH3" s="4"/>
      <c r="TXI3" s="4"/>
      <c r="TXJ3" s="4"/>
      <c r="TXK3" s="4"/>
      <c r="TXL3" s="4"/>
      <c r="TXM3" s="4"/>
      <c r="TXN3" s="4"/>
      <c r="TXO3" s="4"/>
      <c r="TXP3" s="4"/>
      <c r="TXQ3" s="4"/>
      <c r="TXR3" s="4"/>
      <c r="TXS3" s="4"/>
      <c r="TXT3" s="4"/>
      <c r="TXU3" s="4"/>
      <c r="TXV3" s="4"/>
      <c r="TXW3" s="4"/>
      <c r="TXX3" s="4"/>
      <c r="TXY3" s="4"/>
      <c r="TXZ3" s="4"/>
      <c r="TYA3" s="4"/>
      <c r="TYB3" s="4"/>
      <c r="TYC3" s="4"/>
      <c r="TYD3" s="4"/>
      <c r="TYE3" s="4"/>
      <c r="TYF3" s="4"/>
      <c r="TYG3" s="4"/>
      <c r="TYH3" s="4"/>
      <c r="TYI3" s="4"/>
      <c r="TYJ3" s="4"/>
      <c r="TYK3" s="4"/>
      <c r="TYL3" s="4"/>
      <c r="TYM3" s="4"/>
      <c r="TYN3" s="4"/>
      <c r="TYO3" s="4"/>
      <c r="TYP3" s="4"/>
      <c r="TYQ3" s="4"/>
      <c r="TYR3" s="4"/>
      <c r="TYS3" s="4"/>
      <c r="TYT3" s="4"/>
      <c r="TYU3" s="4"/>
      <c r="TYV3" s="4"/>
      <c r="TYW3" s="4"/>
      <c r="TYX3" s="4"/>
      <c r="TYY3" s="4"/>
      <c r="TYZ3" s="4"/>
      <c r="TZA3" s="4"/>
      <c r="TZB3" s="4"/>
      <c r="TZC3" s="4"/>
      <c r="TZD3" s="4"/>
      <c r="TZE3" s="4"/>
      <c r="TZF3" s="4"/>
      <c r="TZG3" s="4"/>
      <c r="TZH3" s="4"/>
      <c r="TZI3" s="4"/>
      <c r="TZJ3" s="4"/>
      <c r="TZK3" s="4"/>
      <c r="TZL3" s="4"/>
      <c r="TZM3" s="4"/>
      <c r="TZN3" s="4"/>
      <c r="TZO3" s="4"/>
      <c r="TZP3" s="4"/>
      <c r="TZQ3" s="4"/>
      <c r="TZR3" s="4"/>
      <c r="TZS3" s="4"/>
      <c r="TZT3" s="4"/>
      <c r="TZU3" s="4"/>
      <c r="TZV3" s="4"/>
      <c r="TZW3" s="4"/>
      <c r="TZX3" s="4"/>
      <c r="TZY3" s="4"/>
      <c r="TZZ3" s="4"/>
      <c r="UAA3" s="4"/>
      <c r="UAB3" s="4"/>
      <c r="UAC3" s="4"/>
      <c r="UAD3" s="4"/>
      <c r="UAE3" s="4"/>
      <c r="UAF3" s="4"/>
      <c r="UAG3" s="4"/>
      <c r="UAH3" s="4"/>
      <c r="UAI3" s="4"/>
      <c r="UAJ3" s="4"/>
      <c r="UAK3" s="4"/>
      <c r="UAL3" s="4"/>
      <c r="UAM3" s="4"/>
      <c r="UAN3" s="4"/>
      <c r="UAO3" s="4"/>
      <c r="UAP3" s="4"/>
      <c r="UAQ3" s="4"/>
      <c r="UAR3" s="4"/>
      <c r="UAS3" s="4"/>
      <c r="UAT3" s="4"/>
      <c r="UAU3" s="4"/>
      <c r="UAV3" s="4"/>
      <c r="UAW3" s="4"/>
      <c r="UAX3" s="4"/>
      <c r="UAY3" s="4"/>
      <c r="UAZ3" s="4"/>
      <c r="UBA3" s="4"/>
      <c r="UBB3" s="4"/>
      <c r="UBC3" s="4"/>
      <c r="UBD3" s="4"/>
      <c r="UBE3" s="4"/>
      <c r="UBF3" s="4"/>
      <c r="UBG3" s="4"/>
      <c r="UBH3" s="4"/>
      <c r="UBI3" s="4"/>
      <c r="UBJ3" s="4"/>
      <c r="UBK3" s="4"/>
      <c r="UBL3" s="4"/>
      <c r="UBM3" s="4"/>
      <c r="UBN3" s="4"/>
      <c r="UBO3" s="4"/>
      <c r="UBP3" s="4"/>
      <c r="UBQ3" s="4"/>
      <c r="UBR3" s="4"/>
      <c r="UBS3" s="4"/>
      <c r="UBT3" s="4"/>
      <c r="UBU3" s="4"/>
      <c r="UBV3" s="4"/>
      <c r="UBW3" s="4"/>
      <c r="UBX3" s="4"/>
      <c r="UBY3" s="4"/>
      <c r="UBZ3" s="4"/>
      <c r="UCA3" s="4"/>
      <c r="UCB3" s="4"/>
      <c r="UCC3" s="4"/>
      <c r="UCD3" s="4"/>
      <c r="UCE3" s="4"/>
      <c r="UCF3" s="4"/>
      <c r="UCG3" s="4"/>
      <c r="UCH3" s="4"/>
      <c r="UCI3" s="4"/>
      <c r="UCJ3" s="4"/>
      <c r="UCK3" s="4"/>
      <c r="UCL3" s="4"/>
      <c r="UCM3" s="4"/>
      <c r="UCN3" s="4"/>
      <c r="UCO3" s="4"/>
      <c r="UCP3" s="4"/>
      <c r="UCQ3" s="4"/>
      <c r="UCR3" s="4"/>
      <c r="UCS3" s="4"/>
      <c r="UCT3" s="4"/>
      <c r="UCU3" s="4"/>
      <c r="UCV3" s="4"/>
      <c r="UCW3" s="4"/>
      <c r="UCX3" s="4"/>
      <c r="UCY3" s="4"/>
      <c r="UCZ3" s="4"/>
      <c r="UDA3" s="4"/>
      <c r="UDB3" s="4"/>
      <c r="UDC3" s="4"/>
      <c r="UDD3" s="4"/>
      <c r="UDE3" s="4"/>
      <c r="UDF3" s="4"/>
      <c r="UDG3" s="4"/>
      <c r="UDH3" s="4"/>
      <c r="UDI3" s="4"/>
      <c r="UDJ3" s="4"/>
      <c r="UDK3" s="4"/>
      <c r="UDL3" s="4"/>
      <c r="UDM3" s="4"/>
      <c r="UDN3" s="4"/>
      <c r="UDO3" s="4"/>
      <c r="UDP3" s="4"/>
      <c r="UDQ3" s="4"/>
      <c r="UDR3" s="4"/>
      <c r="UDS3" s="4"/>
      <c r="UDT3" s="4"/>
      <c r="UDU3" s="4"/>
      <c r="UDV3" s="4"/>
      <c r="UDW3" s="4"/>
      <c r="UDX3" s="4"/>
      <c r="UDY3" s="4"/>
      <c r="UDZ3" s="4"/>
      <c r="UEA3" s="4"/>
      <c r="UEB3" s="4"/>
      <c r="UEC3" s="4"/>
      <c r="UED3" s="4"/>
      <c r="UEE3" s="4"/>
      <c r="UEF3" s="4"/>
      <c r="UEG3" s="4"/>
      <c r="UEH3" s="4"/>
      <c r="UEI3" s="4"/>
      <c r="UEJ3" s="4"/>
      <c r="UEK3" s="4"/>
      <c r="UEL3" s="4"/>
      <c r="UEM3" s="4"/>
      <c r="UEN3" s="4"/>
      <c r="UEO3" s="4"/>
      <c r="UEP3" s="4"/>
      <c r="UEQ3" s="4"/>
      <c r="UER3" s="4"/>
      <c r="UES3" s="4"/>
      <c r="UET3" s="4"/>
      <c r="UEU3" s="4"/>
      <c r="UEV3" s="4"/>
      <c r="UEW3" s="4"/>
      <c r="UEX3" s="4"/>
      <c r="UEY3" s="4"/>
      <c r="UEZ3" s="4"/>
      <c r="UFA3" s="4"/>
      <c r="UFB3" s="4"/>
      <c r="UFC3" s="4"/>
      <c r="UFD3" s="4"/>
      <c r="UFE3" s="4"/>
      <c r="UFF3" s="4"/>
      <c r="UFG3" s="4"/>
      <c r="UFH3" s="4"/>
      <c r="UFI3" s="4"/>
      <c r="UFJ3" s="4"/>
      <c r="UFK3" s="4"/>
      <c r="UFL3" s="4"/>
      <c r="UFM3" s="4"/>
      <c r="UFN3" s="4"/>
      <c r="UFO3" s="4"/>
      <c r="UFP3" s="4"/>
      <c r="UFQ3" s="4"/>
      <c r="UFR3" s="4"/>
      <c r="UFS3" s="4"/>
      <c r="UFT3" s="4"/>
      <c r="UFU3" s="4"/>
      <c r="UFV3" s="4"/>
      <c r="UFW3" s="4"/>
      <c r="UFX3" s="4"/>
      <c r="UFY3" s="4"/>
      <c r="UFZ3" s="4"/>
      <c r="UGA3" s="4"/>
      <c r="UGB3" s="4"/>
      <c r="UGC3" s="4"/>
      <c r="UGD3" s="4"/>
      <c r="UGE3" s="4"/>
      <c r="UGF3" s="4"/>
      <c r="UGG3" s="4"/>
      <c r="UGH3" s="4"/>
      <c r="UGI3" s="4"/>
      <c r="UGJ3" s="4"/>
      <c r="UGK3" s="4"/>
      <c r="UGL3" s="4"/>
      <c r="UGM3" s="4"/>
      <c r="UGN3" s="4"/>
      <c r="UGO3" s="4"/>
      <c r="UGP3" s="4"/>
      <c r="UGQ3" s="4"/>
      <c r="UGR3" s="4"/>
      <c r="UGS3" s="4"/>
      <c r="UGT3" s="4"/>
      <c r="UGU3" s="4"/>
      <c r="UGV3" s="4"/>
      <c r="UGW3" s="4"/>
      <c r="UGX3" s="4"/>
      <c r="UGY3" s="4"/>
      <c r="UGZ3" s="4"/>
      <c r="UHA3" s="4"/>
      <c r="UHB3" s="4"/>
      <c r="UHC3" s="4"/>
      <c r="UHD3" s="4"/>
      <c r="UHE3" s="4"/>
      <c r="UHF3" s="4"/>
      <c r="UHG3" s="4"/>
      <c r="UHH3" s="4"/>
      <c r="UHI3" s="4"/>
      <c r="UHJ3" s="4"/>
      <c r="UHK3" s="4"/>
      <c r="UHL3" s="4"/>
      <c r="UHM3" s="4"/>
      <c r="UHN3" s="4"/>
      <c r="UHO3" s="4"/>
      <c r="UHP3" s="4"/>
      <c r="UHQ3" s="4"/>
      <c r="UHR3" s="4"/>
      <c r="UHS3" s="4"/>
      <c r="UHT3" s="4"/>
      <c r="UHU3" s="4"/>
      <c r="UHV3" s="4"/>
      <c r="UHW3" s="4"/>
      <c r="UHX3" s="4"/>
      <c r="UHY3" s="4"/>
      <c r="UHZ3" s="4"/>
      <c r="UIA3" s="4"/>
      <c r="UIB3" s="4"/>
      <c r="UIC3" s="4"/>
      <c r="UID3" s="4"/>
      <c r="UIE3" s="4"/>
      <c r="UIF3" s="4"/>
      <c r="UIG3" s="4"/>
      <c r="UIH3" s="4"/>
      <c r="UII3" s="4"/>
      <c r="UIJ3" s="4"/>
      <c r="UIK3" s="4"/>
      <c r="UIL3" s="4"/>
      <c r="UIM3" s="4"/>
      <c r="UIN3" s="4"/>
      <c r="UIO3" s="4"/>
      <c r="UIP3" s="4"/>
      <c r="UIQ3" s="4"/>
      <c r="UIR3" s="4"/>
      <c r="UIS3" s="4"/>
      <c r="UIT3" s="4"/>
      <c r="UIU3" s="4"/>
      <c r="UIV3" s="4"/>
      <c r="UIW3" s="4"/>
      <c r="UIX3" s="4"/>
      <c r="UIY3" s="4"/>
      <c r="UIZ3" s="4"/>
      <c r="UJA3" s="4"/>
      <c r="UJB3" s="4"/>
      <c r="UJC3" s="4"/>
      <c r="UJD3" s="4"/>
      <c r="UJE3" s="4"/>
      <c r="UJF3" s="4"/>
      <c r="UJG3" s="4"/>
      <c r="UJH3" s="4"/>
      <c r="UJI3" s="4"/>
      <c r="UJJ3" s="4"/>
      <c r="UJK3" s="4"/>
      <c r="UJL3" s="4"/>
      <c r="UJM3" s="4"/>
      <c r="UJN3" s="4"/>
      <c r="UJO3" s="4"/>
      <c r="UJP3" s="4"/>
      <c r="UJQ3" s="4"/>
      <c r="UJR3" s="4"/>
      <c r="UJS3" s="4"/>
      <c r="UJT3" s="4"/>
      <c r="UJU3" s="4"/>
      <c r="UJV3" s="4"/>
      <c r="UJW3" s="4"/>
      <c r="UJX3" s="4"/>
      <c r="UJY3" s="4"/>
      <c r="UJZ3" s="4"/>
      <c r="UKA3" s="4"/>
      <c r="UKB3" s="4"/>
      <c r="UKC3" s="4"/>
      <c r="UKD3" s="4"/>
      <c r="UKE3" s="4"/>
      <c r="UKF3" s="4"/>
      <c r="UKG3" s="4"/>
      <c r="UKH3" s="4"/>
      <c r="UKI3" s="4"/>
      <c r="UKJ3" s="4"/>
      <c r="UKK3" s="4"/>
      <c r="UKL3" s="4"/>
      <c r="UKM3" s="4"/>
      <c r="UKN3" s="4"/>
      <c r="UKO3" s="4"/>
      <c r="UKP3" s="4"/>
      <c r="UKQ3" s="4"/>
      <c r="UKR3" s="4"/>
      <c r="UKS3" s="4"/>
      <c r="UKT3" s="4"/>
      <c r="UKU3" s="4"/>
      <c r="UKV3" s="4"/>
      <c r="UKW3" s="4"/>
      <c r="UKX3" s="4"/>
      <c r="UKY3" s="4"/>
      <c r="UKZ3" s="4"/>
      <c r="ULA3" s="4"/>
      <c r="ULB3" s="4"/>
      <c r="ULC3" s="4"/>
      <c r="ULD3" s="4"/>
      <c r="ULE3" s="4"/>
      <c r="ULF3" s="4"/>
      <c r="ULG3" s="4"/>
      <c r="ULH3" s="4"/>
      <c r="ULI3" s="4"/>
      <c r="ULJ3" s="4"/>
      <c r="ULK3" s="4"/>
      <c r="ULL3" s="4"/>
      <c r="ULM3" s="4"/>
      <c r="ULN3" s="4"/>
      <c r="ULO3" s="4"/>
      <c r="ULP3" s="4"/>
      <c r="ULQ3" s="4"/>
      <c r="ULR3" s="4"/>
      <c r="ULS3" s="4"/>
      <c r="ULT3" s="4"/>
      <c r="ULU3" s="4"/>
      <c r="ULV3" s="4"/>
      <c r="ULW3" s="4"/>
      <c r="ULX3" s="4"/>
      <c r="ULY3" s="4"/>
      <c r="ULZ3" s="4"/>
      <c r="UMA3" s="4"/>
      <c r="UMB3" s="4"/>
      <c r="UMC3" s="4"/>
      <c r="UMD3" s="4"/>
      <c r="UME3" s="4"/>
      <c r="UMF3" s="4"/>
      <c r="UMG3" s="4"/>
      <c r="UMH3" s="4"/>
      <c r="UMI3" s="4"/>
      <c r="UMJ3" s="4"/>
      <c r="UMK3" s="4"/>
      <c r="UML3" s="4"/>
      <c r="UMM3" s="4"/>
      <c r="UMN3" s="4"/>
      <c r="UMO3" s="4"/>
      <c r="UMP3" s="4"/>
      <c r="UMQ3" s="4"/>
      <c r="UMR3" s="4"/>
      <c r="UMS3" s="4"/>
      <c r="UMT3" s="4"/>
      <c r="UMU3" s="4"/>
      <c r="UMV3" s="4"/>
      <c r="UMW3" s="4"/>
      <c r="UMX3" s="4"/>
      <c r="UMY3" s="4"/>
      <c r="UMZ3" s="4"/>
      <c r="UNA3" s="4"/>
      <c r="UNB3" s="4"/>
      <c r="UNC3" s="4"/>
      <c r="UND3" s="4"/>
      <c r="UNE3" s="4"/>
      <c r="UNF3" s="4"/>
      <c r="UNG3" s="4"/>
      <c r="UNH3" s="4"/>
      <c r="UNI3" s="4"/>
      <c r="UNJ3" s="4"/>
      <c r="UNK3" s="4"/>
      <c r="UNL3" s="4"/>
      <c r="UNM3" s="4"/>
      <c r="UNN3" s="4"/>
      <c r="UNO3" s="4"/>
      <c r="UNP3" s="4"/>
      <c r="UNQ3" s="4"/>
      <c r="UNR3" s="4"/>
      <c r="UNS3" s="4"/>
      <c r="UNT3" s="4"/>
      <c r="UNU3" s="4"/>
      <c r="UNV3" s="4"/>
      <c r="UNW3" s="4"/>
      <c r="UNX3" s="4"/>
      <c r="UNY3" s="4"/>
      <c r="UNZ3" s="4"/>
      <c r="UOA3" s="4"/>
      <c r="UOB3" s="4"/>
      <c r="UOC3" s="4"/>
      <c r="UOD3" s="4"/>
      <c r="UOE3" s="4"/>
      <c r="UOF3" s="4"/>
      <c r="UOG3" s="4"/>
      <c r="UOH3" s="4"/>
      <c r="UOI3" s="4"/>
      <c r="UOJ3" s="4"/>
      <c r="UOK3" s="4"/>
      <c r="UOL3" s="4"/>
      <c r="UOM3" s="4"/>
      <c r="UON3" s="4"/>
      <c r="UOO3" s="4"/>
      <c r="UOP3" s="4"/>
      <c r="UOQ3" s="4"/>
      <c r="UOR3" s="4"/>
      <c r="UOS3" s="4"/>
      <c r="UOT3" s="4"/>
      <c r="UOU3" s="4"/>
      <c r="UOV3" s="4"/>
      <c r="UOW3" s="4"/>
      <c r="UOX3" s="4"/>
      <c r="UOY3" s="4"/>
      <c r="UOZ3" s="4"/>
      <c r="UPA3" s="4"/>
      <c r="UPB3" s="4"/>
      <c r="UPC3" s="4"/>
      <c r="UPD3" s="4"/>
      <c r="UPE3" s="4"/>
      <c r="UPF3" s="4"/>
      <c r="UPG3" s="4"/>
      <c r="UPH3" s="4"/>
      <c r="UPI3" s="4"/>
      <c r="UPJ3" s="4"/>
      <c r="UPK3" s="4"/>
      <c r="UPL3" s="4"/>
      <c r="UPM3" s="4"/>
      <c r="UPN3" s="4"/>
      <c r="UPO3" s="4"/>
      <c r="UPP3" s="4"/>
      <c r="UPQ3" s="4"/>
      <c r="UPR3" s="4"/>
      <c r="UPS3" s="4"/>
      <c r="UPT3" s="4"/>
      <c r="UPU3" s="4"/>
      <c r="UPV3" s="4"/>
      <c r="UPW3" s="4"/>
      <c r="UPX3" s="4"/>
      <c r="UPY3" s="4"/>
      <c r="UPZ3" s="4"/>
      <c r="UQA3" s="4"/>
      <c r="UQB3" s="4"/>
      <c r="UQC3" s="4"/>
      <c r="UQD3" s="4"/>
      <c r="UQE3" s="4"/>
      <c r="UQF3" s="4"/>
      <c r="UQG3" s="4"/>
      <c r="UQH3" s="4"/>
      <c r="UQI3" s="4"/>
      <c r="UQJ3" s="4"/>
      <c r="UQK3" s="4"/>
      <c r="UQL3" s="4"/>
      <c r="UQM3" s="4"/>
      <c r="UQN3" s="4"/>
      <c r="UQO3" s="4"/>
      <c r="UQP3" s="4"/>
      <c r="UQQ3" s="4"/>
      <c r="UQR3" s="4"/>
      <c r="UQS3" s="4"/>
      <c r="UQT3" s="4"/>
      <c r="UQU3" s="4"/>
      <c r="UQV3" s="4"/>
      <c r="UQW3" s="4"/>
      <c r="UQX3" s="4"/>
      <c r="UQY3" s="4"/>
      <c r="UQZ3" s="4"/>
      <c r="URA3" s="4"/>
      <c r="URB3" s="4"/>
      <c r="URC3" s="4"/>
      <c r="URD3" s="4"/>
      <c r="URE3" s="4"/>
      <c r="URF3" s="4"/>
      <c r="URG3" s="4"/>
      <c r="URH3" s="4"/>
      <c r="URI3" s="4"/>
      <c r="URJ3" s="4"/>
      <c r="URK3" s="4"/>
      <c r="URL3" s="4"/>
      <c r="URM3" s="4"/>
      <c r="URN3" s="4"/>
      <c r="URO3" s="4"/>
      <c r="URP3" s="4"/>
      <c r="URQ3" s="4"/>
      <c r="URR3" s="4"/>
      <c r="URS3" s="4"/>
      <c r="URT3" s="4"/>
      <c r="URU3" s="4"/>
      <c r="URV3" s="4"/>
      <c r="URW3" s="4"/>
      <c r="URX3" s="4"/>
      <c r="URY3" s="4"/>
      <c r="URZ3" s="4"/>
      <c r="USA3" s="4"/>
      <c r="USB3" s="4"/>
      <c r="USC3" s="4"/>
      <c r="USD3" s="4"/>
      <c r="USE3" s="4"/>
      <c r="USF3" s="4"/>
      <c r="USG3" s="4"/>
      <c r="USH3" s="4"/>
      <c r="USI3" s="4"/>
      <c r="USJ3" s="4"/>
      <c r="USK3" s="4"/>
      <c r="USL3" s="4"/>
      <c r="USM3" s="4"/>
      <c r="USN3" s="4"/>
      <c r="USO3" s="4"/>
      <c r="USP3" s="4"/>
      <c r="USQ3" s="4"/>
      <c r="USR3" s="4"/>
      <c r="USS3" s="4"/>
      <c r="UST3" s="4"/>
      <c r="USU3" s="4"/>
      <c r="USV3" s="4"/>
      <c r="USW3" s="4"/>
      <c r="USX3" s="4"/>
      <c r="USY3" s="4"/>
      <c r="USZ3" s="4"/>
      <c r="UTA3" s="4"/>
      <c r="UTB3" s="4"/>
      <c r="UTC3" s="4"/>
      <c r="UTD3" s="4"/>
      <c r="UTE3" s="4"/>
      <c r="UTF3" s="4"/>
      <c r="UTG3" s="4"/>
      <c r="UTH3" s="4"/>
      <c r="UTI3" s="4"/>
      <c r="UTJ3" s="4"/>
      <c r="UTK3" s="4"/>
      <c r="UTL3" s="4"/>
      <c r="UTM3" s="4"/>
      <c r="UTN3" s="4"/>
      <c r="UTO3" s="4"/>
      <c r="UTP3" s="4"/>
      <c r="UTQ3" s="4"/>
      <c r="UTR3" s="4"/>
      <c r="UTS3" s="4"/>
      <c r="UTT3" s="4"/>
      <c r="UTU3" s="4"/>
      <c r="UTV3" s="4"/>
      <c r="UTW3" s="4"/>
      <c r="UTX3" s="4"/>
      <c r="UTY3" s="4"/>
      <c r="UTZ3" s="4"/>
      <c r="UUA3" s="4"/>
      <c r="UUB3" s="4"/>
      <c r="UUC3" s="4"/>
      <c r="UUD3" s="4"/>
      <c r="UUE3" s="4"/>
      <c r="UUF3" s="4"/>
      <c r="UUG3" s="4"/>
      <c r="UUH3" s="4"/>
      <c r="UUI3" s="4"/>
      <c r="UUJ3" s="4"/>
      <c r="UUK3" s="4"/>
      <c r="UUL3" s="4"/>
      <c r="UUM3" s="4"/>
      <c r="UUN3" s="4"/>
      <c r="UUO3" s="4"/>
      <c r="UUP3" s="4"/>
      <c r="UUQ3" s="4"/>
      <c r="UUR3" s="4"/>
      <c r="UUS3" s="4"/>
      <c r="UUT3" s="4"/>
      <c r="UUU3" s="4"/>
      <c r="UUV3" s="4"/>
      <c r="UUW3" s="4"/>
      <c r="UUX3" s="4"/>
      <c r="UUY3" s="4"/>
      <c r="UUZ3" s="4"/>
      <c r="UVA3" s="4"/>
      <c r="UVB3" s="4"/>
      <c r="UVC3" s="4"/>
      <c r="UVD3" s="4"/>
      <c r="UVE3" s="4"/>
      <c r="UVF3" s="4"/>
      <c r="UVG3" s="4"/>
      <c r="UVH3" s="4"/>
      <c r="UVI3" s="4"/>
      <c r="UVJ3" s="4"/>
      <c r="UVK3" s="4"/>
      <c r="UVL3" s="4"/>
      <c r="UVM3" s="4"/>
      <c r="UVN3" s="4"/>
      <c r="UVO3" s="4"/>
      <c r="UVP3" s="4"/>
      <c r="UVQ3" s="4"/>
      <c r="UVR3" s="4"/>
      <c r="UVS3" s="4"/>
      <c r="UVT3" s="4"/>
      <c r="UVU3" s="4"/>
      <c r="UVV3" s="4"/>
      <c r="UVW3" s="4"/>
      <c r="UVX3" s="4"/>
      <c r="UVY3" s="4"/>
      <c r="UVZ3" s="4"/>
      <c r="UWA3" s="4"/>
      <c r="UWB3" s="4"/>
      <c r="UWC3" s="4"/>
      <c r="UWD3" s="4"/>
      <c r="UWE3" s="4"/>
      <c r="UWF3" s="4"/>
      <c r="UWG3" s="4"/>
      <c r="UWH3" s="4"/>
      <c r="UWI3" s="4"/>
      <c r="UWJ3" s="4"/>
      <c r="UWK3" s="4"/>
      <c r="UWL3" s="4"/>
      <c r="UWM3" s="4"/>
      <c r="UWN3" s="4"/>
      <c r="UWO3" s="4"/>
      <c r="UWP3" s="4"/>
      <c r="UWQ3" s="4"/>
      <c r="UWR3" s="4"/>
      <c r="UWS3" s="4"/>
      <c r="UWT3" s="4"/>
      <c r="UWU3" s="4"/>
      <c r="UWV3" s="4"/>
      <c r="UWW3" s="4"/>
      <c r="UWX3" s="4"/>
      <c r="UWY3" s="4"/>
      <c r="UWZ3" s="4"/>
      <c r="UXA3" s="4"/>
      <c r="UXB3" s="4"/>
      <c r="UXC3" s="4"/>
      <c r="UXD3" s="4"/>
      <c r="UXE3" s="4"/>
      <c r="UXF3" s="4"/>
      <c r="UXG3" s="4"/>
      <c r="UXH3" s="4"/>
      <c r="UXI3" s="4"/>
      <c r="UXJ3" s="4"/>
      <c r="UXK3" s="4"/>
      <c r="UXL3" s="4"/>
      <c r="UXM3" s="4"/>
      <c r="UXN3" s="4"/>
      <c r="UXO3" s="4"/>
      <c r="UXP3" s="4"/>
      <c r="UXQ3" s="4"/>
      <c r="UXR3" s="4"/>
      <c r="UXS3" s="4"/>
      <c r="UXT3" s="4"/>
      <c r="UXU3" s="4"/>
      <c r="UXV3" s="4"/>
      <c r="UXW3" s="4"/>
      <c r="UXX3" s="4"/>
      <c r="UXY3" s="4"/>
      <c r="UXZ3" s="4"/>
      <c r="UYA3" s="4"/>
      <c r="UYB3" s="4"/>
      <c r="UYC3" s="4"/>
      <c r="UYD3" s="4"/>
      <c r="UYE3" s="4"/>
      <c r="UYF3" s="4"/>
      <c r="UYG3" s="4"/>
      <c r="UYH3" s="4"/>
      <c r="UYI3" s="4"/>
      <c r="UYJ3" s="4"/>
      <c r="UYK3" s="4"/>
      <c r="UYL3" s="4"/>
      <c r="UYM3" s="4"/>
      <c r="UYN3" s="4"/>
      <c r="UYO3" s="4"/>
      <c r="UYP3" s="4"/>
      <c r="UYQ3" s="4"/>
      <c r="UYR3" s="4"/>
      <c r="UYS3" s="4"/>
      <c r="UYT3" s="4"/>
      <c r="UYU3" s="4"/>
      <c r="UYV3" s="4"/>
      <c r="UYW3" s="4"/>
      <c r="UYX3" s="4"/>
      <c r="UYY3" s="4"/>
      <c r="UYZ3" s="4"/>
      <c r="UZA3" s="4"/>
      <c r="UZB3" s="4"/>
      <c r="UZC3" s="4"/>
      <c r="UZD3" s="4"/>
      <c r="UZE3" s="4"/>
      <c r="UZF3" s="4"/>
      <c r="UZG3" s="4"/>
      <c r="UZH3" s="4"/>
      <c r="UZI3" s="4"/>
      <c r="UZJ3" s="4"/>
      <c r="UZK3" s="4"/>
      <c r="UZL3" s="4"/>
      <c r="UZM3" s="4"/>
      <c r="UZN3" s="4"/>
      <c r="UZO3" s="4"/>
      <c r="UZP3" s="4"/>
      <c r="UZQ3" s="4"/>
      <c r="UZR3" s="4"/>
      <c r="UZS3" s="4"/>
      <c r="UZT3" s="4"/>
      <c r="UZU3" s="4"/>
      <c r="UZV3" s="4"/>
      <c r="UZW3" s="4"/>
      <c r="UZX3" s="4"/>
      <c r="UZY3" s="4"/>
      <c r="UZZ3" s="4"/>
      <c r="VAA3" s="4"/>
      <c r="VAB3" s="4"/>
      <c r="VAC3" s="4"/>
      <c r="VAD3" s="4"/>
      <c r="VAE3" s="4"/>
      <c r="VAF3" s="4"/>
      <c r="VAG3" s="4"/>
      <c r="VAH3" s="4"/>
      <c r="VAI3" s="4"/>
      <c r="VAJ3" s="4"/>
      <c r="VAK3" s="4"/>
      <c r="VAL3" s="4"/>
      <c r="VAM3" s="4"/>
      <c r="VAN3" s="4"/>
      <c r="VAO3" s="4"/>
      <c r="VAP3" s="4"/>
      <c r="VAQ3" s="4"/>
      <c r="VAR3" s="4"/>
      <c r="VAS3" s="4"/>
      <c r="VAT3" s="4"/>
      <c r="VAU3" s="4"/>
      <c r="VAV3" s="4"/>
      <c r="VAW3" s="4"/>
      <c r="VAX3" s="4"/>
      <c r="VAY3" s="4"/>
      <c r="VAZ3" s="4"/>
      <c r="VBA3" s="4"/>
      <c r="VBB3" s="4"/>
      <c r="VBC3" s="4"/>
      <c r="VBD3" s="4"/>
      <c r="VBE3" s="4"/>
      <c r="VBF3" s="4"/>
      <c r="VBG3" s="4"/>
      <c r="VBH3" s="4"/>
      <c r="VBI3" s="4"/>
      <c r="VBJ3" s="4"/>
      <c r="VBK3" s="4"/>
      <c r="VBL3" s="4"/>
      <c r="VBM3" s="4"/>
      <c r="VBN3" s="4"/>
      <c r="VBO3" s="4"/>
      <c r="VBP3" s="4"/>
      <c r="VBQ3" s="4"/>
      <c r="VBR3" s="4"/>
      <c r="VBS3" s="4"/>
      <c r="VBT3" s="4"/>
      <c r="VBU3" s="4"/>
      <c r="VBV3" s="4"/>
      <c r="VBW3" s="4"/>
      <c r="VBX3" s="4"/>
      <c r="VBY3" s="4"/>
      <c r="VBZ3" s="4"/>
      <c r="VCA3" s="4"/>
      <c r="VCB3" s="4"/>
      <c r="VCC3" s="4"/>
      <c r="VCD3" s="4"/>
      <c r="VCE3" s="4"/>
      <c r="VCF3" s="4"/>
      <c r="VCG3" s="4"/>
      <c r="VCH3" s="4"/>
      <c r="VCI3" s="4"/>
      <c r="VCJ3" s="4"/>
      <c r="VCK3" s="4"/>
      <c r="VCL3" s="4"/>
      <c r="VCM3" s="4"/>
      <c r="VCN3" s="4"/>
      <c r="VCO3" s="4"/>
      <c r="VCP3" s="4"/>
      <c r="VCQ3" s="4"/>
      <c r="VCR3" s="4"/>
      <c r="VCS3" s="4"/>
      <c r="VCT3" s="4"/>
      <c r="VCU3" s="4"/>
      <c r="VCV3" s="4"/>
      <c r="VCW3" s="4"/>
      <c r="VCX3" s="4"/>
      <c r="VCY3" s="4"/>
      <c r="VCZ3" s="4"/>
      <c r="VDA3" s="4"/>
      <c r="VDB3" s="4"/>
      <c r="VDC3" s="4"/>
      <c r="VDD3" s="4"/>
      <c r="VDE3" s="4"/>
      <c r="VDF3" s="4"/>
      <c r="VDG3" s="4"/>
      <c r="VDH3" s="4"/>
      <c r="VDI3" s="4"/>
      <c r="VDJ3" s="4"/>
      <c r="VDK3" s="4"/>
      <c r="VDL3" s="4"/>
      <c r="VDM3" s="4"/>
      <c r="VDN3" s="4"/>
      <c r="VDO3" s="4"/>
      <c r="VDP3" s="4"/>
      <c r="VDQ3" s="4"/>
      <c r="VDR3" s="4"/>
      <c r="VDS3" s="4"/>
      <c r="VDT3" s="4"/>
      <c r="VDU3" s="4"/>
      <c r="VDV3" s="4"/>
      <c r="VDW3" s="4"/>
      <c r="VDX3" s="4"/>
      <c r="VDY3" s="4"/>
      <c r="VDZ3" s="4"/>
      <c r="VEA3" s="4"/>
      <c r="VEB3" s="4"/>
      <c r="VEC3" s="4"/>
      <c r="VED3" s="4"/>
      <c r="VEE3" s="4"/>
      <c r="VEF3" s="4"/>
      <c r="VEG3" s="4"/>
      <c r="VEH3" s="4"/>
      <c r="VEI3" s="4"/>
      <c r="VEJ3" s="4"/>
      <c r="VEK3" s="4"/>
      <c r="VEL3" s="4"/>
      <c r="VEM3" s="4"/>
      <c r="VEN3" s="4"/>
      <c r="VEO3" s="4"/>
      <c r="VEP3" s="4"/>
      <c r="VEQ3" s="4"/>
      <c r="VER3" s="4"/>
      <c r="VES3" s="4"/>
      <c r="VET3" s="4"/>
      <c r="VEU3" s="4"/>
      <c r="VEV3" s="4"/>
      <c r="VEW3" s="4"/>
      <c r="VEX3" s="4"/>
      <c r="VEY3" s="4"/>
      <c r="VEZ3" s="4"/>
      <c r="VFA3" s="4"/>
      <c r="VFB3" s="4"/>
      <c r="VFC3" s="4"/>
      <c r="VFD3" s="4"/>
      <c r="VFE3" s="4"/>
      <c r="VFF3" s="4"/>
      <c r="VFG3" s="4"/>
      <c r="VFH3" s="4"/>
      <c r="VFI3" s="4"/>
      <c r="VFJ3" s="4"/>
      <c r="VFK3" s="4"/>
      <c r="VFL3" s="4"/>
      <c r="VFM3" s="4"/>
      <c r="VFN3" s="4"/>
      <c r="VFO3" s="4"/>
      <c r="VFP3" s="4"/>
      <c r="VFQ3" s="4"/>
      <c r="VFR3" s="4"/>
      <c r="VFS3" s="4"/>
      <c r="VFT3" s="4"/>
      <c r="VFU3" s="4"/>
      <c r="VFV3" s="4"/>
      <c r="VFW3" s="4"/>
      <c r="VFX3" s="4"/>
      <c r="VFY3" s="4"/>
      <c r="VFZ3" s="4"/>
      <c r="VGA3" s="4"/>
      <c r="VGB3" s="4"/>
      <c r="VGC3" s="4"/>
      <c r="VGD3" s="4"/>
      <c r="VGE3" s="4"/>
      <c r="VGF3" s="4"/>
      <c r="VGG3" s="4"/>
      <c r="VGH3" s="4"/>
      <c r="VGI3" s="4"/>
      <c r="VGJ3" s="4"/>
      <c r="VGK3" s="4"/>
      <c r="VGL3" s="4"/>
      <c r="VGM3" s="4"/>
      <c r="VGN3" s="4"/>
      <c r="VGO3" s="4"/>
      <c r="VGP3" s="4"/>
      <c r="VGQ3" s="4"/>
      <c r="VGR3" s="4"/>
      <c r="VGS3" s="4"/>
      <c r="VGT3" s="4"/>
      <c r="VGU3" s="4"/>
      <c r="VGV3" s="4"/>
      <c r="VGW3" s="4"/>
      <c r="VGX3" s="4"/>
      <c r="VGY3" s="4"/>
      <c r="VGZ3" s="4"/>
      <c r="VHA3" s="4"/>
      <c r="VHB3" s="4"/>
      <c r="VHC3" s="4"/>
      <c r="VHD3" s="4"/>
      <c r="VHE3" s="4"/>
      <c r="VHF3" s="4"/>
      <c r="VHG3" s="4"/>
      <c r="VHH3" s="4"/>
      <c r="VHI3" s="4"/>
      <c r="VHJ3" s="4"/>
      <c r="VHK3" s="4"/>
      <c r="VHL3" s="4"/>
      <c r="VHM3" s="4"/>
      <c r="VHN3" s="4"/>
      <c r="VHO3" s="4"/>
      <c r="VHP3" s="4"/>
      <c r="VHQ3" s="4"/>
      <c r="VHR3" s="4"/>
      <c r="VHS3" s="4"/>
      <c r="VHT3" s="4"/>
      <c r="VHU3" s="4"/>
      <c r="VHV3" s="4"/>
      <c r="VHW3" s="4"/>
      <c r="VHX3" s="4"/>
      <c r="VHY3" s="4"/>
      <c r="VHZ3" s="4"/>
      <c r="VIA3" s="4"/>
      <c r="VIB3" s="4"/>
      <c r="VIC3" s="4"/>
      <c r="VID3" s="4"/>
      <c r="VIE3" s="4"/>
      <c r="VIF3" s="4"/>
      <c r="VIG3" s="4"/>
      <c r="VIH3" s="4"/>
      <c r="VII3" s="4"/>
      <c r="VIJ3" s="4"/>
      <c r="VIK3" s="4"/>
      <c r="VIL3" s="4"/>
      <c r="VIM3" s="4"/>
      <c r="VIN3" s="4"/>
      <c r="VIO3" s="4"/>
      <c r="VIP3" s="4"/>
      <c r="VIQ3" s="4"/>
      <c r="VIR3" s="4"/>
      <c r="VIS3" s="4"/>
      <c r="VIT3" s="4"/>
      <c r="VIU3" s="4"/>
      <c r="VIV3" s="4"/>
      <c r="VIW3" s="4"/>
      <c r="VIX3" s="4"/>
      <c r="VIY3" s="4"/>
      <c r="VIZ3" s="4"/>
      <c r="VJA3" s="4"/>
      <c r="VJB3" s="4"/>
      <c r="VJC3" s="4"/>
      <c r="VJD3" s="4"/>
      <c r="VJE3" s="4"/>
      <c r="VJF3" s="4"/>
      <c r="VJG3" s="4"/>
      <c r="VJH3" s="4"/>
      <c r="VJI3" s="4"/>
      <c r="VJJ3" s="4"/>
      <c r="VJK3" s="4"/>
      <c r="VJL3" s="4"/>
      <c r="VJM3" s="4"/>
      <c r="VJN3" s="4"/>
      <c r="VJO3" s="4"/>
      <c r="VJP3" s="4"/>
      <c r="VJQ3" s="4"/>
      <c r="VJR3" s="4"/>
      <c r="VJS3" s="4"/>
      <c r="VJT3" s="4"/>
      <c r="VJU3" s="4"/>
      <c r="VJV3" s="4"/>
      <c r="VJW3" s="4"/>
      <c r="VJX3" s="4"/>
      <c r="VJY3" s="4"/>
      <c r="VJZ3" s="4"/>
      <c r="VKA3" s="4"/>
      <c r="VKB3" s="4"/>
      <c r="VKC3" s="4"/>
      <c r="VKD3" s="4"/>
      <c r="VKE3" s="4"/>
      <c r="VKF3" s="4"/>
      <c r="VKG3" s="4"/>
      <c r="VKH3" s="4"/>
      <c r="VKI3" s="4"/>
      <c r="VKJ3" s="4"/>
      <c r="VKK3" s="4"/>
      <c r="VKL3" s="4"/>
      <c r="VKM3" s="4"/>
      <c r="VKN3" s="4"/>
      <c r="VKO3" s="4"/>
      <c r="VKP3" s="4"/>
      <c r="VKQ3" s="4"/>
      <c r="VKR3" s="4"/>
      <c r="VKS3" s="4"/>
      <c r="VKT3" s="4"/>
      <c r="VKU3" s="4"/>
      <c r="VKV3" s="4"/>
      <c r="VKW3" s="4"/>
      <c r="VKX3" s="4"/>
      <c r="VKY3" s="4"/>
      <c r="VKZ3" s="4"/>
      <c r="VLA3" s="4"/>
      <c r="VLB3" s="4"/>
      <c r="VLC3" s="4"/>
      <c r="VLD3" s="4"/>
      <c r="VLE3" s="4"/>
      <c r="VLF3" s="4"/>
      <c r="VLG3" s="4"/>
      <c r="VLH3" s="4"/>
      <c r="VLI3" s="4"/>
      <c r="VLJ3" s="4"/>
      <c r="VLK3" s="4"/>
      <c r="VLL3" s="4"/>
      <c r="VLM3" s="4"/>
      <c r="VLN3" s="4"/>
      <c r="VLO3" s="4"/>
      <c r="VLP3" s="4"/>
      <c r="VLQ3" s="4"/>
      <c r="VLR3" s="4"/>
      <c r="VLS3" s="4"/>
      <c r="VLT3" s="4"/>
      <c r="VLU3" s="4"/>
      <c r="VLV3" s="4"/>
      <c r="VLW3" s="4"/>
      <c r="VLX3" s="4"/>
      <c r="VLY3" s="4"/>
      <c r="VLZ3" s="4"/>
      <c r="VMA3" s="4"/>
      <c r="VMB3" s="4"/>
      <c r="VMC3" s="4"/>
      <c r="VMD3" s="4"/>
      <c r="VME3" s="4"/>
      <c r="VMF3" s="4"/>
      <c r="VMG3" s="4"/>
      <c r="VMH3" s="4"/>
      <c r="VMI3" s="4"/>
      <c r="VMJ3" s="4"/>
      <c r="VMK3" s="4"/>
      <c r="VML3" s="4"/>
      <c r="VMM3" s="4"/>
      <c r="VMN3" s="4"/>
      <c r="VMO3" s="4"/>
      <c r="VMP3" s="4"/>
      <c r="VMQ3" s="4"/>
      <c r="VMR3" s="4"/>
      <c r="VMS3" s="4"/>
      <c r="VMT3" s="4"/>
      <c r="VMU3" s="4"/>
      <c r="VMV3" s="4"/>
      <c r="VMW3" s="4"/>
      <c r="VMX3" s="4"/>
      <c r="VMY3" s="4"/>
      <c r="VMZ3" s="4"/>
      <c r="VNA3" s="4"/>
      <c r="VNB3" s="4"/>
      <c r="VNC3" s="4"/>
      <c r="VND3" s="4"/>
      <c r="VNE3" s="4"/>
      <c r="VNF3" s="4"/>
      <c r="VNG3" s="4"/>
      <c r="VNH3" s="4"/>
      <c r="VNI3" s="4"/>
      <c r="VNJ3" s="4"/>
      <c r="VNK3" s="4"/>
      <c r="VNL3" s="4"/>
      <c r="VNM3" s="4"/>
      <c r="VNN3" s="4"/>
      <c r="VNO3" s="4"/>
      <c r="VNP3" s="4"/>
      <c r="VNQ3" s="4"/>
      <c r="VNR3" s="4"/>
      <c r="VNS3" s="4"/>
      <c r="VNT3" s="4"/>
      <c r="VNU3" s="4"/>
      <c r="VNV3" s="4"/>
      <c r="VNW3" s="4"/>
      <c r="VNX3" s="4"/>
      <c r="VNY3" s="4"/>
      <c r="VNZ3" s="4"/>
      <c r="VOA3" s="4"/>
      <c r="VOB3" s="4"/>
      <c r="VOC3" s="4"/>
      <c r="VOD3" s="4"/>
      <c r="VOE3" s="4"/>
      <c r="VOF3" s="4"/>
      <c r="VOG3" s="4"/>
      <c r="VOH3" s="4"/>
      <c r="VOI3" s="4"/>
      <c r="VOJ3" s="4"/>
      <c r="VOK3" s="4"/>
      <c r="VOL3" s="4"/>
      <c r="VOM3" s="4"/>
      <c r="VON3" s="4"/>
      <c r="VOO3" s="4"/>
      <c r="VOP3" s="4"/>
      <c r="VOQ3" s="4"/>
      <c r="VOR3" s="4"/>
      <c r="VOS3" s="4"/>
      <c r="VOT3" s="4"/>
      <c r="VOU3" s="4"/>
      <c r="VOV3" s="4"/>
      <c r="VOW3" s="4"/>
      <c r="VOX3" s="4"/>
      <c r="VOY3" s="4"/>
      <c r="VOZ3" s="4"/>
      <c r="VPA3" s="4"/>
      <c r="VPB3" s="4"/>
      <c r="VPC3" s="4"/>
      <c r="VPD3" s="4"/>
      <c r="VPE3" s="4"/>
      <c r="VPF3" s="4"/>
      <c r="VPG3" s="4"/>
      <c r="VPH3" s="4"/>
      <c r="VPI3" s="4"/>
      <c r="VPJ3" s="4"/>
      <c r="VPK3" s="4"/>
      <c r="VPL3" s="4"/>
      <c r="VPM3" s="4"/>
      <c r="VPN3" s="4"/>
      <c r="VPO3" s="4"/>
      <c r="VPP3" s="4"/>
      <c r="VPQ3" s="4"/>
      <c r="VPR3" s="4"/>
      <c r="VPS3" s="4"/>
      <c r="VPT3" s="4"/>
      <c r="VPU3" s="4"/>
      <c r="VPV3" s="4"/>
      <c r="VPW3" s="4"/>
      <c r="VPX3" s="4"/>
      <c r="VPY3" s="4"/>
      <c r="VPZ3" s="4"/>
      <c r="VQA3" s="4"/>
      <c r="VQB3" s="4"/>
      <c r="VQC3" s="4"/>
      <c r="VQD3" s="4"/>
      <c r="VQE3" s="4"/>
      <c r="VQF3" s="4"/>
      <c r="VQG3" s="4"/>
      <c r="VQH3" s="4"/>
      <c r="VQI3" s="4"/>
      <c r="VQJ3" s="4"/>
      <c r="VQK3" s="4"/>
      <c r="VQL3" s="4"/>
      <c r="VQM3" s="4"/>
      <c r="VQN3" s="4"/>
      <c r="VQO3" s="4"/>
      <c r="VQP3" s="4"/>
      <c r="VQQ3" s="4"/>
      <c r="VQR3" s="4"/>
      <c r="VQS3" s="4"/>
      <c r="VQT3" s="4"/>
      <c r="VQU3" s="4"/>
      <c r="VQV3" s="4"/>
      <c r="VQW3" s="4"/>
      <c r="VQX3" s="4"/>
      <c r="VQY3" s="4"/>
      <c r="VQZ3" s="4"/>
      <c r="VRA3" s="4"/>
      <c r="VRB3" s="4"/>
      <c r="VRC3" s="4"/>
      <c r="VRD3" s="4"/>
      <c r="VRE3" s="4"/>
      <c r="VRF3" s="4"/>
      <c r="VRG3" s="4"/>
      <c r="VRH3" s="4"/>
      <c r="VRI3" s="4"/>
      <c r="VRJ3" s="4"/>
      <c r="VRK3" s="4"/>
      <c r="VRL3" s="4"/>
      <c r="VRM3" s="4"/>
      <c r="VRN3" s="4"/>
      <c r="VRO3" s="4"/>
      <c r="VRP3" s="4"/>
      <c r="VRQ3" s="4"/>
      <c r="VRR3" s="4"/>
      <c r="VRS3" s="4"/>
      <c r="VRT3" s="4"/>
      <c r="VRU3" s="4"/>
      <c r="VRV3" s="4"/>
      <c r="VRW3" s="4"/>
      <c r="VRX3" s="4"/>
      <c r="VRY3" s="4"/>
      <c r="VRZ3" s="4"/>
      <c r="VSA3" s="4"/>
      <c r="VSB3" s="4"/>
      <c r="VSC3" s="4"/>
      <c r="VSD3" s="4"/>
      <c r="VSE3" s="4"/>
      <c r="VSF3" s="4"/>
      <c r="VSG3" s="4"/>
      <c r="VSH3" s="4"/>
      <c r="VSI3" s="4"/>
      <c r="VSJ3" s="4"/>
      <c r="VSK3" s="4"/>
      <c r="VSL3" s="4"/>
      <c r="VSM3" s="4"/>
      <c r="VSN3" s="4"/>
      <c r="VSO3" s="4"/>
      <c r="VSP3" s="4"/>
      <c r="VSQ3" s="4"/>
      <c r="VSR3" s="4"/>
      <c r="VSS3" s="4"/>
      <c r="VST3" s="4"/>
      <c r="VSU3" s="4"/>
      <c r="VSV3" s="4"/>
      <c r="VSW3" s="4"/>
      <c r="VSX3" s="4"/>
      <c r="VSY3" s="4"/>
      <c r="VSZ3" s="4"/>
      <c r="VTA3" s="4"/>
      <c r="VTB3" s="4"/>
      <c r="VTC3" s="4"/>
      <c r="VTD3" s="4"/>
      <c r="VTE3" s="4"/>
      <c r="VTF3" s="4"/>
      <c r="VTG3" s="4"/>
      <c r="VTH3" s="4"/>
      <c r="VTI3" s="4"/>
      <c r="VTJ3" s="4"/>
      <c r="VTK3" s="4"/>
      <c r="VTL3" s="4"/>
      <c r="VTM3" s="4"/>
      <c r="VTN3" s="4"/>
      <c r="VTO3" s="4"/>
      <c r="VTP3" s="4"/>
      <c r="VTQ3" s="4"/>
      <c r="VTR3" s="4"/>
      <c r="VTS3" s="4"/>
      <c r="VTT3" s="4"/>
      <c r="VTU3" s="4"/>
      <c r="VTV3" s="4"/>
      <c r="VTW3" s="4"/>
      <c r="VTX3" s="4"/>
      <c r="VTY3" s="4"/>
      <c r="VTZ3" s="4"/>
      <c r="VUA3" s="4"/>
      <c r="VUB3" s="4"/>
      <c r="VUC3" s="4"/>
      <c r="VUD3" s="4"/>
      <c r="VUE3" s="4"/>
      <c r="VUF3" s="4"/>
      <c r="VUG3" s="4"/>
      <c r="VUH3" s="4"/>
      <c r="VUI3" s="4"/>
      <c r="VUJ3" s="4"/>
      <c r="VUK3" s="4"/>
      <c r="VUL3" s="4"/>
      <c r="VUM3" s="4"/>
      <c r="VUN3" s="4"/>
      <c r="VUO3" s="4"/>
      <c r="VUP3" s="4"/>
      <c r="VUQ3" s="4"/>
      <c r="VUR3" s="4"/>
      <c r="VUS3" s="4"/>
      <c r="VUT3" s="4"/>
      <c r="VUU3" s="4"/>
      <c r="VUV3" s="4"/>
      <c r="VUW3" s="4"/>
      <c r="VUX3" s="4"/>
      <c r="VUY3" s="4"/>
      <c r="VUZ3" s="4"/>
      <c r="VVA3" s="4"/>
      <c r="VVB3" s="4"/>
      <c r="VVC3" s="4"/>
      <c r="VVD3" s="4"/>
      <c r="VVE3" s="4"/>
      <c r="VVF3" s="4"/>
      <c r="VVG3" s="4"/>
      <c r="VVH3" s="4"/>
      <c r="VVI3" s="4"/>
      <c r="VVJ3" s="4"/>
      <c r="VVK3" s="4"/>
      <c r="VVL3" s="4"/>
      <c r="VVM3" s="4"/>
      <c r="VVN3" s="4"/>
      <c r="VVO3" s="4"/>
      <c r="VVP3" s="4"/>
      <c r="VVQ3" s="4"/>
      <c r="VVR3" s="4"/>
      <c r="VVS3" s="4"/>
      <c r="VVT3" s="4"/>
      <c r="VVU3" s="4"/>
      <c r="VVV3" s="4"/>
      <c r="VVW3" s="4"/>
      <c r="VVX3" s="4"/>
      <c r="VVY3" s="4"/>
      <c r="VVZ3" s="4"/>
      <c r="VWA3" s="4"/>
      <c r="VWB3" s="4"/>
      <c r="VWC3" s="4"/>
      <c r="VWD3" s="4"/>
      <c r="VWE3" s="4"/>
      <c r="VWF3" s="4"/>
      <c r="VWG3" s="4"/>
      <c r="VWH3" s="4"/>
      <c r="VWI3" s="4"/>
      <c r="VWJ3" s="4"/>
      <c r="VWK3" s="4"/>
      <c r="VWL3" s="4"/>
      <c r="VWM3" s="4"/>
      <c r="VWN3" s="4"/>
      <c r="VWO3" s="4"/>
      <c r="VWP3" s="4"/>
      <c r="VWQ3" s="4"/>
      <c r="VWR3" s="4"/>
      <c r="VWS3" s="4"/>
      <c r="VWT3" s="4"/>
      <c r="VWU3" s="4"/>
      <c r="VWV3" s="4"/>
      <c r="VWW3" s="4"/>
      <c r="VWX3" s="4"/>
      <c r="VWY3" s="4"/>
      <c r="VWZ3" s="4"/>
      <c r="VXA3" s="4"/>
      <c r="VXB3" s="4"/>
      <c r="VXC3" s="4"/>
      <c r="VXD3" s="4"/>
      <c r="VXE3" s="4"/>
      <c r="VXF3" s="4"/>
      <c r="VXG3" s="4"/>
      <c r="VXH3" s="4"/>
      <c r="VXI3" s="4"/>
      <c r="VXJ3" s="4"/>
      <c r="VXK3" s="4"/>
      <c r="VXL3" s="4"/>
      <c r="VXM3" s="4"/>
      <c r="VXN3" s="4"/>
      <c r="VXO3" s="4"/>
      <c r="VXP3" s="4"/>
      <c r="VXQ3" s="4"/>
      <c r="VXR3" s="4"/>
      <c r="VXS3" s="4"/>
      <c r="VXT3" s="4"/>
      <c r="VXU3" s="4"/>
      <c r="VXV3" s="4"/>
      <c r="VXW3" s="4"/>
      <c r="VXX3" s="4"/>
      <c r="VXY3" s="4"/>
      <c r="VXZ3" s="4"/>
      <c r="VYA3" s="4"/>
      <c r="VYB3" s="4"/>
      <c r="VYC3" s="4"/>
      <c r="VYD3" s="4"/>
      <c r="VYE3" s="4"/>
      <c r="VYF3" s="4"/>
      <c r="VYG3" s="4"/>
      <c r="VYH3" s="4"/>
      <c r="VYI3" s="4"/>
      <c r="VYJ3" s="4"/>
      <c r="VYK3" s="4"/>
      <c r="VYL3" s="4"/>
      <c r="VYM3" s="4"/>
      <c r="VYN3" s="4"/>
      <c r="VYO3" s="4"/>
      <c r="VYP3" s="4"/>
      <c r="VYQ3" s="4"/>
      <c r="VYR3" s="4"/>
      <c r="VYS3" s="4"/>
      <c r="VYT3" s="4"/>
      <c r="VYU3" s="4"/>
      <c r="VYV3" s="4"/>
      <c r="VYW3" s="4"/>
      <c r="VYX3" s="4"/>
      <c r="VYY3" s="4"/>
      <c r="VYZ3" s="4"/>
      <c r="VZA3" s="4"/>
      <c r="VZB3" s="4"/>
      <c r="VZC3" s="4"/>
      <c r="VZD3" s="4"/>
      <c r="VZE3" s="4"/>
      <c r="VZF3" s="4"/>
      <c r="VZG3" s="4"/>
      <c r="VZH3" s="4"/>
      <c r="VZI3" s="4"/>
      <c r="VZJ3" s="4"/>
      <c r="VZK3" s="4"/>
      <c r="VZL3" s="4"/>
      <c r="VZM3" s="4"/>
      <c r="VZN3" s="4"/>
      <c r="VZO3" s="4"/>
      <c r="VZP3" s="4"/>
      <c r="VZQ3" s="4"/>
      <c r="VZR3" s="4"/>
      <c r="VZS3" s="4"/>
      <c r="VZT3" s="4"/>
      <c r="VZU3" s="4"/>
      <c r="VZV3" s="4"/>
      <c r="VZW3" s="4"/>
      <c r="VZX3" s="4"/>
      <c r="VZY3" s="4"/>
      <c r="VZZ3" s="4"/>
      <c r="WAA3" s="4"/>
      <c r="WAB3" s="4"/>
      <c r="WAC3" s="4"/>
      <c r="WAD3" s="4"/>
      <c r="WAE3" s="4"/>
      <c r="WAF3" s="4"/>
      <c r="WAG3" s="4"/>
      <c r="WAH3" s="4"/>
      <c r="WAI3" s="4"/>
      <c r="WAJ3" s="4"/>
      <c r="WAK3" s="4"/>
      <c r="WAL3" s="4"/>
      <c r="WAM3" s="4"/>
      <c r="WAN3" s="4"/>
      <c r="WAO3" s="4"/>
      <c r="WAP3" s="4"/>
      <c r="WAQ3" s="4"/>
      <c r="WAR3" s="4"/>
      <c r="WAS3" s="4"/>
      <c r="WAT3" s="4"/>
      <c r="WAU3" s="4"/>
      <c r="WAV3" s="4"/>
      <c r="WAW3" s="4"/>
      <c r="WAX3" s="4"/>
      <c r="WAY3" s="4"/>
      <c r="WAZ3" s="4"/>
      <c r="WBA3" s="4"/>
      <c r="WBB3" s="4"/>
      <c r="WBC3" s="4"/>
      <c r="WBD3" s="4"/>
      <c r="WBE3" s="4"/>
      <c r="WBF3" s="4"/>
      <c r="WBG3" s="4"/>
      <c r="WBH3" s="4"/>
      <c r="WBI3" s="4"/>
      <c r="WBJ3" s="4"/>
      <c r="WBK3" s="4"/>
      <c r="WBL3" s="4"/>
      <c r="WBM3" s="4"/>
      <c r="WBN3" s="4"/>
      <c r="WBO3" s="4"/>
      <c r="WBP3" s="4"/>
      <c r="WBQ3" s="4"/>
      <c r="WBR3" s="4"/>
      <c r="WBS3" s="4"/>
      <c r="WBT3" s="4"/>
      <c r="WBU3" s="4"/>
      <c r="WBV3" s="4"/>
      <c r="WBW3" s="4"/>
      <c r="WBX3" s="4"/>
      <c r="WBY3" s="4"/>
      <c r="WBZ3" s="4"/>
      <c r="WCA3" s="4"/>
      <c r="WCB3" s="4"/>
      <c r="WCC3" s="4"/>
      <c r="WCD3" s="4"/>
      <c r="WCE3" s="4"/>
      <c r="WCF3" s="4"/>
      <c r="WCG3" s="4"/>
      <c r="WCH3" s="4"/>
      <c r="WCI3" s="4"/>
      <c r="WCJ3" s="4"/>
      <c r="WCK3" s="4"/>
      <c r="WCL3" s="4"/>
      <c r="WCM3" s="4"/>
      <c r="WCN3" s="4"/>
      <c r="WCO3" s="4"/>
      <c r="WCP3" s="4"/>
      <c r="WCQ3" s="4"/>
      <c r="WCR3" s="4"/>
      <c r="WCS3" s="4"/>
      <c r="WCT3" s="4"/>
      <c r="WCU3" s="4"/>
      <c r="WCV3" s="4"/>
      <c r="WCW3" s="4"/>
      <c r="WCX3" s="4"/>
      <c r="WCY3" s="4"/>
      <c r="WCZ3" s="4"/>
      <c r="WDA3" s="4"/>
      <c r="WDB3" s="4"/>
      <c r="WDC3" s="4"/>
      <c r="WDD3" s="4"/>
      <c r="WDE3" s="4"/>
      <c r="WDF3" s="4"/>
      <c r="WDG3" s="4"/>
      <c r="WDH3" s="4"/>
      <c r="WDI3" s="4"/>
      <c r="WDJ3" s="4"/>
      <c r="WDK3" s="4"/>
      <c r="WDL3" s="4"/>
      <c r="WDM3" s="4"/>
      <c r="WDN3" s="4"/>
      <c r="WDO3" s="4"/>
      <c r="WDP3" s="4"/>
      <c r="WDQ3" s="4"/>
      <c r="WDR3" s="4"/>
      <c r="WDS3" s="4"/>
      <c r="WDT3" s="4"/>
      <c r="WDU3" s="4"/>
      <c r="WDV3" s="4"/>
      <c r="WDW3" s="4"/>
      <c r="WDX3" s="4"/>
      <c r="WDY3" s="4"/>
      <c r="WDZ3" s="4"/>
      <c r="WEA3" s="4"/>
      <c r="WEB3" s="4"/>
      <c r="WEC3" s="4"/>
      <c r="WED3" s="4"/>
      <c r="WEE3" s="4"/>
      <c r="WEF3" s="4"/>
      <c r="WEG3" s="4"/>
      <c r="WEH3" s="4"/>
      <c r="WEI3" s="4"/>
      <c r="WEJ3" s="4"/>
      <c r="WEK3" s="4"/>
      <c r="WEL3" s="4"/>
      <c r="WEM3" s="4"/>
      <c r="WEN3" s="4"/>
      <c r="WEO3" s="4"/>
      <c r="WEP3" s="4"/>
      <c r="WEQ3" s="4"/>
      <c r="WER3" s="4"/>
      <c r="WES3" s="4"/>
      <c r="WET3" s="4"/>
      <c r="WEU3" s="4"/>
      <c r="WEV3" s="4"/>
      <c r="WEW3" s="4"/>
      <c r="WEX3" s="4"/>
      <c r="WEY3" s="4"/>
      <c r="WEZ3" s="4"/>
      <c r="WFA3" s="4"/>
      <c r="WFB3" s="4"/>
      <c r="WFC3" s="4"/>
      <c r="WFD3" s="4"/>
      <c r="WFE3" s="4"/>
      <c r="WFF3" s="4"/>
      <c r="WFG3" s="4"/>
      <c r="WFH3" s="4"/>
      <c r="WFI3" s="4"/>
      <c r="WFJ3" s="4"/>
      <c r="WFK3" s="4"/>
      <c r="WFL3" s="4"/>
      <c r="WFM3" s="4"/>
      <c r="WFN3" s="4"/>
      <c r="WFO3" s="4"/>
      <c r="WFP3" s="4"/>
      <c r="WFQ3" s="4"/>
      <c r="WFR3" s="4"/>
      <c r="WFS3" s="4"/>
      <c r="WFT3" s="4"/>
      <c r="WFU3" s="4"/>
      <c r="WFV3" s="4"/>
      <c r="WFW3" s="4"/>
      <c r="WFX3" s="4"/>
      <c r="WFY3" s="4"/>
      <c r="WFZ3" s="4"/>
      <c r="WGA3" s="4"/>
      <c r="WGB3" s="4"/>
      <c r="WGC3" s="4"/>
      <c r="WGD3" s="4"/>
      <c r="WGE3" s="4"/>
      <c r="WGF3" s="4"/>
      <c r="WGG3" s="4"/>
      <c r="WGH3" s="4"/>
      <c r="WGI3" s="4"/>
      <c r="WGJ3" s="4"/>
      <c r="WGK3" s="4"/>
      <c r="WGL3" s="4"/>
      <c r="WGM3" s="4"/>
      <c r="WGN3" s="4"/>
      <c r="WGO3" s="4"/>
      <c r="WGP3" s="4"/>
      <c r="WGQ3" s="4"/>
      <c r="WGR3" s="4"/>
      <c r="WGS3" s="4"/>
      <c r="WGT3" s="4"/>
      <c r="WGU3" s="4"/>
      <c r="WGV3" s="4"/>
      <c r="WGW3" s="4"/>
      <c r="WGX3" s="4"/>
      <c r="WGY3" s="4"/>
      <c r="WGZ3" s="4"/>
      <c r="WHA3" s="4"/>
      <c r="WHB3" s="4"/>
      <c r="WHC3" s="4"/>
      <c r="WHD3" s="4"/>
      <c r="WHE3" s="4"/>
      <c r="WHF3" s="4"/>
      <c r="WHG3" s="4"/>
      <c r="WHH3" s="4"/>
      <c r="WHI3" s="4"/>
      <c r="WHJ3" s="4"/>
      <c r="WHK3" s="4"/>
      <c r="WHL3" s="4"/>
      <c r="WHM3" s="4"/>
      <c r="WHN3" s="4"/>
      <c r="WHO3" s="4"/>
      <c r="WHP3" s="4"/>
      <c r="WHQ3" s="4"/>
      <c r="WHR3" s="4"/>
      <c r="WHS3" s="4"/>
      <c r="WHT3" s="4"/>
      <c r="WHU3" s="4"/>
      <c r="WHV3" s="4"/>
      <c r="WHW3" s="4"/>
      <c r="WHX3" s="4"/>
      <c r="WHY3" s="4"/>
      <c r="WHZ3" s="4"/>
      <c r="WIA3" s="4"/>
      <c r="WIB3" s="4"/>
      <c r="WIC3" s="4"/>
      <c r="WID3" s="4"/>
      <c r="WIE3" s="4"/>
      <c r="WIF3" s="4"/>
      <c r="WIG3" s="4"/>
      <c r="WIH3" s="4"/>
      <c r="WII3" s="4"/>
      <c r="WIJ3" s="4"/>
      <c r="WIK3" s="4"/>
      <c r="WIL3" s="4"/>
      <c r="WIM3" s="4"/>
      <c r="WIN3" s="4"/>
      <c r="WIO3" s="4"/>
      <c r="WIP3" s="4"/>
      <c r="WIQ3" s="4"/>
      <c r="WIR3" s="4"/>
      <c r="WIS3" s="4"/>
      <c r="WIT3" s="4"/>
      <c r="WIU3" s="4"/>
      <c r="WIV3" s="4"/>
      <c r="WIW3" s="4"/>
      <c r="WIX3" s="4"/>
      <c r="WIY3" s="4"/>
      <c r="WIZ3" s="4"/>
      <c r="WJA3" s="4"/>
      <c r="WJB3" s="4"/>
      <c r="WJC3" s="4"/>
      <c r="WJD3" s="4"/>
      <c r="WJE3" s="4"/>
      <c r="WJF3" s="4"/>
      <c r="WJG3" s="4"/>
      <c r="WJH3" s="4"/>
      <c r="WJI3" s="4"/>
      <c r="WJJ3" s="4"/>
      <c r="WJK3" s="4"/>
      <c r="WJL3" s="4"/>
      <c r="WJM3" s="4"/>
      <c r="WJN3" s="4"/>
      <c r="WJO3" s="4"/>
      <c r="WJP3" s="4"/>
      <c r="WJQ3" s="4"/>
      <c r="WJR3" s="4"/>
      <c r="WJS3" s="4"/>
      <c r="WJT3" s="4"/>
      <c r="WJU3" s="4"/>
      <c r="WJV3" s="4"/>
      <c r="WJW3" s="4"/>
      <c r="WJX3" s="4"/>
      <c r="WJY3" s="4"/>
      <c r="WJZ3" s="4"/>
      <c r="WKA3" s="4"/>
      <c r="WKB3" s="4"/>
      <c r="WKC3" s="4"/>
      <c r="WKD3" s="4"/>
      <c r="WKE3" s="4"/>
      <c r="WKF3" s="4"/>
      <c r="WKG3" s="4"/>
      <c r="WKH3" s="4"/>
      <c r="WKI3" s="4"/>
      <c r="WKJ3" s="4"/>
      <c r="WKK3" s="4"/>
      <c r="WKL3" s="4"/>
      <c r="WKM3" s="4"/>
      <c r="WKN3" s="4"/>
      <c r="WKO3" s="4"/>
      <c r="WKP3" s="4"/>
      <c r="WKQ3" s="4"/>
      <c r="WKR3" s="4"/>
      <c r="WKS3" s="4"/>
      <c r="WKT3" s="4"/>
      <c r="WKU3" s="4"/>
      <c r="WKV3" s="4"/>
      <c r="WKW3" s="4"/>
      <c r="WKX3" s="4"/>
      <c r="WKY3" s="4"/>
      <c r="WKZ3" s="4"/>
      <c r="WLA3" s="4"/>
      <c r="WLB3" s="4"/>
      <c r="WLC3" s="4"/>
      <c r="WLD3" s="4"/>
      <c r="WLE3" s="4"/>
      <c r="WLF3" s="4"/>
      <c r="WLG3" s="4"/>
      <c r="WLH3" s="4"/>
      <c r="WLI3" s="4"/>
      <c r="WLJ3" s="4"/>
      <c r="WLK3" s="4"/>
      <c r="WLL3" s="4"/>
      <c r="WLM3" s="4"/>
      <c r="WLN3" s="4"/>
      <c r="WLO3" s="4"/>
      <c r="WLP3" s="4"/>
      <c r="WLQ3" s="4"/>
      <c r="WLR3" s="4"/>
      <c r="WLS3" s="4"/>
      <c r="WLT3" s="4"/>
      <c r="WLU3" s="4"/>
      <c r="WLV3" s="4"/>
      <c r="WLW3" s="4"/>
      <c r="WLX3" s="4"/>
      <c r="WLY3" s="4"/>
      <c r="WLZ3" s="4"/>
      <c r="WMA3" s="4"/>
      <c r="WMB3" s="4"/>
      <c r="WMC3" s="4"/>
      <c r="WMD3" s="4"/>
      <c r="WME3" s="4"/>
      <c r="WMF3" s="4"/>
      <c r="WMG3" s="4"/>
      <c r="WMH3" s="4"/>
      <c r="WMI3" s="4"/>
      <c r="WMJ3" s="4"/>
      <c r="WMK3" s="4"/>
      <c r="WML3" s="4"/>
      <c r="WMM3" s="4"/>
      <c r="WMN3" s="4"/>
      <c r="WMO3" s="4"/>
      <c r="WMP3" s="4"/>
      <c r="WMQ3" s="4"/>
      <c r="WMR3" s="4"/>
      <c r="WMS3" s="4"/>
      <c r="WMT3" s="4"/>
      <c r="WMU3" s="4"/>
      <c r="WMV3" s="4"/>
      <c r="WMW3" s="4"/>
      <c r="WMX3" s="4"/>
      <c r="WMY3" s="4"/>
      <c r="WMZ3" s="4"/>
      <c r="WNA3" s="4"/>
      <c r="WNB3" s="4"/>
      <c r="WNC3" s="4"/>
      <c r="WND3" s="4"/>
      <c r="WNE3" s="4"/>
      <c r="WNF3" s="4"/>
      <c r="WNG3" s="4"/>
      <c r="WNH3" s="4"/>
      <c r="WNI3" s="4"/>
      <c r="WNJ3" s="4"/>
      <c r="WNK3" s="4"/>
      <c r="WNL3" s="4"/>
      <c r="WNM3" s="4"/>
      <c r="WNN3" s="4"/>
      <c r="WNO3" s="4"/>
      <c r="WNP3" s="4"/>
      <c r="WNQ3" s="4"/>
      <c r="WNR3" s="4"/>
      <c r="WNS3" s="4"/>
      <c r="WNT3" s="4"/>
      <c r="WNU3" s="4"/>
      <c r="WNV3" s="4"/>
      <c r="WNW3" s="4"/>
      <c r="WNX3" s="4"/>
      <c r="WNY3" s="4"/>
      <c r="WNZ3" s="4"/>
      <c r="WOA3" s="4"/>
      <c r="WOB3" s="4"/>
      <c r="WOC3" s="4"/>
      <c r="WOD3" s="4"/>
      <c r="WOE3" s="4"/>
      <c r="WOF3" s="4"/>
      <c r="WOG3" s="4"/>
      <c r="WOH3" s="4"/>
      <c r="WOI3" s="4"/>
      <c r="WOJ3" s="4"/>
      <c r="WOK3" s="4"/>
      <c r="WOL3" s="4"/>
      <c r="WOM3" s="4"/>
      <c r="WON3" s="4"/>
      <c r="WOO3" s="4"/>
      <c r="WOP3" s="4"/>
      <c r="WOQ3" s="4"/>
      <c r="WOR3" s="4"/>
      <c r="WOS3" s="4"/>
      <c r="WOT3" s="4"/>
      <c r="WOU3" s="4"/>
      <c r="WOV3" s="4"/>
      <c r="WOW3" s="4"/>
      <c r="WOX3" s="4"/>
      <c r="WOY3" s="4"/>
      <c r="WOZ3" s="4"/>
      <c r="WPA3" s="4"/>
      <c r="WPB3" s="4"/>
      <c r="WPC3" s="4"/>
      <c r="WPD3" s="4"/>
      <c r="WPE3" s="4"/>
      <c r="WPF3" s="4"/>
      <c r="WPG3" s="4"/>
      <c r="WPH3" s="4"/>
      <c r="WPI3" s="4"/>
      <c r="WPJ3" s="4"/>
      <c r="WPK3" s="4"/>
      <c r="WPL3" s="4"/>
      <c r="WPM3" s="4"/>
      <c r="WPN3" s="4"/>
      <c r="WPO3" s="4"/>
      <c r="WPP3" s="4"/>
      <c r="WPQ3" s="4"/>
      <c r="WPR3" s="4"/>
      <c r="WPS3" s="4"/>
      <c r="WPT3" s="4"/>
      <c r="WPU3" s="4"/>
      <c r="WPV3" s="4"/>
      <c r="WPW3" s="4"/>
      <c r="WPX3" s="4"/>
      <c r="WPY3" s="4"/>
      <c r="WPZ3" s="4"/>
      <c r="WQA3" s="4"/>
      <c r="WQB3" s="4"/>
      <c r="WQC3" s="4"/>
      <c r="WQD3" s="4"/>
      <c r="WQE3" s="4"/>
      <c r="WQF3" s="4"/>
      <c r="WQG3" s="4"/>
      <c r="WQH3" s="4"/>
      <c r="WQI3" s="4"/>
      <c r="WQJ3" s="4"/>
      <c r="WQK3" s="4"/>
      <c r="WQL3" s="4"/>
      <c r="WQM3" s="4"/>
      <c r="WQN3" s="4"/>
      <c r="WQO3" s="4"/>
      <c r="WQP3" s="4"/>
      <c r="WQQ3" s="4"/>
      <c r="WQR3" s="4"/>
      <c r="WQS3" s="4"/>
      <c r="WQT3" s="4"/>
      <c r="WQU3" s="4"/>
      <c r="WQV3" s="4"/>
      <c r="WQW3" s="4"/>
      <c r="WQX3" s="4"/>
      <c r="WQY3" s="4"/>
      <c r="WQZ3" s="4"/>
      <c r="WRA3" s="4"/>
      <c r="WRB3" s="4"/>
      <c r="WRC3" s="4"/>
      <c r="WRD3" s="4"/>
      <c r="WRE3" s="4"/>
      <c r="WRF3" s="4"/>
      <c r="WRG3" s="4"/>
      <c r="WRH3" s="4"/>
      <c r="WRI3" s="4"/>
      <c r="WRJ3" s="4"/>
      <c r="WRK3" s="4"/>
      <c r="WRL3" s="4"/>
      <c r="WRM3" s="4"/>
      <c r="WRN3" s="4"/>
      <c r="WRO3" s="4"/>
      <c r="WRP3" s="4"/>
      <c r="WRQ3" s="4"/>
      <c r="WRR3" s="4"/>
      <c r="WRS3" s="4"/>
      <c r="WRT3" s="4"/>
      <c r="WRU3" s="4"/>
      <c r="WRV3" s="4"/>
      <c r="WRW3" s="4"/>
      <c r="WRX3" s="4"/>
      <c r="WRY3" s="4"/>
      <c r="WRZ3" s="4"/>
      <c r="WSA3" s="4"/>
      <c r="WSB3" s="4"/>
      <c r="WSC3" s="4"/>
      <c r="WSD3" s="4"/>
      <c r="WSE3" s="4"/>
      <c r="WSF3" s="4"/>
      <c r="WSG3" s="4"/>
      <c r="WSH3" s="4"/>
      <c r="WSI3" s="4"/>
      <c r="WSJ3" s="4"/>
      <c r="WSK3" s="4"/>
      <c r="WSL3" s="4"/>
      <c r="WSM3" s="4"/>
      <c r="WSN3" s="4"/>
      <c r="WSO3" s="4"/>
      <c r="WSP3" s="4"/>
      <c r="WSQ3" s="4"/>
      <c r="WSR3" s="4"/>
      <c r="WSS3" s="4"/>
      <c r="WST3" s="4"/>
      <c r="WSU3" s="4"/>
      <c r="WSV3" s="4"/>
      <c r="WSW3" s="4"/>
      <c r="WSX3" s="4"/>
      <c r="WSY3" s="4"/>
      <c r="WSZ3" s="4"/>
      <c r="WTA3" s="4"/>
      <c r="WTB3" s="4"/>
      <c r="WTC3" s="4"/>
      <c r="WTD3" s="4"/>
      <c r="WTE3" s="4"/>
      <c r="WTF3" s="4"/>
      <c r="WTG3" s="4"/>
      <c r="WTH3" s="4"/>
      <c r="WTI3" s="4"/>
      <c r="WTJ3" s="4"/>
      <c r="WTK3" s="4"/>
      <c r="WTL3" s="4"/>
      <c r="WTM3" s="4"/>
      <c r="WTN3" s="4"/>
      <c r="WTO3" s="4"/>
      <c r="WTP3" s="4"/>
      <c r="WTQ3" s="4"/>
      <c r="WTR3" s="4"/>
      <c r="WTS3" s="4"/>
      <c r="WTT3" s="4"/>
      <c r="WTU3" s="4"/>
      <c r="WTV3" s="4"/>
      <c r="WTW3" s="4"/>
      <c r="WTX3" s="4"/>
      <c r="WTY3" s="4"/>
      <c r="WTZ3" s="4"/>
      <c r="WUA3" s="4"/>
      <c r="WUB3" s="4"/>
      <c r="WUC3" s="4"/>
      <c r="WUD3" s="4"/>
      <c r="WUE3" s="4"/>
      <c r="WUF3" s="4"/>
      <c r="WUG3" s="4"/>
      <c r="WUH3" s="4"/>
      <c r="WUI3" s="4"/>
      <c r="WUJ3" s="4"/>
      <c r="WUK3" s="4"/>
      <c r="WUL3" s="4"/>
      <c r="WUM3" s="4"/>
      <c r="WUN3" s="4"/>
      <c r="WUO3" s="4"/>
      <c r="WUP3" s="4"/>
      <c r="WUQ3" s="4"/>
      <c r="WUR3" s="4"/>
      <c r="WUS3" s="4"/>
      <c r="WUT3" s="4"/>
      <c r="WUU3" s="4"/>
      <c r="WUV3" s="4"/>
      <c r="WUW3" s="4"/>
      <c r="WUX3" s="4"/>
      <c r="WUY3" s="4"/>
      <c r="WUZ3" s="4"/>
      <c r="WVA3" s="4"/>
      <c r="WVB3" s="4"/>
      <c r="WVC3" s="4"/>
      <c r="WVD3" s="4"/>
      <c r="WVE3" s="4"/>
      <c r="WVF3" s="4"/>
      <c r="WVG3" s="4"/>
      <c r="WVH3" s="4"/>
      <c r="WVI3" s="4"/>
      <c r="WVJ3" s="4"/>
      <c r="WVK3" s="4"/>
      <c r="WVL3" s="4"/>
      <c r="WVM3" s="4"/>
      <c r="WVN3" s="4"/>
      <c r="WVO3" s="4"/>
      <c r="WVP3" s="4"/>
      <c r="WVQ3" s="4"/>
      <c r="WVR3" s="4"/>
      <c r="WVS3" s="4"/>
      <c r="WVT3" s="4"/>
      <c r="WVU3" s="4"/>
      <c r="WVV3" s="4"/>
      <c r="WVW3" s="4"/>
      <c r="WVX3" s="4"/>
      <c r="WVY3" s="4"/>
      <c r="WVZ3" s="4"/>
      <c r="WWA3" s="4"/>
      <c r="WWB3" s="4"/>
      <c r="WWC3" s="4"/>
      <c r="WWD3" s="4"/>
      <c r="WWE3" s="4"/>
      <c r="WWF3" s="4"/>
      <c r="WWG3" s="4"/>
      <c r="WWH3" s="4"/>
      <c r="WWI3" s="4"/>
      <c r="WWJ3" s="4"/>
      <c r="WWK3" s="4"/>
      <c r="WWL3" s="4"/>
      <c r="WWM3" s="4"/>
      <c r="WWN3" s="4"/>
      <c r="WWO3" s="4"/>
      <c r="WWP3" s="4"/>
      <c r="WWQ3" s="4"/>
      <c r="WWR3" s="4"/>
      <c r="WWS3" s="4"/>
      <c r="WWT3" s="4"/>
      <c r="WWU3" s="4"/>
      <c r="WWV3" s="4"/>
      <c r="WWW3" s="4"/>
      <c r="WWX3" s="4"/>
      <c r="WWY3" s="4"/>
      <c r="WWZ3" s="4"/>
      <c r="WXA3" s="4"/>
      <c r="WXB3" s="4"/>
      <c r="WXC3" s="4"/>
      <c r="WXD3" s="4"/>
      <c r="WXE3" s="4"/>
      <c r="WXF3" s="4"/>
      <c r="WXG3" s="4"/>
      <c r="WXH3" s="4"/>
      <c r="WXI3" s="4"/>
      <c r="WXJ3" s="4"/>
      <c r="WXK3" s="4"/>
      <c r="WXL3" s="4"/>
      <c r="WXM3" s="4"/>
      <c r="WXN3" s="4"/>
      <c r="WXO3" s="4"/>
      <c r="WXP3" s="4"/>
      <c r="WXQ3" s="4"/>
      <c r="WXR3" s="4"/>
      <c r="WXS3" s="4"/>
      <c r="WXT3" s="4"/>
      <c r="WXU3" s="4"/>
      <c r="WXV3" s="4"/>
      <c r="WXW3" s="4"/>
      <c r="WXX3" s="4"/>
      <c r="WXY3" s="4"/>
      <c r="WXZ3" s="4"/>
      <c r="WYA3" s="4"/>
      <c r="WYB3" s="4"/>
      <c r="WYC3" s="4"/>
      <c r="WYD3" s="4"/>
      <c r="WYE3" s="4"/>
      <c r="WYF3" s="4"/>
      <c r="WYG3" s="4"/>
      <c r="WYH3" s="4"/>
      <c r="WYI3" s="4"/>
      <c r="WYJ3" s="4"/>
      <c r="WYK3" s="4"/>
      <c r="WYL3" s="4"/>
      <c r="WYM3" s="4"/>
      <c r="WYN3" s="4"/>
      <c r="WYO3" s="4"/>
      <c r="WYP3" s="4"/>
      <c r="WYQ3" s="4"/>
      <c r="WYR3" s="4"/>
      <c r="WYS3" s="4"/>
      <c r="WYT3" s="4"/>
      <c r="WYU3" s="4"/>
      <c r="WYV3" s="4"/>
      <c r="WYW3" s="4"/>
      <c r="WYX3" s="4"/>
      <c r="WYY3" s="4"/>
      <c r="WYZ3" s="4"/>
      <c r="WZA3" s="4"/>
      <c r="WZB3" s="4"/>
      <c r="WZC3" s="4"/>
      <c r="WZD3" s="4"/>
      <c r="WZE3" s="4"/>
      <c r="WZF3" s="4"/>
      <c r="WZG3" s="4"/>
      <c r="WZH3" s="4"/>
      <c r="WZI3" s="4"/>
      <c r="WZJ3" s="4"/>
      <c r="WZK3" s="4"/>
      <c r="WZL3" s="4"/>
      <c r="WZM3" s="4"/>
      <c r="WZN3" s="4"/>
      <c r="WZO3" s="4"/>
      <c r="WZP3" s="4"/>
      <c r="WZQ3" s="4"/>
      <c r="WZR3" s="4"/>
      <c r="WZS3" s="4"/>
      <c r="WZT3" s="4"/>
      <c r="WZU3" s="4"/>
      <c r="WZV3" s="4"/>
      <c r="WZW3" s="4"/>
      <c r="WZX3" s="4"/>
      <c r="WZY3" s="4"/>
      <c r="WZZ3" s="4"/>
      <c r="XAA3" s="4"/>
      <c r="XAB3" s="4"/>
      <c r="XAC3" s="4"/>
      <c r="XAD3" s="4"/>
      <c r="XAE3" s="4"/>
      <c r="XAF3" s="4"/>
      <c r="XAG3" s="4"/>
      <c r="XAH3" s="4"/>
      <c r="XAI3" s="4"/>
      <c r="XAJ3" s="4"/>
      <c r="XAK3" s="4"/>
      <c r="XAL3" s="4"/>
      <c r="XAM3" s="4"/>
      <c r="XAN3" s="4"/>
      <c r="XAO3" s="4"/>
      <c r="XAP3" s="4"/>
      <c r="XAQ3" s="4"/>
      <c r="XAR3" s="4"/>
      <c r="XAS3" s="4"/>
      <c r="XAT3" s="4"/>
      <c r="XAU3" s="4"/>
      <c r="XAV3" s="4"/>
      <c r="XAW3" s="4"/>
      <c r="XAX3" s="4"/>
      <c r="XAY3" s="4"/>
      <c r="XAZ3" s="4"/>
      <c r="XBA3" s="4"/>
      <c r="XBB3" s="4"/>
      <c r="XBC3" s="4"/>
      <c r="XBD3" s="4"/>
      <c r="XBE3" s="4"/>
      <c r="XBF3" s="4"/>
      <c r="XBG3" s="4"/>
      <c r="XBH3" s="4"/>
      <c r="XBI3" s="4"/>
      <c r="XBJ3" s="4"/>
      <c r="XBK3" s="4"/>
      <c r="XBL3" s="4"/>
      <c r="XBM3" s="4"/>
      <c r="XBN3" s="4"/>
      <c r="XBO3" s="4"/>
      <c r="XBP3" s="4"/>
      <c r="XBQ3" s="4"/>
      <c r="XBR3" s="4"/>
      <c r="XBS3" s="4"/>
      <c r="XBT3" s="4"/>
      <c r="XBU3" s="4"/>
      <c r="XBV3" s="4"/>
      <c r="XBW3" s="4"/>
      <c r="XBX3" s="4"/>
      <c r="XBY3" s="4"/>
      <c r="XBZ3" s="4"/>
      <c r="XCA3" s="4"/>
      <c r="XCB3" s="4"/>
      <c r="XCC3" s="4"/>
      <c r="XCD3" s="4"/>
      <c r="XCE3" s="4"/>
      <c r="XCF3" s="4"/>
      <c r="XCG3" s="4"/>
      <c r="XCH3" s="4"/>
      <c r="XCI3" s="4"/>
      <c r="XCJ3" s="4"/>
      <c r="XCK3" s="4"/>
      <c r="XCL3" s="4"/>
      <c r="XCM3" s="4"/>
      <c r="XCN3" s="4"/>
      <c r="XCO3" s="4"/>
      <c r="XCP3" s="4"/>
      <c r="XCQ3" s="4"/>
      <c r="XCR3" s="4"/>
      <c r="XCS3" s="4"/>
      <c r="XCT3" s="4"/>
      <c r="XCU3" s="4"/>
      <c r="XCV3" s="4"/>
      <c r="XCW3" s="4"/>
      <c r="XCX3" s="4"/>
      <c r="XCY3" s="4"/>
      <c r="XCZ3" s="4"/>
      <c r="XDA3" s="4"/>
      <c r="XDB3" s="4"/>
      <c r="XDC3" s="4"/>
      <c r="XDD3" s="4"/>
      <c r="XDE3" s="4"/>
      <c r="XDF3" s="4"/>
      <c r="XDG3" s="4"/>
      <c r="XDH3" s="4"/>
      <c r="XDI3" s="4"/>
      <c r="XDJ3" s="4"/>
      <c r="XDK3" s="4"/>
      <c r="XDL3" s="4"/>
      <c r="XDM3" s="4"/>
      <c r="XDN3" s="4"/>
      <c r="XDO3" s="4"/>
      <c r="XDP3" s="4"/>
      <c r="XDQ3" s="4"/>
      <c r="XDR3" s="4"/>
      <c r="XDS3" s="4"/>
      <c r="XDT3" s="4"/>
      <c r="XDU3" s="4"/>
      <c r="XDV3" s="4"/>
      <c r="XDW3" s="4"/>
      <c r="XDX3" s="4"/>
      <c r="XDY3" s="4"/>
      <c r="XDZ3" s="4"/>
      <c r="XEA3" s="4"/>
      <c r="XEB3" s="4"/>
      <c r="XEC3" s="4"/>
      <c r="XED3" s="4"/>
      <c r="XEE3" s="4"/>
      <c r="XEF3" s="4"/>
      <c r="XEG3" s="4"/>
      <c r="XEH3" s="4"/>
      <c r="XEI3" s="4"/>
      <c r="XEJ3" s="4"/>
      <c r="XEK3" s="4"/>
      <c r="XEL3" s="4"/>
      <c r="XEM3" s="4"/>
      <c r="XEN3" s="4"/>
      <c r="XEO3" s="4"/>
      <c r="XEP3" s="4"/>
      <c r="XEQ3" s="4"/>
      <c r="XER3" s="4"/>
      <c r="XES3" s="4"/>
      <c r="XET3" s="4"/>
      <c r="XEU3" s="4"/>
      <c r="XEV3" s="4"/>
      <c r="XEW3" s="4"/>
      <c r="XEX3" s="4"/>
      <c r="XEY3" s="4"/>
      <c r="XEZ3" s="4"/>
      <c r="XFA3" s="4"/>
      <c r="XFB3" s="4"/>
      <c r="XFC3" s="4"/>
      <c r="XFD3" s="4"/>
    </row>
    <row r="5" spans="2:16384" x14ac:dyDescent="0.25">
      <c r="B5" s="12" t="s">
        <v>282</v>
      </c>
      <c r="C5" s="22" t="s">
        <v>312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</row>
    <row r="6" spans="2:16384" x14ac:dyDescent="0.25">
      <c r="C6" s="2" t="s">
        <v>264</v>
      </c>
    </row>
    <row r="7" spans="2:16384" x14ac:dyDescent="0.25">
      <c r="B7" s="2">
        <v>1</v>
      </c>
      <c r="C7" s="16" t="s">
        <v>7</v>
      </c>
    </row>
    <row r="8" spans="2:16384" x14ac:dyDescent="0.25">
      <c r="B8" s="2">
        <v>2</v>
      </c>
      <c r="C8" s="16" t="s">
        <v>9</v>
      </c>
    </row>
    <row r="9" spans="2:16384" x14ac:dyDescent="0.25">
      <c r="B9" s="2">
        <v>3</v>
      </c>
      <c r="C9" s="16" t="s">
        <v>10</v>
      </c>
    </row>
    <row r="10" spans="2:16384" x14ac:dyDescent="0.25">
      <c r="B10" s="2">
        <v>4</v>
      </c>
      <c r="C10" s="16" t="s">
        <v>265</v>
      </c>
    </row>
    <row r="11" spans="2:16384" x14ac:dyDescent="0.25">
      <c r="B11" s="2">
        <v>5</v>
      </c>
      <c r="C11" s="16" t="s">
        <v>266</v>
      </c>
    </row>
    <row r="12" spans="2:16384" x14ac:dyDescent="0.25">
      <c r="B12" s="2">
        <v>6</v>
      </c>
      <c r="C12" s="16" t="s">
        <v>15</v>
      </c>
    </row>
    <row r="13" spans="2:16384" x14ac:dyDescent="0.25">
      <c r="B13" s="2">
        <v>7</v>
      </c>
      <c r="C13" s="16" t="s">
        <v>267</v>
      </c>
    </row>
    <row r="15" spans="2:16384" x14ac:dyDescent="0.25">
      <c r="B15" s="12" t="s">
        <v>282</v>
      </c>
      <c r="C15" s="22" t="s">
        <v>268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</row>
    <row r="16" spans="2:16384" x14ac:dyDescent="0.25">
      <c r="C16" s="2" t="s">
        <v>283</v>
      </c>
    </row>
    <row r="17" spans="2:15" x14ac:dyDescent="0.25">
      <c r="C17" s="2" t="s">
        <v>284</v>
      </c>
    </row>
    <row r="19" spans="2:15" x14ac:dyDescent="0.25">
      <c r="C19" s="2" t="s">
        <v>269</v>
      </c>
    </row>
    <row r="21" spans="2:15" x14ac:dyDescent="0.25">
      <c r="C21" s="18" t="s">
        <v>270</v>
      </c>
      <c r="D21" s="20" t="s">
        <v>271</v>
      </c>
      <c r="E21" s="19"/>
      <c r="F21" s="19"/>
      <c r="G21" s="19"/>
      <c r="H21" s="19"/>
      <c r="I21" s="19"/>
      <c r="J21" s="19"/>
    </row>
    <row r="22" spans="2:15" x14ac:dyDescent="0.25">
      <c r="C22" s="17" t="s">
        <v>272</v>
      </c>
      <c r="D22" s="21" t="s">
        <v>273</v>
      </c>
    </row>
    <row r="23" spans="2:15" s="14" customFormat="1" x14ac:dyDescent="0.25">
      <c r="C23" s="17" t="s">
        <v>274</v>
      </c>
      <c r="D23" s="21" t="s">
        <v>275</v>
      </c>
    </row>
    <row r="24" spans="2:15" s="14" customFormat="1" x14ac:dyDescent="0.25">
      <c r="C24" s="17" t="s">
        <v>276</v>
      </c>
      <c r="D24" s="21" t="s">
        <v>277</v>
      </c>
    </row>
    <row r="25" spans="2:15" s="14" customFormat="1" x14ac:dyDescent="0.25"/>
    <row r="26" spans="2:15" s="14" customFormat="1" x14ac:dyDescent="0.25">
      <c r="B26" s="12" t="s">
        <v>282</v>
      </c>
      <c r="C26" s="22" t="s">
        <v>278</v>
      </c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2:15" x14ac:dyDescent="0.25">
      <c r="C27" s="2" t="s">
        <v>285</v>
      </c>
    </row>
    <row r="28" spans="2:15" x14ac:dyDescent="0.25">
      <c r="C28" s="2" t="s">
        <v>286</v>
      </c>
    </row>
    <row r="31" spans="2:15" x14ac:dyDescent="0.25">
      <c r="B31" s="12" t="s">
        <v>282</v>
      </c>
      <c r="C31" s="3" t="s">
        <v>287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CC36A-986C-4FDD-A955-AF27ADC4D698}">
  <dimension ref="C2:AO10003"/>
  <sheetViews>
    <sheetView tabSelected="1" topLeftCell="AE1" zoomScale="93" zoomScaleNormal="55" workbookViewId="0">
      <selection activeCell="AH2" sqref="AH2"/>
    </sheetView>
  </sheetViews>
  <sheetFormatPr defaultRowHeight="13.2" x14ac:dyDescent="0.25"/>
  <cols>
    <col min="1" max="2" width="2.88671875" style="2" customWidth="1"/>
    <col min="3" max="4" width="12.77734375" style="2" customWidth="1"/>
    <col min="5" max="5" width="13.44140625" style="2" bestFit="1" customWidth="1"/>
    <col min="6" max="6" width="14.77734375" style="2" customWidth="1"/>
    <col min="7" max="7" width="12.77734375" style="2" customWidth="1"/>
    <col min="8" max="8" width="14.77734375" style="2" bestFit="1" customWidth="1"/>
    <col min="9" max="10" width="12.77734375" style="2" customWidth="1"/>
    <col min="11" max="11" width="2.88671875" style="2" customWidth="1"/>
    <col min="12" max="18" width="10.77734375" style="2" customWidth="1"/>
    <col min="19" max="19" width="2.88671875" style="2" customWidth="1"/>
    <col min="20" max="26" width="9.77734375" style="2" customWidth="1"/>
    <col min="27" max="27" width="2.88671875" style="2" customWidth="1"/>
    <col min="28" max="28" width="20.5546875" style="2" bestFit="1" customWidth="1"/>
    <col min="29" max="29" width="10.5546875" style="2" customWidth="1"/>
    <col min="30" max="30" width="13.44140625" style="2" bestFit="1" customWidth="1"/>
    <col min="31" max="32" width="10.5546875" style="2" customWidth="1"/>
    <col min="33" max="33" width="14.77734375" style="2" bestFit="1" customWidth="1"/>
    <col min="34" max="35" width="10.5546875" style="2" customWidth="1"/>
    <col min="36" max="16384" width="8.88671875" style="2"/>
  </cols>
  <sheetData>
    <row r="2" spans="3:41" x14ac:dyDescent="0.25">
      <c r="C2" s="12" t="s">
        <v>279</v>
      </c>
      <c r="D2" s="5">
        <f>C257</f>
        <v>45740</v>
      </c>
      <c r="AN2" s="13" t="s">
        <v>301</v>
      </c>
      <c r="AO2" s="13" t="s">
        <v>300</v>
      </c>
    </row>
    <row r="3" spans="3:41" x14ac:dyDescent="0.25">
      <c r="C3" s="12" t="s">
        <v>280</v>
      </c>
      <c r="D3" s="5">
        <f>C8</f>
        <v>46101</v>
      </c>
      <c r="AM3" s="12" t="s">
        <v>311</v>
      </c>
      <c r="AN3" s="47">
        <f ca="1">AC60</f>
        <v>9.7891573588845902E-3</v>
      </c>
      <c r="AO3" s="47">
        <f ca="1">AC59</f>
        <v>4.0914680067769763E-4</v>
      </c>
    </row>
    <row r="4" spans="3:41" x14ac:dyDescent="0.25">
      <c r="AM4" s="2">
        <v>1</v>
      </c>
      <c r="AN4" s="33">
        <f t="dataTable" ref="AN4:AO10003" dt2D="0" dtr="0" r1="AK2" ca="1"/>
        <v>9.9520378092222694E-3</v>
      </c>
      <c r="AO4" s="33">
        <v>9.3747977983229093E-4</v>
      </c>
    </row>
    <row r="5" spans="3:41" x14ac:dyDescent="0.25">
      <c r="C5" s="30" t="s">
        <v>313</v>
      </c>
      <c r="L5" s="30" t="s">
        <v>290</v>
      </c>
      <c r="T5" s="30" t="s">
        <v>305</v>
      </c>
      <c r="U5" s="44" t="s">
        <v>304</v>
      </c>
      <c r="AM5" s="2">
        <v>2</v>
      </c>
      <c r="AN5" s="33">
        <v>1.1278292406993535E-2</v>
      </c>
      <c r="AO5" s="33">
        <v>7.9477806402883041E-4</v>
      </c>
    </row>
    <row r="6" spans="3:41" x14ac:dyDescent="0.25">
      <c r="C6" s="22" t="s">
        <v>288</v>
      </c>
      <c r="D6" s="22" t="s">
        <v>6</v>
      </c>
      <c r="E6" s="22" t="s">
        <v>11</v>
      </c>
      <c r="F6" s="22" t="s">
        <v>8</v>
      </c>
      <c r="G6" s="22" t="s">
        <v>13</v>
      </c>
      <c r="H6" s="22" t="s">
        <v>12</v>
      </c>
      <c r="I6" s="22" t="s">
        <v>14</v>
      </c>
      <c r="J6" s="22" t="s">
        <v>15</v>
      </c>
      <c r="L6" s="22" t="s">
        <v>6</v>
      </c>
      <c r="M6" s="22" t="s">
        <v>11</v>
      </c>
      <c r="N6" s="22" t="s">
        <v>8</v>
      </c>
      <c r="O6" s="22" t="s">
        <v>13</v>
      </c>
      <c r="P6" s="22" t="s">
        <v>12</v>
      </c>
      <c r="Q6" s="22" t="s">
        <v>14</v>
      </c>
      <c r="R6" s="22" t="s">
        <v>15</v>
      </c>
      <c r="T6" s="22" t="s">
        <v>6</v>
      </c>
      <c r="U6" s="22" t="s">
        <v>11</v>
      </c>
      <c r="V6" s="22" t="s">
        <v>8</v>
      </c>
      <c r="W6" s="22" t="s">
        <v>13</v>
      </c>
      <c r="X6" s="22" t="s">
        <v>12</v>
      </c>
      <c r="Y6" s="22" t="s">
        <v>14</v>
      </c>
      <c r="Z6" s="22" t="s">
        <v>15</v>
      </c>
      <c r="AC6" s="22" t="s">
        <v>6</v>
      </c>
      <c r="AD6" s="22" t="s">
        <v>11</v>
      </c>
      <c r="AE6" s="22" t="s">
        <v>8</v>
      </c>
      <c r="AF6" s="22" t="s">
        <v>13</v>
      </c>
      <c r="AG6" s="22" t="s">
        <v>12</v>
      </c>
      <c r="AH6" s="22" t="s">
        <v>14</v>
      </c>
      <c r="AI6" s="22" t="s">
        <v>15</v>
      </c>
      <c r="AM6" s="2">
        <v>3</v>
      </c>
      <c r="AN6" s="33">
        <v>9.9151873752033638E-3</v>
      </c>
      <c r="AO6" s="33">
        <v>9.9578703351681491E-4</v>
      </c>
    </row>
    <row r="7" spans="3:41" x14ac:dyDescent="0.25">
      <c r="C7" s="22" t="s">
        <v>0</v>
      </c>
      <c r="D7" s="22" t="s">
        <v>289</v>
      </c>
      <c r="E7" s="22" t="s">
        <v>289</v>
      </c>
      <c r="F7" s="22" t="s">
        <v>289</v>
      </c>
      <c r="G7" s="22" t="s">
        <v>289</v>
      </c>
      <c r="H7" s="22" t="s">
        <v>289</v>
      </c>
      <c r="I7" s="22" t="s">
        <v>289</v>
      </c>
      <c r="J7" s="22" t="s">
        <v>289</v>
      </c>
      <c r="K7" s="29"/>
      <c r="AM7" s="2">
        <v>4</v>
      </c>
      <c r="AN7" s="33">
        <v>1.2678678809797912E-2</v>
      </c>
      <c r="AO7" s="33">
        <v>3.5160179094737888E-4</v>
      </c>
    </row>
    <row r="8" spans="3:41" ht="14.4" x14ac:dyDescent="0.3">
      <c r="C8" s="24">
        <v>46101</v>
      </c>
      <c r="D8" s="25">
        <v>4884.8999999999996</v>
      </c>
      <c r="E8" s="26">
        <v>4.3920000000000003</v>
      </c>
      <c r="F8" s="27">
        <v>45577.47</v>
      </c>
      <c r="G8" s="27">
        <v>4609.6000000000004</v>
      </c>
      <c r="H8" s="28">
        <v>69.36</v>
      </c>
      <c r="I8" s="28">
        <v>648.57000000000005</v>
      </c>
      <c r="J8" s="27">
        <v>70517.2</v>
      </c>
      <c r="K8" s="27"/>
      <c r="M8" s="7"/>
      <c r="AB8" s="43" t="s">
        <v>291</v>
      </c>
      <c r="AC8" s="7">
        <f>AVERAGE(L9:L257)</f>
        <v>-1.5663065593332225E-4</v>
      </c>
      <c r="AD8" s="7">
        <f>AVERAGE(M9:M257)</f>
        <v>1.1055460300646704E-4</v>
      </c>
      <c r="AE8" s="7">
        <f>AVERAGE(N9:N257)</f>
        <v>3.2748402066512284E-4</v>
      </c>
      <c r="AF8" s="7">
        <f>AVERAGE(O9:O257)</f>
        <v>1.8173317367090513E-3</v>
      </c>
      <c r="AG8" s="7">
        <f>AVERAGE(P9:P257)</f>
        <v>3.749911731953381E-3</v>
      </c>
      <c r="AH8" s="7">
        <f>AVERAGE(Q9:Q257)</f>
        <v>5.5993015565901545E-4</v>
      </c>
      <c r="AI8" s="7">
        <f>AVERAGE(R9:R257)</f>
        <v>-4.7964934220146694E-4</v>
      </c>
      <c r="AM8" s="2">
        <v>5</v>
      </c>
      <c r="AN8" s="33">
        <v>1.3691179659263671E-2</v>
      </c>
      <c r="AO8" s="33">
        <v>1.4446377681869168E-3</v>
      </c>
    </row>
    <row r="9" spans="3:41" ht="14.4" x14ac:dyDescent="0.3">
      <c r="C9" s="24">
        <v>46100</v>
      </c>
      <c r="D9" s="25">
        <v>5043.6000000000004</v>
      </c>
      <c r="E9" s="26">
        <v>4.2830000000000004</v>
      </c>
      <c r="F9" s="27">
        <v>46021.43</v>
      </c>
      <c r="G9" s="27">
        <v>4640.5</v>
      </c>
      <c r="H9" s="28">
        <v>70.900000000000006</v>
      </c>
      <c r="I9" s="28">
        <v>659.8</v>
      </c>
      <c r="J9" s="27">
        <v>69916.7</v>
      </c>
      <c r="K9" s="27"/>
      <c r="L9" s="31">
        <f>D8/D9-1</f>
        <v>-3.1465619795384425E-2</v>
      </c>
      <c r="M9" s="31">
        <f>E8/E9-1</f>
        <v>2.5449451319168759E-2</v>
      </c>
      <c r="N9" s="31">
        <f>F8/F9-1</f>
        <v>-9.6468101925559768E-3</v>
      </c>
      <c r="O9" s="31">
        <f>G8/G9-1</f>
        <v>-6.658765219265117E-3</v>
      </c>
      <c r="P9" s="31">
        <f>H8/H9-1</f>
        <v>-2.1720733427362582E-2</v>
      </c>
      <c r="Q9" s="31">
        <f>I8/I9-1</f>
        <v>-1.702030918460129E-2</v>
      </c>
      <c r="R9" s="31">
        <f>J8/J9-1</f>
        <v>8.5887920911598137E-3</v>
      </c>
      <c r="T9" s="7">
        <f>L9-AC$8</f>
        <v>-3.1308989139451106E-2</v>
      </c>
      <c r="U9" s="7">
        <f t="shared" ref="U9:Z9" si="0">M9-AD$8</f>
        <v>2.5338896716162292E-2</v>
      </c>
      <c r="V9" s="7">
        <f t="shared" si="0"/>
        <v>-9.9742942132211004E-3</v>
      </c>
      <c r="W9" s="7">
        <f t="shared" si="0"/>
        <v>-8.4760969559741686E-3</v>
      </c>
      <c r="X9" s="7">
        <f t="shared" si="0"/>
        <v>-2.5470645159315963E-2</v>
      </c>
      <c r="Y9" s="7">
        <f t="shared" si="0"/>
        <v>-1.7580239340260307E-2</v>
      </c>
      <c r="Z9" s="7">
        <f t="shared" si="0"/>
        <v>9.0684414333612809E-3</v>
      </c>
      <c r="AB9" s="43" t="s">
        <v>292</v>
      </c>
      <c r="AC9" s="2">
        <f>COUNT(L9:L257)</f>
        <v>249</v>
      </c>
      <c r="AM9" s="2">
        <v>6</v>
      </c>
      <c r="AN9" s="33">
        <v>1.0508963235347535E-2</v>
      </c>
      <c r="AO9" s="33">
        <v>7.0169570990430603E-4</v>
      </c>
    </row>
    <row r="10" spans="3:41" ht="14.4" x14ac:dyDescent="0.3">
      <c r="C10" s="24">
        <v>46099</v>
      </c>
      <c r="D10" s="25">
        <v>5059</v>
      </c>
      <c r="E10" s="26">
        <v>4.2569999999999997</v>
      </c>
      <c r="F10" s="27">
        <v>46225.15</v>
      </c>
      <c r="G10" s="27">
        <v>4932.8999999999996</v>
      </c>
      <c r="H10" s="28">
        <v>77.239999999999995</v>
      </c>
      <c r="I10" s="28">
        <v>661.43</v>
      </c>
      <c r="J10" s="27">
        <v>71247.899999999994</v>
      </c>
      <c r="K10" s="27"/>
      <c r="L10" s="31">
        <f t="shared" ref="L10:O73" si="1">D9/D10-1</f>
        <v>-3.0440798576792938E-3</v>
      </c>
      <c r="M10" s="31">
        <f t="shared" si="1"/>
        <v>6.1075875029366067E-3</v>
      </c>
      <c r="N10" s="31">
        <f t="shared" si="1"/>
        <v>-4.4071246929431318E-3</v>
      </c>
      <c r="O10" s="31">
        <f t="shared" si="1"/>
        <v>-5.9275476899997903E-2</v>
      </c>
      <c r="P10" s="31">
        <f t="shared" ref="P10:R73" si="2">H9/H10-1</f>
        <v>-8.2081822889694345E-2</v>
      </c>
      <c r="Q10" s="31">
        <f t="shared" si="2"/>
        <v>-2.4643575283854746E-3</v>
      </c>
      <c r="R10" s="31">
        <f t="shared" si="2"/>
        <v>-1.868405945999807E-2</v>
      </c>
      <c r="T10" s="7">
        <f t="shared" ref="T10:T73" si="3">L10-AC$8</f>
        <v>-2.8874492017459718E-3</v>
      </c>
      <c r="U10" s="7">
        <f t="shared" ref="U10:U73" si="4">M10-AD$8</f>
        <v>5.9970328999301393E-3</v>
      </c>
      <c r="V10" s="7">
        <f t="shared" ref="V10:V73" si="5">N10-AE$8</f>
        <v>-4.7346087136082545E-3</v>
      </c>
      <c r="W10" s="7">
        <f t="shared" ref="W10:W73" si="6">O10-AF$8</f>
        <v>-6.1092808636706956E-2</v>
      </c>
      <c r="X10" s="7">
        <f t="shared" ref="X10:X73" si="7">P10-AG$8</f>
        <v>-8.5831734621647726E-2</v>
      </c>
      <c r="Y10" s="7">
        <f t="shared" ref="Y10:Y73" si="8">Q10-AH$8</f>
        <v>-3.02428768404449E-3</v>
      </c>
      <c r="Z10" s="7">
        <f t="shared" ref="Z10:Z73" si="9">R10-AI$8</f>
        <v>-1.8204410117796603E-2</v>
      </c>
      <c r="AB10" s="43" t="s">
        <v>294</v>
      </c>
      <c r="AC10" s="31">
        <f>_xlfn.STDEV.S(L9:L257)</f>
        <v>1.1382356212947439E-2</v>
      </c>
      <c r="AD10" s="31">
        <f>_xlfn.STDEV.S(M9:M257)</f>
        <v>1.1069219364871997E-2</v>
      </c>
      <c r="AE10" s="31">
        <f>_xlfn.STDEV.S(N9:N257)</f>
        <v>1.0493941189724871E-2</v>
      </c>
      <c r="AF10" s="31">
        <f>_xlfn.STDEV.S(O9:O257)</f>
        <v>1.7178696239435163E-2</v>
      </c>
      <c r="AG10" s="31">
        <f>_xlfn.STDEV.S(P9:P257)</f>
        <v>3.856493346710297E-2</v>
      </c>
      <c r="AH10" s="31">
        <f>_xlfn.STDEV.S(Q9:Q257)</f>
        <v>1.1915295429676898E-2</v>
      </c>
      <c r="AI10" s="31">
        <f>_xlfn.STDEV.S(R9:R257)</f>
        <v>2.7779864491017436E-2</v>
      </c>
      <c r="AJ10" s="7">
        <f>AVERAGE(AC10:AI10)</f>
        <v>1.8340615199253823E-2</v>
      </c>
      <c r="AM10" s="2">
        <v>7</v>
      </c>
      <c r="AN10" s="33">
        <v>1.219272497427722E-2</v>
      </c>
      <c r="AO10" s="33">
        <v>5.7851495477725392E-4</v>
      </c>
    </row>
    <row r="11" spans="3:41" ht="14.4" x14ac:dyDescent="0.3">
      <c r="C11" s="24">
        <v>46098</v>
      </c>
      <c r="D11" s="25">
        <v>5139</v>
      </c>
      <c r="E11" s="26">
        <v>4.202</v>
      </c>
      <c r="F11" s="27">
        <v>46993.26</v>
      </c>
      <c r="G11" s="27">
        <v>5045.6000000000004</v>
      </c>
      <c r="H11" s="28">
        <v>79.53</v>
      </c>
      <c r="I11" s="28">
        <v>670.79</v>
      </c>
      <c r="J11" s="27">
        <v>73908.899999999994</v>
      </c>
      <c r="K11" s="27"/>
      <c r="L11" s="31">
        <f t="shared" si="1"/>
        <v>-1.5567230978789648E-2</v>
      </c>
      <c r="M11" s="31">
        <f t="shared" si="1"/>
        <v>1.308900523560208E-2</v>
      </c>
      <c r="N11" s="31">
        <f t="shared" si="1"/>
        <v>-1.6345109915762435E-2</v>
      </c>
      <c r="O11" s="31">
        <f t="shared" si="1"/>
        <v>-2.2336293007769292E-2</v>
      </c>
      <c r="P11" s="31">
        <f t="shared" si="2"/>
        <v>-2.8794165723626364E-2</v>
      </c>
      <c r="Q11" s="31">
        <f t="shared" si="2"/>
        <v>-1.3953696387841275E-2</v>
      </c>
      <c r="R11" s="31">
        <f t="shared" si="2"/>
        <v>-3.6003783035601922E-2</v>
      </c>
      <c r="T11" s="7">
        <f t="shared" si="3"/>
        <v>-1.5410600322856325E-2</v>
      </c>
      <c r="U11" s="7">
        <f t="shared" si="4"/>
        <v>1.2978450632595614E-2</v>
      </c>
      <c r="V11" s="7">
        <f t="shared" si="5"/>
        <v>-1.6672593936427556E-2</v>
      </c>
      <c r="W11" s="7">
        <f t="shared" si="6"/>
        <v>-2.4153624744478342E-2</v>
      </c>
      <c r="X11" s="7">
        <f t="shared" si="7"/>
        <v>-3.2544077455579745E-2</v>
      </c>
      <c r="Y11" s="7">
        <f t="shared" si="8"/>
        <v>-1.451362654350029E-2</v>
      </c>
      <c r="Z11" s="7">
        <f t="shared" si="9"/>
        <v>-3.5524133693400455E-2</v>
      </c>
      <c r="AB11" s="43" t="s">
        <v>293</v>
      </c>
      <c r="AC11" s="32">
        <f>SQRT(AC10)</f>
        <v>0.10668812592293221</v>
      </c>
      <c r="AD11" s="32">
        <f t="shared" ref="AD11:AI11" si="10">SQRT(AD10)</f>
        <v>0.10521035768816679</v>
      </c>
      <c r="AE11" s="32">
        <f t="shared" si="10"/>
        <v>0.10243993942659704</v>
      </c>
      <c r="AF11" s="32">
        <f t="shared" si="10"/>
        <v>0.13106752549520098</v>
      </c>
      <c r="AG11" s="32">
        <f t="shared" si="10"/>
        <v>0.19637956478998259</v>
      </c>
      <c r="AH11" s="32">
        <f t="shared" si="10"/>
        <v>0.10915720512030755</v>
      </c>
      <c r="AI11" s="32">
        <f t="shared" si="10"/>
        <v>0.166672926688822</v>
      </c>
      <c r="AM11" s="2">
        <v>8</v>
      </c>
      <c r="AN11" s="33">
        <v>1.1779998441740358E-2</v>
      </c>
      <c r="AO11" s="33">
        <v>4.1797685484531663E-4</v>
      </c>
    </row>
    <row r="12" spans="3:41" ht="14.4" x14ac:dyDescent="0.3">
      <c r="C12" s="24">
        <v>46097</v>
      </c>
      <c r="D12" s="25">
        <v>5100</v>
      </c>
      <c r="E12" s="26">
        <v>4.22</v>
      </c>
      <c r="F12" s="27">
        <v>46946.41</v>
      </c>
      <c r="G12" s="27">
        <v>5039.3999999999996</v>
      </c>
      <c r="H12" s="28">
        <v>80.260000000000005</v>
      </c>
      <c r="I12" s="28">
        <v>669.03</v>
      </c>
      <c r="J12" s="27">
        <v>74864.100000000006</v>
      </c>
      <c r="K12" s="27"/>
      <c r="L12" s="31">
        <f t="shared" si="1"/>
        <v>7.6470588235293402E-3</v>
      </c>
      <c r="M12" s="31">
        <f t="shared" si="1"/>
        <v>-4.2654028436018843E-3</v>
      </c>
      <c r="N12" s="31">
        <f t="shared" si="1"/>
        <v>9.9794638184258488E-4</v>
      </c>
      <c r="O12" s="31">
        <f t="shared" si="1"/>
        <v>1.2303051950630639E-3</v>
      </c>
      <c r="P12" s="31">
        <f t="shared" si="2"/>
        <v>-9.0954398205831399E-3</v>
      </c>
      <c r="Q12" s="31">
        <f t="shared" si="2"/>
        <v>2.6306742597492772E-3</v>
      </c>
      <c r="R12" s="31">
        <f t="shared" si="2"/>
        <v>-1.2759119524578644E-2</v>
      </c>
      <c r="T12" s="7">
        <f t="shared" si="3"/>
        <v>7.8036894794626622E-3</v>
      </c>
      <c r="U12" s="7">
        <f t="shared" si="4"/>
        <v>-4.3759574466083516E-3</v>
      </c>
      <c r="V12" s="7">
        <f t="shared" si="5"/>
        <v>6.7046236117746199E-4</v>
      </c>
      <c r="W12" s="7">
        <f t="shared" si="6"/>
        <v>-5.8702654164598743E-4</v>
      </c>
      <c r="X12" s="7">
        <f t="shared" si="7"/>
        <v>-1.2845351552536521E-2</v>
      </c>
      <c r="Y12" s="7">
        <f t="shared" si="8"/>
        <v>2.0707441040902618E-3</v>
      </c>
      <c r="Z12" s="7">
        <f t="shared" si="9"/>
        <v>-1.2279470182377177E-2</v>
      </c>
      <c r="AB12" s="43" t="s">
        <v>295</v>
      </c>
      <c r="AC12" s="32">
        <f>AC8/AC11</f>
        <v>-1.4681170428138064E-3</v>
      </c>
      <c r="AD12" s="32">
        <f t="shared" ref="AD12:AI12" si="11">AD8/AD11</f>
        <v>1.0507958098017313E-3</v>
      </c>
      <c r="AE12" s="32">
        <f t="shared" si="11"/>
        <v>3.1968392650190925E-3</v>
      </c>
      <c r="AF12" s="32">
        <f t="shared" si="11"/>
        <v>1.3865614154557246E-2</v>
      </c>
      <c r="AG12" s="32">
        <f t="shared" si="11"/>
        <v>1.9095223762022849E-2</v>
      </c>
      <c r="AH12" s="32">
        <f t="shared" si="11"/>
        <v>5.1295757805624349E-3</v>
      </c>
      <c r="AI12" s="32">
        <f t="shared" si="11"/>
        <v>-2.8777879631103572E-3</v>
      </c>
      <c r="AM12" s="2">
        <v>9</v>
      </c>
      <c r="AN12" s="33">
        <v>1.2622383045601412E-2</v>
      </c>
      <c r="AO12" s="33">
        <v>1.0885421188534402E-3</v>
      </c>
    </row>
    <row r="13" spans="3:41" ht="14.4" x14ac:dyDescent="0.3">
      <c r="C13" s="24">
        <v>46094</v>
      </c>
      <c r="D13" s="25">
        <v>5062.5</v>
      </c>
      <c r="E13" s="26">
        <v>4.2850000000000001</v>
      </c>
      <c r="F13" s="27">
        <v>46558.47</v>
      </c>
      <c r="G13" s="27">
        <v>5098.8999999999996</v>
      </c>
      <c r="H13" s="28">
        <v>80.91</v>
      </c>
      <c r="I13" s="28">
        <v>662.29</v>
      </c>
      <c r="J13" s="27">
        <v>70957</v>
      </c>
      <c r="K13" s="27"/>
      <c r="L13" s="31">
        <f t="shared" si="1"/>
        <v>7.4074074074073071E-3</v>
      </c>
      <c r="M13" s="31">
        <f t="shared" si="1"/>
        <v>-1.5169194865811031E-2</v>
      </c>
      <c r="N13" s="31">
        <f t="shared" si="1"/>
        <v>8.3323184803969497E-3</v>
      </c>
      <c r="O13" s="31">
        <f t="shared" si="1"/>
        <v>-1.1669183549393058E-2</v>
      </c>
      <c r="P13" s="31">
        <f t="shared" si="2"/>
        <v>-8.0336175998021453E-3</v>
      </c>
      <c r="Q13" s="31">
        <f t="shared" si="2"/>
        <v>1.0176810762656752E-2</v>
      </c>
      <c r="R13" s="31">
        <f t="shared" si="2"/>
        <v>5.5062925433713383E-2</v>
      </c>
      <c r="T13" s="7">
        <f t="shared" si="3"/>
        <v>7.5640380633406291E-3</v>
      </c>
      <c r="U13" s="7">
        <f t="shared" si="4"/>
        <v>-1.5279749468817497E-2</v>
      </c>
      <c r="V13" s="7">
        <f t="shared" si="5"/>
        <v>8.0048344597318261E-3</v>
      </c>
      <c r="W13" s="7">
        <f t="shared" si="6"/>
        <v>-1.348651528610211E-2</v>
      </c>
      <c r="X13" s="7">
        <f t="shared" si="7"/>
        <v>-1.1783529331755527E-2</v>
      </c>
      <c r="Y13" s="7">
        <f t="shared" si="8"/>
        <v>9.6168806069977363E-3</v>
      </c>
      <c r="Z13" s="7">
        <f t="shared" si="9"/>
        <v>5.5542574775914851E-2</v>
      </c>
      <c r="AM13" s="2">
        <v>10</v>
      </c>
      <c r="AN13" s="33">
        <v>1.1799013297653147E-2</v>
      </c>
      <c r="AO13" s="33">
        <v>9.110111721545341E-4</v>
      </c>
    </row>
    <row r="14" spans="3:41" ht="14.4" x14ac:dyDescent="0.3">
      <c r="C14" s="24">
        <v>46093</v>
      </c>
      <c r="D14" s="25">
        <v>5061.8</v>
      </c>
      <c r="E14" s="26">
        <v>4.2729999999999997</v>
      </c>
      <c r="F14" s="27">
        <v>46677.85</v>
      </c>
      <c r="G14" s="27">
        <v>5163.8</v>
      </c>
      <c r="H14" s="28">
        <v>84.67</v>
      </c>
      <c r="I14" s="28">
        <v>666.06</v>
      </c>
      <c r="J14" s="27">
        <v>70494.100000000006</v>
      </c>
      <c r="K14" s="27"/>
      <c r="L14" s="31">
        <f t="shared" si="1"/>
        <v>1.3829072661897257E-4</v>
      </c>
      <c r="M14" s="31">
        <f t="shared" si="1"/>
        <v>2.8083313831033241E-3</v>
      </c>
      <c r="N14" s="31">
        <f t="shared" si="1"/>
        <v>-2.5575299633551207E-3</v>
      </c>
      <c r="O14" s="31">
        <f t="shared" si="1"/>
        <v>-1.2568263681784875E-2</v>
      </c>
      <c r="P14" s="31">
        <f t="shared" si="2"/>
        <v>-4.4407700484232926E-2</v>
      </c>
      <c r="Q14" s="31">
        <f t="shared" si="2"/>
        <v>-5.6601507371707438E-3</v>
      </c>
      <c r="R14" s="31">
        <f t="shared" si="2"/>
        <v>6.5665069842724133E-3</v>
      </c>
      <c r="T14" s="7">
        <f t="shared" si="3"/>
        <v>2.9492138255229482E-4</v>
      </c>
      <c r="U14" s="7">
        <f t="shared" si="4"/>
        <v>2.6977767800968572E-3</v>
      </c>
      <c r="V14" s="7">
        <f t="shared" si="5"/>
        <v>-2.8850139840202434E-3</v>
      </c>
      <c r="W14" s="7">
        <f t="shared" si="6"/>
        <v>-1.4385595418493926E-2</v>
      </c>
      <c r="X14" s="7">
        <f t="shared" si="7"/>
        <v>-4.8157612216186307E-2</v>
      </c>
      <c r="Y14" s="7">
        <f t="shared" si="8"/>
        <v>-6.2200808928297591E-3</v>
      </c>
      <c r="Z14" s="7">
        <f t="shared" si="9"/>
        <v>7.0461563264738805E-3</v>
      </c>
      <c r="AM14" s="2">
        <v>11</v>
      </c>
      <c r="AN14" s="33">
        <v>1.1861951157547731E-2</v>
      </c>
      <c r="AO14" s="33">
        <v>1.1942947801816082E-3</v>
      </c>
    </row>
    <row r="15" spans="3:41" ht="14.4" x14ac:dyDescent="0.3">
      <c r="C15" s="24">
        <v>46092</v>
      </c>
      <c r="D15" s="25">
        <v>5116.8</v>
      </c>
      <c r="E15" s="26">
        <v>4.2060000000000004</v>
      </c>
      <c r="F15" s="27">
        <v>47417.27</v>
      </c>
      <c r="G15" s="27">
        <v>5218.1000000000004</v>
      </c>
      <c r="H15" s="28">
        <v>85.07</v>
      </c>
      <c r="I15" s="28">
        <v>676.33</v>
      </c>
      <c r="J15" s="27">
        <v>70190.100000000006</v>
      </c>
      <c r="K15" s="27"/>
      <c r="L15" s="31">
        <f t="shared" si="1"/>
        <v>-1.0748905565978739E-2</v>
      </c>
      <c r="M15" s="31">
        <f t="shared" si="1"/>
        <v>1.5929624346171956E-2</v>
      </c>
      <c r="N15" s="31">
        <f t="shared" si="1"/>
        <v>-1.5593896485394443E-2</v>
      </c>
      <c r="O15" s="31">
        <f t="shared" si="1"/>
        <v>-1.0406086506582923E-2</v>
      </c>
      <c r="P15" s="31">
        <f t="shared" si="2"/>
        <v>-4.702010109321586E-3</v>
      </c>
      <c r="Q15" s="31">
        <f t="shared" si="2"/>
        <v>-1.5184894947732785E-2</v>
      </c>
      <c r="R15" s="31">
        <f t="shared" si="2"/>
        <v>4.3310951259507569E-3</v>
      </c>
      <c r="T15" s="7">
        <f t="shared" si="3"/>
        <v>-1.0592274910045416E-2</v>
      </c>
      <c r="U15" s="7">
        <f t="shared" si="4"/>
        <v>1.5819069743165489E-2</v>
      </c>
      <c r="V15" s="7">
        <f t="shared" si="5"/>
        <v>-1.5921380506059565E-2</v>
      </c>
      <c r="W15" s="7">
        <f t="shared" si="6"/>
        <v>-1.2223418243291975E-2</v>
      </c>
      <c r="X15" s="7">
        <f t="shared" si="7"/>
        <v>-8.4519218412749675E-3</v>
      </c>
      <c r="Y15" s="7">
        <f t="shared" si="8"/>
        <v>-1.5744825103391803E-2</v>
      </c>
      <c r="Z15" s="7">
        <f t="shared" si="9"/>
        <v>4.8107444681522241E-3</v>
      </c>
      <c r="AC15" s="12" t="s">
        <v>296</v>
      </c>
      <c r="AE15" s="44" t="s">
        <v>297</v>
      </c>
      <c r="AM15" s="2">
        <v>12</v>
      </c>
      <c r="AN15" s="33">
        <v>1.0007412084401332E-2</v>
      </c>
      <c r="AO15" s="33">
        <v>5.1343557454395638E-4</v>
      </c>
    </row>
    <row r="16" spans="3:41" ht="15" thickBot="1" x14ac:dyDescent="0.35">
      <c r="C16" s="24">
        <v>46091</v>
      </c>
      <c r="D16" s="25">
        <v>5169</v>
      </c>
      <c r="E16" s="26">
        <v>4.1360000000000001</v>
      </c>
      <c r="F16" s="27">
        <v>47706.51</v>
      </c>
      <c r="G16" s="27">
        <v>5281.5</v>
      </c>
      <c r="H16" s="28">
        <v>89.08</v>
      </c>
      <c r="I16" s="28">
        <v>677.18</v>
      </c>
      <c r="J16" s="27">
        <v>69951.899999999994</v>
      </c>
      <c r="K16" s="27"/>
      <c r="L16" s="31">
        <f t="shared" si="1"/>
        <v>-1.00986651189785E-2</v>
      </c>
      <c r="M16" s="31">
        <f t="shared" si="1"/>
        <v>1.6924564796905184E-2</v>
      </c>
      <c r="N16" s="31">
        <f t="shared" si="1"/>
        <v>-6.0629042032209757E-3</v>
      </c>
      <c r="O16" s="31">
        <f t="shared" si="1"/>
        <v>-1.2004165483290641E-2</v>
      </c>
      <c r="P16" s="31">
        <f t="shared" si="2"/>
        <v>-4.5015716210148216E-2</v>
      </c>
      <c r="Q16" s="31">
        <f t="shared" si="2"/>
        <v>-1.2552054106735877E-3</v>
      </c>
      <c r="R16" s="31">
        <f t="shared" si="2"/>
        <v>3.4051969996526932E-3</v>
      </c>
      <c r="T16" s="7">
        <f t="shared" si="3"/>
        <v>-9.9420344630451775E-3</v>
      </c>
      <c r="U16" s="7">
        <f t="shared" si="4"/>
        <v>1.6814010193898717E-2</v>
      </c>
      <c r="V16" s="7">
        <f t="shared" si="5"/>
        <v>-6.3903882238860983E-3</v>
      </c>
      <c r="W16" s="7">
        <f t="shared" si="6"/>
        <v>-1.3821497219999692E-2</v>
      </c>
      <c r="X16" s="7">
        <f t="shared" si="7"/>
        <v>-4.8765627942101597E-2</v>
      </c>
      <c r="Y16" s="7">
        <f t="shared" si="8"/>
        <v>-1.815135566332603E-3</v>
      </c>
      <c r="Z16" s="7">
        <f t="shared" si="9"/>
        <v>3.88484634185416E-3</v>
      </c>
      <c r="AM16" s="2">
        <v>13</v>
      </c>
      <c r="AN16" s="33">
        <v>1.0756265768030992E-2</v>
      </c>
      <c r="AO16" s="33">
        <v>8.4174371622470286E-4</v>
      </c>
    </row>
    <row r="17" spans="3:41" ht="14.4" x14ac:dyDescent="0.3">
      <c r="C17" s="24">
        <v>46090</v>
      </c>
      <c r="D17" s="25">
        <v>5183.8</v>
      </c>
      <c r="E17" s="26">
        <v>4.1340000000000003</v>
      </c>
      <c r="F17" s="27">
        <v>47740.800000000003</v>
      </c>
      <c r="G17" s="27">
        <v>5142.7</v>
      </c>
      <c r="H17" s="28">
        <v>84.03</v>
      </c>
      <c r="I17" s="28">
        <v>678.27</v>
      </c>
      <c r="J17" s="27">
        <v>68435.5</v>
      </c>
      <c r="K17" s="27"/>
      <c r="L17" s="31">
        <f t="shared" si="1"/>
        <v>-2.8550484200779991E-3</v>
      </c>
      <c r="M17" s="31">
        <f t="shared" si="1"/>
        <v>4.8379293662303979E-4</v>
      </c>
      <c r="N17" s="31">
        <f t="shared" si="1"/>
        <v>-7.1825356927412987E-4</v>
      </c>
      <c r="O17" s="31">
        <f t="shared" si="1"/>
        <v>2.6989713574581575E-2</v>
      </c>
      <c r="P17" s="31">
        <f t="shared" si="2"/>
        <v>6.0097584196120435E-2</v>
      </c>
      <c r="Q17" s="31">
        <f t="shared" si="2"/>
        <v>-1.6070296489598679E-3</v>
      </c>
      <c r="R17" s="31">
        <f t="shared" si="2"/>
        <v>2.215809046474404E-2</v>
      </c>
      <c r="T17" s="7">
        <f t="shared" si="3"/>
        <v>-2.6984177641446771E-3</v>
      </c>
      <c r="U17" s="7">
        <f t="shared" si="4"/>
        <v>3.7323833361657276E-4</v>
      </c>
      <c r="V17" s="7">
        <f t="shared" si="5"/>
        <v>-1.0457375899392528E-3</v>
      </c>
      <c r="W17" s="7">
        <f t="shared" si="6"/>
        <v>2.5172381837872525E-2</v>
      </c>
      <c r="X17" s="7">
        <f t="shared" si="7"/>
        <v>5.6347672464167053E-2</v>
      </c>
      <c r="Y17" s="7">
        <f t="shared" si="8"/>
        <v>-2.1669598046188832E-3</v>
      </c>
      <c r="Z17" s="7">
        <f t="shared" si="9"/>
        <v>2.2637739806945507E-2</v>
      </c>
      <c r="AB17" s="36"/>
      <c r="AC17" s="37" t="s">
        <v>6</v>
      </c>
      <c r="AD17" s="37" t="s">
        <v>11</v>
      </c>
      <c r="AE17" s="37" t="s">
        <v>8</v>
      </c>
      <c r="AF17" s="37" t="s">
        <v>13</v>
      </c>
      <c r="AG17" s="37" t="s">
        <v>12</v>
      </c>
      <c r="AH17" s="37" t="s">
        <v>14</v>
      </c>
      <c r="AI17" s="37" t="s">
        <v>15</v>
      </c>
      <c r="AM17" s="2">
        <v>14</v>
      </c>
      <c r="AN17" s="33">
        <v>1.1453266583533541E-2</v>
      </c>
      <c r="AO17" s="33">
        <v>7.7707424499236591E-4</v>
      </c>
    </row>
    <row r="18" spans="3:41" ht="14.4" x14ac:dyDescent="0.3">
      <c r="C18" s="24">
        <v>46087</v>
      </c>
      <c r="D18" s="25">
        <v>5182.7</v>
      </c>
      <c r="E18" s="26">
        <v>4.1319999999999997</v>
      </c>
      <c r="F18" s="27">
        <v>47501.55</v>
      </c>
      <c r="G18" s="27">
        <v>5197.8999999999996</v>
      </c>
      <c r="H18" s="28">
        <v>83.82</v>
      </c>
      <c r="I18" s="28">
        <v>672.38</v>
      </c>
      <c r="J18" s="27">
        <v>68123.899999999994</v>
      </c>
      <c r="K18" s="27"/>
      <c r="L18" s="31">
        <f t="shared" si="1"/>
        <v>2.1224458293955806E-4</v>
      </c>
      <c r="M18" s="31">
        <f t="shared" si="1"/>
        <v>4.8402710551798123E-4</v>
      </c>
      <c r="N18" s="31">
        <f t="shared" si="1"/>
        <v>5.036677750515528E-3</v>
      </c>
      <c r="O18" s="31">
        <f t="shared" si="1"/>
        <v>-1.0619673329613888E-2</v>
      </c>
      <c r="P18" s="31">
        <f t="shared" si="2"/>
        <v>2.5053686471010472E-3</v>
      </c>
      <c r="Q18" s="31">
        <f t="shared" si="2"/>
        <v>8.7599274219933854E-3</v>
      </c>
      <c r="R18" s="31">
        <f t="shared" si="2"/>
        <v>4.5740188098450929E-3</v>
      </c>
      <c r="T18" s="7">
        <f t="shared" si="3"/>
        <v>3.6887523887288031E-4</v>
      </c>
      <c r="U18" s="7">
        <f t="shared" si="4"/>
        <v>3.7347250251151419E-4</v>
      </c>
      <c r="V18" s="7">
        <f t="shared" si="5"/>
        <v>4.7091937298504053E-3</v>
      </c>
      <c r="W18" s="7">
        <f t="shared" si="6"/>
        <v>-1.2437005066322939E-2</v>
      </c>
      <c r="X18" s="7">
        <f t="shared" si="7"/>
        <v>-1.2445430848523338E-3</v>
      </c>
      <c r="Y18" s="7">
        <f t="shared" si="8"/>
        <v>8.19999726633437E-3</v>
      </c>
      <c r="Z18" s="7">
        <f t="shared" si="9"/>
        <v>5.0536681520465601E-3</v>
      </c>
      <c r="AB18" s="34" t="str">
        <f t="array" ref="AB18:AB24">TRANSPOSE(AC17:AI17)</f>
        <v>FTFRUR</v>
      </c>
      <c r="AC18" s="41">
        <f t="array" ref="AC18:AI24">MMULT(TRANSPOSE(x),x/(n-1))</f>
        <v>1.2955803295842318E-4</v>
      </c>
      <c r="AD18" s="41">
        <v>-3.4378674519555623E-5</v>
      </c>
      <c r="AE18" s="41">
        <v>8.8586276502854381E-5</v>
      </c>
      <c r="AF18" s="41">
        <v>1.9456959960737645E-5</v>
      </c>
      <c r="AG18" s="41">
        <v>5.8934564257863336E-5</v>
      </c>
      <c r="AH18" s="41">
        <v>9.284925177038013E-5</v>
      </c>
      <c r="AI18" s="41">
        <v>9.7760862622350733E-5</v>
      </c>
      <c r="AM18" s="2">
        <v>15</v>
      </c>
      <c r="AN18" s="33">
        <v>8.0510302647223662E-3</v>
      </c>
      <c r="AO18" s="33">
        <v>6.2619454796506921E-4</v>
      </c>
    </row>
    <row r="19" spans="3:41" ht="14.4" x14ac:dyDescent="0.3">
      <c r="C19" s="24">
        <v>46086</v>
      </c>
      <c r="D19" s="25">
        <v>5258.4</v>
      </c>
      <c r="E19" s="26">
        <v>4.1459999999999999</v>
      </c>
      <c r="F19" s="27">
        <v>47954.74</v>
      </c>
      <c r="G19" s="27">
        <v>5117</v>
      </c>
      <c r="H19" s="28">
        <v>81.69</v>
      </c>
      <c r="I19" s="28">
        <v>681.31</v>
      </c>
      <c r="J19" s="27">
        <v>70887.5</v>
      </c>
      <c r="K19" s="27"/>
      <c r="L19" s="31">
        <f t="shared" si="1"/>
        <v>-1.4396013996652912E-2</v>
      </c>
      <c r="M19" s="31">
        <f t="shared" si="1"/>
        <v>-3.3767486734201935E-3</v>
      </c>
      <c r="N19" s="31">
        <f t="shared" si="1"/>
        <v>-9.4503692439995568E-3</v>
      </c>
      <c r="O19" s="31">
        <f t="shared" si="1"/>
        <v>1.5810044948211699E-2</v>
      </c>
      <c r="P19" s="31">
        <f t="shared" si="2"/>
        <v>2.6074182886522079E-2</v>
      </c>
      <c r="Q19" s="31">
        <f t="shared" si="2"/>
        <v>-1.3107102493725264E-2</v>
      </c>
      <c r="R19" s="31">
        <f t="shared" si="2"/>
        <v>-3.8985716804796455E-2</v>
      </c>
      <c r="T19" s="7">
        <f t="shared" si="3"/>
        <v>-1.4239383340719589E-2</v>
      </c>
      <c r="U19" s="7">
        <f t="shared" si="4"/>
        <v>-3.4873032764266604E-3</v>
      </c>
      <c r="V19" s="7">
        <f t="shared" si="5"/>
        <v>-9.7778532646646803E-3</v>
      </c>
      <c r="W19" s="7">
        <f t="shared" si="6"/>
        <v>1.3992713211502647E-2</v>
      </c>
      <c r="X19" s="7">
        <f t="shared" si="7"/>
        <v>2.2324271154568698E-2</v>
      </c>
      <c r="Y19" s="7">
        <f t="shared" si="8"/>
        <v>-1.366703264938428E-2</v>
      </c>
      <c r="Z19" s="7">
        <f t="shared" si="9"/>
        <v>-3.8506067462594988E-2</v>
      </c>
      <c r="AB19" s="34" t="str">
        <v>US-10Yr Bond</v>
      </c>
      <c r="AC19" s="41">
        <v>-3.4378674519555623E-5</v>
      </c>
      <c r="AD19" s="41">
        <v>1.225276173476573E-4</v>
      </c>
      <c r="AE19" s="41">
        <v>-2.4777155630095277E-6</v>
      </c>
      <c r="AF19" s="41">
        <v>-1.6663870599863349E-5</v>
      </c>
      <c r="AG19" s="41">
        <v>4.6972003108330317E-6</v>
      </c>
      <c r="AH19" s="41">
        <v>3.6532808545892186E-6</v>
      </c>
      <c r="AI19" s="41">
        <v>6.9816993171764213E-6</v>
      </c>
      <c r="AM19" s="2">
        <v>16</v>
      </c>
      <c r="AN19" s="33">
        <v>1.241124706557506E-2</v>
      </c>
      <c r="AO19" s="33">
        <v>1.0802561061894133E-3</v>
      </c>
    </row>
    <row r="20" spans="3:41" ht="14.4" x14ac:dyDescent="0.3">
      <c r="C20" s="24">
        <v>46085</v>
      </c>
      <c r="D20" s="25">
        <v>5294.1</v>
      </c>
      <c r="E20" s="26">
        <v>4.0819999999999999</v>
      </c>
      <c r="F20" s="27">
        <v>48739.41</v>
      </c>
      <c r="G20" s="27">
        <v>5173.3</v>
      </c>
      <c r="H20" s="28">
        <v>82.63</v>
      </c>
      <c r="I20" s="28">
        <v>685.13</v>
      </c>
      <c r="J20" s="27">
        <v>72768.7</v>
      </c>
      <c r="K20" s="27"/>
      <c r="L20" s="31">
        <f t="shared" si="1"/>
        <v>-6.7433558111861247E-3</v>
      </c>
      <c r="M20" s="31">
        <f t="shared" si="1"/>
        <v>1.5678588926996584E-2</v>
      </c>
      <c r="N20" s="31">
        <f t="shared" si="1"/>
        <v>-1.6099292133409215E-2</v>
      </c>
      <c r="O20" s="31">
        <f t="shared" si="1"/>
        <v>-1.0882802079910325E-2</v>
      </c>
      <c r="P20" s="31">
        <f t="shared" si="2"/>
        <v>-1.13760135543991E-2</v>
      </c>
      <c r="Q20" s="31">
        <f t="shared" si="2"/>
        <v>-5.5755841957001451E-3</v>
      </c>
      <c r="R20" s="31">
        <f t="shared" si="2"/>
        <v>-2.5851774183130893E-2</v>
      </c>
      <c r="T20" s="7">
        <f t="shared" si="3"/>
        <v>-6.5867251552528027E-3</v>
      </c>
      <c r="U20" s="7">
        <f t="shared" si="4"/>
        <v>1.5568034323990117E-2</v>
      </c>
      <c r="V20" s="7">
        <f t="shared" si="5"/>
        <v>-1.6426776154074337E-2</v>
      </c>
      <c r="W20" s="7">
        <f t="shared" si="6"/>
        <v>-1.2700133816619377E-2</v>
      </c>
      <c r="X20" s="7">
        <f t="shared" si="7"/>
        <v>-1.5125925286352482E-2</v>
      </c>
      <c r="Y20" s="7">
        <f t="shared" si="8"/>
        <v>-6.1355143513591604E-3</v>
      </c>
      <c r="Z20" s="7">
        <f t="shared" si="9"/>
        <v>-2.5372124840929426E-2</v>
      </c>
      <c r="AB20" s="34" t="str">
        <v>DJI</v>
      </c>
      <c r="AC20" s="41">
        <v>8.8586276502854381E-5</v>
      </c>
      <c r="AD20" s="41">
        <v>-2.4777155630095272E-6</v>
      </c>
      <c r="AE20" s="41">
        <v>1.1012280169340424E-4</v>
      </c>
      <c r="AF20" s="41">
        <v>1.4227341097105765E-5</v>
      </c>
      <c r="AG20" s="41">
        <v>8.0414830917903323E-5</v>
      </c>
      <c r="AH20" s="41">
        <v>1.1532781926511952E-4</v>
      </c>
      <c r="AI20" s="41">
        <v>1.1170381421260943E-4</v>
      </c>
      <c r="AM20" s="2">
        <v>17</v>
      </c>
      <c r="AN20" s="33">
        <v>7.3662590882942053E-3</v>
      </c>
      <c r="AO20" s="33">
        <v>4.4121804909551645E-4</v>
      </c>
    </row>
    <row r="21" spans="3:41" ht="14.4" x14ac:dyDescent="0.3">
      <c r="C21" s="24">
        <v>46084</v>
      </c>
      <c r="D21" s="25">
        <v>5277.1</v>
      </c>
      <c r="E21" s="26">
        <v>4.0570000000000004</v>
      </c>
      <c r="F21" s="27">
        <v>48501.27</v>
      </c>
      <c r="G21" s="27">
        <v>5162.2</v>
      </c>
      <c r="H21" s="28">
        <v>82.92</v>
      </c>
      <c r="I21" s="28">
        <v>680.33</v>
      </c>
      <c r="J21" s="27">
        <v>68318.5</v>
      </c>
      <c r="K21" s="27"/>
      <c r="L21" s="31">
        <f t="shared" si="1"/>
        <v>3.2214663356768813E-3</v>
      </c>
      <c r="M21" s="31">
        <f t="shared" si="1"/>
        <v>6.1621888094649524E-3</v>
      </c>
      <c r="N21" s="31">
        <f t="shared" si="1"/>
        <v>4.9099745223166735E-3</v>
      </c>
      <c r="O21" s="31">
        <f t="shared" si="1"/>
        <v>2.150246019139157E-3</v>
      </c>
      <c r="P21" s="31">
        <f t="shared" si="2"/>
        <v>-3.4973468403280972E-3</v>
      </c>
      <c r="Q21" s="31">
        <f t="shared" si="2"/>
        <v>7.0553995854951701E-3</v>
      </c>
      <c r="R21" s="31">
        <f t="shared" si="2"/>
        <v>6.5139017981952207E-2</v>
      </c>
      <c r="T21" s="7">
        <f t="shared" si="3"/>
        <v>3.3780969916102034E-3</v>
      </c>
      <c r="U21" s="7">
        <f t="shared" si="4"/>
        <v>6.051634206458485E-3</v>
      </c>
      <c r="V21" s="7">
        <f t="shared" si="5"/>
        <v>4.5824905016515509E-3</v>
      </c>
      <c r="W21" s="7">
        <f t="shared" si="6"/>
        <v>3.3291428243010569E-4</v>
      </c>
      <c r="X21" s="7">
        <f t="shared" si="7"/>
        <v>-7.2472585722814786E-3</v>
      </c>
      <c r="Y21" s="7">
        <f t="shared" si="8"/>
        <v>6.4954694298361548E-3</v>
      </c>
      <c r="Z21" s="7">
        <f t="shared" si="9"/>
        <v>6.5618667324153668E-2</v>
      </c>
      <c r="AB21" s="34" t="str">
        <v>Gold Fut</v>
      </c>
      <c r="AC21" s="41">
        <v>1.9456959960737642E-5</v>
      </c>
      <c r="AD21" s="41">
        <v>-1.6663870599863342E-5</v>
      </c>
      <c r="AE21" s="41">
        <v>1.4227341097105767E-5</v>
      </c>
      <c r="AF21" s="41">
        <v>2.9510760448678378E-4</v>
      </c>
      <c r="AG21" s="41">
        <v>5.0386728717867154E-4</v>
      </c>
      <c r="AH21" s="41">
        <v>9.8162123945276067E-6</v>
      </c>
      <c r="AI21" s="41">
        <v>4.6444620836882681E-5</v>
      </c>
      <c r="AM21" s="2">
        <v>18</v>
      </c>
      <c r="AN21" s="33">
        <v>1.0452726606674812E-2</v>
      </c>
      <c r="AO21" s="33">
        <v>5.1856706472307504E-4</v>
      </c>
    </row>
    <row r="22" spans="3:41" ht="14.4" x14ac:dyDescent="0.3">
      <c r="C22" s="24">
        <v>46083</v>
      </c>
      <c r="D22" s="25">
        <v>5311.5</v>
      </c>
      <c r="E22" s="26">
        <v>4.0519999999999996</v>
      </c>
      <c r="F22" s="27">
        <v>48904.78</v>
      </c>
      <c r="G22" s="27">
        <v>5351.7</v>
      </c>
      <c r="H22" s="28">
        <v>88.28</v>
      </c>
      <c r="I22" s="28">
        <v>686.38</v>
      </c>
      <c r="J22" s="27">
        <v>68790.8</v>
      </c>
      <c r="K22" s="27"/>
      <c r="L22" s="31">
        <f t="shared" si="1"/>
        <v>-6.4765132260189429E-3</v>
      </c>
      <c r="M22" s="31">
        <f t="shared" si="1"/>
        <v>1.2339585389933294E-3</v>
      </c>
      <c r="N22" s="31">
        <f t="shared" si="1"/>
        <v>-8.250931708516096E-3</v>
      </c>
      <c r="O22" s="31">
        <f t="shared" si="1"/>
        <v>-3.5409309191471894E-2</v>
      </c>
      <c r="P22" s="31">
        <f t="shared" si="2"/>
        <v>-6.0715903942002658E-2</v>
      </c>
      <c r="Q22" s="31">
        <f t="shared" si="2"/>
        <v>-8.8143593927560993E-3</v>
      </c>
      <c r="R22" s="31">
        <f t="shared" si="2"/>
        <v>-6.8657436750263479E-3</v>
      </c>
      <c r="T22" s="7">
        <f t="shared" si="3"/>
        <v>-6.3198825700856208E-3</v>
      </c>
      <c r="U22" s="7">
        <f t="shared" si="4"/>
        <v>1.1234039359868625E-3</v>
      </c>
      <c r="V22" s="7">
        <f t="shared" si="5"/>
        <v>-8.5784157291812196E-3</v>
      </c>
      <c r="W22" s="7">
        <f t="shared" si="6"/>
        <v>-3.7226640928180947E-2</v>
      </c>
      <c r="X22" s="7">
        <f t="shared" si="7"/>
        <v>-6.446581567395604E-2</v>
      </c>
      <c r="Y22" s="7">
        <f t="shared" si="8"/>
        <v>-9.3742895484151146E-3</v>
      </c>
      <c r="Z22" s="7">
        <f t="shared" si="9"/>
        <v>-6.3860943328248806E-3</v>
      </c>
      <c r="AB22" s="34" t="str">
        <v>Micro Silver Fut</v>
      </c>
      <c r="AC22" s="41">
        <v>5.8934564257863349E-5</v>
      </c>
      <c r="AD22" s="41">
        <v>4.6972003108330291E-6</v>
      </c>
      <c r="AE22" s="41">
        <v>8.0414830917903323E-5</v>
      </c>
      <c r="AF22" s="41">
        <v>5.0386728717867165E-4</v>
      </c>
      <c r="AG22" s="41">
        <v>1.4872540933220798E-3</v>
      </c>
      <c r="AH22" s="41">
        <v>7.9963185269610939E-5</v>
      </c>
      <c r="AI22" s="41">
        <v>1.2557738465670604E-4</v>
      </c>
      <c r="AM22" s="2">
        <v>19</v>
      </c>
      <c r="AN22" s="33">
        <v>1.0376457508082975E-2</v>
      </c>
      <c r="AO22" s="33">
        <v>6.6609080715188714E-4</v>
      </c>
    </row>
    <row r="23" spans="3:41" ht="14.4" x14ac:dyDescent="0.3">
      <c r="C23" s="24">
        <v>46080</v>
      </c>
      <c r="D23" s="25">
        <v>5313.1</v>
      </c>
      <c r="E23" s="26">
        <v>3.9620000000000002</v>
      </c>
      <c r="F23" s="27">
        <v>48977.919999999998</v>
      </c>
      <c r="G23" s="27">
        <v>5287.6</v>
      </c>
      <c r="H23" s="28">
        <v>92.68</v>
      </c>
      <c r="I23" s="28">
        <v>685.99</v>
      </c>
      <c r="J23" s="27">
        <v>65870.2</v>
      </c>
      <c r="K23" s="27"/>
      <c r="L23" s="31">
        <f t="shared" si="1"/>
        <v>-3.0114245920465077E-4</v>
      </c>
      <c r="M23" s="31">
        <f t="shared" si="1"/>
        <v>2.2715800100958861E-2</v>
      </c>
      <c r="N23" s="31">
        <f t="shared" si="1"/>
        <v>-1.4933259721932046E-3</v>
      </c>
      <c r="O23" s="31">
        <f t="shared" si="1"/>
        <v>1.2122702171117217E-2</v>
      </c>
      <c r="P23" s="31">
        <f t="shared" si="2"/>
        <v>-4.7475183426845091E-2</v>
      </c>
      <c r="Q23" s="31">
        <f t="shared" si="2"/>
        <v>5.6852140701768583E-4</v>
      </c>
      <c r="R23" s="31">
        <f t="shared" si="2"/>
        <v>4.4338714623608277E-2</v>
      </c>
      <c r="T23" s="7">
        <f t="shared" si="3"/>
        <v>-1.4451180327132852E-4</v>
      </c>
      <c r="U23" s="7">
        <f t="shared" si="4"/>
        <v>2.2605245497952394E-2</v>
      </c>
      <c r="V23" s="7">
        <f t="shared" si="5"/>
        <v>-1.8208099928583275E-3</v>
      </c>
      <c r="W23" s="7">
        <f t="shared" si="6"/>
        <v>1.0305370434408165E-2</v>
      </c>
      <c r="X23" s="7">
        <f t="shared" si="7"/>
        <v>-5.1225095158798473E-2</v>
      </c>
      <c r="Y23" s="7">
        <f t="shared" si="8"/>
        <v>8.5912513586703819E-6</v>
      </c>
      <c r="Z23" s="7">
        <f t="shared" si="9"/>
        <v>4.4818363965809745E-2</v>
      </c>
      <c r="AB23" s="34" t="str">
        <v>SPY</v>
      </c>
      <c r="AC23" s="41">
        <v>9.2849251770380143E-5</v>
      </c>
      <c r="AD23" s="41">
        <v>3.6532808545892169E-6</v>
      </c>
      <c r="AE23" s="41">
        <v>1.1532781926511953E-4</v>
      </c>
      <c r="AF23" s="41">
        <v>9.8162123945276067E-6</v>
      </c>
      <c r="AG23" s="41">
        <v>7.9963185269610925E-5</v>
      </c>
      <c r="AH23" s="41">
        <v>1.4197426517647912E-4</v>
      </c>
      <c r="AI23" s="41">
        <v>1.3978929548959338E-4</v>
      </c>
      <c r="AM23" s="2">
        <v>20</v>
      </c>
      <c r="AN23" s="33">
        <v>1.1068068623708136E-2</v>
      </c>
      <c r="AO23" s="33">
        <v>9.7889096451954545E-4</v>
      </c>
    </row>
    <row r="24" spans="3:41" ht="15" thickBot="1" x14ac:dyDescent="0.35">
      <c r="C24" s="24">
        <v>46079</v>
      </c>
      <c r="D24" s="25">
        <v>5327.7</v>
      </c>
      <c r="E24" s="26">
        <v>4.0170000000000003</v>
      </c>
      <c r="F24" s="27">
        <v>49499.199999999997</v>
      </c>
      <c r="G24" s="27">
        <v>5233.7</v>
      </c>
      <c r="H24" s="28">
        <v>87</v>
      </c>
      <c r="I24" s="28">
        <v>689.3</v>
      </c>
      <c r="J24" s="27">
        <v>67482.100000000006</v>
      </c>
      <c r="K24" s="27"/>
      <c r="L24" s="31">
        <f t="shared" si="1"/>
        <v>-2.740394541734581E-3</v>
      </c>
      <c r="M24" s="31">
        <f t="shared" si="1"/>
        <v>-1.3691809808314748E-2</v>
      </c>
      <c r="N24" s="31">
        <f t="shared" si="1"/>
        <v>-1.0531079290170275E-2</v>
      </c>
      <c r="O24" s="31">
        <f t="shared" si="1"/>
        <v>1.0298641496455874E-2</v>
      </c>
      <c r="P24" s="31">
        <f t="shared" si="2"/>
        <v>6.5287356321839241E-2</v>
      </c>
      <c r="Q24" s="31">
        <f t="shared" si="2"/>
        <v>-4.8019730161031893E-3</v>
      </c>
      <c r="R24" s="31">
        <f t="shared" si="2"/>
        <v>-2.388633430198539E-2</v>
      </c>
      <c r="T24" s="7">
        <f t="shared" si="3"/>
        <v>-2.5837638858012589E-3</v>
      </c>
      <c r="U24" s="7">
        <f t="shared" si="4"/>
        <v>-1.3802364411321214E-2</v>
      </c>
      <c r="V24" s="7">
        <f t="shared" si="5"/>
        <v>-1.0858563310835399E-2</v>
      </c>
      <c r="W24" s="7">
        <f t="shared" si="6"/>
        <v>8.4813097597468221E-3</v>
      </c>
      <c r="X24" s="7">
        <f t="shared" si="7"/>
        <v>6.1537444589885859E-2</v>
      </c>
      <c r="Y24" s="7">
        <f t="shared" si="8"/>
        <v>-5.3619031717622046E-3</v>
      </c>
      <c r="Z24" s="7">
        <f t="shared" si="9"/>
        <v>-2.3406684959783923E-2</v>
      </c>
      <c r="AB24" s="35" t="str">
        <v>Bitcoin</v>
      </c>
      <c r="AC24" s="42">
        <v>9.7760862622350733E-5</v>
      </c>
      <c r="AD24" s="42">
        <v>6.9816993171764238E-6</v>
      </c>
      <c r="AE24" s="42">
        <v>1.1170381421260941E-4</v>
      </c>
      <c r="AF24" s="42">
        <v>4.6444620836882667E-5</v>
      </c>
      <c r="AG24" s="42">
        <v>1.2557738465670602E-4</v>
      </c>
      <c r="AH24" s="42">
        <v>1.3978929548959338E-4</v>
      </c>
      <c r="AI24" s="42">
        <v>7.7172087113929085E-4</v>
      </c>
      <c r="AM24" s="2">
        <v>21</v>
      </c>
      <c r="AN24" s="33">
        <v>1.027466364992944E-2</v>
      </c>
      <c r="AO24" s="33">
        <v>8.1668434631532606E-4</v>
      </c>
    </row>
    <row r="25" spans="3:41" ht="14.4" x14ac:dyDescent="0.3">
      <c r="C25" s="24">
        <v>46078</v>
      </c>
      <c r="D25" s="25">
        <v>5262.9</v>
      </c>
      <c r="E25" s="26">
        <v>4.048</v>
      </c>
      <c r="F25" s="27">
        <v>49482.15</v>
      </c>
      <c r="G25" s="27">
        <v>5245.9</v>
      </c>
      <c r="H25" s="28">
        <v>90.94</v>
      </c>
      <c r="I25" s="28">
        <v>693.15</v>
      </c>
      <c r="J25" s="27">
        <v>67978.8</v>
      </c>
      <c r="K25" s="27"/>
      <c r="L25" s="31">
        <f t="shared" si="1"/>
        <v>1.2312603317562676E-2</v>
      </c>
      <c r="M25" s="31">
        <f t="shared" si="1"/>
        <v>-7.658102766798347E-3</v>
      </c>
      <c r="N25" s="31">
        <f t="shared" si="1"/>
        <v>3.4456869800525425E-4</v>
      </c>
      <c r="O25" s="31">
        <f t="shared" si="1"/>
        <v>-2.325625726757985E-3</v>
      </c>
      <c r="P25" s="31">
        <f t="shared" si="2"/>
        <v>-4.332526940840109E-2</v>
      </c>
      <c r="Q25" s="31">
        <f t="shared" si="2"/>
        <v>-5.5543533145784307E-3</v>
      </c>
      <c r="R25" s="31">
        <f t="shared" si="2"/>
        <v>-7.3066897326813374E-3</v>
      </c>
      <c r="T25" s="7">
        <f t="shared" si="3"/>
        <v>1.2469233973495999E-2</v>
      </c>
      <c r="U25" s="7">
        <f t="shared" si="4"/>
        <v>-7.7686573698048144E-3</v>
      </c>
      <c r="V25" s="7">
        <f t="shared" si="5"/>
        <v>1.7084677340131413E-5</v>
      </c>
      <c r="W25" s="7">
        <f t="shared" si="6"/>
        <v>-4.1429574634670365E-3</v>
      </c>
      <c r="X25" s="7">
        <f t="shared" si="7"/>
        <v>-4.7075181140354472E-2</v>
      </c>
      <c r="Y25" s="7">
        <f t="shared" si="8"/>
        <v>-6.1142834702374461E-3</v>
      </c>
      <c r="Z25" s="7">
        <f t="shared" si="9"/>
        <v>-6.8270403904798702E-3</v>
      </c>
      <c r="AM25" s="2">
        <v>22</v>
      </c>
      <c r="AN25" s="33">
        <v>1.3048487790052752E-2</v>
      </c>
      <c r="AO25" s="33">
        <v>8.9375449270257174E-4</v>
      </c>
    </row>
    <row r="26" spans="3:41" ht="14.4" x14ac:dyDescent="0.3">
      <c r="C26" s="24">
        <v>46077</v>
      </c>
      <c r="D26" s="25">
        <v>5277.4</v>
      </c>
      <c r="E26" s="26">
        <v>4.0330000000000004</v>
      </c>
      <c r="F26" s="27">
        <v>49174.5</v>
      </c>
      <c r="G26" s="27">
        <v>5195.8999999999996</v>
      </c>
      <c r="H26" s="28">
        <v>87.46</v>
      </c>
      <c r="I26" s="28">
        <v>687.35</v>
      </c>
      <c r="J26" s="27">
        <v>64048.800000000003</v>
      </c>
      <c r="K26" s="27"/>
      <c r="L26" s="31">
        <f t="shared" si="1"/>
        <v>-2.7475650888695302E-3</v>
      </c>
      <c r="M26" s="31">
        <f t="shared" si="1"/>
        <v>3.7193156459209842E-3</v>
      </c>
      <c r="N26" s="31">
        <f t="shared" si="1"/>
        <v>6.2562913705275225E-3</v>
      </c>
      <c r="O26" s="31">
        <f t="shared" si="1"/>
        <v>9.6229719586597984E-3</v>
      </c>
      <c r="P26" s="31">
        <f t="shared" si="2"/>
        <v>3.9789618111136571E-2</v>
      </c>
      <c r="Q26" s="31">
        <f t="shared" si="2"/>
        <v>8.4382046992070858E-3</v>
      </c>
      <c r="R26" s="31">
        <f t="shared" si="2"/>
        <v>6.135946340915055E-2</v>
      </c>
      <c r="T26" s="7">
        <f t="shared" si="3"/>
        <v>-2.5909344329362082E-3</v>
      </c>
      <c r="U26" s="7">
        <f t="shared" si="4"/>
        <v>3.6087610429145173E-3</v>
      </c>
      <c r="V26" s="7">
        <f t="shared" si="5"/>
        <v>5.9288073498623998E-3</v>
      </c>
      <c r="W26" s="7">
        <f t="shared" si="6"/>
        <v>7.8056402219507468E-3</v>
      </c>
      <c r="X26" s="7">
        <f t="shared" si="7"/>
        <v>3.603970637918319E-2</v>
      </c>
      <c r="Y26" s="7">
        <f t="shared" si="8"/>
        <v>7.8782745435480705E-3</v>
      </c>
      <c r="Z26" s="7">
        <f t="shared" si="9"/>
        <v>6.1839112751352017E-2</v>
      </c>
      <c r="AM26" s="2">
        <v>23</v>
      </c>
      <c r="AN26" s="33">
        <v>1.5171899064595533E-2</v>
      </c>
      <c r="AO26" s="33">
        <v>1.2207143813366948E-3</v>
      </c>
    </row>
    <row r="27" spans="3:41" ht="14.4" x14ac:dyDescent="0.3">
      <c r="C27" s="24">
        <v>46076</v>
      </c>
      <c r="D27" s="25">
        <v>5251.1</v>
      </c>
      <c r="E27" s="26">
        <v>4.0270000000000001</v>
      </c>
      <c r="F27" s="27">
        <v>48804.06</v>
      </c>
      <c r="G27" s="27">
        <v>5245.3</v>
      </c>
      <c r="H27" s="28">
        <v>86.52</v>
      </c>
      <c r="I27" s="28">
        <v>682.39</v>
      </c>
      <c r="J27" s="27">
        <v>64662.7</v>
      </c>
      <c r="K27" s="27"/>
      <c r="L27" s="31">
        <f t="shared" si="1"/>
        <v>5.0084744148843896E-3</v>
      </c>
      <c r="M27" s="31">
        <f t="shared" si="1"/>
        <v>1.4899428855228436E-3</v>
      </c>
      <c r="N27" s="31">
        <f t="shared" si="1"/>
        <v>7.5903521141478247E-3</v>
      </c>
      <c r="O27" s="31">
        <f t="shared" si="1"/>
        <v>-9.417955121728161E-3</v>
      </c>
      <c r="P27" s="31">
        <f t="shared" si="2"/>
        <v>1.0864539990753652E-2</v>
      </c>
      <c r="Q27" s="31">
        <f t="shared" si="2"/>
        <v>7.2685707586570558E-3</v>
      </c>
      <c r="R27" s="31">
        <f t="shared" si="2"/>
        <v>-9.4938813257100518E-3</v>
      </c>
      <c r="T27" s="7">
        <f t="shared" si="3"/>
        <v>5.1651050708177116E-3</v>
      </c>
      <c r="U27" s="7">
        <f t="shared" si="4"/>
        <v>1.3793882825163767E-3</v>
      </c>
      <c r="V27" s="7">
        <f t="shared" si="5"/>
        <v>7.2628680934827021E-3</v>
      </c>
      <c r="W27" s="7">
        <f t="shared" si="6"/>
        <v>-1.1235286858437213E-2</v>
      </c>
      <c r="X27" s="7">
        <f t="shared" si="7"/>
        <v>7.1146282588002707E-3</v>
      </c>
      <c r="Y27" s="7">
        <f t="shared" si="8"/>
        <v>6.7086406029980405E-3</v>
      </c>
      <c r="Z27" s="7">
        <f t="shared" si="9"/>
        <v>-9.0142319835085846E-3</v>
      </c>
      <c r="AC27" s="12" t="s">
        <v>298</v>
      </c>
      <c r="AE27" s="44" t="s">
        <v>306</v>
      </c>
      <c r="AM27" s="2">
        <v>24</v>
      </c>
      <c r="AN27" s="33">
        <v>1.0183782832159895E-2</v>
      </c>
      <c r="AO27" s="33">
        <v>4.4699848351623372E-4</v>
      </c>
    </row>
    <row r="28" spans="3:41" ht="15" thickBot="1" x14ac:dyDescent="0.35">
      <c r="C28" s="24">
        <v>46073</v>
      </c>
      <c r="D28" s="25">
        <v>5279.5</v>
      </c>
      <c r="E28" s="26">
        <v>4.085</v>
      </c>
      <c r="F28" s="27">
        <v>49625.97</v>
      </c>
      <c r="G28" s="27">
        <v>5100.2</v>
      </c>
      <c r="H28" s="28">
        <v>82.28</v>
      </c>
      <c r="I28" s="28">
        <v>689.43</v>
      </c>
      <c r="J28" s="27">
        <v>68023.5</v>
      </c>
      <c r="K28" s="27"/>
      <c r="L28" s="31">
        <f t="shared" si="1"/>
        <v>-5.3792972819395324E-3</v>
      </c>
      <c r="M28" s="31">
        <f t="shared" si="1"/>
        <v>-1.4198286413708683E-2</v>
      </c>
      <c r="N28" s="31">
        <f t="shared" si="1"/>
        <v>-1.6562094403394068E-2</v>
      </c>
      <c r="O28" s="31">
        <f t="shared" si="1"/>
        <v>2.8449864711187933E-2</v>
      </c>
      <c r="P28" s="31">
        <f t="shared" si="2"/>
        <v>5.1531356344190593E-2</v>
      </c>
      <c r="Q28" s="31">
        <f t="shared" si="2"/>
        <v>-1.0211334000551076E-2</v>
      </c>
      <c r="R28" s="31">
        <f t="shared" si="2"/>
        <v>-4.9406455122126935E-2</v>
      </c>
      <c r="T28" s="7">
        <f t="shared" si="3"/>
        <v>-5.2226666260062104E-3</v>
      </c>
      <c r="U28" s="7">
        <f t="shared" si="4"/>
        <v>-1.4308841016715149E-2</v>
      </c>
      <c r="V28" s="7">
        <f t="shared" si="5"/>
        <v>-1.6889578424059189E-2</v>
      </c>
      <c r="W28" s="7">
        <f t="shared" si="6"/>
        <v>2.6632532974478883E-2</v>
      </c>
      <c r="X28" s="7">
        <f t="shared" si="7"/>
        <v>4.7781444612237212E-2</v>
      </c>
      <c r="Y28" s="7">
        <f t="shared" si="8"/>
        <v>-1.0771264156210091E-2</v>
      </c>
      <c r="Z28" s="7">
        <f t="shared" si="9"/>
        <v>-4.8926805779925468E-2</v>
      </c>
      <c r="AM28" s="2">
        <v>25</v>
      </c>
      <c r="AN28" s="33">
        <v>9.775475131810072E-3</v>
      </c>
      <c r="AO28" s="33">
        <v>5.6048066109253686E-4</v>
      </c>
    </row>
    <row r="29" spans="3:41" ht="14.4" x14ac:dyDescent="0.3">
      <c r="C29" s="24">
        <v>46072</v>
      </c>
      <c r="D29" s="25">
        <v>5249.1</v>
      </c>
      <c r="E29" s="26">
        <v>4.0750000000000002</v>
      </c>
      <c r="F29" s="27">
        <v>49395.16</v>
      </c>
      <c r="G29" s="27">
        <v>5016</v>
      </c>
      <c r="H29" s="28">
        <v>77.569999999999993</v>
      </c>
      <c r="I29" s="28">
        <v>684.48</v>
      </c>
      <c r="J29" s="27">
        <v>66978.899999999994</v>
      </c>
      <c r="K29" s="27"/>
      <c r="L29" s="31">
        <f t="shared" si="1"/>
        <v>5.7914690137357283E-3</v>
      </c>
      <c r="M29" s="31">
        <f t="shared" si="1"/>
        <v>2.4539877300613355E-3</v>
      </c>
      <c r="N29" s="31">
        <f t="shared" si="1"/>
        <v>4.6727250200222503E-3</v>
      </c>
      <c r="O29" s="31">
        <f t="shared" si="1"/>
        <v>1.6786283891546905E-2</v>
      </c>
      <c r="P29" s="31">
        <f t="shared" si="2"/>
        <v>6.071935026427755E-2</v>
      </c>
      <c r="Q29" s="31">
        <f t="shared" si="2"/>
        <v>7.2317671809256634E-3</v>
      </c>
      <c r="R29" s="31">
        <f t="shared" si="2"/>
        <v>1.559595633848887E-2</v>
      </c>
      <c r="T29" s="7">
        <f t="shared" si="3"/>
        <v>5.9480996696690503E-3</v>
      </c>
      <c r="U29" s="7">
        <f t="shared" si="4"/>
        <v>2.3434331270548686E-3</v>
      </c>
      <c r="V29" s="7">
        <f t="shared" si="5"/>
        <v>4.3452409993571276E-3</v>
      </c>
      <c r="W29" s="7">
        <f t="shared" si="6"/>
        <v>1.4968952154837853E-2</v>
      </c>
      <c r="X29" s="7">
        <f t="shared" si="7"/>
        <v>5.6969438532324168E-2</v>
      </c>
      <c r="Y29" s="7">
        <f t="shared" si="8"/>
        <v>6.6718370252666481E-3</v>
      </c>
      <c r="Z29" s="7">
        <f t="shared" si="9"/>
        <v>1.6075605680690337E-2</v>
      </c>
      <c r="AB29" s="36"/>
      <c r="AC29" s="36" t="s">
        <v>6</v>
      </c>
      <c r="AD29" s="36" t="s">
        <v>11</v>
      </c>
      <c r="AE29" s="36" t="s">
        <v>8</v>
      </c>
      <c r="AF29" s="36" t="s">
        <v>13</v>
      </c>
      <c r="AG29" s="36" t="s">
        <v>12</v>
      </c>
      <c r="AH29" s="36" t="s">
        <v>14</v>
      </c>
      <c r="AI29" s="36" t="s">
        <v>15</v>
      </c>
      <c r="AM29" s="2">
        <v>26</v>
      </c>
      <c r="AN29" s="33">
        <v>1.0520238293948927E-2</v>
      </c>
      <c r="AO29" s="33">
        <v>5.1444176931877495E-4</v>
      </c>
    </row>
    <row r="30" spans="3:41" ht="14.4" x14ac:dyDescent="0.3">
      <c r="C30" s="24">
        <v>46071</v>
      </c>
      <c r="D30" s="25">
        <v>5257.8</v>
      </c>
      <c r="E30" s="26">
        <v>4.0810000000000004</v>
      </c>
      <c r="F30" s="27">
        <v>49662.66</v>
      </c>
      <c r="G30" s="27">
        <v>5028.2</v>
      </c>
      <c r="H30" s="28">
        <v>77.510000000000005</v>
      </c>
      <c r="I30" s="28">
        <v>686.29</v>
      </c>
      <c r="J30" s="27">
        <v>66473.2</v>
      </c>
      <c r="K30" s="27"/>
      <c r="L30" s="31">
        <f t="shared" si="1"/>
        <v>-1.654684468789247E-3</v>
      </c>
      <c r="M30" s="31">
        <f t="shared" si="1"/>
        <v>-1.4702278853222506E-3</v>
      </c>
      <c r="N30" s="31">
        <f t="shared" si="1"/>
        <v>-5.3863405625070859E-3</v>
      </c>
      <c r="O30" s="31">
        <f t="shared" si="1"/>
        <v>-2.4263155801280689E-3</v>
      </c>
      <c r="P30" s="31">
        <f t="shared" si="2"/>
        <v>7.7409366533331969E-4</v>
      </c>
      <c r="Q30" s="31">
        <f t="shared" si="2"/>
        <v>-2.6373690422415441E-3</v>
      </c>
      <c r="R30" s="31">
        <f t="shared" si="2"/>
        <v>7.6075771890025123E-3</v>
      </c>
      <c r="T30" s="7">
        <f t="shared" si="3"/>
        <v>-1.4980538128559248E-3</v>
      </c>
      <c r="U30" s="7">
        <f t="shared" si="4"/>
        <v>-1.5807824883287175E-3</v>
      </c>
      <c r="V30" s="7">
        <f t="shared" si="5"/>
        <v>-5.7138245831722086E-3</v>
      </c>
      <c r="W30" s="7">
        <f t="shared" si="6"/>
        <v>-4.2436473168371205E-3</v>
      </c>
      <c r="X30" s="7">
        <f t="shared" si="7"/>
        <v>-2.9758180666200613E-3</v>
      </c>
      <c r="Y30" s="7">
        <f t="shared" si="8"/>
        <v>-3.1972991979005595E-3</v>
      </c>
      <c r="Z30" s="7">
        <f t="shared" si="9"/>
        <v>8.0872265312039796E-3</v>
      </c>
      <c r="AB30" s="34" t="s">
        <v>6</v>
      </c>
      <c r="AC30" s="39">
        <v>1</v>
      </c>
      <c r="AD30" s="39">
        <v>-0.27286005436026789</v>
      </c>
      <c r="AE30" s="39">
        <v>0.74164427534313992</v>
      </c>
      <c r="AF30" s="39">
        <v>9.9506766052330456E-2</v>
      </c>
      <c r="AG30" s="39">
        <v>0.13425959030506998</v>
      </c>
      <c r="AH30" s="39">
        <v>0.68460713446346988</v>
      </c>
      <c r="AI30" s="39">
        <v>0.30917383236559337</v>
      </c>
      <c r="AM30" s="2">
        <v>27</v>
      </c>
      <c r="AN30" s="33">
        <v>1.130327064039453E-2</v>
      </c>
      <c r="AO30" s="33">
        <v>4.8983638566110549E-4</v>
      </c>
    </row>
    <row r="31" spans="3:41" ht="14.4" x14ac:dyDescent="0.3">
      <c r="C31" s="24">
        <v>46070</v>
      </c>
      <c r="D31" s="25">
        <v>5278.1</v>
      </c>
      <c r="E31" s="26">
        <v>4.0540000000000003</v>
      </c>
      <c r="F31" s="27">
        <v>49533.19</v>
      </c>
      <c r="G31" s="27">
        <v>4923.8999999999996</v>
      </c>
      <c r="H31" s="28">
        <v>73.45</v>
      </c>
      <c r="I31" s="28">
        <v>682.85</v>
      </c>
      <c r="J31" s="27">
        <v>67490.899999999994</v>
      </c>
      <c r="K31" s="27"/>
      <c r="L31" s="31">
        <f t="shared" si="1"/>
        <v>-3.8460809761088344E-3</v>
      </c>
      <c r="M31" s="31">
        <f t="shared" si="1"/>
        <v>6.660088801184072E-3</v>
      </c>
      <c r="N31" s="31">
        <f t="shared" si="1"/>
        <v>2.6138029874513968E-3</v>
      </c>
      <c r="O31" s="31">
        <f t="shared" si="1"/>
        <v>2.1182396068157416E-2</v>
      </c>
      <c r="P31" s="31">
        <f t="shared" si="2"/>
        <v>5.5275697753573994E-2</v>
      </c>
      <c r="Q31" s="31">
        <f t="shared" si="2"/>
        <v>5.037709599472695E-3</v>
      </c>
      <c r="R31" s="31">
        <f t="shared" si="2"/>
        <v>-1.5079069919055721E-2</v>
      </c>
      <c r="T31" s="7">
        <f t="shared" si="3"/>
        <v>-3.6894503201755123E-3</v>
      </c>
      <c r="U31" s="7">
        <f t="shared" si="4"/>
        <v>6.5495341981776046E-3</v>
      </c>
      <c r="V31" s="7">
        <f t="shared" si="5"/>
        <v>2.2863189667862742E-3</v>
      </c>
      <c r="W31" s="7">
        <f t="shared" si="6"/>
        <v>1.9365064331448367E-2</v>
      </c>
      <c r="X31" s="7">
        <f t="shared" si="7"/>
        <v>5.1525786021620612E-2</v>
      </c>
      <c r="Y31" s="7">
        <f t="shared" si="8"/>
        <v>4.4777794438136797E-3</v>
      </c>
      <c r="Z31" s="7">
        <f t="shared" si="9"/>
        <v>-1.4599420576854254E-2</v>
      </c>
      <c r="AB31" s="34" t="s">
        <v>11</v>
      </c>
      <c r="AC31" s="39">
        <v>-0.27286005436026789</v>
      </c>
      <c r="AD31" s="39">
        <v>1</v>
      </c>
      <c r="AE31" s="39">
        <v>-2.1330244251030851E-2</v>
      </c>
      <c r="AF31" s="39">
        <v>-8.7633203902084275E-2</v>
      </c>
      <c r="AG31" s="39">
        <v>1.1003465859845449E-2</v>
      </c>
      <c r="AH31" s="39">
        <v>2.7698818973336307E-2</v>
      </c>
      <c r="AI31" s="39">
        <v>2.2704608823969557E-2</v>
      </c>
      <c r="AM31" s="2">
        <v>28</v>
      </c>
      <c r="AN31" s="33">
        <v>1.499268901868304E-2</v>
      </c>
      <c r="AO31" s="33">
        <v>9.5126830007672271E-4</v>
      </c>
    </row>
    <row r="32" spans="3:41" ht="14.4" x14ac:dyDescent="0.3">
      <c r="C32" s="24">
        <v>46066</v>
      </c>
      <c r="D32" s="25">
        <v>5253.2</v>
      </c>
      <c r="E32" s="26">
        <v>4.056</v>
      </c>
      <c r="F32" s="27">
        <v>49500.93</v>
      </c>
      <c r="G32" s="27">
        <v>5064.8999999999996</v>
      </c>
      <c r="H32" s="28">
        <v>77.849999999999994</v>
      </c>
      <c r="I32" s="28">
        <v>681.75</v>
      </c>
      <c r="J32" s="27">
        <v>68883.399999999994</v>
      </c>
      <c r="K32" s="27"/>
      <c r="L32" s="31">
        <f t="shared" si="1"/>
        <v>4.7399680194930571E-3</v>
      </c>
      <c r="M32" s="31">
        <f t="shared" si="1"/>
        <v>-4.930966469427478E-4</v>
      </c>
      <c r="N32" s="31">
        <f t="shared" si="1"/>
        <v>6.5170492756405629E-4</v>
      </c>
      <c r="O32" s="31">
        <f t="shared" si="1"/>
        <v>-2.7838654267606455E-2</v>
      </c>
      <c r="P32" s="31">
        <f t="shared" si="2"/>
        <v>-5.6518946692357019E-2</v>
      </c>
      <c r="Q32" s="31">
        <f t="shared" si="2"/>
        <v>1.6134946828016972E-3</v>
      </c>
      <c r="R32" s="31">
        <f t="shared" si="2"/>
        <v>-2.0215320381978819E-2</v>
      </c>
      <c r="T32" s="7">
        <f t="shared" si="3"/>
        <v>4.8965986754263792E-3</v>
      </c>
      <c r="U32" s="7">
        <f t="shared" si="4"/>
        <v>-6.0365124994921483E-4</v>
      </c>
      <c r="V32" s="7">
        <f t="shared" si="5"/>
        <v>3.2422090689893346E-4</v>
      </c>
      <c r="W32" s="7">
        <f t="shared" si="6"/>
        <v>-2.9655986004315505E-2</v>
      </c>
      <c r="X32" s="7">
        <f t="shared" si="7"/>
        <v>-6.0268858424310401E-2</v>
      </c>
      <c r="Y32" s="7">
        <f t="shared" si="8"/>
        <v>1.0535645271426818E-3</v>
      </c>
      <c r="Z32" s="7">
        <f t="shared" si="9"/>
        <v>-1.9735671039777351E-2</v>
      </c>
      <c r="AB32" s="34" t="s">
        <v>8</v>
      </c>
      <c r="AC32" s="39">
        <v>0.74164427534313992</v>
      </c>
      <c r="AD32" s="39">
        <v>-2.1330244251030851E-2</v>
      </c>
      <c r="AE32" s="39">
        <v>1</v>
      </c>
      <c r="AF32" s="39">
        <v>7.8921424840548704E-2</v>
      </c>
      <c r="AG32" s="39">
        <v>0.19870323635520307</v>
      </c>
      <c r="AH32" s="39">
        <v>0.92233914145938722</v>
      </c>
      <c r="AI32" s="39">
        <v>0.38317684195541007</v>
      </c>
      <c r="AM32" s="2">
        <v>29</v>
      </c>
      <c r="AN32" s="33">
        <v>1.0175563304326436E-2</v>
      </c>
      <c r="AO32" s="33">
        <v>7.3630178232615175E-4</v>
      </c>
    </row>
    <row r="33" spans="3:41" ht="14.4" x14ac:dyDescent="0.3">
      <c r="C33" s="24">
        <v>46065</v>
      </c>
      <c r="D33" s="25">
        <v>5172.1000000000004</v>
      </c>
      <c r="E33" s="26">
        <v>4.1040000000000001</v>
      </c>
      <c r="F33" s="27">
        <v>49451.98</v>
      </c>
      <c r="G33" s="27">
        <v>4967.2</v>
      </c>
      <c r="H33" s="28">
        <v>75.55</v>
      </c>
      <c r="I33" s="28">
        <v>681.27</v>
      </c>
      <c r="J33" s="27">
        <v>66248.7</v>
      </c>
      <c r="K33" s="27"/>
      <c r="L33" s="31">
        <f t="shared" si="1"/>
        <v>1.5680284603932559E-2</v>
      </c>
      <c r="M33" s="31">
        <f t="shared" si="1"/>
        <v>-1.1695906432748537E-2</v>
      </c>
      <c r="N33" s="31">
        <f t="shared" si="1"/>
        <v>9.8984914254196532E-4</v>
      </c>
      <c r="O33" s="31">
        <f t="shared" si="1"/>
        <v>1.9669028829119029E-2</v>
      </c>
      <c r="P33" s="31">
        <f t="shared" si="2"/>
        <v>3.0443414956982107E-2</v>
      </c>
      <c r="Q33" s="31">
        <f t="shared" si="2"/>
        <v>7.0456647144312434E-4</v>
      </c>
      <c r="R33" s="31">
        <f t="shared" si="2"/>
        <v>3.9769836993027718E-2</v>
      </c>
      <c r="T33" s="7">
        <f t="shared" si="3"/>
        <v>1.5836915259865882E-2</v>
      </c>
      <c r="U33" s="7">
        <f t="shared" si="4"/>
        <v>-1.1806461035755004E-2</v>
      </c>
      <c r="V33" s="7">
        <f t="shared" si="5"/>
        <v>6.6236512187684243E-4</v>
      </c>
      <c r="W33" s="7">
        <f t="shared" si="6"/>
        <v>1.7851697092409979E-2</v>
      </c>
      <c r="X33" s="7">
        <f t="shared" si="7"/>
        <v>2.6693503225028725E-2</v>
      </c>
      <c r="Y33" s="7">
        <f t="shared" si="8"/>
        <v>1.4463631578410889E-4</v>
      </c>
      <c r="Z33" s="7">
        <f t="shared" si="9"/>
        <v>4.0249486335229186E-2</v>
      </c>
      <c r="AB33" s="34" t="s">
        <v>13</v>
      </c>
      <c r="AC33" s="39">
        <v>9.9506766052330456E-2</v>
      </c>
      <c r="AD33" s="39">
        <v>-8.7633203902084275E-2</v>
      </c>
      <c r="AE33" s="39">
        <v>7.8921424840548704E-2</v>
      </c>
      <c r="AF33" s="39">
        <v>1</v>
      </c>
      <c r="AG33" s="39">
        <v>0.76055981721222443</v>
      </c>
      <c r="AH33" s="39">
        <v>4.795666033379898E-2</v>
      </c>
      <c r="AI33" s="39">
        <v>9.7322912771712414E-2</v>
      </c>
      <c r="AM33" s="2">
        <v>30</v>
      </c>
      <c r="AN33" s="33">
        <v>1.1971739733497473E-2</v>
      </c>
      <c r="AO33" s="33">
        <v>8.5163966061882652E-4</v>
      </c>
    </row>
    <row r="34" spans="3:41" ht="14.4" x14ac:dyDescent="0.3">
      <c r="C34" s="24">
        <v>46064</v>
      </c>
      <c r="D34" s="25">
        <v>5229.3</v>
      </c>
      <c r="E34" s="26">
        <v>4.1719999999999997</v>
      </c>
      <c r="F34" s="27">
        <v>50121.4</v>
      </c>
      <c r="G34" s="27">
        <v>5117.7</v>
      </c>
      <c r="H34" s="28">
        <v>83.75</v>
      </c>
      <c r="I34" s="28">
        <v>691.96</v>
      </c>
      <c r="J34" s="27">
        <v>67048.800000000003</v>
      </c>
      <c r="K34" s="27"/>
      <c r="L34" s="31">
        <f t="shared" si="1"/>
        <v>-1.0938366511770159E-2</v>
      </c>
      <c r="M34" s="31">
        <f t="shared" si="1"/>
        <v>-1.6299137104506145E-2</v>
      </c>
      <c r="N34" s="31">
        <f t="shared" si="1"/>
        <v>-1.3355971700710678E-2</v>
      </c>
      <c r="O34" s="31">
        <f t="shared" si="1"/>
        <v>-2.94077417589933E-2</v>
      </c>
      <c r="P34" s="31">
        <f t="shared" si="2"/>
        <v>-9.7910447761194064E-2</v>
      </c>
      <c r="Q34" s="31">
        <f t="shared" si="2"/>
        <v>-1.5448869876871552E-2</v>
      </c>
      <c r="R34" s="31">
        <f t="shared" si="2"/>
        <v>-1.1933099473816156E-2</v>
      </c>
      <c r="T34" s="7">
        <f t="shared" si="3"/>
        <v>-1.0781735855836836E-2</v>
      </c>
      <c r="U34" s="7">
        <f t="shared" si="4"/>
        <v>-1.6409691707512612E-2</v>
      </c>
      <c r="V34" s="7">
        <f t="shared" si="5"/>
        <v>-1.3683455721375802E-2</v>
      </c>
      <c r="W34" s="7">
        <f t="shared" si="6"/>
        <v>-3.122507349570235E-2</v>
      </c>
      <c r="X34" s="7">
        <f t="shared" si="7"/>
        <v>-0.10166035949314745</v>
      </c>
      <c r="Y34" s="7">
        <f t="shared" si="8"/>
        <v>-1.6008800032530569E-2</v>
      </c>
      <c r="Z34" s="7">
        <f t="shared" si="9"/>
        <v>-1.1453450131614688E-2</v>
      </c>
      <c r="AB34" s="34" t="s">
        <v>12</v>
      </c>
      <c r="AC34" s="39">
        <v>0.13425959030506998</v>
      </c>
      <c r="AD34" s="39">
        <v>1.1003465859845449E-2</v>
      </c>
      <c r="AE34" s="39">
        <v>0.19870323635520307</v>
      </c>
      <c r="AF34" s="39">
        <v>0.76055981721222443</v>
      </c>
      <c r="AG34" s="39">
        <v>1</v>
      </c>
      <c r="AH34" s="39">
        <v>0.17401740351713949</v>
      </c>
      <c r="AI34" s="39">
        <v>0.11721649326829571</v>
      </c>
      <c r="AM34" s="2">
        <v>31</v>
      </c>
      <c r="AN34" s="33">
        <v>1.4112899480892529E-2</v>
      </c>
      <c r="AO34" s="33">
        <v>1.3197412999923269E-3</v>
      </c>
    </row>
    <row r="35" spans="3:41" ht="14.4" x14ac:dyDescent="0.3">
      <c r="C35" s="24">
        <v>46063</v>
      </c>
      <c r="D35" s="25">
        <v>5293.2</v>
      </c>
      <c r="E35" s="26">
        <v>4.1449999999999996</v>
      </c>
      <c r="F35" s="27">
        <v>50188.14</v>
      </c>
      <c r="G35" s="27">
        <v>5049.7</v>
      </c>
      <c r="H35" s="28">
        <v>80.22</v>
      </c>
      <c r="I35" s="28">
        <v>692.12</v>
      </c>
      <c r="J35" s="27">
        <v>68810.3</v>
      </c>
      <c r="K35" s="27"/>
      <c r="L35" s="31">
        <f t="shared" si="1"/>
        <v>-1.2072092496032583E-2</v>
      </c>
      <c r="M35" s="31">
        <f t="shared" si="1"/>
        <v>6.5138721351025719E-3</v>
      </c>
      <c r="N35" s="31">
        <f t="shared" si="1"/>
        <v>-1.3297962426979115E-3</v>
      </c>
      <c r="O35" s="31">
        <f t="shared" si="1"/>
        <v>1.3466146503752663E-2</v>
      </c>
      <c r="P35" s="31">
        <f t="shared" si="2"/>
        <v>4.4003989030167112E-2</v>
      </c>
      <c r="Q35" s="31">
        <f t="shared" si="2"/>
        <v>-2.3117378489279083E-4</v>
      </c>
      <c r="R35" s="31">
        <f t="shared" si="2"/>
        <v>-2.5599365211312786E-2</v>
      </c>
      <c r="T35" s="7">
        <f t="shared" si="3"/>
        <v>-1.191546184009926E-2</v>
      </c>
      <c r="U35" s="7">
        <f t="shared" si="4"/>
        <v>6.4033175320961045E-3</v>
      </c>
      <c r="V35" s="7">
        <f t="shared" si="5"/>
        <v>-1.6572802633630344E-3</v>
      </c>
      <c r="W35" s="7">
        <f t="shared" si="6"/>
        <v>1.1648814767043611E-2</v>
      </c>
      <c r="X35" s="7">
        <f t="shared" si="7"/>
        <v>4.0254077298213731E-2</v>
      </c>
      <c r="Y35" s="7">
        <f t="shared" si="8"/>
        <v>-7.9110394055180628E-4</v>
      </c>
      <c r="Z35" s="7">
        <f t="shared" si="9"/>
        <v>-2.5119715869111318E-2</v>
      </c>
      <c r="AB35" s="34" t="s">
        <v>14</v>
      </c>
      <c r="AC35" s="39">
        <v>0.68460713446346988</v>
      </c>
      <c r="AD35" s="39">
        <v>2.7698818973336307E-2</v>
      </c>
      <c r="AE35" s="39">
        <v>0.92233914145938722</v>
      </c>
      <c r="AF35" s="39">
        <v>4.795666033379898E-2</v>
      </c>
      <c r="AG35" s="39">
        <v>0.17401740351713949</v>
      </c>
      <c r="AH35" s="39">
        <v>1</v>
      </c>
      <c r="AI35" s="39">
        <v>0.42231740306365761</v>
      </c>
      <c r="AM35" s="2">
        <v>32</v>
      </c>
      <c r="AN35" s="33">
        <v>1.5438211782936868E-2</v>
      </c>
      <c r="AO35" s="33">
        <v>9.4755289469682991E-4</v>
      </c>
    </row>
    <row r="36" spans="3:41" ht="15" thickBot="1" x14ac:dyDescent="0.35">
      <c r="C36" s="24">
        <v>46062</v>
      </c>
      <c r="D36" s="25">
        <v>5242.1000000000004</v>
      </c>
      <c r="E36" s="26">
        <v>4.1980000000000004</v>
      </c>
      <c r="F36" s="27">
        <v>50135.87</v>
      </c>
      <c r="G36" s="27">
        <v>5098.2</v>
      </c>
      <c r="H36" s="28">
        <v>82.07</v>
      </c>
      <c r="I36" s="28">
        <v>693.95</v>
      </c>
      <c r="J36" s="27">
        <v>70127.899999999994</v>
      </c>
      <c r="K36" s="27"/>
      <c r="L36" s="31">
        <f t="shared" si="1"/>
        <v>9.7480017550217735E-3</v>
      </c>
      <c r="M36" s="31">
        <f t="shared" si="1"/>
        <v>-1.2625059552167861E-2</v>
      </c>
      <c r="N36" s="31">
        <f t="shared" si="1"/>
        <v>1.0425669286280304E-3</v>
      </c>
      <c r="O36" s="31">
        <f t="shared" si="1"/>
        <v>-9.5131615079832033E-3</v>
      </c>
      <c r="P36" s="31">
        <f t="shared" si="2"/>
        <v>-2.2541732667235248E-2</v>
      </c>
      <c r="Q36" s="31">
        <f t="shared" si="2"/>
        <v>-2.6370775992506923E-3</v>
      </c>
      <c r="R36" s="31">
        <f t="shared" si="2"/>
        <v>-1.8788527818457301E-2</v>
      </c>
      <c r="T36" s="7">
        <f t="shared" si="3"/>
        <v>9.9046324109550964E-3</v>
      </c>
      <c r="U36" s="7">
        <f t="shared" si="4"/>
        <v>-1.2735614155174328E-2</v>
      </c>
      <c r="V36" s="7">
        <f t="shared" si="5"/>
        <v>7.1508290796290746E-4</v>
      </c>
      <c r="W36" s="7">
        <f t="shared" si="6"/>
        <v>-1.1330493244692255E-2</v>
      </c>
      <c r="X36" s="7">
        <f t="shared" si="7"/>
        <v>-2.6291644399188629E-2</v>
      </c>
      <c r="Y36" s="7">
        <f t="shared" si="8"/>
        <v>-3.1970077549097076E-3</v>
      </c>
      <c r="Z36" s="7">
        <f t="shared" si="9"/>
        <v>-1.8308878476255834E-2</v>
      </c>
      <c r="AB36" s="35" t="s">
        <v>15</v>
      </c>
      <c r="AC36" s="40">
        <v>0.30917383236559337</v>
      </c>
      <c r="AD36" s="40">
        <v>2.2704608823969557E-2</v>
      </c>
      <c r="AE36" s="40">
        <v>0.38317684195541007</v>
      </c>
      <c r="AF36" s="40">
        <v>9.7322912771712414E-2</v>
      </c>
      <c r="AG36" s="40">
        <v>0.11721649326829571</v>
      </c>
      <c r="AH36" s="40">
        <v>0.42231740306365761</v>
      </c>
      <c r="AI36" s="40">
        <v>1</v>
      </c>
      <c r="AM36" s="2">
        <v>33</v>
      </c>
      <c r="AN36" s="33">
        <v>1.0803551856363206E-2</v>
      </c>
      <c r="AO36" s="33">
        <v>1.0928477955452927E-3</v>
      </c>
    </row>
    <row r="37" spans="3:41" ht="14.4" x14ac:dyDescent="0.3">
      <c r="C37" s="24">
        <v>46059</v>
      </c>
      <c r="D37" s="25">
        <v>5226</v>
      </c>
      <c r="E37" s="26">
        <v>4.2060000000000004</v>
      </c>
      <c r="F37" s="27">
        <v>50115.67</v>
      </c>
      <c r="G37" s="27">
        <v>4998.2</v>
      </c>
      <c r="H37" s="28">
        <v>76.739999999999995</v>
      </c>
      <c r="I37" s="28">
        <v>690.62</v>
      </c>
      <c r="J37" s="27">
        <v>70555.7</v>
      </c>
      <c r="K37" s="27"/>
      <c r="L37" s="31">
        <f t="shared" si="1"/>
        <v>3.080750095675544E-3</v>
      </c>
      <c r="M37" s="31">
        <f t="shared" si="1"/>
        <v>-1.9020446980504424E-3</v>
      </c>
      <c r="N37" s="31">
        <f t="shared" si="1"/>
        <v>4.0306754354491048E-4</v>
      </c>
      <c r="O37" s="31">
        <f t="shared" si="1"/>
        <v>2.0007202592933426E-2</v>
      </c>
      <c r="P37" s="31">
        <f t="shared" si="2"/>
        <v>6.9455303622621756E-2</v>
      </c>
      <c r="Q37" s="31">
        <f t="shared" si="2"/>
        <v>4.8217543656425832E-3</v>
      </c>
      <c r="R37" s="31">
        <f t="shared" si="2"/>
        <v>-6.0632946735700299E-3</v>
      </c>
      <c r="T37" s="7">
        <f t="shared" si="3"/>
        <v>3.2373807516088661E-3</v>
      </c>
      <c r="U37" s="7">
        <f t="shared" si="4"/>
        <v>-2.0125993010569093E-3</v>
      </c>
      <c r="V37" s="7">
        <f t="shared" si="5"/>
        <v>7.5583522879787643E-5</v>
      </c>
      <c r="W37" s="7">
        <f t="shared" si="6"/>
        <v>1.8189870856224376E-2</v>
      </c>
      <c r="X37" s="7">
        <f t="shared" si="7"/>
        <v>6.5705391890668374E-2</v>
      </c>
      <c r="Y37" s="7">
        <f t="shared" si="8"/>
        <v>4.2618242099835679E-3</v>
      </c>
      <c r="Z37" s="7">
        <f t="shared" si="9"/>
        <v>-5.5836453313685627E-3</v>
      </c>
      <c r="AM37" s="2">
        <v>34</v>
      </c>
      <c r="AN37" s="33">
        <v>8.4029460170419856E-3</v>
      </c>
      <c r="AO37" s="33">
        <v>3.2854035572300183E-4</v>
      </c>
    </row>
    <row r="38" spans="3:41" ht="14.4" x14ac:dyDescent="0.3">
      <c r="C38" s="24">
        <v>46058</v>
      </c>
      <c r="D38" s="25">
        <v>5147.1000000000004</v>
      </c>
      <c r="E38" s="26">
        <v>4.21</v>
      </c>
      <c r="F38" s="27">
        <v>48908.72</v>
      </c>
      <c r="G38" s="27">
        <v>4907.3999999999996</v>
      </c>
      <c r="H38" s="28">
        <v>76.53</v>
      </c>
      <c r="I38" s="28">
        <v>677.62</v>
      </c>
      <c r="J38" s="27">
        <v>62857.9</v>
      </c>
      <c r="K38" s="27"/>
      <c r="L38" s="31">
        <f t="shared" si="1"/>
        <v>1.5329020224980949E-2</v>
      </c>
      <c r="M38" s="31">
        <f t="shared" si="1"/>
        <v>-9.5011876484552005E-4</v>
      </c>
      <c r="N38" s="31">
        <f t="shared" si="1"/>
        <v>2.46776035030154E-2</v>
      </c>
      <c r="O38" s="31">
        <f t="shared" si="1"/>
        <v>1.8502669437991726E-2</v>
      </c>
      <c r="P38" s="31">
        <f t="shared" si="2"/>
        <v>2.7440219521754905E-3</v>
      </c>
      <c r="Q38" s="31">
        <f t="shared" si="2"/>
        <v>1.9184793837254022E-2</v>
      </c>
      <c r="R38" s="31">
        <f t="shared" si="2"/>
        <v>0.12246352487117762</v>
      </c>
      <c r="T38" s="7">
        <f t="shared" si="3"/>
        <v>1.5485650880914272E-2</v>
      </c>
      <c r="U38" s="7">
        <f t="shared" si="4"/>
        <v>-1.060673367851987E-3</v>
      </c>
      <c r="V38" s="7">
        <f t="shared" si="5"/>
        <v>2.4350119482350278E-2</v>
      </c>
      <c r="W38" s="7">
        <f t="shared" si="6"/>
        <v>1.6685337701282676E-2</v>
      </c>
      <c r="X38" s="7">
        <f t="shared" si="7"/>
        <v>-1.0058897797778905E-3</v>
      </c>
      <c r="Y38" s="7">
        <f t="shared" si="8"/>
        <v>1.8624863681595005E-2</v>
      </c>
      <c r="Z38" s="7">
        <f t="shared" si="9"/>
        <v>0.12294317421337908</v>
      </c>
      <c r="AB38" s="48"/>
      <c r="AC38" s="49" t="s">
        <v>6</v>
      </c>
      <c r="AD38" s="49" t="s">
        <v>11</v>
      </c>
      <c r="AE38" s="49" t="s">
        <v>8</v>
      </c>
      <c r="AF38" s="49" t="s">
        <v>13</v>
      </c>
      <c r="AG38" s="49" t="s">
        <v>12</v>
      </c>
      <c r="AH38" s="49" t="s">
        <v>14</v>
      </c>
      <c r="AI38" s="50" t="s">
        <v>15</v>
      </c>
      <c r="AM38" s="2">
        <v>35</v>
      </c>
      <c r="AN38" s="33">
        <v>1.0143721822935922E-2</v>
      </c>
      <c r="AO38" s="33">
        <v>9.1838695919076077E-4</v>
      </c>
    </row>
    <row r="39" spans="3:41" ht="14.4" x14ac:dyDescent="0.3">
      <c r="C39" s="24">
        <v>46057</v>
      </c>
      <c r="D39" s="25">
        <v>5184</v>
      </c>
      <c r="E39" s="26">
        <v>4.2779999999999996</v>
      </c>
      <c r="F39" s="27">
        <v>49501.3</v>
      </c>
      <c r="G39" s="27">
        <v>4969.5</v>
      </c>
      <c r="H39" s="28">
        <v>84.17</v>
      </c>
      <c r="I39" s="28">
        <v>686.19</v>
      </c>
      <c r="J39" s="27">
        <v>73137</v>
      </c>
      <c r="K39" s="27"/>
      <c r="L39" s="31">
        <f t="shared" si="1"/>
        <v>-7.118055555555447E-3</v>
      </c>
      <c r="M39" s="31">
        <f t="shared" si="1"/>
        <v>-1.5895278167367799E-2</v>
      </c>
      <c r="N39" s="31">
        <f t="shared" si="1"/>
        <v>-1.1970998741447247E-2</v>
      </c>
      <c r="O39" s="31">
        <f t="shared" si="1"/>
        <v>-1.2496226984606174E-2</v>
      </c>
      <c r="P39" s="31">
        <f t="shared" si="2"/>
        <v>-9.0768682428418734E-2</v>
      </c>
      <c r="Q39" s="31">
        <f t="shared" si="2"/>
        <v>-1.2489252247919747E-2</v>
      </c>
      <c r="R39" s="31">
        <f t="shared" si="2"/>
        <v>-0.14054582495863921</v>
      </c>
      <c r="T39" s="7">
        <f t="shared" si="3"/>
        <v>-6.961424899622125E-3</v>
      </c>
      <c r="U39" s="7">
        <f t="shared" si="4"/>
        <v>-1.6005832770374265E-2</v>
      </c>
      <c r="V39" s="7">
        <f t="shared" si="5"/>
        <v>-1.2298482762112371E-2</v>
      </c>
      <c r="W39" s="7">
        <f t="shared" si="6"/>
        <v>-1.4313558721315225E-2</v>
      </c>
      <c r="X39" s="7">
        <f t="shared" si="7"/>
        <v>-9.4518594160372116E-2</v>
      </c>
      <c r="Y39" s="7">
        <f t="shared" si="8"/>
        <v>-1.3049182403578762E-2</v>
      </c>
      <c r="Z39" s="7">
        <f t="shared" si="9"/>
        <v>-0.14006617561643775</v>
      </c>
      <c r="AB39" s="51" t="s">
        <v>299</v>
      </c>
      <c r="AC39" s="58">
        <f t="array" ref="AC39:AI39">1/7</f>
        <v>0.14285714285714285</v>
      </c>
      <c r="AD39" s="59">
        <v>0.14285714285714285</v>
      </c>
      <c r="AE39" s="59">
        <v>0.14285714285714285</v>
      </c>
      <c r="AF39" s="59">
        <v>0.14285714285714285</v>
      </c>
      <c r="AG39" s="59">
        <v>0.14285714285714285</v>
      </c>
      <c r="AH39" s="59">
        <v>0.14285714285714285</v>
      </c>
      <c r="AI39" s="60">
        <v>0.14285714285714285</v>
      </c>
      <c r="AJ39" s="7"/>
      <c r="AM39" s="2">
        <v>36</v>
      </c>
      <c r="AN39" s="33">
        <v>1.0563192313952566E-2</v>
      </c>
      <c r="AO39" s="33">
        <v>5.5336295471874325E-4</v>
      </c>
    </row>
    <row r="40" spans="3:41" ht="14.4" x14ac:dyDescent="0.3">
      <c r="C40" s="24">
        <v>46056</v>
      </c>
      <c r="D40" s="25">
        <v>5114.6000000000004</v>
      </c>
      <c r="E40" s="26">
        <v>4.2729999999999997</v>
      </c>
      <c r="F40" s="27">
        <v>49240.99</v>
      </c>
      <c r="G40" s="27">
        <v>4953.3999999999996</v>
      </c>
      <c r="H40" s="28">
        <v>83.04</v>
      </c>
      <c r="I40" s="28">
        <v>689.53</v>
      </c>
      <c r="J40" s="27">
        <v>75724.800000000003</v>
      </c>
      <c r="K40" s="27"/>
      <c r="L40" s="31">
        <f t="shared" si="1"/>
        <v>1.3568998553161515E-2</v>
      </c>
      <c r="M40" s="31">
        <f t="shared" si="1"/>
        <v>1.1701380762929592E-3</v>
      </c>
      <c r="N40" s="31">
        <f t="shared" si="1"/>
        <v>5.2864493585527139E-3</v>
      </c>
      <c r="O40" s="31">
        <f t="shared" si="1"/>
        <v>3.2502927282271887E-3</v>
      </c>
      <c r="P40" s="31">
        <f t="shared" si="2"/>
        <v>1.3607899807321688E-2</v>
      </c>
      <c r="Q40" s="31">
        <f t="shared" si="2"/>
        <v>-4.8438791640681433E-3</v>
      </c>
      <c r="R40" s="31">
        <f t="shared" si="2"/>
        <v>-3.4173744929006156E-2</v>
      </c>
      <c r="T40" s="7">
        <f t="shared" si="3"/>
        <v>1.3725629209094838E-2</v>
      </c>
      <c r="U40" s="7">
        <f t="shared" si="4"/>
        <v>1.0595834732864923E-3</v>
      </c>
      <c r="V40" s="7">
        <f t="shared" si="5"/>
        <v>4.9589653378875912E-3</v>
      </c>
      <c r="W40" s="7">
        <f t="shared" si="6"/>
        <v>1.4329609915181374E-3</v>
      </c>
      <c r="X40" s="7">
        <f t="shared" si="7"/>
        <v>9.8579880753683069E-3</v>
      </c>
      <c r="Y40" s="7">
        <f t="shared" si="8"/>
        <v>-5.4038093197271587E-3</v>
      </c>
      <c r="Z40" s="7">
        <f t="shared" si="9"/>
        <v>-3.3694095586804688E-2</v>
      </c>
      <c r="AB40" s="53" t="s">
        <v>300</v>
      </c>
      <c r="AC40" s="61">
        <f>SUMPRODUCT(AC39:AI39,$AC$8:$AI$8)</f>
        <v>8.4699032140832134E-4</v>
      </c>
      <c r="AD40" s="34" t="s">
        <v>308</v>
      </c>
      <c r="AE40" s="46">
        <f>(1+AC40)^252-1</f>
        <v>0.23781932247083359</v>
      </c>
      <c r="AF40" s="34" t="s">
        <v>309</v>
      </c>
      <c r="AG40" s="34"/>
      <c r="AH40" s="34"/>
      <c r="AI40" s="54"/>
      <c r="AM40" s="2">
        <v>37</v>
      </c>
      <c r="AN40" s="33">
        <v>1.0899170091758044E-2</v>
      </c>
      <c r="AO40" s="33">
        <v>9.1778284083134771E-4</v>
      </c>
    </row>
    <row r="41" spans="3:41" ht="14.4" x14ac:dyDescent="0.3">
      <c r="C41" s="24">
        <v>46055</v>
      </c>
      <c r="D41" s="25">
        <v>5112.6000000000004</v>
      </c>
      <c r="E41" s="26">
        <v>4.2770000000000001</v>
      </c>
      <c r="F41" s="27">
        <v>49407.66</v>
      </c>
      <c r="G41" s="27">
        <v>4669.8</v>
      </c>
      <c r="H41" s="28">
        <v>76.78</v>
      </c>
      <c r="I41" s="28">
        <v>695.41</v>
      </c>
      <c r="J41" s="27">
        <v>78720.600000000006</v>
      </c>
      <c r="K41" s="27"/>
      <c r="L41" s="31">
        <f t="shared" si="1"/>
        <v>3.9119039236390485E-4</v>
      </c>
      <c r="M41" s="31">
        <f t="shared" si="1"/>
        <v>-9.3523497778824627E-4</v>
      </c>
      <c r="N41" s="31">
        <f t="shared" si="1"/>
        <v>-3.3733635634637382E-3</v>
      </c>
      <c r="O41" s="31">
        <f t="shared" si="1"/>
        <v>6.0730652276328678E-2</v>
      </c>
      <c r="P41" s="31">
        <f t="shared" si="2"/>
        <v>8.1531648866892459E-2</v>
      </c>
      <c r="Q41" s="31">
        <f t="shared" si="2"/>
        <v>-8.4554435512862458E-3</v>
      </c>
      <c r="R41" s="31">
        <f t="shared" si="2"/>
        <v>-3.8056112377192308E-2</v>
      </c>
      <c r="T41" s="7">
        <f t="shared" si="3"/>
        <v>5.478210482972271E-4</v>
      </c>
      <c r="U41" s="7">
        <f t="shared" si="4"/>
        <v>-1.0457895807947132E-3</v>
      </c>
      <c r="V41" s="7">
        <f t="shared" si="5"/>
        <v>-3.7008475841288609E-3</v>
      </c>
      <c r="W41" s="7">
        <f t="shared" si="6"/>
        <v>5.8913320539619625E-2</v>
      </c>
      <c r="X41" s="7">
        <f t="shared" si="7"/>
        <v>7.7781737134939077E-2</v>
      </c>
      <c r="Y41" s="7">
        <f t="shared" si="8"/>
        <v>-9.0153737069452611E-3</v>
      </c>
      <c r="Z41" s="7">
        <f t="shared" si="9"/>
        <v>-3.7576463034990841E-2</v>
      </c>
      <c r="AB41" s="53" t="s">
        <v>301</v>
      </c>
      <c r="AC41" s="61">
        <f t="array" ref="AC41">SQRT(MMULT(MMULT(AC39:AI39,varcovar),TRANSPOSE(AC39:AI39)))</f>
        <v>1.1204343671723372E-2</v>
      </c>
      <c r="AD41" s="34"/>
      <c r="AE41" s="34"/>
      <c r="AF41" s="34"/>
      <c r="AG41" s="34"/>
      <c r="AH41" s="34"/>
      <c r="AI41" s="54"/>
      <c r="AM41" s="2">
        <v>38</v>
      </c>
      <c r="AN41" s="33">
        <v>1.0311746546187238E-2</v>
      </c>
      <c r="AO41" s="33">
        <v>3.321113329620793E-4</v>
      </c>
    </row>
    <row r="42" spans="3:41" ht="14.4" x14ac:dyDescent="0.3">
      <c r="C42" s="24">
        <v>46052</v>
      </c>
      <c r="D42" s="25">
        <v>5175.6000000000004</v>
      </c>
      <c r="E42" s="26">
        <v>4.2409999999999997</v>
      </c>
      <c r="F42" s="27">
        <v>48892.47</v>
      </c>
      <c r="G42" s="27">
        <v>4763.1000000000004</v>
      </c>
      <c r="H42" s="28">
        <v>78.290000000000006</v>
      </c>
      <c r="I42" s="28">
        <v>691.97</v>
      </c>
      <c r="J42" s="27">
        <v>84235.5</v>
      </c>
      <c r="K42" s="27"/>
      <c r="L42" s="31">
        <f t="shared" si="1"/>
        <v>-1.2172501738928809E-2</v>
      </c>
      <c r="M42" s="31">
        <f t="shared" si="1"/>
        <v>8.4885640179204191E-3</v>
      </c>
      <c r="N42" s="31">
        <f t="shared" si="1"/>
        <v>1.0537205422430196E-2</v>
      </c>
      <c r="O42" s="31">
        <f t="shared" si="1"/>
        <v>-1.9588083391068878E-2</v>
      </c>
      <c r="P42" s="31">
        <f t="shared" si="2"/>
        <v>-1.9287265295695577E-2</v>
      </c>
      <c r="Q42" s="31">
        <f t="shared" si="2"/>
        <v>4.9713137852795963E-3</v>
      </c>
      <c r="R42" s="31">
        <f t="shared" si="2"/>
        <v>-6.547002154673498E-2</v>
      </c>
      <c r="T42" s="7">
        <f t="shared" si="3"/>
        <v>-1.2015871082995486E-2</v>
      </c>
      <c r="U42" s="7">
        <f t="shared" si="4"/>
        <v>8.3780094149139527E-3</v>
      </c>
      <c r="V42" s="7">
        <f t="shared" si="5"/>
        <v>1.0209721401765072E-2</v>
      </c>
      <c r="W42" s="7">
        <f t="shared" si="6"/>
        <v>-2.1405415127777928E-2</v>
      </c>
      <c r="X42" s="7">
        <f t="shared" si="7"/>
        <v>-2.3037177027648958E-2</v>
      </c>
      <c r="Y42" s="7">
        <f t="shared" si="8"/>
        <v>4.411383629620581E-3</v>
      </c>
      <c r="Z42" s="7">
        <f t="shared" si="9"/>
        <v>-6.499037220453352E-2</v>
      </c>
      <c r="AB42" s="55" t="s">
        <v>302</v>
      </c>
      <c r="AC42" s="62">
        <f>AC40/AC41</f>
        <v>7.5594818065594316E-2</v>
      </c>
      <c r="AD42" s="56"/>
      <c r="AE42" s="56"/>
      <c r="AF42" s="56"/>
      <c r="AG42" s="56"/>
      <c r="AH42" s="56"/>
      <c r="AI42" s="57"/>
      <c r="AM42" s="2">
        <v>39</v>
      </c>
      <c r="AN42" s="33">
        <v>1.0678030136204514E-2</v>
      </c>
      <c r="AO42" s="33">
        <v>6.401821997813335E-4</v>
      </c>
    </row>
    <row r="43" spans="3:41" ht="14.4" x14ac:dyDescent="0.3">
      <c r="C43" s="24">
        <v>46051</v>
      </c>
      <c r="D43" s="25">
        <v>5213.3</v>
      </c>
      <c r="E43" s="26">
        <v>4.2270000000000003</v>
      </c>
      <c r="F43" s="27">
        <v>49071.56</v>
      </c>
      <c r="G43" s="27">
        <v>5375.1</v>
      </c>
      <c r="H43" s="28">
        <v>114.04</v>
      </c>
      <c r="I43" s="28">
        <v>694.04</v>
      </c>
      <c r="J43" s="27">
        <v>84667.1</v>
      </c>
      <c r="K43" s="27"/>
      <c r="L43" s="31">
        <f t="shared" si="1"/>
        <v>-7.2315040377495254E-3</v>
      </c>
      <c r="M43" s="31">
        <f t="shared" si="1"/>
        <v>3.3120416370946426E-3</v>
      </c>
      <c r="N43" s="31">
        <f t="shared" si="1"/>
        <v>-3.6495681001377234E-3</v>
      </c>
      <c r="O43" s="31">
        <f t="shared" si="1"/>
        <v>-0.11385834682145446</v>
      </c>
      <c r="P43" s="31">
        <f t="shared" si="2"/>
        <v>-0.31348649596632761</v>
      </c>
      <c r="Q43" s="31">
        <f t="shared" si="2"/>
        <v>-2.9825370295659681E-3</v>
      </c>
      <c r="R43" s="31">
        <f t="shared" si="2"/>
        <v>-5.0976117051370062E-3</v>
      </c>
      <c r="T43" s="7">
        <f t="shared" si="3"/>
        <v>-7.0748733818162034E-3</v>
      </c>
      <c r="U43" s="7">
        <f t="shared" si="4"/>
        <v>3.2014870340881757E-3</v>
      </c>
      <c r="V43" s="7">
        <f t="shared" si="5"/>
        <v>-3.977052120802846E-3</v>
      </c>
      <c r="W43" s="7">
        <f t="shared" si="6"/>
        <v>-0.11567567855816351</v>
      </c>
      <c r="X43" s="7">
        <f t="shared" si="7"/>
        <v>-0.31723640769828099</v>
      </c>
      <c r="Y43" s="7">
        <f t="shared" si="8"/>
        <v>-3.5424671852249835E-3</v>
      </c>
      <c r="Z43" s="7">
        <f t="shared" si="9"/>
        <v>-4.617962362935539E-3</v>
      </c>
      <c r="AC43" s="34"/>
      <c r="AD43" s="34"/>
      <c r="AE43" s="34"/>
      <c r="AF43" s="34"/>
      <c r="AG43" s="34"/>
      <c r="AH43" s="34"/>
      <c r="AI43" s="34"/>
      <c r="AM43" s="2">
        <v>40</v>
      </c>
      <c r="AN43" s="33">
        <v>9.0414987718286377E-3</v>
      </c>
      <c r="AO43" s="33">
        <v>5.4117278752971313E-4</v>
      </c>
    </row>
    <row r="44" spans="3:41" ht="14.4" x14ac:dyDescent="0.3">
      <c r="C44" s="24">
        <v>46050</v>
      </c>
      <c r="D44" s="25">
        <v>5154.3</v>
      </c>
      <c r="E44" s="26">
        <v>4.2510000000000003</v>
      </c>
      <c r="F44" s="27">
        <v>49015.6</v>
      </c>
      <c r="G44" s="27">
        <v>5340.2</v>
      </c>
      <c r="H44" s="28">
        <v>113.11</v>
      </c>
      <c r="I44" s="28">
        <v>695.42</v>
      </c>
      <c r="J44" s="27">
        <v>89253.2</v>
      </c>
      <c r="K44" s="27"/>
      <c r="L44" s="31">
        <f t="shared" si="1"/>
        <v>1.1446753196360238E-2</v>
      </c>
      <c r="M44" s="31">
        <f t="shared" si="1"/>
        <v>-5.6457304163726185E-3</v>
      </c>
      <c r="N44" s="31">
        <f t="shared" si="1"/>
        <v>1.1416773435395378E-3</v>
      </c>
      <c r="O44" s="31">
        <f t="shared" si="1"/>
        <v>6.5353357552153657E-3</v>
      </c>
      <c r="P44" s="31">
        <f t="shared" si="2"/>
        <v>8.2220846963134697E-3</v>
      </c>
      <c r="Q44" s="31">
        <f t="shared" si="2"/>
        <v>-1.9844122976042655E-3</v>
      </c>
      <c r="R44" s="31">
        <f t="shared" si="2"/>
        <v>-5.1383031644803623E-2</v>
      </c>
      <c r="T44" s="7">
        <f t="shared" si="3"/>
        <v>1.160338385229356E-2</v>
      </c>
      <c r="U44" s="7">
        <f t="shared" si="4"/>
        <v>-5.7562850193790859E-3</v>
      </c>
      <c r="V44" s="7">
        <f t="shared" si="5"/>
        <v>8.1419332287441487E-4</v>
      </c>
      <c r="W44" s="7">
        <f t="shared" si="6"/>
        <v>4.7180040185063141E-3</v>
      </c>
      <c r="X44" s="7">
        <f t="shared" si="7"/>
        <v>4.4721729643600883E-3</v>
      </c>
      <c r="Y44" s="7">
        <f t="shared" si="8"/>
        <v>-2.5443424532632809E-3</v>
      </c>
      <c r="Z44" s="7">
        <f t="shared" si="9"/>
        <v>-5.0903382302602156E-2</v>
      </c>
      <c r="AB44" s="48"/>
      <c r="AC44" s="49" t="s">
        <v>6</v>
      </c>
      <c r="AD44" s="49" t="s">
        <v>11</v>
      </c>
      <c r="AE44" s="49" t="s">
        <v>8</v>
      </c>
      <c r="AF44" s="49" t="s">
        <v>13</v>
      </c>
      <c r="AG44" s="49" t="s">
        <v>12</v>
      </c>
      <c r="AH44" s="49" t="s">
        <v>14</v>
      </c>
      <c r="AI44" s="50" t="s">
        <v>15</v>
      </c>
      <c r="AM44" s="2">
        <v>41</v>
      </c>
      <c r="AN44" s="33">
        <v>9.2183588717834296E-3</v>
      </c>
      <c r="AO44" s="33">
        <v>5.3450265121411504E-4</v>
      </c>
    </row>
    <row r="45" spans="3:41" ht="14.4" x14ac:dyDescent="0.3">
      <c r="C45" s="24">
        <v>46049</v>
      </c>
      <c r="D45" s="25">
        <v>5210.3</v>
      </c>
      <c r="E45" s="26">
        <v>4.2229999999999999</v>
      </c>
      <c r="F45" s="27">
        <v>49003.41</v>
      </c>
      <c r="G45" s="27">
        <v>5120.6000000000004</v>
      </c>
      <c r="H45" s="28">
        <v>105.52</v>
      </c>
      <c r="I45" s="28">
        <v>695.49</v>
      </c>
      <c r="J45" s="27">
        <v>89224.7</v>
      </c>
      <c r="K45" s="27"/>
      <c r="L45" s="31">
        <f t="shared" si="1"/>
        <v>-1.0747941577260445E-2</v>
      </c>
      <c r="M45" s="31">
        <f t="shared" si="1"/>
        <v>6.6303575657116198E-3</v>
      </c>
      <c r="N45" s="31">
        <f t="shared" si="1"/>
        <v>2.4875819866410076E-4</v>
      </c>
      <c r="O45" s="31">
        <f t="shared" si="1"/>
        <v>4.2885599343826852E-2</v>
      </c>
      <c r="P45" s="31">
        <f t="shared" si="2"/>
        <v>7.1929492039423781E-2</v>
      </c>
      <c r="Q45" s="31">
        <f t="shared" si="2"/>
        <v>-1.0064846367319191E-4</v>
      </c>
      <c r="R45" s="31">
        <f t="shared" si="2"/>
        <v>3.194182776742327E-4</v>
      </c>
      <c r="T45" s="7">
        <f t="shared" si="3"/>
        <v>-1.0591310921327122E-2</v>
      </c>
      <c r="U45" s="7">
        <f t="shared" si="4"/>
        <v>6.5198029627051525E-3</v>
      </c>
      <c r="V45" s="7">
        <f t="shared" si="5"/>
        <v>-7.8725822001022075E-5</v>
      </c>
      <c r="W45" s="7">
        <f t="shared" si="6"/>
        <v>4.1068267607117799E-2</v>
      </c>
      <c r="X45" s="7">
        <f t="shared" si="7"/>
        <v>6.81795803074704E-2</v>
      </c>
      <c r="Y45" s="7">
        <f t="shared" si="8"/>
        <v>-6.6057861933220736E-4</v>
      </c>
      <c r="Z45" s="7">
        <f t="shared" si="9"/>
        <v>7.9906761987569969E-4</v>
      </c>
      <c r="AB45" s="51" t="s">
        <v>303</v>
      </c>
      <c r="AC45" s="58">
        <v>0.36142010643703537</v>
      </c>
      <c r="AD45" s="59">
        <v>0.44408460646718384</v>
      </c>
      <c r="AE45" s="59">
        <v>6.196087229870572E-2</v>
      </c>
      <c r="AF45" s="59">
        <v>0.13253441479676206</v>
      </c>
      <c r="AG45" s="59">
        <v>0</v>
      </c>
      <c r="AH45" s="59">
        <v>0</v>
      </c>
      <c r="AI45" s="60">
        <v>0</v>
      </c>
      <c r="AJ45" s="7">
        <f>SUM(AC45:AI45)</f>
        <v>0.99999999999968703</v>
      </c>
      <c r="AM45" s="2">
        <v>42</v>
      </c>
      <c r="AN45" s="33">
        <v>1.0845648671791176E-2</v>
      </c>
      <c r="AO45" s="33">
        <v>2.0981121699608621E-4</v>
      </c>
    </row>
    <row r="46" spans="3:41" ht="14.4" x14ac:dyDescent="0.3">
      <c r="C46" s="24">
        <v>46048</v>
      </c>
      <c r="D46" s="25">
        <v>5209.8999999999996</v>
      </c>
      <c r="E46" s="26">
        <v>4.2110000000000003</v>
      </c>
      <c r="F46" s="27">
        <v>49412.4</v>
      </c>
      <c r="G46" s="27">
        <v>5122.3</v>
      </c>
      <c r="H46" s="28">
        <v>115.08</v>
      </c>
      <c r="I46" s="28">
        <v>692.73</v>
      </c>
      <c r="J46" s="27">
        <v>88331.3</v>
      </c>
      <c r="K46" s="27"/>
      <c r="L46" s="31">
        <f t="shared" si="1"/>
        <v>7.6776905507003335E-5</v>
      </c>
      <c r="M46" s="31">
        <f t="shared" si="1"/>
        <v>2.8496794110661749E-3</v>
      </c>
      <c r="N46" s="31">
        <f t="shared" si="1"/>
        <v>-8.2770721519294099E-3</v>
      </c>
      <c r="O46" s="31">
        <f t="shared" si="1"/>
        <v>-3.318821623098378E-4</v>
      </c>
      <c r="P46" s="31">
        <f t="shared" si="2"/>
        <v>-8.3072645116440746E-2</v>
      </c>
      <c r="Q46" s="31">
        <f t="shared" si="2"/>
        <v>3.9842362825344146E-3</v>
      </c>
      <c r="R46" s="31">
        <f t="shared" si="2"/>
        <v>1.01141950814716E-2</v>
      </c>
      <c r="T46" s="7">
        <f t="shared" si="3"/>
        <v>2.3340756144032558E-4</v>
      </c>
      <c r="U46" s="7">
        <f t="shared" si="4"/>
        <v>2.739124808059708E-3</v>
      </c>
      <c r="V46" s="7">
        <f t="shared" si="5"/>
        <v>-8.6045561725945335E-3</v>
      </c>
      <c r="W46" s="7">
        <f t="shared" si="6"/>
        <v>-2.1492138990188894E-3</v>
      </c>
      <c r="X46" s="7">
        <f t="shared" si="7"/>
        <v>-8.6822556848394128E-2</v>
      </c>
      <c r="Y46" s="7">
        <f t="shared" si="8"/>
        <v>3.4243061268753993E-3</v>
      </c>
      <c r="Z46" s="7">
        <f t="shared" si="9"/>
        <v>1.0593844423673067E-2</v>
      </c>
      <c r="AB46" s="53" t="s">
        <v>300</v>
      </c>
      <c r="AC46" s="61">
        <f>SUMPRODUCT(AC45:AI45,AC8:$AI$8)</f>
        <v>2.5363632283115445E-4</v>
      </c>
      <c r="AD46" s="34" t="s">
        <v>308</v>
      </c>
      <c r="AE46" s="46">
        <f>(1+AC46)^252-1</f>
        <v>6.5994588172354485E-2</v>
      </c>
      <c r="AF46" s="34" t="s">
        <v>309</v>
      </c>
      <c r="AG46" s="34"/>
      <c r="AH46" s="34"/>
      <c r="AI46" s="54"/>
      <c r="AM46" s="2">
        <v>43</v>
      </c>
      <c r="AN46" s="33">
        <v>1.0002984136296135E-2</v>
      </c>
      <c r="AO46" s="33">
        <v>6.1606630600982595E-4</v>
      </c>
    </row>
    <row r="47" spans="3:41" ht="14.4" x14ac:dyDescent="0.3">
      <c r="C47" s="24">
        <v>46045</v>
      </c>
      <c r="D47" s="25">
        <v>5225.1000000000004</v>
      </c>
      <c r="E47" s="26">
        <v>4.2389999999999999</v>
      </c>
      <c r="F47" s="27">
        <v>49098.71</v>
      </c>
      <c r="G47" s="27">
        <v>5017</v>
      </c>
      <c r="H47" s="28">
        <v>100.93</v>
      </c>
      <c r="I47" s="28">
        <v>689.23</v>
      </c>
      <c r="J47" s="27">
        <v>89580.6</v>
      </c>
      <c r="K47" s="27"/>
      <c r="L47" s="31">
        <f t="shared" si="1"/>
        <v>-2.9090352337756142E-3</v>
      </c>
      <c r="M47" s="31">
        <f t="shared" si="1"/>
        <v>-6.6053314460956525E-3</v>
      </c>
      <c r="N47" s="31">
        <f t="shared" si="1"/>
        <v>6.3889662274223546E-3</v>
      </c>
      <c r="O47" s="31">
        <f t="shared" si="1"/>
        <v>2.0988638628662626E-2</v>
      </c>
      <c r="P47" s="31">
        <f t="shared" si="2"/>
        <v>0.14019617556722475</v>
      </c>
      <c r="Q47" s="31">
        <f t="shared" si="2"/>
        <v>5.0781306675564686E-3</v>
      </c>
      <c r="R47" s="31">
        <f t="shared" si="2"/>
        <v>-1.3946099936816725E-2</v>
      </c>
      <c r="T47" s="7">
        <f t="shared" si="3"/>
        <v>-2.7524045778422922E-3</v>
      </c>
      <c r="U47" s="7">
        <f t="shared" si="4"/>
        <v>-6.7158860491021198E-3</v>
      </c>
      <c r="V47" s="7">
        <f t="shared" si="5"/>
        <v>6.061482206757232E-3</v>
      </c>
      <c r="W47" s="7">
        <f t="shared" si="6"/>
        <v>1.9171306891953576E-2</v>
      </c>
      <c r="X47" s="7">
        <f t="shared" si="7"/>
        <v>0.13644626383527136</v>
      </c>
      <c r="Y47" s="7">
        <f t="shared" si="8"/>
        <v>4.5182005118974532E-3</v>
      </c>
      <c r="Z47" s="7">
        <f t="shared" si="9"/>
        <v>-1.3466450594615258E-2</v>
      </c>
      <c r="AB47" s="53" t="s">
        <v>301</v>
      </c>
      <c r="AC47" s="61" cm="1">
        <f t="array" ref="AC47">SQRT(MMULT(MMULT(AC45:AI45,varcovar),TRANSPOSE(AC45:AI45)))</f>
        <v>6.2948734789501247E-3</v>
      </c>
      <c r="AD47" s="34"/>
      <c r="AE47" s="34"/>
      <c r="AF47" s="34"/>
      <c r="AG47" s="34"/>
      <c r="AH47" s="34"/>
      <c r="AI47" s="54"/>
      <c r="AM47" s="2">
        <v>44</v>
      </c>
      <c r="AN47" s="33">
        <v>1.0236578029527014E-2</v>
      </c>
      <c r="AO47" s="33">
        <v>3.3280541030177838E-4</v>
      </c>
    </row>
    <row r="48" spans="3:41" ht="14.4" x14ac:dyDescent="0.3">
      <c r="C48" s="24">
        <v>46044</v>
      </c>
      <c r="D48" s="25">
        <v>5232</v>
      </c>
      <c r="E48" s="26">
        <v>4.2510000000000003</v>
      </c>
      <c r="F48" s="27">
        <v>49384.01</v>
      </c>
      <c r="G48" s="27">
        <v>4949.3999999999996</v>
      </c>
      <c r="H48" s="28">
        <v>95.98</v>
      </c>
      <c r="I48" s="28">
        <v>688.98</v>
      </c>
      <c r="J48" s="27">
        <v>89520.5</v>
      </c>
      <c r="K48" s="27"/>
      <c r="L48" s="31">
        <f t="shared" si="1"/>
        <v>-1.3188073394494459E-3</v>
      </c>
      <c r="M48" s="31">
        <f t="shared" si="1"/>
        <v>-2.8228652081864203E-3</v>
      </c>
      <c r="N48" s="31">
        <f t="shared" si="1"/>
        <v>-5.7771736236081894E-3</v>
      </c>
      <c r="O48" s="31">
        <f t="shared" si="1"/>
        <v>1.3658221198529219E-2</v>
      </c>
      <c r="P48" s="31">
        <f t="shared" si="2"/>
        <v>5.1573244425922038E-2</v>
      </c>
      <c r="Q48" s="31">
        <f t="shared" si="2"/>
        <v>3.62855235275239E-4</v>
      </c>
      <c r="R48" s="31">
        <f t="shared" si="2"/>
        <v>6.713546059282649E-4</v>
      </c>
      <c r="T48" s="7">
        <f t="shared" si="3"/>
        <v>-1.1621766835161237E-3</v>
      </c>
      <c r="U48" s="7">
        <f t="shared" si="4"/>
        <v>-2.9334198111928872E-3</v>
      </c>
      <c r="V48" s="7">
        <f t="shared" si="5"/>
        <v>-6.1046576442733121E-3</v>
      </c>
      <c r="W48" s="7">
        <f t="shared" si="6"/>
        <v>1.1840889461820167E-2</v>
      </c>
      <c r="X48" s="7">
        <f t="shared" si="7"/>
        <v>4.7823332693968656E-2</v>
      </c>
      <c r="Y48" s="7">
        <f t="shared" si="8"/>
        <v>-1.9707492038377645E-4</v>
      </c>
      <c r="Z48" s="7">
        <f t="shared" si="9"/>
        <v>1.1510039481297319E-3</v>
      </c>
      <c r="AB48" s="55" t="s">
        <v>302</v>
      </c>
      <c r="AC48" s="62">
        <f>AC46/AC47</f>
        <v>4.0292521156987032E-2</v>
      </c>
      <c r="AD48" s="56"/>
      <c r="AE48" s="56"/>
      <c r="AF48" s="56"/>
      <c r="AG48" s="56"/>
      <c r="AH48" s="56"/>
      <c r="AI48" s="57"/>
      <c r="AM48" s="2">
        <v>45</v>
      </c>
      <c r="AN48" s="33">
        <v>1.5582466223602568E-2</v>
      </c>
      <c r="AO48" s="33">
        <v>1.2198542736449685E-3</v>
      </c>
    </row>
    <row r="49" spans="3:41" ht="14.4" x14ac:dyDescent="0.3">
      <c r="C49" s="24">
        <v>46043</v>
      </c>
      <c r="D49" s="25">
        <v>5276.4</v>
      </c>
      <c r="E49" s="26">
        <v>4.2530000000000001</v>
      </c>
      <c r="F49" s="27">
        <v>49077.23</v>
      </c>
      <c r="G49" s="27">
        <v>4873.1000000000004</v>
      </c>
      <c r="H49" s="28">
        <v>92.21</v>
      </c>
      <c r="I49" s="28">
        <v>685.4</v>
      </c>
      <c r="J49" s="27">
        <v>89433.8</v>
      </c>
      <c r="K49" s="27"/>
      <c r="L49" s="31">
        <f t="shared" si="1"/>
        <v>-8.414828292017229E-3</v>
      </c>
      <c r="M49" s="31">
        <f t="shared" si="1"/>
        <v>-4.7025628967778399E-4</v>
      </c>
      <c r="N49" s="31">
        <f t="shared" si="1"/>
        <v>6.2509640417764967E-3</v>
      </c>
      <c r="O49" s="31">
        <f t="shared" si="1"/>
        <v>1.565738441649045E-2</v>
      </c>
      <c r="P49" s="31">
        <f t="shared" si="2"/>
        <v>4.0884936557857188E-2</v>
      </c>
      <c r="Q49" s="31">
        <f t="shared" si="2"/>
        <v>5.2232273125183415E-3</v>
      </c>
      <c r="R49" s="31">
        <f t="shared" si="2"/>
        <v>9.6943213863220912E-4</v>
      </c>
      <c r="T49" s="7">
        <f t="shared" si="3"/>
        <v>-8.2581976360839061E-3</v>
      </c>
      <c r="U49" s="7">
        <f t="shared" si="4"/>
        <v>-5.8081089268425103E-4</v>
      </c>
      <c r="V49" s="7">
        <f t="shared" si="5"/>
        <v>5.923480021111374E-3</v>
      </c>
      <c r="W49" s="7">
        <f t="shared" si="6"/>
        <v>1.3840052679781398E-2</v>
      </c>
      <c r="X49" s="7">
        <f t="shared" si="7"/>
        <v>3.7135024825903806E-2</v>
      </c>
      <c r="Y49" s="7">
        <f t="shared" si="8"/>
        <v>4.6632971568593262E-3</v>
      </c>
      <c r="Z49" s="7">
        <f t="shared" si="9"/>
        <v>1.4490814808336761E-3</v>
      </c>
      <c r="AM49" s="2">
        <v>46</v>
      </c>
      <c r="AN49" s="33">
        <v>1.3914037510111721E-2</v>
      </c>
      <c r="AO49" s="33">
        <v>1.0835997215513076E-3</v>
      </c>
    </row>
    <row r="50" spans="3:41" ht="14.4" x14ac:dyDescent="0.3">
      <c r="C50" s="24">
        <v>46042</v>
      </c>
      <c r="D50" s="25">
        <v>5240.5</v>
      </c>
      <c r="E50" s="26">
        <v>4.2949999999999999</v>
      </c>
      <c r="F50" s="27">
        <v>48488.59</v>
      </c>
      <c r="G50" s="27">
        <v>4800.8</v>
      </c>
      <c r="H50" s="28">
        <v>94.21</v>
      </c>
      <c r="I50" s="28">
        <v>677.58</v>
      </c>
      <c r="J50" s="27">
        <v>88400.3</v>
      </c>
      <c r="K50" s="27"/>
      <c r="L50" s="31">
        <f t="shared" si="1"/>
        <v>6.8504913653275601E-3</v>
      </c>
      <c r="M50" s="31">
        <f t="shared" si="1"/>
        <v>-9.7788125727590325E-3</v>
      </c>
      <c r="N50" s="31">
        <f t="shared" si="1"/>
        <v>1.2139763189649599E-2</v>
      </c>
      <c r="O50" s="31">
        <f t="shared" si="1"/>
        <v>1.5059990001666357E-2</v>
      </c>
      <c r="P50" s="31">
        <f t="shared" si="2"/>
        <v>-2.1229168878038385E-2</v>
      </c>
      <c r="Q50" s="31">
        <f t="shared" si="2"/>
        <v>1.1541072640868899E-2</v>
      </c>
      <c r="R50" s="31">
        <f t="shared" si="2"/>
        <v>1.1691136794784729E-2</v>
      </c>
      <c r="T50" s="7">
        <f t="shared" si="3"/>
        <v>7.0071220212608821E-3</v>
      </c>
      <c r="U50" s="7">
        <f t="shared" si="4"/>
        <v>-9.889367175765499E-3</v>
      </c>
      <c r="V50" s="7">
        <f t="shared" si="5"/>
        <v>1.1812279168984476E-2</v>
      </c>
      <c r="W50" s="7">
        <f t="shared" si="6"/>
        <v>1.3242658264957305E-2</v>
      </c>
      <c r="X50" s="7">
        <f t="shared" si="7"/>
        <v>-2.4979080609991766E-2</v>
      </c>
      <c r="Y50" s="7">
        <f t="shared" si="8"/>
        <v>1.0981142485209884E-2</v>
      </c>
      <c r="Z50" s="7">
        <f t="shared" si="9"/>
        <v>1.2170786136986196E-2</v>
      </c>
      <c r="AB50" s="48"/>
      <c r="AC50" s="49" t="s">
        <v>6</v>
      </c>
      <c r="AD50" s="49" t="s">
        <v>11</v>
      </c>
      <c r="AE50" s="49" t="s">
        <v>8</v>
      </c>
      <c r="AF50" s="49" t="s">
        <v>13</v>
      </c>
      <c r="AG50" s="49" t="s">
        <v>12</v>
      </c>
      <c r="AH50" s="49" t="s">
        <v>14</v>
      </c>
      <c r="AI50" s="50" t="s">
        <v>15</v>
      </c>
      <c r="AM50" s="2">
        <v>47</v>
      </c>
      <c r="AN50" s="33">
        <v>1.3119407564932064E-2</v>
      </c>
      <c r="AO50" s="33">
        <v>1.2919696302569111E-3</v>
      </c>
    </row>
    <row r="51" spans="3:41" ht="14.4" x14ac:dyDescent="0.3">
      <c r="C51" s="24">
        <v>46038</v>
      </c>
      <c r="D51" s="25">
        <v>5352.6</v>
      </c>
      <c r="E51" s="26">
        <v>4.2309999999999999</v>
      </c>
      <c r="F51" s="27">
        <v>49359.33</v>
      </c>
      <c r="G51" s="27">
        <v>4629.3999999999996</v>
      </c>
      <c r="H51" s="28">
        <v>88.09</v>
      </c>
      <c r="I51" s="28">
        <v>691.66</v>
      </c>
      <c r="J51" s="27">
        <v>95549.6</v>
      </c>
      <c r="K51" s="27"/>
      <c r="L51" s="31">
        <f t="shared" si="1"/>
        <v>-2.0943093076262076E-2</v>
      </c>
      <c r="M51" s="31">
        <f t="shared" si="1"/>
        <v>1.5126447648310171E-2</v>
      </c>
      <c r="N51" s="31">
        <f t="shared" si="1"/>
        <v>-1.7640839128083896E-2</v>
      </c>
      <c r="O51" s="31">
        <f t="shared" si="1"/>
        <v>3.7024236402125599E-2</v>
      </c>
      <c r="P51" s="31">
        <f t="shared" si="2"/>
        <v>6.9474401180610545E-2</v>
      </c>
      <c r="Q51" s="31">
        <f t="shared" si="2"/>
        <v>-2.035682271636341E-2</v>
      </c>
      <c r="R51" s="31">
        <f t="shared" si="2"/>
        <v>-7.4822919195894122E-2</v>
      </c>
      <c r="T51" s="7">
        <f t="shared" si="3"/>
        <v>-2.0786462420328753E-2</v>
      </c>
      <c r="U51" s="7">
        <f t="shared" si="4"/>
        <v>1.5015893045303704E-2</v>
      </c>
      <c r="V51" s="7">
        <f t="shared" si="5"/>
        <v>-1.7968323148749018E-2</v>
      </c>
      <c r="W51" s="7">
        <f t="shared" si="6"/>
        <v>3.5206904665416545E-2</v>
      </c>
      <c r="X51" s="7">
        <f t="shared" si="7"/>
        <v>6.5724489448657164E-2</v>
      </c>
      <c r="Y51" s="7">
        <f t="shared" si="8"/>
        <v>-2.0916752872022427E-2</v>
      </c>
      <c r="Z51" s="7">
        <f t="shared" si="9"/>
        <v>-7.4343269853692662E-2</v>
      </c>
      <c r="AB51" s="51" t="s">
        <v>307</v>
      </c>
      <c r="AC51" s="58">
        <v>0</v>
      </c>
      <c r="AD51" s="59">
        <v>0</v>
      </c>
      <c r="AE51" s="59">
        <v>0</v>
      </c>
      <c r="AF51" s="59">
        <v>0</v>
      </c>
      <c r="AG51" s="59">
        <v>1</v>
      </c>
      <c r="AH51" s="59">
        <v>0</v>
      </c>
      <c r="AI51" s="60">
        <v>0</v>
      </c>
      <c r="AJ51" s="7">
        <f>SUM(AC51:AI51)</f>
        <v>1</v>
      </c>
      <c r="AM51" s="2">
        <v>48</v>
      </c>
      <c r="AN51" s="33">
        <v>8.2346274632917969E-3</v>
      </c>
      <c r="AO51" s="33">
        <v>3.2127978360720061E-4</v>
      </c>
    </row>
    <row r="52" spans="3:41" ht="14.4" x14ac:dyDescent="0.3">
      <c r="C52" s="24">
        <v>46037</v>
      </c>
      <c r="D52" s="25">
        <v>5279</v>
      </c>
      <c r="E52" s="26">
        <v>4.16</v>
      </c>
      <c r="F52" s="27">
        <v>49442.44</v>
      </c>
      <c r="G52" s="27">
        <v>4657.7</v>
      </c>
      <c r="H52" s="28">
        <v>91.88</v>
      </c>
      <c r="I52" s="28">
        <v>692.24</v>
      </c>
      <c r="J52" s="27">
        <v>95585.1</v>
      </c>
      <c r="K52" s="27"/>
      <c r="L52" s="31">
        <f t="shared" si="1"/>
        <v>1.3942034476226661E-2</v>
      </c>
      <c r="M52" s="31">
        <f t="shared" si="1"/>
        <v>1.7067307692307576E-2</v>
      </c>
      <c r="N52" s="31">
        <f t="shared" si="1"/>
        <v>-1.6809445488531471E-3</v>
      </c>
      <c r="O52" s="31">
        <f t="shared" si="1"/>
        <v>-6.0759602378857025E-3</v>
      </c>
      <c r="P52" s="31">
        <f t="shared" si="2"/>
        <v>-4.1249455811928515E-2</v>
      </c>
      <c r="Q52" s="31">
        <f t="shared" si="2"/>
        <v>-8.378597018375844E-4</v>
      </c>
      <c r="R52" s="31">
        <f t="shared" si="2"/>
        <v>-3.7139679719955243E-4</v>
      </c>
      <c r="T52" s="7">
        <f t="shared" si="3"/>
        <v>1.4098665132159984E-2</v>
      </c>
      <c r="U52" s="7">
        <f t="shared" si="4"/>
        <v>1.695675308930111E-2</v>
      </c>
      <c r="V52" s="7">
        <f t="shared" si="5"/>
        <v>-2.0084285695182698E-3</v>
      </c>
      <c r="W52" s="7">
        <f t="shared" si="6"/>
        <v>-7.8932919745947541E-3</v>
      </c>
      <c r="X52" s="7">
        <f t="shared" si="7"/>
        <v>-4.4999367543881896E-2</v>
      </c>
      <c r="Y52" s="7">
        <f t="shared" si="8"/>
        <v>-1.3977898574965997E-3</v>
      </c>
      <c r="Z52" s="7">
        <f t="shared" si="9"/>
        <v>1.0825254500191451E-4</v>
      </c>
      <c r="AB52" s="53" t="s">
        <v>300</v>
      </c>
      <c r="AC52" s="61">
        <f>SUMPRODUCT(AC51:AI51,$AC$8:$AI$8)</f>
        <v>3.749911731953381E-3</v>
      </c>
      <c r="AD52" s="34" t="s">
        <v>308</v>
      </c>
      <c r="AE52" s="46">
        <f>(1+AC52)^252-1</f>
        <v>1.5682131425509271</v>
      </c>
      <c r="AF52" s="34" t="s">
        <v>309</v>
      </c>
      <c r="AG52" s="34"/>
      <c r="AH52" s="34"/>
      <c r="AI52" s="54"/>
      <c r="AM52" s="2">
        <v>49</v>
      </c>
      <c r="AN52" s="33">
        <v>1.1151462257847435E-2</v>
      </c>
      <c r="AO52" s="33">
        <v>8.9009243335294098E-4</v>
      </c>
    </row>
    <row r="53" spans="3:41" ht="14.4" x14ac:dyDescent="0.3">
      <c r="C53" s="24">
        <v>46036</v>
      </c>
      <c r="D53" s="25">
        <v>5236.8999999999996</v>
      </c>
      <c r="E53" s="26">
        <v>4.1399999999999997</v>
      </c>
      <c r="F53" s="27">
        <v>49149.63</v>
      </c>
      <c r="G53" s="27">
        <v>4670.1000000000004</v>
      </c>
      <c r="H53" s="28">
        <v>90.87</v>
      </c>
      <c r="I53" s="28">
        <v>690.36</v>
      </c>
      <c r="J53" s="27">
        <v>96934.5</v>
      </c>
      <c r="K53" s="27"/>
      <c r="L53" s="31">
        <f t="shared" si="1"/>
        <v>8.0391071053487195E-3</v>
      </c>
      <c r="M53" s="31">
        <f t="shared" si="1"/>
        <v>4.8309178743961567E-3</v>
      </c>
      <c r="N53" s="31">
        <f t="shared" si="1"/>
        <v>5.9575219589649286E-3</v>
      </c>
      <c r="O53" s="31">
        <f t="shared" si="1"/>
        <v>-2.6551893963727702E-3</v>
      </c>
      <c r="P53" s="31">
        <f t="shared" si="2"/>
        <v>1.1114779355122506E-2</v>
      </c>
      <c r="Q53" s="31">
        <f t="shared" si="2"/>
        <v>2.7232168723565486E-3</v>
      </c>
      <c r="R53" s="31">
        <f t="shared" si="2"/>
        <v>-1.3920740293703382E-2</v>
      </c>
      <c r="T53" s="7">
        <f t="shared" si="3"/>
        <v>8.1957377612820424E-3</v>
      </c>
      <c r="U53" s="7">
        <f t="shared" si="4"/>
        <v>4.7203632713896894E-3</v>
      </c>
      <c r="V53" s="7">
        <f t="shared" si="5"/>
        <v>5.630037938299806E-3</v>
      </c>
      <c r="W53" s="7">
        <f t="shared" si="6"/>
        <v>-4.4725211330818217E-3</v>
      </c>
      <c r="X53" s="7">
        <f t="shared" si="7"/>
        <v>7.3648676231691246E-3</v>
      </c>
      <c r="Y53" s="7">
        <f t="shared" si="8"/>
        <v>2.1632867166975333E-3</v>
      </c>
      <c r="Z53" s="7">
        <f t="shared" si="9"/>
        <v>-1.3441090951501915E-2</v>
      </c>
      <c r="AB53" s="53" t="s">
        <v>301</v>
      </c>
      <c r="AC53" s="61" cm="1">
        <f t="array" ref="AC53">SQRT(MMULT(MMULT(AC51:AI51,varcovar),TRANSPOSE(AC51:AI51)))</f>
        <v>3.8564933467102984E-2</v>
      </c>
      <c r="AD53" s="34"/>
      <c r="AE53" s="34"/>
      <c r="AF53" s="34"/>
      <c r="AG53" s="34"/>
      <c r="AH53" s="34"/>
      <c r="AI53" s="54"/>
      <c r="AM53" s="2">
        <v>50</v>
      </c>
      <c r="AN53" s="33">
        <v>1.307833918314231E-2</v>
      </c>
      <c r="AO53" s="33">
        <v>1.0555901482265139E-3</v>
      </c>
    </row>
    <row r="54" spans="3:41" ht="14.4" x14ac:dyDescent="0.3">
      <c r="C54" s="24">
        <v>46035</v>
      </c>
      <c r="D54" s="25">
        <v>5200</v>
      </c>
      <c r="E54" s="26">
        <v>4.1710000000000003</v>
      </c>
      <c r="F54" s="27">
        <v>49191.99</v>
      </c>
      <c r="G54" s="27">
        <v>4633.5</v>
      </c>
      <c r="H54" s="28">
        <v>85.88</v>
      </c>
      <c r="I54" s="28">
        <v>693.77</v>
      </c>
      <c r="J54" s="27">
        <v>95395.5</v>
      </c>
      <c r="K54" s="27"/>
      <c r="L54" s="31">
        <f t="shared" si="1"/>
        <v>7.0961538461538076E-3</v>
      </c>
      <c r="M54" s="31">
        <f t="shared" si="1"/>
        <v>-7.4322704387438376E-3</v>
      </c>
      <c r="N54" s="31">
        <f t="shared" si="1"/>
        <v>-8.6111580360948015E-4</v>
      </c>
      <c r="O54" s="31">
        <f t="shared" si="1"/>
        <v>7.8989964389770684E-3</v>
      </c>
      <c r="P54" s="31">
        <f t="shared" si="2"/>
        <v>5.8104331625524086E-2</v>
      </c>
      <c r="Q54" s="31">
        <f t="shared" si="2"/>
        <v>-4.9151736166164195E-3</v>
      </c>
      <c r="R54" s="31">
        <f t="shared" si="2"/>
        <v>1.6132836454549659E-2</v>
      </c>
      <c r="T54" s="7">
        <f t="shared" si="3"/>
        <v>7.2527845020871297E-3</v>
      </c>
      <c r="U54" s="7">
        <f t="shared" si="4"/>
        <v>-7.542825041750305E-3</v>
      </c>
      <c r="V54" s="7">
        <f t="shared" si="5"/>
        <v>-1.188599824274603E-3</v>
      </c>
      <c r="W54" s="7">
        <f t="shared" si="6"/>
        <v>6.0816647022680168E-3</v>
      </c>
      <c r="X54" s="7">
        <f t="shared" si="7"/>
        <v>5.4354419893570705E-2</v>
      </c>
      <c r="Y54" s="7">
        <f t="shared" si="8"/>
        <v>-5.4751037722754348E-3</v>
      </c>
      <c r="Z54" s="7">
        <f t="shared" si="9"/>
        <v>1.6612485796751127E-2</v>
      </c>
      <c r="AB54" s="55" t="s">
        <v>302</v>
      </c>
      <c r="AC54" s="62">
        <f>AC52/AC53</f>
        <v>9.7236307568173697E-2</v>
      </c>
      <c r="AD54" s="56"/>
      <c r="AE54" s="56"/>
      <c r="AF54" s="56"/>
      <c r="AG54" s="56"/>
      <c r="AH54" s="56"/>
      <c r="AI54" s="57"/>
      <c r="AM54" s="2">
        <v>51</v>
      </c>
      <c r="AN54" s="33">
        <v>1.3007456290215462E-2</v>
      </c>
      <c r="AO54" s="33">
        <v>7.8866251772130352E-4</v>
      </c>
    </row>
    <row r="55" spans="3:41" ht="14.4" x14ac:dyDescent="0.3">
      <c r="C55" s="24">
        <v>46034</v>
      </c>
      <c r="D55" s="25">
        <v>5197.2</v>
      </c>
      <c r="E55" s="26">
        <v>4.1870000000000003</v>
      </c>
      <c r="F55" s="27">
        <v>49590.2</v>
      </c>
      <c r="G55" s="27">
        <v>4649.2</v>
      </c>
      <c r="H55" s="28">
        <v>84.61</v>
      </c>
      <c r="I55" s="28">
        <v>695.16</v>
      </c>
      <c r="J55" s="27">
        <v>91271.9</v>
      </c>
      <c r="K55" s="27"/>
      <c r="L55" s="31">
        <f t="shared" si="1"/>
        <v>5.3875163549599314E-4</v>
      </c>
      <c r="M55" s="31">
        <f t="shared" si="1"/>
        <v>-3.8213518032004234E-3</v>
      </c>
      <c r="N55" s="31">
        <f t="shared" si="1"/>
        <v>-8.0300139947006022E-3</v>
      </c>
      <c r="O55" s="31">
        <f t="shared" si="1"/>
        <v>-3.3769250623763014E-3</v>
      </c>
      <c r="P55" s="31">
        <f t="shared" si="2"/>
        <v>1.5010046093842266E-2</v>
      </c>
      <c r="Q55" s="31">
        <f t="shared" si="2"/>
        <v>-1.9995396743195393E-3</v>
      </c>
      <c r="R55" s="31">
        <f t="shared" si="2"/>
        <v>4.5179293955752042E-2</v>
      </c>
      <c r="T55" s="7">
        <f t="shared" si="3"/>
        <v>6.9538229142931539E-4</v>
      </c>
      <c r="U55" s="7">
        <f t="shared" si="4"/>
        <v>-3.9319064062068908E-3</v>
      </c>
      <c r="V55" s="7">
        <f t="shared" si="5"/>
        <v>-8.3574980153657257E-3</v>
      </c>
      <c r="W55" s="7">
        <f t="shared" si="6"/>
        <v>-5.194256799085353E-3</v>
      </c>
      <c r="X55" s="7">
        <f t="shared" si="7"/>
        <v>1.1260134361888885E-2</v>
      </c>
      <c r="Y55" s="7">
        <f t="shared" si="8"/>
        <v>-2.5594698299785546E-3</v>
      </c>
      <c r="Z55" s="7">
        <f t="shared" si="9"/>
        <v>4.565894329795351E-2</v>
      </c>
      <c r="AM55" s="2">
        <v>52</v>
      </c>
      <c r="AN55" s="33">
        <v>1.4197892201786588E-2</v>
      </c>
      <c r="AO55" s="33">
        <v>7.4173959671611006E-4</v>
      </c>
    </row>
    <row r="56" spans="3:41" ht="14.4" x14ac:dyDescent="0.3">
      <c r="C56" s="24">
        <v>46031</v>
      </c>
      <c r="D56" s="25">
        <v>5200.8999999999996</v>
      </c>
      <c r="E56" s="26">
        <v>4.1710000000000003</v>
      </c>
      <c r="F56" s="27">
        <v>49504.07</v>
      </c>
      <c r="G56" s="27">
        <v>4534.7</v>
      </c>
      <c r="H56" s="28">
        <v>78.88</v>
      </c>
      <c r="I56" s="28">
        <v>694.07</v>
      </c>
      <c r="J56" s="27">
        <v>90605</v>
      </c>
      <c r="K56" s="27"/>
      <c r="L56" s="31">
        <f t="shared" si="1"/>
        <v>-7.114153319617289E-4</v>
      </c>
      <c r="M56" s="31">
        <f t="shared" si="1"/>
        <v>3.8360105490289342E-3</v>
      </c>
      <c r="N56" s="31">
        <f t="shared" si="1"/>
        <v>1.7398569450954859E-3</v>
      </c>
      <c r="O56" s="31">
        <f t="shared" si="1"/>
        <v>2.5249740886938543E-2</v>
      </c>
      <c r="P56" s="31">
        <f t="shared" si="2"/>
        <v>7.2641987829614729E-2</v>
      </c>
      <c r="Q56" s="31">
        <f t="shared" si="2"/>
        <v>1.5704467849062542E-3</v>
      </c>
      <c r="R56" s="31">
        <f t="shared" si="2"/>
        <v>7.3605209425526841E-3</v>
      </c>
      <c r="T56" s="7">
        <f t="shared" si="3"/>
        <v>-5.5478467602840665E-4</v>
      </c>
      <c r="U56" s="7">
        <f t="shared" si="4"/>
        <v>3.7254559460224673E-3</v>
      </c>
      <c r="V56" s="7">
        <f t="shared" si="5"/>
        <v>1.4123729244303631E-3</v>
      </c>
      <c r="W56" s="7">
        <f t="shared" si="6"/>
        <v>2.3432409150229493E-2</v>
      </c>
      <c r="X56" s="7">
        <f t="shared" si="7"/>
        <v>6.8892076097661348E-2</v>
      </c>
      <c r="Y56" s="7">
        <f t="shared" si="8"/>
        <v>1.0105166292472389E-3</v>
      </c>
      <c r="Z56" s="7">
        <f t="shared" si="9"/>
        <v>7.8401702847541513E-3</v>
      </c>
      <c r="AB56" s="48"/>
      <c r="AC56" s="49" t="s">
        <v>6</v>
      </c>
      <c r="AD56" s="49" t="s">
        <v>11</v>
      </c>
      <c r="AE56" s="49" t="s">
        <v>8</v>
      </c>
      <c r="AF56" s="49" t="s">
        <v>13</v>
      </c>
      <c r="AG56" s="49" t="s">
        <v>12</v>
      </c>
      <c r="AH56" s="49" t="s">
        <v>14</v>
      </c>
      <c r="AI56" s="50" t="s">
        <v>15</v>
      </c>
      <c r="AM56" s="2">
        <v>53</v>
      </c>
      <c r="AN56" s="33">
        <v>1.1655186658026092E-2</v>
      </c>
      <c r="AO56" s="33">
        <v>7.3969756080220273E-4</v>
      </c>
    </row>
    <row r="57" spans="3:41" ht="14.4" x14ac:dyDescent="0.3">
      <c r="C57" s="24">
        <v>46030</v>
      </c>
      <c r="D57" s="25">
        <v>5158.3</v>
      </c>
      <c r="E57" s="26">
        <v>4.1829999999999998</v>
      </c>
      <c r="F57" s="27">
        <v>49266.11</v>
      </c>
      <c r="G57" s="27">
        <v>4493.8999999999996</v>
      </c>
      <c r="H57" s="28">
        <v>74.72</v>
      </c>
      <c r="I57" s="28">
        <v>689.51</v>
      </c>
      <c r="J57" s="27">
        <v>91081.7</v>
      </c>
      <c r="K57" s="27"/>
      <c r="L57" s="31">
        <f t="shared" si="1"/>
        <v>8.2585347885930638E-3</v>
      </c>
      <c r="M57" s="31">
        <f t="shared" si="1"/>
        <v>-2.868754482428737E-3</v>
      </c>
      <c r="N57" s="31">
        <f t="shared" si="1"/>
        <v>4.8300951708994955E-3</v>
      </c>
      <c r="O57" s="31">
        <f t="shared" si="1"/>
        <v>9.0789737199314935E-3</v>
      </c>
      <c r="P57" s="31">
        <f t="shared" si="2"/>
        <v>5.5674518201284773E-2</v>
      </c>
      <c r="Q57" s="31">
        <f t="shared" si="2"/>
        <v>6.613392119041217E-3</v>
      </c>
      <c r="R57" s="31">
        <f t="shared" si="2"/>
        <v>-5.2337626548472072E-3</v>
      </c>
      <c r="T57" s="7">
        <f t="shared" si="3"/>
        <v>8.4151654445263867E-3</v>
      </c>
      <c r="U57" s="7">
        <f t="shared" si="4"/>
        <v>-2.9793090854352039E-3</v>
      </c>
      <c r="V57" s="7">
        <f t="shared" si="5"/>
        <v>4.5026111502343728E-3</v>
      </c>
      <c r="W57" s="7">
        <f t="shared" si="6"/>
        <v>7.2616419832224419E-3</v>
      </c>
      <c r="X57" s="7">
        <f t="shared" si="7"/>
        <v>5.1924606469331391E-2</v>
      </c>
      <c r="Y57" s="7">
        <f t="shared" si="8"/>
        <v>6.0534619633822017E-3</v>
      </c>
      <c r="Z57" s="7">
        <f t="shared" si="9"/>
        <v>-4.7541133126457399E-3</v>
      </c>
      <c r="AB57" s="51" t="s">
        <v>310</v>
      </c>
      <c r="AC57" s="63">
        <f t="array" aca="1" ref="AC57:AI57" ca="1">_xlfn.RANDARRAY(1,7)</f>
        <v>0.3639280035105068</v>
      </c>
      <c r="AD57" s="64">
        <f ca="1"/>
        <v>0.77021197767568994</v>
      </c>
      <c r="AE57" s="64">
        <f ca="1"/>
        <v>0.21212938773960222</v>
      </c>
      <c r="AF57" s="64">
        <f ca="1"/>
        <v>0.39738980795972356</v>
      </c>
      <c r="AG57" s="64">
        <f ca="1"/>
        <v>0.11787876671314002</v>
      </c>
      <c r="AH57" s="64">
        <f ca="1"/>
        <v>0.66665158456485263</v>
      </c>
      <c r="AI57" s="65">
        <f ca="1"/>
        <v>0.6758793180955105</v>
      </c>
      <c r="AJ57" s="2">
        <f ca="1">SUM(AC57:AI57)</f>
        <v>3.2040688462590254</v>
      </c>
      <c r="AM57" s="2">
        <v>54</v>
      </c>
      <c r="AN57" s="33">
        <v>1.7299795004028527E-2</v>
      </c>
      <c r="AO57" s="33">
        <v>1.0335577113969215E-3</v>
      </c>
    </row>
    <row r="58" spans="3:41" ht="14.4" x14ac:dyDescent="0.3">
      <c r="C58" s="24">
        <v>46029</v>
      </c>
      <c r="D58" s="25">
        <v>5101.6000000000004</v>
      </c>
      <c r="E58" s="26">
        <v>4.1379999999999999</v>
      </c>
      <c r="F58" s="27">
        <v>48996.08</v>
      </c>
      <c r="G58" s="27">
        <v>4495.3</v>
      </c>
      <c r="H58" s="28">
        <v>77.14</v>
      </c>
      <c r="I58" s="28">
        <v>689.58</v>
      </c>
      <c r="J58" s="27">
        <v>91342.6</v>
      </c>
      <c r="K58" s="27"/>
      <c r="L58" s="31">
        <f t="shared" si="1"/>
        <v>1.1114160263446804E-2</v>
      </c>
      <c r="M58" s="31">
        <f t="shared" si="1"/>
        <v>1.0874818753020765E-2</v>
      </c>
      <c r="N58" s="31">
        <f t="shared" si="1"/>
        <v>5.5112572271087679E-3</v>
      </c>
      <c r="O58" s="31">
        <f t="shared" si="1"/>
        <v>-3.1143638911768079E-4</v>
      </c>
      <c r="P58" s="31">
        <f t="shared" si="2"/>
        <v>-3.1371532278973269E-2</v>
      </c>
      <c r="Q58" s="31">
        <f t="shared" si="2"/>
        <v>-1.0151106470612792E-4</v>
      </c>
      <c r="R58" s="31">
        <f t="shared" si="2"/>
        <v>-2.856279545360052E-3</v>
      </c>
      <c r="T58" s="7">
        <f t="shared" si="3"/>
        <v>1.1270790919380127E-2</v>
      </c>
      <c r="U58" s="7">
        <f t="shared" si="4"/>
        <v>1.0764264150014299E-2</v>
      </c>
      <c r="V58" s="7">
        <f t="shared" si="5"/>
        <v>5.1837732064436452E-3</v>
      </c>
      <c r="W58" s="7">
        <f t="shared" si="6"/>
        <v>-2.1287681258267323E-3</v>
      </c>
      <c r="X58" s="7">
        <f t="shared" si="7"/>
        <v>-3.512144401092665E-2</v>
      </c>
      <c r="Y58" s="7">
        <f t="shared" si="8"/>
        <v>-6.6144122036514337E-4</v>
      </c>
      <c r="Z58" s="7">
        <f t="shared" si="9"/>
        <v>-2.3766302031585852E-3</v>
      </c>
      <c r="AB58" s="51" t="s">
        <v>299</v>
      </c>
      <c r="AC58" s="66">
        <f ca="1">AC57/$AJ$57</f>
        <v>0.11358307857067997</v>
      </c>
      <c r="AD58" s="45">
        <f t="shared" ref="AD58:AI58" ca="1" si="12">AD57/$AJ$57</f>
        <v>0.24038558927189294</v>
      </c>
      <c r="AE58" s="45">
        <f t="shared" ca="1" si="12"/>
        <v>6.6206251462816765E-2</v>
      </c>
      <c r="AF58" s="45">
        <f t="shared" ca="1" si="12"/>
        <v>0.12402661335560999</v>
      </c>
      <c r="AG58" s="45">
        <f t="shared" ca="1" si="12"/>
        <v>3.6790335154867765E-2</v>
      </c>
      <c r="AH58" s="45">
        <f t="shared" ca="1" si="12"/>
        <v>0.20806406371174421</v>
      </c>
      <c r="AI58" s="52">
        <f t="shared" ca="1" si="12"/>
        <v>0.21094406847238845</v>
      </c>
      <c r="AJ58" s="7">
        <f ca="1">SUM(AC58:AI58)</f>
        <v>1</v>
      </c>
      <c r="AM58" s="2">
        <v>55</v>
      </c>
      <c r="AN58" s="33">
        <v>1.1142124503793207E-2</v>
      </c>
      <c r="AO58" s="33">
        <v>4.18061314634025E-4</v>
      </c>
    </row>
    <row r="59" spans="3:41" ht="14.4" x14ac:dyDescent="0.3">
      <c r="C59" s="24">
        <v>46028</v>
      </c>
      <c r="D59" s="25">
        <v>5171.5</v>
      </c>
      <c r="E59" s="26">
        <v>4.1790000000000003</v>
      </c>
      <c r="F59" s="27">
        <v>49462.080000000002</v>
      </c>
      <c r="G59" s="27">
        <v>4529.1000000000004</v>
      </c>
      <c r="H59" s="28">
        <v>80.53</v>
      </c>
      <c r="I59" s="28">
        <v>691.81</v>
      </c>
      <c r="J59" s="27">
        <v>93739.3</v>
      </c>
      <c r="K59" s="27"/>
      <c r="L59" s="31">
        <f t="shared" si="1"/>
        <v>-1.3516387895194715E-2</v>
      </c>
      <c r="M59" s="31">
        <f t="shared" si="1"/>
        <v>-9.8109595597033472E-3</v>
      </c>
      <c r="N59" s="31">
        <f t="shared" si="1"/>
        <v>-9.4213587459321957E-3</v>
      </c>
      <c r="O59" s="31">
        <f t="shared" si="1"/>
        <v>-7.4628513391181706E-3</v>
      </c>
      <c r="P59" s="31">
        <f t="shared" si="2"/>
        <v>-4.2096113249720624E-2</v>
      </c>
      <c r="Q59" s="31">
        <f t="shared" si="2"/>
        <v>-3.223428397970407E-3</v>
      </c>
      <c r="R59" s="31">
        <f t="shared" si="2"/>
        <v>-2.55677181288958E-2</v>
      </c>
      <c r="T59" s="7">
        <f t="shared" si="3"/>
        <v>-1.3359757239261392E-2</v>
      </c>
      <c r="U59" s="7">
        <f t="shared" si="4"/>
        <v>-9.9215141627098137E-3</v>
      </c>
      <c r="V59" s="7">
        <f t="shared" si="5"/>
        <v>-9.7488427665973192E-3</v>
      </c>
      <c r="W59" s="7">
        <f t="shared" si="6"/>
        <v>-9.2801830758272221E-3</v>
      </c>
      <c r="X59" s="7">
        <f t="shared" si="7"/>
        <v>-4.5846024981674005E-2</v>
      </c>
      <c r="Y59" s="7">
        <f t="shared" si="8"/>
        <v>-3.7833585536294224E-3</v>
      </c>
      <c r="Z59" s="7">
        <f t="shared" si="9"/>
        <v>-2.5088068786694333E-2</v>
      </c>
      <c r="AB59" s="53" t="s">
        <v>300</v>
      </c>
      <c r="AC59" s="61">
        <f ca="1">SUMPRODUCT(AC58:AI58,$AC$8:$AI$8)</f>
        <v>4.0914680067769763E-4</v>
      </c>
      <c r="AD59" s="34" t="s">
        <v>308</v>
      </c>
      <c r="AE59" s="38">
        <f ca="1">(1+AC59)^252-1</f>
        <v>0.10858442314819872</v>
      </c>
      <c r="AF59" s="34" t="s">
        <v>309</v>
      </c>
      <c r="AG59" s="34"/>
      <c r="AH59" s="34"/>
      <c r="AI59" s="54"/>
      <c r="AM59" s="2">
        <v>56</v>
      </c>
      <c r="AN59" s="33">
        <v>8.8233108409590116E-3</v>
      </c>
      <c r="AO59" s="33">
        <v>5.8846912397486867E-4</v>
      </c>
    </row>
    <row r="60" spans="3:41" ht="14.4" x14ac:dyDescent="0.3">
      <c r="C60" s="24">
        <v>46027</v>
      </c>
      <c r="D60" s="25">
        <v>5116.3</v>
      </c>
      <c r="E60" s="26">
        <v>4.1630000000000003</v>
      </c>
      <c r="F60" s="27">
        <v>48977.18</v>
      </c>
      <c r="G60" s="27">
        <v>4484.1000000000004</v>
      </c>
      <c r="H60" s="28">
        <v>76.16</v>
      </c>
      <c r="I60" s="28">
        <v>687.72</v>
      </c>
      <c r="J60" s="27">
        <v>93862.2</v>
      </c>
      <c r="K60" s="27"/>
      <c r="L60" s="31">
        <f t="shared" si="1"/>
        <v>1.0789046772081257E-2</v>
      </c>
      <c r="M60" s="31">
        <f t="shared" si="1"/>
        <v>3.8433821763150799E-3</v>
      </c>
      <c r="N60" s="31">
        <f t="shared" si="1"/>
        <v>9.9005291852245492E-3</v>
      </c>
      <c r="O60" s="31">
        <f t="shared" si="1"/>
        <v>1.0035458620458959E-2</v>
      </c>
      <c r="P60" s="31">
        <f t="shared" si="2"/>
        <v>5.7379201680672232E-2</v>
      </c>
      <c r="Q60" s="31">
        <f t="shared" si="2"/>
        <v>5.9471878089918384E-3</v>
      </c>
      <c r="R60" s="31">
        <f t="shared" si="2"/>
        <v>-1.309366283764879E-3</v>
      </c>
      <c r="T60" s="7">
        <f t="shared" si="3"/>
        <v>1.094567742801458E-2</v>
      </c>
      <c r="U60" s="7">
        <f t="shared" si="4"/>
        <v>3.732827573308613E-3</v>
      </c>
      <c r="V60" s="7">
        <f t="shared" si="5"/>
        <v>9.5730451645594256E-3</v>
      </c>
      <c r="W60" s="7">
        <f t="shared" si="6"/>
        <v>8.2181268837499075E-3</v>
      </c>
      <c r="X60" s="7">
        <f t="shared" si="7"/>
        <v>5.362928994871885E-2</v>
      </c>
      <c r="Y60" s="7">
        <f t="shared" si="8"/>
        <v>5.3872576533328231E-3</v>
      </c>
      <c r="Z60" s="7">
        <f t="shared" si="9"/>
        <v>-8.2971694156341196E-4</v>
      </c>
      <c r="AB60" s="53" t="s">
        <v>301</v>
      </c>
      <c r="AC60" s="61">
        <f t="array" aca="1" ref="AC60" ca="1">SQRT(MMULT(MMULT(AC58:AI58,varcovar),TRANSPOSE(AC58:AI58)))</f>
        <v>9.7891573588845902E-3</v>
      </c>
      <c r="AD60" s="34"/>
      <c r="AE60" s="34"/>
      <c r="AF60" s="34"/>
      <c r="AG60" s="34"/>
      <c r="AH60" s="34"/>
      <c r="AI60" s="54"/>
      <c r="AM60" s="2">
        <v>57</v>
      </c>
      <c r="AN60" s="33">
        <v>1.0240034031238281E-2</v>
      </c>
      <c r="AO60" s="33">
        <v>7.4709282190972136E-4</v>
      </c>
    </row>
    <row r="61" spans="3:41" ht="14.4" x14ac:dyDescent="0.3">
      <c r="C61" s="24">
        <v>46024</v>
      </c>
      <c r="D61" s="25">
        <v>5090.1000000000004</v>
      </c>
      <c r="E61" s="26">
        <v>4.1890000000000001</v>
      </c>
      <c r="F61" s="27">
        <v>48382.39</v>
      </c>
      <c r="G61" s="27">
        <v>4361.8999999999996</v>
      </c>
      <c r="H61" s="28">
        <v>70.56</v>
      </c>
      <c r="I61" s="28">
        <v>683.17</v>
      </c>
      <c r="J61" s="27">
        <v>89982.7</v>
      </c>
      <c r="K61" s="27"/>
      <c r="L61" s="31">
        <f t="shared" si="1"/>
        <v>5.1472466159800945E-3</v>
      </c>
      <c r="M61" s="31">
        <f t="shared" si="1"/>
        <v>-6.2067319169252233E-3</v>
      </c>
      <c r="N61" s="31">
        <f t="shared" si="1"/>
        <v>1.2293522498578513E-2</v>
      </c>
      <c r="O61" s="31">
        <f t="shared" si="1"/>
        <v>2.8015314427199289E-2</v>
      </c>
      <c r="P61" s="31">
        <f t="shared" si="2"/>
        <v>7.9365079365079305E-2</v>
      </c>
      <c r="Q61" s="31">
        <f t="shared" si="2"/>
        <v>6.6601285185239334E-3</v>
      </c>
      <c r="R61" s="31">
        <f t="shared" si="2"/>
        <v>4.3113842994264351E-2</v>
      </c>
      <c r="T61" s="7">
        <f t="shared" si="3"/>
        <v>5.3038772719134165E-3</v>
      </c>
      <c r="U61" s="7">
        <f t="shared" si="4"/>
        <v>-6.3172865199316907E-3</v>
      </c>
      <c r="V61" s="7">
        <f t="shared" si="5"/>
        <v>1.1966038477913389E-2</v>
      </c>
      <c r="W61" s="7">
        <f t="shared" si="6"/>
        <v>2.619798269049024E-2</v>
      </c>
      <c r="X61" s="7">
        <f t="shared" si="7"/>
        <v>7.5615167633125924E-2</v>
      </c>
      <c r="Y61" s="7">
        <f t="shared" si="8"/>
        <v>6.1001983628649181E-3</v>
      </c>
      <c r="Z61" s="7">
        <f t="shared" si="9"/>
        <v>4.3593492336465818E-2</v>
      </c>
      <c r="AB61" s="55" t="s">
        <v>302</v>
      </c>
      <c r="AC61" s="62">
        <f ca="1">AC59/AC60</f>
        <v>4.17959162037944E-2</v>
      </c>
      <c r="AD61" s="56"/>
      <c r="AE61" s="56"/>
      <c r="AF61" s="56"/>
      <c r="AG61" s="56"/>
      <c r="AH61" s="56"/>
      <c r="AI61" s="57"/>
      <c r="AM61" s="2">
        <v>58</v>
      </c>
      <c r="AN61" s="33">
        <v>1.1916415050826357E-2</v>
      </c>
      <c r="AO61" s="33">
        <v>8.3163290530554354E-4</v>
      </c>
    </row>
    <row r="62" spans="3:41" ht="14.4" x14ac:dyDescent="0.3">
      <c r="C62" s="24">
        <v>46022</v>
      </c>
      <c r="D62" s="25">
        <v>5074.1000000000004</v>
      </c>
      <c r="E62" s="26">
        <v>4.1529999999999996</v>
      </c>
      <c r="F62" s="27">
        <v>48063.29</v>
      </c>
      <c r="G62" s="27">
        <v>4373.8999999999996</v>
      </c>
      <c r="H62" s="28">
        <v>70.13</v>
      </c>
      <c r="I62" s="28">
        <v>681.92</v>
      </c>
      <c r="J62" s="27">
        <v>87612.7</v>
      </c>
      <c r="K62" s="27"/>
      <c r="L62" s="31">
        <f t="shared" si="1"/>
        <v>3.15326855994158E-3</v>
      </c>
      <c r="M62" s="31">
        <f t="shared" si="1"/>
        <v>8.6684324584638262E-3</v>
      </c>
      <c r="N62" s="31">
        <f t="shared" si="1"/>
        <v>6.6391626540753812E-3</v>
      </c>
      <c r="O62" s="31">
        <f t="shared" si="1"/>
        <v>-2.7435469489471842E-3</v>
      </c>
      <c r="P62" s="31">
        <f t="shared" si="2"/>
        <v>6.1314701269072902E-3</v>
      </c>
      <c r="Q62" s="31">
        <f t="shared" si="2"/>
        <v>1.8330595964335394E-3</v>
      </c>
      <c r="R62" s="31">
        <f t="shared" si="2"/>
        <v>2.7050872761597455E-2</v>
      </c>
      <c r="T62" s="7">
        <f t="shared" si="3"/>
        <v>3.309899215874902E-3</v>
      </c>
      <c r="U62" s="7">
        <f t="shared" si="4"/>
        <v>8.5578778554573597E-3</v>
      </c>
      <c r="V62" s="7">
        <f t="shared" si="5"/>
        <v>6.3116786334102585E-3</v>
      </c>
      <c r="W62" s="7">
        <f t="shared" si="6"/>
        <v>-4.5608786856562358E-3</v>
      </c>
      <c r="X62" s="7">
        <f t="shared" si="7"/>
        <v>2.3815583949539092E-3</v>
      </c>
      <c r="Y62" s="7">
        <f t="shared" si="8"/>
        <v>1.2731294407745241E-3</v>
      </c>
      <c r="Z62" s="7">
        <f t="shared" si="9"/>
        <v>2.7530522103798923E-2</v>
      </c>
      <c r="AM62" s="2">
        <v>59</v>
      </c>
      <c r="AN62" s="33">
        <v>1.2218608465130832E-2</v>
      </c>
      <c r="AO62" s="33">
        <v>9.0641341460717055E-4</v>
      </c>
    </row>
    <row r="63" spans="3:41" ht="14.4" x14ac:dyDescent="0.3">
      <c r="C63" s="24">
        <v>46021</v>
      </c>
      <c r="D63" s="25">
        <v>5131.8999999999996</v>
      </c>
      <c r="E63" s="26">
        <v>4.1280000000000001</v>
      </c>
      <c r="F63" s="27">
        <v>48367.06</v>
      </c>
      <c r="G63" s="27">
        <v>4418.8999999999996</v>
      </c>
      <c r="H63" s="28">
        <v>77.37</v>
      </c>
      <c r="I63" s="28">
        <v>687.01</v>
      </c>
      <c r="J63" s="27">
        <v>88469.6</v>
      </c>
      <c r="K63" s="27"/>
      <c r="L63" s="31">
        <f t="shared" si="1"/>
        <v>-1.1262885091291586E-2</v>
      </c>
      <c r="M63" s="31">
        <f t="shared" si="1"/>
        <v>6.0562015503875521E-3</v>
      </c>
      <c r="N63" s="31">
        <f t="shared" si="1"/>
        <v>-6.2805140523322089E-3</v>
      </c>
      <c r="O63" s="31">
        <f t="shared" si="1"/>
        <v>-1.01835298377424E-2</v>
      </c>
      <c r="P63" s="31">
        <f t="shared" si="2"/>
        <v>-9.357632157166873E-2</v>
      </c>
      <c r="Q63" s="31">
        <f t="shared" si="2"/>
        <v>-7.4089169007729438E-3</v>
      </c>
      <c r="R63" s="31">
        <f t="shared" si="2"/>
        <v>-9.6858129798259585E-3</v>
      </c>
      <c r="T63" s="7">
        <f t="shared" si="3"/>
        <v>-1.1106254435358263E-2</v>
      </c>
      <c r="U63" s="7">
        <f t="shared" si="4"/>
        <v>5.9456469473810848E-3</v>
      </c>
      <c r="V63" s="7">
        <f t="shared" si="5"/>
        <v>-6.6079980729973316E-3</v>
      </c>
      <c r="W63" s="7">
        <f t="shared" si="6"/>
        <v>-1.2000861574451452E-2</v>
      </c>
      <c r="X63" s="7">
        <f t="shared" si="7"/>
        <v>-9.7326233303622112E-2</v>
      </c>
      <c r="Y63" s="7">
        <f t="shared" si="8"/>
        <v>-7.9688470564319592E-3</v>
      </c>
      <c r="Z63" s="7">
        <f t="shared" si="9"/>
        <v>-9.2061636376244912E-3</v>
      </c>
      <c r="AM63" s="2">
        <v>60</v>
      </c>
      <c r="AN63" s="33">
        <v>1.023380272947221E-2</v>
      </c>
      <c r="AO63" s="33">
        <v>7.9968993221592741E-4</v>
      </c>
    </row>
    <row r="64" spans="3:41" ht="14.4" x14ac:dyDescent="0.3">
      <c r="C64" s="24">
        <v>46020</v>
      </c>
      <c r="D64" s="25">
        <v>5121.5</v>
      </c>
      <c r="E64" s="26">
        <v>4.1159999999999997</v>
      </c>
      <c r="F64" s="27">
        <v>48461.93</v>
      </c>
      <c r="G64" s="27">
        <v>4359</v>
      </c>
      <c r="H64" s="28">
        <v>69.86</v>
      </c>
      <c r="I64" s="28">
        <v>687.85</v>
      </c>
      <c r="J64" s="27">
        <v>87217.7</v>
      </c>
      <c r="K64" s="27"/>
      <c r="L64" s="31">
        <f t="shared" si="1"/>
        <v>2.0306550815190061E-3</v>
      </c>
      <c r="M64" s="31">
        <f t="shared" si="1"/>
        <v>2.9154518950438302E-3</v>
      </c>
      <c r="N64" s="31">
        <f t="shared" si="1"/>
        <v>-1.9576191043155777E-3</v>
      </c>
      <c r="O64" s="31">
        <f t="shared" si="1"/>
        <v>1.3741683872447785E-2</v>
      </c>
      <c r="P64" s="31">
        <f t="shared" si="2"/>
        <v>0.10750071571714859</v>
      </c>
      <c r="Q64" s="31">
        <f t="shared" si="2"/>
        <v>-1.221196481791087E-3</v>
      </c>
      <c r="R64" s="31">
        <f t="shared" si="2"/>
        <v>1.4353737830738567E-2</v>
      </c>
      <c r="T64" s="7">
        <f t="shared" si="3"/>
        <v>2.1872857374523281E-3</v>
      </c>
      <c r="U64" s="7">
        <f t="shared" si="4"/>
        <v>2.8048972920373632E-3</v>
      </c>
      <c r="V64" s="7">
        <f t="shared" si="5"/>
        <v>-2.2851031249807004E-3</v>
      </c>
      <c r="W64" s="7">
        <f t="shared" si="6"/>
        <v>1.1924352135738734E-2</v>
      </c>
      <c r="X64" s="7">
        <f t="shared" si="7"/>
        <v>0.10375080398519521</v>
      </c>
      <c r="Y64" s="7">
        <f t="shared" si="8"/>
        <v>-1.7811266374501023E-3</v>
      </c>
      <c r="Z64" s="7">
        <f t="shared" si="9"/>
        <v>1.4833387172940034E-2</v>
      </c>
      <c r="AM64" s="2">
        <v>61</v>
      </c>
      <c r="AN64" s="33">
        <v>1.5349156166647978E-2</v>
      </c>
      <c r="AO64" s="33">
        <v>1.2387281182598361E-3</v>
      </c>
    </row>
    <row r="65" spans="3:41" ht="14.4" x14ac:dyDescent="0.3">
      <c r="C65" s="24">
        <v>46017</v>
      </c>
      <c r="D65" s="25">
        <v>5125.1000000000004</v>
      </c>
      <c r="E65" s="26">
        <v>4.1340000000000003</v>
      </c>
      <c r="F65" s="27">
        <v>48710.97</v>
      </c>
      <c r="G65" s="27">
        <v>4568.5</v>
      </c>
      <c r="H65" s="28">
        <v>76.489999999999995</v>
      </c>
      <c r="I65" s="28">
        <v>690.31</v>
      </c>
      <c r="J65" s="27">
        <v>87357.9</v>
      </c>
      <c r="K65" s="27"/>
      <c r="L65" s="31">
        <f t="shared" si="1"/>
        <v>-7.0242531853048629E-4</v>
      </c>
      <c r="M65" s="31">
        <f t="shared" si="1"/>
        <v>-4.3541364296082463E-3</v>
      </c>
      <c r="N65" s="31">
        <f t="shared" si="1"/>
        <v>-5.1126060515731542E-3</v>
      </c>
      <c r="O65" s="31">
        <f t="shared" si="1"/>
        <v>-4.5857502462515076E-2</v>
      </c>
      <c r="P65" s="31">
        <f t="shared" si="2"/>
        <v>-8.6677997123806971E-2</v>
      </c>
      <c r="Q65" s="31">
        <f t="shared" si="2"/>
        <v>-3.5636163462791082E-3</v>
      </c>
      <c r="R65" s="31">
        <f t="shared" si="2"/>
        <v>-1.6048920589895044E-3</v>
      </c>
      <c r="T65" s="7">
        <f t="shared" si="3"/>
        <v>-5.4579466259716404E-4</v>
      </c>
      <c r="U65" s="7">
        <f t="shared" si="4"/>
        <v>-4.4646910326147137E-3</v>
      </c>
      <c r="V65" s="7">
        <f t="shared" si="5"/>
        <v>-5.4400900722382768E-3</v>
      </c>
      <c r="W65" s="7">
        <f t="shared" si="6"/>
        <v>-4.767483419922413E-2</v>
      </c>
      <c r="X65" s="7">
        <f t="shared" si="7"/>
        <v>-9.0427908855760353E-2</v>
      </c>
      <c r="Y65" s="7">
        <f t="shared" si="8"/>
        <v>-4.1235465019381235E-3</v>
      </c>
      <c r="Z65" s="7">
        <f t="shared" si="9"/>
        <v>-1.1252427167880374E-3</v>
      </c>
      <c r="AM65" s="2">
        <v>62</v>
      </c>
      <c r="AN65" s="33">
        <v>1.5426345351834982E-2</v>
      </c>
      <c r="AO65" s="33">
        <v>9.888708505729313E-4</v>
      </c>
    </row>
    <row r="66" spans="3:41" ht="14.4" x14ac:dyDescent="0.3">
      <c r="C66" s="24">
        <v>46015</v>
      </c>
      <c r="D66" s="25">
        <v>5130.2</v>
      </c>
      <c r="E66" s="26">
        <v>4.1340000000000003</v>
      </c>
      <c r="F66" s="27">
        <v>48731.16</v>
      </c>
      <c r="G66" s="27">
        <v>4517.8999999999996</v>
      </c>
      <c r="H66" s="28">
        <v>71.03</v>
      </c>
      <c r="I66" s="28">
        <v>690.38</v>
      </c>
      <c r="J66" s="27">
        <v>87656.8</v>
      </c>
      <c r="K66" s="27"/>
      <c r="L66" s="31">
        <f t="shared" si="1"/>
        <v>-9.9411328993015413E-4</v>
      </c>
      <c r="M66" s="31">
        <f t="shared" si="1"/>
        <v>0</v>
      </c>
      <c r="N66" s="31">
        <f t="shared" si="1"/>
        <v>-4.1431396256530473E-4</v>
      </c>
      <c r="O66" s="31">
        <f t="shared" si="1"/>
        <v>1.1199893755948542E-2</v>
      </c>
      <c r="P66" s="31">
        <f t="shared" si="2"/>
        <v>7.6868928621709021E-2</v>
      </c>
      <c r="Q66" s="31">
        <f t="shared" si="2"/>
        <v>-1.0139343549930846E-4</v>
      </c>
      <c r="R66" s="31">
        <f t="shared" si="2"/>
        <v>-3.4098894780554279E-3</v>
      </c>
      <c r="T66" s="7">
        <f t="shared" si="3"/>
        <v>-8.3748263399683188E-4</v>
      </c>
      <c r="U66" s="7">
        <f t="shared" si="4"/>
        <v>-1.1055460300646704E-4</v>
      </c>
      <c r="V66" s="7">
        <f t="shared" si="5"/>
        <v>-7.4179798323042762E-4</v>
      </c>
      <c r="W66" s="7">
        <f t="shared" si="6"/>
        <v>9.3825620192394907E-3</v>
      </c>
      <c r="X66" s="7">
        <f t="shared" si="7"/>
        <v>7.3119016889755639E-2</v>
      </c>
      <c r="Y66" s="7">
        <f t="shared" si="8"/>
        <v>-6.6132359115832391E-4</v>
      </c>
      <c r="Z66" s="7">
        <f t="shared" si="9"/>
        <v>-2.9302401358539611E-3</v>
      </c>
      <c r="AM66" s="2">
        <v>63</v>
      </c>
      <c r="AN66" s="33">
        <v>1.3234066170436484E-2</v>
      </c>
      <c r="AO66" s="33">
        <v>1.023431771784639E-3</v>
      </c>
    </row>
    <row r="67" spans="3:41" ht="14.4" x14ac:dyDescent="0.3">
      <c r="C67" s="24">
        <v>46014</v>
      </c>
      <c r="D67" s="25">
        <v>5090.1000000000004</v>
      </c>
      <c r="E67" s="26">
        <v>4.1689999999999996</v>
      </c>
      <c r="F67" s="27">
        <v>48442.41</v>
      </c>
      <c r="G67" s="27">
        <v>4521</v>
      </c>
      <c r="H67" s="28">
        <v>70.489999999999995</v>
      </c>
      <c r="I67" s="28">
        <v>687.96</v>
      </c>
      <c r="J67" s="27">
        <v>87467.9</v>
      </c>
      <c r="K67" s="27"/>
      <c r="L67" s="31">
        <f t="shared" si="1"/>
        <v>7.8780377595724094E-3</v>
      </c>
      <c r="M67" s="31">
        <f t="shared" si="1"/>
        <v>-8.3952986327654466E-3</v>
      </c>
      <c r="N67" s="31">
        <f t="shared" si="1"/>
        <v>5.9606861012901913E-3</v>
      </c>
      <c r="O67" s="31">
        <f t="shared" si="1"/>
        <v>-6.8568900685694878E-4</v>
      </c>
      <c r="P67" s="31">
        <f t="shared" si="2"/>
        <v>7.6606610866789548E-3</v>
      </c>
      <c r="Q67" s="31">
        <f t="shared" si="2"/>
        <v>3.5176463747892406E-3</v>
      </c>
      <c r="R67" s="31">
        <f t="shared" si="2"/>
        <v>2.1596494256750365E-3</v>
      </c>
      <c r="T67" s="7">
        <f t="shared" si="3"/>
        <v>8.0346684155057323E-3</v>
      </c>
      <c r="U67" s="7">
        <f t="shared" si="4"/>
        <v>-8.5058532357719131E-3</v>
      </c>
      <c r="V67" s="7">
        <f t="shared" si="5"/>
        <v>5.6332020806250686E-3</v>
      </c>
      <c r="W67" s="7">
        <f t="shared" si="6"/>
        <v>-2.5030207435660003E-3</v>
      </c>
      <c r="X67" s="7">
        <f t="shared" si="7"/>
        <v>3.9107493547255734E-3</v>
      </c>
      <c r="Y67" s="7">
        <f t="shared" si="8"/>
        <v>2.9577162191302252E-3</v>
      </c>
      <c r="Z67" s="7">
        <f t="shared" si="9"/>
        <v>2.6392987678765033E-3</v>
      </c>
      <c r="AM67" s="2">
        <v>64</v>
      </c>
      <c r="AN67" s="33">
        <v>9.6706536186486596E-3</v>
      </c>
      <c r="AO67" s="33">
        <v>6.3824915757198727E-4</v>
      </c>
    </row>
    <row r="68" spans="3:41" ht="14.4" x14ac:dyDescent="0.3">
      <c r="C68" s="24">
        <v>46013</v>
      </c>
      <c r="D68" s="25">
        <v>5110.1000000000004</v>
      </c>
      <c r="E68" s="26">
        <v>4.1710000000000003</v>
      </c>
      <c r="F68" s="27">
        <v>48362.68</v>
      </c>
      <c r="G68" s="27">
        <v>4484.7</v>
      </c>
      <c r="H68" s="28">
        <v>67.91</v>
      </c>
      <c r="I68" s="28">
        <v>684.83</v>
      </c>
      <c r="J68" s="27">
        <v>88547.199999999997</v>
      </c>
      <c r="K68" s="27"/>
      <c r="L68" s="31">
        <f t="shared" si="1"/>
        <v>-3.9138177335081847E-3</v>
      </c>
      <c r="M68" s="31">
        <f t="shared" si="1"/>
        <v>-4.7950131862883882E-4</v>
      </c>
      <c r="N68" s="31">
        <f t="shared" si="1"/>
        <v>1.648585231422306E-3</v>
      </c>
      <c r="O68" s="31">
        <f t="shared" si="1"/>
        <v>8.0941869021340374E-3</v>
      </c>
      <c r="P68" s="31">
        <f t="shared" si="2"/>
        <v>3.7991459284346885E-2</v>
      </c>
      <c r="Q68" s="31">
        <f t="shared" si="2"/>
        <v>4.570477344742585E-3</v>
      </c>
      <c r="R68" s="31">
        <f t="shared" si="2"/>
        <v>-1.2188979436955738E-2</v>
      </c>
      <c r="T68" s="7">
        <f t="shared" si="3"/>
        <v>-3.7571870775748627E-3</v>
      </c>
      <c r="U68" s="7">
        <f t="shared" si="4"/>
        <v>-5.9005592163530586E-4</v>
      </c>
      <c r="V68" s="7">
        <f t="shared" si="5"/>
        <v>1.3211012107571831E-3</v>
      </c>
      <c r="W68" s="7">
        <f t="shared" si="6"/>
        <v>6.2768551654249858E-3</v>
      </c>
      <c r="X68" s="7">
        <f t="shared" si="7"/>
        <v>3.4241547552393503E-2</v>
      </c>
      <c r="Y68" s="7">
        <f t="shared" si="8"/>
        <v>4.0105471890835697E-3</v>
      </c>
      <c r="Z68" s="7">
        <f t="shared" si="9"/>
        <v>-1.1709330094754271E-2</v>
      </c>
      <c r="AM68" s="2">
        <v>65</v>
      </c>
      <c r="AN68" s="33">
        <v>1.3220179862370326E-2</v>
      </c>
      <c r="AO68" s="33">
        <v>9.806131187016843E-4</v>
      </c>
    </row>
    <row r="69" spans="3:41" ht="14.4" x14ac:dyDescent="0.3">
      <c r="C69" s="24">
        <v>46010</v>
      </c>
      <c r="D69" s="25">
        <v>5077.6000000000004</v>
      </c>
      <c r="E69" s="26">
        <v>4.1509999999999998</v>
      </c>
      <c r="F69" s="27">
        <v>48134.89</v>
      </c>
      <c r="G69" s="27">
        <v>4402.3</v>
      </c>
      <c r="H69" s="28">
        <v>66.849999999999994</v>
      </c>
      <c r="I69" s="28">
        <v>680.59</v>
      </c>
      <c r="J69" s="27">
        <v>88131.4</v>
      </c>
      <c r="K69" s="27"/>
      <c r="L69" s="31">
        <f t="shared" si="1"/>
        <v>6.4006617299512403E-3</v>
      </c>
      <c r="M69" s="31">
        <f t="shared" si="1"/>
        <v>4.8181161165985475E-3</v>
      </c>
      <c r="N69" s="31">
        <f t="shared" si="1"/>
        <v>4.7323261775398251E-3</v>
      </c>
      <c r="O69" s="31">
        <f t="shared" si="1"/>
        <v>1.8717488585512143E-2</v>
      </c>
      <c r="P69" s="31">
        <f t="shared" si="2"/>
        <v>1.5856394913986493E-2</v>
      </c>
      <c r="Q69" s="31">
        <f t="shared" si="2"/>
        <v>6.2298887729763663E-3</v>
      </c>
      <c r="R69" s="31">
        <f t="shared" si="2"/>
        <v>4.7179552350240517E-3</v>
      </c>
      <c r="T69" s="7">
        <f t="shared" si="3"/>
        <v>6.5572923858845623E-3</v>
      </c>
      <c r="U69" s="7">
        <f t="shared" si="4"/>
        <v>4.7075615135920802E-3</v>
      </c>
      <c r="V69" s="7">
        <f t="shared" si="5"/>
        <v>4.4048421568747024E-3</v>
      </c>
      <c r="W69" s="7">
        <f t="shared" si="6"/>
        <v>1.6900156848803093E-2</v>
      </c>
      <c r="X69" s="7">
        <f t="shared" si="7"/>
        <v>1.2106483182033112E-2</v>
      </c>
      <c r="Y69" s="7">
        <f t="shared" si="8"/>
        <v>5.669958617317351E-3</v>
      </c>
      <c r="Z69" s="7">
        <f t="shared" si="9"/>
        <v>5.1976045772255189E-3</v>
      </c>
      <c r="AM69" s="2">
        <v>66</v>
      </c>
      <c r="AN69" s="33">
        <v>1.1075600221999618E-2</v>
      </c>
      <c r="AO69" s="33">
        <v>8.8004531745437299E-4</v>
      </c>
    </row>
    <row r="70" spans="3:41" ht="14.4" x14ac:dyDescent="0.3">
      <c r="C70" s="24">
        <v>46009</v>
      </c>
      <c r="D70" s="25">
        <v>5089.3999999999996</v>
      </c>
      <c r="E70" s="26">
        <v>4.1159999999999997</v>
      </c>
      <c r="F70" s="27">
        <v>47951.85</v>
      </c>
      <c r="G70" s="27">
        <v>4379.6000000000004</v>
      </c>
      <c r="H70" s="28">
        <v>64.59</v>
      </c>
      <c r="I70" s="28">
        <v>676.47</v>
      </c>
      <c r="J70" s="27">
        <v>85510.1</v>
      </c>
      <c r="K70" s="27"/>
      <c r="L70" s="31">
        <f t="shared" si="1"/>
        <v>-2.3185444256689225E-3</v>
      </c>
      <c r="M70" s="31">
        <f t="shared" si="1"/>
        <v>8.5034013605442826E-3</v>
      </c>
      <c r="N70" s="31">
        <f t="shared" si="1"/>
        <v>3.8171624243903413E-3</v>
      </c>
      <c r="O70" s="31">
        <f t="shared" si="1"/>
        <v>5.1831217462781076E-3</v>
      </c>
      <c r="P70" s="31">
        <f t="shared" si="2"/>
        <v>3.4989936522681342E-2</v>
      </c>
      <c r="Q70" s="31">
        <f t="shared" si="2"/>
        <v>6.0904400786434554E-3</v>
      </c>
      <c r="R70" s="31">
        <f t="shared" si="2"/>
        <v>3.0654858314982603E-2</v>
      </c>
      <c r="T70" s="7">
        <f t="shared" si="3"/>
        <v>-2.1619137697356005E-3</v>
      </c>
      <c r="U70" s="7">
        <f t="shared" si="4"/>
        <v>8.3928467575378161E-3</v>
      </c>
      <c r="V70" s="7">
        <f t="shared" si="5"/>
        <v>3.4896784037252186E-3</v>
      </c>
      <c r="W70" s="7">
        <f t="shared" si="6"/>
        <v>3.3657900095690561E-3</v>
      </c>
      <c r="X70" s="7">
        <f t="shared" si="7"/>
        <v>3.124002479072796E-2</v>
      </c>
      <c r="Y70" s="7">
        <f t="shared" si="8"/>
        <v>5.53050992298444E-3</v>
      </c>
      <c r="Z70" s="7">
        <f t="shared" si="9"/>
        <v>3.113450765718407E-2</v>
      </c>
      <c r="AM70" s="2">
        <v>67</v>
      </c>
      <c r="AN70" s="33">
        <v>9.9536553891091516E-3</v>
      </c>
      <c r="AO70" s="33">
        <v>6.066799289093063E-4</v>
      </c>
    </row>
    <row r="71" spans="3:41" ht="14.4" x14ac:dyDescent="0.3">
      <c r="C71" s="24">
        <v>46008</v>
      </c>
      <c r="D71" s="25">
        <v>5101.8999999999996</v>
      </c>
      <c r="E71" s="26">
        <v>4.1509999999999998</v>
      </c>
      <c r="F71" s="27">
        <v>47885.97</v>
      </c>
      <c r="G71" s="27">
        <v>4389.3</v>
      </c>
      <c r="H71" s="28">
        <v>66.239999999999995</v>
      </c>
      <c r="I71" s="28">
        <v>671.4</v>
      </c>
      <c r="J71" s="27">
        <v>86230.2</v>
      </c>
      <c r="K71" s="27"/>
      <c r="L71" s="31">
        <f t="shared" si="1"/>
        <v>-2.4500676218663919E-3</v>
      </c>
      <c r="M71" s="31">
        <f t="shared" si="1"/>
        <v>-8.4317032040472917E-3</v>
      </c>
      <c r="N71" s="31">
        <f t="shared" si="1"/>
        <v>1.3757683095905193E-3</v>
      </c>
      <c r="O71" s="31">
        <f t="shared" si="1"/>
        <v>-2.2099195771534408E-3</v>
      </c>
      <c r="P71" s="31">
        <f t="shared" si="2"/>
        <v>-2.4909420289854989E-2</v>
      </c>
      <c r="Q71" s="31">
        <f t="shared" si="2"/>
        <v>7.5513851653261632E-3</v>
      </c>
      <c r="R71" s="31">
        <f t="shared" si="2"/>
        <v>-8.3509025840133866E-3</v>
      </c>
      <c r="T71" s="7">
        <f t="shared" si="3"/>
        <v>-2.2934369659330699E-3</v>
      </c>
      <c r="U71" s="7">
        <f t="shared" si="4"/>
        <v>-8.5422578070537582E-3</v>
      </c>
      <c r="V71" s="7">
        <f t="shared" si="5"/>
        <v>1.0482842889253964E-3</v>
      </c>
      <c r="W71" s="7">
        <f t="shared" si="6"/>
        <v>-4.0272513138624923E-3</v>
      </c>
      <c r="X71" s="7">
        <f t="shared" si="7"/>
        <v>-2.865933202180837E-2</v>
      </c>
      <c r="Y71" s="7">
        <f t="shared" si="8"/>
        <v>6.9914550096671479E-3</v>
      </c>
      <c r="Z71" s="7">
        <f t="shared" si="9"/>
        <v>-7.8712532418119194E-3</v>
      </c>
      <c r="AM71" s="2">
        <v>68</v>
      </c>
      <c r="AN71" s="33">
        <v>9.9835452313227057E-3</v>
      </c>
      <c r="AO71" s="33">
        <v>6.4205564293109128E-4</v>
      </c>
    </row>
    <row r="72" spans="3:41" ht="14.4" x14ac:dyDescent="0.3">
      <c r="C72" s="24">
        <v>46007</v>
      </c>
      <c r="D72" s="25">
        <v>5096.8</v>
      </c>
      <c r="E72" s="26">
        <v>4.149</v>
      </c>
      <c r="F72" s="27">
        <v>48114.26</v>
      </c>
      <c r="G72" s="27">
        <v>4347.7</v>
      </c>
      <c r="H72" s="28">
        <v>62.7</v>
      </c>
      <c r="I72" s="28">
        <v>678.87</v>
      </c>
      <c r="J72" s="27">
        <v>87853.4</v>
      </c>
      <c r="K72" s="27"/>
      <c r="L72" s="31">
        <f t="shared" si="1"/>
        <v>1.0006278449221639E-3</v>
      </c>
      <c r="M72" s="31">
        <f t="shared" si="1"/>
        <v>4.8204386599182136E-4</v>
      </c>
      <c r="N72" s="31">
        <f t="shared" si="1"/>
        <v>-4.7447471913731887E-3</v>
      </c>
      <c r="O72" s="31">
        <f t="shared" si="1"/>
        <v>9.5682774800469605E-3</v>
      </c>
      <c r="P72" s="31">
        <f t="shared" si="2"/>
        <v>5.6459330143540543E-2</v>
      </c>
      <c r="Q72" s="31">
        <f t="shared" si="2"/>
        <v>-1.1003579477661396E-2</v>
      </c>
      <c r="R72" s="31">
        <f t="shared" si="2"/>
        <v>-1.8476234272094216E-2</v>
      </c>
      <c r="T72" s="7">
        <f t="shared" si="3"/>
        <v>1.1572585008554862E-3</v>
      </c>
      <c r="U72" s="7">
        <f t="shared" si="4"/>
        <v>3.7148926298535433E-4</v>
      </c>
      <c r="V72" s="7">
        <f t="shared" si="5"/>
        <v>-5.0722312120383114E-3</v>
      </c>
      <c r="W72" s="7">
        <f t="shared" si="6"/>
        <v>7.750945743337909E-3</v>
      </c>
      <c r="X72" s="7">
        <f t="shared" si="7"/>
        <v>5.2709418411587161E-2</v>
      </c>
      <c r="Y72" s="7">
        <f t="shared" si="8"/>
        <v>-1.1563509633320411E-2</v>
      </c>
      <c r="Z72" s="7">
        <f t="shared" si="9"/>
        <v>-1.7996584929892749E-2</v>
      </c>
      <c r="AM72" s="2">
        <v>69</v>
      </c>
      <c r="AN72" s="33">
        <v>9.5807820728542863E-3</v>
      </c>
      <c r="AO72" s="33">
        <v>5.5023120124249227E-4</v>
      </c>
    </row>
    <row r="73" spans="3:41" ht="14.4" x14ac:dyDescent="0.3">
      <c r="C73" s="24">
        <v>46006</v>
      </c>
      <c r="D73" s="25">
        <v>5130</v>
      </c>
      <c r="E73" s="26">
        <v>4.1820000000000004</v>
      </c>
      <c r="F73" s="27">
        <v>48416.56</v>
      </c>
      <c r="G73" s="27">
        <v>4350.7</v>
      </c>
      <c r="H73" s="28">
        <v>62.94</v>
      </c>
      <c r="I73" s="28">
        <v>680.73</v>
      </c>
      <c r="J73" s="27">
        <v>86428.6</v>
      </c>
      <c r="K73" s="27"/>
      <c r="L73" s="31">
        <f t="shared" si="1"/>
        <v>-6.4717348927875173E-3</v>
      </c>
      <c r="M73" s="31">
        <f t="shared" si="1"/>
        <v>-7.8909612625538417E-3</v>
      </c>
      <c r="N73" s="31">
        <f t="shared" si="1"/>
        <v>-6.2437314836080171E-3</v>
      </c>
      <c r="O73" s="31">
        <f t="shared" ref="O73:O136" si="13">G72/G73-1</f>
        <v>-6.8954421127631615E-4</v>
      </c>
      <c r="P73" s="31">
        <f t="shared" si="2"/>
        <v>-3.8131553860819567E-3</v>
      </c>
      <c r="Q73" s="31">
        <f t="shared" si="2"/>
        <v>-2.7323608479132844E-3</v>
      </c>
      <c r="R73" s="31">
        <f t="shared" si="2"/>
        <v>1.6485283806517703E-2</v>
      </c>
      <c r="T73" s="7">
        <f t="shared" si="3"/>
        <v>-6.3151042368541953E-3</v>
      </c>
      <c r="U73" s="7">
        <f t="shared" si="4"/>
        <v>-8.0015158655603082E-3</v>
      </c>
      <c r="V73" s="7">
        <f t="shared" si="5"/>
        <v>-6.5712155042731398E-3</v>
      </c>
      <c r="W73" s="7">
        <f t="shared" si="6"/>
        <v>-2.5068759479853677E-3</v>
      </c>
      <c r="X73" s="7">
        <f t="shared" si="7"/>
        <v>-7.5630671180353382E-3</v>
      </c>
      <c r="Y73" s="7">
        <f t="shared" si="8"/>
        <v>-3.2922910035722997E-3</v>
      </c>
      <c r="Z73" s="7">
        <f t="shared" si="9"/>
        <v>1.696493314871917E-2</v>
      </c>
      <c r="AM73" s="2">
        <v>70</v>
      </c>
      <c r="AN73" s="33">
        <v>1.1980555661056186E-2</v>
      </c>
      <c r="AO73" s="33">
        <v>1.1137307292729231E-3</v>
      </c>
    </row>
    <row r="74" spans="3:41" ht="14.4" x14ac:dyDescent="0.3">
      <c r="C74" s="24">
        <v>46003</v>
      </c>
      <c r="D74" s="25">
        <v>5124.8</v>
      </c>
      <c r="E74" s="26">
        <v>4.1959999999999997</v>
      </c>
      <c r="F74" s="27">
        <v>48458.05</v>
      </c>
      <c r="G74" s="27">
        <v>4343.7</v>
      </c>
      <c r="H74" s="28">
        <v>61.36</v>
      </c>
      <c r="I74" s="28">
        <v>681.76</v>
      </c>
      <c r="J74" s="27">
        <v>90272</v>
      </c>
      <c r="K74" s="27"/>
      <c r="L74" s="31">
        <f t="shared" ref="L74:O137" si="14">D73/D74-1</f>
        <v>1.0146737433656128E-3</v>
      </c>
      <c r="M74" s="31">
        <f t="shared" si="14"/>
        <v>-3.336510962821615E-3</v>
      </c>
      <c r="N74" s="31">
        <f t="shared" si="14"/>
        <v>-8.5620449027568046E-4</v>
      </c>
      <c r="O74" s="31">
        <f t="shared" si="14"/>
        <v>1.6115293413450082E-3</v>
      </c>
      <c r="P74" s="31">
        <f t="shared" ref="P74:R137" si="15">H73/H74-1</f>
        <v>2.5749674054758698E-2</v>
      </c>
      <c r="Q74" s="31">
        <f t="shared" si="15"/>
        <v>-1.5107955878901347E-3</v>
      </c>
      <c r="R74" s="31">
        <f t="shared" si="15"/>
        <v>-4.2575771003190321E-2</v>
      </c>
      <c r="T74" s="7">
        <f t="shared" ref="T74:T137" si="16">L74-AC$8</f>
        <v>1.171304399298935E-3</v>
      </c>
      <c r="U74" s="7">
        <f t="shared" ref="U74:U137" si="17">M74-AD$8</f>
        <v>-3.4470655658280819E-3</v>
      </c>
      <c r="V74" s="7">
        <f t="shared" ref="V74:V137" si="18">N74-AE$8</f>
        <v>-1.1836885109408034E-3</v>
      </c>
      <c r="W74" s="7">
        <f t="shared" ref="W74:W137" si="19">O74-AF$8</f>
        <v>-2.0580239536404309E-4</v>
      </c>
      <c r="X74" s="7">
        <f t="shared" ref="X74:X137" si="20">P74-AG$8</f>
        <v>2.1999762322805316E-2</v>
      </c>
      <c r="Y74" s="7">
        <f t="shared" ref="Y74:Y137" si="21">Q74-AH$8</f>
        <v>-2.07072574354915E-3</v>
      </c>
      <c r="Z74" s="7">
        <f t="shared" ref="Z74:Z137" si="22">R74-AI$8</f>
        <v>-4.2096121660988854E-2</v>
      </c>
      <c r="AM74" s="2">
        <v>71</v>
      </c>
      <c r="AN74" s="33">
        <v>1.3403576592028765E-2</v>
      </c>
      <c r="AO74" s="33">
        <v>9.2065756939610445E-4</v>
      </c>
    </row>
    <row r="75" spans="3:41" ht="14.4" x14ac:dyDescent="0.3">
      <c r="C75" s="24">
        <v>46002</v>
      </c>
      <c r="D75" s="25">
        <v>5152.5</v>
      </c>
      <c r="E75" s="26">
        <v>4.141</v>
      </c>
      <c r="F75" s="27">
        <v>48704.01</v>
      </c>
      <c r="G75" s="27">
        <v>4328.5</v>
      </c>
      <c r="H75" s="28">
        <v>63.93</v>
      </c>
      <c r="I75" s="28">
        <v>689.17</v>
      </c>
      <c r="J75" s="27">
        <v>92507.4</v>
      </c>
      <c r="K75" s="27"/>
      <c r="L75" s="31">
        <f t="shared" si="14"/>
        <v>-5.3760310528868649E-3</v>
      </c>
      <c r="M75" s="31">
        <f t="shared" si="14"/>
        <v>1.3281815986476708E-2</v>
      </c>
      <c r="N75" s="31">
        <f t="shared" si="14"/>
        <v>-5.0500975176376306E-3</v>
      </c>
      <c r="O75" s="31">
        <f t="shared" si="14"/>
        <v>3.5116091024602891E-3</v>
      </c>
      <c r="P75" s="31">
        <f t="shared" si="15"/>
        <v>-4.0200218989519754E-2</v>
      </c>
      <c r="Q75" s="31">
        <f t="shared" si="15"/>
        <v>-1.0752064077078183E-2</v>
      </c>
      <c r="R75" s="31">
        <f t="shared" si="15"/>
        <v>-2.4164553322220672E-2</v>
      </c>
      <c r="T75" s="7">
        <f t="shared" si="16"/>
        <v>-5.2194003969535429E-3</v>
      </c>
      <c r="U75" s="7">
        <f t="shared" si="17"/>
        <v>1.3171261383470242E-2</v>
      </c>
      <c r="V75" s="7">
        <f t="shared" si="18"/>
        <v>-5.3775815383027533E-3</v>
      </c>
      <c r="W75" s="7">
        <f t="shared" si="19"/>
        <v>1.6942773657512378E-3</v>
      </c>
      <c r="X75" s="7">
        <f t="shared" si="20"/>
        <v>-4.3950130721473135E-2</v>
      </c>
      <c r="Y75" s="7">
        <f t="shared" si="21"/>
        <v>-1.1311994232737198E-2</v>
      </c>
      <c r="Z75" s="7">
        <f t="shared" si="22"/>
        <v>-2.3684903980019205E-2</v>
      </c>
      <c r="AM75" s="2">
        <v>72</v>
      </c>
      <c r="AN75" s="33">
        <v>1.189165888913293E-2</v>
      </c>
      <c r="AO75" s="33">
        <v>1.0921051954733421E-3</v>
      </c>
    </row>
    <row r="76" spans="3:41" ht="14.4" x14ac:dyDescent="0.3">
      <c r="C76" s="24">
        <v>46001</v>
      </c>
      <c r="D76" s="25">
        <v>5126.7</v>
      </c>
      <c r="E76" s="26">
        <v>4.1639999999999997</v>
      </c>
      <c r="F76" s="27">
        <v>48057.75</v>
      </c>
      <c r="G76" s="27">
        <v>4240</v>
      </c>
      <c r="H76" s="28">
        <v>60.38</v>
      </c>
      <c r="I76" s="28">
        <v>687.57</v>
      </c>
      <c r="J76" s="27">
        <v>91996.1</v>
      </c>
      <c r="K76" s="27"/>
      <c r="L76" s="31">
        <f t="shared" si="14"/>
        <v>5.0324770320089307E-3</v>
      </c>
      <c r="M76" s="31">
        <f t="shared" si="14"/>
        <v>-5.5235350624398549E-3</v>
      </c>
      <c r="N76" s="31">
        <f t="shared" si="14"/>
        <v>1.3447570891271576E-2</v>
      </c>
      <c r="O76" s="31">
        <f t="shared" si="14"/>
        <v>2.087264150943402E-2</v>
      </c>
      <c r="P76" s="31">
        <f t="shared" si="15"/>
        <v>5.8794302749254568E-2</v>
      </c>
      <c r="Q76" s="31">
        <f t="shared" si="15"/>
        <v>2.3270357927192009E-3</v>
      </c>
      <c r="R76" s="31">
        <f t="shared" si="15"/>
        <v>5.557844299921344E-3</v>
      </c>
      <c r="T76" s="7">
        <f t="shared" si="16"/>
        <v>5.1891076879422527E-3</v>
      </c>
      <c r="U76" s="7">
        <f t="shared" si="17"/>
        <v>-5.6340896654463223E-3</v>
      </c>
      <c r="V76" s="7">
        <f t="shared" si="18"/>
        <v>1.3120086870606453E-2</v>
      </c>
      <c r="W76" s="7">
        <f t="shared" si="19"/>
        <v>1.905530977272497E-2</v>
      </c>
      <c r="X76" s="7">
        <f t="shared" si="20"/>
        <v>5.5044391017301186E-2</v>
      </c>
      <c r="Y76" s="7">
        <f t="shared" si="21"/>
        <v>1.7671056370601856E-3</v>
      </c>
      <c r="Z76" s="7">
        <f t="shared" si="22"/>
        <v>6.0374936421228112E-3</v>
      </c>
      <c r="AM76" s="2">
        <v>73</v>
      </c>
      <c r="AN76" s="33">
        <v>1.0427972457947863E-2</v>
      </c>
      <c r="AO76" s="33">
        <v>9.0239735363868419E-4</v>
      </c>
    </row>
    <row r="77" spans="3:41" ht="14.4" x14ac:dyDescent="0.3">
      <c r="C77" s="24">
        <v>46000</v>
      </c>
      <c r="D77" s="25">
        <v>5103.3999999999996</v>
      </c>
      <c r="E77" s="26">
        <v>4.1859999999999999</v>
      </c>
      <c r="F77" s="27">
        <v>47560.29</v>
      </c>
      <c r="G77" s="27">
        <v>4251.8</v>
      </c>
      <c r="H77" s="28">
        <v>60.17</v>
      </c>
      <c r="I77" s="28">
        <v>683.04</v>
      </c>
      <c r="J77" s="27">
        <v>92693</v>
      </c>
      <c r="K77" s="27"/>
      <c r="L77" s="31">
        <f t="shared" si="14"/>
        <v>4.5655837284948042E-3</v>
      </c>
      <c r="M77" s="31">
        <f t="shared" si="14"/>
        <v>-5.2556139512661693E-3</v>
      </c>
      <c r="N77" s="31">
        <f t="shared" si="14"/>
        <v>1.0459566163284473E-2</v>
      </c>
      <c r="O77" s="31">
        <f t="shared" si="14"/>
        <v>-2.7752951691049077E-3</v>
      </c>
      <c r="P77" s="31">
        <f t="shared" si="15"/>
        <v>3.4901113511716098E-3</v>
      </c>
      <c r="Q77" s="31">
        <f t="shared" si="15"/>
        <v>6.6321152494730473E-3</v>
      </c>
      <c r="R77" s="31">
        <f t="shared" si="15"/>
        <v>-7.5183670827354554E-3</v>
      </c>
      <c r="T77" s="7">
        <f t="shared" si="16"/>
        <v>4.7222143844281262E-3</v>
      </c>
      <c r="U77" s="7">
        <f t="shared" si="17"/>
        <v>-5.3661685542726366E-3</v>
      </c>
      <c r="V77" s="7">
        <f t="shared" si="18"/>
        <v>1.0132082142619349E-2</v>
      </c>
      <c r="W77" s="7">
        <f t="shared" si="19"/>
        <v>-4.5926269058139593E-3</v>
      </c>
      <c r="X77" s="7">
        <f t="shared" si="20"/>
        <v>-2.5980038078177127E-4</v>
      </c>
      <c r="Y77" s="7">
        <f t="shared" si="21"/>
        <v>6.072185093814032E-3</v>
      </c>
      <c r="Z77" s="7">
        <f t="shared" si="22"/>
        <v>-7.0387177405339882E-3</v>
      </c>
      <c r="AM77" s="2">
        <v>74</v>
      </c>
      <c r="AN77" s="33">
        <v>1.3800611680231218E-2</v>
      </c>
      <c r="AO77" s="33">
        <v>1.3901685956042296E-3</v>
      </c>
    </row>
    <row r="78" spans="3:41" ht="14.4" x14ac:dyDescent="0.3">
      <c r="C78" s="24">
        <v>45999</v>
      </c>
      <c r="D78" s="25">
        <v>5108.3</v>
      </c>
      <c r="E78" s="26">
        <v>4.1719999999999997</v>
      </c>
      <c r="F78" s="27">
        <v>47739.32</v>
      </c>
      <c r="G78" s="27">
        <v>4233.3</v>
      </c>
      <c r="H78" s="28">
        <v>57.78</v>
      </c>
      <c r="I78" s="28">
        <v>683.63</v>
      </c>
      <c r="J78" s="27">
        <v>90636.2</v>
      </c>
      <c r="K78" s="27"/>
      <c r="L78" s="31">
        <f t="shared" si="14"/>
        <v>-9.5922322494779166E-4</v>
      </c>
      <c r="M78" s="31">
        <f t="shared" si="14"/>
        <v>3.3557046979866278E-3</v>
      </c>
      <c r="N78" s="31">
        <f t="shared" si="14"/>
        <v>-3.7501581505559045E-3</v>
      </c>
      <c r="O78" s="31">
        <f t="shared" si="14"/>
        <v>4.3701131504971791E-3</v>
      </c>
      <c r="P78" s="31">
        <f t="shared" si="15"/>
        <v>4.1363793700242235E-2</v>
      </c>
      <c r="Q78" s="31">
        <f t="shared" si="15"/>
        <v>-8.630399485102247E-4</v>
      </c>
      <c r="R78" s="31">
        <f t="shared" si="15"/>
        <v>2.2692919606073447E-2</v>
      </c>
      <c r="T78" s="7">
        <f t="shared" si="16"/>
        <v>-8.0259256901446942E-4</v>
      </c>
      <c r="U78" s="7">
        <f t="shared" si="17"/>
        <v>3.2451500949801609E-3</v>
      </c>
      <c r="V78" s="7">
        <f t="shared" si="18"/>
        <v>-4.0776421712210272E-3</v>
      </c>
      <c r="W78" s="7">
        <f t="shared" si="19"/>
        <v>2.5527814137881275E-3</v>
      </c>
      <c r="X78" s="7">
        <f t="shared" si="20"/>
        <v>3.7613881968288854E-2</v>
      </c>
      <c r="Y78" s="7">
        <f t="shared" si="21"/>
        <v>-1.42297010416924E-3</v>
      </c>
      <c r="Z78" s="7">
        <f t="shared" si="22"/>
        <v>2.3172568948274914E-2</v>
      </c>
      <c r="AM78" s="2">
        <v>75</v>
      </c>
      <c r="AN78" s="33">
        <v>1.1381684138637474E-2</v>
      </c>
      <c r="AO78" s="33">
        <v>7.7457855110089793E-4</v>
      </c>
    </row>
    <row r="79" spans="3:41" ht="14.4" x14ac:dyDescent="0.3">
      <c r="C79" s="24">
        <v>45996</v>
      </c>
      <c r="D79" s="25">
        <v>5149.1000000000004</v>
      </c>
      <c r="E79" s="26">
        <v>4.1390000000000002</v>
      </c>
      <c r="F79" s="27">
        <v>47954.99</v>
      </c>
      <c r="G79" s="27">
        <v>4258.5</v>
      </c>
      <c r="H79" s="28">
        <v>58.42</v>
      </c>
      <c r="I79" s="28">
        <v>685.69</v>
      </c>
      <c r="J79" s="27">
        <v>89333.6</v>
      </c>
      <c r="K79" s="27"/>
      <c r="L79" s="31">
        <f t="shared" si="14"/>
        <v>-7.9237148239498234E-3</v>
      </c>
      <c r="M79" s="31">
        <f t="shared" si="14"/>
        <v>7.9729403237496221E-3</v>
      </c>
      <c r="N79" s="31">
        <f t="shared" si="14"/>
        <v>-4.497342195254328E-3</v>
      </c>
      <c r="O79" s="31">
        <f t="shared" si="14"/>
        <v>-5.9175766114828443E-3</v>
      </c>
      <c r="P79" s="31">
        <f t="shared" si="15"/>
        <v>-1.095515234508726E-2</v>
      </c>
      <c r="Q79" s="31">
        <f t="shared" si="15"/>
        <v>-3.0042730680045482E-3</v>
      </c>
      <c r="R79" s="31">
        <f t="shared" si="15"/>
        <v>1.4581299757314037E-2</v>
      </c>
      <c r="T79" s="7">
        <f t="shared" si="16"/>
        <v>-7.7670841680165014E-3</v>
      </c>
      <c r="U79" s="7">
        <f t="shared" si="17"/>
        <v>7.8623857207431556E-3</v>
      </c>
      <c r="V79" s="7">
        <f t="shared" si="18"/>
        <v>-4.8248262159194507E-3</v>
      </c>
      <c r="W79" s="7">
        <f t="shared" si="19"/>
        <v>-7.7349083481918959E-3</v>
      </c>
      <c r="X79" s="7">
        <f t="shared" si="20"/>
        <v>-1.4705064077040642E-2</v>
      </c>
      <c r="Y79" s="7">
        <f t="shared" si="21"/>
        <v>-3.5642032236635635E-3</v>
      </c>
      <c r="Z79" s="7">
        <f t="shared" si="22"/>
        <v>1.5060949099515504E-2</v>
      </c>
      <c r="AM79" s="2">
        <v>76</v>
      </c>
      <c r="AN79" s="33">
        <v>9.5577128956815267E-3</v>
      </c>
      <c r="AO79" s="33">
        <v>5.0687274940223103E-4</v>
      </c>
    </row>
    <row r="80" spans="3:41" ht="14.4" x14ac:dyDescent="0.3">
      <c r="C80" s="24">
        <v>45995</v>
      </c>
      <c r="D80" s="25">
        <v>5164.5</v>
      </c>
      <c r="E80" s="26">
        <v>4.1079999999999997</v>
      </c>
      <c r="F80" s="27">
        <v>47850.94</v>
      </c>
      <c r="G80" s="27">
        <v>4258.1000000000004</v>
      </c>
      <c r="H80" s="28">
        <v>56.85</v>
      </c>
      <c r="I80" s="28">
        <v>684.39</v>
      </c>
      <c r="J80" s="27">
        <v>92082.8</v>
      </c>
      <c r="K80" s="27"/>
      <c r="L80" s="31">
        <f t="shared" si="14"/>
        <v>-2.9818956336526981E-3</v>
      </c>
      <c r="M80" s="31">
        <f t="shared" si="14"/>
        <v>7.5462512171373675E-3</v>
      </c>
      <c r="N80" s="31">
        <f t="shared" si="14"/>
        <v>2.1744609405791593E-3</v>
      </c>
      <c r="O80" s="31">
        <f t="shared" si="14"/>
        <v>9.3938611117616588E-5</v>
      </c>
      <c r="P80" s="31">
        <f t="shared" si="15"/>
        <v>2.7616534740545262E-2</v>
      </c>
      <c r="Q80" s="31">
        <f t="shared" si="15"/>
        <v>1.8995017460805563E-3</v>
      </c>
      <c r="R80" s="31">
        <f t="shared" si="15"/>
        <v>-2.985573853097423E-2</v>
      </c>
      <c r="T80" s="7">
        <f t="shared" si="16"/>
        <v>-2.825264977719376E-3</v>
      </c>
      <c r="U80" s="7">
        <f t="shared" si="17"/>
        <v>7.4356966141309001E-3</v>
      </c>
      <c r="V80" s="7">
        <f t="shared" si="18"/>
        <v>1.8469769199140364E-3</v>
      </c>
      <c r="W80" s="7">
        <f t="shared" si="19"/>
        <v>-1.7233931255914348E-3</v>
      </c>
      <c r="X80" s="7">
        <f t="shared" si="20"/>
        <v>2.3866623008591881E-2</v>
      </c>
      <c r="Y80" s="7">
        <f t="shared" si="21"/>
        <v>1.339571590421541E-3</v>
      </c>
      <c r="Z80" s="7">
        <f t="shared" si="22"/>
        <v>-2.9376089188772762E-2</v>
      </c>
      <c r="AM80" s="2">
        <v>77</v>
      </c>
      <c r="AN80" s="33">
        <v>1.3028819082388484E-2</v>
      </c>
      <c r="AO80" s="33">
        <v>1.1285854232111394E-3</v>
      </c>
    </row>
    <row r="81" spans="3:41" ht="14.4" x14ac:dyDescent="0.3">
      <c r="C81" s="24">
        <v>45994</v>
      </c>
      <c r="D81" s="25">
        <v>5168.5</v>
      </c>
      <c r="E81" s="26">
        <v>4.0579999999999998</v>
      </c>
      <c r="F81" s="27">
        <v>47882.9</v>
      </c>
      <c r="G81" s="27">
        <v>4248</v>
      </c>
      <c r="H81" s="28">
        <v>57.92</v>
      </c>
      <c r="I81" s="28">
        <v>683.89</v>
      </c>
      <c r="J81" s="27">
        <v>93437.2</v>
      </c>
      <c r="K81" s="27"/>
      <c r="L81" s="31">
        <f t="shared" si="14"/>
        <v>-7.7391893199185713E-4</v>
      </c>
      <c r="M81" s="31">
        <f t="shared" si="14"/>
        <v>1.2321340561853189E-2</v>
      </c>
      <c r="N81" s="31">
        <f t="shared" si="14"/>
        <v>-6.6746166167874765E-4</v>
      </c>
      <c r="O81" s="31">
        <f t="shared" si="14"/>
        <v>2.3775894538606845E-3</v>
      </c>
      <c r="P81" s="31">
        <f t="shared" si="15"/>
        <v>-1.8473756906077332E-2</v>
      </c>
      <c r="Q81" s="31">
        <f t="shared" si="15"/>
        <v>7.3111172849427142E-4</v>
      </c>
      <c r="R81" s="31">
        <f t="shared" si="15"/>
        <v>-1.4495297376205585E-2</v>
      </c>
      <c r="T81" s="7">
        <f t="shared" si="16"/>
        <v>-6.1728827605853488E-4</v>
      </c>
      <c r="U81" s="7">
        <f t="shared" si="17"/>
        <v>1.2210785958846723E-2</v>
      </c>
      <c r="V81" s="7">
        <f t="shared" si="18"/>
        <v>-9.9494568234387054E-4</v>
      </c>
      <c r="W81" s="7">
        <f t="shared" si="19"/>
        <v>5.602577171516332E-4</v>
      </c>
      <c r="X81" s="7">
        <f t="shared" si="20"/>
        <v>-2.2223668638030714E-2</v>
      </c>
      <c r="Y81" s="7">
        <f t="shared" si="21"/>
        <v>1.7118157283525597E-4</v>
      </c>
      <c r="Z81" s="7">
        <f t="shared" si="22"/>
        <v>-1.4015648034004118E-2</v>
      </c>
      <c r="AM81" s="2">
        <v>78</v>
      </c>
      <c r="AN81" s="33">
        <v>1.1388527474719959E-2</v>
      </c>
      <c r="AO81" s="33">
        <v>1.1531746885771372E-3</v>
      </c>
    </row>
    <row r="82" spans="3:41" ht="14.4" x14ac:dyDescent="0.3">
      <c r="C82" s="24">
        <v>45993</v>
      </c>
      <c r="D82" s="25">
        <v>5160</v>
      </c>
      <c r="E82" s="26">
        <v>4.0880000000000001</v>
      </c>
      <c r="F82" s="27">
        <v>47474.46</v>
      </c>
      <c r="G82" s="27">
        <v>4236.3</v>
      </c>
      <c r="H82" s="28">
        <v>57.98</v>
      </c>
      <c r="I82" s="28">
        <v>681.53</v>
      </c>
      <c r="J82" s="27">
        <v>91287.6</v>
      </c>
      <c r="K82" s="27"/>
      <c r="L82" s="31">
        <f t="shared" si="14"/>
        <v>1.6472868217054515E-3</v>
      </c>
      <c r="M82" s="31">
        <f t="shared" si="14"/>
        <v>-7.3385518590998178E-3</v>
      </c>
      <c r="N82" s="31">
        <f t="shared" si="14"/>
        <v>8.6033627344050956E-3</v>
      </c>
      <c r="O82" s="31">
        <f t="shared" si="14"/>
        <v>2.7618440620351681E-3</v>
      </c>
      <c r="P82" s="31">
        <f t="shared" si="15"/>
        <v>-1.0348395998619475E-3</v>
      </c>
      <c r="Q82" s="31">
        <f t="shared" si="15"/>
        <v>3.4627969421743288E-3</v>
      </c>
      <c r="R82" s="31">
        <f t="shared" si="15"/>
        <v>2.3547557390050766E-2</v>
      </c>
      <c r="T82" s="7">
        <f t="shared" si="16"/>
        <v>1.8039174776387737E-3</v>
      </c>
      <c r="U82" s="7">
        <f t="shared" si="17"/>
        <v>-7.4491064621062851E-3</v>
      </c>
      <c r="V82" s="7">
        <f t="shared" si="18"/>
        <v>8.275878713739972E-3</v>
      </c>
      <c r="W82" s="7">
        <f t="shared" si="19"/>
        <v>9.4451232532611674E-4</v>
      </c>
      <c r="X82" s="7">
        <f t="shared" si="20"/>
        <v>-4.784751331815329E-3</v>
      </c>
      <c r="Y82" s="7">
        <f t="shared" si="21"/>
        <v>2.9028667865153134E-3</v>
      </c>
      <c r="Z82" s="7">
        <f t="shared" si="22"/>
        <v>2.4027206732252233E-2</v>
      </c>
      <c r="AM82" s="2">
        <v>79</v>
      </c>
      <c r="AN82" s="33">
        <v>9.8316118653221495E-3</v>
      </c>
      <c r="AO82" s="33">
        <v>9.7039199415860009E-4</v>
      </c>
    </row>
    <row r="83" spans="3:41" ht="14.4" x14ac:dyDescent="0.3">
      <c r="C83" s="24">
        <v>45992</v>
      </c>
      <c r="D83" s="25">
        <v>5179.3999999999996</v>
      </c>
      <c r="E83" s="26">
        <v>4.0960000000000001</v>
      </c>
      <c r="F83" s="27">
        <v>47289.33</v>
      </c>
      <c r="G83" s="27">
        <v>4290.3</v>
      </c>
      <c r="H83" s="28">
        <v>58.42</v>
      </c>
      <c r="I83" s="28">
        <v>680.27</v>
      </c>
      <c r="J83" s="27">
        <v>86309.1</v>
      </c>
      <c r="K83" s="27"/>
      <c r="L83" s="31">
        <f t="shared" si="14"/>
        <v>-3.7456075993357318E-3</v>
      </c>
      <c r="M83" s="31">
        <f t="shared" si="14"/>
        <v>-1.953125E-3</v>
      </c>
      <c r="N83" s="31">
        <f t="shared" si="14"/>
        <v>3.9148366026753312E-3</v>
      </c>
      <c r="O83" s="31">
        <f t="shared" si="14"/>
        <v>-1.2586532410320928E-2</v>
      </c>
      <c r="P83" s="31">
        <f t="shared" si="15"/>
        <v>-7.5316672372476301E-3</v>
      </c>
      <c r="Q83" s="31">
        <f t="shared" si="15"/>
        <v>1.8522057418377535E-3</v>
      </c>
      <c r="R83" s="31">
        <f t="shared" si="15"/>
        <v>5.7682214274045185E-2</v>
      </c>
      <c r="T83" s="7">
        <f t="shared" si="16"/>
        <v>-3.5889769434024098E-3</v>
      </c>
      <c r="U83" s="7">
        <f t="shared" si="17"/>
        <v>-2.0636796030064669E-3</v>
      </c>
      <c r="V83" s="7">
        <f t="shared" si="18"/>
        <v>3.5873525820102085E-3</v>
      </c>
      <c r="W83" s="7">
        <f t="shared" si="19"/>
        <v>-1.4403864147029979E-2</v>
      </c>
      <c r="X83" s="7">
        <f t="shared" si="20"/>
        <v>-1.1281578969201012E-2</v>
      </c>
      <c r="Y83" s="7">
        <f t="shared" si="21"/>
        <v>1.2922755861787382E-3</v>
      </c>
      <c r="Z83" s="7">
        <f t="shared" si="22"/>
        <v>5.8161863616246652E-2</v>
      </c>
      <c r="AM83" s="2">
        <v>80</v>
      </c>
      <c r="AN83" s="33">
        <v>1.0845306611497523E-2</v>
      </c>
      <c r="AO83" s="33">
        <v>6.2351189857513768E-4</v>
      </c>
    </row>
    <row r="84" spans="3:41" ht="14.4" x14ac:dyDescent="0.3">
      <c r="C84" s="24">
        <v>45989</v>
      </c>
      <c r="D84" s="25">
        <v>5245.9</v>
      </c>
      <c r="E84" s="26">
        <v>4.0190000000000001</v>
      </c>
      <c r="F84" s="27">
        <v>47716.42</v>
      </c>
      <c r="G84" s="27">
        <v>4269.8</v>
      </c>
      <c r="H84" s="28">
        <v>56.45</v>
      </c>
      <c r="I84" s="28">
        <v>683.39</v>
      </c>
      <c r="J84" s="27">
        <v>90894.7</v>
      </c>
      <c r="K84" s="27"/>
      <c r="L84" s="31">
        <f t="shared" si="14"/>
        <v>-1.2676566461427008E-2</v>
      </c>
      <c r="M84" s="31">
        <f t="shared" si="14"/>
        <v>1.9158994774819638E-2</v>
      </c>
      <c r="N84" s="31">
        <f t="shared" si="14"/>
        <v>-8.9505876593423128E-3</v>
      </c>
      <c r="O84" s="31">
        <f t="shared" si="14"/>
        <v>4.8011616469154639E-3</v>
      </c>
      <c r="P84" s="31">
        <f t="shared" si="15"/>
        <v>3.4898139946855533E-2</v>
      </c>
      <c r="Q84" s="31">
        <f t="shared" si="15"/>
        <v>-4.5654750581659576E-3</v>
      </c>
      <c r="R84" s="31">
        <f t="shared" si="15"/>
        <v>-5.0449586169490579E-2</v>
      </c>
      <c r="T84" s="7">
        <f t="shared" si="16"/>
        <v>-1.2519935805493685E-2</v>
      </c>
      <c r="U84" s="7">
        <f t="shared" si="17"/>
        <v>1.9048440171813171E-2</v>
      </c>
      <c r="V84" s="7">
        <f t="shared" si="18"/>
        <v>-9.2780716800074364E-3</v>
      </c>
      <c r="W84" s="7">
        <f t="shared" si="19"/>
        <v>2.9838299102064123E-3</v>
      </c>
      <c r="X84" s="7">
        <f t="shared" si="20"/>
        <v>3.1148228214902152E-2</v>
      </c>
      <c r="Y84" s="7">
        <f t="shared" si="21"/>
        <v>-5.1254052138249729E-3</v>
      </c>
      <c r="Z84" s="7">
        <f t="shared" si="22"/>
        <v>-4.9969936827289112E-2</v>
      </c>
      <c r="AM84" s="2">
        <v>81</v>
      </c>
      <c r="AN84" s="33">
        <v>1.4285267380220122E-2</v>
      </c>
      <c r="AO84" s="33">
        <v>1.0833250457211875E-3</v>
      </c>
    </row>
    <row r="85" spans="3:41" ht="14.4" x14ac:dyDescent="0.3">
      <c r="C85" s="24">
        <v>45987</v>
      </c>
      <c r="D85" s="25">
        <v>5240.5</v>
      </c>
      <c r="E85" s="26">
        <v>3.9980000000000002</v>
      </c>
      <c r="F85" s="27">
        <v>47427.12</v>
      </c>
      <c r="G85" s="27">
        <v>4217</v>
      </c>
      <c r="H85" s="28">
        <v>52.92</v>
      </c>
      <c r="I85" s="28">
        <v>679.68</v>
      </c>
      <c r="J85" s="27">
        <v>90496.5</v>
      </c>
      <c r="K85" s="27"/>
      <c r="L85" s="31">
        <f t="shared" si="14"/>
        <v>1.0304360270965152E-3</v>
      </c>
      <c r="M85" s="31">
        <f t="shared" si="14"/>
        <v>5.2526263131564832E-3</v>
      </c>
      <c r="N85" s="31">
        <f t="shared" si="14"/>
        <v>6.0998854663745217E-3</v>
      </c>
      <c r="O85" s="31">
        <f t="shared" si="14"/>
        <v>1.2520749347877613E-2</v>
      </c>
      <c r="P85" s="31">
        <f t="shared" si="15"/>
        <v>6.6704459561602425E-2</v>
      </c>
      <c r="Q85" s="31">
        <f t="shared" si="15"/>
        <v>5.4584510357815752E-3</v>
      </c>
      <c r="R85" s="31">
        <f t="shared" si="15"/>
        <v>4.4001701723270781E-3</v>
      </c>
      <c r="T85" s="7">
        <f t="shared" si="16"/>
        <v>1.1870666830298374E-3</v>
      </c>
      <c r="U85" s="7">
        <f t="shared" si="17"/>
        <v>5.1420717101500158E-3</v>
      </c>
      <c r="V85" s="7">
        <f t="shared" si="18"/>
        <v>5.772401445709399E-3</v>
      </c>
      <c r="W85" s="7">
        <f t="shared" si="19"/>
        <v>1.0703417611168562E-2</v>
      </c>
      <c r="X85" s="7">
        <f t="shared" si="20"/>
        <v>6.2954547829649043E-2</v>
      </c>
      <c r="Y85" s="7">
        <f t="shared" si="21"/>
        <v>4.8985208801225599E-3</v>
      </c>
      <c r="Z85" s="7">
        <f t="shared" si="22"/>
        <v>4.8798195145285453E-3</v>
      </c>
      <c r="AM85" s="2">
        <v>82</v>
      </c>
      <c r="AN85" s="33">
        <v>1.1145248129138649E-2</v>
      </c>
      <c r="AO85" s="33">
        <v>1.0339800482106402E-3</v>
      </c>
    </row>
    <row r="86" spans="3:41" ht="14.4" x14ac:dyDescent="0.3">
      <c r="C86" s="24">
        <v>45986</v>
      </c>
      <c r="D86" s="25">
        <v>5212</v>
      </c>
      <c r="E86" s="26">
        <v>4.0019999999999998</v>
      </c>
      <c r="F86" s="27">
        <v>47112.45</v>
      </c>
      <c r="G86" s="27">
        <v>4177.3</v>
      </c>
      <c r="H86" s="28">
        <v>50.93</v>
      </c>
      <c r="I86" s="28">
        <v>675.02</v>
      </c>
      <c r="J86" s="27">
        <v>87366.8</v>
      </c>
      <c r="K86" s="27"/>
      <c r="L86" s="31">
        <f t="shared" si="14"/>
        <v>5.4681504221028021E-3</v>
      </c>
      <c r="M86" s="31">
        <f t="shared" si="14"/>
        <v>-9.9950024987494057E-4</v>
      </c>
      <c r="N86" s="31">
        <f t="shared" si="14"/>
        <v>6.6791262182290811E-3</v>
      </c>
      <c r="O86" s="31">
        <f t="shared" si="14"/>
        <v>9.5037464390874682E-3</v>
      </c>
      <c r="P86" s="31">
        <f t="shared" si="15"/>
        <v>3.9073237777341507E-2</v>
      </c>
      <c r="Q86" s="31">
        <f t="shared" si="15"/>
        <v>6.9034991555805281E-3</v>
      </c>
      <c r="R86" s="31">
        <f t="shared" si="15"/>
        <v>3.5822532128909401E-2</v>
      </c>
      <c r="T86" s="7">
        <f t="shared" si="16"/>
        <v>5.6247810780361241E-3</v>
      </c>
      <c r="U86" s="7">
        <f t="shared" si="17"/>
        <v>-1.1100548528814075E-3</v>
      </c>
      <c r="V86" s="7">
        <f t="shared" si="18"/>
        <v>6.3516421975639585E-3</v>
      </c>
      <c r="W86" s="7">
        <f t="shared" si="19"/>
        <v>7.6864147023784166E-3</v>
      </c>
      <c r="X86" s="7">
        <f t="shared" si="20"/>
        <v>3.5323326045388126E-2</v>
      </c>
      <c r="Y86" s="7">
        <f t="shared" si="21"/>
        <v>6.3435689999215127E-3</v>
      </c>
      <c r="Z86" s="7">
        <f t="shared" si="22"/>
        <v>3.6302181471110868E-2</v>
      </c>
      <c r="AM86" s="2">
        <v>83</v>
      </c>
      <c r="AN86" s="33">
        <v>1.1306829718106154E-2</v>
      </c>
      <c r="AO86" s="33">
        <v>2.6859150605502925E-4</v>
      </c>
    </row>
    <row r="87" spans="3:41" ht="14.4" x14ac:dyDescent="0.3">
      <c r="C87" s="24">
        <v>45985</v>
      </c>
      <c r="D87" s="25">
        <v>5140.8999999999996</v>
      </c>
      <c r="E87" s="26">
        <v>4.0359999999999996</v>
      </c>
      <c r="F87" s="27">
        <v>46448.27</v>
      </c>
      <c r="G87" s="27">
        <v>4130.8</v>
      </c>
      <c r="H87" s="28">
        <v>50.29</v>
      </c>
      <c r="I87" s="28">
        <v>668.73</v>
      </c>
      <c r="J87" s="27">
        <v>88296.5</v>
      </c>
      <c r="K87" s="27"/>
      <c r="L87" s="31">
        <f t="shared" si="14"/>
        <v>1.3830263183489233E-2</v>
      </c>
      <c r="M87" s="31">
        <f t="shared" si="14"/>
        <v>-8.4241823587709597E-3</v>
      </c>
      <c r="N87" s="31">
        <f t="shared" si="14"/>
        <v>1.4299348501031428E-2</v>
      </c>
      <c r="O87" s="31">
        <f t="shared" si="14"/>
        <v>1.1256899389948671E-2</v>
      </c>
      <c r="P87" s="31">
        <f t="shared" si="15"/>
        <v>1.2726188108967973E-2</v>
      </c>
      <c r="Q87" s="31">
        <f t="shared" si="15"/>
        <v>9.4058887742436426E-3</v>
      </c>
      <c r="R87" s="31">
        <f t="shared" si="15"/>
        <v>-1.0529296178217629E-2</v>
      </c>
      <c r="T87" s="7">
        <f t="shared" si="16"/>
        <v>1.3986893839422556E-2</v>
      </c>
      <c r="U87" s="7">
        <f t="shared" si="17"/>
        <v>-8.5347369617774262E-3</v>
      </c>
      <c r="V87" s="7">
        <f t="shared" si="18"/>
        <v>1.3971864480366305E-2</v>
      </c>
      <c r="W87" s="7">
        <f t="shared" si="19"/>
        <v>9.4395676532396198E-3</v>
      </c>
      <c r="X87" s="7">
        <f t="shared" si="20"/>
        <v>8.9762763770145915E-3</v>
      </c>
      <c r="Y87" s="7">
        <f t="shared" si="21"/>
        <v>8.8459586185846272E-3</v>
      </c>
      <c r="Z87" s="7">
        <f t="shared" si="22"/>
        <v>-1.0049646836016161E-2</v>
      </c>
      <c r="AM87" s="2">
        <v>84</v>
      </c>
      <c r="AN87" s="33">
        <v>1.4811665888267395E-2</v>
      </c>
      <c r="AO87" s="33">
        <v>1.4086931428313665E-3</v>
      </c>
    </row>
    <row r="88" spans="3:41" ht="14.4" x14ac:dyDescent="0.3">
      <c r="C88" s="24">
        <v>45982</v>
      </c>
      <c r="D88" s="25">
        <v>5104</v>
      </c>
      <c r="E88" s="26">
        <v>4.0629999999999997</v>
      </c>
      <c r="F88" s="27">
        <v>46245.41</v>
      </c>
      <c r="G88" s="27">
        <v>4116</v>
      </c>
      <c r="H88" s="28">
        <v>49.87</v>
      </c>
      <c r="I88" s="28">
        <v>659.03</v>
      </c>
      <c r="J88" s="27">
        <v>85131</v>
      </c>
      <c r="K88" s="27"/>
      <c r="L88" s="31">
        <f t="shared" si="14"/>
        <v>7.2296238244513589E-3</v>
      </c>
      <c r="M88" s="31">
        <f t="shared" si="14"/>
        <v>-6.6453359586512439E-3</v>
      </c>
      <c r="N88" s="31">
        <f t="shared" si="14"/>
        <v>4.3865975023249515E-3</v>
      </c>
      <c r="O88" s="31">
        <f t="shared" si="14"/>
        <v>3.5957240038873017E-3</v>
      </c>
      <c r="P88" s="31">
        <f t="shared" si="15"/>
        <v>8.4218969320233317E-3</v>
      </c>
      <c r="Q88" s="31">
        <f t="shared" si="15"/>
        <v>1.4718601581111601E-2</v>
      </c>
      <c r="R88" s="31">
        <f t="shared" si="15"/>
        <v>3.7183869565728056E-2</v>
      </c>
      <c r="T88" s="7">
        <f t="shared" si="16"/>
        <v>7.3862544803846809E-3</v>
      </c>
      <c r="U88" s="7">
        <f t="shared" si="17"/>
        <v>-6.7558905616577113E-3</v>
      </c>
      <c r="V88" s="7">
        <f t="shared" si="18"/>
        <v>4.0591134816598288E-3</v>
      </c>
      <c r="W88" s="7">
        <f t="shared" si="19"/>
        <v>1.7783922671782504E-3</v>
      </c>
      <c r="X88" s="7">
        <f t="shared" si="20"/>
        <v>4.6719852000699502E-3</v>
      </c>
      <c r="Y88" s="7">
        <f t="shared" si="21"/>
        <v>1.4158671425452586E-2</v>
      </c>
      <c r="Z88" s="7">
        <f t="shared" si="22"/>
        <v>3.7663518907929523E-2</v>
      </c>
      <c r="AM88" s="2">
        <v>85</v>
      </c>
      <c r="AN88" s="33">
        <v>1.3883207104044346E-2</v>
      </c>
      <c r="AO88" s="33">
        <v>9.4258664233594206E-4</v>
      </c>
    </row>
    <row r="89" spans="3:41" ht="14.4" x14ac:dyDescent="0.3">
      <c r="C89" s="24">
        <v>45981</v>
      </c>
      <c r="D89" s="25">
        <v>4994.5</v>
      </c>
      <c r="E89" s="26">
        <v>4.1040000000000001</v>
      </c>
      <c r="F89" s="27">
        <v>45752.26</v>
      </c>
      <c r="G89" s="27">
        <v>4095.7</v>
      </c>
      <c r="H89" s="28">
        <v>50.25</v>
      </c>
      <c r="I89" s="28">
        <v>652.53</v>
      </c>
      <c r="J89" s="27">
        <v>86613.9</v>
      </c>
      <c r="K89" s="27"/>
      <c r="L89" s="31">
        <f t="shared" si="14"/>
        <v>2.1924116528180937E-2</v>
      </c>
      <c r="M89" s="31">
        <f t="shared" si="14"/>
        <v>-9.9902534113061048E-3</v>
      </c>
      <c r="N89" s="31">
        <f t="shared" si="14"/>
        <v>1.0778702516553329E-2</v>
      </c>
      <c r="O89" s="31">
        <f t="shared" si="14"/>
        <v>4.9564177063750048E-3</v>
      </c>
      <c r="P89" s="31">
        <f t="shared" si="15"/>
        <v>-7.562189054726387E-3</v>
      </c>
      <c r="Q89" s="31">
        <f t="shared" si="15"/>
        <v>9.9612278362679607E-3</v>
      </c>
      <c r="R89" s="31">
        <f t="shared" si="15"/>
        <v>-1.7120808553823252E-2</v>
      </c>
      <c r="T89" s="7">
        <f t="shared" si="16"/>
        <v>2.208074718411426E-2</v>
      </c>
      <c r="U89" s="7">
        <f t="shared" si="17"/>
        <v>-1.0100808014312571E-2</v>
      </c>
      <c r="V89" s="7">
        <f t="shared" si="18"/>
        <v>1.0451218495888205E-2</v>
      </c>
      <c r="W89" s="7">
        <f t="shared" si="19"/>
        <v>3.1390859696659532E-3</v>
      </c>
      <c r="X89" s="7">
        <f t="shared" si="20"/>
        <v>-1.1312100786679768E-2</v>
      </c>
      <c r="Y89" s="7">
        <f t="shared" si="21"/>
        <v>9.4012976806089454E-3</v>
      </c>
      <c r="Z89" s="7">
        <f t="shared" si="22"/>
        <v>-1.6641159211621785E-2</v>
      </c>
      <c r="AM89" s="2">
        <v>86</v>
      </c>
      <c r="AN89" s="33">
        <v>1.0814762240325132E-2</v>
      </c>
      <c r="AO89" s="33">
        <v>4.9517649000509884E-4</v>
      </c>
    </row>
    <row r="90" spans="3:41" ht="14.4" x14ac:dyDescent="0.3">
      <c r="C90" s="24">
        <v>45980</v>
      </c>
      <c r="D90" s="25">
        <v>5032.8999999999996</v>
      </c>
      <c r="E90" s="26">
        <v>4.1310000000000002</v>
      </c>
      <c r="F90" s="27">
        <v>46138.77</v>
      </c>
      <c r="G90" s="27">
        <v>4118.2</v>
      </c>
      <c r="H90" s="28">
        <v>50.79</v>
      </c>
      <c r="I90" s="28">
        <v>662.63</v>
      </c>
      <c r="J90" s="27">
        <v>91544.1</v>
      </c>
      <c r="K90" s="27"/>
      <c r="L90" s="31">
        <f t="shared" si="14"/>
        <v>-7.6297959426969708E-3</v>
      </c>
      <c r="M90" s="31">
        <f t="shared" si="14"/>
        <v>-6.5359477124183885E-3</v>
      </c>
      <c r="N90" s="31">
        <f t="shared" si="14"/>
        <v>-8.377119719489623E-3</v>
      </c>
      <c r="O90" s="31">
        <f t="shared" si="14"/>
        <v>-5.4635520372978696E-3</v>
      </c>
      <c r="P90" s="31">
        <f t="shared" si="15"/>
        <v>-1.0632014176018889E-2</v>
      </c>
      <c r="Q90" s="31">
        <f t="shared" si="15"/>
        <v>-1.5242292078535558E-2</v>
      </c>
      <c r="R90" s="31">
        <f t="shared" si="15"/>
        <v>-5.3856010381881592E-2</v>
      </c>
      <c r="T90" s="7">
        <f t="shared" si="16"/>
        <v>-7.4731652867636488E-3</v>
      </c>
      <c r="U90" s="7">
        <f t="shared" si="17"/>
        <v>-6.6465023154248558E-3</v>
      </c>
      <c r="V90" s="7">
        <f t="shared" si="18"/>
        <v>-8.7046037401547465E-3</v>
      </c>
      <c r="W90" s="7">
        <f t="shared" si="19"/>
        <v>-7.2808837740069212E-3</v>
      </c>
      <c r="X90" s="7">
        <f t="shared" si="20"/>
        <v>-1.4381925907972271E-2</v>
      </c>
      <c r="Y90" s="7">
        <f t="shared" si="21"/>
        <v>-1.5802222234194575E-2</v>
      </c>
      <c r="Z90" s="7">
        <f t="shared" si="22"/>
        <v>-5.3376361039680124E-2</v>
      </c>
      <c r="AM90" s="2">
        <v>87</v>
      </c>
      <c r="AN90" s="33">
        <v>1.001721308758511E-2</v>
      </c>
      <c r="AO90" s="33">
        <v>3.7026450866425138E-4</v>
      </c>
    </row>
    <row r="91" spans="3:41" ht="14.4" x14ac:dyDescent="0.3">
      <c r="C91" s="24">
        <v>45979</v>
      </c>
      <c r="D91" s="25">
        <v>5082.1000000000004</v>
      </c>
      <c r="E91" s="26">
        <v>4.1210000000000004</v>
      </c>
      <c r="F91" s="27">
        <v>46091.74</v>
      </c>
      <c r="G91" s="27">
        <v>4101.7</v>
      </c>
      <c r="H91" s="28">
        <v>50.45</v>
      </c>
      <c r="I91" s="28">
        <v>660.08</v>
      </c>
      <c r="J91" s="27">
        <v>92962.3</v>
      </c>
      <c r="K91" s="27"/>
      <c r="L91" s="31">
        <f t="shared" si="14"/>
        <v>-9.6810373664431015E-3</v>
      </c>
      <c r="M91" s="31">
        <f t="shared" si="14"/>
        <v>2.4265954865323458E-3</v>
      </c>
      <c r="N91" s="31">
        <f t="shared" si="14"/>
        <v>1.0203563588617737E-3</v>
      </c>
      <c r="O91" s="31">
        <f t="shared" si="14"/>
        <v>4.0227222858815193E-3</v>
      </c>
      <c r="P91" s="31">
        <f t="shared" si="15"/>
        <v>6.7393458870168566E-3</v>
      </c>
      <c r="Q91" s="31">
        <f t="shared" si="15"/>
        <v>3.8631681008360896E-3</v>
      </c>
      <c r="R91" s="31">
        <f t="shared" si="15"/>
        <v>-1.5255646643854481E-2</v>
      </c>
      <c r="T91" s="7">
        <f t="shared" si="16"/>
        <v>-9.5244067105097786E-3</v>
      </c>
      <c r="U91" s="7">
        <f t="shared" si="17"/>
        <v>2.3160408835258789E-3</v>
      </c>
      <c r="V91" s="7">
        <f t="shared" si="18"/>
        <v>6.9287233819665078E-4</v>
      </c>
      <c r="W91" s="7">
        <f t="shared" si="19"/>
        <v>2.2053905491724677E-3</v>
      </c>
      <c r="X91" s="7">
        <f t="shared" si="20"/>
        <v>2.9894341550634755E-3</v>
      </c>
      <c r="Y91" s="7">
        <f t="shared" si="21"/>
        <v>3.3032379451770743E-3</v>
      </c>
      <c r="Z91" s="7">
        <f t="shared" si="22"/>
        <v>-1.4775997301653014E-2</v>
      </c>
      <c r="AM91" s="2">
        <v>88</v>
      </c>
      <c r="AN91" s="33">
        <v>1.3139448110347752E-2</v>
      </c>
      <c r="AO91" s="33">
        <v>7.1397096828382939E-4</v>
      </c>
    </row>
    <row r="92" spans="3:41" ht="14.4" x14ac:dyDescent="0.3">
      <c r="C92" s="24">
        <v>45978</v>
      </c>
      <c r="D92" s="25">
        <v>5071</v>
      </c>
      <c r="E92" s="26">
        <v>4.133</v>
      </c>
      <c r="F92" s="27">
        <v>46590.239999999998</v>
      </c>
      <c r="G92" s="27">
        <v>4109.8</v>
      </c>
      <c r="H92" s="28">
        <v>50.63</v>
      </c>
      <c r="I92" s="28">
        <v>665.67</v>
      </c>
      <c r="J92" s="27">
        <v>92195</v>
      </c>
      <c r="K92" s="27"/>
      <c r="L92" s="31">
        <f t="shared" si="14"/>
        <v>2.1889173732991818E-3</v>
      </c>
      <c r="M92" s="31">
        <f t="shared" si="14"/>
        <v>-2.903459956448029E-3</v>
      </c>
      <c r="N92" s="31">
        <f t="shared" si="14"/>
        <v>-1.0699665852762275E-2</v>
      </c>
      <c r="O92" s="31">
        <f t="shared" si="14"/>
        <v>-1.9708988271935901E-3</v>
      </c>
      <c r="P92" s="31">
        <f t="shared" si="15"/>
        <v>-3.5552044242543879E-3</v>
      </c>
      <c r="Q92" s="31">
        <f t="shared" si="15"/>
        <v>-8.397554343743785E-3</v>
      </c>
      <c r="R92" s="31">
        <f t="shared" si="15"/>
        <v>8.3225771462660525E-3</v>
      </c>
      <c r="T92" s="7">
        <f t="shared" si="16"/>
        <v>2.3455480292325038E-3</v>
      </c>
      <c r="U92" s="7">
        <f t="shared" si="17"/>
        <v>-3.0140145594544959E-3</v>
      </c>
      <c r="V92" s="7">
        <f t="shared" si="18"/>
        <v>-1.1027149873427398E-2</v>
      </c>
      <c r="W92" s="7">
        <f t="shared" si="19"/>
        <v>-3.7882305639026417E-3</v>
      </c>
      <c r="X92" s="7">
        <f t="shared" si="20"/>
        <v>-7.3051161562077693E-3</v>
      </c>
      <c r="Y92" s="7">
        <f t="shared" si="21"/>
        <v>-8.9574844994028003E-3</v>
      </c>
      <c r="Z92" s="7">
        <f t="shared" si="22"/>
        <v>8.8022264884675197E-3</v>
      </c>
      <c r="AM92" s="2">
        <v>89</v>
      </c>
      <c r="AN92" s="33">
        <v>7.800241588713808E-3</v>
      </c>
      <c r="AO92" s="33">
        <v>6.1031919469947465E-4</v>
      </c>
    </row>
    <row r="93" spans="3:41" ht="14.4" x14ac:dyDescent="0.3">
      <c r="C93" s="24">
        <v>45975</v>
      </c>
      <c r="D93" s="25">
        <v>5139.3</v>
      </c>
      <c r="E93" s="26">
        <v>4.1479999999999997</v>
      </c>
      <c r="F93" s="27">
        <v>47147.48</v>
      </c>
      <c r="G93" s="27">
        <v>4129.5</v>
      </c>
      <c r="H93" s="28">
        <v>50.59</v>
      </c>
      <c r="I93" s="28">
        <v>671.93</v>
      </c>
      <c r="J93" s="27">
        <v>94554.3</v>
      </c>
      <c r="K93" s="27"/>
      <c r="L93" s="31">
        <f t="shared" si="14"/>
        <v>-1.3289747631000326E-2</v>
      </c>
      <c r="M93" s="31">
        <f t="shared" si="14"/>
        <v>-3.6162005785920215E-3</v>
      </c>
      <c r="N93" s="31">
        <f t="shared" si="14"/>
        <v>-1.1819083437757505E-2</v>
      </c>
      <c r="O93" s="31">
        <f t="shared" si="14"/>
        <v>-4.7705533357549346E-3</v>
      </c>
      <c r="P93" s="31">
        <f t="shared" si="15"/>
        <v>7.9067009290367807E-4</v>
      </c>
      <c r="Q93" s="31">
        <f t="shared" si="15"/>
        <v>-9.3164466536692636E-3</v>
      </c>
      <c r="R93" s="31">
        <f t="shared" si="15"/>
        <v>-2.4951800182540618E-2</v>
      </c>
      <c r="T93" s="7">
        <f t="shared" si="16"/>
        <v>-1.3133116975067003E-2</v>
      </c>
      <c r="U93" s="7">
        <f t="shared" si="17"/>
        <v>-3.7267551815984884E-3</v>
      </c>
      <c r="V93" s="7">
        <f t="shared" si="18"/>
        <v>-1.2146567458422628E-2</v>
      </c>
      <c r="W93" s="7">
        <f t="shared" si="19"/>
        <v>-6.5878850724639861E-3</v>
      </c>
      <c r="X93" s="7">
        <f t="shared" si="20"/>
        <v>-2.959241639049703E-3</v>
      </c>
      <c r="Y93" s="7">
        <f t="shared" si="21"/>
        <v>-9.876376809328279E-3</v>
      </c>
      <c r="Z93" s="7">
        <f t="shared" si="22"/>
        <v>-2.4472150840339151E-2</v>
      </c>
      <c r="AM93" s="2">
        <v>90</v>
      </c>
      <c r="AN93" s="33">
        <v>1.2968725202059635E-2</v>
      </c>
      <c r="AO93" s="33">
        <v>1.0487265661919402E-3</v>
      </c>
    </row>
    <row r="94" spans="3:41" ht="14.4" x14ac:dyDescent="0.3">
      <c r="C94" s="24">
        <v>45974</v>
      </c>
      <c r="D94" s="25">
        <v>5144.3999999999996</v>
      </c>
      <c r="E94" s="26">
        <v>4.1109999999999998</v>
      </c>
      <c r="F94" s="27">
        <v>47457.22</v>
      </c>
      <c r="G94" s="27">
        <v>4230.8</v>
      </c>
      <c r="H94" s="28">
        <v>53.07</v>
      </c>
      <c r="I94" s="28">
        <v>672.04</v>
      </c>
      <c r="J94" s="27">
        <v>99728.7</v>
      </c>
      <c r="K94" s="27"/>
      <c r="L94" s="31">
        <f t="shared" si="14"/>
        <v>-9.9136925588982905E-4</v>
      </c>
      <c r="M94" s="31">
        <f t="shared" si="14"/>
        <v>9.0002432498175189E-3</v>
      </c>
      <c r="N94" s="31">
        <f t="shared" si="14"/>
        <v>-6.5267202756502662E-3</v>
      </c>
      <c r="O94" s="31">
        <f t="shared" si="14"/>
        <v>-2.3943462229365609E-2</v>
      </c>
      <c r="P94" s="31">
        <f t="shared" si="15"/>
        <v>-4.6730732994158641E-2</v>
      </c>
      <c r="Q94" s="31">
        <f t="shared" si="15"/>
        <v>-1.636807332896506E-4</v>
      </c>
      <c r="R94" s="31">
        <f t="shared" si="15"/>
        <v>-5.1884763363003739E-2</v>
      </c>
      <c r="T94" s="7">
        <f t="shared" si="16"/>
        <v>-8.347385999565068E-4</v>
      </c>
      <c r="U94" s="7">
        <f t="shared" si="17"/>
        <v>8.8896886468110524E-3</v>
      </c>
      <c r="V94" s="7">
        <f t="shared" si="18"/>
        <v>-6.8542042963153889E-3</v>
      </c>
      <c r="W94" s="7">
        <f t="shared" si="19"/>
        <v>-2.5760793966074658E-2</v>
      </c>
      <c r="X94" s="7">
        <f t="shared" si="20"/>
        <v>-5.0480644726112023E-2</v>
      </c>
      <c r="Y94" s="7">
        <f t="shared" si="21"/>
        <v>-7.2361088894866605E-4</v>
      </c>
      <c r="Z94" s="7">
        <f t="shared" si="22"/>
        <v>-5.1405114020802271E-2</v>
      </c>
      <c r="AM94" s="2">
        <v>91</v>
      </c>
      <c r="AN94" s="33">
        <v>1.2073613406141721E-2</v>
      </c>
      <c r="AO94" s="33">
        <v>8.3354620351150269E-4</v>
      </c>
    </row>
    <row r="95" spans="3:41" ht="14.4" x14ac:dyDescent="0.3">
      <c r="C95" s="24">
        <v>45973</v>
      </c>
      <c r="D95" s="25">
        <v>5228.1000000000004</v>
      </c>
      <c r="E95" s="26">
        <v>4.0670000000000002</v>
      </c>
      <c r="F95" s="27">
        <v>48254.82</v>
      </c>
      <c r="G95" s="27">
        <v>4248.8</v>
      </c>
      <c r="H95" s="28">
        <v>53.33</v>
      </c>
      <c r="I95" s="28">
        <v>683.38</v>
      </c>
      <c r="J95" s="27">
        <v>101658.3</v>
      </c>
      <c r="K95" s="27"/>
      <c r="L95" s="31">
        <f t="shared" si="14"/>
        <v>-1.6009640213461962E-2</v>
      </c>
      <c r="M95" s="31">
        <f t="shared" si="14"/>
        <v>1.0818785345463322E-2</v>
      </c>
      <c r="N95" s="31">
        <f t="shared" si="14"/>
        <v>-1.6528918769150858E-2</v>
      </c>
      <c r="O95" s="31">
        <f t="shared" si="14"/>
        <v>-4.2364903031444356E-3</v>
      </c>
      <c r="P95" s="31">
        <f t="shared" si="15"/>
        <v>-4.8753047065440702E-3</v>
      </c>
      <c r="Q95" s="31">
        <f t="shared" si="15"/>
        <v>-1.6593988703210605E-2</v>
      </c>
      <c r="R95" s="31">
        <f t="shared" si="15"/>
        <v>-1.8981234193371388E-2</v>
      </c>
      <c r="T95" s="7">
        <f t="shared" si="16"/>
        <v>-1.5853009557528639E-2</v>
      </c>
      <c r="U95" s="7">
        <f t="shared" si="17"/>
        <v>1.0708230742456856E-2</v>
      </c>
      <c r="V95" s="7">
        <f t="shared" si="18"/>
        <v>-1.6856402789815979E-2</v>
      </c>
      <c r="W95" s="7">
        <f t="shared" si="19"/>
        <v>-6.0538220398534872E-3</v>
      </c>
      <c r="X95" s="7">
        <f t="shared" si="20"/>
        <v>-8.6252164384974517E-3</v>
      </c>
      <c r="Y95" s="7">
        <f t="shared" si="21"/>
        <v>-1.7153918858869622E-2</v>
      </c>
      <c r="Z95" s="7">
        <f t="shared" si="22"/>
        <v>-1.8501584851169921E-2</v>
      </c>
      <c r="AM95" s="2">
        <v>92</v>
      </c>
      <c r="AN95" s="33">
        <v>1.3222663176081673E-2</v>
      </c>
      <c r="AO95" s="33">
        <v>9.819428046213502E-4</v>
      </c>
    </row>
    <row r="96" spans="3:41" ht="14.4" x14ac:dyDescent="0.3">
      <c r="C96" s="24">
        <v>45972</v>
      </c>
      <c r="D96" s="25">
        <v>5241.5</v>
      </c>
      <c r="E96" s="26">
        <v>4.069</v>
      </c>
      <c r="F96" s="27">
        <v>47927.96</v>
      </c>
      <c r="G96" s="27">
        <v>4150.8</v>
      </c>
      <c r="H96" s="28">
        <v>50.62</v>
      </c>
      <c r="I96" s="28">
        <v>683</v>
      </c>
      <c r="J96" s="27">
        <v>103046.7</v>
      </c>
      <c r="K96" s="27"/>
      <c r="L96" s="31">
        <f t="shared" si="14"/>
        <v>-2.5565200801296317E-3</v>
      </c>
      <c r="M96" s="31">
        <f t="shared" si="14"/>
        <v>-4.9152125829432514E-4</v>
      </c>
      <c r="N96" s="31">
        <f t="shared" si="14"/>
        <v>6.8198187446326664E-3</v>
      </c>
      <c r="O96" s="31">
        <f t="shared" si="14"/>
        <v>2.36099065240436E-2</v>
      </c>
      <c r="P96" s="31">
        <f t="shared" si="15"/>
        <v>5.3536151718688307E-2</v>
      </c>
      <c r="Q96" s="31">
        <f t="shared" si="15"/>
        <v>5.5636896046862283E-4</v>
      </c>
      <c r="R96" s="31">
        <f t="shared" si="15"/>
        <v>-1.3473502790482317E-2</v>
      </c>
      <c r="T96" s="7">
        <f t="shared" si="16"/>
        <v>-2.3998894241963097E-3</v>
      </c>
      <c r="U96" s="7">
        <f t="shared" si="17"/>
        <v>-6.0207586130079217E-4</v>
      </c>
      <c r="V96" s="7">
        <f t="shared" si="18"/>
        <v>6.4923347239675437E-3</v>
      </c>
      <c r="W96" s="7">
        <f t="shared" si="19"/>
        <v>2.179257478733455E-2</v>
      </c>
      <c r="X96" s="7">
        <f t="shared" si="20"/>
        <v>4.9786239986734926E-2</v>
      </c>
      <c r="Y96" s="7">
        <f t="shared" si="21"/>
        <v>-3.5611951903926188E-6</v>
      </c>
      <c r="Z96" s="7">
        <f t="shared" si="22"/>
        <v>-1.299385344828085E-2</v>
      </c>
      <c r="AM96" s="2">
        <v>93</v>
      </c>
      <c r="AN96" s="33">
        <v>1.3153162262658408E-2</v>
      </c>
      <c r="AO96" s="33">
        <v>9.3388190742391196E-4</v>
      </c>
    </row>
    <row r="97" spans="3:41" ht="14.4" x14ac:dyDescent="0.3">
      <c r="C97" s="24">
        <v>45971</v>
      </c>
      <c r="D97" s="25">
        <v>5169.3</v>
      </c>
      <c r="E97" s="26">
        <v>4.1100000000000003</v>
      </c>
      <c r="F97" s="27">
        <v>47368.63</v>
      </c>
      <c r="G97" s="27">
        <v>4156.3</v>
      </c>
      <c r="H97" s="28">
        <v>50.18</v>
      </c>
      <c r="I97" s="28">
        <v>681.44</v>
      </c>
      <c r="J97" s="27">
        <v>106006.9</v>
      </c>
      <c r="K97" s="27"/>
      <c r="L97" s="31">
        <f t="shared" si="14"/>
        <v>1.3967074845723682E-2</v>
      </c>
      <c r="M97" s="31">
        <f t="shared" si="14"/>
        <v>-9.9756690997567787E-3</v>
      </c>
      <c r="N97" s="31">
        <f t="shared" si="14"/>
        <v>1.180802569126449E-2</v>
      </c>
      <c r="O97" s="31">
        <f t="shared" si="14"/>
        <v>-1.3232923513701866E-3</v>
      </c>
      <c r="P97" s="31">
        <f t="shared" si="15"/>
        <v>8.7684336389000084E-3</v>
      </c>
      <c r="Q97" s="31">
        <f t="shared" si="15"/>
        <v>2.2892697816387919E-3</v>
      </c>
      <c r="R97" s="31">
        <f t="shared" si="15"/>
        <v>-2.7924597361115189E-2</v>
      </c>
      <c r="T97" s="7">
        <f t="shared" si="16"/>
        <v>1.4123705501657004E-2</v>
      </c>
      <c r="U97" s="7">
        <f t="shared" si="17"/>
        <v>-1.0086223702763245E-2</v>
      </c>
      <c r="V97" s="7">
        <f t="shared" si="18"/>
        <v>1.1480541670599366E-2</v>
      </c>
      <c r="W97" s="7">
        <f t="shared" si="19"/>
        <v>-3.1406240880792382E-3</v>
      </c>
      <c r="X97" s="7">
        <f t="shared" si="20"/>
        <v>5.0185219069466269E-3</v>
      </c>
      <c r="Y97" s="7">
        <f t="shared" si="21"/>
        <v>1.7293396259797766E-3</v>
      </c>
      <c r="Z97" s="7">
        <f t="shared" si="22"/>
        <v>-2.7444948018913722E-2</v>
      </c>
      <c r="AM97" s="2">
        <v>94</v>
      </c>
      <c r="AN97" s="33">
        <v>1.3633874006431785E-2</v>
      </c>
      <c r="AO97" s="33">
        <v>1.1976897126454661E-3</v>
      </c>
    </row>
    <row r="98" spans="3:41" ht="14.4" x14ac:dyDescent="0.3">
      <c r="C98" s="24">
        <v>45968</v>
      </c>
      <c r="D98" s="25">
        <v>5147.8</v>
      </c>
      <c r="E98" s="26">
        <v>4.093</v>
      </c>
      <c r="F98" s="27">
        <v>46987.1</v>
      </c>
      <c r="G98" s="27">
        <v>4043.3</v>
      </c>
      <c r="H98" s="28">
        <v>48.02</v>
      </c>
      <c r="I98" s="28">
        <v>670.97</v>
      </c>
      <c r="J98" s="27">
        <v>103325.4</v>
      </c>
      <c r="K98" s="27"/>
      <c r="L98" s="31">
        <f t="shared" si="14"/>
        <v>4.1765414351762065E-3</v>
      </c>
      <c r="M98" s="31">
        <f t="shared" si="14"/>
        <v>4.1534326899586027E-3</v>
      </c>
      <c r="N98" s="31">
        <f t="shared" si="14"/>
        <v>8.1198882246402704E-3</v>
      </c>
      <c r="O98" s="31">
        <f t="shared" si="14"/>
        <v>2.7947468651843721E-2</v>
      </c>
      <c r="P98" s="31">
        <f t="shared" si="15"/>
        <v>4.4981257809246111E-2</v>
      </c>
      <c r="Q98" s="31">
        <f t="shared" si="15"/>
        <v>1.5604274408691943E-2</v>
      </c>
      <c r="R98" s="31">
        <f t="shared" si="15"/>
        <v>2.5951992443290717E-2</v>
      </c>
      <c r="T98" s="7">
        <f t="shared" si="16"/>
        <v>4.3331720911095285E-3</v>
      </c>
      <c r="U98" s="7">
        <f t="shared" si="17"/>
        <v>4.0428780869521353E-3</v>
      </c>
      <c r="V98" s="7">
        <f t="shared" si="18"/>
        <v>7.7924042039751477E-3</v>
      </c>
      <c r="W98" s="7">
        <f t="shared" si="19"/>
        <v>2.6130136915134671E-2</v>
      </c>
      <c r="X98" s="7">
        <f t="shared" si="20"/>
        <v>4.123134607729273E-2</v>
      </c>
      <c r="Y98" s="7">
        <f t="shared" si="21"/>
        <v>1.5044344253032927E-2</v>
      </c>
      <c r="Z98" s="7">
        <f t="shared" si="22"/>
        <v>2.6431641785492184E-2</v>
      </c>
      <c r="AM98" s="2">
        <v>95</v>
      </c>
      <c r="AN98" s="33">
        <v>9.6227221521786293E-3</v>
      </c>
      <c r="AO98" s="33">
        <v>5.5358986839108588E-4</v>
      </c>
    </row>
    <row r="99" spans="3:41" ht="14.4" x14ac:dyDescent="0.3">
      <c r="C99" s="24">
        <v>45967</v>
      </c>
      <c r="D99" s="25">
        <v>5066.5</v>
      </c>
      <c r="E99" s="26">
        <v>4.093</v>
      </c>
      <c r="F99" s="27">
        <v>46912.3</v>
      </c>
      <c r="G99" s="27">
        <v>4024.2</v>
      </c>
      <c r="H99" s="28">
        <v>47.79</v>
      </c>
      <c r="I99" s="28">
        <v>670.31</v>
      </c>
      <c r="J99" s="27">
        <v>101325.7</v>
      </c>
      <c r="K99" s="27"/>
      <c r="L99" s="31">
        <f t="shared" si="14"/>
        <v>1.6046580479621042E-2</v>
      </c>
      <c r="M99" s="31">
        <f t="shared" si="14"/>
        <v>0</v>
      </c>
      <c r="N99" s="31">
        <f t="shared" si="14"/>
        <v>1.5944645647303357E-3</v>
      </c>
      <c r="O99" s="31">
        <f t="shared" si="14"/>
        <v>4.7462849758959091E-3</v>
      </c>
      <c r="P99" s="31">
        <f t="shared" si="15"/>
        <v>4.8127223268465968E-3</v>
      </c>
      <c r="Q99" s="31">
        <f t="shared" si="15"/>
        <v>9.8461905685431894E-4</v>
      </c>
      <c r="R99" s="31">
        <f t="shared" si="15"/>
        <v>1.9735368223461558E-2</v>
      </c>
      <c r="T99" s="7">
        <f t="shared" si="16"/>
        <v>1.6203211135554365E-2</v>
      </c>
      <c r="U99" s="7">
        <f t="shared" si="17"/>
        <v>-1.1055460300646704E-4</v>
      </c>
      <c r="V99" s="7">
        <f t="shared" si="18"/>
        <v>1.2669805440652128E-3</v>
      </c>
      <c r="W99" s="7">
        <f t="shared" si="19"/>
        <v>2.9289532391868576E-3</v>
      </c>
      <c r="X99" s="7">
        <f t="shared" si="20"/>
        <v>1.0628105948932158E-3</v>
      </c>
      <c r="Y99" s="7">
        <f t="shared" si="21"/>
        <v>4.2468890119530349E-4</v>
      </c>
      <c r="Z99" s="7">
        <f t="shared" si="22"/>
        <v>2.0215017565663025E-2</v>
      </c>
      <c r="AM99" s="2">
        <v>96</v>
      </c>
      <c r="AN99" s="33">
        <v>9.5494731047982579E-3</v>
      </c>
      <c r="AO99" s="33">
        <v>5.8826786808107931E-4</v>
      </c>
    </row>
    <row r="100" spans="3:41" ht="14.4" x14ac:dyDescent="0.3">
      <c r="C100" s="24">
        <v>45966</v>
      </c>
      <c r="D100" s="25">
        <v>5112.8999999999996</v>
      </c>
      <c r="E100" s="26">
        <v>4.157</v>
      </c>
      <c r="F100" s="27">
        <v>47311</v>
      </c>
      <c r="G100" s="27">
        <v>4026.2</v>
      </c>
      <c r="H100" s="28">
        <v>47.86</v>
      </c>
      <c r="I100" s="28">
        <v>677.58</v>
      </c>
      <c r="J100" s="27">
        <v>103896.7</v>
      </c>
      <c r="K100" s="27"/>
      <c r="L100" s="31">
        <f t="shared" si="14"/>
        <v>-9.0750845899586485E-3</v>
      </c>
      <c r="M100" s="31">
        <f t="shared" si="14"/>
        <v>-1.5395718065912889E-2</v>
      </c>
      <c r="N100" s="31">
        <f t="shared" si="14"/>
        <v>-8.4272156580921243E-3</v>
      </c>
      <c r="O100" s="31">
        <f t="shared" si="14"/>
        <v>-4.967463116586357E-4</v>
      </c>
      <c r="P100" s="31">
        <f t="shared" si="15"/>
        <v>-1.4625992478061178E-3</v>
      </c>
      <c r="Q100" s="31">
        <f t="shared" si="15"/>
        <v>-1.0729360370731245E-2</v>
      </c>
      <c r="R100" s="31">
        <f t="shared" si="15"/>
        <v>-2.4745733021356742E-2</v>
      </c>
      <c r="T100" s="7">
        <f t="shared" si="16"/>
        <v>-8.9184539340253256E-3</v>
      </c>
      <c r="U100" s="7">
        <f t="shared" si="17"/>
        <v>-1.5506272668919355E-2</v>
      </c>
      <c r="V100" s="7">
        <f t="shared" si="18"/>
        <v>-8.7546996787572478E-3</v>
      </c>
      <c r="W100" s="7">
        <f t="shared" si="19"/>
        <v>-2.3140780483676873E-3</v>
      </c>
      <c r="X100" s="7">
        <f t="shared" si="20"/>
        <v>-5.2125109797594993E-3</v>
      </c>
      <c r="Y100" s="7">
        <f t="shared" si="21"/>
        <v>-1.128929052639026E-2</v>
      </c>
      <c r="Z100" s="7">
        <f t="shared" si="22"/>
        <v>-2.4266083679155274E-2</v>
      </c>
      <c r="AM100" s="2">
        <v>97</v>
      </c>
      <c r="AN100" s="33">
        <v>1.502150145984109E-2</v>
      </c>
      <c r="AO100" s="33">
        <v>1.3205736332101681E-3</v>
      </c>
    </row>
    <row r="101" spans="3:41" ht="14.4" x14ac:dyDescent="0.3">
      <c r="C101" s="24">
        <v>45965</v>
      </c>
      <c r="D101" s="25">
        <v>5100</v>
      </c>
      <c r="E101" s="26">
        <v>4.0910000000000002</v>
      </c>
      <c r="F101" s="27">
        <v>47085.24</v>
      </c>
      <c r="G101" s="27">
        <v>3993.4</v>
      </c>
      <c r="H101" s="28">
        <v>47.13</v>
      </c>
      <c r="I101" s="28">
        <v>675.24</v>
      </c>
      <c r="J101" s="27">
        <v>101504.3</v>
      </c>
      <c r="K101" s="27"/>
      <c r="L101" s="31">
        <f t="shared" si="14"/>
        <v>2.5294117647058911E-3</v>
      </c>
      <c r="M101" s="31">
        <f t="shared" si="14"/>
        <v>1.6132974822781643E-2</v>
      </c>
      <c r="N101" s="31">
        <f t="shared" si="14"/>
        <v>4.7947084903889881E-3</v>
      </c>
      <c r="O101" s="31">
        <f t="shared" si="14"/>
        <v>8.2135523613962036E-3</v>
      </c>
      <c r="P101" s="31">
        <f t="shared" si="15"/>
        <v>1.5489072777424173E-2</v>
      </c>
      <c r="Q101" s="31">
        <f t="shared" si="15"/>
        <v>3.4654345121734043E-3</v>
      </c>
      <c r="R101" s="31">
        <f t="shared" si="15"/>
        <v>2.3569444841252896E-2</v>
      </c>
      <c r="T101" s="7">
        <f t="shared" si="16"/>
        <v>2.6860424206392132E-3</v>
      </c>
      <c r="U101" s="7">
        <f t="shared" si="17"/>
        <v>1.6022420219775176E-2</v>
      </c>
      <c r="V101" s="7">
        <f t="shared" si="18"/>
        <v>4.4672244697238654E-3</v>
      </c>
      <c r="W101" s="7">
        <f t="shared" si="19"/>
        <v>6.396220624687152E-3</v>
      </c>
      <c r="X101" s="7">
        <f t="shared" si="20"/>
        <v>1.1739161045470792E-2</v>
      </c>
      <c r="Y101" s="7">
        <f t="shared" si="21"/>
        <v>2.9055043565143889E-3</v>
      </c>
      <c r="Z101" s="7">
        <f t="shared" si="22"/>
        <v>2.4049094183454363E-2</v>
      </c>
      <c r="AM101" s="2">
        <v>98</v>
      </c>
      <c r="AN101" s="33">
        <v>1.0930203271678905E-2</v>
      </c>
      <c r="AO101" s="33">
        <v>1.1305943376869142E-3</v>
      </c>
    </row>
    <row r="102" spans="3:41" ht="14.4" x14ac:dyDescent="0.3">
      <c r="C102" s="24">
        <v>45964</v>
      </c>
      <c r="D102" s="25">
        <v>5113.8999999999996</v>
      </c>
      <c r="E102" s="26">
        <v>4.1070000000000002</v>
      </c>
      <c r="F102" s="27">
        <v>47336.68</v>
      </c>
      <c r="G102" s="27">
        <v>4047.4</v>
      </c>
      <c r="H102" s="28">
        <v>47.89</v>
      </c>
      <c r="I102" s="28">
        <v>683.34</v>
      </c>
      <c r="J102" s="27">
        <v>106578.1</v>
      </c>
      <c r="K102" s="27"/>
      <c r="L102" s="31">
        <f t="shared" si="14"/>
        <v>-2.718082089989915E-3</v>
      </c>
      <c r="M102" s="31">
        <f t="shared" si="14"/>
        <v>-3.8957876795714386E-3</v>
      </c>
      <c r="N102" s="31">
        <f t="shared" si="14"/>
        <v>-5.3117371137985092E-3</v>
      </c>
      <c r="O102" s="31">
        <f t="shared" si="14"/>
        <v>-1.3341898502742477E-2</v>
      </c>
      <c r="P102" s="31">
        <f t="shared" si="15"/>
        <v>-1.5869701399039426E-2</v>
      </c>
      <c r="Q102" s="31">
        <f t="shared" si="15"/>
        <v>-1.1853542892264479E-2</v>
      </c>
      <c r="R102" s="31">
        <f t="shared" si="15"/>
        <v>-4.7606403191650104E-2</v>
      </c>
      <c r="T102" s="7">
        <f t="shared" si="16"/>
        <v>-2.5614514340565929E-3</v>
      </c>
      <c r="U102" s="7">
        <f t="shared" si="17"/>
        <v>-4.0063422825779059E-3</v>
      </c>
      <c r="V102" s="7">
        <f t="shared" si="18"/>
        <v>-5.6392211344636319E-3</v>
      </c>
      <c r="W102" s="7">
        <f t="shared" si="19"/>
        <v>-1.5159230239451529E-2</v>
      </c>
      <c r="X102" s="7">
        <f t="shared" si="20"/>
        <v>-1.9619613130992808E-2</v>
      </c>
      <c r="Y102" s="7">
        <f t="shared" si="21"/>
        <v>-1.2413473047923495E-2</v>
      </c>
      <c r="Z102" s="7">
        <f t="shared" si="22"/>
        <v>-4.7126753849448637E-2</v>
      </c>
      <c r="AM102" s="2">
        <v>99</v>
      </c>
      <c r="AN102" s="33">
        <v>1.3275505506804765E-2</v>
      </c>
      <c r="AO102" s="33">
        <v>1.3661998568199607E-3</v>
      </c>
    </row>
    <row r="103" spans="3:41" ht="14.4" x14ac:dyDescent="0.3">
      <c r="C103" s="24">
        <v>45961</v>
      </c>
      <c r="D103" s="25">
        <v>5132</v>
      </c>
      <c r="E103" s="26">
        <v>4.101</v>
      </c>
      <c r="F103" s="27">
        <v>47562.87</v>
      </c>
      <c r="G103" s="27">
        <v>4029.5</v>
      </c>
      <c r="H103" s="28">
        <v>47.99</v>
      </c>
      <c r="I103" s="28">
        <v>682.06</v>
      </c>
      <c r="J103" s="27">
        <v>109602.8</v>
      </c>
      <c r="K103" s="27"/>
      <c r="L103" s="31">
        <f t="shared" si="14"/>
        <v>-3.5268901013251197E-3</v>
      </c>
      <c r="M103" s="31">
        <f t="shared" si="14"/>
        <v>1.4630577907828179E-3</v>
      </c>
      <c r="N103" s="31">
        <f t="shared" si="14"/>
        <v>-4.7556003243707234E-3</v>
      </c>
      <c r="O103" s="31">
        <f t="shared" si="14"/>
        <v>4.4422384911280144E-3</v>
      </c>
      <c r="P103" s="31">
        <f t="shared" si="15"/>
        <v>-2.0837674515524762E-3</v>
      </c>
      <c r="Q103" s="31">
        <f t="shared" si="15"/>
        <v>1.8766677418409206E-3</v>
      </c>
      <c r="R103" s="31">
        <f t="shared" si="15"/>
        <v>-2.7596922706354166E-2</v>
      </c>
      <c r="T103" s="7">
        <f t="shared" si="16"/>
        <v>-3.3702594453917977E-3</v>
      </c>
      <c r="U103" s="7">
        <f t="shared" si="17"/>
        <v>1.352503187776351E-3</v>
      </c>
      <c r="V103" s="7">
        <f t="shared" si="18"/>
        <v>-5.0830843450358461E-3</v>
      </c>
      <c r="W103" s="7">
        <f t="shared" si="19"/>
        <v>2.6249067544189628E-3</v>
      </c>
      <c r="X103" s="7">
        <f t="shared" si="20"/>
        <v>-5.8336791835058577E-3</v>
      </c>
      <c r="Y103" s="7">
        <f t="shared" si="21"/>
        <v>1.3167375861819052E-3</v>
      </c>
      <c r="Z103" s="7">
        <f t="shared" si="22"/>
        <v>-2.7117273364152698E-2</v>
      </c>
      <c r="AM103" s="2">
        <v>100</v>
      </c>
      <c r="AN103" s="33">
        <v>1.4044449212510506E-2</v>
      </c>
      <c r="AO103" s="33">
        <v>1.225080747152596E-3</v>
      </c>
    </row>
    <row r="104" spans="3:41" ht="14.4" x14ac:dyDescent="0.3">
      <c r="C104" s="24">
        <v>45960</v>
      </c>
      <c r="D104" s="25">
        <v>5115.8</v>
      </c>
      <c r="E104" s="26">
        <v>4.093</v>
      </c>
      <c r="F104" s="27">
        <v>47522.12</v>
      </c>
      <c r="G104" s="27">
        <v>4049.3</v>
      </c>
      <c r="H104" s="28">
        <v>48.43</v>
      </c>
      <c r="I104" s="28">
        <v>679.83</v>
      </c>
      <c r="J104" s="27">
        <v>108320.1</v>
      </c>
      <c r="K104" s="27"/>
      <c r="L104" s="31">
        <f t="shared" si="14"/>
        <v>3.166660150905054E-3</v>
      </c>
      <c r="M104" s="31">
        <f t="shared" si="14"/>
        <v>1.9545565599805581E-3</v>
      </c>
      <c r="N104" s="31">
        <f t="shared" si="14"/>
        <v>8.5749541476687341E-4</v>
      </c>
      <c r="O104" s="31">
        <f t="shared" si="14"/>
        <v>-4.889734028103665E-3</v>
      </c>
      <c r="P104" s="31">
        <f t="shared" si="15"/>
        <v>-9.0852777204212254E-3</v>
      </c>
      <c r="Q104" s="31">
        <f t="shared" si="15"/>
        <v>3.2802318226614613E-3</v>
      </c>
      <c r="R104" s="31">
        <f t="shared" si="15"/>
        <v>1.1841754208129496E-2</v>
      </c>
      <c r="T104" s="7">
        <f t="shared" si="16"/>
        <v>3.3232908068383761E-3</v>
      </c>
      <c r="U104" s="7">
        <f t="shared" si="17"/>
        <v>1.8440019569740912E-3</v>
      </c>
      <c r="V104" s="7">
        <f t="shared" si="18"/>
        <v>5.3001139410175052E-4</v>
      </c>
      <c r="W104" s="7">
        <f t="shared" si="19"/>
        <v>-6.7070657648127165E-3</v>
      </c>
      <c r="X104" s="7">
        <f t="shared" si="20"/>
        <v>-1.2835189452374607E-2</v>
      </c>
      <c r="Y104" s="7">
        <f t="shared" si="21"/>
        <v>2.720301667002446E-3</v>
      </c>
      <c r="Z104" s="7">
        <f t="shared" si="22"/>
        <v>1.2321403550330963E-2</v>
      </c>
      <c r="AM104" s="2">
        <v>101</v>
      </c>
      <c r="AN104" s="33">
        <v>9.4718622271185767E-3</v>
      </c>
      <c r="AO104" s="33">
        <v>7.2259649198292818E-4</v>
      </c>
    </row>
    <row r="105" spans="3:41" ht="14.4" x14ac:dyDescent="0.3">
      <c r="C105" s="24">
        <v>45959</v>
      </c>
      <c r="D105" s="25">
        <v>5113.2</v>
      </c>
      <c r="E105" s="26">
        <v>4.0579999999999998</v>
      </c>
      <c r="F105" s="27">
        <v>47632</v>
      </c>
      <c r="G105" s="27">
        <v>4017.6</v>
      </c>
      <c r="H105" s="28">
        <v>47.72</v>
      </c>
      <c r="I105" s="28">
        <v>687.39</v>
      </c>
      <c r="J105" s="27">
        <v>110024.6</v>
      </c>
      <c r="K105" s="27"/>
      <c r="L105" s="31">
        <f t="shared" si="14"/>
        <v>5.0848783540646814E-4</v>
      </c>
      <c r="M105" s="31">
        <f t="shared" si="14"/>
        <v>8.6249383932972545E-3</v>
      </c>
      <c r="N105" s="31">
        <f t="shared" si="14"/>
        <v>-2.3068525361100711E-3</v>
      </c>
      <c r="O105" s="31">
        <f t="shared" si="14"/>
        <v>7.8902827558742228E-3</v>
      </c>
      <c r="P105" s="31">
        <f t="shared" si="15"/>
        <v>1.4878457669740275E-2</v>
      </c>
      <c r="Q105" s="31">
        <f t="shared" si="15"/>
        <v>-1.0998123336097287E-2</v>
      </c>
      <c r="R105" s="31">
        <f t="shared" si="15"/>
        <v>-1.5491989973151488E-2</v>
      </c>
      <c r="T105" s="7">
        <f t="shared" si="16"/>
        <v>6.6511849133979038E-4</v>
      </c>
      <c r="U105" s="7">
        <f t="shared" si="17"/>
        <v>8.514383790290788E-3</v>
      </c>
      <c r="V105" s="7">
        <f t="shared" si="18"/>
        <v>-2.6343365567751938E-3</v>
      </c>
      <c r="W105" s="7">
        <f t="shared" si="19"/>
        <v>6.0729510191651712E-3</v>
      </c>
      <c r="X105" s="7">
        <f t="shared" si="20"/>
        <v>1.1128545937786893E-2</v>
      </c>
      <c r="Y105" s="7">
        <f t="shared" si="21"/>
        <v>-1.1558053491756303E-2</v>
      </c>
      <c r="Z105" s="7">
        <f t="shared" si="22"/>
        <v>-1.501234063095002E-2</v>
      </c>
      <c r="AM105" s="2">
        <v>102</v>
      </c>
      <c r="AN105" s="33">
        <v>7.3050306359728557E-3</v>
      </c>
      <c r="AO105" s="33">
        <v>6.2464419469264692E-4</v>
      </c>
    </row>
    <row r="106" spans="3:41" ht="14.4" x14ac:dyDescent="0.3">
      <c r="C106" s="24">
        <v>45958</v>
      </c>
      <c r="D106" s="25">
        <v>5243.5</v>
      </c>
      <c r="E106" s="26">
        <v>3.9830000000000001</v>
      </c>
      <c r="F106" s="27">
        <v>47706.37</v>
      </c>
      <c r="G106" s="27">
        <v>4000.2</v>
      </c>
      <c r="H106" s="28">
        <v>47.13</v>
      </c>
      <c r="I106" s="28">
        <v>687.06</v>
      </c>
      <c r="J106" s="27">
        <v>112905.8</v>
      </c>
      <c r="K106" s="27"/>
      <c r="L106" s="31">
        <f t="shared" si="14"/>
        <v>-2.4849814055497355E-2</v>
      </c>
      <c r="M106" s="31">
        <f t="shared" si="14"/>
        <v>1.8830027617373846E-2</v>
      </c>
      <c r="N106" s="31">
        <f t="shared" si="14"/>
        <v>-1.5589113151975864E-3</v>
      </c>
      <c r="O106" s="31">
        <f t="shared" si="14"/>
        <v>4.3497825108744781E-3</v>
      </c>
      <c r="P106" s="31">
        <f t="shared" si="15"/>
        <v>1.2518565669424886E-2</v>
      </c>
      <c r="Q106" s="31">
        <f t="shared" si="15"/>
        <v>4.8030739673388112E-4</v>
      </c>
      <c r="R106" s="31">
        <f t="shared" si="15"/>
        <v>-2.5518618175505603E-2</v>
      </c>
      <c r="T106" s="7">
        <f t="shared" si="16"/>
        <v>-2.4693183399564032E-2</v>
      </c>
      <c r="U106" s="7">
        <f t="shared" si="17"/>
        <v>1.8719473014367379E-2</v>
      </c>
      <c r="V106" s="7">
        <f t="shared" si="18"/>
        <v>-1.8863953358627093E-3</v>
      </c>
      <c r="W106" s="7">
        <f t="shared" si="19"/>
        <v>2.5324507741654265E-3</v>
      </c>
      <c r="X106" s="7">
        <f t="shared" si="20"/>
        <v>8.7686539374715045E-3</v>
      </c>
      <c r="Y106" s="7">
        <f t="shared" si="21"/>
        <v>-7.9622758925134329E-5</v>
      </c>
      <c r="Z106" s="7">
        <f t="shared" si="22"/>
        <v>-2.5038968833304136E-2</v>
      </c>
      <c r="AM106" s="2">
        <v>103</v>
      </c>
      <c r="AN106" s="33">
        <v>1.0974330297214833E-2</v>
      </c>
      <c r="AO106" s="33">
        <v>8.0070470121484526E-4</v>
      </c>
    </row>
    <row r="107" spans="3:41" ht="14.4" x14ac:dyDescent="0.3">
      <c r="C107" s="24">
        <v>45957</v>
      </c>
      <c r="D107" s="25">
        <v>5351</v>
      </c>
      <c r="E107" s="26">
        <v>3.9969999999999999</v>
      </c>
      <c r="F107" s="27">
        <v>47544.59</v>
      </c>
      <c r="G107" s="27">
        <v>4036.8</v>
      </c>
      <c r="H107" s="28">
        <v>46.56</v>
      </c>
      <c r="I107" s="28">
        <v>685.24</v>
      </c>
      <c r="J107" s="27">
        <v>114108</v>
      </c>
      <c r="K107" s="27"/>
      <c r="L107" s="31">
        <f t="shared" si="14"/>
        <v>-2.0089702859278691E-2</v>
      </c>
      <c r="M107" s="31">
        <f t="shared" si="14"/>
        <v>-3.5026269702276291E-3</v>
      </c>
      <c r="N107" s="31">
        <f t="shared" si="14"/>
        <v>3.4027004965235808E-3</v>
      </c>
      <c r="O107" s="31">
        <f t="shared" si="14"/>
        <v>-9.0665873959573373E-3</v>
      </c>
      <c r="P107" s="31">
        <f t="shared" si="15"/>
        <v>1.224226804123707E-2</v>
      </c>
      <c r="Q107" s="31">
        <f t="shared" si="15"/>
        <v>2.656003735917345E-3</v>
      </c>
      <c r="R107" s="31">
        <f t="shared" si="15"/>
        <v>-1.0535632909173698E-2</v>
      </c>
      <c r="T107" s="7">
        <f t="shared" si="16"/>
        <v>-1.9933072203345368E-2</v>
      </c>
      <c r="U107" s="7">
        <f t="shared" si="17"/>
        <v>-3.6131815732340961E-3</v>
      </c>
      <c r="V107" s="7">
        <f t="shared" si="18"/>
        <v>3.0752164758584581E-3</v>
      </c>
      <c r="W107" s="7">
        <f t="shared" si="19"/>
        <v>-1.0883919132666389E-2</v>
      </c>
      <c r="X107" s="7">
        <f t="shared" si="20"/>
        <v>8.4923563092836885E-3</v>
      </c>
      <c r="Y107" s="7">
        <f t="shared" si="21"/>
        <v>2.0960735802583296E-3</v>
      </c>
      <c r="Z107" s="7">
        <f t="shared" si="22"/>
        <v>-1.0055983566972231E-2</v>
      </c>
      <c r="AM107" s="2">
        <v>104</v>
      </c>
      <c r="AN107" s="33">
        <v>9.7783050149925239E-3</v>
      </c>
      <c r="AO107" s="33">
        <v>5.2424757927252267E-4</v>
      </c>
    </row>
    <row r="108" spans="3:41" ht="14.4" x14ac:dyDescent="0.3">
      <c r="C108" s="24">
        <v>45954</v>
      </c>
      <c r="D108" s="25">
        <v>5338.2</v>
      </c>
      <c r="E108" s="26">
        <v>3.9969999999999999</v>
      </c>
      <c r="F108" s="27">
        <v>47207.12</v>
      </c>
      <c r="G108" s="27">
        <v>4155.3999999999996</v>
      </c>
      <c r="H108" s="28">
        <v>48.38</v>
      </c>
      <c r="I108" s="28">
        <v>677.25</v>
      </c>
      <c r="J108" s="27">
        <v>111013.1</v>
      </c>
      <c r="K108" s="27"/>
      <c r="L108" s="31">
        <f t="shared" si="14"/>
        <v>2.3978119965530897E-3</v>
      </c>
      <c r="M108" s="31">
        <f t="shared" si="14"/>
        <v>0</v>
      </c>
      <c r="N108" s="31">
        <f t="shared" si="14"/>
        <v>7.1487097708988756E-3</v>
      </c>
      <c r="O108" s="31">
        <f t="shared" si="14"/>
        <v>-2.8541175338114178E-2</v>
      </c>
      <c r="P108" s="31">
        <f t="shared" si="15"/>
        <v>-3.7618850764778888E-2</v>
      </c>
      <c r="Q108" s="31">
        <f t="shared" si="15"/>
        <v>1.1797711332595107E-2</v>
      </c>
      <c r="R108" s="31">
        <f t="shared" si="15"/>
        <v>2.7878691794031463E-2</v>
      </c>
      <c r="T108" s="7">
        <f t="shared" si="16"/>
        <v>2.5544426524864118E-3</v>
      </c>
      <c r="U108" s="7">
        <f t="shared" si="17"/>
        <v>-1.1055460300646704E-4</v>
      </c>
      <c r="V108" s="7">
        <f t="shared" si="18"/>
        <v>6.8212257502337529E-3</v>
      </c>
      <c r="W108" s="7">
        <f t="shared" si="19"/>
        <v>-3.0358507074823227E-2</v>
      </c>
      <c r="X108" s="7">
        <f t="shared" si="20"/>
        <v>-4.136876249673227E-2</v>
      </c>
      <c r="Y108" s="7">
        <f t="shared" si="21"/>
        <v>1.1237781176936091E-2</v>
      </c>
      <c r="Z108" s="7">
        <f t="shared" si="22"/>
        <v>2.835834113623293E-2</v>
      </c>
      <c r="AM108" s="2">
        <v>105</v>
      </c>
      <c r="AN108" s="33">
        <v>1.3950906233178685E-2</v>
      </c>
      <c r="AO108" s="33">
        <v>1.1307937173401404E-3</v>
      </c>
    </row>
    <row r="109" spans="3:41" ht="14.4" x14ac:dyDescent="0.3">
      <c r="C109" s="24">
        <v>45953</v>
      </c>
      <c r="D109" s="25">
        <v>5295.9</v>
      </c>
      <c r="E109" s="26">
        <v>3.9889999999999999</v>
      </c>
      <c r="F109" s="27">
        <v>46734.61</v>
      </c>
      <c r="G109" s="27">
        <v>4163.3</v>
      </c>
      <c r="H109" s="28">
        <v>48.48</v>
      </c>
      <c r="I109" s="28">
        <v>671.76</v>
      </c>
      <c r="J109" s="27">
        <v>110078.9</v>
      </c>
      <c r="K109" s="27"/>
      <c r="L109" s="31">
        <f t="shared" si="14"/>
        <v>7.9873109386507934E-3</v>
      </c>
      <c r="M109" s="31">
        <f t="shared" si="14"/>
        <v>2.0055151667084381E-3</v>
      </c>
      <c r="N109" s="31">
        <f t="shared" si="14"/>
        <v>1.0110494128441561E-2</v>
      </c>
      <c r="O109" s="31">
        <f t="shared" si="14"/>
        <v>-1.8975332068312811E-3</v>
      </c>
      <c r="P109" s="31">
        <f t="shared" si="15"/>
        <v>-2.0627062706269905E-3</v>
      </c>
      <c r="Q109" s="31">
        <f t="shared" si="15"/>
        <v>8.1725616291532521E-3</v>
      </c>
      <c r="R109" s="31">
        <f t="shared" si="15"/>
        <v>8.4866400372825002E-3</v>
      </c>
      <c r="T109" s="7">
        <f t="shared" si="16"/>
        <v>8.1439415945841163E-3</v>
      </c>
      <c r="U109" s="7">
        <f t="shared" si="17"/>
        <v>1.8949605637019712E-3</v>
      </c>
      <c r="V109" s="7">
        <f t="shared" si="18"/>
        <v>9.7830101077764371E-3</v>
      </c>
      <c r="W109" s="7">
        <f t="shared" si="19"/>
        <v>-3.7148649435403327E-3</v>
      </c>
      <c r="X109" s="7">
        <f t="shared" si="20"/>
        <v>-5.812618002580372E-3</v>
      </c>
      <c r="Y109" s="7">
        <f t="shared" si="21"/>
        <v>7.6126314734942368E-3</v>
      </c>
      <c r="Z109" s="7">
        <f t="shared" si="22"/>
        <v>8.9662893794839674E-3</v>
      </c>
      <c r="AM109" s="2">
        <v>106</v>
      </c>
      <c r="AN109" s="33">
        <v>1.2408317736064623E-2</v>
      </c>
      <c r="AO109" s="33">
        <v>1.0984225832939779E-3</v>
      </c>
    </row>
    <row r="110" spans="3:41" ht="14.4" x14ac:dyDescent="0.3">
      <c r="C110" s="24">
        <v>45952</v>
      </c>
      <c r="D110" s="25">
        <v>5297.4</v>
      </c>
      <c r="E110" s="26">
        <v>3.9529999999999998</v>
      </c>
      <c r="F110" s="27">
        <v>46590.41</v>
      </c>
      <c r="G110" s="27">
        <v>4082.6</v>
      </c>
      <c r="H110" s="28">
        <v>47.46</v>
      </c>
      <c r="I110" s="28">
        <v>667.8</v>
      </c>
      <c r="J110" s="27">
        <v>107587.5</v>
      </c>
      <c r="K110" s="27"/>
      <c r="L110" s="31">
        <f t="shared" si="14"/>
        <v>-2.831577755124659E-4</v>
      </c>
      <c r="M110" s="31">
        <f t="shared" si="14"/>
        <v>9.1070073362002901E-3</v>
      </c>
      <c r="N110" s="31">
        <f t="shared" si="14"/>
        <v>3.0950575451040852E-3</v>
      </c>
      <c r="O110" s="31">
        <f t="shared" si="14"/>
        <v>1.97668152647823E-2</v>
      </c>
      <c r="P110" s="31">
        <f t="shared" si="15"/>
        <v>2.1491782553729299E-2</v>
      </c>
      <c r="Q110" s="31">
        <f t="shared" si="15"/>
        <v>5.9299191374664328E-3</v>
      </c>
      <c r="R110" s="31">
        <f t="shared" si="15"/>
        <v>2.3156965260834106E-2</v>
      </c>
      <c r="T110" s="7">
        <f t="shared" si="16"/>
        <v>-1.2652711957914366E-4</v>
      </c>
      <c r="U110" s="7">
        <f t="shared" si="17"/>
        <v>8.9964527331938236E-3</v>
      </c>
      <c r="V110" s="7">
        <f t="shared" si="18"/>
        <v>2.7675735244389625E-3</v>
      </c>
      <c r="W110" s="7">
        <f t="shared" si="19"/>
        <v>1.7949483528073251E-2</v>
      </c>
      <c r="X110" s="7">
        <f t="shared" si="20"/>
        <v>1.7741870821775918E-2</v>
      </c>
      <c r="Y110" s="7">
        <f t="shared" si="21"/>
        <v>5.3699889818074175E-3</v>
      </c>
      <c r="Z110" s="7">
        <f t="shared" si="22"/>
        <v>2.3636614603035573E-2</v>
      </c>
      <c r="AM110" s="2">
        <v>107</v>
      </c>
      <c r="AN110" s="33">
        <v>8.1882895963542972E-3</v>
      </c>
      <c r="AO110" s="33">
        <v>7.1492345475101713E-4</v>
      </c>
    </row>
    <row r="111" spans="3:41" ht="14.4" x14ac:dyDescent="0.3">
      <c r="C111" s="24">
        <v>45951</v>
      </c>
      <c r="D111" s="25">
        <v>5274.9</v>
      </c>
      <c r="E111" s="26">
        <v>3.9630000000000001</v>
      </c>
      <c r="F111" s="27">
        <v>46924.74</v>
      </c>
      <c r="G111" s="27">
        <v>4125.8</v>
      </c>
      <c r="H111" s="28">
        <v>47.45</v>
      </c>
      <c r="I111" s="28">
        <v>671.29</v>
      </c>
      <c r="J111" s="27">
        <v>108340.9</v>
      </c>
      <c r="K111" s="27"/>
      <c r="L111" s="31">
        <f t="shared" si="14"/>
        <v>4.2654837058522244E-3</v>
      </c>
      <c r="M111" s="31">
        <f t="shared" si="14"/>
        <v>-2.5233409033561527E-3</v>
      </c>
      <c r="N111" s="31">
        <f t="shared" si="14"/>
        <v>-7.1248130517077568E-3</v>
      </c>
      <c r="O111" s="31">
        <f t="shared" si="14"/>
        <v>-1.0470696592176143E-2</v>
      </c>
      <c r="P111" s="31">
        <f t="shared" si="15"/>
        <v>2.1074815595367724E-4</v>
      </c>
      <c r="Q111" s="31">
        <f t="shared" si="15"/>
        <v>-5.1989453142456954E-3</v>
      </c>
      <c r="R111" s="31">
        <f t="shared" si="15"/>
        <v>-6.9539758299957954E-3</v>
      </c>
      <c r="T111" s="7">
        <f t="shared" si="16"/>
        <v>4.4221143617855464E-3</v>
      </c>
      <c r="U111" s="7">
        <f t="shared" si="17"/>
        <v>-2.6338955063626196E-3</v>
      </c>
      <c r="V111" s="7">
        <f t="shared" si="18"/>
        <v>-7.4522970723728795E-3</v>
      </c>
      <c r="W111" s="7">
        <f t="shared" si="19"/>
        <v>-1.2288028328885195E-2</v>
      </c>
      <c r="X111" s="7">
        <f t="shared" si="20"/>
        <v>-3.5391635759997038E-3</v>
      </c>
      <c r="Y111" s="7">
        <f t="shared" si="21"/>
        <v>-5.7588754699047107E-3</v>
      </c>
      <c r="Z111" s="7">
        <f t="shared" si="22"/>
        <v>-6.4743264877943282E-3</v>
      </c>
      <c r="AM111" s="2">
        <v>108</v>
      </c>
      <c r="AN111" s="33">
        <v>1.0721370934499585E-2</v>
      </c>
      <c r="AO111" s="33">
        <v>1.8534466637950945E-4</v>
      </c>
    </row>
    <row r="112" spans="3:41" ht="14.4" x14ac:dyDescent="0.3">
      <c r="C112" s="24">
        <v>45950</v>
      </c>
      <c r="D112" s="25">
        <v>5292.1</v>
      </c>
      <c r="E112" s="26">
        <v>3.988</v>
      </c>
      <c r="F112" s="27">
        <v>46706.58</v>
      </c>
      <c r="G112" s="27">
        <v>4380.1000000000004</v>
      </c>
      <c r="H112" s="28">
        <v>51.12</v>
      </c>
      <c r="I112" s="28">
        <v>671.3</v>
      </c>
      <c r="J112" s="27">
        <v>110544</v>
      </c>
      <c r="K112" s="27"/>
      <c r="L112" s="31">
        <f t="shared" si="14"/>
        <v>-3.2501275486103154E-3</v>
      </c>
      <c r="M112" s="31">
        <f t="shared" si="14"/>
        <v>-6.2688064192577553E-3</v>
      </c>
      <c r="N112" s="31">
        <f t="shared" si="14"/>
        <v>4.6708622211260042E-3</v>
      </c>
      <c r="O112" s="31">
        <f t="shared" si="14"/>
        <v>-5.8058035204675784E-2</v>
      </c>
      <c r="P112" s="31">
        <f t="shared" si="15"/>
        <v>-7.1791862284819929E-2</v>
      </c>
      <c r="Q112" s="31">
        <f t="shared" si="15"/>
        <v>-1.4896469536673784E-5</v>
      </c>
      <c r="R112" s="31">
        <f t="shared" si="15"/>
        <v>-1.9929620784484015E-2</v>
      </c>
      <c r="T112" s="7">
        <f t="shared" si="16"/>
        <v>-3.0934968926769934E-3</v>
      </c>
      <c r="U112" s="7">
        <f t="shared" si="17"/>
        <v>-6.3793610222642226E-3</v>
      </c>
      <c r="V112" s="7">
        <f t="shared" si="18"/>
        <v>4.3433782004608816E-3</v>
      </c>
      <c r="W112" s="7">
        <f t="shared" si="19"/>
        <v>-5.9875366941384837E-2</v>
      </c>
      <c r="X112" s="7">
        <f t="shared" si="20"/>
        <v>-7.5541774016773311E-2</v>
      </c>
      <c r="Y112" s="7">
        <f t="shared" si="21"/>
        <v>-5.7482662519568923E-4</v>
      </c>
      <c r="Z112" s="7">
        <f t="shared" si="22"/>
        <v>-1.9449971442282547E-2</v>
      </c>
      <c r="AM112" s="2">
        <v>109</v>
      </c>
      <c r="AN112" s="33">
        <v>1.015008952856093E-2</v>
      </c>
      <c r="AO112" s="33">
        <v>4.7183724055759518E-4</v>
      </c>
    </row>
    <row r="113" spans="3:41" ht="14.4" x14ac:dyDescent="0.3">
      <c r="C113" s="24">
        <v>45947</v>
      </c>
      <c r="D113" s="25">
        <v>5241.1000000000004</v>
      </c>
      <c r="E113" s="26">
        <v>4.0090000000000003</v>
      </c>
      <c r="F113" s="27">
        <v>46190.61</v>
      </c>
      <c r="G113" s="27">
        <v>4231.8</v>
      </c>
      <c r="H113" s="28">
        <v>49.86</v>
      </c>
      <c r="I113" s="28">
        <v>664.39</v>
      </c>
      <c r="J113" s="27">
        <v>106443.5</v>
      </c>
      <c r="K113" s="27"/>
      <c r="L113" s="31">
        <f t="shared" si="14"/>
        <v>9.730781706130287E-3</v>
      </c>
      <c r="M113" s="31">
        <f t="shared" si="14"/>
        <v>-5.2382140184585868E-3</v>
      </c>
      <c r="N113" s="31">
        <f t="shared" si="14"/>
        <v>1.1170452176318957E-2</v>
      </c>
      <c r="O113" s="31">
        <f t="shared" si="14"/>
        <v>3.5044189233895739E-2</v>
      </c>
      <c r="P113" s="31">
        <f t="shared" si="15"/>
        <v>2.5270758122743597E-2</v>
      </c>
      <c r="Q113" s="31">
        <f t="shared" si="15"/>
        <v>1.0400517768178297E-2</v>
      </c>
      <c r="R113" s="31">
        <f t="shared" si="15"/>
        <v>3.8522784387961639E-2</v>
      </c>
      <c r="T113" s="7">
        <f t="shared" si="16"/>
        <v>9.8874123620636099E-3</v>
      </c>
      <c r="U113" s="7">
        <f t="shared" si="17"/>
        <v>-5.3487686214650542E-3</v>
      </c>
      <c r="V113" s="7">
        <f t="shared" si="18"/>
        <v>1.0842968155653833E-2</v>
      </c>
      <c r="W113" s="7">
        <f t="shared" si="19"/>
        <v>3.3226857497186686E-2</v>
      </c>
      <c r="X113" s="7">
        <f t="shared" si="20"/>
        <v>2.1520846390790216E-2</v>
      </c>
      <c r="Y113" s="7">
        <f t="shared" si="21"/>
        <v>9.8405876125192814E-3</v>
      </c>
      <c r="Z113" s="7">
        <f t="shared" si="22"/>
        <v>3.9002433730163107E-2</v>
      </c>
      <c r="AM113" s="2">
        <v>110</v>
      </c>
      <c r="AN113" s="33">
        <v>1.5404075147548496E-2</v>
      </c>
      <c r="AO113" s="33">
        <v>1.1170993700977893E-3</v>
      </c>
    </row>
    <row r="114" spans="3:41" ht="14.4" x14ac:dyDescent="0.3">
      <c r="C114" s="24">
        <v>45946</v>
      </c>
      <c r="D114" s="25">
        <v>5214.8</v>
      </c>
      <c r="E114" s="26">
        <v>3.976</v>
      </c>
      <c r="F114" s="27">
        <v>45952.24</v>
      </c>
      <c r="G114" s="27">
        <v>4323.2</v>
      </c>
      <c r="H114" s="28">
        <v>53.02</v>
      </c>
      <c r="I114" s="28">
        <v>660.64</v>
      </c>
      <c r="J114" s="27">
        <v>108204.8</v>
      </c>
      <c r="K114" s="27"/>
      <c r="L114" s="31">
        <f t="shared" si="14"/>
        <v>5.0433381913017605E-3</v>
      </c>
      <c r="M114" s="31">
        <f t="shared" si="14"/>
        <v>8.299798792756663E-3</v>
      </c>
      <c r="N114" s="31">
        <f t="shared" si="14"/>
        <v>5.1873423363040239E-3</v>
      </c>
      <c r="O114" s="31">
        <f t="shared" si="14"/>
        <v>-2.114174685418202E-2</v>
      </c>
      <c r="P114" s="31">
        <f t="shared" si="15"/>
        <v>-5.9600150886457981E-2</v>
      </c>
      <c r="Q114" s="31">
        <f t="shared" si="15"/>
        <v>5.6763138774522659E-3</v>
      </c>
      <c r="R114" s="31">
        <f t="shared" si="15"/>
        <v>-1.6277466434021393E-2</v>
      </c>
      <c r="T114" s="7">
        <f t="shared" si="16"/>
        <v>5.1999688472350826E-3</v>
      </c>
      <c r="U114" s="7">
        <f t="shared" si="17"/>
        <v>8.1892441897501965E-3</v>
      </c>
      <c r="V114" s="7">
        <f t="shared" si="18"/>
        <v>4.8598583156389012E-3</v>
      </c>
      <c r="W114" s="7">
        <f t="shared" si="19"/>
        <v>-2.295907859089107E-2</v>
      </c>
      <c r="X114" s="7">
        <f t="shared" si="20"/>
        <v>-6.3350062618411362E-2</v>
      </c>
      <c r="Y114" s="7">
        <f t="shared" si="21"/>
        <v>5.1163837217932506E-3</v>
      </c>
      <c r="Z114" s="7">
        <f t="shared" si="22"/>
        <v>-1.5797817091819925E-2</v>
      </c>
      <c r="AM114" s="2">
        <v>111</v>
      </c>
      <c r="AN114" s="33">
        <v>9.7906541568420994E-3</v>
      </c>
      <c r="AO114" s="33">
        <v>5.7414492005146379E-4</v>
      </c>
    </row>
    <row r="115" spans="3:41" ht="14.4" x14ac:dyDescent="0.3">
      <c r="C115" s="24">
        <v>45945</v>
      </c>
      <c r="D115" s="25">
        <v>5253.7</v>
      </c>
      <c r="E115" s="26">
        <v>4.0449999999999999</v>
      </c>
      <c r="F115" s="27">
        <v>46253.31</v>
      </c>
      <c r="G115" s="27">
        <v>4219.6000000000004</v>
      </c>
      <c r="H115" s="28">
        <v>51.07</v>
      </c>
      <c r="I115" s="28">
        <v>665.17</v>
      </c>
      <c r="J115" s="27">
        <v>110767.4</v>
      </c>
      <c r="K115" s="27"/>
      <c r="L115" s="31">
        <f t="shared" si="14"/>
        <v>-7.40430553704996E-3</v>
      </c>
      <c r="M115" s="31">
        <f t="shared" si="14"/>
        <v>-1.7058096415327517E-2</v>
      </c>
      <c r="N115" s="31">
        <f t="shared" si="14"/>
        <v>-6.5091557771757014E-3</v>
      </c>
      <c r="O115" s="31">
        <f t="shared" si="14"/>
        <v>2.4552090245520741E-2</v>
      </c>
      <c r="P115" s="31">
        <f t="shared" si="15"/>
        <v>3.8182886234580105E-2</v>
      </c>
      <c r="Q115" s="31">
        <f t="shared" si="15"/>
        <v>-6.8102890990272558E-3</v>
      </c>
      <c r="R115" s="31">
        <f t="shared" si="15"/>
        <v>-2.3134965702905297E-2</v>
      </c>
      <c r="T115" s="7">
        <f t="shared" si="16"/>
        <v>-7.2476748811166379E-3</v>
      </c>
      <c r="U115" s="7">
        <f t="shared" si="17"/>
        <v>-1.7168651018333984E-2</v>
      </c>
      <c r="V115" s="7">
        <f t="shared" si="18"/>
        <v>-6.836639797840824E-3</v>
      </c>
      <c r="W115" s="7">
        <f t="shared" si="19"/>
        <v>2.2734758508811691E-2</v>
      </c>
      <c r="X115" s="7">
        <f t="shared" si="20"/>
        <v>3.4432974502626723E-2</v>
      </c>
      <c r="Y115" s="7">
        <f t="shared" si="21"/>
        <v>-7.3702192546862711E-3</v>
      </c>
      <c r="Z115" s="7">
        <f t="shared" si="22"/>
        <v>-2.265531636070383E-2</v>
      </c>
      <c r="AM115" s="2">
        <v>112</v>
      </c>
      <c r="AN115" s="33">
        <v>9.5395026057079821E-3</v>
      </c>
      <c r="AO115" s="33">
        <v>6.25396548672942E-4</v>
      </c>
    </row>
    <row r="116" spans="3:41" ht="14.4" x14ac:dyDescent="0.3">
      <c r="C116" s="24">
        <v>45944</v>
      </c>
      <c r="D116" s="25">
        <v>5203.3</v>
      </c>
      <c r="E116" s="26">
        <v>4.0220000000000002</v>
      </c>
      <c r="F116" s="27">
        <v>46270.46</v>
      </c>
      <c r="G116" s="27">
        <v>4181</v>
      </c>
      <c r="H116" s="28">
        <v>50.31</v>
      </c>
      <c r="I116" s="28">
        <v>662.23</v>
      </c>
      <c r="J116" s="27">
        <v>113030.8</v>
      </c>
      <c r="K116" s="27"/>
      <c r="L116" s="31">
        <f t="shared" si="14"/>
        <v>9.6861607057059373E-3</v>
      </c>
      <c r="M116" s="31">
        <f t="shared" si="14"/>
        <v>5.7185479860764055E-3</v>
      </c>
      <c r="N116" s="31">
        <f t="shared" si="14"/>
        <v>-3.7064684466070474E-4</v>
      </c>
      <c r="O116" s="31">
        <f t="shared" si="14"/>
        <v>9.2322410906482411E-3</v>
      </c>
      <c r="P116" s="31">
        <f t="shared" si="15"/>
        <v>1.5106340687736086E-2</v>
      </c>
      <c r="Q116" s="31">
        <f t="shared" si="15"/>
        <v>4.4395451731271685E-3</v>
      </c>
      <c r="R116" s="31">
        <f t="shared" si="15"/>
        <v>-2.0024630454708037E-2</v>
      </c>
      <c r="T116" s="7">
        <f t="shared" si="16"/>
        <v>9.8427913616392602E-3</v>
      </c>
      <c r="U116" s="7">
        <f t="shared" si="17"/>
        <v>5.6079933830699381E-3</v>
      </c>
      <c r="V116" s="7">
        <f t="shared" si="18"/>
        <v>-6.9813086532582763E-4</v>
      </c>
      <c r="W116" s="7">
        <f t="shared" si="19"/>
        <v>7.4149093539391895E-3</v>
      </c>
      <c r="X116" s="7">
        <f t="shared" si="20"/>
        <v>1.1356428955782705E-2</v>
      </c>
      <c r="Y116" s="7">
        <f t="shared" si="21"/>
        <v>3.8796150174681531E-3</v>
      </c>
      <c r="Z116" s="7">
        <f t="shared" si="22"/>
        <v>-1.9544981112506569E-2</v>
      </c>
      <c r="AM116" s="2">
        <v>113</v>
      </c>
      <c r="AN116" s="33">
        <v>1.1766142419719509E-2</v>
      </c>
      <c r="AO116" s="33">
        <v>5.1311051607954932E-4</v>
      </c>
    </row>
    <row r="117" spans="3:41" ht="14.4" x14ac:dyDescent="0.3">
      <c r="C117" s="24">
        <v>45943</v>
      </c>
      <c r="D117" s="25">
        <v>5143.2</v>
      </c>
      <c r="E117" s="26">
        <v>4.0549999999999997</v>
      </c>
      <c r="F117" s="27">
        <v>46067.58</v>
      </c>
      <c r="G117" s="27">
        <v>4150.3</v>
      </c>
      <c r="H117" s="28">
        <v>50.13</v>
      </c>
      <c r="I117" s="28">
        <v>663.04</v>
      </c>
      <c r="J117" s="27">
        <v>115174.8</v>
      </c>
      <c r="K117" s="27"/>
      <c r="L117" s="31">
        <f t="shared" si="14"/>
        <v>1.1685332088971823E-2</v>
      </c>
      <c r="M117" s="31">
        <f t="shared" si="14"/>
        <v>-8.1381011097408917E-3</v>
      </c>
      <c r="N117" s="31">
        <f t="shared" si="14"/>
        <v>4.4039647839109186E-3</v>
      </c>
      <c r="O117" s="31">
        <f t="shared" si="14"/>
        <v>7.3970556345324123E-3</v>
      </c>
      <c r="P117" s="31">
        <f t="shared" si="15"/>
        <v>3.5906642728904536E-3</v>
      </c>
      <c r="Q117" s="31">
        <f t="shared" si="15"/>
        <v>-1.2216457528956282E-3</v>
      </c>
      <c r="R117" s="31">
        <f t="shared" si="15"/>
        <v>-1.8615183182432271E-2</v>
      </c>
      <c r="T117" s="7">
        <f t="shared" si="16"/>
        <v>1.1841962744905146E-2</v>
      </c>
      <c r="U117" s="7">
        <f t="shared" si="17"/>
        <v>-8.2486557127473582E-3</v>
      </c>
      <c r="V117" s="7">
        <f t="shared" si="18"/>
        <v>4.0764807632457959E-3</v>
      </c>
      <c r="W117" s="7">
        <f t="shared" si="19"/>
        <v>5.5797238978233608E-3</v>
      </c>
      <c r="X117" s="7">
        <f t="shared" si="20"/>
        <v>-1.5924745906292738E-4</v>
      </c>
      <c r="Y117" s="7">
        <f t="shared" si="21"/>
        <v>-1.7815759085546435E-3</v>
      </c>
      <c r="Z117" s="7">
        <f t="shared" si="22"/>
        <v>-1.8135533840230804E-2</v>
      </c>
      <c r="AM117" s="2">
        <v>114</v>
      </c>
      <c r="AN117" s="33">
        <v>1.4582451606413051E-2</v>
      </c>
      <c r="AO117" s="33">
        <v>1.1342895327606714E-3</v>
      </c>
    </row>
    <row r="118" spans="3:41" ht="14.4" x14ac:dyDescent="0.3">
      <c r="C118" s="24">
        <v>45940</v>
      </c>
      <c r="D118" s="25">
        <v>5119.8</v>
      </c>
      <c r="E118" s="26">
        <v>4.0510000000000002</v>
      </c>
      <c r="F118" s="27">
        <v>45479.6</v>
      </c>
      <c r="G118" s="27">
        <v>4017.2</v>
      </c>
      <c r="H118" s="28">
        <v>46.94</v>
      </c>
      <c r="I118" s="28">
        <v>653.02</v>
      </c>
      <c r="J118" s="27">
        <v>112878.6</v>
      </c>
      <c r="K118" s="27"/>
      <c r="L118" s="31">
        <f t="shared" si="14"/>
        <v>4.5704910348058903E-3</v>
      </c>
      <c r="M118" s="31">
        <f t="shared" si="14"/>
        <v>9.8741051592199369E-4</v>
      </c>
      <c r="N118" s="31">
        <f t="shared" si="14"/>
        <v>1.2928433847263499E-2</v>
      </c>
      <c r="O118" s="31">
        <f t="shared" si="14"/>
        <v>3.3132530120482118E-2</v>
      </c>
      <c r="P118" s="31">
        <f t="shared" si="15"/>
        <v>6.7959096719216072E-2</v>
      </c>
      <c r="Q118" s="31">
        <f t="shared" si="15"/>
        <v>1.5344093595908159E-2</v>
      </c>
      <c r="R118" s="31">
        <f t="shared" si="15"/>
        <v>2.0342208354816593E-2</v>
      </c>
      <c r="T118" s="7">
        <f t="shared" si="16"/>
        <v>4.7271216907392123E-3</v>
      </c>
      <c r="U118" s="7">
        <f t="shared" si="17"/>
        <v>8.7685591291552665E-4</v>
      </c>
      <c r="V118" s="7">
        <f t="shared" si="18"/>
        <v>1.2600949826598375E-2</v>
      </c>
      <c r="W118" s="7">
        <f t="shared" si="19"/>
        <v>3.1315198383773064E-2</v>
      </c>
      <c r="X118" s="7">
        <f t="shared" si="20"/>
        <v>6.4209184987262691E-2</v>
      </c>
      <c r="Y118" s="7">
        <f t="shared" si="21"/>
        <v>1.4784163440249144E-2</v>
      </c>
      <c r="Z118" s="7">
        <f t="shared" si="22"/>
        <v>2.082185769701806E-2</v>
      </c>
      <c r="AM118" s="2">
        <v>115</v>
      </c>
      <c r="AN118" s="33">
        <v>1.3629794280320403E-2</v>
      </c>
      <c r="AO118" s="33">
        <v>1.194832442426453E-3</v>
      </c>
    </row>
    <row r="119" spans="3:41" ht="14.4" x14ac:dyDescent="0.3">
      <c r="C119" s="24">
        <v>45939</v>
      </c>
      <c r="D119" s="25">
        <v>5199.2</v>
      </c>
      <c r="E119" s="26">
        <v>4.1479999999999997</v>
      </c>
      <c r="F119" s="27">
        <v>46358.42</v>
      </c>
      <c r="G119" s="27">
        <v>3989.2</v>
      </c>
      <c r="H119" s="28">
        <v>46.85</v>
      </c>
      <c r="I119" s="28">
        <v>671.16</v>
      </c>
      <c r="J119" s="27">
        <v>121666.3</v>
      </c>
      <c r="K119" s="27"/>
      <c r="L119" s="31">
        <f t="shared" si="14"/>
        <v>-1.5271580243114258E-2</v>
      </c>
      <c r="M119" s="31">
        <f t="shared" si="14"/>
        <v>-2.3384763741562065E-2</v>
      </c>
      <c r="N119" s="31">
        <f t="shared" si="14"/>
        <v>-1.8957074033152943E-2</v>
      </c>
      <c r="O119" s="31">
        <f t="shared" si="14"/>
        <v>7.0189511681539862E-3</v>
      </c>
      <c r="P119" s="31">
        <f t="shared" si="15"/>
        <v>1.9210245464247322E-3</v>
      </c>
      <c r="Q119" s="31">
        <f t="shared" si="15"/>
        <v>-2.7027832409559527E-2</v>
      </c>
      <c r="R119" s="31">
        <f t="shared" si="15"/>
        <v>-7.2227888905966542E-2</v>
      </c>
      <c r="T119" s="7">
        <f t="shared" si="16"/>
        <v>-1.5114949587180935E-2</v>
      </c>
      <c r="U119" s="7">
        <f t="shared" si="17"/>
        <v>-2.3495318344568531E-2</v>
      </c>
      <c r="V119" s="7">
        <f t="shared" si="18"/>
        <v>-1.9284558053818065E-2</v>
      </c>
      <c r="W119" s="7">
        <f t="shared" si="19"/>
        <v>5.2016194314449347E-3</v>
      </c>
      <c r="X119" s="7">
        <f t="shared" si="20"/>
        <v>-1.8288871855286488E-3</v>
      </c>
      <c r="Y119" s="7">
        <f t="shared" si="21"/>
        <v>-2.7587762565218544E-2</v>
      </c>
      <c r="Z119" s="7">
        <f t="shared" si="22"/>
        <v>-7.1748239563765082E-2</v>
      </c>
      <c r="AM119" s="2">
        <v>116</v>
      </c>
      <c r="AN119" s="33">
        <v>1.2880083949561364E-2</v>
      </c>
      <c r="AO119" s="33">
        <v>1.0213900553705639E-3</v>
      </c>
    </row>
    <row r="120" spans="3:41" ht="14.4" x14ac:dyDescent="0.3">
      <c r="C120" s="24">
        <v>45938</v>
      </c>
      <c r="D120" s="25">
        <v>5246.1</v>
      </c>
      <c r="E120" s="26">
        <v>4.1310000000000002</v>
      </c>
      <c r="F120" s="27">
        <v>46601.78</v>
      </c>
      <c r="G120" s="27">
        <v>4087.3</v>
      </c>
      <c r="H120" s="28">
        <v>48.66</v>
      </c>
      <c r="I120" s="28">
        <v>673.11</v>
      </c>
      <c r="J120" s="27">
        <v>123311.1</v>
      </c>
      <c r="K120" s="27"/>
      <c r="L120" s="31">
        <f t="shared" si="14"/>
        <v>-8.939974457215949E-3</v>
      </c>
      <c r="M120" s="31">
        <f t="shared" si="14"/>
        <v>4.1152263374484299E-3</v>
      </c>
      <c r="N120" s="31">
        <f t="shared" si="14"/>
        <v>-5.2221181251016491E-3</v>
      </c>
      <c r="O120" s="31">
        <f t="shared" si="14"/>
        <v>-2.4001174369388201E-2</v>
      </c>
      <c r="P120" s="31">
        <f t="shared" si="15"/>
        <v>-3.7196876284422475E-2</v>
      </c>
      <c r="Q120" s="31">
        <f t="shared" si="15"/>
        <v>-2.8970004902616475E-3</v>
      </c>
      <c r="R120" s="31">
        <f t="shared" si="15"/>
        <v>-1.3338620772987975E-2</v>
      </c>
      <c r="T120" s="7">
        <f t="shared" si="16"/>
        <v>-8.7833438012826261E-3</v>
      </c>
      <c r="U120" s="7">
        <f t="shared" si="17"/>
        <v>4.0046717344419626E-3</v>
      </c>
      <c r="V120" s="7">
        <f t="shared" si="18"/>
        <v>-5.5496021457667718E-3</v>
      </c>
      <c r="W120" s="7">
        <f t="shared" si="19"/>
        <v>-2.5818506106097251E-2</v>
      </c>
      <c r="X120" s="7">
        <f t="shared" si="20"/>
        <v>-4.0946788016375857E-2</v>
      </c>
      <c r="Y120" s="7">
        <f t="shared" si="21"/>
        <v>-3.4569306459206629E-3</v>
      </c>
      <c r="Z120" s="7">
        <f t="shared" si="22"/>
        <v>-1.2858971430786507E-2</v>
      </c>
      <c r="AM120" s="2">
        <v>117</v>
      </c>
      <c r="AN120" s="33">
        <v>1.3034369523587285E-2</v>
      </c>
      <c r="AO120" s="33">
        <v>1.0077570553767067E-3</v>
      </c>
    </row>
    <row r="121" spans="3:41" ht="14.4" x14ac:dyDescent="0.3">
      <c r="C121" s="24">
        <v>45937</v>
      </c>
      <c r="D121" s="25">
        <v>5284.9</v>
      </c>
      <c r="E121" s="26">
        <v>4.1269999999999998</v>
      </c>
      <c r="F121" s="27">
        <v>46602.98</v>
      </c>
      <c r="G121" s="27">
        <v>4020.9</v>
      </c>
      <c r="H121" s="28">
        <v>47.18</v>
      </c>
      <c r="I121" s="28">
        <v>669.12</v>
      </c>
      <c r="J121" s="27">
        <v>121356.6</v>
      </c>
      <c r="K121" s="27"/>
      <c r="L121" s="31">
        <f t="shared" si="14"/>
        <v>-7.3416715548069167E-3</v>
      </c>
      <c r="M121" s="31">
        <f t="shared" si="14"/>
        <v>9.6922704143453942E-4</v>
      </c>
      <c r="N121" s="31">
        <f t="shared" si="14"/>
        <v>-2.5749426324384039E-5</v>
      </c>
      <c r="O121" s="31">
        <f t="shared" si="14"/>
        <v>1.6513715834763465E-2</v>
      </c>
      <c r="P121" s="31">
        <f t="shared" si="15"/>
        <v>3.1369224247562499E-2</v>
      </c>
      <c r="Q121" s="31">
        <f t="shared" si="15"/>
        <v>5.9630559540888584E-3</v>
      </c>
      <c r="R121" s="31">
        <f t="shared" si="15"/>
        <v>1.6105428134934652E-2</v>
      </c>
      <c r="T121" s="7">
        <f t="shared" si="16"/>
        <v>-7.1850408988735947E-3</v>
      </c>
      <c r="U121" s="7">
        <f t="shared" si="17"/>
        <v>8.5867243842807238E-4</v>
      </c>
      <c r="V121" s="7">
        <f t="shared" si="18"/>
        <v>-3.5323344698950687E-4</v>
      </c>
      <c r="W121" s="7">
        <f t="shared" si="19"/>
        <v>1.4696384098054413E-2</v>
      </c>
      <c r="X121" s="7">
        <f t="shared" si="20"/>
        <v>2.7619312515609118E-2</v>
      </c>
      <c r="Y121" s="7">
        <f t="shared" si="21"/>
        <v>5.403125798429843E-3</v>
      </c>
      <c r="Z121" s="7">
        <f t="shared" si="22"/>
        <v>1.6585077477136119E-2</v>
      </c>
      <c r="AM121" s="2">
        <v>118</v>
      </c>
      <c r="AN121" s="33">
        <v>1.1091384656249979E-2</v>
      </c>
      <c r="AO121" s="33">
        <v>3.0287757153726652E-4</v>
      </c>
    </row>
    <row r="122" spans="3:41" ht="14.4" x14ac:dyDescent="0.3">
      <c r="C122" s="24">
        <v>45936</v>
      </c>
      <c r="D122" s="25">
        <v>5306.5</v>
      </c>
      <c r="E122" s="26">
        <v>4.1619999999999999</v>
      </c>
      <c r="F122" s="27">
        <v>46694.97</v>
      </c>
      <c r="G122" s="27">
        <v>3992.7</v>
      </c>
      <c r="H122" s="28">
        <v>48.08</v>
      </c>
      <c r="I122" s="28">
        <v>671.61</v>
      </c>
      <c r="J122" s="27">
        <v>124725.1</v>
      </c>
      <c r="K122" s="27"/>
      <c r="L122" s="31">
        <f t="shared" si="14"/>
        <v>-4.0704796004900068E-3</v>
      </c>
      <c r="M122" s="31">
        <f t="shared" si="14"/>
        <v>-8.4094185487746387E-3</v>
      </c>
      <c r="N122" s="31">
        <f t="shared" si="14"/>
        <v>-1.9700194689064032E-3</v>
      </c>
      <c r="O122" s="31">
        <f t="shared" si="14"/>
        <v>7.0628897738373997E-3</v>
      </c>
      <c r="P122" s="31">
        <f t="shared" si="15"/>
        <v>-1.8718801996672196E-2</v>
      </c>
      <c r="Q122" s="31">
        <f t="shared" si="15"/>
        <v>-3.70750882208426E-3</v>
      </c>
      <c r="R122" s="31">
        <f t="shared" si="15"/>
        <v>-2.7007394662341366E-2</v>
      </c>
      <c r="T122" s="7">
        <f t="shared" si="16"/>
        <v>-3.9138489445566848E-3</v>
      </c>
      <c r="U122" s="7">
        <f t="shared" si="17"/>
        <v>-8.5199731517811052E-3</v>
      </c>
      <c r="V122" s="7">
        <f t="shared" si="18"/>
        <v>-2.2975034895715259E-3</v>
      </c>
      <c r="W122" s="7">
        <f t="shared" si="19"/>
        <v>5.2455580371283481E-3</v>
      </c>
      <c r="X122" s="7">
        <f t="shared" si="20"/>
        <v>-2.2468713728625578E-2</v>
      </c>
      <c r="Y122" s="7">
        <f t="shared" si="21"/>
        <v>-4.2674389777432754E-3</v>
      </c>
      <c r="Z122" s="7">
        <f t="shared" si="22"/>
        <v>-2.6527745320139899E-2</v>
      </c>
      <c r="AM122" s="2">
        <v>119</v>
      </c>
      <c r="AN122" s="33">
        <v>1.4673185797832536E-2</v>
      </c>
      <c r="AO122" s="33">
        <v>1.193652977501351E-3</v>
      </c>
    </row>
    <row r="123" spans="3:41" ht="14.4" x14ac:dyDescent="0.3">
      <c r="C123" s="24">
        <v>45933</v>
      </c>
      <c r="D123" s="25">
        <v>5333.6</v>
      </c>
      <c r="E123" s="26">
        <v>4.1189999999999998</v>
      </c>
      <c r="F123" s="27">
        <v>46758.28</v>
      </c>
      <c r="G123" s="27">
        <v>3924.7</v>
      </c>
      <c r="H123" s="28">
        <v>47.6</v>
      </c>
      <c r="I123" s="28">
        <v>669.21</v>
      </c>
      <c r="J123" s="27">
        <v>122224.2</v>
      </c>
      <c r="K123" s="27"/>
      <c r="L123" s="31">
        <f t="shared" si="14"/>
        <v>-5.0809959502025048E-3</v>
      </c>
      <c r="M123" s="31">
        <f t="shared" si="14"/>
        <v>1.0439427045399352E-2</v>
      </c>
      <c r="N123" s="31">
        <f t="shared" si="14"/>
        <v>-1.3539847915705616E-3</v>
      </c>
      <c r="O123" s="31">
        <f t="shared" si="14"/>
        <v>1.7326165057201859E-2</v>
      </c>
      <c r="P123" s="31">
        <f t="shared" si="15"/>
        <v>1.0084033613445342E-2</v>
      </c>
      <c r="Q123" s="31">
        <f t="shared" si="15"/>
        <v>3.5863181960820167E-3</v>
      </c>
      <c r="R123" s="31">
        <f t="shared" si="15"/>
        <v>2.0461577985374513E-2</v>
      </c>
      <c r="T123" s="7">
        <f t="shared" si="16"/>
        <v>-4.9243652942691828E-3</v>
      </c>
      <c r="U123" s="7">
        <f t="shared" si="17"/>
        <v>1.0328872442392886E-2</v>
      </c>
      <c r="V123" s="7">
        <f t="shared" si="18"/>
        <v>-1.6814688122356845E-3</v>
      </c>
      <c r="W123" s="7">
        <f t="shared" si="19"/>
        <v>1.5508833320492807E-2</v>
      </c>
      <c r="X123" s="7">
        <f t="shared" si="20"/>
        <v>6.3341218814919609E-3</v>
      </c>
      <c r="Y123" s="7">
        <f t="shared" si="21"/>
        <v>3.0263880404230014E-3</v>
      </c>
      <c r="Z123" s="7">
        <f t="shared" si="22"/>
        <v>2.094122732757598E-2</v>
      </c>
      <c r="AM123" s="2">
        <v>120</v>
      </c>
      <c r="AN123" s="33">
        <v>1.1143326345993257E-2</v>
      </c>
      <c r="AO123" s="33">
        <v>6.548288350545975E-4</v>
      </c>
    </row>
    <row r="124" spans="3:41" ht="14.4" x14ac:dyDescent="0.3">
      <c r="C124" s="24">
        <v>45932</v>
      </c>
      <c r="D124" s="25">
        <v>5314.4</v>
      </c>
      <c r="E124" s="26">
        <v>4.09</v>
      </c>
      <c r="F124" s="27">
        <v>46519.72</v>
      </c>
      <c r="G124" s="27">
        <v>3883.7</v>
      </c>
      <c r="H124" s="28">
        <v>46</v>
      </c>
      <c r="I124" s="28">
        <v>669.22</v>
      </c>
      <c r="J124" s="27">
        <v>120566.1</v>
      </c>
      <c r="K124" s="27"/>
      <c r="L124" s="31">
        <f t="shared" si="14"/>
        <v>3.6128255306338009E-3</v>
      </c>
      <c r="M124" s="31">
        <f t="shared" si="14"/>
        <v>7.0904645476772554E-3</v>
      </c>
      <c r="N124" s="31">
        <f t="shared" si="14"/>
        <v>5.1281478048448292E-3</v>
      </c>
      <c r="O124" s="31">
        <f t="shared" si="14"/>
        <v>1.0556943121250439E-2</v>
      </c>
      <c r="P124" s="31">
        <f t="shared" si="15"/>
        <v>3.4782608695652195E-2</v>
      </c>
      <c r="Q124" s="31">
        <f t="shared" si="15"/>
        <v>-1.4942769194004057E-5</v>
      </c>
      <c r="R124" s="31">
        <f t="shared" si="15"/>
        <v>1.3752622005688053E-2</v>
      </c>
      <c r="T124" s="7">
        <f t="shared" si="16"/>
        <v>3.7694561865671229E-3</v>
      </c>
      <c r="U124" s="7">
        <f t="shared" si="17"/>
        <v>6.9799099446707881E-3</v>
      </c>
      <c r="V124" s="7">
        <f t="shared" si="18"/>
        <v>4.8006637841797066E-3</v>
      </c>
      <c r="W124" s="7">
        <f t="shared" si="19"/>
        <v>8.7396113845413879E-3</v>
      </c>
      <c r="X124" s="7">
        <f t="shared" si="20"/>
        <v>3.1032696963698814E-2</v>
      </c>
      <c r="Y124" s="7">
        <f t="shared" si="21"/>
        <v>-5.7487292485301951E-4</v>
      </c>
      <c r="Z124" s="7">
        <f t="shared" si="22"/>
        <v>1.423227134788952E-2</v>
      </c>
      <c r="AM124" s="2">
        <v>121</v>
      </c>
      <c r="AN124" s="33">
        <v>1.4408448416386744E-2</v>
      </c>
      <c r="AO124" s="33">
        <v>1.1066450073700836E-3</v>
      </c>
    </row>
    <row r="125" spans="3:41" ht="14.4" x14ac:dyDescent="0.3">
      <c r="C125" s="24">
        <v>45931</v>
      </c>
      <c r="D125" s="25">
        <v>5338</v>
      </c>
      <c r="E125" s="26">
        <v>4.1059999999999999</v>
      </c>
      <c r="F125" s="27">
        <v>46441.1</v>
      </c>
      <c r="G125" s="27">
        <v>3913.4</v>
      </c>
      <c r="H125" s="28">
        <v>47.29</v>
      </c>
      <c r="I125" s="28">
        <v>668.45</v>
      </c>
      <c r="J125" s="27">
        <v>118576.2</v>
      </c>
      <c r="K125" s="27"/>
      <c r="L125" s="31">
        <f t="shared" si="14"/>
        <v>-4.421131509928844E-3</v>
      </c>
      <c r="M125" s="31">
        <f t="shared" si="14"/>
        <v>-3.8967364831953288E-3</v>
      </c>
      <c r="N125" s="31">
        <f t="shared" si="14"/>
        <v>1.6928970244030062E-3</v>
      </c>
      <c r="O125" s="31">
        <f t="shared" si="14"/>
        <v>-7.5893085296673268E-3</v>
      </c>
      <c r="P125" s="31">
        <f t="shared" si="15"/>
        <v>-2.7278494396278274E-2</v>
      </c>
      <c r="Q125" s="31">
        <f t="shared" si="15"/>
        <v>1.1519186176975893E-3</v>
      </c>
      <c r="R125" s="31">
        <f t="shared" si="15"/>
        <v>1.6781613848310339E-2</v>
      </c>
      <c r="T125" s="7">
        <f t="shared" si="16"/>
        <v>-4.2645008539955219E-3</v>
      </c>
      <c r="U125" s="7">
        <f t="shared" si="17"/>
        <v>-4.0072910862017962E-3</v>
      </c>
      <c r="V125" s="7">
        <f t="shared" si="18"/>
        <v>1.3654130037378833E-3</v>
      </c>
      <c r="W125" s="7">
        <f t="shared" si="19"/>
        <v>-9.4066402663763784E-3</v>
      </c>
      <c r="X125" s="7">
        <f t="shared" si="20"/>
        <v>-3.1028406128231656E-2</v>
      </c>
      <c r="Y125" s="7">
        <f t="shared" si="21"/>
        <v>5.9198846203857385E-4</v>
      </c>
      <c r="Z125" s="7">
        <f t="shared" si="22"/>
        <v>1.7261263190511807E-2</v>
      </c>
      <c r="AM125" s="2">
        <v>122</v>
      </c>
      <c r="AN125" s="33">
        <v>1.7443832375729034E-2</v>
      </c>
      <c r="AO125" s="33">
        <v>1.1174616018949416E-3</v>
      </c>
    </row>
    <row r="126" spans="3:41" ht="14.4" x14ac:dyDescent="0.3">
      <c r="C126" s="24">
        <v>45930</v>
      </c>
      <c r="D126" s="25">
        <v>5326.2</v>
      </c>
      <c r="E126" s="26">
        <v>4.1500000000000004</v>
      </c>
      <c r="F126" s="27">
        <v>46397.89</v>
      </c>
      <c r="G126" s="27">
        <v>3888.8</v>
      </c>
      <c r="H126" s="28">
        <v>46.25</v>
      </c>
      <c r="I126" s="28">
        <v>666.18</v>
      </c>
      <c r="J126" s="27">
        <v>114048.5</v>
      </c>
      <c r="K126" s="27"/>
      <c r="L126" s="31">
        <f t="shared" si="14"/>
        <v>2.2154631820059389E-3</v>
      </c>
      <c r="M126" s="31">
        <f t="shared" si="14"/>
        <v>-1.06024096385543E-2</v>
      </c>
      <c r="N126" s="31">
        <f t="shared" si="14"/>
        <v>9.3129234971667252E-4</v>
      </c>
      <c r="O126" s="31">
        <f t="shared" si="14"/>
        <v>6.3258588767742818E-3</v>
      </c>
      <c r="P126" s="31">
        <f t="shared" si="15"/>
        <v>2.2486486486486434E-2</v>
      </c>
      <c r="Q126" s="31">
        <f t="shared" si="15"/>
        <v>3.4074874658502896E-3</v>
      </c>
      <c r="R126" s="31">
        <f t="shared" si="15"/>
        <v>3.9699776849322799E-2</v>
      </c>
      <c r="T126" s="7">
        <f t="shared" si="16"/>
        <v>2.372093837939261E-3</v>
      </c>
      <c r="U126" s="7">
        <f t="shared" si="17"/>
        <v>-1.0712964241560766E-2</v>
      </c>
      <c r="V126" s="7">
        <f t="shared" si="18"/>
        <v>6.0380832905154963E-4</v>
      </c>
      <c r="W126" s="7">
        <f t="shared" si="19"/>
        <v>4.5085271400652303E-3</v>
      </c>
      <c r="X126" s="7">
        <f t="shared" si="20"/>
        <v>1.8736574754533053E-2</v>
      </c>
      <c r="Y126" s="7">
        <f t="shared" si="21"/>
        <v>2.8475573101912743E-3</v>
      </c>
      <c r="Z126" s="7">
        <f t="shared" si="22"/>
        <v>4.0179426191524266E-2</v>
      </c>
      <c r="AM126" s="2">
        <v>123</v>
      </c>
      <c r="AN126" s="33">
        <v>1.0395480871694451E-2</v>
      </c>
      <c r="AO126" s="33">
        <v>6.2822522539903065E-4</v>
      </c>
    </row>
    <row r="127" spans="3:41" ht="14.4" x14ac:dyDescent="0.3">
      <c r="C127" s="24">
        <v>45929</v>
      </c>
      <c r="D127" s="25">
        <v>5335.3</v>
      </c>
      <c r="E127" s="26">
        <v>4.141</v>
      </c>
      <c r="F127" s="27">
        <v>46316.07</v>
      </c>
      <c r="G127" s="27">
        <v>3871</v>
      </c>
      <c r="H127" s="28">
        <v>46.61</v>
      </c>
      <c r="I127" s="28">
        <v>663.68</v>
      </c>
      <c r="J127" s="27">
        <v>114357.5</v>
      </c>
      <c r="K127" s="27"/>
      <c r="L127" s="31">
        <f t="shared" si="14"/>
        <v>-1.7056210522370385E-3</v>
      </c>
      <c r="M127" s="31">
        <f t="shared" si="14"/>
        <v>2.1733880705143704E-3</v>
      </c>
      <c r="N127" s="31">
        <f t="shared" si="14"/>
        <v>1.7665574821006391E-3</v>
      </c>
      <c r="O127" s="31">
        <f t="shared" si="14"/>
        <v>4.5982950142082757E-3</v>
      </c>
      <c r="P127" s="31">
        <f t="shared" si="15"/>
        <v>-7.7236644496888607E-3</v>
      </c>
      <c r="Q127" s="31">
        <f t="shared" si="15"/>
        <v>3.7668756027000594E-3</v>
      </c>
      <c r="R127" s="31">
        <f t="shared" si="15"/>
        <v>-2.7020527731018706E-3</v>
      </c>
      <c r="T127" s="7">
        <f t="shared" si="16"/>
        <v>-1.5489903963037163E-3</v>
      </c>
      <c r="U127" s="7">
        <f t="shared" si="17"/>
        <v>2.0628334675079035E-3</v>
      </c>
      <c r="V127" s="7">
        <f t="shared" si="18"/>
        <v>1.4390734614355162E-3</v>
      </c>
      <c r="W127" s="7">
        <f t="shared" si="19"/>
        <v>2.7809632774992241E-3</v>
      </c>
      <c r="X127" s="7">
        <f t="shared" si="20"/>
        <v>-1.1473576181642242E-2</v>
      </c>
      <c r="Y127" s="7">
        <f t="shared" si="21"/>
        <v>3.206945447041044E-3</v>
      </c>
      <c r="Z127" s="7">
        <f t="shared" si="22"/>
        <v>-2.2224034309004039E-3</v>
      </c>
      <c r="AM127" s="2">
        <v>124</v>
      </c>
      <c r="AN127" s="33">
        <v>1.356282191016899E-2</v>
      </c>
      <c r="AO127" s="33">
        <v>7.4915194785769878E-4</v>
      </c>
    </row>
    <row r="128" spans="3:41" ht="14.4" x14ac:dyDescent="0.3">
      <c r="C128" s="24">
        <v>45926</v>
      </c>
      <c r="D128" s="25">
        <v>5350.2</v>
      </c>
      <c r="E128" s="26">
        <v>4.1870000000000003</v>
      </c>
      <c r="F128" s="27">
        <v>46247.29</v>
      </c>
      <c r="G128" s="27">
        <v>3809</v>
      </c>
      <c r="H128" s="28">
        <v>46.22</v>
      </c>
      <c r="I128" s="28">
        <v>661.82</v>
      </c>
      <c r="J128" s="27">
        <v>109662.2</v>
      </c>
      <c r="K128" s="27"/>
      <c r="L128" s="31">
        <f t="shared" si="14"/>
        <v>-2.7849426189674453E-3</v>
      </c>
      <c r="M128" s="31">
        <f t="shared" si="14"/>
        <v>-1.0986386434201134E-2</v>
      </c>
      <c r="N128" s="31">
        <f t="shared" si="14"/>
        <v>1.4872222783215427E-3</v>
      </c>
      <c r="O128" s="31">
        <f t="shared" si="14"/>
        <v>1.6277238120241622E-2</v>
      </c>
      <c r="P128" s="31">
        <f t="shared" si="15"/>
        <v>8.4379056685417453E-3</v>
      </c>
      <c r="Q128" s="31">
        <f t="shared" si="15"/>
        <v>2.8104318394728267E-3</v>
      </c>
      <c r="R128" s="31">
        <f t="shared" si="15"/>
        <v>4.2816029589047178E-2</v>
      </c>
      <c r="T128" s="7">
        <f t="shared" si="16"/>
        <v>-2.6283119630341233E-3</v>
      </c>
      <c r="U128" s="7">
        <f t="shared" si="17"/>
        <v>-1.1096941037207601E-2</v>
      </c>
      <c r="V128" s="7">
        <f t="shared" si="18"/>
        <v>1.1597382576564199E-3</v>
      </c>
      <c r="W128" s="7">
        <f t="shared" si="19"/>
        <v>1.445990638353257E-2</v>
      </c>
      <c r="X128" s="7">
        <f t="shared" si="20"/>
        <v>4.6879939365883638E-3</v>
      </c>
      <c r="Y128" s="7">
        <f t="shared" si="21"/>
        <v>2.2505016838138114E-3</v>
      </c>
      <c r="Z128" s="7">
        <f t="shared" si="22"/>
        <v>4.3295678931248645E-2</v>
      </c>
      <c r="AM128" s="2">
        <v>125</v>
      </c>
      <c r="AN128" s="33">
        <v>1.1534995197545497E-2</v>
      </c>
      <c r="AO128" s="33">
        <v>1.1360356106842758E-3</v>
      </c>
    </row>
    <row r="129" spans="3:41" ht="14.4" x14ac:dyDescent="0.3">
      <c r="C129" s="24">
        <v>45925</v>
      </c>
      <c r="D129" s="25">
        <v>5315.7</v>
      </c>
      <c r="E129" s="26">
        <v>4.1740000000000004</v>
      </c>
      <c r="F129" s="27">
        <v>45947.32</v>
      </c>
      <c r="G129" s="27">
        <v>3771.1</v>
      </c>
      <c r="H129" s="28">
        <v>44.7</v>
      </c>
      <c r="I129" s="28">
        <v>658.05</v>
      </c>
      <c r="J129" s="27">
        <v>109016.3</v>
      </c>
      <c r="K129" s="27"/>
      <c r="L129" s="31">
        <f t="shared" si="14"/>
        <v>6.4902082510298609E-3</v>
      </c>
      <c r="M129" s="31">
        <f t="shared" si="14"/>
        <v>3.1145184475322996E-3</v>
      </c>
      <c r="N129" s="31">
        <f t="shared" si="14"/>
        <v>6.5285635810750087E-3</v>
      </c>
      <c r="O129" s="31">
        <f t="shared" si="14"/>
        <v>1.0050118002704833E-2</v>
      </c>
      <c r="P129" s="31">
        <f t="shared" si="15"/>
        <v>3.4004474272930629E-2</v>
      </c>
      <c r="Q129" s="31">
        <f t="shared" si="15"/>
        <v>5.7290479446852061E-3</v>
      </c>
      <c r="R129" s="31">
        <f t="shared" si="15"/>
        <v>5.9248020708828619E-3</v>
      </c>
      <c r="T129" s="7">
        <f t="shared" si="16"/>
        <v>6.6468389069631829E-3</v>
      </c>
      <c r="U129" s="7">
        <f t="shared" si="17"/>
        <v>3.0039638445258326E-3</v>
      </c>
      <c r="V129" s="7">
        <f t="shared" si="18"/>
        <v>6.201079560409886E-3</v>
      </c>
      <c r="W129" s="7">
        <f t="shared" si="19"/>
        <v>8.2327862659957816E-3</v>
      </c>
      <c r="X129" s="7">
        <f t="shared" si="20"/>
        <v>3.0254562540977248E-2</v>
      </c>
      <c r="Y129" s="7">
        <f t="shared" si="21"/>
        <v>5.1691177890261907E-3</v>
      </c>
      <c r="Z129" s="7">
        <f t="shared" si="22"/>
        <v>6.4044514130843291E-3</v>
      </c>
      <c r="AM129" s="2">
        <v>126</v>
      </c>
      <c r="AN129" s="33">
        <v>7.7055344549082647E-3</v>
      </c>
      <c r="AO129" s="33">
        <v>5.2306187760385516E-4</v>
      </c>
    </row>
    <row r="130" spans="3:41" ht="14.4" x14ac:dyDescent="0.3">
      <c r="C130" s="24">
        <v>45924</v>
      </c>
      <c r="D130" s="25">
        <v>5315.2</v>
      </c>
      <c r="E130" s="26">
        <v>4.1470000000000002</v>
      </c>
      <c r="F130" s="27">
        <v>46121.279999999999</v>
      </c>
      <c r="G130" s="27">
        <v>3768.1</v>
      </c>
      <c r="H130" s="28">
        <v>43.78</v>
      </c>
      <c r="I130" s="28">
        <v>661.1</v>
      </c>
      <c r="J130" s="27">
        <v>113307.1</v>
      </c>
      <c r="K130" s="27"/>
      <c r="L130" s="31">
        <f t="shared" si="14"/>
        <v>9.4069837447419147E-5</v>
      </c>
      <c r="M130" s="31">
        <f t="shared" si="14"/>
        <v>6.5107306486618111E-3</v>
      </c>
      <c r="N130" s="31">
        <f t="shared" si="14"/>
        <v>-3.7717947116818751E-3</v>
      </c>
      <c r="O130" s="31">
        <f t="shared" si="14"/>
        <v>7.9615721451120613E-4</v>
      </c>
      <c r="P130" s="31">
        <f t="shared" si="15"/>
        <v>2.1014161717679336E-2</v>
      </c>
      <c r="Q130" s="31">
        <f t="shared" si="15"/>
        <v>-4.6135229163516422E-3</v>
      </c>
      <c r="R130" s="31">
        <f t="shared" si="15"/>
        <v>-3.7868765505427282E-2</v>
      </c>
      <c r="T130" s="7">
        <f t="shared" si="16"/>
        <v>2.5070049338074139E-4</v>
      </c>
      <c r="U130" s="7">
        <f t="shared" si="17"/>
        <v>6.4001760456553437E-3</v>
      </c>
      <c r="V130" s="7">
        <f t="shared" si="18"/>
        <v>-4.0992787323469978E-3</v>
      </c>
      <c r="W130" s="7">
        <f t="shared" si="19"/>
        <v>-1.0211745221978452E-3</v>
      </c>
      <c r="X130" s="7">
        <f t="shared" si="20"/>
        <v>1.7264249985725955E-2</v>
      </c>
      <c r="Y130" s="7">
        <f t="shared" si="21"/>
        <v>-5.1734530720106576E-3</v>
      </c>
      <c r="Z130" s="7">
        <f t="shared" si="22"/>
        <v>-3.7389116163225815E-2</v>
      </c>
      <c r="AM130" s="2">
        <v>127</v>
      </c>
      <c r="AN130" s="33">
        <v>1.0684474838892243E-2</v>
      </c>
      <c r="AO130" s="33">
        <v>9.3419041462165656E-4</v>
      </c>
    </row>
    <row r="131" spans="3:41" ht="14.4" x14ac:dyDescent="0.3">
      <c r="C131" s="24">
        <v>45923</v>
      </c>
      <c r="D131" s="25">
        <v>5338.4</v>
      </c>
      <c r="E131" s="26">
        <v>4.1180000000000003</v>
      </c>
      <c r="F131" s="27">
        <v>46292.78</v>
      </c>
      <c r="G131" s="27">
        <v>3815.7</v>
      </c>
      <c r="H131" s="28">
        <v>44.19</v>
      </c>
      <c r="I131" s="28">
        <v>663.21</v>
      </c>
      <c r="J131" s="27">
        <v>112002.6</v>
      </c>
      <c r="K131" s="27"/>
      <c r="L131" s="31">
        <f t="shared" si="14"/>
        <v>-4.3458714221489281E-3</v>
      </c>
      <c r="M131" s="31">
        <f t="shared" si="14"/>
        <v>7.0422535211267512E-3</v>
      </c>
      <c r="N131" s="31">
        <f t="shared" si="14"/>
        <v>-3.7046813779599841E-3</v>
      </c>
      <c r="O131" s="31">
        <f t="shared" si="14"/>
        <v>-1.2474775270592486E-2</v>
      </c>
      <c r="P131" s="31">
        <f t="shared" si="15"/>
        <v>-9.2781172210906204E-3</v>
      </c>
      <c r="Q131" s="31">
        <f t="shared" si="15"/>
        <v>-3.1814960570558659E-3</v>
      </c>
      <c r="R131" s="31">
        <f t="shared" si="15"/>
        <v>1.1647051050600599E-2</v>
      </c>
      <c r="T131" s="7">
        <f t="shared" si="16"/>
        <v>-4.189240766215606E-3</v>
      </c>
      <c r="U131" s="7">
        <f t="shared" si="17"/>
        <v>6.9316989181202838E-3</v>
      </c>
      <c r="V131" s="7">
        <f t="shared" si="18"/>
        <v>-4.0321653986251068E-3</v>
      </c>
      <c r="W131" s="7">
        <f t="shared" si="19"/>
        <v>-1.4292107007301538E-2</v>
      </c>
      <c r="X131" s="7">
        <f t="shared" si="20"/>
        <v>-1.3028028953044002E-2</v>
      </c>
      <c r="Y131" s="7">
        <f t="shared" si="21"/>
        <v>-3.7414262127148813E-3</v>
      </c>
      <c r="Z131" s="7">
        <f t="shared" si="22"/>
        <v>1.2126700392802066E-2</v>
      </c>
      <c r="AM131" s="2">
        <v>128</v>
      </c>
      <c r="AN131" s="33">
        <v>1.324591279020728E-2</v>
      </c>
      <c r="AO131" s="33">
        <v>1.3985180091438234E-3</v>
      </c>
    </row>
    <row r="132" spans="3:41" ht="14.4" x14ac:dyDescent="0.3">
      <c r="C132" s="24">
        <v>45922</v>
      </c>
      <c r="D132" s="25">
        <v>5351.7</v>
      </c>
      <c r="E132" s="26">
        <v>4.1449999999999996</v>
      </c>
      <c r="F132" s="27">
        <v>46381.54</v>
      </c>
      <c r="G132" s="27">
        <v>3775.1</v>
      </c>
      <c r="H132" s="28">
        <v>43.8</v>
      </c>
      <c r="I132" s="28">
        <v>666.84</v>
      </c>
      <c r="J132" s="27">
        <v>112673</v>
      </c>
      <c r="K132" s="27"/>
      <c r="L132" s="31">
        <f t="shared" si="14"/>
        <v>-2.485191621353966E-3</v>
      </c>
      <c r="M132" s="31">
        <f t="shared" si="14"/>
        <v>-6.5138721351023499E-3</v>
      </c>
      <c r="N132" s="31">
        <f t="shared" si="14"/>
        <v>-1.9136923871005962E-3</v>
      </c>
      <c r="O132" s="31">
        <f t="shared" si="14"/>
        <v>1.0754681995178927E-2</v>
      </c>
      <c r="P132" s="31">
        <f t="shared" si="15"/>
        <v>8.9041095890411981E-3</v>
      </c>
      <c r="Q132" s="31">
        <f t="shared" si="15"/>
        <v>-5.4435846679863342E-3</v>
      </c>
      <c r="R132" s="31">
        <f t="shared" si="15"/>
        <v>-5.9499613927027628E-3</v>
      </c>
      <c r="T132" s="7">
        <f t="shared" si="16"/>
        <v>-2.328560965420644E-3</v>
      </c>
      <c r="U132" s="7">
        <f t="shared" si="17"/>
        <v>-6.6244267381088172E-3</v>
      </c>
      <c r="V132" s="7">
        <f t="shared" si="18"/>
        <v>-2.2411764077657189E-3</v>
      </c>
      <c r="W132" s="7">
        <f t="shared" si="19"/>
        <v>8.9373502584698759E-3</v>
      </c>
      <c r="X132" s="7">
        <f t="shared" si="20"/>
        <v>5.1541978570878166E-3</v>
      </c>
      <c r="Y132" s="7">
        <f t="shared" si="21"/>
        <v>-6.0035148236453496E-3</v>
      </c>
      <c r="Z132" s="7">
        <f t="shared" si="22"/>
        <v>-5.4703120505012956E-3</v>
      </c>
      <c r="AM132" s="2">
        <v>129</v>
      </c>
      <c r="AN132" s="33">
        <v>1.0978407630418144E-2</v>
      </c>
      <c r="AO132" s="33">
        <v>9.1758937705894951E-4</v>
      </c>
    </row>
    <row r="133" spans="3:41" ht="14.4" x14ac:dyDescent="0.3">
      <c r="C133" s="24">
        <v>45919</v>
      </c>
      <c r="D133" s="25">
        <v>5400.9</v>
      </c>
      <c r="E133" s="26">
        <v>4.1390000000000002</v>
      </c>
      <c r="F133" s="27">
        <v>46315.27</v>
      </c>
      <c r="G133" s="27">
        <v>3705.8</v>
      </c>
      <c r="H133" s="28">
        <v>42.54</v>
      </c>
      <c r="I133" s="28">
        <v>663.7</v>
      </c>
      <c r="J133" s="27">
        <v>115649</v>
      </c>
      <c r="K133" s="27"/>
      <c r="L133" s="31">
        <f t="shared" si="14"/>
        <v>-9.109592845636838E-3</v>
      </c>
      <c r="M133" s="31">
        <f t="shared" si="14"/>
        <v>1.4496255134088809E-3</v>
      </c>
      <c r="N133" s="31">
        <f t="shared" si="14"/>
        <v>1.4308455936886677E-3</v>
      </c>
      <c r="O133" s="31">
        <f t="shared" si="14"/>
        <v>1.8700415564790296E-2</v>
      </c>
      <c r="P133" s="31">
        <f t="shared" si="15"/>
        <v>2.9619181946403339E-2</v>
      </c>
      <c r="Q133" s="31">
        <f t="shared" si="15"/>
        <v>4.731053186680656E-3</v>
      </c>
      <c r="R133" s="31">
        <f t="shared" si="15"/>
        <v>-2.5733037034475048E-2</v>
      </c>
      <c r="T133" s="7">
        <f t="shared" si="16"/>
        <v>-8.9529621897035151E-3</v>
      </c>
      <c r="U133" s="7">
        <f t="shared" si="17"/>
        <v>1.339070910402414E-3</v>
      </c>
      <c r="V133" s="7">
        <f t="shared" si="18"/>
        <v>1.1033615730235448E-3</v>
      </c>
      <c r="W133" s="7">
        <f t="shared" si="19"/>
        <v>1.6883083828081246E-2</v>
      </c>
      <c r="X133" s="7">
        <f t="shared" si="20"/>
        <v>2.5869270214449958E-2</v>
      </c>
      <c r="Y133" s="7">
        <f t="shared" si="21"/>
        <v>4.1711230310216407E-3</v>
      </c>
      <c r="Z133" s="7">
        <f t="shared" si="22"/>
        <v>-2.5253387692273581E-2</v>
      </c>
      <c r="AM133" s="2">
        <v>130</v>
      </c>
      <c r="AN133" s="33">
        <v>1.0299396403826643E-2</v>
      </c>
      <c r="AO133" s="33">
        <v>5.7556011331482608E-4</v>
      </c>
    </row>
    <row r="134" spans="3:41" ht="14.4" x14ac:dyDescent="0.3">
      <c r="C134" s="24">
        <v>45918</v>
      </c>
      <c r="D134" s="25">
        <v>5445.4</v>
      </c>
      <c r="E134" s="26">
        <v>4.1040000000000001</v>
      </c>
      <c r="F134" s="27">
        <v>46142.42</v>
      </c>
      <c r="G134" s="27">
        <v>3678.3</v>
      </c>
      <c r="H134" s="28">
        <v>41.71</v>
      </c>
      <c r="I134" s="28">
        <v>662.26</v>
      </c>
      <c r="J134" s="27">
        <v>117086</v>
      </c>
      <c r="K134" s="27"/>
      <c r="L134" s="31">
        <f t="shared" si="14"/>
        <v>-8.1720351122047674E-3</v>
      </c>
      <c r="M134" s="31">
        <f t="shared" si="14"/>
        <v>8.528265107212496E-3</v>
      </c>
      <c r="N134" s="31">
        <f t="shared" si="14"/>
        <v>3.7460107207207827E-3</v>
      </c>
      <c r="O134" s="31">
        <f t="shared" si="14"/>
        <v>7.4762798031700051E-3</v>
      </c>
      <c r="P134" s="31">
        <f t="shared" si="15"/>
        <v>1.9899304723087985E-2</v>
      </c>
      <c r="Q134" s="31">
        <f t="shared" si="15"/>
        <v>2.1743726029053168E-3</v>
      </c>
      <c r="R134" s="31">
        <f t="shared" si="15"/>
        <v>-1.2273030080453662E-2</v>
      </c>
      <c r="T134" s="7">
        <f t="shared" si="16"/>
        <v>-8.0154044562714445E-3</v>
      </c>
      <c r="U134" s="7">
        <f t="shared" si="17"/>
        <v>8.4177105042060295E-3</v>
      </c>
      <c r="V134" s="7">
        <f t="shared" si="18"/>
        <v>3.41852670005566E-3</v>
      </c>
      <c r="W134" s="7">
        <f t="shared" si="19"/>
        <v>5.6589480664609535E-3</v>
      </c>
      <c r="X134" s="7">
        <f t="shared" si="20"/>
        <v>1.6149392991134603E-2</v>
      </c>
      <c r="Y134" s="7">
        <f t="shared" si="21"/>
        <v>1.6144424472463014E-3</v>
      </c>
      <c r="Z134" s="7">
        <f t="shared" si="22"/>
        <v>-1.1793380738252195E-2</v>
      </c>
      <c r="AM134" s="2">
        <v>131</v>
      </c>
      <c r="AN134" s="33">
        <v>8.1706703985555216E-3</v>
      </c>
      <c r="AO134" s="33">
        <v>6.2890041139852836E-4</v>
      </c>
    </row>
    <row r="135" spans="3:41" ht="14.4" x14ac:dyDescent="0.3">
      <c r="C135" s="24">
        <v>45917</v>
      </c>
      <c r="D135" s="25">
        <v>5442.3</v>
      </c>
      <c r="E135" s="26">
        <v>4.0759999999999996</v>
      </c>
      <c r="F135" s="27">
        <v>46018.32</v>
      </c>
      <c r="G135" s="27">
        <v>3717.8</v>
      </c>
      <c r="H135" s="28">
        <v>41.72</v>
      </c>
      <c r="I135" s="28">
        <v>659.18</v>
      </c>
      <c r="J135" s="27">
        <v>116425.9</v>
      </c>
      <c r="K135" s="27"/>
      <c r="L135" s="31">
        <f t="shared" si="14"/>
        <v>5.6961211252581911E-4</v>
      </c>
      <c r="M135" s="31">
        <f t="shared" si="14"/>
        <v>6.8694798822375169E-3</v>
      </c>
      <c r="N135" s="31">
        <f t="shared" si="14"/>
        <v>2.6967520761296271E-3</v>
      </c>
      <c r="O135" s="31">
        <f t="shared" si="14"/>
        <v>-1.0624562913551072E-2</v>
      </c>
      <c r="P135" s="31">
        <f t="shared" si="15"/>
        <v>-2.3969319271333056E-4</v>
      </c>
      <c r="Q135" s="31">
        <f t="shared" si="15"/>
        <v>4.6724718589763459E-3</v>
      </c>
      <c r="R135" s="31">
        <f t="shared" si="15"/>
        <v>5.6697006422110618E-3</v>
      </c>
      <c r="T135" s="7">
        <f t="shared" si="16"/>
        <v>7.2624276845914136E-4</v>
      </c>
      <c r="U135" s="7">
        <f t="shared" si="17"/>
        <v>6.7589252792310496E-3</v>
      </c>
      <c r="V135" s="7">
        <f t="shared" si="18"/>
        <v>2.3692680554645044E-3</v>
      </c>
      <c r="W135" s="7">
        <f t="shared" si="19"/>
        <v>-1.2441894650260124E-2</v>
      </c>
      <c r="X135" s="7">
        <f t="shared" si="20"/>
        <v>-3.989604924666712E-3</v>
      </c>
      <c r="Y135" s="7">
        <f t="shared" si="21"/>
        <v>4.1125417033173305E-3</v>
      </c>
      <c r="Z135" s="7">
        <f t="shared" si="22"/>
        <v>6.1493499844125291E-3</v>
      </c>
      <c r="AM135" s="2">
        <v>132</v>
      </c>
      <c r="AN135" s="33">
        <v>1.1499286287085785E-2</v>
      </c>
      <c r="AO135" s="33">
        <v>9.9673176532125217E-4</v>
      </c>
    </row>
    <row r="136" spans="3:41" ht="14.4" x14ac:dyDescent="0.3">
      <c r="C136" s="24">
        <v>45916</v>
      </c>
      <c r="D136" s="25">
        <v>5414</v>
      </c>
      <c r="E136" s="26">
        <v>4.0259999999999998</v>
      </c>
      <c r="F136" s="27">
        <v>45757.9</v>
      </c>
      <c r="G136" s="27">
        <v>3725.1</v>
      </c>
      <c r="H136" s="28">
        <v>42.47</v>
      </c>
      <c r="I136" s="28">
        <v>660</v>
      </c>
      <c r="J136" s="27">
        <v>116795.9</v>
      </c>
      <c r="K136" s="27"/>
      <c r="L136" s="31">
        <f t="shared" si="14"/>
        <v>5.2271887698560615E-3</v>
      </c>
      <c r="M136" s="31">
        <f t="shared" si="14"/>
        <v>1.2419274714356554E-2</v>
      </c>
      <c r="N136" s="31">
        <f t="shared" si="14"/>
        <v>5.6912576844654339E-3</v>
      </c>
      <c r="O136" s="31">
        <f t="shared" si="14"/>
        <v>-1.9596789347936516E-3</v>
      </c>
      <c r="P136" s="31">
        <f t="shared" si="15"/>
        <v>-1.765952437014362E-2</v>
      </c>
      <c r="Q136" s="31">
        <f t="shared" si="15"/>
        <v>-1.2424242424242671E-3</v>
      </c>
      <c r="R136" s="31">
        <f t="shared" si="15"/>
        <v>-3.1679194218290352E-3</v>
      </c>
      <c r="T136" s="7">
        <f t="shared" si="16"/>
        <v>5.3838194257893835E-3</v>
      </c>
      <c r="U136" s="7">
        <f t="shared" si="17"/>
        <v>1.2308720111350088E-2</v>
      </c>
      <c r="V136" s="7">
        <f t="shared" si="18"/>
        <v>5.3637736638003112E-3</v>
      </c>
      <c r="W136" s="7">
        <f t="shared" si="19"/>
        <v>-3.7770106715027032E-3</v>
      </c>
      <c r="X136" s="7">
        <f t="shared" si="20"/>
        <v>-2.1409436102097001E-2</v>
      </c>
      <c r="Y136" s="7">
        <f t="shared" si="21"/>
        <v>-1.8023543980832824E-3</v>
      </c>
      <c r="Z136" s="7">
        <f t="shared" si="22"/>
        <v>-2.6882700796275684E-3</v>
      </c>
      <c r="AM136" s="2">
        <v>133</v>
      </c>
      <c r="AN136" s="33">
        <v>1.200144941343456E-2</v>
      </c>
      <c r="AO136" s="33">
        <v>1.0200983766844674E-3</v>
      </c>
    </row>
    <row r="137" spans="3:41" ht="14.4" x14ac:dyDescent="0.3">
      <c r="C137" s="24">
        <v>45915</v>
      </c>
      <c r="D137" s="25">
        <v>5457.3</v>
      </c>
      <c r="E137" s="26">
        <v>4.0339999999999998</v>
      </c>
      <c r="F137" s="27">
        <v>45883.45</v>
      </c>
      <c r="G137" s="27">
        <v>3719</v>
      </c>
      <c r="H137" s="28">
        <v>42.52</v>
      </c>
      <c r="I137" s="28">
        <v>660.91</v>
      </c>
      <c r="J137" s="27">
        <v>115362.1</v>
      </c>
      <c r="K137" s="27"/>
      <c r="L137" s="31">
        <f t="shared" si="14"/>
        <v>-7.9343264984516049E-3</v>
      </c>
      <c r="M137" s="31">
        <f t="shared" si="14"/>
        <v>-1.98314328210214E-3</v>
      </c>
      <c r="N137" s="31">
        <f t="shared" si="14"/>
        <v>-2.736280728672269E-3</v>
      </c>
      <c r="O137" s="31">
        <f t="shared" ref="O137:O200" si="23">G136/G137-1</f>
        <v>1.6402258671686099E-3</v>
      </c>
      <c r="P137" s="31">
        <f t="shared" si="15"/>
        <v>-1.1759172154280906E-3</v>
      </c>
      <c r="Q137" s="31">
        <f t="shared" si="15"/>
        <v>-1.3768894403171084E-3</v>
      </c>
      <c r="R137" s="31">
        <f t="shared" si="15"/>
        <v>1.2428691918749735E-2</v>
      </c>
      <c r="T137" s="7">
        <f t="shared" si="16"/>
        <v>-7.7776958425182828E-3</v>
      </c>
      <c r="U137" s="7">
        <f t="shared" si="17"/>
        <v>-2.0936978851086069E-3</v>
      </c>
      <c r="V137" s="7">
        <f t="shared" si="18"/>
        <v>-3.0637647493373917E-3</v>
      </c>
      <c r="W137" s="7">
        <f t="shared" si="19"/>
        <v>-1.7710586954044149E-4</v>
      </c>
      <c r="X137" s="7">
        <f t="shared" si="20"/>
        <v>-4.925828947381472E-3</v>
      </c>
      <c r="Y137" s="7">
        <f t="shared" si="21"/>
        <v>-1.9368195959761237E-3</v>
      </c>
      <c r="Z137" s="7">
        <f t="shared" si="22"/>
        <v>1.2908341260951202E-2</v>
      </c>
      <c r="AM137" s="2">
        <v>134</v>
      </c>
      <c r="AN137" s="33">
        <v>1.1328590953873539E-2</v>
      </c>
      <c r="AO137" s="33">
        <v>6.9856544134829499E-4</v>
      </c>
    </row>
    <row r="138" spans="3:41" ht="14.4" x14ac:dyDescent="0.3">
      <c r="C138" s="24">
        <v>45912</v>
      </c>
      <c r="D138" s="25">
        <v>5462.8</v>
      </c>
      <c r="E138" s="26">
        <v>4.0599999999999996</v>
      </c>
      <c r="F138" s="27">
        <v>45834.22</v>
      </c>
      <c r="G138" s="27">
        <v>3686.4</v>
      </c>
      <c r="H138" s="28">
        <v>42.39</v>
      </c>
      <c r="I138" s="28">
        <v>657.41</v>
      </c>
      <c r="J138" s="27">
        <v>116042.8</v>
      </c>
      <c r="K138" s="27"/>
      <c r="L138" s="31">
        <f t="shared" ref="L138:O201" si="24">D137/D138-1</f>
        <v>-1.0068096946620475E-3</v>
      </c>
      <c r="M138" s="31">
        <f t="shared" si="24"/>
        <v>-6.4039408866994885E-3</v>
      </c>
      <c r="N138" s="31">
        <f t="shared" si="24"/>
        <v>1.0740883121824751E-3</v>
      </c>
      <c r="O138" s="31">
        <f t="shared" si="24"/>
        <v>8.8433159722220989E-3</v>
      </c>
      <c r="P138" s="31">
        <f t="shared" ref="P138:R201" si="25">H137/H138-1</f>
        <v>3.066761028544418E-3</v>
      </c>
      <c r="Q138" s="31">
        <f t="shared" si="25"/>
        <v>5.3239226662205041E-3</v>
      </c>
      <c r="R138" s="31">
        <f t="shared" si="25"/>
        <v>-5.8659391190146737E-3</v>
      </c>
      <c r="T138" s="7">
        <f t="shared" ref="T138:T201" si="26">L138-AC$8</f>
        <v>-8.5017903872872526E-4</v>
      </c>
      <c r="U138" s="7">
        <f t="shared" ref="U138:U201" si="27">M138-AD$8</f>
        <v>-6.5144954897059558E-3</v>
      </c>
      <c r="V138" s="7">
        <f t="shared" ref="V138:V201" si="28">N138-AE$8</f>
        <v>7.4660429151735225E-4</v>
      </c>
      <c r="W138" s="7">
        <f t="shared" ref="W138:W201" si="29">O138-AF$8</f>
        <v>7.0259842355130473E-3</v>
      </c>
      <c r="X138" s="7">
        <f t="shared" ref="X138:X201" si="30">P138-AG$8</f>
        <v>-6.8315070340896301E-4</v>
      </c>
      <c r="Y138" s="7">
        <f t="shared" ref="Y138:Y201" si="31">Q138-AH$8</f>
        <v>4.7639925105614888E-3</v>
      </c>
      <c r="Z138" s="7">
        <f t="shared" ref="Z138:Z201" si="32">R138-AI$8</f>
        <v>-5.3862897768132065E-3</v>
      </c>
      <c r="AM138" s="2">
        <v>135</v>
      </c>
      <c r="AN138" s="33">
        <v>1.080219253410737E-2</v>
      </c>
      <c r="AO138" s="33">
        <v>4.5943487590080387E-4</v>
      </c>
    </row>
    <row r="139" spans="3:41" ht="14.4" x14ac:dyDescent="0.3">
      <c r="C139" s="24">
        <v>45911</v>
      </c>
      <c r="D139" s="25">
        <v>5526.9</v>
      </c>
      <c r="E139" s="26">
        <v>4.0110000000000001</v>
      </c>
      <c r="F139" s="27">
        <v>46108</v>
      </c>
      <c r="G139" s="27">
        <v>3673.6</v>
      </c>
      <c r="H139" s="28">
        <v>41.7</v>
      </c>
      <c r="I139" s="28">
        <v>657.63</v>
      </c>
      <c r="J139" s="27">
        <v>115490.2</v>
      </c>
      <c r="K139" s="27"/>
      <c r="L139" s="31">
        <f t="shared" si="24"/>
        <v>-1.1597821563625099E-2</v>
      </c>
      <c r="M139" s="31">
        <f t="shared" si="24"/>
        <v>1.2216404886561838E-2</v>
      </c>
      <c r="N139" s="31">
        <f t="shared" si="24"/>
        <v>-5.9377982128914208E-3</v>
      </c>
      <c r="O139" s="31">
        <f t="shared" si="24"/>
        <v>3.4843205574912606E-3</v>
      </c>
      <c r="P139" s="31">
        <f t="shared" si="25"/>
        <v>1.6546762589928043E-2</v>
      </c>
      <c r="Q139" s="31">
        <f t="shared" si="25"/>
        <v>-3.3453461672983131E-4</v>
      </c>
      <c r="R139" s="31">
        <f t="shared" si="25"/>
        <v>4.7848215692760654E-3</v>
      </c>
      <c r="T139" s="7">
        <f t="shared" si="26"/>
        <v>-1.1441190907691776E-2</v>
      </c>
      <c r="U139" s="7">
        <f t="shared" si="27"/>
        <v>1.2105850283555371E-2</v>
      </c>
      <c r="V139" s="7">
        <f t="shared" si="28"/>
        <v>-6.2652822335565435E-3</v>
      </c>
      <c r="W139" s="7">
        <f t="shared" si="29"/>
        <v>1.6669888207822092E-3</v>
      </c>
      <c r="X139" s="7">
        <f t="shared" si="30"/>
        <v>1.2796850857974662E-2</v>
      </c>
      <c r="Y139" s="7">
        <f t="shared" si="31"/>
        <v>-8.9446477238884676E-4</v>
      </c>
      <c r="Z139" s="7">
        <f t="shared" si="32"/>
        <v>5.2644709114775326E-3</v>
      </c>
      <c r="AM139" s="2">
        <v>136</v>
      </c>
      <c r="AN139" s="33">
        <v>1.0980226803715519E-2</v>
      </c>
      <c r="AO139" s="33">
        <v>5.577323304352303E-4</v>
      </c>
    </row>
    <row r="140" spans="3:41" ht="14.4" x14ac:dyDescent="0.3">
      <c r="C140" s="24">
        <v>45910</v>
      </c>
      <c r="D140" s="25">
        <v>5311.6</v>
      </c>
      <c r="E140" s="26">
        <v>4.032</v>
      </c>
      <c r="F140" s="27">
        <v>45490.92</v>
      </c>
      <c r="G140" s="27">
        <v>3682</v>
      </c>
      <c r="H140" s="28">
        <v>41.13</v>
      </c>
      <c r="I140" s="28">
        <v>652.21</v>
      </c>
      <c r="J140" s="27">
        <v>113963.5</v>
      </c>
      <c r="K140" s="27"/>
      <c r="L140" s="31">
        <f t="shared" si="24"/>
        <v>4.0533925747420652E-2</v>
      </c>
      <c r="M140" s="31">
        <f t="shared" si="24"/>
        <v>-5.2083333333332593E-3</v>
      </c>
      <c r="N140" s="31">
        <f t="shared" si="24"/>
        <v>1.3564904820566381E-2</v>
      </c>
      <c r="O140" s="31">
        <f t="shared" si="24"/>
        <v>-2.2813688212928174E-3</v>
      </c>
      <c r="P140" s="31">
        <f t="shared" si="25"/>
        <v>1.3858497447118978E-2</v>
      </c>
      <c r="Q140" s="31">
        <f t="shared" si="25"/>
        <v>8.3102068352216563E-3</v>
      </c>
      <c r="R140" s="31">
        <f t="shared" si="25"/>
        <v>1.339639445962959E-2</v>
      </c>
      <c r="T140" s="7">
        <f t="shared" si="26"/>
        <v>4.0690556403353971E-2</v>
      </c>
      <c r="U140" s="7">
        <f t="shared" si="27"/>
        <v>-5.3188879363397267E-3</v>
      </c>
      <c r="V140" s="7">
        <f t="shared" si="28"/>
        <v>1.3237420799901258E-2</v>
      </c>
      <c r="W140" s="7">
        <f t="shared" si="29"/>
        <v>-4.0987005580018689E-3</v>
      </c>
      <c r="X140" s="7">
        <f t="shared" si="30"/>
        <v>1.0108585715165597E-2</v>
      </c>
      <c r="Y140" s="7">
        <f t="shared" si="31"/>
        <v>7.7502766795626409E-3</v>
      </c>
      <c r="Z140" s="7">
        <f t="shared" si="32"/>
        <v>1.3876043801831058E-2</v>
      </c>
      <c r="AM140" s="2">
        <v>137</v>
      </c>
      <c r="AN140" s="33">
        <v>1.15598570056838E-2</v>
      </c>
      <c r="AO140" s="33">
        <v>9.1673067957265709E-4</v>
      </c>
    </row>
    <row r="141" spans="3:41" ht="14.4" x14ac:dyDescent="0.3">
      <c r="C141" s="24">
        <v>45909</v>
      </c>
      <c r="D141" s="25">
        <v>5322.7</v>
      </c>
      <c r="E141" s="26">
        <v>4.0739999999999998</v>
      </c>
      <c r="F141" s="27">
        <v>45711.34</v>
      </c>
      <c r="G141" s="27">
        <v>3682.2</v>
      </c>
      <c r="H141" s="28">
        <v>40.880000000000003</v>
      </c>
      <c r="I141" s="28">
        <v>650.33000000000004</v>
      </c>
      <c r="J141" s="27">
        <v>111516.5</v>
      </c>
      <c r="K141" s="27"/>
      <c r="L141" s="31">
        <f t="shared" si="24"/>
        <v>-2.0854077817648031E-3</v>
      </c>
      <c r="M141" s="31">
        <f t="shared" si="24"/>
        <v>-1.0309278350515427E-2</v>
      </c>
      <c r="N141" s="31">
        <f t="shared" si="24"/>
        <v>-4.8219982175100595E-3</v>
      </c>
      <c r="O141" s="31">
        <f t="shared" si="24"/>
        <v>-5.4315354950817962E-5</v>
      </c>
      <c r="P141" s="31">
        <f t="shared" si="25"/>
        <v>6.1154598825832185E-3</v>
      </c>
      <c r="Q141" s="31">
        <f t="shared" si="25"/>
        <v>2.8908400350591279E-3</v>
      </c>
      <c r="R141" s="31">
        <f t="shared" si="25"/>
        <v>2.1942941179108111E-2</v>
      </c>
      <c r="T141" s="7">
        <f t="shared" si="26"/>
        <v>-1.9287771258314809E-3</v>
      </c>
      <c r="U141" s="7">
        <f t="shared" si="27"/>
        <v>-1.0419832953521894E-2</v>
      </c>
      <c r="V141" s="7">
        <f t="shared" si="28"/>
        <v>-5.1494822381751822E-3</v>
      </c>
      <c r="W141" s="7">
        <f t="shared" si="29"/>
        <v>-1.8716470916598693E-3</v>
      </c>
      <c r="X141" s="7">
        <f t="shared" si="30"/>
        <v>2.3655481506298375E-3</v>
      </c>
      <c r="Y141" s="7">
        <f t="shared" si="31"/>
        <v>2.3309098794001126E-3</v>
      </c>
      <c r="Z141" s="7">
        <f t="shared" si="32"/>
        <v>2.2422590521309578E-2</v>
      </c>
      <c r="AM141" s="2">
        <v>138</v>
      </c>
      <c r="AN141" s="33">
        <v>1.1146221950603833E-2</v>
      </c>
      <c r="AO141" s="33">
        <v>5.3619831988907811E-4</v>
      </c>
    </row>
    <row r="142" spans="3:41" ht="14.4" x14ac:dyDescent="0.3">
      <c r="C142" s="24">
        <v>45908</v>
      </c>
      <c r="D142" s="25">
        <v>5340.4</v>
      </c>
      <c r="E142" s="26">
        <v>4.0460000000000003</v>
      </c>
      <c r="F142" s="27">
        <v>45514.95</v>
      </c>
      <c r="G142" s="27">
        <v>3677.4</v>
      </c>
      <c r="H142" s="28">
        <v>41.43</v>
      </c>
      <c r="I142" s="28">
        <v>648.83000000000004</v>
      </c>
      <c r="J142" s="27">
        <v>112068.4</v>
      </c>
      <c r="K142" s="27"/>
      <c r="L142" s="31">
        <f t="shared" si="24"/>
        <v>-3.3143584750205957E-3</v>
      </c>
      <c r="M142" s="31">
        <f t="shared" si="24"/>
        <v>6.9204152249133788E-3</v>
      </c>
      <c r="N142" s="31">
        <f t="shared" si="24"/>
        <v>4.3148460011490641E-3</v>
      </c>
      <c r="O142" s="31">
        <f t="shared" si="24"/>
        <v>1.3052700277369489E-3</v>
      </c>
      <c r="P142" s="31">
        <f t="shared" si="25"/>
        <v>-1.3275404296403504E-2</v>
      </c>
      <c r="Q142" s="31">
        <f t="shared" si="25"/>
        <v>2.3118536442519044E-3</v>
      </c>
      <c r="R142" s="31">
        <f t="shared" si="25"/>
        <v>-4.9246710044936748E-3</v>
      </c>
      <c r="T142" s="7">
        <f t="shared" si="26"/>
        <v>-3.1577278190872736E-3</v>
      </c>
      <c r="U142" s="7">
        <f t="shared" si="27"/>
        <v>6.8098606219069114E-3</v>
      </c>
      <c r="V142" s="7">
        <f t="shared" si="28"/>
        <v>3.9873619804839415E-3</v>
      </c>
      <c r="W142" s="7">
        <f t="shared" si="29"/>
        <v>-5.1206170897210245E-4</v>
      </c>
      <c r="X142" s="7">
        <f t="shared" si="30"/>
        <v>-1.7025316028356885E-2</v>
      </c>
      <c r="Y142" s="7">
        <f t="shared" si="31"/>
        <v>1.7519234885928891E-3</v>
      </c>
      <c r="Z142" s="7">
        <f t="shared" si="32"/>
        <v>-4.4450216622922076E-3</v>
      </c>
      <c r="AM142" s="2">
        <v>139</v>
      </c>
      <c r="AN142" s="33">
        <v>1.219948436834804E-2</v>
      </c>
      <c r="AO142" s="33">
        <v>1.0625542705268315E-3</v>
      </c>
    </row>
    <row r="143" spans="3:41" ht="14.4" x14ac:dyDescent="0.3">
      <c r="C143" s="24">
        <v>45905</v>
      </c>
      <c r="D143" s="25">
        <v>5389.4</v>
      </c>
      <c r="E143" s="26">
        <v>4.0860000000000003</v>
      </c>
      <c r="F143" s="27">
        <v>45400.86</v>
      </c>
      <c r="G143" s="27">
        <v>3653.3</v>
      </c>
      <c r="H143" s="28">
        <v>41.07</v>
      </c>
      <c r="I143" s="28">
        <v>647.24</v>
      </c>
      <c r="J143" s="27">
        <v>110652.2</v>
      </c>
      <c r="K143" s="27"/>
      <c r="L143" s="31">
        <f t="shared" si="24"/>
        <v>-9.0919211786099075E-3</v>
      </c>
      <c r="M143" s="31">
        <f t="shared" si="24"/>
        <v>-9.7895252080274497E-3</v>
      </c>
      <c r="N143" s="31">
        <f t="shared" si="24"/>
        <v>2.5129479926151443E-3</v>
      </c>
      <c r="O143" s="31">
        <f t="shared" si="24"/>
        <v>6.5967755180247334E-3</v>
      </c>
      <c r="P143" s="31">
        <f t="shared" si="25"/>
        <v>8.765522279035709E-3</v>
      </c>
      <c r="Q143" s="31">
        <f t="shared" si="25"/>
        <v>2.4565848835054194E-3</v>
      </c>
      <c r="R143" s="31">
        <f t="shared" si="25"/>
        <v>1.2798661029785219E-2</v>
      </c>
      <c r="T143" s="7">
        <f t="shared" si="26"/>
        <v>-8.9352905226765846E-3</v>
      </c>
      <c r="U143" s="7">
        <f t="shared" si="27"/>
        <v>-9.9000798110339162E-3</v>
      </c>
      <c r="V143" s="7">
        <f t="shared" si="28"/>
        <v>2.1854639719500217E-3</v>
      </c>
      <c r="W143" s="7">
        <f t="shared" si="29"/>
        <v>4.7794437813156818E-3</v>
      </c>
      <c r="X143" s="7">
        <f t="shared" si="30"/>
        <v>5.0156105470823276E-3</v>
      </c>
      <c r="Y143" s="7">
        <f t="shared" si="31"/>
        <v>1.896654727846404E-3</v>
      </c>
      <c r="Z143" s="7">
        <f t="shared" si="32"/>
        <v>1.3278310371986686E-2</v>
      </c>
      <c r="AM143" s="2">
        <v>140</v>
      </c>
      <c r="AN143" s="33">
        <v>9.0862132717550882E-3</v>
      </c>
      <c r="AO143" s="33">
        <v>1.9624320838873392E-4</v>
      </c>
    </row>
    <row r="144" spans="3:41" ht="14.4" x14ac:dyDescent="0.3">
      <c r="C144" s="24">
        <v>45904</v>
      </c>
      <c r="D144" s="25">
        <v>5306</v>
      </c>
      <c r="E144" s="26">
        <v>4.1760000000000002</v>
      </c>
      <c r="F144" s="27">
        <v>45621.29</v>
      </c>
      <c r="G144" s="27">
        <v>3606.7</v>
      </c>
      <c r="H144" s="28">
        <v>40.909999999999997</v>
      </c>
      <c r="I144" s="28">
        <v>649.12</v>
      </c>
      <c r="J144" s="27">
        <v>110712.7</v>
      </c>
      <c r="K144" s="27"/>
      <c r="L144" s="31">
        <f t="shared" si="24"/>
        <v>1.5718055032039047E-2</v>
      </c>
      <c r="M144" s="31">
        <f t="shared" si="24"/>
        <v>-2.155172413793105E-2</v>
      </c>
      <c r="N144" s="31">
        <f t="shared" si="24"/>
        <v>-4.8317353586450063E-3</v>
      </c>
      <c r="O144" s="31">
        <f t="shared" si="24"/>
        <v>1.2920398147891587E-2</v>
      </c>
      <c r="P144" s="31">
        <f t="shared" si="25"/>
        <v>3.9110241994624317E-3</v>
      </c>
      <c r="Q144" s="31">
        <f t="shared" si="25"/>
        <v>-2.896228740448592E-3</v>
      </c>
      <c r="R144" s="31">
        <f t="shared" si="25"/>
        <v>-5.4645943961262322E-4</v>
      </c>
      <c r="T144" s="7">
        <f t="shared" si="26"/>
        <v>1.587468568797237E-2</v>
      </c>
      <c r="U144" s="7">
        <f t="shared" si="27"/>
        <v>-2.1662278740937516E-2</v>
      </c>
      <c r="V144" s="7">
        <f t="shared" si="28"/>
        <v>-5.1592193793101289E-3</v>
      </c>
      <c r="W144" s="7">
        <f t="shared" si="29"/>
        <v>1.1103066411182536E-2</v>
      </c>
      <c r="X144" s="7">
        <f t="shared" si="30"/>
        <v>1.6111246750905072E-4</v>
      </c>
      <c r="Y144" s="7">
        <f t="shared" si="31"/>
        <v>-3.4561588961076074E-3</v>
      </c>
      <c r="Z144" s="7">
        <f t="shared" si="32"/>
        <v>-6.6810097411156282E-5</v>
      </c>
      <c r="AM144" s="2">
        <v>141</v>
      </c>
      <c r="AN144" s="33">
        <v>1.2428837255259013E-2</v>
      </c>
      <c r="AO144" s="33">
        <v>6.4036308701441642E-4</v>
      </c>
    </row>
    <row r="145" spans="3:41" ht="14.4" x14ac:dyDescent="0.3">
      <c r="C145" s="24">
        <v>45903</v>
      </c>
      <c r="D145" s="25">
        <v>5233.1000000000004</v>
      </c>
      <c r="E145" s="26">
        <v>4.2110000000000003</v>
      </c>
      <c r="F145" s="27">
        <v>45271.23</v>
      </c>
      <c r="G145" s="27">
        <v>3635.5</v>
      </c>
      <c r="H145" s="28">
        <v>41.54</v>
      </c>
      <c r="I145" s="28">
        <v>643.74</v>
      </c>
      <c r="J145" s="27">
        <v>111716.5</v>
      </c>
      <c r="K145" s="27"/>
      <c r="L145" s="31">
        <f t="shared" si="24"/>
        <v>1.393055741338789E-2</v>
      </c>
      <c r="M145" s="31">
        <f t="shared" si="24"/>
        <v>-8.3115649489432508E-3</v>
      </c>
      <c r="N145" s="31">
        <f t="shared" si="24"/>
        <v>7.7325047276162184E-3</v>
      </c>
      <c r="O145" s="31">
        <f t="shared" si="24"/>
        <v>-7.9218814468436927E-3</v>
      </c>
      <c r="P145" s="31">
        <f t="shared" si="25"/>
        <v>-1.5166104959075666E-2</v>
      </c>
      <c r="Q145" s="31">
        <f t="shared" si="25"/>
        <v>8.3574113772642011E-3</v>
      </c>
      <c r="R145" s="31">
        <f t="shared" si="25"/>
        <v>-8.9852438986184335E-3</v>
      </c>
      <c r="T145" s="7">
        <f t="shared" si="26"/>
        <v>1.4087188069321212E-2</v>
      </c>
      <c r="U145" s="7">
        <f t="shared" si="27"/>
        <v>-8.4221195519497173E-3</v>
      </c>
      <c r="V145" s="7">
        <f t="shared" si="28"/>
        <v>7.4050207069510958E-3</v>
      </c>
      <c r="W145" s="7">
        <f t="shared" si="29"/>
        <v>-9.7392131835527442E-3</v>
      </c>
      <c r="X145" s="7">
        <f t="shared" si="30"/>
        <v>-1.8916016691029047E-2</v>
      </c>
      <c r="Y145" s="7">
        <f t="shared" si="31"/>
        <v>7.7974812216051858E-3</v>
      </c>
      <c r="Z145" s="7">
        <f t="shared" si="32"/>
        <v>-8.5055945564169663E-3</v>
      </c>
      <c r="AM145" s="2">
        <v>142</v>
      </c>
      <c r="AN145" s="33">
        <v>7.7347083171934658E-3</v>
      </c>
      <c r="AO145" s="33">
        <v>4.2111489313081241E-4</v>
      </c>
    </row>
    <row r="146" spans="3:41" ht="14.4" x14ac:dyDescent="0.3">
      <c r="C146" s="24">
        <v>45902</v>
      </c>
      <c r="D146" s="25">
        <v>5217.3999999999996</v>
      </c>
      <c r="E146" s="26">
        <v>4.2770000000000001</v>
      </c>
      <c r="F146" s="27">
        <v>45295.81</v>
      </c>
      <c r="G146" s="27">
        <v>3592.2</v>
      </c>
      <c r="H146" s="28">
        <v>41.07</v>
      </c>
      <c r="I146" s="28">
        <v>640.27</v>
      </c>
      <c r="J146" s="27">
        <v>111218.3</v>
      </c>
      <c r="K146" s="27"/>
      <c r="L146" s="31">
        <f t="shared" si="24"/>
        <v>3.0091616513974184E-3</v>
      </c>
      <c r="M146" s="31">
        <f t="shared" si="24"/>
        <v>-1.5431377133504731E-2</v>
      </c>
      <c r="N146" s="31">
        <f t="shared" si="24"/>
        <v>-5.4265504910933071E-4</v>
      </c>
      <c r="O146" s="31">
        <f t="shared" si="24"/>
        <v>1.2053894549301392E-2</v>
      </c>
      <c r="P146" s="31">
        <f t="shared" si="25"/>
        <v>1.1443876308741219E-2</v>
      </c>
      <c r="Q146" s="31">
        <f t="shared" si="25"/>
        <v>5.4195886110548486E-3</v>
      </c>
      <c r="R146" s="31">
        <f t="shared" si="25"/>
        <v>4.4794786469493086E-3</v>
      </c>
      <c r="T146" s="7">
        <f t="shared" si="26"/>
        <v>3.1657923073307405E-3</v>
      </c>
      <c r="U146" s="7">
        <f t="shared" si="27"/>
        <v>-1.5541931736511198E-2</v>
      </c>
      <c r="V146" s="7">
        <f t="shared" si="28"/>
        <v>-8.701390697744536E-4</v>
      </c>
      <c r="W146" s="7">
        <f t="shared" si="29"/>
        <v>1.023656281259234E-2</v>
      </c>
      <c r="X146" s="7">
        <f t="shared" si="30"/>
        <v>7.6939645767878373E-3</v>
      </c>
      <c r="Y146" s="7">
        <f t="shared" si="31"/>
        <v>4.8596584553958332E-3</v>
      </c>
      <c r="Z146" s="7">
        <f t="shared" si="32"/>
        <v>4.9591279891507759E-3</v>
      </c>
      <c r="AM146" s="2">
        <v>143</v>
      </c>
      <c r="AN146" s="33">
        <v>1.791833240966963E-2</v>
      </c>
      <c r="AO146" s="33">
        <v>1.7368325762639738E-3</v>
      </c>
    </row>
    <row r="147" spans="3:41" ht="14.4" x14ac:dyDescent="0.3">
      <c r="C147" s="24">
        <v>45898</v>
      </c>
      <c r="D147" s="25">
        <v>5279.7</v>
      </c>
      <c r="E147" s="26">
        <v>4.226</v>
      </c>
      <c r="F147" s="27">
        <v>45544.88</v>
      </c>
      <c r="G147" s="27">
        <v>3516.1</v>
      </c>
      <c r="H147" s="28">
        <v>40.200000000000003</v>
      </c>
      <c r="I147" s="28">
        <v>645.04999999999995</v>
      </c>
      <c r="J147" s="27">
        <v>108355.6</v>
      </c>
      <c r="K147" s="27"/>
      <c r="L147" s="31">
        <f t="shared" si="24"/>
        <v>-1.1799912873837526E-2</v>
      </c>
      <c r="M147" s="31">
        <f t="shared" si="24"/>
        <v>1.2068149550402252E-2</v>
      </c>
      <c r="N147" s="31">
        <f t="shared" si="24"/>
        <v>-5.468671780450407E-3</v>
      </c>
      <c r="O147" s="31">
        <f t="shared" si="24"/>
        <v>2.1643297972185005E-2</v>
      </c>
      <c r="P147" s="31">
        <f t="shared" si="25"/>
        <v>2.1641791044776149E-2</v>
      </c>
      <c r="Q147" s="31">
        <f t="shared" si="25"/>
        <v>-7.4102782730020023E-3</v>
      </c>
      <c r="R147" s="31">
        <f t="shared" si="25"/>
        <v>2.6419492855006999E-2</v>
      </c>
      <c r="T147" s="7">
        <f t="shared" si="26"/>
        <v>-1.1643282217904203E-2</v>
      </c>
      <c r="U147" s="7">
        <f t="shared" si="27"/>
        <v>1.1957594947395785E-2</v>
      </c>
      <c r="V147" s="7">
        <f t="shared" si="28"/>
        <v>-5.7961558011155297E-3</v>
      </c>
      <c r="W147" s="7">
        <f t="shared" si="29"/>
        <v>1.9825966235475955E-2</v>
      </c>
      <c r="X147" s="7">
        <f t="shared" si="30"/>
        <v>1.7891879312822767E-2</v>
      </c>
      <c r="Y147" s="7">
        <f t="shared" si="31"/>
        <v>-7.9702084286610176E-3</v>
      </c>
      <c r="Z147" s="7">
        <f t="shared" si="32"/>
        <v>2.6899142197208466E-2</v>
      </c>
      <c r="AM147" s="2">
        <v>144</v>
      </c>
      <c r="AN147" s="33">
        <v>1.5049530850127942E-2</v>
      </c>
      <c r="AO147" s="33">
        <v>1.3987496857236236E-3</v>
      </c>
    </row>
    <row r="148" spans="3:41" ht="14.4" x14ac:dyDescent="0.3">
      <c r="C148" s="24">
        <v>45897</v>
      </c>
      <c r="D148" s="25">
        <v>5246.2</v>
      </c>
      <c r="E148" s="26">
        <v>4.2069999999999999</v>
      </c>
      <c r="F148" s="27">
        <v>45636.9</v>
      </c>
      <c r="G148" s="27">
        <v>3474.3</v>
      </c>
      <c r="H148" s="28">
        <v>39.19</v>
      </c>
      <c r="I148" s="28">
        <v>648.91999999999996</v>
      </c>
      <c r="J148" s="27">
        <v>112568.9</v>
      </c>
      <c r="K148" s="27"/>
      <c r="L148" s="31">
        <f t="shared" si="24"/>
        <v>6.3855743204606075E-3</v>
      </c>
      <c r="M148" s="31">
        <f t="shared" si="24"/>
        <v>4.5162823864988155E-3</v>
      </c>
      <c r="N148" s="31">
        <f t="shared" si="24"/>
        <v>-2.0163508038452127E-3</v>
      </c>
      <c r="O148" s="31">
        <f t="shared" si="24"/>
        <v>1.2031200529603048E-2</v>
      </c>
      <c r="P148" s="31">
        <f t="shared" si="25"/>
        <v>2.5771880581781259E-2</v>
      </c>
      <c r="Q148" s="31">
        <f t="shared" si="25"/>
        <v>-5.9637551624237561E-3</v>
      </c>
      <c r="R148" s="31">
        <f t="shared" si="25"/>
        <v>-3.7428632597457989E-2</v>
      </c>
      <c r="T148" s="7">
        <f t="shared" si="26"/>
        <v>6.5422049763939295E-3</v>
      </c>
      <c r="U148" s="7">
        <f t="shared" si="27"/>
        <v>4.4057277834923482E-3</v>
      </c>
      <c r="V148" s="7">
        <f t="shared" si="28"/>
        <v>-2.3438348245103354E-3</v>
      </c>
      <c r="W148" s="7">
        <f t="shared" si="29"/>
        <v>1.0213868792893996E-2</v>
      </c>
      <c r="X148" s="7">
        <f t="shared" si="30"/>
        <v>2.2021968849827878E-2</v>
      </c>
      <c r="Y148" s="7">
        <f t="shared" si="31"/>
        <v>-6.5236853180827715E-3</v>
      </c>
      <c r="Z148" s="7">
        <f t="shared" si="32"/>
        <v>-3.6948983255256522E-2</v>
      </c>
      <c r="AM148" s="2">
        <v>145</v>
      </c>
      <c r="AN148" s="33">
        <v>1.0896297248089088E-2</v>
      </c>
      <c r="AO148" s="33">
        <v>8.688944530583191E-4</v>
      </c>
    </row>
    <row r="149" spans="3:41" ht="14.4" x14ac:dyDescent="0.3">
      <c r="C149" s="24">
        <v>45896</v>
      </c>
      <c r="D149" s="25">
        <v>5255.6</v>
      </c>
      <c r="E149" s="26">
        <v>4.2380000000000004</v>
      </c>
      <c r="F149" s="27">
        <v>45565.23</v>
      </c>
      <c r="G149" s="27">
        <v>3435.7</v>
      </c>
      <c r="H149" s="28">
        <v>38.69</v>
      </c>
      <c r="I149" s="28">
        <v>646.63</v>
      </c>
      <c r="J149" s="27">
        <v>111255.6</v>
      </c>
      <c r="K149" s="27"/>
      <c r="L149" s="31">
        <f t="shared" si="24"/>
        <v>-1.788568384199829E-3</v>
      </c>
      <c r="M149" s="31">
        <f t="shared" si="24"/>
        <v>-7.3147711184522457E-3</v>
      </c>
      <c r="N149" s="31">
        <f t="shared" si="24"/>
        <v>1.5729098700916211E-3</v>
      </c>
      <c r="O149" s="31">
        <f t="shared" si="24"/>
        <v>1.123497394999573E-2</v>
      </c>
      <c r="P149" s="31">
        <f t="shared" si="25"/>
        <v>1.2923235978288927E-2</v>
      </c>
      <c r="Q149" s="31">
        <f t="shared" si="25"/>
        <v>3.5414379165827903E-3</v>
      </c>
      <c r="R149" s="31">
        <f t="shared" si="25"/>
        <v>1.1804349623749211E-2</v>
      </c>
      <c r="T149" s="7">
        <f t="shared" si="26"/>
        <v>-1.6319377282665067E-3</v>
      </c>
      <c r="U149" s="7">
        <f t="shared" si="27"/>
        <v>-7.4253257214587131E-3</v>
      </c>
      <c r="V149" s="7">
        <f t="shared" si="28"/>
        <v>1.2454258494264982E-3</v>
      </c>
      <c r="W149" s="7">
        <f t="shared" si="29"/>
        <v>9.4176422132866786E-3</v>
      </c>
      <c r="X149" s="7">
        <f t="shared" si="30"/>
        <v>9.1733242463355458E-3</v>
      </c>
      <c r="Y149" s="7">
        <f t="shared" si="31"/>
        <v>2.9815077609237749E-3</v>
      </c>
      <c r="Z149" s="7">
        <f t="shared" si="32"/>
        <v>1.2283998965950678E-2</v>
      </c>
      <c r="AM149" s="2">
        <v>146</v>
      </c>
      <c r="AN149" s="33">
        <v>1.163780626347386E-2</v>
      </c>
      <c r="AO149" s="33">
        <v>5.6459022672568457E-4</v>
      </c>
    </row>
    <row r="150" spans="3:41" ht="14.4" x14ac:dyDescent="0.3">
      <c r="C150" s="24">
        <v>45895</v>
      </c>
      <c r="D150" s="25">
        <v>5243.3</v>
      </c>
      <c r="E150" s="26">
        <v>4.2560000000000002</v>
      </c>
      <c r="F150" s="27">
        <v>45418.07</v>
      </c>
      <c r="G150" s="27">
        <v>3420.1</v>
      </c>
      <c r="H150" s="28">
        <v>38.58</v>
      </c>
      <c r="I150" s="28">
        <v>645.16</v>
      </c>
      <c r="J150" s="27">
        <v>111768.6</v>
      </c>
      <c r="K150" s="27"/>
      <c r="L150" s="31">
        <f t="shared" si="24"/>
        <v>2.3458508954283808E-3</v>
      </c>
      <c r="M150" s="31">
        <f t="shared" si="24"/>
        <v>-4.2293233082706383E-3</v>
      </c>
      <c r="N150" s="31">
        <f t="shared" si="24"/>
        <v>3.2401200667488972E-3</v>
      </c>
      <c r="O150" s="31">
        <f t="shared" si="24"/>
        <v>4.5612701382999887E-3</v>
      </c>
      <c r="P150" s="31">
        <f t="shared" si="25"/>
        <v>2.8512182477966608E-3</v>
      </c>
      <c r="Q150" s="31">
        <f t="shared" si="25"/>
        <v>2.2785045570090645E-3</v>
      </c>
      <c r="R150" s="31">
        <f t="shared" si="25"/>
        <v>-4.5898400803088268E-3</v>
      </c>
      <c r="T150" s="7">
        <f t="shared" si="26"/>
        <v>2.5024815513617028E-3</v>
      </c>
      <c r="U150" s="7">
        <f t="shared" si="27"/>
        <v>-4.3398779112771057E-3</v>
      </c>
      <c r="V150" s="7">
        <f t="shared" si="28"/>
        <v>2.9126360460837745E-3</v>
      </c>
      <c r="W150" s="7">
        <f t="shared" si="29"/>
        <v>2.7439384015909372E-3</v>
      </c>
      <c r="X150" s="7">
        <f t="shared" si="30"/>
        <v>-8.9869348415672025E-4</v>
      </c>
      <c r="Y150" s="7">
        <f t="shared" si="31"/>
        <v>1.7185744013500492E-3</v>
      </c>
      <c r="Z150" s="7">
        <f t="shared" si="32"/>
        <v>-4.1101907381073596E-3</v>
      </c>
      <c r="AM150" s="2">
        <v>147</v>
      </c>
      <c r="AN150" s="33">
        <v>1.4694060352277476E-2</v>
      </c>
      <c r="AO150" s="33">
        <v>1.1397828598773186E-3</v>
      </c>
    </row>
    <row r="151" spans="3:41" ht="14.4" x14ac:dyDescent="0.3">
      <c r="C151" s="24">
        <v>45894</v>
      </c>
      <c r="D151" s="25">
        <v>5258</v>
      </c>
      <c r="E151" s="26">
        <v>4.2750000000000004</v>
      </c>
      <c r="F151" s="27">
        <v>45282.47</v>
      </c>
      <c r="G151" s="27">
        <v>3404.9</v>
      </c>
      <c r="H151" s="28">
        <v>38.68</v>
      </c>
      <c r="I151" s="28">
        <v>642.47</v>
      </c>
      <c r="J151" s="27">
        <v>110118.39999999999</v>
      </c>
      <c r="K151" s="27"/>
      <c r="L151" s="31">
        <f t="shared" si="24"/>
        <v>-2.7957398250284538E-3</v>
      </c>
      <c r="M151" s="31">
        <f t="shared" si="24"/>
        <v>-4.4444444444444731E-3</v>
      </c>
      <c r="N151" s="31">
        <f t="shared" si="24"/>
        <v>2.9945362962753297E-3</v>
      </c>
      <c r="O151" s="31">
        <f t="shared" si="24"/>
        <v>4.4641546007224697E-3</v>
      </c>
      <c r="P151" s="31">
        <f t="shared" si="25"/>
        <v>-2.585315408479838E-3</v>
      </c>
      <c r="Q151" s="31">
        <f t="shared" si="25"/>
        <v>4.186965928370201E-3</v>
      </c>
      <c r="R151" s="31">
        <f t="shared" si="25"/>
        <v>1.4985688132047148E-2</v>
      </c>
      <c r="T151" s="7">
        <f t="shared" si="26"/>
        <v>-2.6391091690951317E-3</v>
      </c>
      <c r="U151" s="7">
        <f t="shared" si="27"/>
        <v>-4.5549990474509404E-3</v>
      </c>
      <c r="V151" s="7">
        <f t="shared" si="28"/>
        <v>2.667052275610207E-3</v>
      </c>
      <c r="W151" s="7">
        <f t="shared" si="29"/>
        <v>2.6468228640134182E-3</v>
      </c>
      <c r="X151" s="7">
        <f t="shared" si="30"/>
        <v>-6.3352271404332194E-3</v>
      </c>
      <c r="Y151" s="7">
        <f t="shared" si="31"/>
        <v>3.6270357727111856E-3</v>
      </c>
      <c r="Z151" s="7">
        <f t="shared" si="32"/>
        <v>1.5465337474248615E-2</v>
      </c>
      <c r="AM151" s="2">
        <v>148</v>
      </c>
      <c r="AN151" s="33">
        <v>1.2505788823678306E-2</v>
      </c>
      <c r="AO151" s="33">
        <v>1.1334583840778871E-3</v>
      </c>
    </row>
    <row r="152" spans="3:41" ht="14.4" x14ac:dyDescent="0.3">
      <c r="C152" s="24">
        <v>45891</v>
      </c>
      <c r="D152" s="25">
        <v>5294.6</v>
      </c>
      <c r="E152" s="26">
        <v>4.258</v>
      </c>
      <c r="F152" s="27">
        <v>45631.74</v>
      </c>
      <c r="G152" s="27">
        <v>3405.8</v>
      </c>
      <c r="H152" s="28">
        <v>39</v>
      </c>
      <c r="I152" s="28">
        <v>645.30999999999995</v>
      </c>
      <c r="J152" s="27">
        <v>116928.9</v>
      </c>
      <c r="K152" s="27"/>
      <c r="L152" s="31">
        <f t="shared" si="24"/>
        <v>-6.9127035092358957E-3</v>
      </c>
      <c r="M152" s="31">
        <f t="shared" si="24"/>
        <v>3.9924847346173298E-3</v>
      </c>
      <c r="N152" s="31">
        <f t="shared" si="24"/>
        <v>-7.6541021666058917E-3</v>
      </c>
      <c r="O152" s="31">
        <f t="shared" si="24"/>
        <v>-2.6425509425098692E-4</v>
      </c>
      <c r="P152" s="31">
        <f t="shared" si="25"/>
        <v>-8.2051282051281982E-3</v>
      </c>
      <c r="Q152" s="31">
        <f t="shared" si="25"/>
        <v>-4.4009855728253111E-3</v>
      </c>
      <c r="R152" s="31">
        <f t="shared" si="25"/>
        <v>-5.8244796624273398E-2</v>
      </c>
      <c r="T152" s="7">
        <f t="shared" si="26"/>
        <v>-6.7560728533025737E-3</v>
      </c>
      <c r="U152" s="7">
        <f t="shared" si="27"/>
        <v>3.8819301316108628E-3</v>
      </c>
      <c r="V152" s="7">
        <f t="shared" si="28"/>
        <v>-7.9815861872710153E-3</v>
      </c>
      <c r="W152" s="7">
        <f t="shared" si="29"/>
        <v>-2.0815868309600385E-3</v>
      </c>
      <c r="X152" s="7">
        <f t="shared" si="30"/>
        <v>-1.195503993708158E-2</v>
      </c>
      <c r="Y152" s="7">
        <f t="shared" si="31"/>
        <v>-4.9609157284843265E-3</v>
      </c>
      <c r="Z152" s="7">
        <f t="shared" si="32"/>
        <v>-5.7765147282071931E-2</v>
      </c>
      <c r="AM152" s="2">
        <v>149</v>
      </c>
      <c r="AN152" s="33">
        <v>1.2566820645403773E-2</v>
      </c>
      <c r="AO152" s="33">
        <v>9.8487745534506102E-4</v>
      </c>
    </row>
    <row r="153" spans="3:41" ht="14.4" x14ac:dyDescent="0.3">
      <c r="C153" s="24">
        <v>45890</v>
      </c>
      <c r="D153" s="25">
        <v>5138.1000000000004</v>
      </c>
      <c r="E153" s="26">
        <v>4.3319999999999999</v>
      </c>
      <c r="F153" s="27">
        <v>44785.5</v>
      </c>
      <c r="G153" s="27">
        <v>3368.9</v>
      </c>
      <c r="H153" s="28">
        <v>38.03</v>
      </c>
      <c r="I153" s="28">
        <v>635.54999999999995</v>
      </c>
      <c r="J153" s="27">
        <v>112481.1</v>
      </c>
      <c r="K153" s="27"/>
      <c r="L153" s="31">
        <f t="shared" si="24"/>
        <v>3.045872988069509E-2</v>
      </c>
      <c r="M153" s="31">
        <f t="shared" si="24"/>
        <v>-1.7082179132040576E-2</v>
      </c>
      <c r="N153" s="31">
        <f t="shared" si="24"/>
        <v>1.8895401413403956E-2</v>
      </c>
      <c r="O153" s="31">
        <f t="shared" si="24"/>
        <v>1.0953130101813757E-2</v>
      </c>
      <c r="P153" s="31">
        <f t="shared" si="25"/>
        <v>2.5506179332106305E-2</v>
      </c>
      <c r="Q153" s="31">
        <f t="shared" si="25"/>
        <v>1.5356777594209836E-2</v>
      </c>
      <c r="R153" s="31">
        <f t="shared" si="25"/>
        <v>3.9542643164051539E-2</v>
      </c>
      <c r="T153" s="7">
        <f t="shared" si="26"/>
        <v>3.0615360536628413E-2</v>
      </c>
      <c r="U153" s="7">
        <f t="shared" si="27"/>
        <v>-1.7192733735047042E-2</v>
      </c>
      <c r="V153" s="7">
        <f t="shared" si="28"/>
        <v>1.8567917392738834E-2</v>
      </c>
      <c r="W153" s="7">
        <f t="shared" si="29"/>
        <v>9.1357983651047057E-3</v>
      </c>
      <c r="X153" s="7">
        <f t="shared" si="30"/>
        <v>2.1756267600152923E-2</v>
      </c>
      <c r="Y153" s="7">
        <f t="shared" si="31"/>
        <v>1.4796847438550821E-2</v>
      </c>
      <c r="Z153" s="7">
        <f t="shared" si="32"/>
        <v>4.0022292506253006E-2</v>
      </c>
      <c r="AM153" s="2">
        <v>150</v>
      </c>
      <c r="AN153" s="33">
        <v>1.3277361056262448E-2</v>
      </c>
      <c r="AO153" s="33">
        <v>1.286673209614143E-3</v>
      </c>
    </row>
    <row r="154" spans="3:41" ht="14.4" x14ac:dyDescent="0.3">
      <c r="C154" s="24">
        <v>45889</v>
      </c>
      <c r="D154" s="25">
        <v>5153.3</v>
      </c>
      <c r="E154" s="26">
        <v>4.2960000000000003</v>
      </c>
      <c r="F154" s="27">
        <v>44938.31</v>
      </c>
      <c r="G154" s="27">
        <v>3376</v>
      </c>
      <c r="H154" s="28">
        <v>37.71</v>
      </c>
      <c r="I154" s="28">
        <v>638.11</v>
      </c>
      <c r="J154" s="27">
        <v>114275</v>
      </c>
      <c r="K154" s="27"/>
      <c r="L154" s="31">
        <f t="shared" si="24"/>
        <v>-2.9495662973240133E-3</v>
      </c>
      <c r="M154" s="31">
        <f t="shared" si="24"/>
        <v>8.379888268156277E-3</v>
      </c>
      <c r="N154" s="31">
        <f t="shared" si="24"/>
        <v>-3.4004394023717799E-3</v>
      </c>
      <c r="O154" s="31">
        <f t="shared" si="24"/>
        <v>-2.103080568720328E-3</v>
      </c>
      <c r="P154" s="31">
        <f t="shared" si="25"/>
        <v>8.4858127817555307E-3</v>
      </c>
      <c r="Q154" s="31">
        <f t="shared" si="25"/>
        <v>-4.0118474871104759E-3</v>
      </c>
      <c r="R154" s="31">
        <f t="shared" si="25"/>
        <v>-1.56980966965653E-2</v>
      </c>
      <c r="T154" s="7">
        <f t="shared" si="26"/>
        <v>-2.7929356413906913E-3</v>
      </c>
      <c r="U154" s="7">
        <f t="shared" si="27"/>
        <v>8.2693336651498105E-3</v>
      </c>
      <c r="V154" s="7">
        <f t="shared" si="28"/>
        <v>-3.7279234230369026E-3</v>
      </c>
      <c r="W154" s="7">
        <f t="shared" si="29"/>
        <v>-3.9204123054293796E-3</v>
      </c>
      <c r="X154" s="7">
        <f t="shared" si="30"/>
        <v>4.7359010498021492E-3</v>
      </c>
      <c r="Y154" s="7">
        <f t="shared" si="31"/>
        <v>-4.5717776427694912E-3</v>
      </c>
      <c r="Z154" s="7">
        <f t="shared" si="32"/>
        <v>-1.5218447354363833E-2</v>
      </c>
      <c r="AM154" s="2">
        <v>151</v>
      </c>
      <c r="AN154" s="33">
        <v>9.9504785442984089E-3</v>
      </c>
      <c r="AO154" s="33">
        <v>5.821047454692477E-4</v>
      </c>
    </row>
    <row r="155" spans="3:41" ht="14.4" x14ac:dyDescent="0.3">
      <c r="C155" s="24">
        <v>45888</v>
      </c>
      <c r="D155" s="25">
        <v>5155.8999999999996</v>
      </c>
      <c r="E155" s="26">
        <v>4.3019999999999996</v>
      </c>
      <c r="F155" s="27">
        <v>44922.27</v>
      </c>
      <c r="G155" s="27">
        <v>3346.1</v>
      </c>
      <c r="H155" s="28">
        <v>37.26</v>
      </c>
      <c r="I155" s="28">
        <v>639.80999999999995</v>
      </c>
      <c r="J155" s="27">
        <v>112880.3</v>
      </c>
      <c r="K155" s="27"/>
      <c r="L155" s="31">
        <f t="shared" si="24"/>
        <v>-5.0427665393038001E-4</v>
      </c>
      <c r="M155" s="31">
        <f t="shared" si="24"/>
        <v>-1.3947001394698511E-3</v>
      </c>
      <c r="N155" s="31">
        <f t="shared" si="24"/>
        <v>3.5706120817136089E-4</v>
      </c>
      <c r="O155" s="31">
        <f t="shared" si="24"/>
        <v>8.9357759780042123E-3</v>
      </c>
      <c r="P155" s="31">
        <f t="shared" si="25"/>
        <v>1.2077294685990392E-2</v>
      </c>
      <c r="Q155" s="31">
        <f t="shared" si="25"/>
        <v>-2.6570388083961838E-3</v>
      </c>
      <c r="R155" s="31">
        <f t="shared" si="25"/>
        <v>1.2355566028793286E-2</v>
      </c>
      <c r="T155" s="7">
        <f t="shared" si="26"/>
        <v>-3.4764599799705777E-4</v>
      </c>
      <c r="U155" s="7">
        <f t="shared" si="27"/>
        <v>-1.505254742476318E-3</v>
      </c>
      <c r="V155" s="7">
        <f t="shared" si="28"/>
        <v>2.9577187506238053E-5</v>
      </c>
      <c r="W155" s="7">
        <f t="shared" si="29"/>
        <v>7.1184442412951607E-3</v>
      </c>
      <c r="X155" s="7">
        <f t="shared" si="30"/>
        <v>8.3273829540370103E-3</v>
      </c>
      <c r="Y155" s="7">
        <f t="shared" si="31"/>
        <v>-3.2169689640551991E-3</v>
      </c>
      <c r="Z155" s="7">
        <f t="shared" si="32"/>
        <v>1.2835215370994753E-2</v>
      </c>
      <c r="AM155" s="2">
        <v>152</v>
      </c>
      <c r="AN155" s="33">
        <v>9.2412659266069459E-3</v>
      </c>
      <c r="AO155" s="33">
        <v>9.2784047947613781E-4</v>
      </c>
    </row>
    <row r="156" spans="3:41" ht="14.4" x14ac:dyDescent="0.3">
      <c r="C156" s="24">
        <v>45887</v>
      </c>
      <c r="D156" s="25">
        <v>5076.1000000000004</v>
      </c>
      <c r="E156" s="26">
        <v>4.3390000000000004</v>
      </c>
      <c r="F156" s="27">
        <v>44911.82</v>
      </c>
      <c r="G156" s="27">
        <v>3365.4</v>
      </c>
      <c r="H156" s="28">
        <v>37.950000000000003</v>
      </c>
      <c r="I156" s="28">
        <v>643.29999999999995</v>
      </c>
      <c r="J156" s="27">
        <v>116203.8</v>
      </c>
      <c r="K156" s="27"/>
      <c r="L156" s="31">
        <f t="shared" si="24"/>
        <v>1.5720730482062795E-2</v>
      </c>
      <c r="M156" s="31">
        <f t="shared" si="24"/>
        <v>-8.527310440193725E-3</v>
      </c>
      <c r="N156" s="31">
        <f t="shared" si="24"/>
        <v>2.3267816801886276E-4</v>
      </c>
      <c r="O156" s="31">
        <f t="shared" si="24"/>
        <v>-5.7348309264872999E-3</v>
      </c>
      <c r="P156" s="31">
        <f t="shared" si="25"/>
        <v>-1.8181818181818299E-2</v>
      </c>
      <c r="Q156" s="31">
        <f t="shared" si="25"/>
        <v>-5.4251515622570912E-3</v>
      </c>
      <c r="R156" s="31">
        <f t="shared" si="25"/>
        <v>-2.8600613749292236E-2</v>
      </c>
      <c r="T156" s="7">
        <f t="shared" si="26"/>
        <v>1.5877361137996118E-2</v>
      </c>
      <c r="U156" s="7">
        <f t="shared" si="27"/>
        <v>-8.6378650432001915E-3</v>
      </c>
      <c r="V156" s="7">
        <f t="shared" si="28"/>
        <v>-9.4805852646260072E-5</v>
      </c>
      <c r="W156" s="7">
        <f t="shared" si="29"/>
        <v>-7.5521626631963514E-3</v>
      </c>
      <c r="X156" s="7">
        <f t="shared" si="30"/>
        <v>-2.193172991377168E-2</v>
      </c>
      <c r="Y156" s="7">
        <f t="shared" si="31"/>
        <v>-5.9850817179161065E-3</v>
      </c>
      <c r="Z156" s="7">
        <f t="shared" si="32"/>
        <v>-2.8120964407090769E-2</v>
      </c>
      <c r="AM156" s="2">
        <v>153</v>
      </c>
      <c r="AN156" s="33">
        <v>1.6755044672148028E-2</v>
      </c>
      <c r="AO156" s="33">
        <v>1.3199851301647434E-3</v>
      </c>
    </row>
    <row r="157" spans="3:41" ht="14.4" x14ac:dyDescent="0.3">
      <c r="C157" s="24">
        <v>45884</v>
      </c>
      <c r="D157" s="25">
        <v>5096.8999999999996</v>
      </c>
      <c r="E157" s="26">
        <v>4.3280000000000003</v>
      </c>
      <c r="F157" s="27">
        <v>44946.12</v>
      </c>
      <c r="G157" s="27">
        <v>3369.9</v>
      </c>
      <c r="H157" s="28">
        <v>37.89</v>
      </c>
      <c r="I157" s="28">
        <v>643.44000000000005</v>
      </c>
      <c r="J157" s="27">
        <v>117356.3</v>
      </c>
      <c r="K157" s="27"/>
      <c r="L157" s="31">
        <f t="shared" si="24"/>
        <v>-4.0809119268573335E-3</v>
      </c>
      <c r="M157" s="31">
        <f t="shared" si="24"/>
        <v>2.5415896487985812E-3</v>
      </c>
      <c r="N157" s="31">
        <f t="shared" si="24"/>
        <v>-7.6313595033350445E-4</v>
      </c>
      <c r="O157" s="31">
        <f t="shared" si="24"/>
        <v>-1.3353511973649423E-3</v>
      </c>
      <c r="P157" s="31">
        <f t="shared" si="25"/>
        <v>1.5835312747427555E-3</v>
      </c>
      <c r="Q157" s="31">
        <f t="shared" si="25"/>
        <v>-2.1758050478692947E-4</v>
      </c>
      <c r="R157" s="31">
        <f t="shared" si="25"/>
        <v>-9.8205209264436988E-3</v>
      </c>
      <c r="T157" s="7">
        <f t="shared" si="26"/>
        <v>-3.9242812709240115E-3</v>
      </c>
      <c r="U157" s="7">
        <f t="shared" si="27"/>
        <v>2.4310350457921143E-3</v>
      </c>
      <c r="V157" s="7">
        <f t="shared" si="28"/>
        <v>-1.0906199709986273E-3</v>
      </c>
      <c r="W157" s="7">
        <f t="shared" si="29"/>
        <v>-3.1526829340739939E-3</v>
      </c>
      <c r="X157" s="7">
        <f t="shared" si="30"/>
        <v>-2.1663804572106256E-3</v>
      </c>
      <c r="Y157" s="7">
        <f t="shared" si="31"/>
        <v>-7.7751066044594492E-4</v>
      </c>
      <c r="Z157" s="7">
        <f t="shared" si="32"/>
        <v>-9.3408715842422316E-3</v>
      </c>
      <c r="AM157" s="2">
        <v>154</v>
      </c>
      <c r="AN157" s="33">
        <v>1.3887413462306864E-2</v>
      </c>
      <c r="AO157" s="33">
        <v>1.0322852201684728E-3</v>
      </c>
    </row>
    <row r="158" spans="3:41" ht="14.4" x14ac:dyDescent="0.3">
      <c r="C158" s="24">
        <v>45883</v>
      </c>
      <c r="D158" s="25">
        <v>5079.5</v>
      </c>
      <c r="E158" s="26">
        <v>4.2930000000000001</v>
      </c>
      <c r="F158" s="27">
        <v>44911.26</v>
      </c>
      <c r="G158" s="27">
        <v>3370.4</v>
      </c>
      <c r="H158" s="28">
        <v>37.979999999999997</v>
      </c>
      <c r="I158" s="28">
        <v>644.95000000000005</v>
      </c>
      <c r="J158" s="27">
        <v>118314.2</v>
      </c>
      <c r="K158" s="27"/>
      <c r="L158" s="31">
        <f t="shared" si="24"/>
        <v>3.4255340092528286E-3</v>
      </c>
      <c r="M158" s="31">
        <f t="shared" si="24"/>
        <v>8.1528068949452415E-3</v>
      </c>
      <c r="N158" s="31">
        <f t="shared" si="24"/>
        <v>7.7619732779710127E-4</v>
      </c>
      <c r="O158" s="31">
        <f t="shared" si="24"/>
        <v>-1.4835034417282067E-4</v>
      </c>
      <c r="P158" s="31">
        <f t="shared" si="25"/>
        <v>-2.3696682464453556E-3</v>
      </c>
      <c r="Q158" s="31">
        <f t="shared" si="25"/>
        <v>-2.3412667648654573E-3</v>
      </c>
      <c r="R158" s="31">
        <f t="shared" si="25"/>
        <v>-8.0962386594338742E-3</v>
      </c>
      <c r="T158" s="7">
        <f t="shared" si="26"/>
        <v>3.5821646651861506E-3</v>
      </c>
      <c r="U158" s="7">
        <f t="shared" si="27"/>
        <v>8.042252291938775E-3</v>
      </c>
      <c r="V158" s="7">
        <f t="shared" si="28"/>
        <v>4.4871330713197843E-4</v>
      </c>
      <c r="W158" s="7">
        <f t="shared" si="29"/>
        <v>-1.9656820808818722E-3</v>
      </c>
      <c r="X158" s="7">
        <f t="shared" si="30"/>
        <v>-6.119579978398737E-3</v>
      </c>
      <c r="Y158" s="7">
        <f t="shared" si="31"/>
        <v>-2.9011969205244726E-3</v>
      </c>
      <c r="Z158" s="7">
        <f t="shared" si="32"/>
        <v>-7.616589317232407E-3</v>
      </c>
      <c r="AM158" s="2">
        <v>155</v>
      </c>
      <c r="AN158" s="33">
        <v>1.0384984930429907E-2</v>
      </c>
      <c r="AO158" s="33">
        <v>6.055752830247664E-4</v>
      </c>
    </row>
    <row r="159" spans="3:41" ht="14.4" x14ac:dyDescent="0.3">
      <c r="C159" s="24">
        <v>45882</v>
      </c>
      <c r="D159" s="25">
        <v>5100.5</v>
      </c>
      <c r="E159" s="26">
        <v>4.24</v>
      </c>
      <c r="F159" s="27">
        <v>44922.27</v>
      </c>
      <c r="G159" s="27">
        <v>3395.4</v>
      </c>
      <c r="H159" s="28">
        <v>38.5</v>
      </c>
      <c r="I159" s="28">
        <v>644.89</v>
      </c>
      <c r="J159" s="27">
        <v>123323.4</v>
      </c>
      <c r="K159" s="27"/>
      <c r="L159" s="31">
        <f t="shared" si="24"/>
        <v>-4.1172434075090747E-3</v>
      </c>
      <c r="M159" s="31">
        <f t="shared" si="24"/>
        <v>1.2499999999999956E-2</v>
      </c>
      <c r="N159" s="31">
        <f t="shared" si="24"/>
        <v>-2.4509001882577763E-4</v>
      </c>
      <c r="O159" s="31">
        <f t="shared" si="24"/>
        <v>-7.3629027507804423E-3</v>
      </c>
      <c r="P159" s="31">
        <f t="shared" si="25"/>
        <v>-1.3506493506493578E-2</v>
      </c>
      <c r="Q159" s="31">
        <f t="shared" si="25"/>
        <v>9.3039122951221742E-5</v>
      </c>
      <c r="R159" s="31">
        <f t="shared" si="25"/>
        <v>-4.0618406563555642E-2</v>
      </c>
      <c r="T159" s="7">
        <f t="shared" si="26"/>
        <v>-3.9606127515757527E-3</v>
      </c>
      <c r="U159" s="7">
        <f t="shared" si="27"/>
        <v>1.2389445396993489E-2</v>
      </c>
      <c r="V159" s="7">
        <f t="shared" si="28"/>
        <v>-5.7257403949090052E-4</v>
      </c>
      <c r="W159" s="7">
        <f t="shared" si="29"/>
        <v>-9.1802344874894939E-3</v>
      </c>
      <c r="X159" s="7">
        <f t="shared" si="30"/>
        <v>-1.7256405238446959E-2</v>
      </c>
      <c r="Y159" s="7">
        <f t="shared" si="31"/>
        <v>-4.6689103270779371E-4</v>
      </c>
      <c r="Z159" s="7">
        <f t="shared" si="32"/>
        <v>-4.0138757221354175E-2</v>
      </c>
      <c r="AM159" s="2">
        <v>156</v>
      </c>
      <c r="AN159" s="33">
        <v>1.206879804058637E-2</v>
      </c>
      <c r="AO159" s="33">
        <v>5.4282051235219264E-4</v>
      </c>
    </row>
    <row r="160" spans="3:41" ht="14.4" x14ac:dyDescent="0.3">
      <c r="C160" s="24">
        <v>45881</v>
      </c>
      <c r="D160" s="25">
        <v>5033</v>
      </c>
      <c r="E160" s="26">
        <v>4.2930000000000001</v>
      </c>
      <c r="F160" s="27">
        <v>44458.61</v>
      </c>
      <c r="G160" s="27">
        <v>3386</v>
      </c>
      <c r="H160" s="28">
        <v>37.9</v>
      </c>
      <c r="I160" s="28">
        <v>642.69000000000005</v>
      </c>
      <c r="J160" s="27">
        <v>120146.2</v>
      </c>
      <c r="K160" s="27"/>
      <c r="L160" s="31">
        <f t="shared" si="24"/>
        <v>1.3411484204251867E-2</v>
      </c>
      <c r="M160" s="31">
        <f t="shared" si="24"/>
        <v>-1.2345679012345623E-2</v>
      </c>
      <c r="N160" s="31">
        <f t="shared" si="24"/>
        <v>1.0429026008685227E-2</v>
      </c>
      <c r="O160" s="31">
        <f t="shared" si="24"/>
        <v>2.7761370348493575E-3</v>
      </c>
      <c r="P160" s="31">
        <f t="shared" si="25"/>
        <v>1.5831134564643801E-2</v>
      </c>
      <c r="Q160" s="31">
        <f t="shared" si="25"/>
        <v>3.4231122314023477E-3</v>
      </c>
      <c r="R160" s="31">
        <f t="shared" si="25"/>
        <v>2.644444851356087E-2</v>
      </c>
      <c r="T160" s="7">
        <f t="shared" si="26"/>
        <v>1.356811486018519E-2</v>
      </c>
      <c r="U160" s="7">
        <f t="shared" si="27"/>
        <v>-1.2456233615352089E-2</v>
      </c>
      <c r="V160" s="7">
        <f t="shared" si="28"/>
        <v>1.0101541988020104E-2</v>
      </c>
      <c r="W160" s="7">
        <f t="shared" si="29"/>
        <v>9.5880529814030614E-4</v>
      </c>
      <c r="X160" s="7">
        <f t="shared" si="30"/>
        <v>1.2081222832690419E-2</v>
      </c>
      <c r="Y160" s="7">
        <f t="shared" si="31"/>
        <v>2.8631820757433323E-3</v>
      </c>
      <c r="Z160" s="7">
        <f t="shared" si="32"/>
        <v>2.6924097855762337E-2</v>
      </c>
      <c r="AM160" s="2">
        <v>157</v>
      </c>
      <c r="AN160" s="33">
        <v>1.1373704036104043E-2</v>
      </c>
      <c r="AO160" s="33">
        <v>9.7805545042230387E-4</v>
      </c>
    </row>
    <row r="161" spans="3:41" ht="14.4" x14ac:dyDescent="0.3">
      <c r="C161" s="24">
        <v>45880</v>
      </c>
      <c r="D161" s="25">
        <v>4979</v>
      </c>
      <c r="E161" s="26">
        <v>4.2729999999999997</v>
      </c>
      <c r="F161" s="27">
        <v>43975.09</v>
      </c>
      <c r="G161" s="27">
        <v>3391.5</v>
      </c>
      <c r="H161" s="28">
        <v>37.659999999999997</v>
      </c>
      <c r="I161" s="28">
        <v>635.91999999999996</v>
      </c>
      <c r="J161" s="27">
        <v>118689.60000000001</v>
      </c>
      <c r="K161" s="27"/>
      <c r="L161" s="31">
        <f t="shared" si="24"/>
        <v>1.0845551315525226E-2</v>
      </c>
      <c r="M161" s="31">
        <f t="shared" si="24"/>
        <v>4.6805523051720588E-3</v>
      </c>
      <c r="N161" s="31">
        <f t="shared" si="24"/>
        <v>1.0995315757170721E-2</v>
      </c>
      <c r="O161" s="31">
        <f t="shared" si="24"/>
        <v>-1.6217013121038182E-3</v>
      </c>
      <c r="P161" s="31">
        <f t="shared" si="25"/>
        <v>6.3728093467871894E-3</v>
      </c>
      <c r="Q161" s="31">
        <f t="shared" si="25"/>
        <v>1.0645993206692905E-2</v>
      </c>
      <c r="R161" s="31">
        <f t="shared" si="25"/>
        <v>1.2272347366576231E-2</v>
      </c>
      <c r="T161" s="7">
        <f t="shared" si="26"/>
        <v>1.1002181971458549E-2</v>
      </c>
      <c r="U161" s="7">
        <f t="shared" si="27"/>
        <v>4.5699977021655914E-3</v>
      </c>
      <c r="V161" s="7">
        <f t="shared" si="28"/>
        <v>1.0667831736505597E-2</v>
      </c>
      <c r="W161" s="7">
        <f t="shared" si="29"/>
        <v>-3.4390330488128697E-3</v>
      </c>
      <c r="X161" s="7">
        <f t="shared" si="30"/>
        <v>2.6228976148338083E-3</v>
      </c>
      <c r="Y161" s="7">
        <f t="shared" si="31"/>
        <v>1.008606305103389E-2</v>
      </c>
      <c r="Z161" s="7">
        <f t="shared" si="32"/>
        <v>1.2751996708777698E-2</v>
      </c>
      <c r="AM161" s="2">
        <v>158</v>
      </c>
      <c r="AN161" s="33">
        <v>1.3176527752510955E-2</v>
      </c>
      <c r="AO161" s="33">
        <v>6.3259421741771989E-4</v>
      </c>
    </row>
    <row r="162" spans="3:41" ht="14.4" x14ac:dyDescent="0.3">
      <c r="C162" s="24">
        <v>45877</v>
      </c>
      <c r="D162" s="25">
        <v>5005.7</v>
      </c>
      <c r="E162" s="26">
        <v>4.2830000000000004</v>
      </c>
      <c r="F162" s="27">
        <v>44175.61</v>
      </c>
      <c r="G162" s="27">
        <v>3478.6</v>
      </c>
      <c r="H162" s="28">
        <v>38.42</v>
      </c>
      <c r="I162" s="28">
        <v>637.17999999999995</v>
      </c>
      <c r="J162" s="27">
        <v>116676.3</v>
      </c>
      <c r="K162" s="27"/>
      <c r="L162" s="31">
        <f t="shared" si="24"/>
        <v>-5.3339193319614786E-3</v>
      </c>
      <c r="M162" s="31">
        <f t="shared" si="24"/>
        <v>-2.334812047630308E-3</v>
      </c>
      <c r="N162" s="31">
        <f t="shared" si="24"/>
        <v>-4.5391563353625042E-3</v>
      </c>
      <c r="O162" s="31">
        <f t="shared" si="24"/>
        <v>-2.5038808716150163E-2</v>
      </c>
      <c r="P162" s="31">
        <f t="shared" si="25"/>
        <v>-1.9781363872982904E-2</v>
      </c>
      <c r="Q162" s="31">
        <f t="shared" si="25"/>
        <v>-1.9774631972127032E-3</v>
      </c>
      <c r="R162" s="31">
        <f t="shared" si="25"/>
        <v>1.7255432337158538E-2</v>
      </c>
      <c r="T162" s="7">
        <f t="shared" si="26"/>
        <v>-5.1772886760281566E-3</v>
      </c>
      <c r="U162" s="7">
        <f t="shared" si="27"/>
        <v>-2.445366650636775E-3</v>
      </c>
      <c r="V162" s="7">
        <f t="shared" si="28"/>
        <v>-4.8666403560276269E-3</v>
      </c>
      <c r="W162" s="7">
        <f t="shared" si="29"/>
        <v>-2.6856140452859213E-2</v>
      </c>
      <c r="X162" s="7">
        <f t="shared" si="30"/>
        <v>-2.3531275604936286E-2</v>
      </c>
      <c r="Y162" s="7">
        <f t="shared" si="31"/>
        <v>-2.5373933528717186E-3</v>
      </c>
      <c r="Z162" s="7">
        <f t="shared" si="32"/>
        <v>1.7735081679360006E-2</v>
      </c>
      <c r="AM162" s="2">
        <v>159</v>
      </c>
      <c r="AN162" s="33">
        <v>9.148405373647377E-3</v>
      </c>
      <c r="AO162" s="33">
        <v>5.5453908572775969E-4</v>
      </c>
    </row>
    <row r="163" spans="3:41" ht="14.4" x14ac:dyDescent="0.3">
      <c r="C163" s="24">
        <v>45876</v>
      </c>
      <c r="D163" s="25">
        <v>5044.7</v>
      </c>
      <c r="E163" s="26">
        <v>4.2439999999999998</v>
      </c>
      <c r="F163" s="27">
        <v>43968.639999999999</v>
      </c>
      <c r="G163" s="27">
        <v>3440.7</v>
      </c>
      <c r="H163" s="28">
        <v>38.159999999999997</v>
      </c>
      <c r="I163" s="28">
        <v>632.25</v>
      </c>
      <c r="J163" s="27">
        <v>117480.5</v>
      </c>
      <c r="K163" s="27"/>
      <c r="L163" s="31">
        <f t="shared" si="24"/>
        <v>-7.7308858802307423E-3</v>
      </c>
      <c r="M163" s="31">
        <f t="shared" si="24"/>
        <v>9.1894439208295431E-3</v>
      </c>
      <c r="N163" s="31">
        <f t="shared" si="24"/>
        <v>4.7072185994381233E-3</v>
      </c>
      <c r="O163" s="31">
        <f t="shared" si="24"/>
        <v>1.1015200395268376E-2</v>
      </c>
      <c r="P163" s="31">
        <f t="shared" si="25"/>
        <v>6.8134171907758834E-3</v>
      </c>
      <c r="Q163" s="31">
        <f t="shared" si="25"/>
        <v>7.7975484381178628E-3</v>
      </c>
      <c r="R163" s="31">
        <f t="shared" si="25"/>
        <v>-6.8453913628219176E-3</v>
      </c>
      <c r="T163" s="7">
        <f t="shared" si="26"/>
        <v>-7.5742552242974203E-3</v>
      </c>
      <c r="U163" s="7">
        <f t="shared" si="27"/>
        <v>9.0788893178230766E-3</v>
      </c>
      <c r="V163" s="7">
        <f t="shared" si="28"/>
        <v>4.3797345787730006E-3</v>
      </c>
      <c r="W163" s="7">
        <f t="shared" si="29"/>
        <v>9.1978686585593248E-3</v>
      </c>
      <c r="X163" s="7">
        <f t="shared" si="30"/>
        <v>3.0635054588225023E-3</v>
      </c>
      <c r="Y163" s="7">
        <f t="shared" si="31"/>
        <v>7.2376182824588475E-3</v>
      </c>
      <c r="Z163" s="7">
        <f t="shared" si="32"/>
        <v>-6.3657420206204504E-3</v>
      </c>
      <c r="AM163" s="2">
        <v>160</v>
      </c>
      <c r="AN163" s="33">
        <v>9.3286154769217904E-3</v>
      </c>
      <c r="AO163" s="33">
        <v>8.4381424934914248E-4</v>
      </c>
    </row>
    <row r="164" spans="3:41" ht="14.4" x14ac:dyDescent="0.3">
      <c r="C164" s="24">
        <v>45875</v>
      </c>
      <c r="D164" s="25">
        <v>5037.2</v>
      </c>
      <c r="E164" s="26">
        <v>4.218</v>
      </c>
      <c r="F164" s="27">
        <v>44193.120000000003</v>
      </c>
      <c r="G164" s="27">
        <v>3420.5</v>
      </c>
      <c r="H164" s="28">
        <v>37.770000000000003</v>
      </c>
      <c r="I164" s="28">
        <v>632.78</v>
      </c>
      <c r="J164" s="27">
        <v>115002.1</v>
      </c>
      <c r="K164" s="27"/>
      <c r="L164" s="31">
        <f t="shared" si="24"/>
        <v>1.4889224172158766E-3</v>
      </c>
      <c r="M164" s="31">
        <f t="shared" si="24"/>
        <v>6.1640587956377502E-3</v>
      </c>
      <c r="N164" s="31">
        <f t="shared" si="24"/>
        <v>-5.0795236905655239E-3</v>
      </c>
      <c r="O164" s="31">
        <f t="shared" si="24"/>
        <v>5.9055693612044546E-3</v>
      </c>
      <c r="P164" s="31">
        <f t="shared" si="25"/>
        <v>1.0325655281969714E-2</v>
      </c>
      <c r="Q164" s="31">
        <f t="shared" si="25"/>
        <v>-8.3757388033756097E-4</v>
      </c>
      <c r="R164" s="31">
        <f t="shared" si="25"/>
        <v>2.1550910809454704E-2</v>
      </c>
      <c r="T164" s="7">
        <f t="shared" si="26"/>
        <v>1.6455530731491988E-3</v>
      </c>
      <c r="U164" s="7">
        <f t="shared" si="27"/>
        <v>6.0535041926312828E-3</v>
      </c>
      <c r="V164" s="7">
        <f t="shared" si="28"/>
        <v>-5.4070077112306466E-3</v>
      </c>
      <c r="W164" s="7">
        <f t="shared" si="29"/>
        <v>4.0882376244954031E-3</v>
      </c>
      <c r="X164" s="7">
        <f t="shared" si="30"/>
        <v>6.575743550016333E-3</v>
      </c>
      <c r="Y164" s="7">
        <f t="shared" si="31"/>
        <v>-1.3975040359965763E-3</v>
      </c>
      <c r="Z164" s="7">
        <f t="shared" si="32"/>
        <v>2.2030560151656171E-2</v>
      </c>
      <c r="AM164" s="2">
        <v>161</v>
      </c>
      <c r="AN164" s="33">
        <v>9.8494929221876349E-3</v>
      </c>
      <c r="AO164" s="33">
        <v>2.3212819304730949E-4</v>
      </c>
    </row>
    <row r="165" spans="3:41" ht="14.4" x14ac:dyDescent="0.3">
      <c r="C165" s="24">
        <v>45874</v>
      </c>
      <c r="D165" s="25">
        <v>5093.3999999999996</v>
      </c>
      <c r="E165" s="26">
        <v>4.1959999999999997</v>
      </c>
      <c r="F165" s="27">
        <v>44111.74</v>
      </c>
      <c r="G165" s="27">
        <v>3422.2</v>
      </c>
      <c r="H165" s="28">
        <v>37.69</v>
      </c>
      <c r="I165" s="28">
        <v>627.97</v>
      </c>
      <c r="J165" s="27">
        <v>114139.1</v>
      </c>
      <c r="K165" s="27"/>
      <c r="L165" s="31">
        <f t="shared" si="24"/>
        <v>-1.1033886991007935E-2</v>
      </c>
      <c r="M165" s="31">
        <f t="shared" si="24"/>
        <v>5.2430886558627599E-3</v>
      </c>
      <c r="N165" s="31">
        <f t="shared" si="24"/>
        <v>1.8448603478349312E-3</v>
      </c>
      <c r="O165" s="31">
        <f t="shared" si="24"/>
        <v>-4.9675647244462606E-4</v>
      </c>
      <c r="P165" s="31">
        <f t="shared" si="25"/>
        <v>2.1225789334042844E-3</v>
      </c>
      <c r="Q165" s="31">
        <f t="shared" si="25"/>
        <v>7.6596015733234601E-3</v>
      </c>
      <c r="R165" s="31">
        <f t="shared" si="25"/>
        <v>7.560949753414814E-3</v>
      </c>
      <c r="T165" s="7">
        <f t="shared" si="26"/>
        <v>-1.0877256335074612E-2</v>
      </c>
      <c r="U165" s="7">
        <f t="shared" si="27"/>
        <v>5.1325340528562925E-3</v>
      </c>
      <c r="V165" s="7">
        <f t="shared" si="28"/>
        <v>1.5173763271698084E-3</v>
      </c>
      <c r="W165" s="7">
        <f t="shared" si="29"/>
        <v>-2.3140882091536776E-3</v>
      </c>
      <c r="X165" s="7">
        <f t="shared" si="30"/>
        <v>-1.6273327985490966E-3</v>
      </c>
      <c r="Y165" s="7">
        <f t="shared" si="31"/>
        <v>7.0996714176644448E-3</v>
      </c>
      <c r="Z165" s="7">
        <f t="shared" si="32"/>
        <v>8.0405990956162812E-3</v>
      </c>
      <c r="AM165" s="2">
        <v>162</v>
      </c>
      <c r="AN165" s="33">
        <v>1.5235710618262153E-2</v>
      </c>
      <c r="AO165" s="33">
        <v>1.2920939970764835E-3</v>
      </c>
    </row>
    <row r="166" spans="3:41" ht="14.4" x14ac:dyDescent="0.3">
      <c r="C166" s="24">
        <v>45873</v>
      </c>
      <c r="D166" s="25">
        <v>5069.6000000000004</v>
      </c>
      <c r="E166" s="26">
        <v>4.1980000000000004</v>
      </c>
      <c r="F166" s="27">
        <v>44173.64</v>
      </c>
      <c r="G166" s="27">
        <v>3413.9</v>
      </c>
      <c r="H166" s="28">
        <v>37.19</v>
      </c>
      <c r="I166" s="28">
        <v>631.16999999999996</v>
      </c>
      <c r="J166" s="27">
        <v>115055.3</v>
      </c>
      <c r="K166" s="27"/>
      <c r="L166" s="31">
        <f t="shared" si="24"/>
        <v>4.6946504655198673E-3</v>
      </c>
      <c r="M166" s="31">
        <f t="shared" si="24"/>
        <v>-4.7641734159142857E-4</v>
      </c>
      <c r="N166" s="31">
        <f t="shared" si="24"/>
        <v>-1.4012881890648199E-3</v>
      </c>
      <c r="O166" s="31">
        <f t="shared" si="24"/>
        <v>2.4312370016694729E-3</v>
      </c>
      <c r="P166" s="31">
        <f t="shared" si="25"/>
        <v>1.3444474321054001E-2</v>
      </c>
      <c r="Q166" s="31">
        <f t="shared" si="25"/>
        <v>-5.0699494589412364E-3</v>
      </c>
      <c r="R166" s="31">
        <f t="shared" si="25"/>
        <v>-7.9631272961784294E-3</v>
      </c>
      <c r="T166" s="7">
        <f t="shared" si="26"/>
        <v>4.8512811214531893E-3</v>
      </c>
      <c r="U166" s="7">
        <f t="shared" si="27"/>
        <v>-5.869719445978956E-4</v>
      </c>
      <c r="V166" s="7">
        <f t="shared" si="28"/>
        <v>-1.7287722097299428E-3</v>
      </c>
      <c r="W166" s="7">
        <f t="shared" si="29"/>
        <v>6.1390526496042153E-4</v>
      </c>
      <c r="X166" s="7">
        <f t="shared" si="30"/>
        <v>9.6945625891006193E-3</v>
      </c>
      <c r="Y166" s="7">
        <f t="shared" si="31"/>
        <v>-5.6298796146002517E-3</v>
      </c>
      <c r="Z166" s="7">
        <f t="shared" si="32"/>
        <v>-7.4834779539769622E-3</v>
      </c>
      <c r="AM166" s="2">
        <v>163</v>
      </c>
      <c r="AN166" s="33">
        <v>1.4680693343835451E-2</v>
      </c>
      <c r="AO166" s="33">
        <v>1.4317705700312852E-3</v>
      </c>
    </row>
    <row r="167" spans="3:41" ht="14.4" x14ac:dyDescent="0.3">
      <c r="C167" s="24">
        <v>45870</v>
      </c>
      <c r="D167" s="25">
        <v>5007.8</v>
      </c>
      <c r="E167" s="26">
        <v>4.22</v>
      </c>
      <c r="F167" s="27">
        <v>43588.58</v>
      </c>
      <c r="G167" s="27">
        <v>3387.5</v>
      </c>
      <c r="H167" s="28">
        <v>36.79</v>
      </c>
      <c r="I167" s="28">
        <v>621.72</v>
      </c>
      <c r="J167" s="27">
        <v>113312.1</v>
      </c>
      <c r="K167" s="27"/>
      <c r="L167" s="31">
        <f t="shared" si="24"/>
        <v>1.234074843244537E-2</v>
      </c>
      <c r="M167" s="31">
        <f t="shared" si="24"/>
        <v>-5.2132701421799821E-3</v>
      </c>
      <c r="N167" s="31">
        <f t="shared" si="24"/>
        <v>1.3422323002951542E-2</v>
      </c>
      <c r="O167" s="31">
        <f t="shared" si="24"/>
        <v>7.7933579335793812E-3</v>
      </c>
      <c r="P167" s="31">
        <f t="shared" si="25"/>
        <v>1.0872519706441874E-2</v>
      </c>
      <c r="Q167" s="31">
        <f t="shared" si="25"/>
        <v>1.519976838448156E-2</v>
      </c>
      <c r="R167" s="31">
        <f t="shared" si="25"/>
        <v>1.5384058719236426E-2</v>
      </c>
      <c r="T167" s="7">
        <f t="shared" si="26"/>
        <v>1.2497379088378693E-2</v>
      </c>
      <c r="U167" s="7">
        <f t="shared" si="27"/>
        <v>-5.3238247451864494E-3</v>
      </c>
      <c r="V167" s="7">
        <f t="shared" si="28"/>
        <v>1.3094838982286418E-2</v>
      </c>
      <c r="W167" s="7">
        <f t="shared" si="29"/>
        <v>5.9760261968703297E-3</v>
      </c>
      <c r="X167" s="7">
        <f t="shared" si="30"/>
        <v>7.1226079744884929E-3</v>
      </c>
      <c r="Y167" s="7">
        <f t="shared" si="31"/>
        <v>1.4639838228822545E-2</v>
      </c>
      <c r="Z167" s="7">
        <f t="shared" si="32"/>
        <v>1.5863708061437894E-2</v>
      </c>
      <c r="AM167" s="2">
        <v>164</v>
      </c>
      <c r="AN167" s="33">
        <v>1.1054327115081312E-2</v>
      </c>
      <c r="AO167" s="33">
        <v>6.8138663540051234E-4</v>
      </c>
    </row>
    <row r="168" spans="3:41" ht="14.4" x14ac:dyDescent="0.3">
      <c r="C168" s="24">
        <v>45869</v>
      </c>
      <c r="D168" s="25">
        <v>5019.8999999999996</v>
      </c>
      <c r="E168" s="26">
        <v>4.3600000000000003</v>
      </c>
      <c r="F168" s="27">
        <v>44130.98</v>
      </c>
      <c r="G168" s="27">
        <v>3335.9</v>
      </c>
      <c r="H168" s="28">
        <v>36.549999999999997</v>
      </c>
      <c r="I168" s="28">
        <v>632.08000000000004</v>
      </c>
      <c r="J168" s="27">
        <v>115765</v>
      </c>
      <c r="K168" s="27"/>
      <c r="L168" s="31">
        <f t="shared" si="24"/>
        <v>-2.4104065818043585E-3</v>
      </c>
      <c r="M168" s="31">
        <f t="shared" si="24"/>
        <v>-3.2110091743119407E-2</v>
      </c>
      <c r="N168" s="31">
        <f t="shared" si="24"/>
        <v>-1.2290685590938599E-2</v>
      </c>
      <c r="O168" s="31">
        <f t="shared" si="24"/>
        <v>1.5468089571030186E-2</v>
      </c>
      <c r="P168" s="31">
        <f t="shared" si="25"/>
        <v>6.5663474692203572E-3</v>
      </c>
      <c r="Q168" s="31">
        <f t="shared" si="25"/>
        <v>-1.6390330337931913E-2</v>
      </c>
      <c r="R168" s="31">
        <f t="shared" si="25"/>
        <v>-2.1188614866323952E-2</v>
      </c>
      <c r="T168" s="7">
        <f t="shared" si="26"/>
        <v>-2.2537759258710365E-3</v>
      </c>
      <c r="U168" s="7">
        <f t="shared" si="27"/>
        <v>-3.2220646346125877E-2</v>
      </c>
      <c r="V168" s="7">
        <f t="shared" si="28"/>
        <v>-1.2618169611603723E-2</v>
      </c>
      <c r="W168" s="7">
        <f t="shared" si="29"/>
        <v>1.3650757834321134E-2</v>
      </c>
      <c r="X168" s="7">
        <f t="shared" si="30"/>
        <v>2.8164357372669761E-3</v>
      </c>
      <c r="Y168" s="7">
        <f t="shared" si="31"/>
        <v>-1.695026049359093E-2</v>
      </c>
      <c r="Z168" s="7">
        <f t="shared" si="32"/>
        <v>-2.0708965524122484E-2</v>
      </c>
      <c r="AM168" s="2">
        <v>165</v>
      </c>
      <c r="AN168" s="33">
        <v>8.8160127720606288E-3</v>
      </c>
      <c r="AO168" s="33">
        <v>5.4762291634739705E-4</v>
      </c>
    </row>
    <row r="169" spans="3:41" ht="14.4" x14ac:dyDescent="0.3">
      <c r="C169" s="24">
        <v>45868</v>
      </c>
      <c r="D169" s="25">
        <v>5091.8999999999996</v>
      </c>
      <c r="E169" s="26">
        <v>4.3780000000000001</v>
      </c>
      <c r="F169" s="27">
        <v>44461.279999999999</v>
      </c>
      <c r="G169" s="27">
        <v>3340</v>
      </c>
      <c r="H169" s="28">
        <v>37.57</v>
      </c>
      <c r="I169" s="28">
        <v>634.46</v>
      </c>
      <c r="J169" s="27">
        <v>117840.4</v>
      </c>
      <c r="K169" s="27"/>
      <c r="L169" s="31">
        <f t="shared" si="24"/>
        <v>-1.4140104872444437E-2</v>
      </c>
      <c r="M169" s="31">
        <f t="shared" si="24"/>
        <v>-4.1114664230241793E-3</v>
      </c>
      <c r="N169" s="31">
        <f t="shared" si="24"/>
        <v>-7.4289359190737869E-3</v>
      </c>
      <c r="O169" s="31">
        <f t="shared" si="24"/>
        <v>-1.2275449101796232E-3</v>
      </c>
      <c r="P169" s="31">
        <f t="shared" si="25"/>
        <v>-2.7149321266968451E-2</v>
      </c>
      <c r="Q169" s="31">
        <f t="shared" si="25"/>
        <v>-3.7512215112063263E-3</v>
      </c>
      <c r="R169" s="31">
        <f t="shared" si="25"/>
        <v>-1.7611956510670268E-2</v>
      </c>
      <c r="T169" s="7">
        <f t="shared" si="26"/>
        <v>-1.3983474216511114E-2</v>
      </c>
      <c r="U169" s="7">
        <f t="shared" si="27"/>
        <v>-4.2220210260306467E-3</v>
      </c>
      <c r="V169" s="7">
        <f t="shared" si="28"/>
        <v>-7.7564199397389096E-3</v>
      </c>
      <c r="W169" s="7">
        <f t="shared" si="29"/>
        <v>-3.0448766468886748E-3</v>
      </c>
      <c r="X169" s="7">
        <f t="shared" si="30"/>
        <v>-3.0899232998921833E-2</v>
      </c>
      <c r="Y169" s="7">
        <f t="shared" si="31"/>
        <v>-4.3111516668653416E-3</v>
      </c>
      <c r="Z169" s="7">
        <f t="shared" si="32"/>
        <v>-1.7132307168468801E-2</v>
      </c>
      <c r="AM169" s="2">
        <v>166</v>
      </c>
      <c r="AN169" s="33">
        <v>8.8226771421419225E-3</v>
      </c>
      <c r="AO169" s="33">
        <v>2.69877235441125E-4</v>
      </c>
    </row>
    <row r="170" spans="3:41" ht="14.4" x14ac:dyDescent="0.3">
      <c r="C170" s="24">
        <v>45867</v>
      </c>
      <c r="D170" s="25">
        <v>5176.2</v>
      </c>
      <c r="E170" s="26">
        <v>4.3280000000000003</v>
      </c>
      <c r="F170" s="27">
        <v>44632.99</v>
      </c>
      <c r="G170" s="27">
        <v>3353.2</v>
      </c>
      <c r="H170" s="28">
        <v>38.08</v>
      </c>
      <c r="I170" s="28">
        <v>635.26</v>
      </c>
      <c r="J170" s="27">
        <v>117950.1</v>
      </c>
      <c r="K170" s="27"/>
      <c r="L170" s="31">
        <f t="shared" si="24"/>
        <v>-1.628607859047182E-2</v>
      </c>
      <c r="M170" s="31">
        <f t="shared" si="24"/>
        <v>1.1552680221811329E-2</v>
      </c>
      <c r="N170" s="31">
        <f t="shared" si="24"/>
        <v>-3.8471543134349639E-3</v>
      </c>
      <c r="O170" s="31">
        <f t="shared" si="24"/>
        <v>-3.9365382321364661E-3</v>
      </c>
      <c r="P170" s="31">
        <f t="shared" si="25"/>
        <v>-1.3392857142857095E-2</v>
      </c>
      <c r="Q170" s="31">
        <f t="shared" si="25"/>
        <v>-1.259326889777368E-3</v>
      </c>
      <c r="R170" s="31">
        <f t="shared" si="25"/>
        <v>-9.3005431958104179E-4</v>
      </c>
      <c r="T170" s="7">
        <f t="shared" si="26"/>
        <v>-1.6129447934538497E-2</v>
      </c>
      <c r="U170" s="7">
        <f t="shared" si="27"/>
        <v>1.1442125618804862E-2</v>
      </c>
      <c r="V170" s="7">
        <f t="shared" si="28"/>
        <v>-4.1746383341000866E-3</v>
      </c>
      <c r="W170" s="7">
        <f t="shared" si="29"/>
        <v>-5.7538699688455177E-3</v>
      </c>
      <c r="X170" s="7">
        <f t="shared" si="30"/>
        <v>-1.7142768874810477E-2</v>
      </c>
      <c r="Y170" s="7">
        <f t="shared" si="31"/>
        <v>-1.8192570454363833E-3</v>
      </c>
      <c r="Z170" s="7">
        <f t="shared" si="32"/>
        <v>-4.5040497737957485E-4</v>
      </c>
      <c r="AM170" s="2">
        <v>167</v>
      </c>
      <c r="AN170" s="33">
        <v>1.055902217453341E-2</v>
      </c>
      <c r="AO170" s="33">
        <v>6.81703836034691E-4</v>
      </c>
    </row>
    <row r="171" spans="3:41" ht="14.4" x14ac:dyDescent="0.3">
      <c r="C171" s="24">
        <v>45866</v>
      </c>
      <c r="D171" s="25">
        <v>5111.6000000000004</v>
      </c>
      <c r="E171" s="26">
        <v>4.42</v>
      </c>
      <c r="F171" s="27">
        <v>44837.56</v>
      </c>
      <c r="G171" s="27">
        <v>3338.7</v>
      </c>
      <c r="H171" s="28">
        <v>38.03</v>
      </c>
      <c r="I171" s="28">
        <v>636.94000000000005</v>
      </c>
      <c r="J171" s="27">
        <v>118053.9</v>
      </c>
      <c r="K171" s="27"/>
      <c r="L171" s="31">
        <f t="shared" si="24"/>
        <v>1.2637921590108681E-2</v>
      </c>
      <c r="M171" s="31">
        <f t="shared" si="24"/>
        <v>-2.0814479638008976E-2</v>
      </c>
      <c r="N171" s="31">
        <f t="shared" si="24"/>
        <v>-4.562469501016575E-3</v>
      </c>
      <c r="O171" s="31">
        <f t="shared" si="24"/>
        <v>4.3430077575103976E-3</v>
      </c>
      <c r="P171" s="31">
        <f t="shared" si="25"/>
        <v>1.3147515119642517E-3</v>
      </c>
      <c r="Q171" s="31">
        <f t="shared" si="25"/>
        <v>-2.6376110779666728E-3</v>
      </c>
      <c r="R171" s="31">
        <f t="shared" si="25"/>
        <v>-8.7925938914334978E-4</v>
      </c>
      <c r="T171" s="7">
        <f t="shared" si="26"/>
        <v>1.2794552246042003E-2</v>
      </c>
      <c r="U171" s="7">
        <f t="shared" si="27"/>
        <v>-2.0925034241015442E-2</v>
      </c>
      <c r="V171" s="7">
        <f t="shared" si="28"/>
        <v>-4.8899535216816977E-3</v>
      </c>
      <c r="W171" s="7">
        <f t="shared" si="29"/>
        <v>2.525676020801346E-3</v>
      </c>
      <c r="X171" s="7">
        <f t="shared" si="30"/>
        <v>-2.4351602199891294E-3</v>
      </c>
      <c r="Y171" s="7">
        <f t="shared" si="31"/>
        <v>-3.1975412336256882E-3</v>
      </c>
      <c r="Z171" s="7">
        <f t="shared" si="32"/>
        <v>-3.9961004694188284E-4</v>
      </c>
      <c r="AM171" s="2">
        <v>168</v>
      </c>
      <c r="AN171" s="33">
        <v>1.0878575256037859E-2</v>
      </c>
      <c r="AO171" s="33">
        <v>1.1186609749826726E-3</v>
      </c>
    </row>
    <row r="172" spans="3:41" ht="14.4" x14ac:dyDescent="0.3">
      <c r="C172" s="24">
        <v>45863</v>
      </c>
      <c r="D172" s="25">
        <v>5199.3999999999996</v>
      </c>
      <c r="E172" s="26">
        <v>4.3860000000000001</v>
      </c>
      <c r="F172" s="27">
        <v>44901.919999999998</v>
      </c>
      <c r="G172" s="27">
        <v>3364.4</v>
      </c>
      <c r="H172" s="28">
        <v>38.17</v>
      </c>
      <c r="I172" s="28">
        <v>637.1</v>
      </c>
      <c r="J172" s="27">
        <v>117631.9</v>
      </c>
      <c r="K172" s="27"/>
      <c r="L172" s="31">
        <f t="shared" si="24"/>
        <v>-1.6886563834288437E-2</v>
      </c>
      <c r="M172" s="31">
        <f t="shared" si="24"/>
        <v>7.7519379844961378E-3</v>
      </c>
      <c r="N172" s="31">
        <f t="shared" si="24"/>
        <v>-1.4333462800699692E-3</v>
      </c>
      <c r="O172" s="31">
        <f t="shared" si="24"/>
        <v>-7.638806325050651E-3</v>
      </c>
      <c r="P172" s="31">
        <f t="shared" si="25"/>
        <v>-3.6678019386953142E-3</v>
      </c>
      <c r="Q172" s="31">
        <f t="shared" si="25"/>
        <v>-2.5113796892162199E-4</v>
      </c>
      <c r="R172" s="31">
        <f t="shared" si="25"/>
        <v>3.5874622445102311E-3</v>
      </c>
      <c r="T172" s="7">
        <f t="shared" si="26"/>
        <v>-1.6729933178355114E-2</v>
      </c>
      <c r="U172" s="7">
        <f t="shared" si="27"/>
        <v>7.6413833814896704E-3</v>
      </c>
      <c r="V172" s="7">
        <f t="shared" si="28"/>
        <v>-1.7608303007350921E-3</v>
      </c>
      <c r="W172" s="7">
        <f t="shared" si="29"/>
        <v>-9.4561380617597026E-3</v>
      </c>
      <c r="X172" s="7">
        <f t="shared" si="30"/>
        <v>-7.4177136706486957E-3</v>
      </c>
      <c r="Y172" s="7">
        <f t="shared" si="31"/>
        <v>-8.1106812458063744E-4</v>
      </c>
      <c r="Z172" s="7">
        <f t="shared" si="32"/>
        <v>4.0671115867116983E-3</v>
      </c>
      <c r="AM172" s="2">
        <v>169</v>
      </c>
      <c r="AN172" s="33">
        <v>1.4881946319832886E-2</v>
      </c>
      <c r="AO172" s="33">
        <v>1.4421405272581754E-3</v>
      </c>
    </row>
    <row r="173" spans="3:41" ht="14.4" x14ac:dyDescent="0.3">
      <c r="C173" s="24">
        <v>45862</v>
      </c>
      <c r="D173" s="25">
        <v>5187</v>
      </c>
      <c r="E173" s="26">
        <v>4.4080000000000004</v>
      </c>
      <c r="F173" s="27">
        <v>44693.91</v>
      </c>
      <c r="G173" s="27">
        <v>3402.4</v>
      </c>
      <c r="H173" s="28">
        <v>39.020000000000003</v>
      </c>
      <c r="I173" s="28">
        <v>634.41999999999996</v>
      </c>
      <c r="J173" s="27">
        <v>118310.9</v>
      </c>
      <c r="K173" s="27"/>
      <c r="L173" s="31">
        <f t="shared" si="24"/>
        <v>2.3905918642759261E-3</v>
      </c>
      <c r="M173" s="31">
        <f t="shared" si="24"/>
        <v>-4.9909255898367144E-3</v>
      </c>
      <c r="N173" s="31">
        <f t="shared" si="24"/>
        <v>4.6541016438257365E-3</v>
      </c>
      <c r="O173" s="31">
        <f t="shared" si="24"/>
        <v>-1.1168586879849562E-2</v>
      </c>
      <c r="P173" s="31">
        <f t="shared" si="25"/>
        <v>-2.1783700666324957E-2</v>
      </c>
      <c r="Q173" s="31">
        <f t="shared" si="25"/>
        <v>4.2243308849028161E-3</v>
      </c>
      <c r="R173" s="31">
        <f t="shared" si="25"/>
        <v>-5.7391161761088938E-3</v>
      </c>
      <c r="T173" s="7">
        <f t="shared" si="26"/>
        <v>2.5472225202092481E-3</v>
      </c>
      <c r="U173" s="7">
        <f t="shared" si="27"/>
        <v>-5.1014801928431818E-3</v>
      </c>
      <c r="V173" s="7">
        <f t="shared" si="28"/>
        <v>4.3266176231606139E-3</v>
      </c>
      <c r="W173" s="7">
        <f t="shared" si="29"/>
        <v>-1.2985918616558614E-2</v>
      </c>
      <c r="X173" s="7">
        <f t="shared" si="30"/>
        <v>-2.5533612398278338E-2</v>
      </c>
      <c r="Y173" s="7">
        <f t="shared" si="31"/>
        <v>3.6644007292438007E-3</v>
      </c>
      <c r="Z173" s="7">
        <f t="shared" si="32"/>
        <v>-5.2594668339074266E-3</v>
      </c>
      <c r="AM173" s="2">
        <v>170</v>
      </c>
      <c r="AN173" s="33">
        <v>1.2767820230381107E-2</v>
      </c>
      <c r="AO173" s="33">
        <v>1.216122575722756E-3</v>
      </c>
    </row>
    <row r="174" spans="3:41" ht="14.4" x14ac:dyDescent="0.3">
      <c r="C174" s="24">
        <v>45861</v>
      </c>
      <c r="D174" s="25">
        <v>5201.2</v>
      </c>
      <c r="E174" s="26">
        <v>4.3879999999999999</v>
      </c>
      <c r="F174" s="27">
        <v>45010.29</v>
      </c>
      <c r="G174" s="27">
        <v>3426.2</v>
      </c>
      <c r="H174" s="28">
        <v>39.28</v>
      </c>
      <c r="I174" s="28">
        <v>634.21</v>
      </c>
      <c r="J174" s="27">
        <v>118763</v>
      </c>
      <c r="K174" s="27"/>
      <c r="L174" s="31">
        <f t="shared" si="24"/>
        <v>-2.7301391986463974E-3</v>
      </c>
      <c r="M174" s="31">
        <f t="shared" si="24"/>
        <v>4.5578851412946264E-3</v>
      </c>
      <c r="N174" s="31">
        <f t="shared" si="24"/>
        <v>-7.0290593550941249E-3</v>
      </c>
      <c r="O174" s="31">
        <f t="shared" si="24"/>
        <v>-6.9464713093222441E-3</v>
      </c>
      <c r="P174" s="31">
        <f t="shared" si="25"/>
        <v>-6.6191446028512901E-3</v>
      </c>
      <c r="Q174" s="31">
        <f t="shared" si="25"/>
        <v>3.3112060673889943E-4</v>
      </c>
      <c r="R174" s="31">
        <f t="shared" si="25"/>
        <v>-3.8067411567576093E-3</v>
      </c>
      <c r="T174" s="7">
        <f t="shared" si="26"/>
        <v>-2.5735085427130754E-3</v>
      </c>
      <c r="U174" s="7">
        <f t="shared" si="27"/>
        <v>4.447330538288159E-3</v>
      </c>
      <c r="V174" s="7">
        <f t="shared" si="28"/>
        <v>-7.3565433757592476E-3</v>
      </c>
      <c r="W174" s="7">
        <f t="shared" si="29"/>
        <v>-8.7638030460312957E-3</v>
      </c>
      <c r="X174" s="7">
        <f t="shared" si="30"/>
        <v>-1.0369056334804672E-2</v>
      </c>
      <c r="Y174" s="7">
        <f t="shared" si="31"/>
        <v>-2.2880954892011602E-4</v>
      </c>
      <c r="Z174" s="7">
        <f t="shared" si="32"/>
        <v>-3.3270918145561425E-3</v>
      </c>
      <c r="AM174" s="2">
        <v>171</v>
      </c>
      <c r="AN174" s="33">
        <v>1.0124407120329552E-2</v>
      </c>
      <c r="AO174" s="33">
        <v>4.6824170963245587E-4</v>
      </c>
    </row>
    <row r="175" spans="3:41" ht="14.4" x14ac:dyDescent="0.3">
      <c r="C175" s="24">
        <v>45860</v>
      </c>
      <c r="D175" s="25">
        <v>5206.8999999999996</v>
      </c>
      <c r="E175" s="26">
        <v>4.3360000000000003</v>
      </c>
      <c r="F175" s="27">
        <v>44502.44</v>
      </c>
      <c r="G175" s="27">
        <v>3472.1</v>
      </c>
      <c r="H175" s="28">
        <v>39.32</v>
      </c>
      <c r="I175" s="28">
        <v>628.86</v>
      </c>
      <c r="J175" s="27">
        <v>119965.5</v>
      </c>
      <c r="K175" s="27"/>
      <c r="L175" s="31">
        <f t="shared" si="24"/>
        <v>-1.0947012617872343E-3</v>
      </c>
      <c r="M175" s="31">
        <f t="shared" si="24"/>
        <v>1.1992619926199266E-2</v>
      </c>
      <c r="N175" s="31">
        <f t="shared" si="24"/>
        <v>1.1411733828527115E-2</v>
      </c>
      <c r="O175" s="31">
        <f t="shared" si="24"/>
        <v>-1.3219665332219743E-2</v>
      </c>
      <c r="P175" s="31">
        <f t="shared" si="25"/>
        <v>-1.0172939979653517E-3</v>
      </c>
      <c r="Q175" s="31">
        <f t="shared" si="25"/>
        <v>8.5074579397641514E-3</v>
      </c>
      <c r="R175" s="31">
        <f t="shared" si="25"/>
        <v>-1.0023715151439405E-2</v>
      </c>
      <c r="T175" s="7">
        <f t="shared" si="26"/>
        <v>-9.3807060585391201E-4</v>
      </c>
      <c r="U175" s="7">
        <f t="shared" si="27"/>
        <v>1.18820653231928E-2</v>
      </c>
      <c r="V175" s="7">
        <f t="shared" si="28"/>
        <v>1.1084249807861992E-2</v>
      </c>
      <c r="W175" s="7">
        <f t="shared" si="29"/>
        <v>-1.5036997068928795E-2</v>
      </c>
      <c r="X175" s="7">
        <f t="shared" si="30"/>
        <v>-4.7672057299187331E-3</v>
      </c>
      <c r="Y175" s="7">
        <f t="shared" si="31"/>
        <v>7.9475277841051361E-3</v>
      </c>
      <c r="Z175" s="7">
        <f t="shared" si="32"/>
        <v>-9.544065809237938E-3</v>
      </c>
      <c r="AM175" s="2">
        <v>172</v>
      </c>
      <c r="AN175" s="33">
        <v>9.5814962460004111E-3</v>
      </c>
      <c r="AO175" s="33">
        <v>8.5856241389984332E-4</v>
      </c>
    </row>
    <row r="176" spans="3:41" ht="14.4" x14ac:dyDescent="0.3">
      <c r="C176" s="24">
        <v>45859</v>
      </c>
      <c r="D176" s="25">
        <v>5113.3999999999996</v>
      </c>
      <c r="E176" s="26">
        <v>4.37</v>
      </c>
      <c r="F176" s="27">
        <v>44323.07</v>
      </c>
      <c r="G176" s="27">
        <v>3433.7</v>
      </c>
      <c r="H176" s="28">
        <v>39.1</v>
      </c>
      <c r="I176" s="28">
        <v>628.77</v>
      </c>
      <c r="J176" s="27">
        <v>117388.1</v>
      </c>
      <c r="K176" s="27"/>
      <c r="L176" s="31">
        <f t="shared" si="24"/>
        <v>1.8285289631165158E-2</v>
      </c>
      <c r="M176" s="31">
        <f t="shared" si="24"/>
        <v>-7.7803203661326314E-3</v>
      </c>
      <c r="N176" s="31">
        <f t="shared" si="24"/>
        <v>4.0468767167978204E-3</v>
      </c>
      <c r="O176" s="31">
        <f t="shared" si="24"/>
        <v>1.118327168943134E-2</v>
      </c>
      <c r="P176" s="31">
        <f t="shared" si="25"/>
        <v>5.6265984654730872E-3</v>
      </c>
      <c r="Q176" s="31">
        <f t="shared" si="25"/>
        <v>1.4313660002862605E-4</v>
      </c>
      <c r="R176" s="31">
        <f t="shared" si="25"/>
        <v>2.1956228953360579E-2</v>
      </c>
      <c r="T176" s="7">
        <f t="shared" si="26"/>
        <v>1.8441920287098481E-2</v>
      </c>
      <c r="U176" s="7">
        <f t="shared" si="27"/>
        <v>-7.8908749691390979E-3</v>
      </c>
      <c r="V176" s="7">
        <f t="shared" si="28"/>
        <v>3.7193926961326977E-3</v>
      </c>
      <c r="W176" s="7">
        <f t="shared" si="29"/>
        <v>9.3659399527222884E-3</v>
      </c>
      <c r="X176" s="7">
        <f t="shared" si="30"/>
        <v>1.8766867335197062E-3</v>
      </c>
      <c r="Y176" s="7">
        <f t="shared" si="31"/>
        <v>-4.167935556303894E-4</v>
      </c>
      <c r="Z176" s="7">
        <f t="shared" si="32"/>
        <v>2.2435878295562046E-2</v>
      </c>
      <c r="AM176" s="2">
        <v>173</v>
      </c>
      <c r="AN176" s="33">
        <v>1.4391630285868137E-2</v>
      </c>
      <c r="AO176" s="33">
        <v>1.141717186260666E-3</v>
      </c>
    </row>
    <row r="177" spans="3:41" ht="14.4" x14ac:dyDescent="0.3">
      <c r="C177" s="24">
        <v>45856</v>
      </c>
      <c r="D177" s="25">
        <v>5071.2</v>
      </c>
      <c r="E177" s="26">
        <v>4.431</v>
      </c>
      <c r="F177" s="27">
        <v>44342.19</v>
      </c>
      <c r="G177" s="27">
        <v>3385.7</v>
      </c>
      <c r="H177" s="28">
        <v>38.22</v>
      </c>
      <c r="I177" s="28">
        <v>627.58000000000004</v>
      </c>
      <c r="J177" s="27">
        <v>117940.3</v>
      </c>
      <c r="K177" s="27"/>
      <c r="L177" s="31">
        <f t="shared" si="24"/>
        <v>8.3215018141662433E-3</v>
      </c>
      <c r="M177" s="31">
        <f t="shared" si="24"/>
        <v>-1.3766644098397673E-2</v>
      </c>
      <c r="N177" s="31">
        <f t="shared" si="24"/>
        <v>-4.3119205433927998E-4</v>
      </c>
      <c r="O177" s="31">
        <f t="shared" si="24"/>
        <v>1.41772750095992E-2</v>
      </c>
      <c r="P177" s="31">
        <f t="shared" si="25"/>
        <v>2.3024594453165959E-2</v>
      </c>
      <c r="Q177" s="31">
        <f t="shared" si="25"/>
        <v>1.8961725995090273E-3</v>
      </c>
      <c r="R177" s="31">
        <f t="shared" si="25"/>
        <v>-4.6820298066054811E-3</v>
      </c>
      <c r="T177" s="7">
        <f t="shared" si="26"/>
        <v>8.4781324700995662E-3</v>
      </c>
      <c r="U177" s="7">
        <f t="shared" si="27"/>
        <v>-1.387719870140414E-2</v>
      </c>
      <c r="V177" s="7">
        <f t="shared" si="28"/>
        <v>-7.5867607500440287E-4</v>
      </c>
      <c r="W177" s="7">
        <f t="shared" si="29"/>
        <v>1.2359943272890148E-2</v>
      </c>
      <c r="X177" s="7">
        <f t="shared" si="30"/>
        <v>1.9274682721212577E-2</v>
      </c>
      <c r="Y177" s="7">
        <f t="shared" si="31"/>
        <v>1.3362424438500119E-3</v>
      </c>
      <c r="Z177" s="7">
        <f t="shared" si="32"/>
        <v>-4.2023804644040139E-3</v>
      </c>
      <c r="AM177" s="2">
        <v>174</v>
      </c>
      <c r="AN177" s="33">
        <v>1.1667757976265437E-2</v>
      </c>
      <c r="AO177" s="33">
        <v>1.1084185880662011E-3</v>
      </c>
    </row>
    <row r="178" spans="3:41" ht="14.4" x14ac:dyDescent="0.3">
      <c r="C178" s="24">
        <v>45855</v>
      </c>
      <c r="D178" s="25">
        <v>5049.6000000000004</v>
      </c>
      <c r="E178" s="26">
        <v>4.4630000000000001</v>
      </c>
      <c r="F178" s="27">
        <v>44484.49</v>
      </c>
      <c r="G178" s="27">
        <v>3373.1</v>
      </c>
      <c r="H178" s="28">
        <v>38.06</v>
      </c>
      <c r="I178" s="28">
        <v>628.04</v>
      </c>
      <c r="J178" s="27">
        <v>119194.9</v>
      </c>
      <c r="K178" s="27"/>
      <c r="L178" s="31">
        <f t="shared" si="24"/>
        <v>4.2775665399239493E-3</v>
      </c>
      <c r="M178" s="31">
        <f t="shared" si="24"/>
        <v>-7.1700649787138637E-3</v>
      </c>
      <c r="N178" s="31">
        <f t="shared" si="24"/>
        <v>-3.1988677401942889E-3</v>
      </c>
      <c r="O178" s="31">
        <f t="shared" si="24"/>
        <v>3.7354362455901402E-3</v>
      </c>
      <c r="P178" s="31">
        <f t="shared" si="25"/>
        <v>4.2038885969521989E-3</v>
      </c>
      <c r="Q178" s="31">
        <f t="shared" si="25"/>
        <v>-7.3243742436779335E-4</v>
      </c>
      <c r="R178" s="31">
        <f t="shared" si="25"/>
        <v>-1.0525618126278835E-2</v>
      </c>
      <c r="T178" s="7">
        <f t="shared" si="26"/>
        <v>4.4341971958572713E-3</v>
      </c>
      <c r="U178" s="7">
        <f t="shared" si="27"/>
        <v>-7.2806195817203311E-3</v>
      </c>
      <c r="V178" s="7">
        <f t="shared" si="28"/>
        <v>-3.5263517608594116E-3</v>
      </c>
      <c r="W178" s="7">
        <f t="shared" si="29"/>
        <v>1.9181045088810889E-3</v>
      </c>
      <c r="X178" s="7">
        <f t="shared" si="30"/>
        <v>4.5397686499881783E-4</v>
      </c>
      <c r="Y178" s="7">
        <f t="shared" si="31"/>
        <v>-1.2923675800268087E-3</v>
      </c>
      <c r="Z178" s="7">
        <f t="shared" si="32"/>
        <v>-1.0045968784077368E-2</v>
      </c>
      <c r="AM178" s="2">
        <v>175</v>
      </c>
      <c r="AN178" s="33">
        <v>1.0906316350490587E-2</v>
      </c>
      <c r="AO178" s="33">
        <v>9.7326046278814579E-4</v>
      </c>
    </row>
    <row r="179" spans="3:41" ht="14.4" x14ac:dyDescent="0.3">
      <c r="C179" s="24">
        <v>45854</v>
      </c>
      <c r="D179" s="25">
        <v>5059.8999999999996</v>
      </c>
      <c r="E179" s="26">
        <v>4.4550000000000001</v>
      </c>
      <c r="F179" s="27">
        <v>44254.78</v>
      </c>
      <c r="G179" s="27">
        <v>3386.9</v>
      </c>
      <c r="H179" s="28">
        <v>37.85</v>
      </c>
      <c r="I179" s="28">
        <v>624.22</v>
      </c>
      <c r="J179" s="27">
        <v>118683.2</v>
      </c>
      <c r="K179" s="27"/>
      <c r="L179" s="31">
        <f t="shared" si="24"/>
        <v>-2.0356133520423869E-3</v>
      </c>
      <c r="M179" s="31">
        <f t="shared" si="24"/>
        <v>1.7957351290684986E-3</v>
      </c>
      <c r="N179" s="31">
        <f t="shared" si="24"/>
        <v>5.190625735796095E-3</v>
      </c>
      <c r="O179" s="31">
        <f t="shared" si="24"/>
        <v>-4.0745224246361289E-3</v>
      </c>
      <c r="P179" s="31">
        <f t="shared" si="25"/>
        <v>5.5482166446498837E-3</v>
      </c>
      <c r="Q179" s="31">
        <f t="shared" si="25"/>
        <v>6.1196373073595378E-3</v>
      </c>
      <c r="R179" s="31">
        <f t="shared" si="25"/>
        <v>4.3114779513864221E-3</v>
      </c>
      <c r="T179" s="7">
        <f t="shared" si="26"/>
        <v>-1.8789826961090647E-3</v>
      </c>
      <c r="U179" s="7">
        <f t="shared" si="27"/>
        <v>1.6851805260620317E-3</v>
      </c>
      <c r="V179" s="7">
        <f t="shared" si="28"/>
        <v>4.8631417151309723E-3</v>
      </c>
      <c r="W179" s="7">
        <f t="shared" si="29"/>
        <v>-5.8918541613451805E-3</v>
      </c>
      <c r="X179" s="7">
        <f t="shared" si="30"/>
        <v>1.7983049126965027E-3</v>
      </c>
      <c r="Y179" s="7">
        <f t="shared" si="31"/>
        <v>5.5597071517005225E-3</v>
      </c>
      <c r="Z179" s="7">
        <f t="shared" si="32"/>
        <v>4.7911272935878893E-3</v>
      </c>
      <c r="AM179" s="2">
        <v>176</v>
      </c>
      <c r="AN179" s="33">
        <v>1.2806687524710484E-2</v>
      </c>
      <c r="AO179" s="33">
        <v>3.0272472958470372E-4</v>
      </c>
    </row>
    <row r="180" spans="3:41" ht="14.4" x14ac:dyDescent="0.3">
      <c r="C180" s="24">
        <v>45853</v>
      </c>
      <c r="D180" s="25">
        <v>4996.8</v>
      </c>
      <c r="E180" s="26">
        <v>4.4889999999999999</v>
      </c>
      <c r="F180" s="27">
        <v>44023.29</v>
      </c>
      <c r="G180" s="27">
        <v>3364.6</v>
      </c>
      <c r="H180" s="28">
        <v>37.83</v>
      </c>
      <c r="I180" s="28">
        <v>622.14</v>
      </c>
      <c r="J180" s="27">
        <v>117762.3</v>
      </c>
      <c r="K180" s="27"/>
      <c r="L180" s="31">
        <f t="shared" si="24"/>
        <v>1.2628081972462235E-2</v>
      </c>
      <c r="M180" s="31">
        <f t="shared" si="24"/>
        <v>-7.5740699487636398E-3</v>
      </c>
      <c r="N180" s="31">
        <f t="shared" si="24"/>
        <v>5.2583530217755747E-3</v>
      </c>
      <c r="O180" s="31">
        <f t="shared" si="24"/>
        <v>6.6278309457290518E-3</v>
      </c>
      <c r="P180" s="31">
        <f t="shared" si="25"/>
        <v>5.2868094105207319E-4</v>
      </c>
      <c r="Q180" s="31">
        <f t="shared" si="25"/>
        <v>3.3432989359309939E-3</v>
      </c>
      <c r="R180" s="31">
        <f t="shared" si="25"/>
        <v>7.8199899288651231E-3</v>
      </c>
      <c r="T180" s="7">
        <f t="shared" si="26"/>
        <v>1.2784712628395558E-2</v>
      </c>
      <c r="U180" s="7">
        <f t="shared" si="27"/>
        <v>-7.6846245517701072E-3</v>
      </c>
      <c r="V180" s="7">
        <f t="shared" si="28"/>
        <v>4.9308690011104521E-3</v>
      </c>
      <c r="W180" s="7">
        <f t="shared" si="29"/>
        <v>4.8104992090200003E-3</v>
      </c>
      <c r="X180" s="7">
        <f t="shared" si="30"/>
        <v>-3.2212307909013078E-3</v>
      </c>
      <c r="Y180" s="7">
        <f t="shared" si="31"/>
        <v>2.7833687802719786E-3</v>
      </c>
      <c r="Z180" s="7">
        <f t="shared" si="32"/>
        <v>8.2996392710665903E-3</v>
      </c>
      <c r="AM180" s="2">
        <v>177</v>
      </c>
      <c r="AN180" s="33">
        <v>1.3358165980293119E-2</v>
      </c>
      <c r="AO180" s="33">
        <v>4.9472821940366261E-4</v>
      </c>
    </row>
    <row r="181" spans="3:41" ht="14.4" x14ac:dyDescent="0.3">
      <c r="C181" s="24">
        <v>45852</v>
      </c>
      <c r="D181" s="25">
        <v>5070.3</v>
      </c>
      <c r="E181" s="26">
        <v>4.4269999999999996</v>
      </c>
      <c r="F181" s="27">
        <v>44459.65</v>
      </c>
      <c r="G181" s="27">
        <v>3387</v>
      </c>
      <c r="H181" s="28">
        <v>38.46</v>
      </c>
      <c r="I181" s="28">
        <v>624.80999999999995</v>
      </c>
      <c r="J181" s="27">
        <v>119849.5</v>
      </c>
      <c r="K181" s="27"/>
      <c r="L181" s="31">
        <f t="shared" si="24"/>
        <v>-1.4496183657771722E-2</v>
      </c>
      <c r="M181" s="31">
        <f t="shared" si="24"/>
        <v>1.4004969505308384E-2</v>
      </c>
      <c r="N181" s="31">
        <f t="shared" si="24"/>
        <v>-9.814742131348364E-3</v>
      </c>
      <c r="O181" s="31">
        <f t="shared" si="24"/>
        <v>-6.6135222911131164E-3</v>
      </c>
      <c r="P181" s="31">
        <f t="shared" si="25"/>
        <v>-1.6380655226209129E-2</v>
      </c>
      <c r="Q181" s="31">
        <f t="shared" si="25"/>
        <v>-4.2732990829211781E-3</v>
      </c>
      <c r="R181" s="31">
        <f t="shared" si="25"/>
        <v>-1.7415174865143324E-2</v>
      </c>
      <c r="T181" s="7">
        <f t="shared" si="26"/>
        <v>-1.4339553001838399E-2</v>
      </c>
      <c r="U181" s="7">
        <f t="shared" si="27"/>
        <v>1.3894414902301918E-2</v>
      </c>
      <c r="V181" s="7">
        <f t="shared" si="28"/>
        <v>-1.0142226152013488E-2</v>
      </c>
      <c r="W181" s="7">
        <f t="shared" si="29"/>
        <v>-8.430854027822168E-3</v>
      </c>
      <c r="X181" s="7">
        <f t="shared" si="30"/>
        <v>-2.013056695816251E-2</v>
      </c>
      <c r="Y181" s="7">
        <f t="shared" si="31"/>
        <v>-4.8332292385801934E-3</v>
      </c>
      <c r="Z181" s="7">
        <f t="shared" si="32"/>
        <v>-1.6935525522941856E-2</v>
      </c>
      <c r="AM181" s="2">
        <v>178</v>
      </c>
      <c r="AN181" s="33">
        <v>1.3003681797865081E-2</v>
      </c>
      <c r="AO181" s="33">
        <v>6.2354527276179544E-4</v>
      </c>
    </row>
    <row r="182" spans="3:41" ht="14.4" x14ac:dyDescent="0.3">
      <c r="C182" s="24">
        <v>45849</v>
      </c>
      <c r="D182" s="25">
        <v>5046</v>
      </c>
      <c r="E182" s="26">
        <v>4.423</v>
      </c>
      <c r="F182" s="27">
        <v>44371.51</v>
      </c>
      <c r="G182" s="27">
        <v>3391.6</v>
      </c>
      <c r="H182" s="28">
        <v>38.68</v>
      </c>
      <c r="I182" s="28">
        <v>623.62</v>
      </c>
      <c r="J182" s="27">
        <v>117535.6</v>
      </c>
      <c r="K182" s="27"/>
      <c r="L182" s="31">
        <f t="shared" si="24"/>
        <v>4.8156956004756779E-3</v>
      </c>
      <c r="M182" s="31">
        <f t="shared" si="24"/>
        <v>9.043635541485795E-4</v>
      </c>
      <c r="N182" s="31">
        <f t="shared" si="24"/>
        <v>1.986409748056861E-3</v>
      </c>
      <c r="O182" s="31">
        <f t="shared" si="24"/>
        <v>-1.3562920155678615E-3</v>
      </c>
      <c r="P182" s="31">
        <f t="shared" si="25"/>
        <v>-5.6876938986556436E-3</v>
      </c>
      <c r="Q182" s="31">
        <f t="shared" si="25"/>
        <v>1.9082133350436514E-3</v>
      </c>
      <c r="R182" s="31">
        <f t="shared" si="25"/>
        <v>1.9686801275528465E-2</v>
      </c>
      <c r="T182" s="7">
        <f t="shared" si="26"/>
        <v>4.9723262564089999E-3</v>
      </c>
      <c r="U182" s="7">
        <f t="shared" si="27"/>
        <v>7.9380895114211246E-4</v>
      </c>
      <c r="V182" s="7">
        <f t="shared" si="28"/>
        <v>1.6589257273917381E-3</v>
      </c>
      <c r="W182" s="7">
        <f t="shared" si="29"/>
        <v>-3.1736237522769131E-3</v>
      </c>
      <c r="X182" s="7">
        <f t="shared" si="30"/>
        <v>-9.437605630609025E-3</v>
      </c>
      <c r="Y182" s="7">
        <f t="shared" si="31"/>
        <v>1.3482831793846361E-3</v>
      </c>
      <c r="Z182" s="7">
        <f t="shared" si="32"/>
        <v>2.0166450617729932E-2</v>
      </c>
      <c r="AM182" s="2">
        <v>179</v>
      </c>
      <c r="AN182" s="33">
        <v>1.2833379236072808E-2</v>
      </c>
      <c r="AO182" s="33">
        <v>1.245430522384481E-3</v>
      </c>
    </row>
    <row r="183" spans="3:41" ht="14.4" x14ac:dyDescent="0.3">
      <c r="C183" s="24">
        <v>45848</v>
      </c>
      <c r="D183" s="25">
        <v>5059.1000000000004</v>
      </c>
      <c r="E183" s="26">
        <v>4.3460000000000001</v>
      </c>
      <c r="F183" s="27">
        <v>44650.64</v>
      </c>
      <c r="G183" s="27">
        <v>3353.3</v>
      </c>
      <c r="H183" s="28">
        <v>37.04</v>
      </c>
      <c r="I183" s="28">
        <v>625.82000000000005</v>
      </c>
      <c r="J183" s="27">
        <v>115993.60000000001</v>
      </c>
      <c r="K183" s="27"/>
      <c r="L183" s="31">
        <f t="shared" si="24"/>
        <v>-2.5893933703623473E-3</v>
      </c>
      <c r="M183" s="31">
        <f t="shared" si="24"/>
        <v>1.7717441325356686E-2</v>
      </c>
      <c r="N183" s="31">
        <f t="shared" si="24"/>
        <v>-6.2514221520676427E-3</v>
      </c>
      <c r="O183" s="31">
        <f t="shared" si="24"/>
        <v>1.1421584707601351E-2</v>
      </c>
      <c r="P183" s="31">
        <f t="shared" si="25"/>
        <v>4.4276457883369424E-2</v>
      </c>
      <c r="Q183" s="31">
        <f t="shared" si="25"/>
        <v>-3.5153878111917614E-3</v>
      </c>
      <c r="R183" s="31">
        <f t="shared" si="25"/>
        <v>1.3293836901346223E-2</v>
      </c>
      <c r="T183" s="7">
        <f t="shared" si="26"/>
        <v>-2.4327627144290253E-3</v>
      </c>
      <c r="U183" s="7">
        <f t="shared" si="27"/>
        <v>1.760688672235022E-2</v>
      </c>
      <c r="V183" s="7">
        <f t="shared" si="28"/>
        <v>-6.5789061727327654E-3</v>
      </c>
      <c r="W183" s="7">
        <f t="shared" si="29"/>
        <v>9.6042529708922995E-3</v>
      </c>
      <c r="X183" s="7">
        <f t="shared" si="30"/>
        <v>4.0526546151416043E-2</v>
      </c>
      <c r="Y183" s="7">
        <f t="shared" si="31"/>
        <v>-4.0753179668507767E-3</v>
      </c>
      <c r="Z183" s="7">
        <f t="shared" si="32"/>
        <v>1.377348624354769E-2</v>
      </c>
      <c r="AM183" s="2">
        <v>180</v>
      </c>
      <c r="AN183" s="33">
        <v>9.8859376640880389E-3</v>
      </c>
      <c r="AO183" s="33">
        <v>6.7892293355177407E-4</v>
      </c>
    </row>
    <row r="184" spans="3:41" ht="14.4" x14ac:dyDescent="0.3">
      <c r="C184" s="24">
        <v>45847</v>
      </c>
      <c r="D184" s="25">
        <v>5016.8</v>
      </c>
      <c r="E184" s="26">
        <v>4.3419999999999996</v>
      </c>
      <c r="F184" s="27">
        <v>44458.3</v>
      </c>
      <c r="G184" s="27">
        <v>3348.5</v>
      </c>
      <c r="H184" s="28">
        <v>36.35</v>
      </c>
      <c r="I184" s="28">
        <v>624.05999999999995</v>
      </c>
      <c r="J184" s="27">
        <v>111246</v>
      </c>
      <c r="K184" s="27"/>
      <c r="L184" s="31">
        <f t="shared" si="24"/>
        <v>8.4316695901769378E-3</v>
      </c>
      <c r="M184" s="31">
        <f t="shared" si="24"/>
        <v>9.2123445416869565E-4</v>
      </c>
      <c r="N184" s="31">
        <f t="shared" si="24"/>
        <v>4.3263012755772046E-3</v>
      </c>
      <c r="O184" s="31">
        <f t="shared" si="24"/>
        <v>1.4334776765716484E-3</v>
      </c>
      <c r="P184" s="31">
        <f t="shared" si="25"/>
        <v>1.8982118294360362E-2</v>
      </c>
      <c r="Q184" s="31">
        <f t="shared" si="25"/>
        <v>2.8202416434319755E-3</v>
      </c>
      <c r="R184" s="31">
        <f t="shared" si="25"/>
        <v>4.2676590618988541E-2</v>
      </c>
      <c r="T184" s="7">
        <f t="shared" si="26"/>
        <v>8.5883002461102607E-3</v>
      </c>
      <c r="U184" s="7">
        <f t="shared" si="27"/>
        <v>8.1067985116222861E-4</v>
      </c>
      <c r="V184" s="7">
        <f t="shared" si="28"/>
        <v>3.9988172549120819E-3</v>
      </c>
      <c r="W184" s="7">
        <f t="shared" si="29"/>
        <v>-3.8385406013740297E-4</v>
      </c>
      <c r="X184" s="7">
        <f t="shared" si="30"/>
        <v>1.523220656240698E-2</v>
      </c>
      <c r="Y184" s="7">
        <f t="shared" si="31"/>
        <v>2.2603114877729601E-3</v>
      </c>
      <c r="Z184" s="7">
        <f t="shared" si="32"/>
        <v>4.3156239961190009E-2</v>
      </c>
      <c r="AM184" s="2">
        <v>181</v>
      </c>
      <c r="AN184" s="33">
        <v>1.6037863311390611E-2</v>
      </c>
      <c r="AO184" s="33">
        <v>1.5410628758641344E-3</v>
      </c>
    </row>
    <row r="185" spans="3:41" ht="14.4" x14ac:dyDescent="0.3">
      <c r="C185" s="24">
        <v>45846</v>
      </c>
      <c r="D185" s="25">
        <v>5007.3999999999996</v>
      </c>
      <c r="E185" s="26">
        <v>4.4169999999999998</v>
      </c>
      <c r="F185" s="27">
        <v>44240.76</v>
      </c>
      <c r="G185" s="27">
        <v>3344.7</v>
      </c>
      <c r="H185" s="28">
        <v>36.47</v>
      </c>
      <c r="I185" s="28">
        <v>620.34</v>
      </c>
      <c r="J185" s="27">
        <v>108913.1</v>
      </c>
      <c r="K185" s="27"/>
      <c r="L185" s="31">
        <f t="shared" si="24"/>
        <v>1.8772217118665502E-3</v>
      </c>
      <c r="M185" s="31">
        <f t="shared" si="24"/>
        <v>-1.6979850577314992E-2</v>
      </c>
      <c r="N185" s="31">
        <f t="shared" si="24"/>
        <v>4.917184966985122E-3</v>
      </c>
      <c r="O185" s="31">
        <f t="shared" si="24"/>
        <v>1.1361258109845451E-3</v>
      </c>
      <c r="P185" s="31">
        <f t="shared" si="25"/>
        <v>-3.2903756512201454E-3</v>
      </c>
      <c r="Q185" s="31">
        <f t="shared" si="25"/>
        <v>5.9967114808006095E-3</v>
      </c>
      <c r="R185" s="31">
        <f t="shared" si="25"/>
        <v>2.1419829203282115E-2</v>
      </c>
      <c r="T185" s="7">
        <f t="shared" si="26"/>
        <v>2.0338523677998722E-3</v>
      </c>
      <c r="U185" s="7">
        <f t="shared" si="27"/>
        <v>-1.7090405180321459E-2</v>
      </c>
      <c r="V185" s="7">
        <f t="shared" si="28"/>
        <v>4.5897009463199993E-3</v>
      </c>
      <c r="W185" s="7">
        <f t="shared" si="29"/>
        <v>-6.8120592572450621E-4</v>
      </c>
      <c r="X185" s="7">
        <f t="shared" si="30"/>
        <v>-7.0402873831735269E-3</v>
      </c>
      <c r="Y185" s="7">
        <f t="shared" si="31"/>
        <v>5.4367813251415941E-3</v>
      </c>
      <c r="Z185" s="7">
        <f t="shared" si="32"/>
        <v>2.1899478545483582E-2</v>
      </c>
      <c r="AM185" s="2">
        <v>182</v>
      </c>
      <c r="AN185" s="33">
        <v>1.3203499176108639E-2</v>
      </c>
      <c r="AO185" s="33">
        <v>1.3217944482695264E-3</v>
      </c>
    </row>
    <row r="186" spans="3:41" ht="14.4" x14ac:dyDescent="0.3">
      <c r="C186" s="24">
        <v>45845</v>
      </c>
      <c r="D186" s="25">
        <v>4997.3999999999996</v>
      </c>
      <c r="E186" s="26">
        <v>4.3819999999999997</v>
      </c>
      <c r="F186" s="27">
        <v>44406.36</v>
      </c>
      <c r="G186" s="27">
        <v>3370.7</v>
      </c>
      <c r="H186" s="28">
        <v>36.619999999999997</v>
      </c>
      <c r="I186" s="28">
        <v>620.67999999999995</v>
      </c>
      <c r="J186" s="27">
        <v>108269.6</v>
      </c>
      <c r="K186" s="27"/>
      <c r="L186" s="31">
        <f t="shared" si="24"/>
        <v>2.0010405410813004E-3</v>
      </c>
      <c r="M186" s="31">
        <f t="shared" si="24"/>
        <v>7.9872204472843933E-3</v>
      </c>
      <c r="N186" s="31">
        <f t="shared" si="24"/>
        <v>-3.7291955476647098E-3</v>
      </c>
      <c r="O186" s="31">
        <f t="shared" si="24"/>
        <v>-7.7135313139703454E-3</v>
      </c>
      <c r="P186" s="31">
        <f t="shared" si="25"/>
        <v>-4.0961223375204359E-3</v>
      </c>
      <c r="Q186" s="31">
        <f t="shared" si="25"/>
        <v>-5.4778629889784547E-4</v>
      </c>
      <c r="R186" s="31">
        <f t="shared" si="25"/>
        <v>5.9434966047717808E-3</v>
      </c>
      <c r="T186" s="7">
        <f t="shared" si="26"/>
        <v>2.1576711970146224E-3</v>
      </c>
      <c r="U186" s="7">
        <f t="shared" si="27"/>
        <v>7.8766658442779268E-3</v>
      </c>
      <c r="V186" s="7">
        <f t="shared" si="28"/>
        <v>-4.0566795683298325E-3</v>
      </c>
      <c r="W186" s="7">
        <f t="shared" si="29"/>
        <v>-9.530863050679397E-3</v>
      </c>
      <c r="X186" s="7">
        <f t="shared" si="30"/>
        <v>-7.8460340694738173E-3</v>
      </c>
      <c r="Y186" s="7">
        <f t="shared" si="31"/>
        <v>-1.1077164545568608E-3</v>
      </c>
      <c r="Z186" s="7">
        <f t="shared" si="32"/>
        <v>6.423145946973248E-3</v>
      </c>
      <c r="AM186" s="2">
        <v>183</v>
      </c>
      <c r="AN186" s="33">
        <v>1.0720094335814594E-2</v>
      </c>
      <c r="AO186" s="33">
        <v>7.8237366675972301E-4</v>
      </c>
    </row>
    <row r="187" spans="3:41" ht="14.4" x14ac:dyDescent="0.3">
      <c r="C187" s="24">
        <v>45841</v>
      </c>
      <c r="D187" s="25">
        <v>5049.8999999999996</v>
      </c>
      <c r="E187" s="26">
        <v>4.3460000000000001</v>
      </c>
      <c r="F187" s="27">
        <v>44828.53</v>
      </c>
      <c r="G187" s="27">
        <v>3370.9</v>
      </c>
      <c r="H187" s="28">
        <v>36.78</v>
      </c>
      <c r="I187" s="28">
        <v>625.34</v>
      </c>
      <c r="J187" s="27">
        <v>109600.5</v>
      </c>
      <c r="K187" s="27"/>
      <c r="L187" s="31">
        <f t="shared" si="24"/>
        <v>-1.0396245470207344E-2</v>
      </c>
      <c r="M187" s="31">
        <f t="shared" si="24"/>
        <v>8.2834790612056342E-3</v>
      </c>
      <c r="N187" s="31">
        <f t="shared" si="24"/>
        <v>-9.4174401882015646E-3</v>
      </c>
      <c r="O187" s="31">
        <f t="shared" si="24"/>
        <v>-5.9331335845125288E-5</v>
      </c>
      <c r="P187" s="31">
        <f t="shared" si="25"/>
        <v>-4.3501903208266191E-3</v>
      </c>
      <c r="Q187" s="31">
        <f t="shared" si="25"/>
        <v>-7.4519461412992927E-3</v>
      </c>
      <c r="R187" s="31">
        <f t="shared" si="25"/>
        <v>-1.2143192777405165E-2</v>
      </c>
      <c r="T187" s="7">
        <f t="shared" si="26"/>
        <v>-1.0239614814274021E-2</v>
      </c>
      <c r="U187" s="7">
        <f t="shared" si="27"/>
        <v>8.1729244581991677E-3</v>
      </c>
      <c r="V187" s="7">
        <f t="shared" si="28"/>
        <v>-9.7449242088666881E-3</v>
      </c>
      <c r="W187" s="7">
        <f t="shared" si="29"/>
        <v>-1.8766630725541766E-3</v>
      </c>
      <c r="X187" s="7">
        <f t="shared" si="30"/>
        <v>-8.1001020527800005E-3</v>
      </c>
      <c r="Y187" s="7">
        <f t="shared" si="31"/>
        <v>-8.011876296958308E-3</v>
      </c>
      <c r="Z187" s="7">
        <f t="shared" si="32"/>
        <v>-1.1663543435203698E-2</v>
      </c>
      <c r="AM187" s="2">
        <v>184</v>
      </c>
      <c r="AN187" s="33">
        <v>9.3527689314464452E-3</v>
      </c>
      <c r="AO187" s="33">
        <v>5.5273033510514738E-4</v>
      </c>
    </row>
    <row r="188" spans="3:41" ht="14.4" x14ac:dyDescent="0.3">
      <c r="C188" s="24">
        <v>45840</v>
      </c>
      <c r="D188" s="25">
        <v>5040.8</v>
      </c>
      <c r="E188" s="26">
        <v>4.282</v>
      </c>
      <c r="F188" s="27">
        <v>44484.42</v>
      </c>
      <c r="G188" s="27">
        <v>3387.5</v>
      </c>
      <c r="H188" s="28">
        <v>36.43</v>
      </c>
      <c r="I188" s="28">
        <v>620.45000000000005</v>
      </c>
      <c r="J188" s="27">
        <v>108843.7</v>
      </c>
      <c r="K188" s="27"/>
      <c r="L188" s="31">
        <f t="shared" si="24"/>
        <v>1.8052690049197295E-3</v>
      </c>
      <c r="M188" s="31">
        <f t="shared" si="24"/>
        <v>1.4946286781877705E-2</v>
      </c>
      <c r="N188" s="31">
        <f t="shared" si="24"/>
        <v>7.7355172889743695E-3</v>
      </c>
      <c r="O188" s="31">
        <f t="shared" si="24"/>
        <v>-4.9003690036900638E-3</v>
      </c>
      <c r="P188" s="31">
        <f t="shared" si="25"/>
        <v>9.607466373867668E-3</v>
      </c>
      <c r="Q188" s="31">
        <f t="shared" si="25"/>
        <v>7.881376420340036E-3</v>
      </c>
      <c r="R188" s="31">
        <f t="shared" si="25"/>
        <v>6.9530896138223497E-3</v>
      </c>
      <c r="T188" s="7">
        <f t="shared" si="26"/>
        <v>1.9618996608530516E-3</v>
      </c>
      <c r="U188" s="7">
        <f t="shared" si="27"/>
        <v>1.4835732178871238E-2</v>
      </c>
      <c r="V188" s="7">
        <f t="shared" si="28"/>
        <v>7.4080332683092468E-3</v>
      </c>
      <c r="W188" s="7">
        <f t="shared" si="29"/>
        <v>-6.7177007403991153E-3</v>
      </c>
      <c r="X188" s="7">
        <f t="shared" si="30"/>
        <v>5.8575546419142865E-3</v>
      </c>
      <c r="Y188" s="7">
        <f t="shared" si="31"/>
        <v>7.3214462646810207E-3</v>
      </c>
      <c r="Z188" s="7">
        <f t="shared" si="32"/>
        <v>7.4327389560238169E-3</v>
      </c>
      <c r="AM188" s="2">
        <v>185</v>
      </c>
      <c r="AN188" s="33">
        <v>1.1081101726414947E-2</v>
      </c>
      <c r="AO188" s="33">
        <v>1.1219180789635479E-3</v>
      </c>
    </row>
    <row r="189" spans="3:41" ht="14.4" x14ac:dyDescent="0.3">
      <c r="C189" s="24">
        <v>45839</v>
      </c>
      <c r="D189" s="25">
        <v>5015.3999999999996</v>
      </c>
      <c r="E189" s="26">
        <v>4.2409999999999997</v>
      </c>
      <c r="F189" s="27">
        <v>44494.94</v>
      </c>
      <c r="G189" s="27">
        <v>3377.5</v>
      </c>
      <c r="H189" s="28">
        <v>36.08</v>
      </c>
      <c r="I189" s="28">
        <v>617.65</v>
      </c>
      <c r="J189" s="27">
        <v>105694.3</v>
      </c>
      <c r="K189" s="27"/>
      <c r="L189" s="31">
        <f t="shared" si="24"/>
        <v>5.0644016429397531E-3</v>
      </c>
      <c r="M189" s="31">
        <f t="shared" si="24"/>
        <v>9.667531242631533E-3</v>
      </c>
      <c r="N189" s="31">
        <f t="shared" si="24"/>
        <v>-2.3643137848938789E-4</v>
      </c>
      <c r="O189" s="31">
        <f t="shared" si="24"/>
        <v>2.9607698001481442E-3</v>
      </c>
      <c r="P189" s="31">
        <f t="shared" si="25"/>
        <v>9.7006651884701256E-3</v>
      </c>
      <c r="Q189" s="31">
        <f t="shared" si="25"/>
        <v>4.5333117461345829E-3</v>
      </c>
      <c r="R189" s="31">
        <f t="shared" si="25"/>
        <v>2.9797254913462634E-2</v>
      </c>
      <c r="T189" s="7">
        <f t="shared" si="26"/>
        <v>5.2210322988730752E-3</v>
      </c>
      <c r="U189" s="7">
        <f t="shared" si="27"/>
        <v>9.5569766396250665E-3</v>
      </c>
      <c r="V189" s="7">
        <f t="shared" si="28"/>
        <v>-5.6391539915451078E-4</v>
      </c>
      <c r="W189" s="7">
        <f t="shared" si="29"/>
        <v>1.1434380634390928E-3</v>
      </c>
      <c r="X189" s="7">
        <f t="shared" si="30"/>
        <v>5.9507534565167441E-3</v>
      </c>
      <c r="Y189" s="7">
        <f t="shared" si="31"/>
        <v>3.9733815904755675E-3</v>
      </c>
      <c r="Z189" s="7">
        <f t="shared" si="32"/>
        <v>3.0276904255664101E-2</v>
      </c>
      <c r="AM189" s="2">
        <v>186</v>
      </c>
      <c r="AN189" s="33">
        <v>1.2018491927138846E-2</v>
      </c>
      <c r="AO189" s="33">
        <v>1.0980412980260851E-3</v>
      </c>
    </row>
    <row r="190" spans="3:41" ht="14.4" x14ac:dyDescent="0.3">
      <c r="C190" s="24">
        <v>45838</v>
      </c>
      <c r="D190" s="25">
        <v>4971.7</v>
      </c>
      <c r="E190" s="26">
        <v>4.2309999999999999</v>
      </c>
      <c r="F190" s="27">
        <v>44094.77</v>
      </c>
      <c r="G190" s="27">
        <v>3335.4</v>
      </c>
      <c r="H190" s="28">
        <v>35.85</v>
      </c>
      <c r="I190" s="28">
        <v>617.85</v>
      </c>
      <c r="J190" s="27">
        <v>107171.1</v>
      </c>
      <c r="K190" s="27"/>
      <c r="L190" s="31">
        <f t="shared" si="24"/>
        <v>8.7897499849145522E-3</v>
      </c>
      <c r="M190" s="31">
        <f t="shared" si="24"/>
        <v>2.3635074450483184E-3</v>
      </c>
      <c r="N190" s="31">
        <f t="shared" si="24"/>
        <v>9.0752259281543513E-3</v>
      </c>
      <c r="O190" s="31">
        <f t="shared" si="24"/>
        <v>1.2622174251963658E-2</v>
      </c>
      <c r="P190" s="31">
        <f t="shared" si="25"/>
        <v>6.415620641561981E-3</v>
      </c>
      <c r="Q190" s="31">
        <f t="shared" si="25"/>
        <v>-3.2370316419849665E-4</v>
      </c>
      <c r="R190" s="31">
        <f t="shared" si="25"/>
        <v>-1.377983430234464E-2</v>
      </c>
      <c r="T190" s="7">
        <f t="shared" si="26"/>
        <v>8.9463806408478751E-3</v>
      </c>
      <c r="U190" s="7">
        <f t="shared" si="27"/>
        <v>2.2529528420418515E-3</v>
      </c>
      <c r="V190" s="7">
        <f t="shared" si="28"/>
        <v>8.7477419074892277E-3</v>
      </c>
      <c r="W190" s="7">
        <f t="shared" si="29"/>
        <v>1.0804842515254607E-2</v>
      </c>
      <c r="X190" s="7">
        <f t="shared" si="30"/>
        <v>2.6657089096086E-3</v>
      </c>
      <c r="Y190" s="7">
        <f t="shared" si="31"/>
        <v>-8.836333198575121E-4</v>
      </c>
      <c r="Z190" s="7">
        <f t="shared" si="32"/>
        <v>-1.3300184960143173E-2</v>
      </c>
      <c r="AM190" s="2">
        <v>187</v>
      </c>
      <c r="AN190" s="33">
        <v>1.0909466809749403E-2</v>
      </c>
      <c r="AO190" s="33">
        <v>3.8674669600616339E-4</v>
      </c>
    </row>
    <row r="191" spans="3:41" ht="14.4" x14ac:dyDescent="0.3">
      <c r="C191" s="24">
        <v>45835</v>
      </c>
      <c r="D191" s="25">
        <v>4967.8</v>
      </c>
      <c r="E191" s="26">
        <v>4.274</v>
      </c>
      <c r="F191" s="27">
        <v>43819.27</v>
      </c>
      <c r="G191" s="27">
        <v>3315.3</v>
      </c>
      <c r="H191" s="28">
        <v>36.04</v>
      </c>
      <c r="I191" s="28">
        <v>614.91</v>
      </c>
      <c r="J191" s="27">
        <v>107044.2</v>
      </c>
      <c r="K191" s="27"/>
      <c r="L191" s="31">
        <f t="shared" si="24"/>
        <v>7.8505575908849323E-4</v>
      </c>
      <c r="M191" s="31">
        <f t="shared" si="24"/>
        <v>-1.0060832943378561E-2</v>
      </c>
      <c r="N191" s="31">
        <f t="shared" si="24"/>
        <v>6.2871882621504671E-3</v>
      </c>
      <c r="O191" s="31">
        <f t="shared" si="24"/>
        <v>6.062799746629155E-3</v>
      </c>
      <c r="P191" s="31">
        <f t="shared" si="25"/>
        <v>-5.2719200887901829E-3</v>
      </c>
      <c r="Q191" s="31">
        <f t="shared" si="25"/>
        <v>4.7811874908523233E-3</v>
      </c>
      <c r="R191" s="31">
        <f t="shared" si="25"/>
        <v>1.1854916006659444E-3</v>
      </c>
      <c r="T191" s="7">
        <f t="shared" si="26"/>
        <v>9.4168641502181548E-4</v>
      </c>
      <c r="U191" s="7">
        <f t="shared" si="27"/>
        <v>-1.0171387546385028E-2</v>
      </c>
      <c r="V191" s="7">
        <f t="shared" si="28"/>
        <v>5.9597042414853444E-3</v>
      </c>
      <c r="W191" s="7">
        <f t="shared" si="29"/>
        <v>4.2454680099201034E-3</v>
      </c>
      <c r="X191" s="7">
        <f t="shared" si="30"/>
        <v>-9.0218318207435644E-3</v>
      </c>
      <c r="Y191" s="7">
        <f t="shared" si="31"/>
        <v>4.221257335193308E-3</v>
      </c>
      <c r="Z191" s="7">
        <f t="shared" si="32"/>
        <v>1.6651409428674114E-3</v>
      </c>
      <c r="AM191" s="2">
        <v>188</v>
      </c>
      <c r="AN191" s="33">
        <v>1.0565054984474145E-2</v>
      </c>
      <c r="AO191" s="33">
        <v>5.9180763919740764E-4</v>
      </c>
    </row>
    <row r="192" spans="3:41" ht="14.4" x14ac:dyDescent="0.3">
      <c r="C192" s="24">
        <v>45834</v>
      </c>
      <c r="D192" s="25">
        <v>4958.3</v>
      </c>
      <c r="E192" s="26">
        <v>4.2450000000000001</v>
      </c>
      <c r="F192" s="27">
        <v>43386.84</v>
      </c>
      <c r="G192" s="27">
        <v>3362.8</v>
      </c>
      <c r="H192" s="28">
        <v>36.590000000000003</v>
      </c>
      <c r="I192" s="28">
        <v>611.87</v>
      </c>
      <c r="J192" s="27">
        <v>106945.9</v>
      </c>
      <c r="K192" s="27"/>
      <c r="L192" s="31">
        <f t="shared" si="24"/>
        <v>1.9159792670875309E-3</v>
      </c>
      <c r="M192" s="31">
        <f t="shared" si="24"/>
        <v>6.8315665488809518E-3</v>
      </c>
      <c r="N192" s="31">
        <f t="shared" si="24"/>
        <v>9.9668470900393658E-3</v>
      </c>
      <c r="O192" s="31">
        <f t="shared" si="24"/>
        <v>-1.4125133817057267E-2</v>
      </c>
      <c r="P192" s="31">
        <f t="shared" si="25"/>
        <v>-1.5031429352282188E-2</v>
      </c>
      <c r="Q192" s="31">
        <f t="shared" si="25"/>
        <v>4.9683756353473552E-3</v>
      </c>
      <c r="R192" s="31">
        <f t="shared" si="25"/>
        <v>9.1915632109329515E-4</v>
      </c>
      <c r="T192" s="7">
        <f t="shared" si="26"/>
        <v>2.0726099230208529E-3</v>
      </c>
      <c r="U192" s="7">
        <f t="shared" si="27"/>
        <v>6.7210119458744845E-3</v>
      </c>
      <c r="V192" s="7">
        <f t="shared" si="28"/>
        <v>9.6393630693742422E-3</v>
      </c>
      <c r="W192" s="7">
        <f t="shared" si="29"/>
        <v>-1.5942465553766317E-2</v>
      </c>
      <c r="X192" s="7">
        <f t="shared" si="30"/>
        <v>-1.878134108423557E-2</v>
      </c>
      <c r="Y192" s="7">
        <f t="shared" si="31"/>
        <v>4.4084454796883398E-3</v>
      </c>
      <c r="Z192" s="7">
        <f t="shared" si="32"/>
        <v>1.3988056632947621E-3</v>
      </c>
      <c r="AM192" s="2">
        <v>189</v>
      </c>
      <c r="AN192" s="33">
        <v>9.7089156909010588E-3</v>
      </c>
      <c r="AO192" s="33">
        <v>7.0424545038144724E-4</v>
      </c>
    </row>
    <row r="193" spans="3:41" ht="14.4" x14ac:dyDescent="0.3">
      <c r="C193" s="24">
        <v>45833</v>
      </c>
      <c r="D193" s="25">
        <v>4935</v>
      </c>
      <c r="E193" s="26">
        <v>4.29</v>
      </c>
      <c r="F193" s="27">
        <v>42982.43</v>
      </c>
      <c r="G193" s="27">
        <v>3357.9</v>
      </c>
      <c r="H193" s="28">
        <v>36.08</v>
      </c>
      <c r="I193" s="28">
        <v>607.12</v>
      </c>
      <c r="J193" s="27">
        <v>107349.4</v>
      </c>
      <c r="K193" s="27"/>
      <c r="L193" s="31">
        <f t="shared" si="24"/>
        <v>4.7213779128674194E-3</v>
      </c>
      <c r="M193" s="31">
        <f t="shared" si="24"/>
        <v>-1.0489510489510523E-2</v>
      </c>
      <c r="N193" s="31">
        <f t="shared" si="24"/>
        <v>9.4087281710224513E-3</v>
      </c>
      <c r="O193" s="31">
        <f t="shared" si="24"/>
        <v>1.4592453616844026E-3</v>
      </c>
      <c r="P193" s="31">
        <f t="shared" si="25"/>
        <v>1.413525498891377E-2</v>
      </c>
      <c r="Q193" s="31">
        <f t="shared" si="25"/>
        <v>7.8238239557253397E-3</v>
      </c>
      <c r="R193" s="31">
        <f t="shared" si="25"/>
        <v>-3.7587541243826461E-3</v>
      </c>
      <c r="T193" s="7">
        <f t="shared" si="26"/>
        <v>4.8780085688007414E-3</v>
      </c>
      <c r="U193" s="7">
        <f t="shared" si="27"/>
        <v>-1.0600065092516989E-2</v>
      </c>
      <c r="V193" s="7">
        <f t="shared" si="28"/>
        <v>9.0812441503573278E-3</v>
      </c>
      <c r="W193" s="7">
        <f t="shared" si="29"/>
        <v>-3.5808637502464879E-4</v>
      </c>
      <c r="X193" s="7">
        <f t="shared" si="30"/>
        <v>1.0385343256960389E-2</v>
      </c>
      <c r="Y193" s="7">
        <f t="shared" si="31"/>
        <v>7.2638938000663244E-3</v>
      </c>
      <c r="Z193" s="7">
        <f t="shared" si="32"/>
        <v>-3.2791047821811793E-3</v>
      </c>
      <c r="AM193" s="2">
        <v>190</v>
      </c>
      <c r="AN193" s="33">
        <v>9.3842664968047627E-3</v>
      </c>
      <c r="AO193" s="33">
        <v>5.872215275396519E-4</v>
      </c>
    </row>
    <row r="194" spans="3:41" ht="14.4" x14ac:dyDescent="0.3">
      <c r="C194" s="24">
        <v>45832</v>
      </c>
      <c r="D194" s="25">
        <v>5043.6000000000004</v>
      </c>
      <c r="E194" s="26">
        <v>4.2939999999999996</v>
      </c>
      <c r="F194" s="27">
        <v>43089.02</v>
      </c>
      <c r="G194" s="27">
        <v>3348.6</v>
      </c>
      <c r="H194" s="28">
        <v>35.700000000000003</v>
      </c>
      <c r="I194" s="28">
        <v>606.78</v>
      </c>
      <c r="J194" s="27">
        <v>106078.6</v>
      </c>
      <c r="K194" s="27"/>
      <c r="L194" s="31">
        <f t="shared" si="24"/>
        <v>-2.1532238876992738E-2</v>
      </c>
      <c r="M194" s="31">
        <f t="shared" si="24"/>
        <v>-9.3153237074983242E-4</v>
      </c>
      <c r="N194" s="31">
        <f t="shared" si="24"/>
        <v>-2.4737160418129012E-3</v>
      </c>
      <c r="O194" s="31">
        <f t="shared" si="24"/>
        <v>2.7772800573373502E-3</v>
      </c>
      <c r="P194" s="31">
        <f t="shared" si="25"/>
        <v>1.0644257703081195E-2</v>
      </c>
      <c r="Q194" s="31">
        <f t="shared" si="25"/>
        <v>5.6033488249451757E-4</v>
      </c>
      <c r="R194" s="31">
        <f t="shared" si="25"/>
        <v>1.1979796113447794E-2</v>
      </c>
      <c r="T194" s="7">
        <f t="shared" si="26"/>
        <v>-2.1375608221059415E-2</v>
      </c>
      <c r="U194" s="7">
        <f t="shared" si="27"/>
        <v>-1.0420869737562993E-3</v>
      </c>
      <c r="V194" s="7">
        <f t="shared" si="28"/>
        <v>-2.8012000624780238E-3</v>
      </c>
      <c r="W194" s="7">
        <f t="shared" si="29"/>
        <v>9.5994832062829883E-4</v>
      </c>
      <c r="X194" s="7">
        <f t="shared" si="30"/>
        <v>6.8943459711278132E-3</v>
      </c>
      <c r="Y194" s="7">
        <f t="shared" si="31"/>
        <v>4.0472683550212257E-7</v>
      </c>
      <c r="Z194" s="7">
        <f t="shared" si="32"/>
        <v>1.2459445455649261E-2</v>
      </c>
      <c r="AM194" s="2">
        <v>191</v>
      </c>
      <c r="AN194" s="33">
        <v>1.0002648712872977E-2</v>
      </c>
      <c r="AO194" s="33">
        <v>7.4821093427758967E-4</v>
      </c>
    </row>
    <row r="195" spans="3:41" ht="14.4" x14ac:dyDescent="0.3">
      <c r="C195" s="24">
        <v>45831</v>
      </c>
      <c r="D195" s="25">
        <v>5028.3999999999996</v>
      </c>
      <c r="E195" s="26">
        <v>4.3410000000000002</v>
      </c>
      <c r="F195" s="27">
        <v>42581.78</v>
      </c>
      <c r="G195" s="27">
        <v>3409.8</v>
      </c>
      <c r="H195" s="28">
        <v>36.15</v>
      </c>
      <c r="I195" s="28">
        <v>600.15</v>
      </c>
      <c r="J195" s="27">
        <v>105376.9</v>
      </c>
      <c r="K195" s="27"/>
      <c r="L195" s="31">
        <f t="shared" si="24"/>
        <v>3.0228303237611609E-3</v>
      </c>
      <c r="M195" s="31">
        <f t="shared" si="24"/>
        <v>-1.0826998387468478E-2</v>
      </c>
      <c r="N195" s="31">
        <f t="shared" si="24"/>
        <v>1.1912137068952999E-2</v>
      </c>
      <c r="O195" s="31">
        <f t="shared" si="24"/>
        <v>-1.7948266760513865E-2</v>
      </c>
      <c r="P195" s="31">
        <f t="shared" si="25"/>
        <v>-1.2448132780082832E-2</v>
      </c>
      <c r="Q195" s="31">
        <f t="shared" si="25"/>
        <v>1.104723819045228E-2</v>
      </c>
      <c r="R195" s="31">
        <f t="shared" si="25"/>
        <v>6.6589546665352106E-3</v>
      </c>
      <c r="T195" s="7">
        <f t="shared" si="26"/>
        <v>3.1794609796944829E-3</v>
      </c>
      <c r="U195" s="7">
        <f t="shared" si="27"/>
        <v>-1.0937552990474945E-2</v>
      </c>
      <c r="V195" s="7">
        <f t="shared" si="28"/>
        <v>1.1584653048287876E-2</v>
      </c>
      <c r="W195" s="7">
        <f t="shared" si="29"/>
        <v>-1.9765598497222914E-2</v>
      </c>
      <c r="X195" s="7">
        <f t="shared" si="30"/>
        <v>-1.6198044512036214E-2</v>
      </c>
      <c r="Y195" s="7">
        <f t="shared" si="31"/>
        <v>1.0487308034793264E-2</v>
      </c>
      <c r="Z195" s="7">
        <f t="shared" si="32"/>
        <v>7.1386040087366778E-3</v>
      </c>
      <c r="AM195" s="2">
        <v>192</v>
      </c>
      <c r="AN195" s="33">
        <v>1.2474277527491027E-2</v>
      </c>
      <c r="AO195" s="33">
        <v>1.1949682029299201E-3</v>
      </c>
    </row>
    <row r="196" spans="3:41" ht="14.4" x14ac:dyDescent="0.3">
      <c r="C196" s="24">
        <v>45828</v>
      </c>
      <c r="D196" s="25">
        <v>4963.6000000000004</v>
      </c>
      <c r="E196" s="26">
        <v>4.3760000000000003</v>
      </c>
      <c r="F196" s="27">
        <v>42206.82</v>
      </c>
      <c r="G196" s="27">
        <v>3400.4</v>
      </c>
      <c r="H196" s="28">
        <v>35.979999999999997</v>
      </c>
      <c r="I196" s="28">
        <v>594.28</v>
      </c>
      <c r="J196" s="27">
        <v>103280.5</v>
      </c>
      <c r="K196" s="27"/>
      <c r="L196" s="31">
        <f t="shared" si="24"/>
        <v>1.3055040696268616E-2</v>
      </c>
      <c r="M196" s="31">
        <f t="shared" si="24"/>
        <v>-7.9981718464351426E-3</v>
      </c>
      <c r="N196" s="31">
        <f t="shared" si="24"/>
        <v>8.8838723220558968E-3</v>
      </c>
      <c r="O196" s="31">
        <f t="shared" si="24"/>
        <v>2.764380661098631E-3</v>
      </c>
      <c r="P196" s="31">
        <f t="shared" si="25"/>
        <v>4.7248471372984824E-3</v>
      </c>
      <c r="Q196" s="31">
        <f t="shared" si="25"/>
        <v>9.8774988221039806E-3</v>
      </c>
      <c r="R196" s="31">
        <f t="shared" si="25"/>
        <v>2.0298120167892231E-2</v>
      </c>
      <c r="T196" s="7">
        <f t="shared" si="26"/>
        <v>1.3211671352201939E-2</v>
      </c>
      <c r="U196" s="7">
        <f t="shared" si="27"/>
        <v>-8.1087264494416091E-3</v>
      </c>
      <c r="V196" s="7">
        <f t="shared" si="28"/>
        <v>8.5563883013907733E-3</v>
      </c>
      <c r="W196" s="7">
        <f t="shared" si="29"/>
        <v>9.4704892438957967E-4</v>
      </c>
      <c r="X196" s="7">
        <f t="shared" si="30"/>
        <v>9.7493540534510136E-4</v>
      </c>
      <c r="Y196" s="7">
        <f t="shared" si="31"/>
        <v>9.3175686664449652E-3</v>
      </c>
      <c r="Z196" s="7">
        <f t="shared" si="32"/>
        <v>2.0777769510093698E-2</v>
      </c>
      <c r="AM196" s="2">
        <v>193</v>
      </c>
      <c r="AN196" s="33">
        <v>1.4646450078172802E-2</v>
      </c>
      <c r="AO196" s="33">
        <v>1.1132327811949551E-3</v>
      </c>
    </row>
    <row r="197" spans="3:41" ht="14.4" x14ac:dyDescent="0.3">
      <c r="C197" s="24">
        <v>45826</v>
      </c>
      <c r="D197" s="25">
        <v>4964</v>
      </c>
      <c r="E197" s="26">
        <v>4.3899999999999997</v>
      </c>
      <c r="F197" s="27">
        <v>42171.66</v>
      </c>
      <c r="G197" s="27">
        <v>3423</v>
      </c>
      <c r="H197" s="28">
        <v>36.869999999999997</v>
      </c>
      <c r="I197" s="28">
        <v>597.44000000000005</v>
      </c>
      <c r="J197" s="27">
        <v>104894.2</v>
      </c>
      <c r="K197" s="27"/>
      <c r="L197" s="31">
        <f t="shared" si="24"/>
        <v>-8.0580177276301512E-5</v>
      </c>
      <c r="M197" s="31">
        <f t="shared" si="24"/>
        <v>-3.1890660592253095E-3</v>
      </c>
      <c r="N197" s="31">
        <f t="shared" si="24"/>
        <v>8.3373526202179526E-4</v>
      </c>
      <c r="O197" s="31">
        <f t="shared" si="24"/>
        <v>-6.6023955594507466E-3</v>
      </c>
      <c r="P197" s="31">
        <f t="shared" si="25"/>
        <v>-2.4138866286954164E-2</v>
      </c>
      <c r="Q197" s="31">
        <f t="shared" si="25"/>
        <v>-5.2892340653456493E-3</v>
      </c>
      <c r="R197" s="31">
        <f t="shared" si="25"/>
        <v>-1.5384072713267249E-2</v>
      </c>
      <c r="T197" s="7">
        <f t="shared" si="26"/>
        <v>7.6050478657020736E-5</v>
      </c>
      <c r="U197" s="7">
        <f t="shared" si="27"/>
        <v>-3.2996206622317764E-3</v>
      </c>
      <c r="V197" s="7">
        <f t="shared" si="28"/>
        <v>5.0625124135667238E-4</v>
      </c>
      <c r="W197" s="7">
        <f t="shared" si="29"/>
        <v>-8.4197272961597982E-3</v>
      </c>
      <c r="X197" s="7">
        <f t="shared" si="30"/>
        <v>-2.7888778018907545E-2</v>
      </c>
      <c r="Y197" s="7">
        <f t="shared" si="31"/>
        <v>-5.8491642210046647E-3</v>
      </c>
      <c r="Z197" s="7">
        <f t="shared" si="32"/>
        <v>-1.4904423371065782E-2</v>
      </c>
      <c r="AM197" s="2">
        <v>194</v>
      </c>
      <c r="AN197" s="33">
        <v>1.4900017420975112E-2</v>
      </c>
      <c r="AO197" s="33">
        <v>1.0958664806175655E-3</v>
      </c>
    </row>
    <row r="198" spans="3:41" ht="14.4" x14ac:dyDescent="0.3">
      <c r="C198" s="24">
        <v>45825</v>
      </c>
      <c r="D198" s="25">
        <v>4943.7</v>
      </c>
      <c r="E198" s="26">
        <v>4.3860000000000001</v>
      </c>
      <c r="F198" s="27">
        <v>42215.8</v>
      </c>
      <c r="G198" s="27">
        <v>3421.9</v>
      </c>
      <c r="H198" s="28">
        <v>37.090000000000003</v>
      </c>
      <c r="I198" s="28">
        <v>597.53</v>
      </c>
      <c r="J198" s="27">
        <v>104559.8</v>
      </c>
      <c r="K198" s="27"/>
      <c r="L198" s="31">
        <f t="shared" si="24"/>
        <v>4.106236219835413E-3</v>
      </c>
      <c r="M198" s="31">
        <f t="shared" si="24"/>
        <v>9.1199270405817323E-4</v>
      </c>
      <c r="N198" s="31">
        <f t="shared" si="24"/>
        <v>-1.0455800908664159E-3</v>
      </c>
      <c r="O198" s="31">
        <f t="shared" si="24"/>
        <v>3.2145883865686287E-4</v>
      </c>
      <c r="P198" s="31">
        <f t="shared" si="25"/>
        <v>-5.9315179293611964E-3</v>
      </c>
      <c r="Q198" s="31">
        <f t="shared" si="25"/>
        <v>-1.506200525495105E-4</v>
      </c>
      <c r="R198" s="31">
        <f t="shared" si="25"/>
        <v>3.1981698511283074E-3</v>
      </c>
      <c r="T198" s="7">
        <f t="shared" si="26"/>
        <v>4.262866875768735E-3</v>
      </c>
      <c r="U198" s="7">
        <f t="shared" si="27"/>
        <v>8.0143810105170619E-4</v>
      </c>
      <c r="V198" s="7">
        <f t="shared" si="28"/>
        <v>-1.3730641115315388E-3</v>
      </c>
      <c r="W198" s="7">
        <f t="shared" si="29"/>
        <v>-1.4958728980521885E-3</v>
      </c>
      <c r="X198" s="7">
        <f t="shared" si="30"/>
        <v>-9.6814296613145778E-3</v>
      </c>
      <c r="Y198" s="7">
        <f t="shared" si="31"/>
        <v>-7.1055020820852595E-4</v>
      </c>
      <c r="Z198" s="7">
        <f t="shared" si="32"/>
        <v>3.6778191933297742E-3</v>
      </c>
      <c r="AM198" s="2">
        <v>195</v>
      </c>
      <c r="AN198" s="33">
        <v>1.2976974363020246E-2</v>
      </c>
      <c r="AO198" s="33">
        <v>9.4580983331486767E-4</v>
      </c>
    </row>
    <row r="199" spans="3:41" ht="14.4" x14ac:dyDescent="0.3">
      <c r="C199" s="24">
        <v>45824</v>
      </c>
      <c r="D199" s="25">
        <v>4974.3999999999996</v>
      </c>
      <c r="E199" s="26">
        <v>4.4480000000000004</v>
      </c>
      <c r="F199" s="27">
        <v>42515.09</v>
      </c>
      <c r="G199" s="27">
        <v>3432.2</v>
      </c>
      <c r="H199" s="28">
        <v>36.380000000000003</v>
      </c>
      <c r="I199" s="28">
        <v>602.67999999999995</v>
      </c>
      <c r="J199" s="27">
        <v>106740.4</v>
      </c>
      <c r="K199" s="27"/>
      <c r="L199" s="31">
        <f t="shared" si="24"/>
        <v>-6.1715985847539123E-3</v>
      </c>
      <c r="M199" s="31">
        <f t="shared" si="24"/>
        <v>-1.3938848920863389E-2</v>
      </c>
      <c r="N199" s="31">
        <f t="shared" si="24"/>
        <v>-7.0396181685136172E-3</v>
      </c>
      <c r="O199" s="31">
        <f t="shared" si="24"/>
        <v>-3.0009906182623114E-3</v>
      </c>
      <c r="P199" s="31">
        <f t="shared" si="25"/>
        <v>1.9516217702034044E-2</v>
      </c>
      <c r="Q199" s="31">
        <f t="shared" si="25"/>
        <v>-8.5451649299793653E-3</v>
      </c>
      <c r="R199" s="31">
        <f t="shared" si="25"/>
        <v>-2.0429003451364114E-2</v>
      </c>
      <c r="T199" s="7">
        <f t="shared" si="26"/>
        <v>-6.0149679288205903E-3</v>
      </c>
      <c r="U199" s="7">
        <f t="shared" si="27"/>
        <v>-1.4049403523869856E-2</v>
      </c>
      <c r="V199" s="7">
        <f t="shared" si="28"/>
        <v>-7.3671021891787399E-3</v>
      </c>
      <c r="W199" s="7">
        <f t="shared" si="29"/>
        <v>-4.818322354971363E-3</v>
      </c>
      <c r="X199" s="7">
        <f t="shared" si="30"/>
        <v>1.5766305970080663E-2</v>
      </c>
      <c r="Y199" s="7">
        <f t="shared" si="31"/>
        <v>-9.1050950856383806E-3</v>
      </c>
      <c r="Z199" s="7">
        <f t="shared" si="32"/>
        <v>-1.9949354109162647E-2</v>
      </c>
      <c r="AM199" s="2">
        <v>196</v>
      </c>
      <c r="AN199" s="33">
        <v>1.0427343311208365E-2</v>
      </c>
      <c r="AO199" s="33">
        <v>5.9710261154681033E-4</v>
      </c>
    </row>
    <row r="200" spans="3:41" ht="14.4" x14ac:dyDescent="0.3">
      <c r="C200" s="24">
        <v>45821</v>
      </c>
      <c r="D200" s="25">
        <v>4966.8999999999996</v>
      </c>
      <c r="E200" s="26">
        <v>4.4059999999999997</v>
      </c>
      <c r="F200" s="27">
        <v>42197.79</v>
      </c>
      <c r="G200" s="27">
        <v>3467.7</v>
      </c>
      <c r="H200" s="28">
        <v>36.28</v>
      </c>
      <c r="I200" s="28">
        <v>597</v>
      </c>
      <c r="J200" s="27">
        <v>106080.3</v>
      </c>
      <c r="K200" s="27"/>
      <c r="L200" s="31">
        <f t="shared" si="24"/>
        <v>1.5099961746762869E-3</v>
      </c>
      <c r="M200" s="31">
        <f t="shared" si="24"/>
        <v>9.5324557421698763E-3</v>
      </c>
      <c r="N200" s="31">
        <f t="shared" si="24"/>
        <v>7.519351131895613E-3</v>
      </c>
      <c r="O200" s="31">
        <f t="shared" si="24"/>
        <v>-1.0237333102632862E-2</v>
      </c>
      <c r="P200" s="31">
        <f t="shared" si="25"/>
        <v>2.7563395810363822E-3</v>
      </c>
      <c r="Q200" s="31">
        <f t="shared" si="25"/>
        <v>9.5142378559462948E-3</v>
      </c>
      <c r="R200" s="31">
        <f t="shared" si="25"/>
        <v>6.2226445438029465E-3</v>
      </c>
      <c r="T200" s="7">
        <f t="shared" si="26"/>
        <v>1.6666268306096091E-3</v>
      </c>
      <c r="U200" s="7">
        <f t="shared" si="27"/>
        <v>9.4219011391634098E-3</v>
      </c>
      <c r="V200" s="7">
        <f t="shared" si="28"/>
        <v>7.1918671112304903E-3</v>
      </c>
      <c r="W200" s="7">
        <f t="shared" si="29"/>
        <v>-1.2054664839341913E-2</v>
      </c>
      <c r="X200" s="7">
        <f t="shared" si="30"/>
        <v>-9.9357215091699881E-4</v>
      </c>
      <c r="Y200" s="7">
        <f t="shared" si="31"/>
        <v>8.9543077002872794E-3</v>
      </c>
      <c r="Z200" s="7">
        <f t="shared" si="32"/>
        <v>6.7022938860044137E-3</v>
      </c>
      <c r="AM200" s="2">
        <v>197</v>
      </c>
      <c r="AN200" s="33">
        <v>1.0534573130693005E-2</v>
      </c>
      <c r="AO200" s="33">
        <v>6.1275220670848544E-4</v>
      </c>
    </row>
    <row r="201" spans="3:41" ht="14.4" x14ac:dyDescent="0.3">
      <c r="C201" s="24">
        <v>45820</v>
      </c>
      <c r="D201" s="25">
        <v>5035.8</v>
      </c>
      <c r="E201" s="26">
        <v>4.3639999999999999</v>
      </c>
      <c r="F201" s="27">
        <v>42967.62</v>
      </c>
      <c r="G201" s="27">
        <v>3417.1</v>
      </c>
      <c r="H201" s="28">
        <v>36.21</v>
      </c>
      <c r="I201" s="28">
        <v>603.75</v>
      </c>
      <c r="J201" s="27">
        <v>105703</v>
      </c>
      <c r="K201" s="27"/>
      <c r="L201" s="31">
        <f t="shared" si="24"/>
        <v>-1.3682036617816529E-2</v>
      </c>
      <c r="M201" s="31">
        <f t="shared" si="24"/>
        <v>9.6241979835012259E-3</v>
      </c>
      <c r="N201" s="31">
        <f t="shared" si="24"/>
        <v>-1.7916514808127615E-2</v>
      </c>
      <c r="O201" s="31">
        <f t="shared" ref="O201:O257" si="33">G200/G201-1</f>
        <v>1.4807878025226096E-2</v>
      </c>
      <c r="P201" s="31">
        <f t="shared" si="25"/>
        <v>1.9331676332505765E-3</v>
      </c>
      <c r="Q201" s="31">
        <f t="shared" si="25"/>
        <v>-1.1180124223602483E-2</v>
      </c>
      <c r="R201" s="31">
        <f t="shared" si="25"/>
        <v>3.5694351153705561E-3</v>
      </c>
      <c r="T201" s="7">
        <f t="shared" si="26"/>
        <v>-1.3525405961883206E-2</v>
      </c>
      <c r="U201" s="7">
        <f t="shared" si="27"/>
        <v>9.5136433804947594E-3</v>
      </c>
      <c r="V201" s="7">
        <f t="shared" si="28"/>
        <v>-1.8243998828792737E-2</v>
      </c>
      <c r="W201" s="7">
        <f t="shared" si="29"/>
        <v>1.2990546288517044E-2</v>
      </c>
      <c r="X201" s="7">
        <f t="shared" si="30"/>
        <v>-1.8167440987028045E-3</v>
      </c>
      <c r="Y201" s="7">
        <f t="shared" si="31"/>
        <v>-1.1740054379261499E-2</v>
      </c>
      <c r="Z201" s="7">
        <f t="shared" si="32"/>
        <v>4.0490844575720233E-3</v>
      </c>
      <c r="AM201" s="2">
        <v>198</v>
      </c>
      <c r="AN201" s="33">
        <v>1.1629483079013193E-2</v>
      </c>
      <c r="AO201" s="33">
        <v>5.4754382807236236E-4</v>
      </c>
    </row>
    <row r="202" spans="3:41" ht="14.4" x14ac:dyDescent="0.3">
      <c r="C202" s="24">
        <v>45819</v>
      </c>
      <c r="D202" s="25">
        <v>5009.8999999999996</v>
      </c>
      <c r="E202" s="26">
        <v>4.4189999999999996</v>
      </c>
      <c r="F202" s="27">
        <v>42865.77</v>
      </c>
      <c r="G202" s="27">
        <v>3358.5</v>
      </c>
      <c r="H202" s="28">
        <v>36.17</v>
      </c>
      <c r="I202" s="28">
        <v>601.36</v>
      </c>
      <c r="J202" s="27">
        <v>108661.2</v>
      </c>
      <c r="K202" s="27"/>
      <c r="L202" s="31">
        <f t="shared" ref="L202:P257" si="34">D201/D202-1</f>
        <v>5.1697638675423097E-3</v>
      </c>
      <c r="M202" s="31">
        <f t="shared" si="34"/>
        <v>-1.2446254808780255E-2</v>
      </c>
      <c r="N202" s="31">
        <f t="shared" si="34"/>
        <v>2.376021706830489E-3</v>
      </c>
      <c r="O202" s="31">
        <f t="shared" si="34"/>
        <v>1.7448265594759649E-2</v>
      </c>
      <c r="P202" s="31">
        <f t="shared" si="34"/>
        <v>1.1058888581696458E-3</v>
      </c>
      <c r="Q202" s="31">
        <f t="shared" ref="Q202:R257" si="35">I201/I202-1</f>
        <v>3.9743248636423534E-3</v>
      </c>
      <c r="R202" s="31">
        <f t="shared" si="35"/>
        <v>-2.7224068940891466E-2</v>
      </c>
      <c r="T202" s="7">
        <f t="shared" ref="T202:T257" si="36">L202-AC$8</f>
        <v>5.3263945234756317E-3</v>
      </c>
      <c r="U202" s="7">
        <f t="shared" ref="U202:U257" si="37">M202-AD$8</f>
        <v>-1.2556809411786721E-2</v>
      </c>
      <c r="V202" s="7">
        <f t="shared" ref="V202:V257" si="38">N202-AE$8</f>
        <v>2.0485376861653663E-3</v>
      </c>
      <c r="W202" s="7">
        <f t="shared" ref="W202:W257" si="39">O202-AF$8</f>
        <v>1.5630933858050599E-2</v>
      </c>
      <c r="X202" s="7">
        <f t="shared" ref="X202:X257" si="40">P202-AG$8</f>
        <v>-2.6440228737837352E-3</v>
      </c>
      <c r="Y202" s="7">
        <f t="shared" ref="Y202:Y257" si="41">Q202-AH$8</f>
        <v>3.414394707983338E-3</v>
      </c>
      <c r="Z202" s="7">
        <f t="shared" ref="Z202:Z257" si="42">R202-AI$8</f>
        <v>-2.6744419598689999E-2</v>
      </c>
      <c r="AM202" s="2">
        <v>199</v>
      </c>
      <c r="AN202" s="33">
        <v>1.0903126752974876E-2</v>
      </c>
      <c r="AO202" s="33">
        <v>5.3003749639682839E-4</v>
      </c>
    </row>
    <row r="203" spans="3:41" ht="14.4" x14ac:dyDescent="0.3">
      <c r="C203" s="24">
        <v>45818</v>
      </c>
      <c r="D203" s="25">
        <v>5033.8</v>
      </c>
      <c r="E203" s="26">
        <v>4.4729999999999999</v>
      </c>
      <c r="F203" s="27">
        <v>42866.87</v>
      </c>
      <c r="G203" s="27">
        <v>3358.2</v>
      </c>
      <c r="H203" s="28">
        <v>36.54</v>
      </c>
      <c r="I203" s="28">
        <v>603.08000000000004</v>
      </c>
      <c r="J203" s="27">
        <v>110269.2</v>
      </c>
      <c r="K203" s="27"/>
      <c r="L203" s="31">
        <f t="shared" si="34"/>
        <v>-4.7479041678255562E-3</v>
      </c>
      <c r="M203" s="31">
        <f t="shared" si="34"/>
        <v>-1.2072434607645954E-2</v>
      </c>
      <c r="N203" s="31">
        <f t="shared" si="34"/>
        <v>-2.5660842510877302E-5</v>
      </c>
      <c r="O203" s="31">
        <f t="shared" si="34"/>
        <v>8.9333571556160507E-5</v>
      </c>
      <c r="P203" s="31">
        <f t="shared" si="34"/>
        <v>-1.0125889436234159E-2</v>
      </c>
      <c r="Q203" s="31">
        <f t="shared" si="35"/>
        <v>-2.852026265172114E-3</v>
      </c>
      <c r="R203" s="31">
        <f t="shared" si="35"/>
        <v>-1.4582494477152319E-2</v>
      </c>
      <c r="T203" s="7">
        <f t="shared" si="36"/>
        <v>-4.5912735118922342E-3</v>
      </c>
      <c r="U203" s="7">
        <f t="shared" si="37"/>
        <v>-1.2182989210652421E-2</v>
      </c>
      <c r="V203" s="7">
        <f t="shared" si="38"/>
        <v>-3.5314486317600014E-4</v>
      </c>
      <c r="W203" s="7">
        <f t="shared" si="39"/>
        <v>-1.7279981651528908E-3</v>
      </c>
      <c r="X203" s="7">
        <f t="shared" si="40"/>
        <v>-1.387580116818754E-2</v>
      </c>
      <c r="Y203" s="7">
        <f t="shared" si="41"/>
        <v>-3.4119564208311293E-3</v>
      </c>
      <c r="Z203" s="7">
        <f t="shared" si="42"/>
        <v>-1.4102845134950852E-2</v>
      </c>
      <c r="AM203" s="2">
        <v>200</v>
      </c>
      <c r="AN203" s="33">
        <v>1.1803343356623374E-2</v>
      </c>
      <c r="AO203" s="33">
        <v>9.4067956636994816E-4</v>
      </c>
    </row>
    <row r="204" spans="3:41" ht="14.4" x14ac:dyDescent="0.3">
      <c r="C204" s="24">
        <v>45817</v>
      </c>
      <c r="D204" s="25">
        <v>4978.8</v>
      </c>
      <c r="E204" s="26">
        <v>4.4749999999999996</v>
      </c>
      <c r="F204" s="27">
        <v>42761.760000000002</v>
      </c>
      <c r="G204" s="27">
        <v>3369.8</v>
      </c>
      <c r="H204" s="28">
        <v>36.69</v>
      </c>
      <c r="I204" s="28">
        <v>599.67999999999995</v>
      </c>
      <c r="J204" s="27">
        <v>110268.3</v>
      </c>
      <c r="K204" s="27"/>
      <c r="L204" s="31">
        <f t="shared" si="34"/>
        <v>1.1046838595645481E-2</v>
      </c>
      <c r="M204" s="31">
        <f t="shared" si="34"/>
        <v>-4.469273743016311E-4</v>
      </c>
      <c r="N204" s="31">
        <f t="shared" si="34"/>
        <v>2.4580372744247292E-3</v>
      </c>
      <c r="O204" s="31">
        <f t="shared" si="34"/>
        <v>-3.4423407917384408E-3</v>
      </c>
      <c r="P204" s="31">
        <f t="shared" si="34"/>
        <v>-4.0883074407195297E-3</v>
      </c>
      <c r="Q204" s="31">
        <f t="shared" si="35"/>
        <v>5.6696905016009325E-3</v>
      </c>
      <c r="R204" s="31">
        <f t="shared" si="35"/>
        <v>8.1619105398722525E-6</v>
      </c>
      <c r="T204" s="7">
        <f t="shared" si="36"/>
        <v>1.1203469251578804E-2</v>
      </c>
      <c r="U204" s="7">
        <f t="shared" si="37"/>
        <v>-5.5748197730809813E-4</v>
      </c>
      <c r="V204" s="7">
        <f t="shared" si="38"/>
        <v>2.1305532537596065E-3</v>
      </c>
      <c r="W204" s="7">
        <f t="shared" si="39"/>
        <v>-5.2596725284474923E-3</v>
      </c>
      <c r="X204" s="7">
        <f t="shared" si="40"/>
        <v>-7.8382191726729111E-3</v>
      </c>
      <c r="Y204" s="7">
        <f t="shared" si="41"/>
        <v>5.1097603459419171E-3</v>
      </c>
      <c r="Z204" s="7">
        <f t="shared" si="42"/>
        <v>4.8781125274133919E-4</v>
      </c>
      <c r="AM204" s="2">
        <v>201</v>
      </c>
      <c r="AN204" s="33">
        <v>1.6907255789783835E-2</v>
      </c>
      <c r="AO204" s="33">
        <v>1.0795227140472032E-3</v>
      </c>
    </row>
    <row r="205" spans="3:41" ht="14.4" x14ac:dyDescent="0.3">
      <c r="C205" s="24">
        <v>45814</v>
      </c>
      <c r="D205" s="25">
        <v>4973.1000000000004</v>
      </c>
      <c r="E205" s="26">
        <v>4.5049999999999999</v>
      </c>
      <c r="F205" s="27">
        <v>42762.87</v>
      </c>
      <c r="G205" s="27">
        <v>3361.6</v>
      </c>
      <c r="H205" s="28">
        <v>36.03</v>
      </c>
      <c r="I205" s="28">
        <v>599.14</v>
      </c>
      <c r="J205" s="27">
        <v>104308.3</v>
      </c>
      <c r="K205" s="27"/>
      <c r="L205" s="31">
        <f t="shared" si="34"/>
        <v>1.1461663750980122E-3</v>
      </c>
      <c r="M205" s="31">
        <f t="shared" si="34"/>
        <v>-6.6592674805772134E-3</v>
      </c>
      <c r="N205" s="31">
        <f t="shared" si="34"/>
        <v>-2.5957097828155362E-5</v>
      </c>
      <c r="O205" s="31">
        <f t="shared" si="34"/>
        <v>2.4393146120895715E-3</v>
      </c>
      <c r="P205" s="31">
        <f t="shared" si="34"/>
        <v>1.8318068276436117E-2</v>
      </c>
      <c r="Q205" s="31">
        <f t="shared" si="35"/>
        <v>9.0129185165399583E-4</v>
      </c>
      <c r="R205" s="31">
        <f t="shared" si="35"/>
        <v>5.7138310182411223E-2</v>
      </c>
      <c r="T205" s="7">
        <f t="shared" si="36"/>
        <v>1.3027970310313345E-3</v>
      </c>
      <c r="U205" s="7">
        <f t="shared" si="37"/>
        <v>-6.7698220835836808E-3</v>
      </c>
      <c r="V205" s="7">
        <f t="shared" si="38"/>
        <v>-3.534411184932782E-4</v>
      </c>
      <c r="W205" s="7">
        <f t="shared" si="39"/>
        <v>6.2198287538052011E-4</v>
      </c>
      <c r="X205" s="7">
        <f t="shared" si="40"/>
        <v>1.4568156544482735E-2</v>
      </c>
      <c r="Y205" s="7">
        <f t="shared" si="41"/>
        <v>3.4136169599498039E-4</v>
      </c>
      <c r="Z205" s="7">
        <f t="shared" si="42"/>
        <v>5.761795952461269E-2</v>
      </c>
      <c r="AM205" s="2">
        <v>202</v>
      </c>
      <c r="AN205" s="33">
        <v>1.2726642775661422E-2</v>
      </c>
      <c r="AO205" s="33">
        <v>1.1191488211070495E-3</v>
      </c>
    </row>
    <row r="206" spans="3:41" ht="14.4" x14ac:dyDescent="0.3">
      <c r="C206" s="24">
        <v>45813</v>
      </c>
      <c r="D206" s="25">
        <v>4938.7</v>
      </c>
      <c r="E206" s="26">
        <v>4.3890000000000002</v>
      </c>
      <c r="F206" s="27">
        <v>42319.74</v>
      </c>
      <c r="G206" s="27">
        <v>3390</v>
      </c>
      <c r="H206" s="28">
        <v>35.69</v>
      </c>
      <c r="I206" s="28">
        <v>593.04999999999995</v>
      </c>
      <c r="J206" s="27">
        <v>101521.9</v>
      </c>
      <c r="K206" s="27"/>
      <c r="L206" s="31">
        <f t="shared" si="34"/>
        <v>6.9653957519186793E-3</v>
      </c>
      <c r="M206" s="31">
        <f t="shared" si="34"/>
        <v>2.6429710640236914E-2</v>
      </c>
      <c r="N206" s="31">
        <f t="shared" si="34"/>
        <v>1.0471000058128954E-2</v>
      </c>
      <c r="O206" s="31">
        <f t="shared" si="34"/>
        <v>-8.3775811209439999E-3</v>
      </c>
      <c r="P206" s="31">
        <f t="shared" si="34"/>
        <v>9.5264780050434705E-3</v>
      </c>
      <c r="Q206" s="31">
        <f t="shared" si="35"/>
        <v>1.0268948655256738E-2</v>
      </c>
      <c r="R206" s="31">
        <f t="shared" si="35"/>
        <v>2.744629483884764E-2</v>
      </c>
      <c r="T206" s="7">
        <f t="shared" si="36"/>
        <v>7.1220264078520014E-3</v>
      </c>
      <c r="U206" s="7">
        <f t="shared" si="37"/>
        <v>2.6319156037230448E-2</v>
      </c>
      <c r="V206" s="7">
        <f t="shared" si="38"/>
        <v>1.0143516037463831E-2</v>
      </c>
      <c r="W206" s="7">
        <f t="shared" si="39"/>
        <v>-1.0194912857653051E-2</v>
      </c>
      <c r="X206" s="7">
        <f t="shared" si="40"/>
        <v>5.7765662730900891E-3</v>
      </c>
      <c r="Y206" s="7">
        <f t="shared" si="41"/>
        <v>9.7090184995977224E-3</v>
      </c>
      <c r="Z206" s="7">
        <f t="shared" si="42"/>
        <v>2.7925944181049107E-2</v>
      </c>
      <c r="AM206" s="2">
        <v>203</v>
      </c>
      <c r="AN206" s="33">
        <v>1.441008001567122E-2</v>
      </c>
      <c r="AO206" s="33">
        <v>1.1522818777029993E-3</v>
      </c>
    </row>
    <row r="207" spans="3:41" ht="14.4" x14ac:dyDescent="0.3">
      <c r="C207" s="24">
        <v>45812</v>
      </c>
      <c r="D207" s="25">
        <v>4938.5</v>
      </c>
      <c r="E207" s="26">
        <v>4.3559999999999999</v>
      </c>
      <c r="F207" s="27">
        <v>42427.74</v>
      </c>
      <c r="G207" s="27">
        <v>3414</v>
      </c>
      <c r="H207" s="28">
        <v>34.520000000000003</v>
      </c>
      <c r="I207" s="28">
        <v>595.92999999999995</v>
      </c>
      <c r="J207" s="27">
        <v>104695.6</v>
      </c>
      <c r="K207" s="27"/>
      <c r="L207" s="31">
        <f t="shared" si="34"/>
        <v>4.0498126961496794E-5</v>
      </c>
      <c r="M207" s="31">
        <f t="shared" si="34"/>
        <v>7.575757575757569E-3</v>
      </c>
      <c r="N207" s="31">
        <f t="shared" si="34"/>
        <v>-2.5455044270564775E-3</v>
      </c>
      <c r="O207" s="31">
        <f t="shared" si="34"/>
        <v>-7.0298769771528491E-3</v>
      </c>
      <c r="P207" s="31">
        <f t="shared" si="34"/>
        <v>3.3893395133255844E-2</v>
      </c>
      <c r="Q207" s="31">
        <f t="shared" si="35"/>
        <v>-4.8327823737687181E-3</v>
      </c>
      <c r="R207" s="31">
        <f t="shared" si="35"/>
        <v>-3.0313594840661984E-2</v>
      </c>
      <c r="T207" s="7">
        <f t="shared" si="36"/>
        <v>1.9712878289481904E-4</v>
      </c>
      <c r="U207" s="7">
        <f t="shared" si="37"/>
        <v>7.4652029727511017E-3</v>
      </c>
      <c r="V207" s="7">
        <f t="shared" si="38"/>
        <v>-2.8729884477216002E-3</v>
      </c>
      <c r="W207" s="7">
        <f t="shared" si="39"/>
        <v>-8.8472087138619007E-3</v>
      </c>
      <c r="X207" s="7">
        <f t="shared" si="40"/>
        <v>3.0143483401302462E-2</v>
      </c>
      <c r="Y207" s="7">
        <f t="shared" si="41"/>
        <v>-5.3927125294277335E-3</v>
      </c>
      <c r="Z207" s="7">
        <f t="shared" si="42"/>
        <v>-2.9833945498460517E-2</v>
      </c>
      <c r="AM207" s="2">
        <v>204</v>
      </c>
      <c r="AN207" s="33">
        <v>1.0713397507718693E-2</v>
      </c>
      <c r="AO207" s="33">
        <v>4.8748453780886802E-4</v>
      </c>
    </row>
    <row r="208" spans="3:41" ht="14.4" x14ac:dyDescent="0.3">
      <c r="C208" s="24">
        <v>45811</v>
      </c>
      <c r="D208" s="25">
        <v>4921.3999999999996</v>
      </c>
      <c r="E208" s="26">
        <v>4.4569999999999999</v>
      </c>
      <c r="F208" s="27">
        <v>42519.64</v>
      </c>
      <c r="G208" s="27">
        <v>3392</v>
      </c>
      <c r="H208" s="28">
        <v>34.5</v>
      </c>
      <c r="I208" s="28">
        <v>596.09</v>
      </c>
      <c r="J208" s="27">
        <v>105388.3</v>
      </c>
      <c r="K208" s="27"/>
      <c r="L208" s="31">
        <f t="shared" si="34"/>
        <v>3.4746210427927249E-3</v>
      </c>
      <c r="M208" s="31">
        <f t="shared" si="34"/>
        <v>-2.2660982723805234E-2</v>
      </c>
      <c r="N208" s="31">
        <f t="shared" si="34"/>
        <v>-2.1613541412862647E-3</v>
      </c>
      <c r="O208" s="31">
        <f t="shared" si="34"/>
        <v>6.4858490566037652E-3</v>
      </c>
      <c r="P208" s="31">
        <f t="shared" si="34"/>
        <v>5.7971014492763651E-4</v>
      </c>
      <c r="Q208" s="31">
        <f t="shared" si="35"/>
        <v>-2.6841584324532874E-4</v>
      </c>
      <c r="R208" s="31">
        <f t="shared" si="35"/>
        <v>-6.5728358840592138E-3</v>
      </c>
      <c r="T208" s="7">
        <f t="shared" si="36"/>
        <v>3.6312516987260469E-3</v>
      </c>
      <c r="U208" s="7">
        <f t="shared" si="37"/>
        <v>-2.2771537326811701E-2</v>
      </c>
      <c r="V208" s="7">
        <f t="shared" si="38"/>
        <v>-2.4888381619513874E-3</v>
      </c>
      <c r="W208" s="7">
        <f t="shared" si="39"/>
        <v>4.6685173198947136E-3</v>
      </c>
      <c r="X208" s="7">
        <f t="shared" si="40"/>
        <v>-3.1702015870257445E-3</v>
      </c>
      <c r="Y208" s="7">
        <f t="shared" si="41"/>
        <v>-8.2834599890434419E-4</v>
      </c>
      <c r="Z208" s="7">
        <f t="shared" si="42"/>
        <v>-6.0931865418577466E-3</v>
      </c>
      <c r="AM208" s="2">
        <v>205</v>
      </c>
      <c r="AN208" s="33">
        <v>1.0089196989473095E-2</v>
      </c>
      <c r="AO208" s="33">
        <v>5.5623219431913255E-4</v>
      </c>
    </row>
    <row r="209" spans="3:41" ht="14.4" x14ac:dyDescent="0.3">
      <c r="C209" s="24">
        <v>45810</v>
      </c>
      <c r="D209" s="25">
        <v>4912.8999999999996</v>
      </c>
      <c r="E209" s="26">
        <v>4.4409999999999998</v>
      </c>
      <c r="F209" s="27">
        <v>42305.48</v>
      </c>
      <c r="G209" s="27">
        <v>3411.9</v>
      </c>
      <c r="H209" s="28">
        <v>34.56</v>
      </c>
      <c r="I209" s="28">
        <v>592.71</v>
      </c>
      <c r="J209" s="27">
        <v>105845.6</v>
      </c>
      <c r="K209" s="27"/>
      <c r="L209" s="31">
        <f t="shared" si="34"/>
        <v>1.7301390217590029E-3</v>
      </c>
      <c r="M209" s="31">
        <f t="shared" si="34"/>
        <v>3.6027921639270044E-3</v>
      </c>
      <c r="N209" s="31">
        <f t="shared" si="34"/>
        <v>5.0622283448857885E-3</v>
      </c>
      <c r="O209" s="31">
        <f t="shared" si="34"/>
        <v>-5.8325273308127423E-3</v>
      </c>
      <c r="P209" s="31">
        <f t="shared" si="34"/>
        <v>-1.7361111111111605E-3</v>
      </c>
      <c r="Q209" s="31">
        <f t="shared" si="35"/>
        <v>5.7026201683791911E-3</v>
      </c>
      <c r="R209" s="31">
        <f t="shared" si="35"/>
        <v>-4.3204441186029952E-3</v>
      </c>
      <c r="T209" s="7">
        <f t="shared" si="36"/>
        <v>1.8867696776923252E-3</v>
      </c>
      <c r="U209" s="7">
        <f t="shared" si="37"/>
        <v>3.4922375609205375E-3</v>
      </c>
      <c r="V209" s="7">
        <f t="shared" si="38"/>
        <v>4.7347443242206659E-3</v>
      </c>
      <c r="W209" s="7">
        <f t="shared" si="39"/>
        <v>-7.6498590675217939E-3</v>
      </c>
      <c r="X209" s="7">
        <f t="shared" si="40"/>
        <v>-5.4860228430645419E-3</v>
      </c>
      <c r="Y209" s="7">
        <f t="shared" si="41"/>
        <v>5.1426900127201757E-3</v>
      </c>
      <c r="Z209" s="7">
        <f t="shared" si="42"/>
        <v>-3.8407947764015284E-3</v>
      </c>
      <c r="AM209" s="2">
        <v>206</v>
      </c>
      <c r="AN209" s="33">
        <v>1.1531226775361118E-2</v>
      </c>
      <c r="AO209" s="33">
        <v>4.3555991754485538E-4</v>
      </c>
    </row>
    <row r="210" spans="3:41" ht="14.4" x14ac:dyDescent="0.3">
      <c r="C210" s="24">
        <v>45807</v>
      </c>
      <c r="D210" s="25">
        <v>4923.1000000000004</v>
      </c>
      <c r="E210" s="26">
        <v>4.3970000000000002</v>
      </c>
      <c r="F210" s="27">
        <v>42270.07</v>
      </c>
      <c r="G210" s="27">
        <v>3330.1</v>
      </c>
      <c r="H210" s="28">
        <v>32.89</v>
      </c>
      <c r="I210" s="28">
        <v>589.39</v>
      </c>
      <c r="J210" s="27">
        <v>103981.3</v>
      </c>
      <c r="K210" s="27"/>
      <c r="L210" s="31">
        <f t="shared" si="34"/>
        <v>-2.0718652881316357E-3</v>
      </c>
      <c r="M210" s="31">
        <f t="shared" si="34"/>
        <v>1.0006822833750206E-2</v>
      </c>
      <c r="N210" s="31">
        <f t="shared" si="34"/>
        <v>8.3770857251952435E-4</v>
      </c>
      <c r="O210" s="31">
        <f t="shared" si="34"/>
        <v>2.4563826912104902E-2</v>
      </c>
      <c r="P210" s="31">
        <f t="shared" si="34"/>
        <v>5.0775311644876808E-2</v>
      </c>
      <c r="Q210" s="31">
        <f t="shared" si="35"/>
        <v>5.6329425338061956E-3</v>
      </c>
      <c r="R210" s="31">
        <f t="shared" si="35"/>
        <v>1.7929185343903198E-2</v>
      </c>
      <c r="T210" s="7">
        <f t="shared" si="36"/>
        <v>-1.9152346321983135E-3</v>
      </c>
      <c r="U210" s="7">
        <f t="shared" si="37"/>
        <v>9.8962682307437398E-3</v>
      </c>
      <c r="V210" s="7">
        <f t="shared" si="38"/>
        <v>5.1022455185440146E-4</v>
      </c>
      <c r="W210" s="7">
        <f t="shared" si="39"/>
        <v>2.2746495175395853E-2</v>
      </c>
      <c r="X210" s="7">
        <f t="shared" si="40"/>
        <v>4.7025399912923427E-2</v>
      </c>
      <c r="Y210" s="7">
        <f t="shared" si="41"/>
        <v>5.0730123781471802E-3</v>
      </c>
      <c r="Z210" s="7">
        <f t="shared" si="42"/>
        <v>1.8408834686104665E-2</v>
      </c>
      <c r="AM210" s="2">
        <v>207</v>
      </c>
      <c r="AN210" s="33">
        <v>1.0241924203721327E-2</v>
      </c>
      <c r="AO210" s="33">
        <v>4.2871125244402827E-4</v>
      </c>
    </row>
    <row r="211" spans="3:41" ht="14.4" x14ac:dyDescent="0.3">
      <c r="C211" s="24">
        <v>45806</v>
      </c>
      <c r="D211" s="25">
        <v>4935.3999999999996</v>
      </c>
      <c r="E211" s="26">
        <v>4.4249999999999998</v>
      </c>
      <c r="F211" s="27">
        <v>42215.73</v>
      </c>
      <c r="G211" s="27">
        <v>3358.7</v>
      </c>
      <c r="H211" s="28">
        <v>33.28</v>
      </c>
      <c r="I211" s="28">
        <v>590.04999999999995</v>
      </c>
      <c r="J211" s="27">
        <v>105600</v>
      </c>
      <c r="K211" s="27"/>
      <c r="L211" s="31">
        <f t="shared" si="34"/>
        <v>-2.492199213842694E-3</v>
      </c>
      <c r="M211" s="31">
        <f t="shared" si="34"/>
        <v>-6.3276836158191463E-3</v>
      </c>
      <c r="N211" s="31">
        <f t="shared" si="34"/>
        <v>1.2871979236175335E-3</v>
      </c>
      <c r="O211" s="31">
        <f t="shared" si="34"/>
        <v>-8.5151993330753184E-3</v>
      </c>
      <c r="P211" s="31">
        <f t="shared" si="34"/>
        <v>-1.171875E-2</v>
      </c>
      <c r="Q211" s="31">
        <f t="shared" si="35"/>
        <v>-1.1185492754850479E-3</v>
      </c>
      <c r="R211" s="31">
        <f t="shared" si="35"/>
        <v>-1.5328598484848466E-2</v>
      </c>
      <c r="T211" s="7">
        <f t="shared" si="36"/>
        <v>-2.335568557909372E-3</v>
      </c>
      <c r="U211" s="7">
        <f t="shared" si="37"/>
        <v>-6.4382382188256137E-3</v>
      </c>
      <c r="V211" s="7">
        <f t="shared" si="38"/>
        <v>9.597139029524106E-4</v>
      </c>
      <c r="W211" s="7">
        <f t="shared" si="39"/>
        <v>-1.033253106978437E-2</v>
      </c>
      <c r="X211" s="7">
        <f t="shared" si="40"/>
        <v>-1.5468661731953381E-2</v>
      </c>
      <c r="Y211" s="7">
        <f t="shared" si="41"/>
        <v>-1.6784794311440632E-3</v>
      </c>
      <c r="Z211" s="7">
        <f t="shared" si="42"/>
        <v>-1.4848949142646999E-2</v>
      </c>
      <c r="AM211" s="2">
        <v>208</v>
      </c>
      <c r="AN211" s="33">
        <v>8.6004137731264356E-3</v>
      </c>
      <c r="AO211" s="33">
        <v>5.7798498372533755E-4</v>
      </c>
    </row>
    <row r="212" spans="3:41" ht="14.4" x14ac:dyDescent="0.3">
      <c r="C212" s="24">
        <v>45805</v>
      </c>
      <c r="D212" s="25">
        <v>4889.5</v>
      </c>
      <c r="E212" s="26">
        <v>4.4740000000000002</v>
      </c>
      <c r="F212" s="27">
        <v>42098.7</v>
      </c>
      <c r="G212" s="27">
        <v>3322.4</v>
      </c>
      <c r="H212" s="28">
        <v>33</v>
      </c>
      <c r="I212" s="28">
        <v>587.73</v>
      </c>
      <c r="J212" s="27">
        <v>107786.7</v>
      </c>
      <c r="K212" s="27"/>
      <c r="L212" s="31">
        <f t="shared" si="34"/>
        <v>9.3874629307699742E-3</v>
      </c>
      <c r="M212" s="31">
        <f t="shared" si="34"/>
        <v>-1.0952168082253078E-2</v>
      </c>
      <c r="N212" s="31">
        <f t="shared" si="34"/>
        <v>2.7798958162605913E-3</v>
      </c>
      <c r="O212" s="31">
        <f t="shared" si="34"/>
        <v>1.0925836744521966E-2</v>
      </c>
      <c r="P212" s="31">
        <f t="shared" si="34"/>
        <v>8.4848484848485395E-3</v>
      </c>
      <c r="Q212" s="31">
        <f t="shared" si="35"/>
        <v>3.9473908087046539E-3</v>
      </c>
      <c r="R212" s="31">
        <f t="shared" si="35"/>
        <v>-2.0287289619220106E-2</v>
      </c>
      <c r="T212" s="7">
        <f t="shared" si="36"/>
        <v>9.5440935867032971E-3</v>
      </c>
      <c r="U212" s="7">
        <f t="shared" si="37"/>
        <v>-1.1062722685259544E-2</v>
      </c>
      <c r="V212" s="7">
        <f t="shared" si="38"/>
        <v>2.4524117955954687E-3</v>
      </c>
      <c r="W212" s="7">
        <f t="shared" si="39"/>
        <v>9.1085050078129146E-3</v>
      </c>
      <c r="X212" s="7">
        <f t="shared" si="40"/>
        <v>4.734936752895158E-3</v>
      </c>
      <c r="Y212" s="7">
        <f t="shared" si="41"/>
        <v>3.3874606530456385E-3</v>
      </c>
      <c r="Z212" s="7">
        <f t="shared" si="42"/>
        <v>-1.9807640277018639E-2</v>
      </c>
      <c r="AM212" s="2">
        <v>209</v>
      </c>
      <c r="AN212" s="33">
        <v>8.9686555177873172E-3</v>
      </c>
      <c r="AO212" s="33">
        <v>7.1896868569100967E-4</v>
      </c>
    </row>
    <row r="213" spans="3:41" ht="14.4" x14ac:dyDescent="0.3">
      <c r="C213" s="24">
        <v>45804</v>
      </c>
      <c r="D213" s="25">
        <v>4898.3999999999996</v>
      </c>
      <c r="E213" s="26">
        <v>4.4450000000000003</v>
      </c>
      <c r="F213" s="27">
        <v>42343.65</v>
      </c>
      <c r="G213" s="27">
        <v>3328.3</v>
      </c>
      <c r="H213" s="28">
        <v>33.15</v>
      </c>
      <c r="I213" s="28">
        <v>591.15</v>
      </c>
      <c r="J213" s="27">
        <v>108944</v>
      </c>
      <c r="K213" s="27"/>
      <c r="L213" s="31">
        <f t="shared" si="34"/>
        <v>-1.8169198105503215E-3</v>
      </c>
      <c r="M213" s="31">
        <f t="shared" si="34"/>
        <v>6.5241844769403645E-3</v>
      </c>
      <c r="N213" s="31">
        <f t="shared" si="34"/>
        <v>-5.7848107095161971E-3</v>
      </c>
      <c r="O213" s="31">
        <f t="shared" si="34"/>
        <v>-1.772676741880308E-3</v>
      </c>
      <c r="P213" s="31">
        <f t="shared" si="34"/>
        <v>-4.5248868778280382E-3</v>
      </c>
      <c r="Q213" s="31">
        <f t="shared" si="35"/>
        <v>-5.7853336716569004E-3</v>
      </c>
      <c r="R213" s="31">
        <f t="shared" si="35"/>
        <v>-1.0622888823615839E-2</v>
      </c>
      <c r="T213" s="7">
        <f t="shared" si="36"/>
        <v>-1.6602891546169992E-3</v>
      </c>
      <c r="U213" s="7">
        <f t="shared" si="37"/>
        <v>6.4136298739338972E-3</v>
      </c>
      <c r="V213" s="7">
        <f t="shared" si="38"/>
        <v>-6.1122947301813198E-3</v>
      </c>
      <c r="W213" s="7">
        <f t="shared" si="39"/>
        <v>-3.5900084785893596E-3</v>
      </c>
      <c r="X213" s="7">
        <f t="shared" si="40"/>
        <v>-8.2747986097814197E-3</v>
      </c>
      <c r="Y213" s="7">
        <f t="shared" si="41"/>
        <v>-6.3452638273159157E-3</v>
      </c>
      <c r="Z213" s="7">
        <f t="shared" si="42"/>
        <v>-1.0143239481414372E-2</v>
      </c>
      <c r="AM213" s="2">
        <v>210</v>
      </c>
      <c r="AN213" s="33">
        <v>1.2349926856123327E-2</v>
      </c>
      <c r="AO213" s="33">
        <v>1.0009068083973764E-3</v>
      </c>
    </row>
    <row r="214" spans="3:41" ht="14.4" x14ac:dyDescent="0.3">
      <c r="C214" s="24">
        <v>45800</v>
      </c>
      <c r="D214" s="25">
        <v>4807.3</v>
      </c>
      <c r="E214" s="26">
        <v>4.5069999999999997</v>
      </c>
      <c r="F214" s="27">
        <v>41603.07</v>
      </c>
      <c r="G214" s="27">
        <v>3394.5</v>
      </c>
      <c r="H214" s="28">
        <v>33.44</v>
      </c>
      <c r="I214" s="28">
        <v>579.11</v>
      </c>
      <c r="J214" s="27">
        <v>107313.4</v>
      </c>
      <c r="K214" s="27"/>
      <c r="L214" s="31">
        <f t="shared" si="34"/>
        <v>1.8950346348261871E-2</v>
      </c>
      <c r="M214" s="31">
        <f t="shared" si="34"/>
        <v>-1.375637896605264E-2</v>
      </c>
      <c r="N214" s="31">
        <f t="shared" si="34"/>
        <v>1.7801090159933031E-2</v>
      </c>
      <c r="O214" s="31">
        <f t="shared" si="34"/>
        <v>-1.9502135807924481E-2</v>
      </c>
      <c r="P214" s="31">
        <f t="shared" si="34"/>
        <v>-8.6722488038277756E-3</v>
      </c>
      <c r="Q214" s="31">
        <f t="shared" si="35"/>
        <v>2.0790523389338844E-2</v>
      </c>
      <c r="R214" s="31">
        <f t="shared" si="35"/>
        <v>1.5194747347488713E-2</v>
      </c>
      <c r="T214" s="7">
        <f t="shared" si="36"/>
        <v>1.9106977004195193E-2</v>
      </c>
      <c r="U214" s="7">
        <f t="shared" si="37"/>
        <v>-1.3866933569059107E-2</v>
      </c>
      <c r="V214" s="7">
        <f t="shared" si="38"/>
        <v>1.7473606139267909E-2</v>
      </c>
      <c r="W214" s="7">
        <f t="shared" si="39"/>
        <v>-2.1319467544633531E-2</v>
      </c>
      <c r="X214" s="7">
        <f t="shared" si="40"/>
        <v>-1.2422160535781157E-2</v>
      </c>
      <c r="Y214" s="7">
        <f t="shared" si="41"/>
        <v>2.0230593233679827E-2</v>
      </c>
      <c r="Z214" s="7">
        <f t="shared" si="42"/>
        <v>1.567439668969018E-2</v>
      </c>
      <c r="AM214" s="2">
        <v>211</v>
      </c>
      <c r="AN214" s="33">
        <v>1.0984162907867879E-2</v>
      </c>
      <c r="AO214" s="33">
        <v>8.2565599316955377E-4</v>
      </c>
    </row>
    <row r="215" spans="3:41" ht="14.4" x14ac:dyDescent="0.3">
      <c r="C215" s="24">
        <v>45799</v>
      </c>
      <c r="D215" s="25">
        <v>4806.7</v>
      </c>
      <c r="E215" s="26">
        <v>4.5279999999999996</v>
      </c>
      <c r="F215" s="27">
        <v>41859.089999999997</v>
      </c>
      <c r="G215" s="27">
        <v>3323.6</v>
      </c>
      <c r="H215" s="28">
        <v>33.049999999999997</v>
      </c>
      <c r="I215" s="28">
        <v>583.09</v>
      </c>
      <c r="J215" s="27">
        <v>111702.7</v>
      </c>
      <c r="K215" s="27"/>
      <c r="L215" s="31">
        <f t="shared" si="34"/>
        <v>1.2482576403782808E-4</v>
      </c>
      <c r="M215" s="31">
        <f t="shared" si="34"/>
        <v>-4.6378091872791849E-3</v>
      </c>
      <c r="N215" s="31">
        <f t="shared" si="34"/>
        <v>-6.1162342516284385E-3</v>
      </c>
      <c r="O215" s="31">
        <f t="shared" si="34"/>
        <v>2.1332290287639832E-2</v>
      </c>
      <c r="P215" s="31">
        <f t="shared" si="34"/>
        <v>1.1800302571860932E-2</v>
      </c>
      <c r="Q215" s="31">
        <f t="shared" si="35"/>
        <v>-6.8257044367079356E-3</v>
      </c>
      <c r="R215" s="31">
        <f t="shared" si="35"/>
        <v>-3.9294484376832473E-2</v>
      </c>
      <c r="T215" s="7">
        <f t="shared" si="36"/>
        <v>2.8145641997115033E-4</v>
      </c>
      <c r="U215" s="7">
        <f t="shared" si="37"/>
        <v>-4.7483637902856523E-3</v>
      </c>
      <c r="V215" s="7">
        <f t="shared" si="38"/>
        <v>-6.4437182722935612E-3</v>
      </c>
      <c r="W215" s="7">
        <f t="shared" si="39"/>
        <v>1.9514958550930783E-2</v>
      </c>
      <c r="X215" s="7">
        <f t="shared" si="40"/>
        <v>8.0503908399075508E-3</v>
      </c>
      <c r="Y215" s="7">
        <f t="shared" si="41"/>
        <v>-7.3856345923669509E-3</v>
      </c>
      <c r="Z215" s="7">
        <f t="shared" si="42"/>
        <v>-3.8814835034631005E-2</v>
      </c>
      <c r="AM215" s="2">
        <v>212</v>
      </c>
      <c r="AN215" s="33">
        <v>1.2211751201238477E-2</v>
      </c>
      <c r="AO215" s="33">
        <v>1.3068573655605359E-3</v>
      </c>
    </row>
    <row r="216" spans="3:41" ht="14.4" x14ac:dyDescent="0.3">
      <c r="C216" s="24">
        <v>45798</v>
      </c>
      <c r="D216" s="25">
        <v>4824.3999999999996</v>
      </c>
      <c r="E216" s="26">
        <v>4.5949999999999998</v>
      </c>
      <c r="F216" s="27">
        <v>41860.44</v>
      </c>
      <c r="G216" s="27">
        <v>3341.9</v>
      </c>
      <c r="H216" s="28">
        <v>33.46</v>
      </c>
      <c r="I216" s="28">
        <v>582.86</v>
      </c>
      <c r="J216" s="27">
        <v>109640.1</v>
      </c>
      <c r="K216" s="27"/>
      <c r="L216" s="31">
        <f t="shared" si="34"/>
        <v>-3.6688500124367751E-3</v>
      </c>
      <c r="M216" s="31">
        <f t="shared" si="34"/>
        <v>-1.4581066376496254E-2</v>
      </c>
      <c r="N216" s="31">
        <f t="shared" si="34"/>
        <v>-3.2250019350144044E-5</v>
      </c>
      <c r="O216" s="31">
        <f t="shared" si="34"/>
        <v>-5.4759268679493989E-3</v>
      </c>
      <c r="P216" s="31">
        <f t="shared" si="34"/>
        <v>-1.2253436939629547E-2</v>
      </c>
      <c r="Q216" s="31">
        <f t="shared" si="35"/>
        <v>3.9460590879469848E-4</v>
      </c>
      <c r="R216" s="31">
        <f t="shared" si="35"/>
        <v>1.8812460039711709E-2</v>
      </c>
      <c r="T216" s="7">
        <f t="shared" si="36"/>
        <v>-3.5122193565034531E-3</v>
      </c>
      <c r="U216" s="7">
        <f t="shared" si="37"/>
        <v>-1.4691620979502721E-2</v>
      </c>
      <c r="V216" s="7">
        <f t="shared" si="38"/>
        <v>-3.5973404001526688E-4</v>
      </c>
      <c r="W216" s="7">
        <f t="shared" si="39"/>
        <v>-7.2932586046584504E-3</v>
      </c>
      <c r="X216" s="7">
        <f t="shared" si="40"/>
        <v>-1.6003348671582929E-2</v>
      </c>
      <c r="Y216" s="7">
        <f t="shared" si="41"/>
        <v>-1.6532424686431697E-4</v>
      </c>
      <c r="Z216" s="7">
        <f t="shared" si="42"/>
        <v>1.9292109381913176E-2</v>
      </c>
      <c r="AM216" s="2">
        <v>213</v>
      </c>
      <c r="AN216" s="33">
        <v>1.2551685842772255E-2</v>
      </c>
      <c r="AO216" s="33">
        <v>1.1557041317921373E-3</v>
      </c>
    </row>
    <row r="217" spans="3:41" ht="14.4" x14ac:dyDescent="0.3">
      <c r="C217" s="24">
        <v>45797</v>
      </c>
      <c r="D217" s="25">
        <v>4979.2</v>
      </c>
      <c r="E217" s="26">
        <v>4.4829999999999997</v>
      </c>
      <c r="F217" s="27">
        <v>42677.24</v>
      </c>
      <c r="G217" s="27">
        <v>3312.6</v>
      </c>
      <c r="H217" s="28">
        <v>32.979999999999997</v>
      </c>
      <c r="I217" s="28">
        <v>592.85</v>
      </c>
      <c r="J217" s="27">
        <v>106815.8</v>
      </c>
      <c r="K217" s="27"/>
      <c r="L217" s="31">
        <f t="shared" si="34"/>
        <v>-3.1089331619537308E-2</v>
      </c>
      <c r="M217" s="31">
        <f t="shared" si="34"/>
        <v>2.4983270131608393E-2</v>
      </c>
      <c r="N217" s="31">
        <f t="shared" si="34"/>
        <v>-1.9139007114799211E-2</v>
      </c>
      <c r="O217" s="31">
        <f t="shared" si="34"/>
        <v>8.8450159995170363E-3</v>
      </c>
      <c r="P217" s="31">
        <f t="shared" si="34"/>
        <v>1.4554275318374943E-2</v>
      </c>
      <c r="Q217" s="31">
        <f t="shared" si="35"/>
        <v>-1.6850805431390725E-2</v>
      </c>
      <c r="R217" s="31">
        <f t="shared" si="35"/>
        <v>2.6440844893732995E-2</v>
      </c>
      <c r="T217" s="7">
        <f t="shared" si="36"/>
        <v>-3.0932700963603985E-2</v>
      </c>
      <c r="U217" s="7">
        <f t="shared" si="37"/>
        <v>2.4872715528601926E-2</v>
      </c>
      <c r="V217" s="7">
        <f t="shared" si="38"/>
        <v>-1.9466491135464333E-2</v>
      </c>
      <c r="W217" s="7">
        <f t="shared" si="39"/>
        <v>7.0276842628079848E-3</v>
      </c>
      <c r="X217" s="7">
        <f t="shared" si="40"/>
        <v>1.0804363586421561E-2</v>
      </c>
      <c r="Y217" s="7">
        <f t="shared" si="41"/>
        <v>-1.7410735587049742E-2</v>
      </c>
      <c r="Z217" s="7">
        <f t="shared" si="42"/>
        <v>2.6920494235934463E-2</v>
      </c>
      <c r="AM217" s="2">
        <v>214</v>
      </c>
      <c r="AN217" s="33">
        <v>1.1815112557463351E-2</v>
      </c>
      <c r="AO217" s="33">
        <v>8.673316460983127E-4</v>
      </c>
    </row>
    <row r="218" spans="3:41" ht="14.4" x14ac:dyDescent="0.3">
      <c r="C218" s="24">
        <v>45796</v>
      </c>
      <c r="D218" s="25">
        <v>5015.8</v>
      </c>
      <c r="E218" s="26">
        <v>4.4470000000000001</v>
      </c>
      <c r="F218" s="27">
        <v>42792.07</v>
      </c>
      <c r="G218" s="27">
        <v>3261.4</v>
      </c>
      <c r="H218" s="28">
        <v>32.31</v>
      </c>
      <c r="I218" s="28">
        <v>594.85</v>
      </c>
      <c r="J218" s="27">
        <v>105585.8</v>
      </c>
      <c r="K218" s="27"/>
      <c r="L218" s="31">
        <f t="shared" si="34"/>
        <v>-7.2969416643408058E-3</v>
      </c>
      <c r="M218" s="31">
        <f t="shared" si="34"/>
        <v>8.0953451765233275E-3</v>
      </c>
      <c r="N218" s="31">
        <f t="shared" si="34"/>
        <v>-2.6834411142064862E-3</v>
      </c>
      <c r="O218" s="31">
        <f t="shared" si="34"/>
        <v>1.5698779665174412E-2</v>
      </c>
      <c r="P218" s="31">
        <f t="shared" si="34"/>
        <v>2.0736614051377167E-2</v>
      </c>
      <c r="Q218" s="31">
        <f t="shared" si="35"/>
        <v>-3.3621921492813511E-3</v>
      </c>
      <c r="R218" s="31">
        <f t="shared" si="35"/>
        <v>1.1649293749727674E-2</v>
      </c>
      <c r="T218" s="7">
        <f t="shared" si="36"/>
        <v>-7.1403110084074838E-3</v>
      </c>
      <c r="U218" s="7">
        <f t="shared" si="37"/>
        <v>7.984790573516861E-3</v>
      </c>
      <c r="V218" s="7">
        <f t="shared" si="38"/>
        <v>-3.0109251348716089E-3</v>
      </c>
      <c r="W218" s="7">
        <f t="shared" si="39"/>
        <v>1.388144792846536E-2</v>
      </c>
      <c r="X218" s="7">
        <f t="shared" si="40"/>
        <v>1.6986702319423785E-2</v>
      </c>
      <c r="Y218" s="7">
        <f t="shared" si="41"/>
        <v>-3.9221223049403665E-3</v>
      </c>
      <c r="Z218" s="7">
        <f t="shared" si="42"/>
        <v>1.2128943091929141E-2</v>
      </c>
      <c r="AM218" s="2">
        <v>215</v>
      </c>
      <c r="AN218" s="33">
        <v>1.3938276967091802E-2</v>
      </c>
      <c r="AO218" s="33">
        <v>1.1231226727594834E-3</v>
      </c>
    </row>
    <row r="219" spans="3:41" ht="14.4" x14ac:dyDescent="0.3">
      <c r="C219" s="24">
        <v>45793</v>
      </c>
      <c r="D219" s="25">
        <v>5021</v>
      </c>
      <c r="E219" s="26">
        <v>4.4429999999999996</v>
      </c>
      <c r="F219" s="27">
        <v>42654.74</v>
      </c>
      <c r="G219" s="27">
        <v>3214.4</v>
      </c>
      <c r="H219" s="28">
        <v>32.159999999999997</v>
      </c>
      <c r="I219" s="28">
        <v>594.20000000000005</v>
      </c>
      <c r="J219" s="27">
        <v>103480.5</v>
      </c>
      <c r="K219" s="27"/>
      <c r="L219" s="31">
        <f t="shared" si="34"/>
        <v>-1.0356502688707581E-3</v>
      </c>
      <c r="M219" s="31">
        <f t="shared" si="34"/>
        <v>9.0029259509361026E-4</v>
      </c>
      <c r="N219" s="31">
        <f t="shared" si="34"/>
        <v>3.2195718459426814E-3</v>
      </c>
      <c r="O219" s="31">
        <f t="shared" si="34"/>
        <v>1.4621702339472353E-2</v>
      </c>
      <c r="P219" s="31">
        <f t="shared" si="34"/>
        <v>4.6641791044776948E-3</v>
      </c>
      <c r="Q219" s="31">
        <f t="shared" si="35"/>
        <v>1.0939077751599413E-3</v>
      </c>
      <c r="R219" s="31">
        <f t="shared" si="35"/>
        <v>2.0344895898261051E-2</v>
      </c>
      <c r="T219" s="7">
        <f t="shared" si="36"/>
        <v>-8.7901961293743581E-4</v>
      </c>
      <c r="U219" s="7">
        <f t="shared" si="37"/>
        <v>7.8973799208714322E-4</v>
      </c>
      <c r="V219" s="7">
        <f t="shared" si="38"/>
        <v>2.8920878252775587E-3</v>
      </c>
      <c r="W219" s="7">
        <f t="shared" si="39"/>
        <v>1.2804370602763302E-2</v>
      </c>
      <c r="X219" s="7">
        <f t="shared" si="40"/>
        <v>9.1426737252431377E-4</v>
      </c>
      <c r="Y219" s="7">
        <f t="shared" si="41"/>
        <v>5.3397761950092586E-4</v>
      </c>
      <c r="Z219" s="7">
        <f t="shared" si="42"/>
        <v>2.0824545240462518E-2</v>
      </c>
      <c r="AM219" s="2">
        <v>216</v>
      </c>
      <c r="AN219" s="33">
        <v>9.1351329505117464E-3</v>
      </c>
      <c r="AO219" s="33">
        <v>6.2050778947672159E-4</v>
      </c>
    </row>
    <row r="220" spans="3:41" ht="14.4" x14ac:dyDescent="0.3">
      <c r="C220" s="24">
        <v>45792</v>
      </c>
      <c r="D220" s="25">
        <v>4966.6000000000004</v>
      </c>
      <c r="E220" s="26">
        <v>4.431</v>
      </c>
      <c r="F220" s="27">
        <v>42322.75</v>
      </c>
      <c r="G220" s="27">
        <v>3254.1</v>
      </c>
      <c r="H220" s="28">
        <v>32.479999999999997</v>
      </c>
      <c r="I220" s="28">
        <v>590.46</v>
      </c>
      <c r="J220" s="27">
        <v>103765.4</v>
      </c>
      <c r="K220" s="27"/>
      <c r="L220" s="31">
        <f t="shared" si="34"/>
        <v>1.0953167156606103E-2</v>
      </c>
      <c r="M220" s="31">
        <f t="shared" si="34"/>
        <v>2.7081922816518667E-3</v>
      </c>
      <c r="N220" s="31">
        <f t="shared" si="34"/>
        <v>7.8442445256983184E-3</v>
      </c>
      <c r="O220" s="31">
        <f t="shared" si="34"/>
        <v>-1.2199993853907354E-2</v>
      </c>
      <c r="P220" s="31">
        <f t="shared" si="34"/>
        <v>-9.8522167487684609E-3</v>
      </c>
      <c r="Q220" s="31">
        <f t="shared" si="35"/>
        <v>6.3340446431596753E-3</v>
      </c>
      <c r="R220" s="31">
        <f t="shared" si="35"/>
        <v>-2.7456165542656397E-3</v>
      </c>
      <c r="T220" s="7">
        <f t="shared" si="36"/>
        <v>1.1109797812539426E-2</v>
      </c>
      <c r="U220" s="7">
        <f t="shared" si="37"/>
        <v>2.5976376786453997E-3</v>
      </c>
      <c r="V220" s="7">
        <f t="shared" si="38"/>
        <v>7.5167605050331958E-3</v>
      </c>
      <c r="W220" s="7">
        <f t="shared" si="39"/>
        <v>-1.4017325590616405E-2</v>
      </c>
      <c r="X220" s="7">
        <f t="shared" si="40"/>
        <v>-1.3602128480721842E-2</v>
      </c>
      <c r="Y220" s="7">
        <f t="shared" si="41"/>
        <v>5.77411448750066E-3</v>
      </c>
      <c r="Z220" s="7">
        <f t="shared" si="42"/>
        <v>-2.2659672120641729E-3</v>
      </c>
      <c r="AM220" s="2">
        <v>217</v>
      </c>
      <c r="AN220" s="33">
        <v>9.7640186577758956E-3</v>
      </c>
      <c r="AO220" s="33">
        <v>6.3582515027487492E-4</v>
      </c>
    </row>
    <row r="221" spans="3:41" ht="14.4" x14ac:dyDescent="0.3">
      <c r="C221" s="24">
        <v>45791</v>
      </c>
      <c r="D221" s="25">
        <v>4884.5</v>
      </c>
      <c r="E221" s="26">
        <v>4.5410000000000004</v>
      </c>
      <c r="F221" s="27">
        <v>42051.06</v>
      </c>
      <c r="G221" s="27">
        <v>3216</v>
      </c>
      <c r="H221" s="28">
        <v>32.229999999999997</v>
      </c>
      <c r="I221" s="28">
        <v>587.59</v>
      </c>
      <c r="J221" s="27">
        <v>103513.9</v>
      </c>
      <c r="K221" s="27"/>
      <c r="L221" s="31">
        <f t="shared" si="34"/>
        <v>1.6808271061521163E-2</v>
      </c>
      <c r="M221" s="31">
        <f t="shared" si="34"/>
        <v>-2.4223739264479294E-2</v>
      </c>
      <c r="N221" s="31">
        <f t="shared" si="34"/>
        <v>6.460954848700684E-3</v>
      </c>
      <c r="O221" s="31">
        <f t="shared" si="34"/>
        <v>1.1847014925373101E-2</v>
      </c>
      <c r="P221" s="31">
        <f t="shared" si="34"/>
        <v>7.7567483710827556E-3</v>
      </c>
      <c r="Q221" s="31">
        <f t="shared" si="35"/>
        <v>4.884358140880618E-3</v>
      </c>
      <c r="R221" s="31">
        <f t="shared" si="35"/>
        <v>2.4296253933047129E-3</v>
      </c>
      <c r="T221" s="7">
        <f t="shared" si="36"/>
        <v>1.6964901717454486E-2</v>
      </c>
      <c r="U221" s="7">
        <f t="shared" si="37"/>
        <v>-2.433429386748576E-2</v>
      </c>
      <c r="V221" s="7">
        <f t="shared" si="38"/>
        <v>6.1334708280355614E-3</v>
      </c>
      <c r="W221" s="7">
        <f t="shared" si="39"/>
        <v>1.0029683188664049E-2</v>
      </c>
      <c r="X221" s="7">
        <f t="shared" si="40"/>
        <v>4.0068366391293742E-3</v>
      </c>
      <c r="Y221" s="7">
        <f t="shared" si="41"/>
        <v>4.3244279852216027E-3</v>
      </c>
      <c r="Z221" s="7">
        <f t="shared" si="42"/>
        <v>2.9092747355061797E-3</v>
      </c>
      <c r="AM221" s="2">
        <v>218</v>
      </c>
      <c r="AN221" s="33">
        <v>1.6178072019934698E-2</v>
      </c>
      <c r="AO221" s="33">
        <v>1.055586878742927E-3</v>
      </c>
    </row>
    <row r="222" spans="3:41" ht="14.4" x14ac:dyDescent="0.3">
      <c r="C222" s="24">
        <v>45790</v>
      </c>
      <c r="D222" s="25">
        <v>4930.3999999999996</v>
      </c>
      <c r="E222" s="26">
        <v>4.47</v>
      </c>
      <c r="F222" s="27">
        <v>42140.43</v>
      </c>
      <c r="G222" s="27">
        <v>3275.9</v>
      </c>
      <c r="H222" s="28">
        <v>32.869999999999997</v>
      </c>
      <c r="I222" s="28">
        <v>586.84</v>
      </c>
      <c r="J222" s="27">
        <v>104119.2</v>
      </c>
      <c r="K222" s="27"/>
      <c r="L222" s="31">
        <f t="shared" si="34"/>
        <v>-9.3095894856400907E-3</v>
      </c>
      <c r="M222" s="31">
        <f t="shared" si="34"/>
        <v>1.5883668903803327E-2</v>
      </c>
      <c r="N222" s="31">
        <f t="shared" si="34"/>
        <v>-2.1207662095522606E-3</v>
      </c>
      <c r="O222" s="31">
        <f t="shared" si="34"/>
        <v>-1.8285051436246591E-2</v>
      </c>
      <c r="P222" s="31">
        <f t="shared" si="34"/>
        <v>-1.9470641922725962E-2</v>
      </c>
      <c r="Q222" s="31">
        <f t="shared" si="35"/>
        <v>1.2780314906959411E-3</v>
      </c>
      <c r="R222" s="31">
        <f t="shared" si="35"/>
        <v>-5.813529108944393E-3</v>
      </c>
      <c r="T222" s="7">
        <f t="shared" si="36"/>
        <v>-9.1529588297067678E-3</v>
      </c>
      <c r="U222" s="7">
        <f t="shared" si="37"/>
        <v>1.5773114300796861E-2</v>
      </c>
      <c r="V222" s="7">
        <f t="shared" si="38"/>
        <v>-2.4482502302173833E-3</v>
      </c>
      <c r="W222" s="7">
        <f t="shared" si="39"/>
        <v>-2.0102383172955641E-2</v>
      </c>
      <c r="X222" s="7">
        <f t="shared" si="40"/>
        <v>-2.3220553654679343E-2</v>
      </c>
      <c r="Y222" s="7">
        <f t="shared" si="41"/>
        <v>7.1810133503692568E-4</v>
      </c>
      <c r="Z222" s="7">
        <f t="shared" si="42"/>
        <v>-5.3338797667429258E-3</v>
      </c>
      <c r="AM222" s="2">
        <v>219</v>
      </c>
      <c r="AN222" s="33">
        <v>1.5313792460427021E-2</v>
      </c>
      <c r="AO222" s="33">
        <v>1.2984119056637477E-3</v>
      </c>
    </row>
    <row r="223" spans="3:41" ht="14.4" x14ac:dyDescent="0.3">
      <c r="C223" s="24">
        <v>45789</v>
      </c>
      <c r="D223" s="25">
        <v>4984.1000000000004</v>
      </c>
      <c r="E223" s="26">
        <v>4.4720000000000004</v>
      </c>
      <c r="F223" s="27">
        <v>42410.1</v>
      </c>
      <c r="G223" s="27">
        <v>3256.1</v>
      </c>
      <c r="H223" s="28">
        <v>32.39</v>
      </c>
      <c r="I223" s="28">
        <v>582.99</v>
      </c>
      <c r="J223" s="27">
        <v>102795</v>
      </c>
      <c r="K223" s="27"/>
      <c r="L223" s="31">
        <f t="shared" si="34"/>
        <v>-1.0774262153648739E-2</v>
      </c>
      <c r="M223" s="31">
        <f t="shared" si="34"/>
        <v>-4.4722719141343514E-4</v>
      </c>
      <c r="N223" s="31">
        <f t="shared" si="34"/>
        <v>-6.3586268365318777E-3</v>
      </c>
      <c r="O223" s="31">
        <f t="shared" si="34"/>
        <v>6.0808943214274436E-3</v>
      </c>
      <c r="P223" s="31">
        <f t="shared" si="34"/>
        <v>1.481938870021593E-2</v>
      </c>
      <c r="Q223" s="31">
        <f t="shared" si="35"/>
        <v>6.6038868591229427E-3</v>
      </c>
      <c r="R223" s="31">
        <f t="shared" si="35"/>
        <v>1.2881949511162949E-2</v>
      </c>
      <c r="T223" s="7">
        <f t="shared" si="36"/>
        <v>-1.0617631497715416E-2</v>
      </c>
      <c r="U223" s="7">
        <f t="shared" si="37"/>
        <v>-5.5778179441990218E-4</v>
      </c>
      <c r="V223" s="7">
        <f t="shared" si="38"/>
        <v>-6.6861108571970003E-3</v>
      </c>
      <c r="W223" s="7">
        <f t="shared" si="39"/>
        <v>4.263562584718392E-3</v>
      </c>
      <c r="X223" s="7">
        <f t="shared" si="40"/>
        <v>1.1069476968262548E-2</v>
      </c>
      <c r="Y223" s="7">
        <f t="shared" si="41"/>
        <v>6.0439567034639274E-3</v>
      </c>
      <c r="Z223" s="7">
        <f t="shared" si="42"/>
        <v>1.3361598853364416E-2</v>
      </c>
      <c r="AM223" s="2">
        <v>220</v>
      </c>
      <c r="AN223" s="33">
        <v>9.3129207923287102E-3</v>
      </c>
      <c r="AO223" s="33">
        <v>6.0145594808886499E-4</v>
      </c>
    </row>
    <row r="224" spans="3:41" ht="14.4" x14ac:dyDescent="0.3">
      <c r="C224" s="24">
        <v>45786</v>
      </c>
      <c r="D224" s="25">
        <v>4930</v>
      </c>
      <c r="E224" s="26">
        <v>4.3810000000000002</v>
      </c>
      <c r="F224" s="27">
        <v>41249.379999999997</v>
      </c>
      <c r="G224" s="27">
        <v>3372.6</v>
      </c>
      <c r="H224" s="28">
        <v>32.68</v>
      </c>
      <c r="I224" s="28">
        <v>564.34</v>
      </c>
      <c r="J224" s="27">
        <v>102975.1</v>
      </c>
      <c r="K224" s="27"/>
      <c r="L224" s="31">
        <f t="shared" si="34"/>
        <v>1.0973630831643044E-2</v>
      </c>
      <c r="M224" s="31">
        <f t="shared" si="34"/>
        <v>2.0771513353115667E-2</v>
      </c>
      <c r="N224" s="31">
        <f t="shared" si="34"/>
        <v>2.8139089605710543E-2</v>
      </c>
      <c r="O224" s="31">
        <f t="shared" si="34"/>
        <v>-3.4543082488287968E-2</v>
      </c>
      <c r="P224" s="31">
        <f t="shared" si="34"/>
        <v>-8.8739290085678713E-3</v>
      </c>
      <c r="Q224" s="31">
        <f t="shared" si="35"/>
        <v>3.3047453662685466E-2</v>
      </c>
      <c r="R224" s="31">
        <f t="shared" si="35"/>
        <v>-1.7489664977261565E-3</v>
      </c>
      <c r="T224" s="7">
        <f t="shared" si="36"/>
        <v>1.1130261487576367E-2</v>
      </c>
      <c r="U224" s="7">
        <f t="shared" si="37"/>
        <v>2.0660958750109201E-2</v>
      </c>
      <c r="V224" s="7">
        <f t="shared" si="38"/>
        <v>2.7811605585045421E-2</v>
      </c>
      <c r="W224" s="7">
        <f t="shared" si="39"/>
        <v>-3.6360414224997022E-2</v>
      </c>
      <c r="X224" s="7">
        <f t="shared" si="40"/>
        <v>-1.2623840740521253E-2</v>
      </c>
      <c r="Y224" s="7">
        <f t="shared" si="41"/>
        <v>3.2487523507026453E-2</v>
      </c>
      <c r="Z224" s="7">
        <f t="shared" si="42"/>
        <v>-1.2693171555246895E-3</v>
      </c>
      <c r="AM224" s="2">
        <v>221</v>
      </c>
      <c r="AN224" s="33">
        <v>1.1311318461939113E-2</v>
      </c>
      <c r="AO224" s="33">
        <v>4.9688735941724835E-4</v>
      </c>
    </row>
    <row r="225" spans="3:41" ht="14.4" x14ac:dyDescent="0.3">
      <c r="C225" s="24">
        <v>45785</v>
      </c>
      <c r="D225" s="25">
        <v>4909.7</v>
      </c>
      <c r="E225" s="26">
        <v>4.3789999999999996</v>
      </c>
      <c r="F225" s="27">
        <v>41368.449999999997</v>
      </c>
      <c r="G225" s="27">
        <v>3334.7</v>
      </c>
      <c r="H225" s="28">
        <v>32.380000000000003</v>
      </c>
      <c r="I225" s="28">
        <v>565.05999999999995</v>
      </c>
      <c r="J225" s="27">
        <v>103274.3</v>
      </c>
      <c r="K225" s="27"/>
      <c r="L225" s="31">
        <f t="shared" si="34"/>
        <v>4.1346721795629815E-3</v>
      </c>
      <c r="M225" s="31">
        <f t="shared" si="34"/>
        <v>4.567252797444965E-4</v>
      </c>
      <c r="N225" s="31">
        <f t="shared" si="34"/>
        <v>-2.8782804286842101E-3</v>
      </c>
      <c r="O225" s="31">
        <f t="shared" si="34"/>
        <v>1.1365340210513608E-2</v>
      </c>
      <c r="P225" s="31">
        <f t="shared" si="34"/>
        <v>9.2649783817169151E-3</v>
      </c>
      <c r="Q225" s="31">
        <f t="shared" si="35"/>
        <v>-1.2742009698083478E-3</v>
      </c>
      <c r="R225" s="31">
        <f t="shared" si="35"/>
        <v>-2.8971389784292478E-3</v>
      </c>
      <c r="T225" s="7">
        <f t="shared" si="36"/>
        <v>4.2913028354963035E-3</v>
      </c>
      <c r="U225" s="7">
        <f t="shared" si="37"/>
        <v>3.4617067673802947E-4</v>
      </c>
      <c r="V225" s="7">
        <f t="shared" si="38"/>
        <v>-3.2057644493493328E-3</v>
      </c>
      <c r="W225" s="7">
        <f t="shared" si="39"/>
        <v>9.5480084738045565E-3</v>
      </c>
      <c r="X225" s="7">
        <f t="shared" si="40"/>
        <v>5.5150666497635337E-3</v>
      </c>
      <c r="Y225" s="7">
        <f t="shared" si="41"/>
        <v>-1.8341311254673632E-3</v>
      </c>
      <c r="Z225" s="7">
        <f t="shared" si="42"/>
        <v>-2.4174896362277811E-3</v>
      </c>
      <c r="AM225" s="2">
        <v>222</v>
      </c>
      <c r="AN225" s="33">
        <v>1.3156366796468432E-2</v>
      </c>
      <c r="AO225" s="33">
        <v>1.1022861956231133E-3</v>
      </c>
    </row>
    <row r="226" spans="3:41" ht="14.4" x14ac:dyDescent="0.3">
      <c r="C226" s="24">
        <v>45784</v>
      </c>
      <c r="D226" s="25">
        <v>4917.8</v>
      </c>
      <c r="E226" s="26">
        <v>4.2679999999999998</v>
      </c>
      <c r="F226" s="27">
        <v>41113.97</v>
      </c>
      <c r="G226" s="27">
        <v>3421.2</v>
      </c>
      <c r="H226" s="28">
        <v>32.53</v>
      </c>
      <c r="I226" s="28">
        <v>561.15</v>
      </c>
      <c r="J226" s="27">
        <v>97035.1</v>
      </c>
      <c r="K226" s="27"/>
      <c r="L226" s="31">
        <f t="shared" si="34"/>
        <v>-1.6470779616902798E-3</v>
      </c>
      <c r="M226" s="31">
        <f t="shared" si="34"/>
        <v>2.6007497656982181E-2</v>
      </c>
      <c r="N226" s="31">
        <f t="shared" si="34"/>
        <v>6.1896236242813263E-3</v>
      </c>
      <c r="O226" s="31">
        <f t="shared" si="34"/>
        <v>-2.5283526248100041E-2</v>
      </c>
      <c r="P226" s="31">
        <f t="shared" si="34"/>
        <v>-4.6111281893636002E-3</v>
      </c>
      <c r="Q226" s="31">
        <f t="shared" si="35"/>
        <v>6.967833912500998E-3</v>
      </c>
      <c r="R226" s="31">
        <f t="shared" si="35"/>
        <v>6.4298382750159533E-2</v>
      </c>
      <c r="T226" s="7">
        <f t="shared" si="36"/>
        <v>-1.4904473057569575E-3</v>
      </c>
      <c r="U226" s="7">
        <f t="shared" si="37"/>
        <v>2.5896943053975715E-2</v>
      </c>
      <c r="V226" s="7">
        <f t="shared" si="38"/>
        <v>5.8621396036162036E-3</v>
      </c>
      <c r="W226" s="7">
        <f t="shared" si="39"/>
        <v>-2.7100857984809091E-2</v>
      </c>
      <c r="X226" s="7">
        <f t="shared" si="40"/>
        <v>-8.3610399213169817E-3</v>
      </c>
      <c r="Y226" s="7">
        <f t="shared" si="41"/>
        <v>6.4079037568419827E-3</v>
      </c>
      <c r="Z226" s="7">
        <f t="shared" si="42"/>
        <v>6.4778032092360993E-2</v>
      </c>
      <c r="AM226" s="2">
        <v>223</v>
      </c>
      <c r="AN226" s="33">
        <v>1.4913574427107685E-2</v>
      </c>
      <c r="AO226" s="33">
        <v>1.2291893035725609E-3</v>
      </c>
    </row>
    <row r="227" spans="3:41" ht="14.4" x14ac:dyDescent="0.3">
      <c r="C227" s="24">
        <v>45783</v>
      </c>
      <c r="D227" s="25">
        <v>4910.5</v>
      </c>
      <c r="E227" s="26">
        <v>4.298</v>
      </c>
      <c r="F227" s="27">
        <v>40829</v>
      </c>
      <c r="G227" s="27">
        <v>3452.1</v>
      </c>
      <c r="H227" s="28">
        <v>33.11</v>
      </c>
      <c r="I227" s="28">
        <v>558.79999999999995</v>
      </c>
      <c r="J227" s="27">
        <v>96825.4</v>
      </c>
      <c r="K227" s="27"/>
      <c r="L227" s="31">
        <f t="shared" si="34"/>
        <v>1.4866103248141194E-3</v>
      </c>
      <c r="M227" s="31">
        <f t="shared" si="34"/>
        <v>-6.9799906933457612E-3</v>
      </c>
      <c r="N227" s="31">
        <f t="shared" si="34"/>
        <v>6.979597834872342E-3</v>
      </c>
      <c r="O227" s="31">
        <f t="shared" si="34"/>
        <v>-8.9510732597549714E-3</v>
      </c>
      <c r="P227" s="31">
        <f t="shared" si="34"/>
        <v>-1.751736635457557E-2</v>
      </c>
      <c r="Q227" s="31">
        <f t="shared" si="35"/>
        <v>4.2054402290623294E-3</v>
      </c>
      <c r="R227" s="31">
        <f t="shared" si="35"/>
        <v>2.1657540273525289E-3</v>
      </c>
      <c r="T227" s="7">
        <f t="shared" si="36"/>
        <v>1.6432409807474416E-3</v>
      </c>
      <c r="U227" s="7">
        <f t="shared" si="37"/>
        <v>-7.0905452963522285E-3</v>
      </c>
      <c r="V227" s="7">
        <f t="shared" si="38"/>
        <v>6.6521138142072193E-3</v>
      </c>
      <c r="W227" s="7">
        <f t="shared" si="39"/>
        <v>-1.0768404996464023E-2</v>
      </c>
      <c r="X227" s="7">
        <f t="shared" si="40"/>
        <v>-2.1267278086528951E-2</v>
      </c>
      <c r="Y227" s="7">
        <f t="shared" si="41"/>
        <v>3.6455100734033141E-3</v>
      </c>
      <c r="Z227" s="7">
        <f t="shared" si="42"/>
        <v>2.6454033695539956E-3</v>
      </c>
      <c r="AM227" s="2">
        <v>224</v>
      </c>
      <c r="AN227" s="33">
        <v>1.2328223650509134E-2</v>
      </c>
      <c r="AO227" s="33">
        <v>1.0512351744447516E-3</v>
      </c>
    </row>
    <row r="228" spans="3:41" ht="14.4" x14ac:dyDescent="0.3">
      <c r="C228" s="24">
        <v>45782</v>
      </c>
      <c r="D228" s="25">
        <v>4951</v>
      </c>
      <c r="E228" s="26">
        <v>4.3479999999999999</v>
      </c>
      <c r="F228" s="27">
        <v>41218.83</v>
      </c>
      <c r="G228" s="27">
        <v>3351.1</v>
      </c>
      <c r="H228" s="28">
        <v>32.21</v>
      </c>
      <c r="I228" s="28">
        <v>563.51</v>
      </c>
      <c r="J228" s="27">
        <v>94745.2</v>
      </c>
      <c r="K228" s="27"/>
      <c r="L228" s="31">
        <f t="shared" si="34"/>
        <v>-8.1801656231064168E-3</v>
      </c>
      <c r="M228" s="31">
        <f t="shared" si="34"/>
        <v>-1.1499540018399257E-2</v>
      </c>
      <c r="N228" s="31">
        <f t="shared" si="34"/>
        <v>-9.4575707267771092E-3</v>
      </c>
      <c r="O228" s="31">
        <f t="shared" si="34"/>
        <v>3.0139357225985597E-2</v>
      </c>
      <c r="P228" s="31">
        <f t="shared" si="34"/>
        <v>2.7941633033219393E-2</v>
      </c>
      <c r="Q228" s="31">
        <f t="shared" si="35"/>
        <v>-8.3583254955547082E-3</v>
      </c>
      <c r="R228" s="31">
        <f t="shared" si="35"/>
        <v>2.1955729683403424E-2</v>
      </c>
      <c r="T228" s="7">
        <f t="shared" si="36"/>
        <v>-8.0235349671730939E-3</v>
      </c>
      <c r="U228" s="7">
        <f t="shared" si="37"/>
        <v>-1.1610094621405723E-2</v>
      </c>
      <c r="V228" s="7">
        <f t="shared" si="38"/>
        <v>-9.7850547474422327E-3</v>
      </c>
      <c r="W228" s="7">
        <f t="shared" si="39"/>
        <v>2.8322025489276547E-2</v>
      </c>
      <c r="X228" s="7">
        <f t="shared" si="40"/>
        <v>2.4191721301266012E-2</v>
      </c>
      <c r="Y228" s="7">
        <f t="shared" si="41"/>
        <v>-8.9182556512137235E-3</v>
      </c>
      <c r="Z228" s="7">
        <f t="shared" si="42"/>
        <v>2.2435379025604892E-2</v>
      </c>
      <c r="AM228" s="2">
        <v>225</v>
      </c>
      <c r="AN228" s="33">
        <v>1.2232576830157878E-2</v>
      </c>
      <c r="AO228" s="33">
        <v>1.239896811358641E-3</v>
      </c>
    </row>
    <row r="229" spans="3:41" ht="14.4" x14ac:dyDescent="0.3">
      <c r="C229" s="24">
        <v>45779</v>
      </c>
      <c r="D229" s="25">
        <v>4976</v>
      </c>
      <c r="E229" s="26">
        <v>4.3070000000000004</v>
      </c>
      <c r="F229" s="27">
        <v>41317.43</v>
      </c>
      <c r="G229" s="27">
        <v>3271.7</v>
      </c>
      <c r="H229" s="28">
        <v>31.99</v>
      </c>
      <c r="I229" s="28">
        <v>566.76</v>
      </c>
      <c r="J229" s="27">
        <v>96894.399999999994</v>
      </c>
      <c r="K229" s="27"/>
      <c r="L229" s="31">
        <f t="shared" si="34"/>
        <v>-5.0241157556270011E-3</v>
      </c>
      <c r="M229" s="31">
        <f t="shared" si="34"/>
        <v>9.5193870443461837E-3</v>
      </c>
      <c r="N229" s="31">
        <f t="shared" si="34"/>
        <v>-2.3864020584049017E-3</v>
      </c>
      <c r="O229" s="31">
        <f t="shared" si="34"/>
        <v>2.4268728795427519E-2</v>
      </c>
      <c r="P229" s="31">
        <f t="shared" si="34"/>
        <v>6.8771491090966475E-3</v>
      </c>
      <c r="Q229" s="31">
        <f t="shared" si="35"/>
        <v>-5.7343496365304114E-3</v>
      </c>
      <c r="R229" s="31">
        <f t="shared" si="35"/>
        <v>-2.2180848428804967E-2</v>
      </c>
      <c r="T229" s="7">
        <f t="shared" si="36"/>
        <v>-4.867485099693679E-3</v>
      </c>
      <c r="U229" s="7">
        <f t="shared" si="37"/>
        <v>9.4088324413397172E-3</v>
      </c>
      <c r="V229" s="7">
        <f t="shared" si="38"/>
        <v>-2.7138860790700244E-3</v>
      </c>
      <c r="W229" s="7">
        <f t="shared" si="39"/>
        <v>2.2451397058718469E-2</v>
      </c>
      <c r="X229" s="7">
        <f t="shared" si="40"/>
        <v>3.1272373771432664E-3</v>
      </c>
      <c r="Y229" s="7">
        <f t="shared" si="41"/>
        <v>-6.2942797921894268E-3</v>
      </c>
      <c r="Z229" s="7">
        <f t="shared" si="42"/>
        <v>-2.17011990866035E-2</v>
      </c>
      <c r="AM229" s="2">
        <v>226</v>
      </c>
      <c r="AN229" s="33">
        <v>8.5602694340701762E-3</v>
      </c>
      <c r="AO229" s="33">
        <v>3.6343184761840558E-4</v>
      </c>
    </row>
    <row r="230" spans="3:41" ht="14.4" x14ac:dyDescent="0.3">
      <c r="C230" s="24">
        <v>45778</v>
      </c>
      <c r="D230" s="25">
        <v>4912.8999999999996</v>
      </c>
      <c r="E230" s="26">
        <v>4.2149999999999999</v>
      </c>
      <c r="F230" s="27">
        <v>40752.959999999999</v>
      </c>
      <c r="G230" s="27">
        <v>3250.3</v>
      </c>
      <c r="H230" s="28">
        <v>32.19</v>
      </c>
      <c r="I230" s="28">
        <v>558.47</v>
      </c>
      <c r="J230" s="27">
        <v>96499.3</v>
      </c>
      <c r="K230" s="27"/>
      <c r="L230" s="31">
        <f t="shared" si="34"/>
        <v>1.2843737914470132E-2</v>
      </c>
      <c r="M230" s="31">
        <f t="shared" si="34"/>
        <v>2.1826809015421222E-2</v>
      </c>
      <c r="N230" s="31">
        <f t="shared" si="34"/>
        <v>1.3851018429090756E-2</v>
      </c>
      <c r="O230" s="31">
        <f t="shared" si="34"/>
        <v>6.5840076300647254E-3</v>
      </c>
      <c r="P230" s="31">
        <f t="shared" si="34"/>
        <v>-6.2131096613855519E-3</v>
      </c>
      <c r="Q230" s="31">
        <f t="shared" si="35"/>
        <v>1.4844127706054033E-2</v>
      </c>
      <c r="R230" s="31">
        <f t="shared" si="35"/>
        <v>4.0943302179392571E-3</v>
      </c>
      <c r="T230" s="7">
        <f t="shared" si="36"/>
        <v>1.3000368570403455E-2</v>
      </c>
      <c r="U230" s="7">
        <f t="shared" si="37"/>
        <v>2.1716254412414756E-2</v>
      </c>
      <c r="V230" s="7">
        <f t="shared" si="38"/>
        <v>1.3523534408425632E-2</v>
      </c>
      <c r="W230" s="7">
        <f t="shared" si="39"/>
        <v>4.7666758933556739E-3</v>
      </c>
      <c r="X230" s="7">
        <f t="shared" si="40"/>
        <v>-9.9630213933389333E-3</v>
      </c>
      <c r="Y230" s="7">
        <f t="shared" si="41"/>
        <v>1.4284197550395018E-2</v>
      </c>
      <c r="Z230" s="7">
        <f t="shared" si="42"/>
        <v>4.5739795601407243E-3</v>
      </c>
      <c r="AM230" s="2">
        <v>227</v>
      </c>
      <c r="AN230" s="33">
        <v>1.4689841358125857E-2</v>
      </c>
      <c r="AO230" s="33">
        <v>1.2316230715881439E-3</v>
      </c>
    </row>
    <row r="231" spans="3:41" ht="14.4" x14ac:dyDescent="0.3">
      <c r="C231" s="24">
        <v>45777</v>
      </c>
      <c r="D231" s="25">
        <v>4901.3</v>
      </c>
      <c r="E231" s="26">
        <v>4.1669999999999998</v>
      </c>
      <c r="F231" s="27">
        <v>40669.360000000001</v>
      </c>
      <c r="G231" s="27">
        <v>3347.9</v>
      </c>
      <c r="H231" s="28">
        <v>32.53</v>
      </c>
      <c r="I231" s="28">
        <v>554.54</v>
      </c>
      <c r="J231" s="27">
        <v>94184.4</v>
      </c>
      <c r="K231" s="27"/>
      <c r="L231" s="31">
        <f t="shared" si="34"/>
        <v>2.3667190337255395E-3</v>
      </c>
      <c r="M231" s="31">
        <f t="shared" si="34"/>
        <v>1.1519078473722022E-2</v>
      </c>
      <c r="N231" s="31">
        <f t="shared" si="34"/>
        <v>2.0556015634374258E-3</v>
      </c>
      <c r="O231" s="31">
        <f t="shared" si="34"/>
        <v>-2.9152603124346532E-2</v>
      </c>
      <c r="P231" s="31">
        <f t="shared" si="34"/>
        <v>-1.0451890562557797E-2</v>
      </c>
      <c r="Q231" s="31">
        <f t="shared" si="35"/>
        <v>7.0869549536554111E-3</v>
      </c>
      <c r="R231" s="31">
        <f t="shared" si="35"/>
        <v>2.4578380283783785E-2</v>
      </c>
      <c r="T231" s="7">
        <f t="shared" si="36"/>
        <v>2.5233496896588615E-3</v>
      </c>
      <c r="U231" s="7">
        <f t="shared" si="37"/>
        <v>1.1408523870715555E-2</v>
      </c>
      <c r="V231" s="7">
        <f t="shared" si="38"/>
        <v>1.7281175427723029E-3</v>
      </c>
      <c r="W231" s="7">
        <f t="shared" si="39"/>
        <v>-3.0969934861055582E-2</v>
      </c>
      <c r="X231" s="7">
        <f t="shared" si="40"/>
        <v>-1.4201802294511179E-2</v>
      </c>
      <c r="Y231" s="7">
        <f t="shared" si="41"/>
        <v>6.5270247979963957E-3</v>
      </c>
      <c r="Z231" s="7">
        <f t="shared" si="42"/>
        <v>2.5058029625985252E-2</v>
      </c>
      <c r="AM231" s="2">
        <v>228</v>
      </c>
      <c r="AN231" s="33">
        <v>1.042142776157221E-2</v>
      </c>
      <c r="AO231" s="33">
        <v>9.8272095714204604E-4</v>
      </c>
    </row>
    <row r="232" spans="3:41" ht="14.4" x14ac:dyDescent="0.3">
      <c r="C232" s="24">
        <v>45776</v>
      </c>
      <c r="D232" s="25">
        <v>4881</v>
      </c>
      <c r="E232" s="26">
        <v>4.1710000000000003</v>
      </c>
      <c r="F232" s="27">
        <v>40527.620000000003</v>
      </c>
      <c r="G232" s="27">
        <v>3362.5</v>
      </c>
      <c r="H232" s="28">
        <v>33.28</v>
      </c>
      <c r="I232" s="28">
        <v>554.32000000000005</v>
      </c>
      <c r="J232" s="27">
        <v>94269.8</v>
      </c>
      <c r="K232" s="27"/>
      <c r="L232" s="31">
        <f t="shared" si="34"/>
        <v>4.1589838147921832E-3</v>
      </c>
      <c r="M232" s="31">
        <f t="shared" si="34"/>
        <v>-9.5900263725734458E-4</v>
      </c>
      <c r="N232" s="31">
        <f t="shared" si="34"/>
        <v>3.4973679678205194E-3</v>
      </c>
      <c r="O232" s="31">
        <f t="shared" si="34"/>
        <v>-4.3420074349441729E-3</v>
      </c>
      <c r="P232" s="31">
        <f t="shared" si="34"/>
        <v>-2.2536057692307709E-2</v>
      </c>
      <c r="Q232" s="31">
        <f t="shared" si="35"/>
        <v>3.9688266705129038E-4</v>
      </c>
      <c r="R232" s="31">
        <f t="shared" si="35"/>
        <v>-9.0591048246635442E-4</v>
      </c>
      <c r="T232" s="7">
        <f t="shared" si="36"/>
        <v>4.3156144707255052E-3</v>
      </c>
      <c r="U232" s="7">
        <f t="shared" si="37"/>
        <v>-1.0695572402638115E-3</v>
      </c>
      <c r="V232" s="7">
        <f t="shared" si="38"/>
        <v>3.1698839471553967E-3</v>
      </c>
      <c r="W232" s="7">
        <f t="shared" si="39"/>
        <v>-6.1593391716532244E-3</v>
      </c>
      <c r="X232" s="7">
        <f t="shared" si="40"/>
        <v>-2.6285969424261091E-2</v>
      </c>
      <c r="Y232" s="7">
        <f t="shared" si="41"/>
        <v>-1.6304748860772507E-4</v>
      </c>
      <c r="Z232" s="7">
        <f t="shared" si="42"/>
        <v>-4.2626114026488748E-4</v>
      </c>
      <c r="AM232" s="2">
        <v>229</v>
      </c>
      <c r="AN232" s="33">
        <v>1.1757821765505145E-2</v>
      </c>
      <c r="AO232" s="33">
        <v>8.9186347574934542E-4</v>
      </c>
    </row>
    <row r="233" spans="3:41" ht="14.4" x14ac:dyDescent="0.3">
      <c r="C233" s="24">
        <v>45775</v>
      </c>
      <c r="D233" s="25">
        <v>4865.3999999999996</v>
      </c>
      <c r="E233" s="26">
        <v>4.2050000000000001</v>
      </c>
      <c r="F233" s="27">
        <v>40227.589999999997</v>
      </c>
      <c r="G233" s="27">
        <v>3361.5</v>
      </c>
      <c r="H233" s="28">
        <v>32.99</v>
      </c>
      <c r="I233" s="28">
        <v>550.85</v>
      </c>
      <c r="J233" s="27">
        <v>94995</v>
      </c>
      <c r="K233" s="27"/>
      <c r="L233" s="31">
        <f t="shared" si="34"/>
        <v>3.2063139721298928E-3</v>
      </c>
      <c r="M233" s="31">
        <f t="shared" si="34"/>
        <v>-8.0856123662306212E-3</v>
      </c>
      <c r="N233" s="31">
        <f t="shared" si="34"/>
        <v>7.458314057591009E-3</v>
      </c>
      <c r="O233" s="31">
        <f t="shared" si="34"/>
        <v>2.9748624126124668E-4</v>
      </c>
      <c r="P233" s="31">
        <f t="shared" ref="P233:P257" si="43">H232/H233-1</f>
        <v>8.7905425886631861E-3</v>
      </c>
      <c r="Q233" s="31">
        <f t="shared" si="35"/>
        <v>6.2993555414359026E-3</v>
      </c>
      <c r="R233" s="31">
        <f t="shared" si="35"/>
        <v>-7.6340860045265302E-3</v>
      </c>
      <c r="T233" s="7">
        <f t="shared" si="36"/>
        <v>3.3629446280632148E-3</v>
      </c>
      <c r="U233" s="7">
        <f t="shared" si="37"/>
        <v>-8.1961669692370877E-3</v>
      </c>
      <c r="V233" s="7">
        <f t="shared" si="38"/>
        <v>7.1308300369258863E-3</v>
      </c>
      <c r="W233" s="7">
        <f t="shared" si="39"/>
        <v>-1.5198454954478047E-3</v>
      </c>
      <c r="X233" s="7">
        <f t="shared" si="40"/>
        <v>5.0406308567098046E-3</v>
      </c>
      <c r="Y233" s="7">
        <f t="shared" si="41"/>
        <v>5.7394253857768873E-3</v>
      </c>
      <c r="Z233" s="7">
        <f t="shared" si="42"/>
        <v>-7.154436662325063E-3</v>
      </c>
      <c r="AM233" s="2">
        <v>230</v>
      </c>
      <c r="AN233" s="33">
        <v>1.3161259606524997E-2</v>
      </c>
      <c r="AO233" s="33">
        <v>1.1210617842123023E-3</v>
      </c>
    </row>
    <row r="234" spans="3:41" ht="14.4" x14ac:dyDescent="0.3">
      <c r="C234" s="24">
        <v>45772</v>
      </c>
      <c r="D234" s="25">
        <v>4822.6000000000004</v>
      </c>
      <c r="E234" s="26">
        <v>4.2539999999999996</v>
      </c>
      <c r="F234" s="27">
        <v>40113.5</v>
      </c>
      <c r="G234" s="27">
        <v>3312.2</v>
      </c>
      <c r="H234" s="28">
        <v>32.99</v>
      </c>
      <c r="I234" s="28">
        <v>550.64</v>
      </c>
      <c r="J234" s="27">
        <v>94676.9</v>
      </c>
      <c r="K234" s="27"/>
      <c r="L234" s="31">
        <f t="shared" si="34"/>
        <v>8.8748807697092147E-3</v>
      </c>
      <c r="M234" s="31">
        <f t="shared" si="34"/>
        <v>-1.1518570756934521E-2</v>
      </c>
      <c r="N234" s="31">
        <f t="shared" si="34"/>
        <v>2.8441796402707276E-3</v>
      </c>
      <c r="O234" s="31">
        <f t="shared" si="34"/>
        <v>1.4884366886057654E-2</v>
      </c>
      <c r="P234" s="31">
        <f t="shared" si="43"/>
        <v>0</v>
      </c>
      <c r="Q234" s="31">
        <f t="shared" si="35"/>
        <v>3.813744006975206E-4</v>
      </c>
      <c r="R234" s="31">
        <f t="shared" si="35"/>
        <v>3.3598480727612401E-3</v>
      </c>
      <c r="T234" s="7">
        <f t="shared" si="36"/>
        <v>9.0315114256425376E-3</v>
      </c>
      <c r="U234" s="7">
        <f t="shared" si="37"/>
        <v>-1.1629125359940987E-2</v>
      </c>
      <c r="V234" s="7">
        <f t="shared" si="38"/>
        <v>2.5166956196056049E-3</v>
      </c>
      <c r="W234" s="7">
        <f t="shared" si="39"/>
        <v>1.3067035149348602E-2</v>
      </c>
      <c r="X234" s="7">
        <f t="shared" si="40"/>
        <v>-3.749911731953381E-3</v>
      </c>
      <c r="Y234" s="7">
        <f t="shared" si="41"/>
        <v>-1.7855575496149485E-4</v>
      </c>
      <c r="Z234" s="7">
        <f t="shared" si="42"/>
        <v>3.8394974149627069E-3</v>
      </c>
      <c r="AM234" s="2">
        <v>231</v>
      </c>
      <c r="AN234" s="33">
        <v>1.3685177318927324E-2</v>
      </c>
      <c r="AO234" s="33">
        <v>9.6740194300624688E-4</v>
      </c>
    </row>
    <row r="235" spans="3:41" ht="14.4" x14ac:dyDescent="0.3">
      <c r="C235" s="24">
        <v>45771</v>
      </c>
      <c r="D235" s="25">
        <v>4829.7</v>
      </c>
      <c r="E235" s="26">
        <v>4.3140000000000001</v>
      </c>
      <c r="F235" s="27">
        <v>40093.4</v>
      </c>
      <c r="G235" s="27">
        <v>3362.7</v>
      </c>
      <c r="H235" s="28">
        <v>33.479999999999997</v>
      </c>
      <c r="I235" s="28">
        <v>546.69000000000005</v>
      </c>
      <c r="J235" s="27">
        <v>93980.3</v>
      </c>
      <c r="K235" s="27"/>
      <c r="L235" s="31">
        <f t="shared" si="34"/>
        <v>-1.4700706047993117E-3</v>
      </c>
      <c r="M235" s="31">
        <f t="shared" si="34"/>
        <v>-1.3908205841446586E-2</v>
      </c>
      <c r="N235" s="31">
        <f t="shared" si="34"/>
        <v>5.0132939586067238E-4</v>
      </c>
      <c r="O235" s="31">
        <f t="shared" si="34"/>
        <v>-1.5017694114848212E-2</v>
      </c>
      <c r="P235" s="31">
        <f t="shared" si="43"/>
        <v>-1.4635603345280579E-2</v>
      </c>
      <c r="Q235" s="31">
        <f t="shared" si="35"/>
        <v>7.2253013590881654E-3</v>
      </c>
      <c r="R235" s="31">
        <f t="shared" si="35"/>
        <v>7.412191704005977E-3</v>
      </c>
      <c r="T235" s="7">
        <f t="shared" si="36"/>
        <v>-1.3134399488659895E-3</v>
      </c>
      <c r="U235" s="7">
        <f t="shared" si="37"/>
        <v>-1.4018760444453052E-2</v>
      </c>
      <c r="V235" s="7">
        <f t="shared" si="38"/>
        <v>1.7384537519554954E-4</v>
      </c>
      <c r="W235" s="7">
        <f t="shared" si="39"/>
        <v>-1.6835025851557262E-2</v>
      </c>
      <c r="X235" s="7">
        <f t="shared" si="40"/>
        <v>-1.838551507723396E-2</v>
      </c>
      <c r="Y235" s="7">
        <f t="shared" si="41"/>
        <v>6.6653712034291501E-3</v>
      </c>
      <c r="Z235" s="7">
        <f t="shared" si="42"/>
        <v>7.8918410462074443E-3</v>
      </c>
      <c r="AM235" s="2">
        <v>232</v>
      </c>
      <c r="AN235" s="33">
        <v>1.4334543623909997E-2</v>
      </c>
      <c r="AO235" s="33">
        <v>1.0600318551030449E-3</v>
      </c>
    </row>
    <row r="236" spans="3:41" ht="14.4" x14ac:dyDescent="0.3">
      <c r="C236" s="24">
        <v>45770</v>
      </c>
      <c r="D236" s="25">
        <v>4811.3999999999996</v>
      </c>
      <c r="E236" s="26">
        <v>4.3840000000000003</v>
      </c>
      <c r="F236" s="27">
        <v>39606.57</v>
      </c>
      <c r="G236" s="27">
        <v>3307.6</v>
      </c>
      <c r="H236" s="28">
        <v>33.520000000000003</v>
      </c>
      <c r="I236" s="28">
        <v>535.41999999999996</v>
      </c>
      <c r="J236" s="27">
        <v>93697.7</v>
      </c>
      <c r="K236" s="27"/>
      <c r="L236" s="31">
        <f t="shared" si="34"/>
        <v>3.8034667664297306E-3</v>
      </c>
      <c r="M236" s="31">
        <f t="shared" si="34"/>
        <v>-1.5967153284671576E-2</v>
      </c>
      <c r="N236" s="31">
        <f t="shared" si="34"/>
        <v>1.2291647572612474E-2</v>
      </c>
      <c r="O236" s="31">
        <f t="shared" si="34"/>
        <v>1.6658604426170065E-2</v>
      </c>
      <c r="P236" s="31">
        <f t="shared" si="43"/>
        <v>-1.1933174224345588E-3</v>
      </c>
      <c r="Q236" s="31">
        <f t="shared" si="35"/>
        <v>2.1048896193642586E-2</v>
      </c>
      <c r="R236" s="31">
        <f t="shared" si="35"/>
        <v>3.016082571930756E-3</v>
      </c>
      <c r="T236" s="7">
        <f t="shared" si="36"/>
        <v>3.9600974223630526E-3</v>
      </c>
      <c r="U236" s="7">
        <f t="shared" si="37"/>
        <v>-1.6077707887678042E-2</v>
      </c>
      <c r="V236" s="7">
        <f t="shared" si="38"/>
        <v>1.1964163551947351E-2</v>
      </c>
      <c r="W236" s="7">
        <f t="shared" si="39"/>
        <v>1.4841272689461013E-2</v>
      </c>
      <c r="X236" s="7">
        <f t="shared" si="40"/>
        <v>-4.9432291543879403E-3</v>
      </c>
      <c r="Y236" s="7">
        <f t="shared" si="41"/>
        <v>2.0488966037983568E-2</v>
      </c>
      <c r="Z236" s="7">
        <f t="shared" si="42"/>
        <v>3.4957319141322228E-3</v>
      </c>
      <c r="AM236" s="2">
        <v>233</v>
      </c>
      <c r="AN236" s="33">
        <v>1.3378164759632888E-2</v>
      </c>
      <c r="AO236" s="33">
        <v>1.2183069996043782E-3</v>
      </c>
    </row>
    <row r="237" spans="3:41" ht="14.4" x14ac:dyDescent="0.3">
      <c r="C237" s="24">
        <v>45769</v>
      </c>
      <c r="D237" s="25">
        <v>4800.1000000000004</v>
      </c>
      <c r="E237" s="26">
        <v>4.4000000000000004</v>
      </c>
      <c r="F237" s="27">
        <v>39186.980000000003</v>
      </c>
      <c r="G237" s="27">
        <v>3433.6</v>
      </c>
      <c r="H237" s="28">
        <v>32.880000000000003</v>
      </c>
      <c r="I237" s="28">
        <v>527.25</v>
      </c>
      <c r="J237" s="27">
        <v>93441.9</v>
      </c>
      <c r="K237" s="27"/>
      <c r="L237" s="31">
        <f t="shared" si="34"/>
        <v>2.3541176225494453E-3</v>
      </c>
      <c r="M237" s="31">
        <f t="shared" si="34"/>
        <v>-3.6363636363636598E-3</v>
      </c>
      <c r="N237" s="31">
        <f t="shared" si="34"/>
        <v>1.070738291136486E-2</v>
      </c>
      <c r="O237" s="31">
        <f t="shared" si="34"/>
        <v>-3.6696178937558277E-2</v>
      </c>
      <c r="P237" s="31">
        <f t="shared" si="43"/>
        <v>1.9464720194647178E-2</v>
      </c>
      <c r="Q237" s="31">
        <f t="shared" si="35"/>
        <v>1.5495495495495337E-2</v>
      </c>
      <c r="R237" s="31">
        <f t="shared" si="35"/>
        <v>2.7375299517669038E-3</v>
      </c>
      <c r="T237" s="7">
        <f t="shared" si="36"/>
        <v>2.5107482784827674E-3</v>
      </c>
      <c r="U237" s="7">
        <f t="shared" si="37"/>
        <v>-3.7469182393701267E-3</v>
      </c>
      <c r="V237" s="7">
        <f t="shared" si="38"/>
        <v>1.0379898890699736E-2</v>
      </c>
      <c r="W237" s="7">
        <f t="shared" si="39"/>
        <v>-3.851351067426733E-2</v>
      </c>
      <c r="X237" s="7">
        <f t="shared" si="40"/>
        <v>1.5714808462693797E-2</v>
      </c>
      <c r="Y237" s="7">
        <f t="shared" si="41"/>
        <v>1.4935565339836322E-2</v>
      </c>
      <c r="Z237" s="7">
        <f t="shared" si="42"/>
        <v>3.2171792939683706E-3</v>
      </c>
      <c r="AM237" s="2">
        <v>234</v>
      </c>
      <c r="AN237" s="33">
        <v>1.1760821588049114E-2</v>
      </c>
      <c r="AO237" s="33">
        <v>1.0486767142799628E-3</v>
      </c>
    </row>
    <row r="238" spans="3:41" ht="14.4" x14ac:dyDescent="0.3">
      <c r="C238" s="24">
        <v>45768</v>
      </c>
      <c r="D238" s="25">
        <v>4699.8999999999996</v>
      </c>
      <c r="E238" s="26">
        <v>4.4160000000000004</v>
      </c>
      <c r="F238" s="27">
        <v>38170.410000000003</v>
      </c>
      <c r="G238" s="27">
        <v>3439.2</v>
      </c>
      <c r="H238" s="28">
        <v>32.5</v>
      </c>
      <c r="I238" s="28">
        <v>513.88</v>
      </c>
      <c r="J238" s="27">
        <v>87516</v>
      </c>
      <c r="K238" s="27"/>
      <c r="L238" s="31">
        <f t="shared" si="34"/>
        <v>2.1319602544735083E-2</v>
      </c>
      <c r="M238" s="31">
        <f t="shared" si="34"/>
        <v>-3.6231884057971175E-3</v>
      </c>
      <c r="N238" s="31">
        <f t="shared" si="34"/>
        <v>2.6632409764526965E-2</v>
      </c>
      <c r="O238" s="31">
        <f t="shared" si="34"/>
        <v>-1.6282856478250229E-3</v>
      </c>
      <c r="P238" s="31">
        <f t="shared" si="43"/>
        <v>1.1692307692307669E-2</v>
      </c>
      <c r="Q238" s="31">
        <f t="shared" si="35"/>
        <v>2.6017747334007968E-2</v>
      </c>
      <c r="R238" s="31">
        <f t="shared" si="35"/>
        <v>6.7712189771013342E-2</v>
      </c>
      <c r="T238" s="7">
        <f t="shared" si="36"/>
        <v>2.1476233200668406E-2</v>
      </c>
      <c r="U238" s="7">
        <f t="shared" si="37"/>
        <v>-3.7337430088035845E-3</v>
      </c>
      <c r="V238" s="7">
        <f t="shared" si="38"/>
        <v>2.6304925743861843E-2</v>
      </c>
      <c r="W238" s="7">
        <f t="shared" si="39"/>
        <v>-3.4456173845340745E-3</v>
      </c>
      <c r="X238" s="7">
        <f t="shared" si="40"/>
        <v>7.9423959603542871E-3</v>
      </c>
      <c r="Y238" s="7">
        <f t="shared" si="41"/>
        <v>2.5457817178348951E-2</v>
      </c>
      <c r="Z238" s="7">
        <f t="shared" si="42"/>
        <v>6.8191839113214803E-2</v>
      </c>
      <c r="AM238" s="2">
        <v>235</v>
      </c>
      <c r="AN238" s="33">
        <v>1.1876030728882174E-2</v>
      </c>
      <c r="AO238" s="33">
        <v>7.691588833088586E-4</v>
      </c>
    </row>
    <row r="239" spans="3:41" ht="14.4" x14ac:dyDescent="0.3">
      <c r="C239" s="24">
        <v>45764</v>
      </c>
      <c r="D239" s="25">
        <v>4800.8999999999996</v>
      </c>
      <c r="E239" s="26">
        <v>4.3319999999999999</v>
      </c>
      <c r="F239" s="27">
        <v>39142.230000000003</v>
      </c>
      <c r="G239" s="27">
        <v>3342.1</v>
      </c>
      <c r="H239" s="28">
        <v>32.42</v>
      </c>
      <c r="I239" s="28">
        <v>526.41</v>
      </c>
      <c r="J239" s="27">
        <v>84940</v>
      </c>
      <c r="K239" s="27"/>
      <c r="L239" s="31">
        <f t="shared" si="34"/>
        <v>-2.1037722093774081E-2</v>
      </c>
      <c r="M239" s="31">
        <f t="shared" si="34"/>
        <v>1.939058171745156E-2</v>
      </c>
      <c r="N239" s="31">
        <f t="shared" si="34"/>
        <v>-2.4827916038508757E-2</v>
      </c>
      <c r="O239" s="31">
        <f t="shared" si="34"/>
        <v>2.9053589060770157E-2</v>
      </c>
      <c r="P239" s="31">
        <f t="shared" si="43"/>
        <v>2.467612584824197E-3</v>
      </c>
      <c r="Q239" s="31">
        <f t="shared" si="35"/>
        <v>-2.3802739309663479E-2</v>
      </c>
      <c r="R239" s="31">
        <f t="shared" si="35"/>
        <v>3.032728985166E-2</v>
      </c>
      <c r="T239" s="7">
        <f t="shared" si="36"/>
        <v>-2.0881091437840758E-2</v>
      </c>
      <c r="U239" s="7">
        <f t="shared" si="37"/>
        <v>1.9280027114445094E-2</v>
      </c>
      <c r="V239" s="7">
        <f t="shared" si="38"/>
        <v>-2.5155400059173879E-2</v>
      </c>
      <c r="W239" s="7">
        <f t="shared" si="39"/>
        <v>2.7236257324061108E-2</v>
      </c>
      <c r="X239" s="7">
        <f t="shared" si="40"/>
        <v>-1.282299147129184E-3</v>
      </c>
      <c r="Y239" s="7">
        <f t="shared" si="41"/>
        <v>-2.4362669465322496E-2</v>
      </c>
      <c r="Z239" s="7">
        <f t="shared" si="42"/>
        <v>3.0806939193861467E-2</v>
      </c>
      <c r="AM239" s="2">
        <v>236</v>
      </c>
      <c r="AN239" s="33">
        <v>1.2750994865939306E-2</v>
      </c>
      <c r="AO239" s="33">
        <v>1.0368074835241025E-3</v>
      </c>
    </row>
    <row r="240" spans="3:41" ht="14.4" x14ac:dyDescent="0.3">
      <c r="C240" s="24">
        <v>45763</v>
      </c>
      <c r="D240" s="25">
        <v>4728</v>
      </c>
      <c r="E240" s="26">
        <v>4.28</v>
      </c>
      <c r="F240" s="27">
        <v>39669.39</v>
      </c>
      <c r="G240" s="27">
        <v>3360.2</v>
      </c>
      <c r="H240" s="28">
        <v>32.93</v>
      </c>
      <c r="I240" s="28">
        <v>525.66</v>
      </c>
      <c r="J240" s="27">
        <v>84032.2</v>
      </c>
      <c r="K240" s="27"/>
      <c r="L240" s="31">
        <f t="shared" si="34"/>
        <v>1.5418781725888175E-2</v>
      </c>
      <c r="M240" s="31">
        <f t="shared" si="34"/>
        <v>1.2149532710280297E-2</v>
      </c>
      <c r="N240" s="31">
        <f t="shared" si="34"/>
        <v>-1.3288835548013078E-2</v>
      </c>
      <c r="O240" s="31">
        <f t="shared" si="34"/>
        <v>-5.3865841318968544E-3</v>
      </c>
      <c r="P240" s="31">
        <f t="shared" si="43"/>
        <v>-1.5487397509869383E-2</v>
      </c>
      <c r="Q240" s="31">
        <f t="shared" si="35"/>
        <v>1.4267777650953661E-3</v>
      </c>
      <c r="R240" s="31">
        <f t="shared" si="35"/>
        <v>1.0803001706488846E-2</v>
      </c>
      <c r="T240" s="7">
        <f t="shared" si="36"/>
        <v>1.5575412381821498E-2</v>
      </c>
      <c r="U240" s="7">
        <f t="shared" si="37"/>
        <v>1.2038978107273831E-2</v>
      </c>
      <c r="V240" s="7">
        <f t="shared" si="38"/>
        <v>-1.3616319568678202E-2</v>
      </c>
      <c r="W240" s="7">
        <f t="shared" si="39"/>
        <v>-7.2039158686059059E-3</v>
      </c>
      <c r="X240" s="7">
        <f t="shared" si="40"/>
        <v>-1.9237309241822764E-2</v>
      </c>
      <c r="Y240" s="7">
        <f t="shared" si="41"/>
        <v>8.6684760943635069E-4</v>
      </c>
      <c r="Z240" s="7">
        <f t="shared" si="42"/>
        <v>1.1282651048690313E-2</v>
      </c>
      <c r="AM240" s="2">
        <v>237</v>
      </c>
      <c r="AN240" s="33">
        <v>1.0393389283468866E-2</v>
      </c>
      <c r="AO240" s="33">
        <v>7.5342263829712046E-4</v>
      </c>
    </row>
    <row r="241" spans="3:41" ht="14.4" x14ac:dyDescent="0.3">
      <c r="C241" s="24">
        <v>45762</v>
      </c>
      <c r="D241" s="25">
        <v>4746</v>
      </c>
      <c r="E241" s="26">
        <v>4.3390000000000004</v>
      </c>
      <c r="F241" s="27">
        <v>40368.959999999999</v>
      </c>
      <c r="G241" s="27">
        <v>3253.3</v>
      </c>
      <c r="H241" s="28">
        <v>32.229999999999997</v>
      </c>
      <c r="I241" s="28">
        <v>537.61</v>
      </c>
      <c r="J241" s="27">
        <v>83647</v>
      </c>
      <c r="K241" s="27"/>
      <c r="L241" s="31">
        <f t="shared" si="34"/>
        <v>-3.7926675094817064E-3</v>
      </c>
      <c r="M241" s="31">
        <f t="shared" si="34"/>
        <v>-1.3597603134362757E-2</v>
      </c>
      <c r="N241" s="31">
        <f t="shared" si="34"/>
        <v>-1.7329403581365477E-2</v>
      </c>
      <c r="O241" s="31">
        <f t="shared" si="34"/>
        <v>3.2858943226877102E-2</v>
      </c>
      <c r="P241" s="31">
        <f t="shared" si="43"/>
        <v>2.1718895439031938E-2</v>
      </c>
      <c r="Q241" s="31">
        <f t="shared" si="35"/>
        <v>-2.2228009151615602E-2</v>
      </c>
      <c r="R241" s="31">
        <f t="shared" si="35"/>
        <v>4.605066529582702E-3</v>
      </c>
      <c r="T241" s="7">
        <f t="shared" si="36"/>
        <v>-3.6360368535483844E-3</v>
      </c>
      <c r="U241" s="7">
        <f t="shared" si="37"/>
        <v>-1.3708157737369223E-2</v>
      </c>
      <c r="V241" s="7">
        <f t="shared" si="38"/>
        <v>-1.7656887602030599E-2</v>
      </c>
      <c r="W241" s="7">
        <f t="shared" si="39"/>
        <v>3.1041611490168052E-2</v>
      </c>
      <c r="X241" s="7">
        <f t="shared" si="40"/>
        <v>1.7968983707078556E-2</v>
      </c>
      <c r="Y241" s="7">
        <f t="shared" si="41"/>
        <v>-2.2787939307274619E-2</v>
      </c>
      <c r="Z241" s="7">
        <f t="shared" si="42"/>
        <v>5.0847158717841692E-3</v>
      </c>
      <c r="AM241" s="2">
        <v>238</v>
      </c>
      <c r="AN241" s="33">
        <v>1.404450140966561E-2</v>
      </c>
      <c r="AO241" s="33">
        <v>8.5052740839305636E-4</v>
      </c>
    </row>
    <row r="242" spans="3:41" ht="14.4" x14ac:dyDescent="0.3">
      <c r="C242" s="24">
        <v>45761</v>
      </c>
      <c r="D242" s="25">
        <v>4734.5</v>
      </c>
      <c r="E242" s="26">
        <v>4.383</v>
      </c>
      <c r="F242" s="27">
        <v>40524.79</v>
      </c>
      <c r="G242" s="27">
        <v>3238.8</v>
      </c>
      <c r="H242" s="28">
        <v>32.090000000000003</v>
      </c>
      <c r="I242" s="28">
        <v>539.12</v>
      </c>
      <c r="J242" s="27">
        <v>84586.4</v>
      </c>
      <c r="K242" s="27"/>
      <c r="L242" s="31">
        <f t="shared" si="34"/>
        <v>2.4289787728377643E-3</v>
      </c>
      <c r="M242" s="31">
        <f t="shared" si="34"/>
        <v>-1.0038786219484286E-2</v>
      </c>
      <c r="N242" s="31">
        <f t="shared" si="34"/>
        <v>-3.8453006172272097E-3</v>
      </c>
      <c r="O242" s="31">
        <f t="shared" si="34"/>
        <v>4.476966777818836E-3</v>
      </c>
      <c r="P242" s="31">
        <f t="shared" si="43"/>
        <v>4.3627298223742894E-3</v>
      </c>
      <c r="Q242" s="31">
        <f t="shared" si="35"/>
        <v>-2.8008606618192822E-3</v>
      </c>
      <c r="R242" s="31">
        <f t="shared" si="35"/>
        <v>-1.1105804242762307E-2</v>
      </c>
      <c r="T242" s="7">
        <f t="shared" si="36"/>
        <v>2.5856094287710863E-3</v>
      </c>
      <c r="U242" s="7">
        <f t="shared" si="37"/>
        <v>-1.0149340822490752E-2</v>
      </c>
      <c r="V242" s="7">
        <f t="shared" si="38"/>
        <v>-4.1727846378923324E-3</v>
      </c>
      <c r="W242" s="7">
        <f t="shared" si="39"/>
        <v>2.6596350411097845E-3</v>
      </c>
      <c r="X242" s="7">
        <f t="shared" si="40"/>
        <v>6.1281809042090839E-4</v>
      </c>
      <c r="Y242" s="7">
        <f t="shared" si="41"/>
        <v>-3.3607908174782975E-3</v>
      </c>
      <c r="Z242" s="7">
        <f t="shared" si="42"/>
        <v>-1.062615490056084E-2</v>
      </c>
      <c r="AM242" s="2">
        <v>239</v>
      </c>
      <c r="AN242" s="33">
        <v>1.2873218659893201E-2</v>
      </c>
      <c r="AO242" s="33">
        <v>4.2865159090172908E-4</v>
      </c>
    </row>
    <row r="243" spans="3:41" ht="14.4" x14ac:dyDescent="0.3">
      <c r="C243" s="24">
        <v>45758</v>
      </c>
      <c r="D243" s="25">
        <v>4637.5</v>
      </c>
      <c r="E243" s="26">
        <v>4.4950000000000001</v>
      </c>
      <c r="F243" s="27">
        <v>40212.71</v>
      </c>
      <c r="G243" s="27">
        <v>3257.6</v>
      </c>
      <c r="H243" s="28">
        <v>31.82</v>
      </c>
      <c r="I243" s="28">
        <v>533.94000000000005</v>
      </c>
      <c r="J243" s="27">
        <v>83413.100000000006</v>
      </c>
      <c r="K243" s="27"/>
      <c r="L243" s="31">
        <f t="shared" si="34"/>
        <v>2.0916442048517503E-2</v>
      </c>
      <c r="M243" s="31">
        <f t="shared" si="34"/>
        <v>-2.4916573971079048E-2</v>
      </c>
      <c r="N243" s="31">
        <f t="shared" si="34"/>
        <v>7.760730376042746E-3</v>
      </c>
      <c r="O243" s="31">
        <f t="shared" si="34"/>
        <v>-5.7711198428289645E-3</v>
      </c>
      <c r="P243" s="31">
        <f t="shared" si="43"/>
        <v>8.4852294154620367E-3</v>
      </c>
      <c r="Q243" s="31">
        <f t="shared" si="35"/>
        <v>9.7014645840356462E-3</v>
      </c>
      <c r="R243" s="31">
        <f t="shared" si="35"/>
        <v>1.4066135894721388E-2</v>
      </c>
      <c r="T243" s="7">
        <f t="shared" si="36"/>
        <v>2.1073072704450826E-2</v>
      </c>
      <c r="U243" s="7">
        <f t="shared" si="37"/>
        <v>-2.5027128574085514E-2</v>
      </c>
      <c r="V243" s="7">
        <f t="shared" si="38"/>
        <v>7.4332463553776233E-3</v>
      </c>
      <c r="W243" s="7">
        <f t="shared" si="39"/>
        <v>-7.5884515795380161E-3</v>
      </c>
      <c r="X243" s="7">
        <f t="shared" si="40"/>
        <v>4.7353176835086552E-3</v>
      </c>
      <c r="Y243" s="7">
        <f t="shared" si="41"/>
        <v>9.1415344283766308E-3</v>
      </c>
      <c r="Z243" s="7">
        <f t="shared" si="42"/>
        <v>1.4545785236922855E-2</v>
      </c>
      <c r="AM243" s="2">
        <v>240</v>
      </c>
      <c r="AN243" s="33">
        <v>1.2829033370239121E-2</v>
      </c>
      <c r="AO243" s="33">
        <v>1.1423577895080606E-3</v>
      </c>
    </row>
    <row r="244" spans="3:41" ht="14.4" x14ac:dyDescent="0.3">
      <c r="C244" s="24">
        <v>45757</v>
      </c>
      <c r="D244" s="25">
        <v>4581.3</v>
      </c>
      <c r="E244" s="26">
        <v>4.4240000000000004</v>
      </c>
      <c r="F244" s="27">
        <v>39593.660000000003</v>
      </c>
      <c r="G244" s="27">
        <v>3190</v>
      </c>
      <c r="H244" s="28">
        <v>30.67</v>
      </c>
      <c r="I244" s="28">
        <v>524.58000000000004</v>
      </c>
      <c r="J244" s="27">
        <v>79607.5</v>
      </c>
      <c r="K244" s="27"/>
      <c r="L244" s="31">
        <f t="shared" si="34"/>
        <v>1.2267260384607015E-2</v>
      </c>
      <c r="M244" s="31">
        <f t="shared" si="34"/>
        <v>1.6048824593128286E-2</v>
      </c>
      <c r="N244" s="31">
        <f t="shared" si="34"/>
        <v>1.5635078949508552E-2</v>
      </c>
      <c r="O244" s="31">
        <f t="shared" si="34"/>
        <v>2.1191222570532853E-2</v>
      </c>
      <c r="P244" s="31">
        <f t="shared" si="43"/>
        <v>3.7495924356048205E-2</v>
      </c>
      <c r="Q244" s="31">
        <f t="shared" si="35"/>
        <v>1.7842845705135613E-2</v>
      </c>
      <c r="R244" s="31">
        <f t="shared" si="35"/>
        <v>4.7804541029425662E-2</v>
      </c>
      <c r="T244" s="7">
        <f t="shared" si="36"/>
        <v>1.2423891040540338E-2</v>
      </c>
      <c r="U244" s="7">
        <f t="shared" si="37"/>
        <v>1.5938269990121819E-2</v>
      </c>
      <c r="V244" s="7">
        <f t="shared" si="38"/>
        <v>1.5307594928843428E-2</v>
      </c>
      <c r="W244" s="7">
        <f t="shared" si="39"/>
        <v>1.9373890833823803E-2</v>
      </c>
      <c r="X244" s="7">
        <f t="shared" si="40"/>
        <v>3.3746012624094823E-2</v>
      </c>
      <c r="Y244" s="7">
        <f t="shared" si="41"/>
        <v>1.7282915549476596E-2</v>
      </c>
      <c r="Z244" s="7">
        <f t="shared" si="42"/>
        <v>4.828419037162713E-2</v>
      </c>
      <c r="AM244" s="2">
        <v>241</v>
      </c>
      <c r="AN244" s="33">
        <v>1.1429464556911489E-2</v>
      </c>
      <c r="AO244" s="33">
        <v>9.50692699730435E-4</v>
      </c>
    </row>
    <row r="245" spans="3:41" ht="14.4" x14ac:dyDescent="0.3">
      <c r="C245" s="24">
        <v>45756</v>
      </c>
      <c r="D245" s="25">
        <v>4732.2</v>
      </c>
      <c r="E245" s="26">
        <v>4.3250000000000002</v>
      </c>
      <c r="F245" s="27">
        <v>40608.449999999997</v>
      </c>
      <c r="G245" s="27">
        <v>3091.7</v>
      </c>
      <c r="H245" s="28">
        <v>30.32</v>
      </c>
      <c r="I245" s="28">
        <v>548.62</v>
      </c>
      <c r="J245" s="27">
        <v>82607</v>
      </c>
      <c r="K245" s="27"/>
      <c r="L245" s="31">
        <f t="shared" si="34"/>
        <v>-3.1887916825155238E-2</v>
      </c>
      <c r="M245" s="31">
        <f t="shared" si="34"/>
        <v>2.2890173410404779E-2</v>
      </c>
      <c r="N245" s="31">
        <f t="shared" si="34"/>
        <v>-2.4989626543243881E-2</v>
      </c>
      <c r="O245" s="31">
        <f t="shared" si="34"/>
        <v>3.1794805446841545E-2</v>
      </c>
      <c r="P245" s="31">
        <f t="shared" si="43"/>
        <v>1.1543535620052836E-2</v>
      </c>
      <c r="Q245" s="31">
        <f t="shared" si="35"/>
        <v>-4.3819036856111659E-2</v>
      </c>
      <c r="R245" s="31">
        <f t="shared" si="35"/>
        <v>-3.6310482162528634E-2</v>
      </c>
      <c r="T245" s="7">
        <f t="shared" si="36"/>
        <v>-3.1731286169221919E-2</v>
      </c>
      <c r="U245" s="7">
        <f t="shared" si="37"/>
        <v>2.2779618807398313E-2</v>
      </c>
      <c r="V245" s="7">
        <f t="shared" si="38"/>
        <v>-2.5317110563909003E-2</v>
      </c>
      <c r="W245" s="7">
        <f t="shared" si="39"/>
        <v>2.9977473710132495E-2</v>
      </c>
      <c r="X245" s="7">
        <f t="shared" si="40"/>
        <v>7.7936238880994546E-3</v>
      </c>
      <c r="Y245" s="7">
        <f t="shared" si="41"/>
        <v>-4.4378967011770673E-2</v>
      </c>
      <c r="Z245" s="7">
        <f t="shared" si="42"/>
        <v>-3.5830832820327167E-2</v>
      </c>
      <c r="AM245" s="2">
        <v>242</v>
      </c>
      <c r="AN245" s="33">
        <v>1.1748371178676689E-2</v>
      </c>
      <c r="AO245" s="33">
        <v>6.8255603244946127E-4</v>
      </c>
    </row>
    <row r="246" spans="3:41" ht="14.4" x14ac:dyDescent="0.3">
      <c r="C246" s="24">
        <v>45755</v>
      </c>
      <c r="D246" s="25">
        <v>4455.3</v>
      </c>
      <c r="E246" s="26">
        <v>4.2889999999999997</v>
      </c>
      <c r="F246" s="27">
        <v>37645.589999999997</v>
      </c>
      <c r="G246" s="27">
        <v>3002.5</v>
      </c>
      <c r="H246" s="28">
        <v>29.59</v>
      </c>
      <c r="I246" s="28">
        <v>496.48</v>
      </c>
      <c r="J246" s="27">
        <v>76312.5</v>
      </c>
      <c r="K246" s="27"/>
      <c r="L246" s="31">
        <f t="shared" si="34"/>
        <v>6.2150696922766091E-2</v>
      </c>
      <c r="M246" s="31">
        <f t="shared" si="34"/>
        <v>8.3935649335511453E-3</v>
      </c>
      <c r="N246" s="31">
        <f t="shared" si="34"/>
        <v>7.8704039437288653E-2</v>
      </c>
      <c r="O246" s="31">
        <f t="shared" si="34"/>
        <v>2.9708576186511237E-2</v>
      </c>
      <c r="P246" s="31">
        <f t="shared" si="43"/>
        <v>2.4670496789455987E-2</v>
      </c>
      <c r="Q246" s="31">
        <f t="shared" si="35"/>
        <v>0.10501933612632941</v>
      </c>
      <c r="R246" s="31">
        <f t="shared" si="35"/>
        <v>8.2483210483210501E-2</v>
      </c>
      <c r="T246" s="7">
        <f t="shared" si="36"/>
        <v>6.230732757869941E-2</v>
      </c>
      <c r="U246" s="7">
        <f t="shared" si="37"/>
        <v>8.2830103305446788E-3</v>
      </c>
      <c r="V246" s="7">
        <f t="shared" si="38"/>
        <v>7.8376555416623528E-2</v>
      </c>
      <c r="W246" s="7">
        <f t="shared" si="39"/>
        <v>2.7891244449802188E-2</v>
      </c>
      <c r="X246" s="7">
        <f t="shared" si="40"/>
        <v>2.0920585057502605E-2</v>
      </c>
      <c r="Y246" s="7">
        <f t="shared" si="41"/>
        <v>0.1044594059706704</v>
      </c>
      <c r="Z246" s="7">
        <f t="shared" si="42"/>
        <v>8.2962859825411961E-2</v>
      </c>
      <c r="AM246" s="2">
        <v>243</v>
      </c>
      <c r="AN246" s="33">
        <v>1.0605493608963651E-2</v>
      </c>
      <c r="AO246" s="33">
        <v>7.3250857172751872E-4</v>
      </c>
    </row>
    <row r="247" spans="3:41" ht="14.4" x14ac:dyDescent="0.3">
      <c r="C247" s="24">
        <v>45754</v>
      </c>
      <c r="D247" s="25">
        <v>4579.3</v>
      </c>
      <c r="E247" s="26">
        <v>4.2009999999999996</v>
      </c>
      <c r="F247" s="27">
        <v>37965.599999999999</v>
      </c>
      <c r="G247" s="27">
        <v>2985.6</v>
      </c>
      <c r="H247" s="28">
        <v>29.51</v>
      </c>
      <c r="I247" s="28">
        <v>504.38</v>
      </c>
      <c r="J247" s="27">
        <v>79162.5</v>
      </c>
      <c r="K247" s="27"/>
      <c r="L247" s="31">
        <f t="shared" si="34"/>
        <v>-2.7078374424038598E-2</v>
      </c>
      <c r="M247" s="31">
        <f t="shared" si="34"/>
        <v>2.0947393477743326E-2</v>
      </c>
      <c r="N247" s="31">
        <f t="shared" si="34"/>
        <v>-8.4289462039320862E-3</v>
      </c>
      <c r="O247" s="31">
        <f t="shared" si="34"/>
        <v>5.6605037513397516E-3</v>
      </c>
      <c r="P247" s="31">
        <f t="shared" si="43"/>
        <v>2.7109454422229451E-3</v>
      </c>
      <c r="Q247" s="31">
        <f t="shared" si="35"/>
        <v>-1.5662793925215079E-2</v>
      </c>
      <c r="R247" s="31">
        <f t="shared" si="35"/>
        <v>-3.6001894836570347E-2</v>
      </c>
      <c r="T247" s="7">
        <f t="shared" si="36"/>
        <v>-2.6921743768105275E-2</v>
      </c>
      <c r="U247" s="7">
        <f t="shared" si="37"/>
        <v>2.0836838874736859E-2</v>
      </c>
      <c r="V247" s="7">
        <f t="shared" si="38"/>
        <v>-8.7564302245972097E-3</v>
      </c>
      <c r="W247" s="7">
        <f t="shared" si="39"/>
        <v>3.8431720146307E-3</v>
      </c>
      <c r="X247" s="7">
        <f t="shared" si="40"/>
        <v>-1.0389662897304359E-3</v>
      </c>
      <c r="Y247" s="7">
        <f t="shared" si="41"/>
        <v>-1.6222724080874096E-2</v>
      </c>
      <c r="Z247" s="7">
        <f t="shared" si="42"/>
        <v>-3.552224549436888E-2</v>
      </c>
      <c r="AM247" s="2">
        <v>244</v>
      </c>
      <c r="AN247" s="33">
        <v>1.4000793999595484E-2</v>
      </c>
      <c r="AO247" s="33">
        <v>9.54278956037543E-4</v>
      </c>
    </row>
    <row r="248" spans="3:41" ht="14.4" x14ac:dyDescent="0.3">
      <c r="C248" s="24">
        <v>45751</v>
      </c>
      <c r="D248" s="25">
        <v>4709.2</v>
      </c>
      <c r="E248" s="26">
        <v>3.9990000000000001</v>
      </c>
      <c r="F248" s="27">
        <v>38314.86</v>
      </c>
      <c r="G248" s="27">
        <v>3047.9</v>
      </c>
      <c r="H248" s="28">
        <v>29.12</v>
      </c>
      <c r="I248" s="28">
        <v>505.28</v>
      </c>
      <c r="J248" s="27">
        <v>83866.7</v>
      </c>
      <c r="K248" s="27"/>
      <c r="L248" s="31">
        <f t="shared" si="34"/>
        <v>-2.7584303066338189E-2</v>
      </c>
      <c r="M248" s="31">
        <f t="shared" si="34"/>
        <v>5.0512628157039163E-2</v>
      </c>
      <c r="N248" s="31">
        <f t="shared" si="34"/>
        <v>-9.1155233243708222E-3</v>
      </c>
      <c r="O248" s="31">
        <f t="shared" si="34"/>
        <v>-2.0440303159552586E-2</v>
      </c>
      <c r="P248" s="31">
        <f t="shared" si="43"/>
        <v>1.3392857142857206E-2</v>
      </c>
      <c r="Q248" s="31">
        <f t="shared" si="35"/>
        <v>-1.7811906269790123E-3</v>
      </c>
      <c r="R248" s="31">
        <f t="shared" si="35"/>
        <v>-5.6091392650479799E-2</v>
      </c>
      <c r="T248" s="7">
        <f t="shared" si="36"/>
        <v>-2.7427672410404867E-2</v>
      </c>
      <c r="U248" s="7">
        <f t="shared" si="37"/>
        <v>5.0402073554032693E-2</v>
      </c>
      <c r="V248" s="7">
        <f t="shared" si="38"/>
        <v>-9.4430073450359458E-3</v>
      </c>
      <c r="W248" s="7">
        <f t="shared" si="39"/>
        <v>-2.2257634896261636E-2</v>
      </c>
      <c r="X248" s="7">
        <f t="shared" si="40"/>
        <v>9.6429454109038248E-3</v>
      </c>
      <c r="Y248" s="7">
        <f t="shared" si="41"/>
        <v>-2.3411207826380277E-3</v>
      </c>
      <c r="Z248" s="7">
        <f t="shared" si="42"/>
        <v>-5.5611743308278332E-2</v>
      </c>
      <c r="AM248" s="2">
        <v>245</v>
      </c>
      <c r="AN248" s="33">
        <v>1.184761592136086E-2</v>
      </c>
      <c r="AO248" s="33">
        <v>7.0649642814850334E-4</v>
      </c>
    </row>
    <row r="249" spans="3:41" ht="14.4" x14ac:dyDescent="0.3">
      <c r="C249" s="24">
        <v>45750</v>
      </c>
      <c r="D249" s="25">
        <v>4935.3999999999996</v>
      </c>
      <c r="E249" s="26">
        <v>4.0359999999999996</v>
      </c>
      <c r="F249" s="27">
        <v>40545.93</v>
      </c>
      <c r="G249" s="27">
        <v>3134.8</v>
      </c>
      <c r="H249" s="28">
        <v>31.84</v>
      </c>
      <c r="I249" s="28">
        <v>536.70000000000005</v>
      </c>
      <c r="J249" s="27">
        <v>83159.399999999994</v>
      </c>
      <c r="K249" s="27"/>
      <c r="L249" s="31">
        <f t="shared" si="34"/>
        <v>-4.5832151396036802E-2</v>
      </c>
      <c r="M249" s="31">
        <f t="shared" si="34"/>
        <v>-9.1674925668977503E-3</v>
      </c>
      <c r="N249" s="31">
        <f t="shared" si="34"/>
        <v>-5.5025744877476024E-2</v>
      </c>
      <c r="O249" s="31">
        <f t="shared" si="34"/>
        <v>-2.7721066734719968E-2</v>
      </c>
      <c r="P249" s="31">
        <f t="shared" si="43"/>
        <v>-8.5427135678391886E-2</v>
      </c>
      <c r="Q249" s="31">
        <f t="shared" si="35"/>
        <v>-5.8542947643003718E-2</v>
      </c>
      <c r="R249" s="31">
        <f t="shared" si="35"/>
        <v>8.5053523714697654E-3</v>
      </c>
      <c r="T249" s="7">
        <f t="shared" si="36"/>
        <v>-4.5675520740103483E-2</v>
      </c>
      <c r="U249" s="7">
        <f t="shared" si="37"/>
        <v>-9.2780471699042168E-3</v>
      </c>
      <c r="V249" s="7">
        <f t="shared" si="38"/>
        <v>-5.5353228898141149E-2</v>
      </c>
      <c r="W249" s="7">
        <f t="shared" si="39"/>
        <v>-2.9538398471429018E-2</v>
      </c>
      <c r="X249" s="7">
        <f t="shared" si="40"/>
        <v>-8.9177047410345267E-2</v>
      </c>
      <c r="Y249" s="7">
        <f t="shared" si="41"/>
        <v>-5.9102877798662731E-2</v>
      </c>
      <c r="Z249" s="7">
        <f t="shared" si="42"/>
        <v>8.9850017136712326E-3</v>
      </c>
      <c r="AM249" s="2">
        <v>246</v>
      </c>
      <c r="AN249" s="33">
        <v>1.3446471512733729E-2</v>
      </c>
      <c r="AO249" s="33">
        <v>1.2395268490196865E-3</v>
      </c>
    </row>
    <row r="250" spans="3:41" ht="14.4" x14ac:dyDescent="0.3">
      <c r="C250" s="24">
        <v>45749</v>
      </c>
      <c r="D250" s="25">
        <v>5126.3</v>
      </c>
      <c r="E250" s="26">
        <v>4.125</v>
      </c>
      <c r="F250" s="27">
        <v>42225.32</v>
      </c>
      <c r="G250" s="27">
        <v>3179.1</v>
      </c>
      <c r="H250" s="28">
        <v>34.5</v>
      </c>
      <c r="I250" s="28">
        <v>564.52</v>
      </c>
      <c r="J250" s="27">
        <v>82525</v>
      </c>
      <c r="K250" s="27"/>
      <c r="L250" s="31">
        <f t="shared" si="34"/>
        <v>-3.7239334412734415E-2</v>
      </c>
      <c r="M250" s="31">
        <f t="shared" si="34"/>
        <v>-2.1575757575757692E-2</v>
      </c>
      <c r="N250" s="31">
        <f t="shared" si="34"/>
        <v>-3.9772108299001574E-2</v>
      </c>
      <c r="O250" s="31">
        <f t="shared" si="34"/>
        <v>-1.3934761410462015E-2</v>
      </c>
      <c r="P250" s="31">
        <f t="shared" si="43"/>
        <v>-7.7101449275362333E-2</v>
      </c>
      <c r="Q250" s="31">
        <f t="shared" si="35"/>
        <v>-4.9280804931623234E-2</v>
      </c>
      <c r="R250" s="31">
        <f t="shared" si="35"/>
        <v>7.6873674644046819E-3</v>
      </c>
      <c r="T250" s="7">
        <f t="shared" si="36"/>
        <v>-3.7082703756801096E-2</v>
      </c>
      <c r="U250" s="7">
        <f t="shared" si="37"/>
        <v>-2.1686312178764159E-2</v>
      </c>
      <c r="V250" s="7">
        <f t="shared" si="38"/>
        <v>-4.0099592319666699E-2</v>
      </c>
      <c r="W250" s="7">
        <f t="shared" si="39"/>
        <v>-1.5752093147171065E-2</v>
      </c>
      <c r="X250" s="7">
        <f t="shared" si="40"/>
        <v>-8.0851361007315714E-2</v>
      </c>
      <c r="Y250" s="7">
        <f t="shared" si="41"/>
        <v>-4.9840735087282248E-2</v>
      </c>
      <c r="Z250" s="7">
        <f t="shared" si="42"/>
        <v>8.1670168066061491E-3</v>
      </c>
      <c r="AM250" s="2">
        <v>247</v>
      </c>
      <c r="AN250" s="33">
        <v>9.9118737412839299E-3</v>
      </c>
      <c r="AO250" s="33">
        <v>7.2501501703029663E-4</v>
      </c>
    </row>
    <row r="251" spans="3:41" ht="14.4" x14ac:dyDescent="0.3">
      <c r="C251" s="24">
        <v>45748</v>
      </c>
      <c r="D251" s="25">
        <v>5097.3</v>
      </c>
      <c r="E251" s="26">
        <v>4.16</v>
      </c>
      <c r="F251" s="27">
        <v>41989.96</v>
      </c>
      <c r="G251" s="27">
        <v>3158.4</v>
      </c>
      <c r="H251" s="28">
        <v>34.159999999999997</v>
      </c>
      <c r="I251" s="28">
        <v>560.97</v>
      </c>
      <c r="J251" s="27">
        <v>85164.2</v>
      </c>
      <c r="K251" s="27"/>
      <c r="L251" s="31">
        <f t="shared" si="34"/>
        <v>5.6892864850017766E-3</v>
      </c>
      <c r="M251" s="31">
        <f t="shared" si="34"/>
        <v>-8.4134615384615641E-3</v>
      </c>
      <c r="N251" s="31">
        <f t="shared" si="34"/>
        <v>5.6051494214330866E-3</v>
      </c>
      <c r="O251" s="31">
        <f t="shared" si="34"/>
        <v>6.5539513677810302E-3</v>
      </c>
      <c r="P251" s="31">
        <f t="shared" si="43"/>
        <v>9.9531615925059214E-3</v>
      </c>
      <c r="Q251" s="31">
        <f t="shared" si="35"/>
        <v>6.328324152806708E-3</v>
      </c>
      <c r="R251" s="31">
        <f t="shared" si="35"/>
        <v>-3.0989547251074945E-2</v>
      </c>
      <c r="T251" s="7">
        <f t="shared" si="36"/>
        <v>5.8459171409350986E-3</v>
      </c>
      <c r="U251" s="7">
        <f t="shared" si="37"/>
        <v>-8.5240161414680306E-3</v>
      </c>
      <c r="V251" s="7">
        <f t="shared" si="38"/>
        <v>5.2776654007679639E-3</v>
      </c>
      <c r="W251" s="7">
        <f t="shared" si="39"/>
        <v>4.7366196310719786E-3</v>
      </c>
      <c r="X251" s="7">
        <f t="shared" si="40"/>
        <v>6.2032498605525399E-3</v>
      </c>
      <c r="Y251" s="7">
        <f t="shared" si="41"/>
        <v>5.7683939971476927E-3</v>
      </c>
      <c r="Z251" s="7">
        <f t="shared" si="42"/>
        <v>-3.0509897908873478E-2</v>
      </c>
      <c r="AM251" s="2">
        <v>248</v>
      </c>
      <c r="AN251" s="33">
        <v>1.0418752821810625E-2</v>
      </c>
      <c r="AO251" s="33">
        <v>3.5988657259418741E-4</v>
      </c>
    </row>
    <row r="252" spans="3:41" ht="14.4" x14ac:dyDescent="0.3">
      <c r="C252" s="24">
        <v>45747</v>
      </c>
      <c r="D252" s="25">
        <v>5097.5</v>
      </c>
      <c r="E252" s="26">
        <v>4.21</v>
      </c>
      <c r="F252" s="27">
        <v>42001.760000000002</v>
      </c>
      <c r="G252" s="27">
        <v>3162.5</v>
      </c>
      <c r="H252" s="28">
        <v>34.46</v>
      </c>
      <c r="I252" s="28">
        <v>559.39</v>
      </c>
      <c r="J252" s="27">
        <v>82548.800000000003</v>
      </c>
      <c r="K252" s="27"/>
      <c r="L252" s="31">
        <f t="shared" si="34"/>
        <v>-3.9234919077979491E-5</v>
      </c>
      <c r="M252" s="31">
        <f t="shared" si="34"/>
        <v>-1.187648456057E-2</v>
      </c>
      <c r="N252" s="31">
        <f t="shared" si="34"/>
        <v>-2.809406082031618E-4</v>
      </c>
      <c r="O252" s="31">
        <f t="shared" si="34"/>
        <v>-1.2964426877469792E-3</v>
      </c>
      <c r="P252" s="31">
        <f t="shared" si="43"/>
        <v>-8.7057457922229409E-3</v>
      </c>
      <c r="Q252" s="31">
        <f t="shared" si="35"/>
        <v>2.8245052646633795E-3</v>
      </c>
      <c r="R252" s="31">
        <f t="shared" si="35"/>
        <v>3.1683077161630324E-2</v>
      </c>
      <c r="T252" s="7">
        <f t="shared" si="36"/>
        <v>1.1739573685534276E-4</v>
      </c>
      <c r="U252" s="7">
        <f t="shared" si="37"/>
        <v>-1.1987039163576466E-2</v>
      </c>
      <c r="V252" s="7">
        <f t="shared" si="38"/>
        <v>-6.0842462886828469E-4</v>
      </c>
      <c r="W252" s="7">
        <f t="shared" si="39"/>
        <v>-3.1137744244560308E-3</v>
      </c>
      <c r="X252" s="7">
        <f t="shared" si="40"/>
        <v>-1.2455657524176322E-2</v>
      </c>
      <c r="Y252" s="7">
        <f t="shared" si="41"/>
        <v>2.2645751090043641E-3</v>
      </c>
      <c r="Z252" s="7">
        <f t="shared" si="42"/>
        <v>3.2162726503831791E-2</v>
      </c>
      <c r="AM252" s="2">
        <v>249</v>
      </c>
      <c r="AN252" s="33">
        <v>1.2018287469233013E-2</v>
      </c>
      <c r="AO252" s="33">
        <v>1.0189925085592468E-3</v>
      </c>
    </row>
    <row r="253" spans="3:41" ht="14.4" x14ac:dyDescent="0.3">
      <c r="C253" s="24">
        <v>45744</v>
      </c>
      <c r="D253" s="25">
        <v>5077.6000000000004</v>
      </c>
      <c r="E253" s="26">
        <v>4.2510000000000003</v>
      </c>
      <c r="F253" s="27">
        <v>41583.9</v>
      </c>
      <c r="G253" s="27">
        <v>3126.8</v>
      </c>
      <c r="H253" s="28">
        <v>34.64</v>
      </c>
      <c r="I253" s="28">
        <v>555.66</v>
      </c>
      <c r="J253" s="27">
        <v>84410.4</v>
      </c>
      <c r="K253" s="27"/>
      <c r="L253" s="31">
        <f t="shared" si="34"/>
        <v>3.9191744131084061E-3</v>
      </c>
      <c r="M253" s="31">
        <f t="shared" si="34"/>
        <v>-9.6447894613033158E-3</v>
      </c>
      <c r="N253" s="31">
        <f t="shared" si="34"/>
        <v>1.0048600540112806E-2</v>
      </c>
      <c r="O253" s="31">
        <f t="shared" si="34"/>
        <v>1.1417423564026974E-2</v>
      </c>
      <c r="P253" s="31">
        <f t="shared" si="43"/>
        <v>-5.1963048498845366E-3</v>
      </c>
      <c r="Q253" s="31">
        <f t="shared" si="35"/>
        <v>6.712738005254959E-3</v>
      </c>
      <c r="R253" s="31">
        <f t="shared" si="35"/>
        <v>-2.205415446437875E-2</v>
      </c>
      <c r="T253" s="7">
        <f t="shared" si="36"/>
        <v>4.0758050690417281E-3</v>
      </c>
      <c r="U253" s="7">
        <f t="shared" si="37"/>
        <v>-9.7553440643097823E-3</v>
      </c>
      <c r="V253" s="7">
        <f t="shared" si="38"/>
        <v>9.7211165194476829E-3</v>
      </c>
      <c r="W253" s="7">
        <f t="shared" si="39"/>
        <v>9.6000918273179223E-3</v>
      </c>
      <c r="X253" s="7">
        <f t="shared" si="40"/>
        <v>-8.946216581837918E-3</v>
      </c>
      <c r="Y253" s="7">
        <f t="shared" si="41"/>
        <v>6.1528078495959437E-3</v>
      </c>
      <c r="Z253" s="7">
        <f t="shared" si="42"/>
        <v>-2.1574505122177283E-2</v>
      </c>
      <c r="AM253" s="2">
        <v>250</v>
      </c>
      <c r="AN253" s="33">
        <v>1.1792430433853751E-2</v>
      </c>
      <c r="AO253" s="33">
        <v>9.7272074952562478E-4</v>
      </c>
    </row>
    <row r="254" spans="3:41" ht="14.4" x14ac:dyDescent="0.3">
      <c r="C254" s="24">
        <v>45743</v>
      </c>
      <c r="D254" s="25">
        <v>5101.8</v>
      </c>
      <c r="E254" s="26">
        <v>4.3600000000000003</v>
      </c>
      <c r="F254" s="27">
        <v>42299.7</v>
      </c>
      <c r="G254" s="27">
        <v>3090.9</v>
      </c>
      <c r="H254" s="28">
        <v>34.9</v>
      </c>
      <c r="I254" s="28">
        <v>567.08000000000004</v>
      </c>
      <c r="J254" s="27">
        <v>87228.2</v>
      </c>
      <c r="K254" s="27"/>
      <c r="L254" s="31">
        <f t="shared" si="34"/>
        <v>-4.7434238896075787E-3</v>
      </c>
      <c r="M254" s="31">
        <f t="shared" si="34"/>
        <v>-2.5000000000000022E-2</v>
      </c>
      <c r="N254" s="31">
        <f t="shared" si="34"/>
        <v>-1.6922105830537659E-2</v>
      </c>
      <c r="O254" s="31">
        <f t="shared" si="34"/>
        <v>1.1614740043353056E-2</v>
      </c>
      <c r="P254" s="31">
        <f t="shared" si="43"/>
        <v>-7.4498567335242738E-3</v>
      </c>
      <c r="Q254" s="31">
        <f t="shared" si="35"/>
        <v>-2.0138252098469533E-2</v>
      </c>
      <c r="R254" s="31">
        <f t="shared" si="35"/>
        <v>-3.2303773321013196E-2</v>
      </c>
      <c r="T254" s="7">
        <f t="shared" si="36"/>
        <v>-4.5867932336742566E-3</v>
      </c>
      <c r="U254" s="7">
        <f t="shared" si="37"/>
        <v>-2.5110554603006489E-2</v>
      </c>
      <c r="V254" s="7">
        <f t="shared" si="38"/>
        <v>-1.7249589851202781E-2</v>
      </c>
      <c r="W254" s="7">
        <f t="shared" si="39"/>
        <v>9.7974083066440041E-3</v>
      </c>
      <c r="X254" s="7">
        <f t="shared" si="40"/>
        <v>-1.1199768465477655E-2</v>
      </c>
      <c r="Y254" s="7">
        <f t="shared" si="41"/>
        <v>-2.0698182254128551E-2</v>
      </c>
      <c r="Z254" s="7">
        <f t="shared" si="42"/>
        <v>-3.1824123978811729E-2</v>
      </c>
      <c r="AM254" s="2">
        <v>251</v>
      </c>
      <c r="AN254" s="33">
        <v>1.1539631219946082E-2</v>
      </c>
      <c r="AO254" s="33">
        <v>1.1030583933020698E-3</v>
      </c>
    </row>
    <row r="255" spans="3:41" ht="14.4" x14ac:dyDescent="0.3">
      <c r="C255" s="24">
        <v>45742</v>
      </c>
      <c r="D255" s="25">
        <v>5117.5</v>
      </c>
      <c r="E255" s="26">
        <v>4.3529999999999998</v>
      </c>
      <c r="F255" s="27">
        <v>42454.79</v>
      </c>
      <c r="G255" s="27">
        <v>3052.3</v>
      </c>
      <c r="H255" s="28">
        <v>34.03</v>
      </c>
      <c r="I255" s="28">
        <v>568.59</v>
      </c>
      <c r="J255" s="27">
        <v>86912</v>
      </c>
      <c r="K255" s="27"/>
      <c r="L255" s="31">
        <f t="shared" si="34"/>
        <v>-3.0679042501220444E-3</v>
      </c>
      <c r="M255" s="31">
        <f t="shared" si="34"/>
        <v>1.6080863772112153E-3</v>
      </c>
      <c r="N255" s="31">
        <f t="shared" si="34"/>
        <v>-3.653062469511803E-3</v>
      </c>
      <c r="O255" s="31">
        <f t="shared" si="34"/>
        <v>1.2646201225305465E-2</v>
      </c>
      <c r="P255" s="31">
        <f t="shared" si="43"/>
        <v>2.5565677343520443E-2</v>
      </c>
      <c r="Q255" s="31">
        <f t="shared" si="35"/>
        <v>-2.6556921507588926E-3</v>
      </c>
      <c r="R255" s="31">
        <f t="shared" si="35"/>
        <v>3.6381627393224925E-3</v>
      </c>
      <c r="T255" s="7">
        <f t="shared" si="36"/>
        <v>-2.9112735941887223E-3</v>
      </c>
      <c r="U255" s="7">
        <f t="shared" si="37"/>
        <v>1.4975317742047483E-3</v>
      </c>
      <c r="V255" s="7">
        <f t="shared" si="38"/>
        <v>-3.9805464901769257E-3</v>
      </c>
      <c r="W255" s="7">
        <f t="shared" si="39"/>
        <v>1.0828869488596413E-2</v>
      </c>
      <c r="X255" s="7">
        <f t="shared" si="40"/>
        <v>2.1815765611567062E-2</v>
      </c>
      <c r="Y255" s="7">
        <f t="shared" si="41"/>
        <v>-3.215622306417908E-3</v>
      </c>
      <c r="Z255" s="7">
        <f t="shared" si="42"/>
        <v>4.1178120815239597E-3</v>
      </c>
      <c r="AM255" s="2">
        <v>252</v>
      </c>
      <c r="AN255" s="33">
        <v>1.0460898934490873E-2</v>
      </c>
      <c r="AO255" s="33">
        <v>8.2288101640509443E-4</v>
      </c>
    </row>
    <row r="256" spans="3:41" ht="14.4" x14ac:dyDescent="0.3">
      <c r="C256" s="24">
        <v>45741</v>
      </c>
      <c r="D256" s="25">
        <v>5103.3</v>
      </c>
      <c r="E256" s="26">
        <v>4.3159999999999998</v>
      </c>
      <c r="F256" s="27">
        <v>42587.5</v>
      </c>
      <c r="G256" s="27">
        <v>3054.3</v>
      </c>
      <c r="H256" s="28">
        <v>34</v>
      </c>
      <c r="I256" s="28">
        <v>575.46</v>
      </c>
      <c r="J256" s="27">
        <v>87404</v>
      </c>
      <c r="K256" s="27"/>
      <c r="L256" s="31">
        <f t="shared" si="34"/>
        <v>2.7825132757235416E-3</v>
      </c>
      <c r="M256" s="31">
        <f t="shared" si="34"/>
        <v>8.5727525486560818E-3</v>
      </c>
      <c r="N256" s="31">
        <f t="shared" si="34"/>
        <v>-3.1161725858526168E-3</v>
      </c>
      <c r="O256" s="31">
        <f t="shared" si="34"/>
        <v>-6.5481452378612914E-4</v>
      </c>
      <c r="P256" s="31">
        <f t="shared" si="43"/>
        <v>8.8235294117655627E-4</v>
      </c>
      <c r="Q256" s="31">
        <f t="shared" si="35"/>
        <v>-1.1938275466583215E-2</v>
      </c>
      <c r="R256" s="31">
        <f t="shared" si="35"/>
        <v>-5.629032996201544E-3</v>
      </c>
      <c r="T256" s="7">
        <f t="shared" si="36"/>
        <v>2.9391439316568636E-3</v>
      </c>
      <c r="U256" s="7">
        <f t="shared" si="37"/>
        <v>8.4621979456496153E-3</v>
      </c>
      <c r="V256" s="7">
        <f t="shared" si="38"/>
        <v>-3.4436566065177395E-3</v>
      </c>
      <c r="W256" s="7">
        <f t="shared" si="39"/>
        <v>-2.4721462604951807E-3</v>
      </c>
      <c r="X256" s="7">
        <f t="shared" si="40"/>
        <v>-2.8675587907768248E-3</v>
      </c>
      <c r="Y256" s="7">
        <f t="shared" si="41"/>
        <v>-1.249820562224223E-2</v>
      </c>
      <c r="Z256" s="7">
        <f t="shared" si="42"/>
        <v>-5.1493836540000767E-3</v>
      </c>
      <c r="AM256" s="2">
        <v>253</v>
      </c>
      <c r="AN256" s="33">
        <v>2.016500732598555E-2</v>
      </c>
      <c r="AO256" s="33">
        <v>1.8722047284303819E-3</v>
      </c>
    </row>
    <row r="257" spans="3:41" ht="14.4" x14ac:dyDescent="0.3">
      <c r="C257" s="24">
        <v>45740</v>
      </c>
      <c r="D257" s="25">
        <v>5161.3999999999996</v>
      </c>
      <c r="E257" s="26">
        <v>4.3380000000000001</v>
      </c>
      <c r="F257" s="27">
        <v>42583.32</v>
      </c>
      <c r="G257" s="27">
        <v>3044</v>
      </c>
      <c r="H257" s="28">
        <v>33.26</v>
      </c>
      <c r="I257" s="28">
        <v>574.08000000000004</v>
      </c>
      <c r="J257" s="27">
        <v>87490</v>
      </c>
      <c r="K257" s="27"/>
      <c r="L257" s="31">
        <f t="shared" si="34"/>
        <v>-1.1256635796489167E-2</v>
      </c>
      <c r="M257" s="31">
        <f t="shared" si="34"/>
        <v>-5.0714615029968657E-3</v>
      </c>
      <c r="N257" s="31">
        <f t="shared" si="34"/>
        <v>9.8160500402455497E-5</v>
      </c>
      <c r="O257" s="31">
        <f t="shared" si="34"/>
        <v>3.3837056504599783E-3</v>
      </c>
      <c r="P257" s="31">
        <f t="shared" si="43"/>
        <v>2.2248947684906817E-2</v>
      </c>
      <c r="Q257" s="31">
        <f t="shared" si="35"/>
        <v>2.4038461538462563E-3</v>
      </c>
      <c r="R257" s="31">
        <f t="shared" si="35"/>
        <v>-9.8296948222653668E-4</v>
      </c>
      <c r="T257" s="7">
        <f t="shared" si="36"/>
        <v>-1.1100005140555844E-2</v>
      </c>
      <c r="U257" s="7">
        <f t="shared" si="37"/>
        <v>-5.1820161060033331E-3</v>
      </c>
      <c r="V257" s="7">
        <f t="shared" si="38"/>
        <v>-2.2932352026266734E-4</v>
      </c>
      <c r="W257" s="7">
        <f t="shared" si="39"/>
        <v>1.5663739137509269E-3</v>
      </c>
      <c r="X257" s="7">
        <f t="shared" si="40"/>
        <v>1.8499035952953435E-2</v>
      </c>
      <c r="Y257" s="7">
        <f t="shared" si="41"/>
        <v>1.843915998187241E-3</v>
      </c>
      <c r="Z257" s="7">
        <f t="shared" si="42"/>
        <v>-5.0332014002506969E-4</v>
      </c>
      <c r="AM257" s="2">
        <v>254</v>
      </c>
      <c r="AN257" s="33">
        <v>1.2229891289981351E-2</v>
      </c>
      <c r="AO257" s="33">
        <v>1.1336814923650635E-3</v>
      </c>
    </row>
    <row r="258" spans="3:41" x14ac:dyDescent="0.25">
      <c r="E258" s="6"/>
      <c r="M258" s="7"/>
      <c r="AM258" s="2">
        <v>255</v>
      </c>
      <c r="AN258" s="33">
        <v>1.264378662476536E-2</v>
      </c>
      <c r="AO258" s="33">
        <v>2.4693316369632306E-4</v>
      </c>
    </row>
    <row r="259" spans="3:41" x14ac:dyDescent="0.25">
      <c r="AM259" s="2">
        <v>256</v>
      </c>
      <c r="AN259" s="33">
        <v>9.0981402835137084E-3</v>
      </c>
      <c r="AO259" s="33">
        <v>5.556370430558526E-4</v>
      </c>
    </row>
    <row r="260" spans="3:41" x14ac:dyDescent="0.25">
      <c r="AM260" s="2">
        <v>257</v>
      </c>
      <c r="AN260" s="33">
        <v>9.6204704739329631E-3</v>
      </c>
      <c r="AO260" s="33">
        <v>5.3373584209029064E-4</v>
      </c>
    </row>
    <row r="261" spans="3:41" x14ac:dyDescent="0.25">
      <c r="AM261" s="2">
        <v>258</v>
      </c>
      <c r="AN261" s="33">
        <v>9.8645694806211177E-3</v>
      </c>
      <c r="AO261" s="33">
        <v>6.8180076735075573E-4</v>
      </c>
    </row>
    <row r="262" spans="3:41" x14ac:dyDescent="0.25">
      <c r="AM262" s="2">
        <v>259</v>
      </c>
      <c r="AN262" s="33">
        <v>1.3886861849509177E-2</v>
      </c>
      <c r="AO262" s="33">
        <v>1.2332255620811426E-3</v>
      </c>
    </row>
    <row r="263" spans="3:41" x14ac:dyDescent="0.25">
      <c r="AM263" s="2">
        <v>260</v>
      </c>
      <c r="AN263" s="33">
        <v>1.2284929469573767E-2</v>
      </c>
      <c r="AO263" s="33">
        <v>7.3153693191725037E-4</v>
      </c>
    </row>
    <row r="264" spans="3:41" x14ac:dyDescent="0.25">
      <c r="AM264" s="2">
        <v>261</v>
      </c>
      <c r="AN264" s="33">
        <v>8.8305522486246801E-3</v>
      </c>
      <c r="AO264" s="33">
        <v>4.6708253084439937E-4</v>
      </c>
    </row>
    <row r="265" spans="3:41" x14ac:dyDescent="0.25">
      <c r="AM265" s="2">
        <v>262</v>
      </c>
      <c r="AN265" s="33">
        <v>1.2070504625973422E-2</v>
      </c>
      <c r="AO265" s="33">
        <v>1.2318578935181469E-3</v>
      </c>
    </row>
    <row r="266" spans="3:41" x14ac:dyDescent="0.25">
      <c r="AM266" s="2">
        <v>263</v>
      </c>
      <c r="AN266" s="33">
        <v>1.5087283662672778E-2</v>
      </c>
      <c r="AO266" s="33">
        <v>1.4298158346212483E-3</v>
      </c>
    </row>
    <row r="267" spans="3:41" x14ac:dyDescent="0.25">
      <c r="AM267" s="2">
        <v>264</v>
      </c>
      <c r="AN267" s="33">
        <v>1.2145548410230883E-2</v>
      </c>
      <c r="AO267" s="33">
        <v>7.7626520100520949E-4</v>
      </c>
    </row>
    <row r="268" spans="3:41" x14ac:dyDescent="0.25">
      <c r="AM268" s="2">
        <v>265</v>
      </c>
      <c r="AN268" s="33">
        <v>9.0442589958522075E-3</v>
      </c>
      <c r="AO268" s="33">
        <v>5.3413743182573637E-4</v>
      </c>
    </row>
    <row r="269" spans="3:41" x14ac:dyDescent="0.25">
      <c r="AM269" s="2">
        <v>266</v>
      </c>
      <c r="AN269" s="33">
        <v>1.519449573454416E-2</v>
      </c>
      <c r="AO269" s="33">
        <v>1.0543041533012979E-3</v>
      </c>
    </row>
    <row r="270" spans="3:41" x14ac:dyDescent="0.25">
      <c r="AM270" s="2">
        <v>267</v>
      </c>
      <c r="AN270" s="33">
        <v>8.8395987787281329E-3</v>
      </c>
      <c r="AO270" s="33">
        <v>5.226000017704846E-4</v>
      </c>
    </row>
    <row r="271" spans="3:41" x14ac:dyDescent="0.25">
      <c r="AM271" s="2">
        <v>268</v>
      </c>
      <c r="AN271" s="33">
        <v>1.113520000509916E-2</v>
      </c>
      <c r="AO271" s="33">
        <v>5.319530151920522E-4</v>
      </c>
    </row>
    <row r="272" spans="3:41" x14ac:dyDescent="0.25">
      <c r="AM272" s="2">
        <v>269</v>
      </c>
      <c r="AN272" s="33">
        <v>1.3423742106135086E-2</v>
      </c>
      <c r="AO272" s="33">
        <v>7.317168386898902E-4</v>
      </c>
    </row>
    <row r="273" spans="39:41" x14ac:dyDescent="0.25">
      <c r="AM273" s="2">
        <v>270</v>
      </c>
      <c r="AN273" s="33">
        <v>1.6313534660436883E-2</v>
      </c>
      <c r="AO273" s="33">
        <v>1.577436505028009E-3</v>
      </c>
    </row>
    <row r="274" spans="39:41" x14ac:dyDescent="0.25">
      <c r="AM274" s="2">
        <v>271</v>
      </c>
      <c r="AN274" s="33">
        <v>1.3241394048631784E-2</v>
      </c>
      <c r="AO274" s="33">
        <v>1.1310180075320695E-3</v>
      </c>
    </row>
    <row r="275" spans="39:41" x14ac:dyDescent="0.25">
      <c r="AM275" s="2">
        <v>272</v>
      </c>
      <c r="AN275" s="33">
        <v>1.3544001746108453E-2</v>
      </c>
      <c r="AO275" s="33">
        <v>7.6623904277681057E-4</v>
      </c>
    </row>
    <row r="276" spans="39:41" x14ac:dyDescent="0.25">
      <c r="AM276" s="2">
        <v>273</v>
      </c>
      <c r="AN276" s="33">
        <v>1.0905716341932676E-2</v>
      </c>
      <c r="AO276" s="33">
        <v>6.171825986596804E-4</v>
      </c>
    </row>
    <row r="277" spans="39:41" x14ac:dyDescent="0.25">
      <c r="AM277" s="2">
        <v>274</v>
      </c>
      <c r="AN277" s="33">
        <v>1.3244154061327498E-2</v>
      </c>
      <c r="AO277" s="33">
        <v>7.6669531906209962E-4</v>
      </c>
    </row>
    <row r="278" spans="39:41" x14ac:dyDescent="0.25">
      <c r="AM278" s="2">
        <v>275</v>
      </c>
      <c r="AN278" s="33">
        <v>8.7318208811519547E-3</v>
      </c>
      <c r="AO278" s="33">
        <v>3.7020554173115996E-4</v>
      </c>
    </row>
    <row r="279" spans="39:41" x14ac:dyDescent="0.25">
      <c r="AM279" s="2">
        <v>276</v>
      </c>
      <c r="AN279" s="33">
        <v>8.9047801881618552E-3</v>
      </c>
      <c r="AO279" s="33">
        <v>3.433874118237059E-4</v>
      </c>
    </row>
    <row r="280" spans="39:41" x14ac:dyDescent="0.25">
      <c r="AM280" s="2">
        <v>277</v>
      </c>
      <c r="AN280" s="33">
        <v>1.4949641952867441E-2</v>
      </c>
      <c r="AO280" s="33">
        <v>1.0977154433794191E-3</v>
      </c>
    </row>
    <row r="281" spans="39:41" x14ac:dyDescent="0.25">
      <c r="AM281" s="2">
        <v>278</v>
      </c>
      <c r="AN281" s="33">
        <v>1.151539680214788E-2</v>
      </c>
      <c r="AO281" s="33">
        <v>1.0014078321402583E-3</v>
      </c>
    </row>
    <row r="282" spans="39:41" x14ac:dyDescent="0.25">
      <c r="AM282" s="2">
        <v>279</v>
      </c>
      <c r="AN282" s="33">
        <v>9.6760423594341952E-3</v>
      </c>
      <c r="AO282" s="33">
        <v>7.6568476988780573E-4</v>
      </c>
    </row>
    <row r="283" spans="39:41" x14ac:dyDescent="0.25">
      <c r="AM283" s="2">
        <v>280</v>
      </c>
      <c r="AN283" s="33">
        <v>1.1436542974796906E-2</v>
      </c>
      <c r="AO283" s="33">
        <v>7.0295428189345009E-4</v>
      </c>
    </row>
    <row r="284" spans="39:41" x14ac:dyDescent="0.25">
      <c r="AM284" s="2">
        <v>281</v>
      </c>
      <c r="AN284" s="33">
        <v>1.080113774169102E-2</v>
      </c>
      <c r="AO284" s="33">
        <v>1.1654992320796231E-3</v>
      </c>
    </row>
    <row r="285" spans="39:41" x14ac:dyDescent="0.25">
      <c r="AM285" s="2">
        <v>282</v>
      </c>
      <c r="AN285" s="33">
        <v>1.8420599949580386E-2</v>
      </c>
      <c r="AO285" s="33">
        <v>1.8242236935951317E-3</v>
      </c>
    </row>
    <row r="286" spans="39:41" x14ac:dyDescent="0.25">
      <c r="AM286" s="2">
        <v>283</v>
      </c>
      <c r="AN286" s="33">
        <v>1.1957526195409521E-2</v>
      </c>
      <c r="AO286" s="33">
        <v>9.1104469640028126E-4</v>
      </c>
    </row>
    <row r="287" spans="39:41" x14ac:dyDescent="0.25">
      <c r="AM287" s="2">
        <v>284</v>
      </c>
      <c r="AN287" s="33">
        <v>8.557975474162231E-3</v>
      </c>
      <c r="AO287" s="33">
        <v>4.6969667034964669E-4</v>
      </c>
    </row>
    <row r="288" spans="39:41" x14ac:dyDescent="0.25">
      <c r="AM288" s="2">
        <v>285</v>
      </c>
      <c r="AN288" s="33">
        <v>1.263918969405672E-2</v>
      </c>
      <c r="AO288" s="33">
        <v>9.7177108197856225E-4</v>
      </c>
    </row>
    <row r="289" spans="39:41" x14ac:dyDescent="0.25">
      <c r="AM289" s="2">
        <v>286</v>
      </c>
      <c r="AN289" s="33">
        <v>1.5180137129417418E-2</v>
      </c>
      <c r="AO289" s="33">
        <v>1.3498646376793129E-3</v>
      </c>
    </row>
    <row r="290" spans="39:41" x14ac:dyDescent="0.25">
      <c r="AM290" s="2">
        <v>287</v>
      </c>
      <c r="AN290" s="33">
        <v>1.5364227278212473E-2</v>
      </c>
      <c r="AO290" s="33">
        <v>1.476115299143964E-3</v>
      </c>
    </row>
    <row r="291" spans="39:41" x14ac:dyDescent="0.25">
      <c r="AM291" s="2">
        <v>288</v>
      </c>
      <c r="AN291" s="33">
        <v>1.1405926427649423E-2</v>
      </c>
      <c r="AO291" s="33">
        <v>7.446778497483444E-4</v>
      </c>
    </row>
    <row r="292" spans="39:41" x14ac:dyDescent="0.25">
      <c r="AM292" s="2">
        <v>289</v>
      </c>
      <c r="AN292" s="33">
        <v>1.2136058833573866E-2</v>
      </c>
      <c r="AO292" s="33">
        <v>1.1104774788245257E-3</v>
      </c>
    </row>
    <row r="293" spans="39:41" x14ac:dyDescent="0.25">
      <c r="AM293" s="2">
        <v>290</v>
      </c>
      <c r="AN293" s="33">
        <v>1.3151616018151693E-2</v>
      </c>
      <c r="AO293" s="33">
        <v>1.061399661162137E-3</v>
      </c>
    </row>
    <row r="294" spans="39:41" x14ac:dyDescent="0.25">
      <c r="AM294" s="2">
        <v>291</v>
      </c>
      <c r="AN294" s="33">
        <v>9.6778597167859731E-3</v>
      </c>
      <c r="AO294" s="33">
        <v>7.4241116187289454E-4</v>
      </c>
    </row>
    <row r="295" spans="39:41" x14ac:dyDescent="0.25">
      <c r="AM295" s="2">
        <v>292</v>
      </c>
      <c r="AN295" s="33">
        <v>1.0311584994072909E-2</v>
      </c>
      <c r="AO295" s="33">
        <v>6.1958455281378494E-4</v>
      </c>
    </row>
    <row r="296" spans="39:41" x14ac:dyDescent="0.25">
      <c r="AM296" s="2">
        <v>293</v>
      </c>
      <c r="AN296" s="33">
        <v>1.4007909321453998E-2</v>
      </c>
      <c r="AO296" s="33">
        <v>1.0724261890386151E-3</v>
      </c>
    </row>
    <row r="297" spans="39:41" x14ac:dyDescent="0.25">
      <c r="AM297" s="2">
        <v>294</v>
      </c>
      <c r="AN297" s="33">
        <v>9.8034212369536734E-3</v>
      </c>
      <c r="AO297" s="33">
        <v>6.589881790706948E-4</v>
      </c>
    </row>
    <row r="298" spans="39:41" x14ac:dyDescent="0.25">
      <c r="AM298" s="2">
        <v>295</v>
      </c>
      <c r="AN298" s="33">
        <v>1.0643975122168156E-2</v>
      </c>
      <c r="AO298" s="33">
        <v>7.2277710290071201E-4</v>
      </c>
    </row>
    <row r="299" spans="39:41" x14ac:dyDescent="0.25">
      <c r="AM299" s="2">
        <v>296</v>
      </c>
      <c r="AN299" s="33">
        <v>9.7169531795497904E-3</v>
      </c>
      <c r="AO299" s="33">
        <v>6.0736422366139907E-4</v>
      </c>
    </row>
    <row r="300" spans="39:41" x14ac:dyDescent="0.25">
      <c r="AM300" s="2">
        <v>297</v>
      </c>
      <c r="AN300" s="33">
        <v>1.0148447329670922E-2</v>
      </c>
      <c r="AO300" s="33">
        <v>7.8918568479831156E-4</v>
      </c>
    </row>
    <row r="301" spans="39:41" x14ac:dyDescent="0.25">
      <c r="AM301" s="2">
        <v>298</v>
      </c>
      <c r="AN301" s="33">
        <v>1.300394390444113E-2</v>
      </c>
      <c r="AO301" s="33">
        <v>1.1338244017993382E-3</v>
      </c>
    </row>
    <row r="302" spans="39:41" x14ac:dyDescent="0.25">
      <c r="AM302" s="2">
        <v>299</v>
      </c>
      <c r="AN302" s="33">
        <v>1.208421997253405E-2</v>
      </c>
      <c r="AO302" s="33">
        <v>4.4373706520877527E-4</v>
      </c>
    </row>
    <row r="303" spans="39:41" x14ac:dyDescent="0.25">
      <c r="AM303" s="2">
        <v>300</v>
      </c>
      <c r="AN303" s="33">
        <v>1.2077533206328197E-2</v>
      </c>
      <c r="AO303" s="33">
        <v>1.1667466057774865E-3</v>
      </c>
    </row>
    <row r="304" spans="39:41" x14ac:dyDescent="0.25">
      <c r="AM304" s="2">
        <v>301</v>
      </c>
      <c r="AN304" s="33">
        <v>1.2213660018724228E-2</v>
      </c>
      <c r="AO304" s="33">
        <v>8.7363657100269663E-4</v>
      </c>
    </row>
    <row r="305" spans="39:41" x14ac:dyDescent="0.25">
      <c r="AM305" s="2">
        <v>302</v>
      </c>
      <c r="AN305" s="33">
        <v>1.1896646103974274E-2</v>
      </c>
      <c r="AO305" s="33">
        <v>4.9821601537001266E-4</v>
      </c>
    </row>
    <row r="306" spans="39:41" x14ac:dyDescent="0.25">
      <c r="AM306" s="2">
        <v>303</v>
      </c>
      <c r="AN306" s="33">
        <v>1.1605634028061012E-2</v>
      </c>
      <c r="AO306" s="33">
        <v>8.4511756868109965E-4</v>
      </c>
    </row>
    <row r="307" spans="39:41" x14ac:dyDescent="0.25">
      <c r="AM307" s="2">
        <v>304</v>
      </c>
      <c r="AN307" s="33">
        <v>1.1054248898680997E-2</v>
      </c>
      <c r="AO307" s="33">
        <v>6.4402622194999486E-4</v>
      </c>
    </row>
    <row r="308" spans="39:41" x14ac:dyDescent="0.25">
      <c r="AM308" s="2">
        <v>305</v>
      </c>
      <c r="AN308" s="33">
        <v>1.0577427187438763E-2</v>
      </c>
      <c r="AO308" s="33">
        <v>7.7390670979426339E-4</v>
      </c>
    </row>
    <row r="309" spans="39:41" x14ac:dyDescent="0.25">
      <c r="AM309" s="2">
        <v>306</v>
      </c>
      <c r="AN309" s="33">
        <v>8.0879698537410245E-3</v>
      </c>
      <c r="AO309" s="33">
        <v>3.8100511594659387E-4</v>
      </c>
    </row>
    <row r="310" spans="39:41" x14ac:dyDescent="0.25">
      <c r="AM310" s="2">
        <v>307</v>
      </c>
      <c r="AN310" s="33">
        <v>9.158455772668354E-3</v>
      </c>
      <c r="AO310" s="33">
        <v>6.9895407662498761E-4</v>
      </c>
    </row>
    <row r="311" spans="39:41" x14ac:dyDescent="0.25">
      <c r="AM311" s="2">
        <v>308</v>
      </c>
      <c r="AN311" s="33">
        <v>1.1754001355519959E-2</v>
      </c>
      <c r="AO311" s="33">
        <v>7.952177728827891E-4</v>
      </c>
    </row>
    <row r="312" spans="39:41" x14ac:dyDescent="0.25">
      <c r="AM312" s="2">
        <v>309</v>
      </c>
      <c r="AN312" s="33">
        <v>8.8923298874535837E-3</v>
      </c>
      <c r="AO312" s="33">
        <v>5.2117522025679763E-4</v>
      </c>
    </row>
    <row r="313" spans="39:41" x14ac:dyDescent="0.25">
      <c r="AM313" s="2">
        <v>310</v>
      </c>
      <c r="AN313" s="33">
        <v>1.6528120344296602E-2</v>
      </c>
      <c r="AO313" s="33">
        <v>1.1679449754151245E-3</v>
      </c>
    </row>
    <row r="314" spans="39:41" x14ac:dyDescent="0.25">
      <c r="AM314" s="2">
        <v>311</v>
      </c>
      <c r="AN314" s="33">
        <v>1.0306648095274287E-2</v>
      </c>
      <c r="AO314" s="33">
        <v>1.0475467918556335E-3</v>
      </c>
    </row>
    <row r="315" spans="39:41" x14ac:dyDescent="0.25">
      <c r="AM315" s="2">
        <v>312</v>
      </c>
      <c r="AN315" s="33">
        <v>1.2423675706446778E-2</v>
      </c>
      <c r="AO315" s="33">
        <v>9.4454156640075954E-4</v>
      </c>
    </row>
    <row r="316" spans="39:41" x14ac:dyDescent="0.25">
      <c r="AM316" s="2">
        <v>313</v>
      </c>
      <c r="AN316" s="33">
        <v>1.216198303280437E-2</v>
      </c>
      <c r="AO316" s="33">
        <v>6.7412555778266524E-4</v>
      </c>
    </row>
    <row r="317" spans="39:41" x14ac:dyDescent="0.25">
      <c r="AM317" s="2">
        <v>314</v>
      </c>
      <c r="AN317" s="33">
        <v>9.471001869870389E-3</v>
      </c>
      <c r="AO317" s="33">
        <v>2.9329076631157857E-4</v>
      </c>
    </row>
    <row r="318" spans="39:41" x14ac:dyDescent="0.25">
      <c r="AM318" s="2">
        <v>315</v>
      </c>
      <c r="AN318" s="33">
        <v>9.5414988540610569E-3</v>
      </c>
      <c r="AO318" s="33">
        <v>7.3972685695738668E-4</v>
      </c>
    </row>
    <row r="319" spans="39:41" x14ac:dyDescent="0.25">
      <c r="AM319" s="2">
        <v>316</v>
      </c>
      <c r="AN319" s="33">
        <v>1.4242366365295177E-2</v>
      </c>
      <c r="AO319" s="33">
        <v>1.1112716643745498E-3</v>
      </c>
    </row>
    <row r="320" spans="39:41" x14ac:dyDescent="0.25">
      <c r="AM320" s="2">
        <v>317</v>
      </c>
      <c r="AN320" s="33">
        <v>1.0659598899479331E-2</v>
      </c>
      <c r="AO320" s="33">
        <v>7.5209214441401286E-4</v>
      </c>
    </row>
    <row r="321" spans="39:41" x14ac:dyDescent="0.25">
      <c r="AM321" s="2">
        <v>318</v>
      </c>
      <c r="AN321" s="33">
        <v>1.1303979695798943E-2</v>
      </c>
      <c r="AO321" s="33">
        <v>9.0886998272558393E-4</v>
      </c>
    </row>
    <row r="322" spans="39:41" x14ac:dyDescent="0.25">
      <c r="AM322" s="2">
        <v>319</v>
      </c>
      <c r="AN322" s="33">
        <v>1.2968479353240053E-2</v>
      </c>
      <c r="AO322" s="33">
        <v>1.1567648706259871E-3</v>
      </c>
    </row>
    <row r="323" spans="39:41" x14ac:dyDescent="0.25">
      <c r="AM323" s="2">
        <v>320</v>
      </c>
      <c r="AN323" s="33">
        <v>1.3045734420712454E-2</v>
      </c>
      <c r="AO323" s="33">
        <v>5.954317606967172E-4</v>
      </c>
    </row>
    <row r="324" spans="39:41" x14ac:dyDescent="0.25">
      <c r="AM324" s="2">
        <v>321</v>
      </c>
      <c r="AN324" s="33">
        <v>1.1731467868560771E-2</v>
      </c>
      <c r="AO324" s="33">
        <v>4.5257492199674693E-4</v>
      </c>
    </row>
    <row r="325" spans="39:41" x14ac:dyDescent="0.25">
      <c r="AM325" s="2">
        <v>322</v>
      </c>
      <c r="AN325" s="33">
        <v>9.9622091948512164E-3</v>
      </c>
      <c r="AO325" s="33">
        <v>6.1942642262471698E-4</v>
      </c>
    </row>
    <row r="326" spans="39:41" x14ac:dyDescent="0.25">
      <c r="AM326" s="2">
        <v>323</v>
      </c>
      <c r="AN326" s="33">
        <v>1.059315070038973E-2</v>
      </c>
      <c r="AO326" s="33">
        <v>8.0951616431212785E-4</v>
      </c>
    </row>
    <row r="327" spans="39:41" x14ac:dyDescent="0.25">
      <c r="AM327" s="2">
        <v>324</v>
      </c>
      <c r="AN327" s="33">
        <v>1.2223549293658476E-2</v>
      </c>
      <c r="AO327" s="33">
        <v>1.0321402498471961E-3</v>
      </c>
    </row>
    <row r="328" spans="39:41" x14ac:dyDescent="0.25">
      <c r="AM328" s="2">
        <v>325</v>
      </c>
      <c r="AN328" s="33">
        <v>1.2167107435341924E-2</v>
      </c>
      <c r="AO328" s="33">
        <v>8.9704525370624781E-4</v>
      </c>
    </row>
    <row r="329" spans="39:41" x14ac:dyDescent="0.25">
      <c r="AM329" s="2">
        <v>326</v>
      </c>
      <c r="AN329" s="33">
        <v>7.9463071439768249E-3</v>
      </c>
      <c r="AO329" s="33">
        <v>6.0525267551021496E-4</v>
      </c>
    </row>
    <row r="330" spans="39:41" x14ac:dyDescent="0.25">
      <c r="AM330" s="2">
        <v>327</v>
      </c>
      <c r="AN330" s="33">
        <v>7.4953336255132045E-3</v>
      </c>
      <c r="AO330" s="33">
        <v>4.8672004148756772E-4</v>
      </c>
    </row>
    <row r="331" spans="39:41" x14ac:dyDescent="0.25">
      <c r="AM331" s="2">
        <v>328</v>
      </c>
      <c r="AN331" s="33">
        <v>9.3175895694248331E-3</v>
      </c>
      <c r="AO331" s="33">
        <v>5.4364896135591814E-4</v>
      </c>
    </row>
    <row r="332" spans="39:41" x14ac:dyDescent="0.25">
      <c r="AM332" s="2">
        <v>329</v>
      </c>
      <c r="AN332" s="33">
        <v>1.7364346962230555E-2</v>
      </c>
      <c r="AO332" s="33">
        <v>1.470102902509172E-3</v>
      </c>
    </row>
    <row r="333" spans="39:41" x14ac:dyDescent="0.25">
      <c r="AM333" s="2">
        <v>330</v>
      </c>
      <c r="AN333" s="33">
        <v>1.3867577419906449E-2</v>
      </c>
      <c r="AO333" s="33">
        <v>1.2101016922432576E-3</v>
      </c>
    </row>
    <row r="334" spans="39:41" x14ac:dyDescent="0.25">
      <c r="AM334" s="2">
        <v>331</v>
      </c>
      <c r="AN334" s="33">
        <v>1.0721171914538873E-2</v>
      </c>
      <c r="AO334" s="33">
        <v>8.832563374855095E-4</v>
      </c>
    </row>
    <row r="335" spans="39:41" x14ac:dyDescent="0.25">
      <c r="AM335" s="2">
        <v>332</v>
      </c>
      <c r="AN335" s="33">
        <v>1.5762970786890401E-2</v>
      </c>
      <c r="AO335" s="33">
        <v>1.1462990756350338E-3</v>
      </c>
    </row>
    <row r="336" spans="39:41" x14ac:dyDescent="0.25">
      <c r="AM336" s="2">
        <v>333</v>
      </c>
      <c r="AN336" s="33">
        <v>1.3096746973727194E-2</v>
      </c>
      <c r="AO336" s="33">
        <v>9.7181173015756033E-4</v>
      </c>
    </row>
    <row r="337" spans="39:41" x14ac:dyDescent="0.25">
      <c r="AM337" s="2">
        <v>334</v>
      </c>
      <c r="AN337" s="33">
        <v>1.1945138230770053E-2</v>
      </c>
      <c r="AO337" s="33">
        <v>1.1330914114562774E-3</v>
      </c>
    </row>
    <row r="338" spans="39:41" x14ac:dyDescent="0.25">
      <c r="AM338" s="2">
        <v>335</v>
      </c>
      <c r="AN338" s="33">
        <v>1.2447070014919071E-2</v>
      </c>
      <c r="AO338" s="33">
        <v>1.2508489082323233E-3</v>
      </c>
    </row>
    <row r="339" spans="39:41" x14ac:dyDescent="0.25">
      <c r="AM339" s="2">
        <v>336</v>
      </c>
      <c r="AN339" s="33">
        <v>9.935108511960002E-3</v>
      </c>
      <c r="AO339" s="33">
        <v>7.9938673889409751E-4</v>
      </c>
    </row>
    <row r="340" spans="39:41" x14ac:dyDescent="0.25">
      <c r="AM340" s="2">
        <v>337</v>
      </c>
      <c r="AN340" s="33">
        <v>1.0551179611577503E-2</v>
      </c>
      <c r="AO340" s="33">
        <v>6.4022227401096894E-4</v>
      </c>
    </row>
    <row r="341" spans="39:41" x14ac:dyDescent="0.25">
      <c r="AM341" s="2">
        <v>338</v>
      </c>
      <c r="AN341" s="33">
        <v>1.223212551614053E-2</v>
      </c>
      <c r="AO341" s="33">
        <v>1.1726529336353706E-3</v>
      </c>
    </row>
    <row r="342" spans="39:41" x14ac:dyDescent="0.25">
      <c r="AM342" s="2">
        <v>339</v>
      </c>
      <c r="AN342" s="33">
        <v>1.2051229215898103E-2</v>
      </c>
      <c r="AO342" s="33">
        <v>1.0607095862040273E-3</v>
      </c>
    </row>
    <row r="343" spans="39:41" x14ac:dyDescent="0.25">
      <c r="AM343" s="2">
        <v>340</v>
      </c>
      <c r="AN343" s="33">
        <v>1.0528501308669143E-2</v>
      </c>
      <c r="AO343" s="33">
        <v>5.4063278520842984E-4</v>
      </c>
    </row>
    <row r="344" spans="39:41" x14ac:dyDescent="0.25">
      <c r="AM344" s="2">
        <v>341</v>
      </c>
      <c r="AN344" s="33">
        <v>8.6211972169469471E-3</v>
      </c>
      <c r="AO344" s="33">
        <v>8.0795081384504278E-4</v>
      </c>
    </row>
    <row r="345" spans="39:41" x14ac:dyDescent="0.25">
      <c r="AM345" s="2">
        <v>342</v>
      </c>
      <c r="AN345" s="33">
        <v>1.0398079505030773E-2</v>
      </c>
      <c r="AO345" s="33">
        <v>9.7525295217796009E-4</v>
      </c>
    </row>
    <row r="346" spans="39:41" x14ac:dyDescent="0.25">
      <c r="AM346" s="2">
        <v>343</v>
      </c>
      <c r="AN346" s="33">
        <v>1.4232664041461025E-2</v>
      </c>
      <c r="AO346" s="33">
        <v>1.1294502422455719E-3</v>
      </c>
    </row>
    <row r="347" spans="39:41" x14ac:dyDescent="0.25">
      <c r="AM347" s="2">
        <v>344</v>
      </c>
      <c r="AN347" s="33">
        <v>7.6029918279593243E-3</v>
      </c>
      <c r="AO347" s="33">
        <v>4.1771342509471719E-4</v>
      </c>
    </row>
    <row r="348" spans="39:41" x14ac:dyDescent="0.25">
      <c r="AM348" s="2">
        <v>345</v>
      </c>
      <c r="AN348" s="33">
        <v>1.2267278624487864E-2</v>
      </c>
      <c r="AO348" s="33">
        <v>1.0736225594698509E-3</v>
      </c>
    </row>
    <row r="349" spans="39:41" x14ac:dyDescent="0.25">
      <c r="AM349" s="2">
        <v>346</v>
      </c>
      <c r="AN349" s="33">
        <v>9.9711593429691568E-3</v>
      </c>
      <c r="AO349" s="33">
        <v>4.2260252574161127E-4</v>
      </c>
    </row>
    <row r="350" spans="39:41" x14ac:dyDescent="0.25">
      <c r="AM350" s="2">
        <v>347</v>
      </c>
      <c r="AN350" s="33">
        <v>9.7171751330606231E-3</v>
      </c>
      <c r="AO350" s="33">
        <v>9.2877417423957291E-4</v>
      </c>
    </row>
    <row r="351" spans="39:41" x14ac:dyDescent="0.25">
      <c r="AM351" s="2">
        <v>348</v>
      </c>
      <c r="AN351" s="33">
        <v>1.0574860764186064E-2</v>
      </c>
      <c r="AO351" s="33">
        <v>4.9351525629008121E-4</v>
      </c>
    </row>
    <row r="352" spans="39:41" x14ac:dyDescent="0.25">
      <c r="AM352" s="2">
        <v>349</v>
      </c>
      <c r="AN352" s="33">
        <v>1.2212980783520296E-2</v>
      </c>
      <c r="AO352" s="33">
        <v>8.5141409368195801E-4</v>
      </c>
    </row>
    <row r="353" spans="39:41" x14ac:dyDescent="0.25">
      <c r="AM353" s="2">
        <v>350</v>
      </c>
      <c r="AN353" s="33">
        <v>9.7461683515129259E-3</v>
      </c>
      <c r="AO353" s="33">
        <v>3.4880980455015832E-4</v>
      </c>
    </row>
    <row r="354" spans="39:41" x14ac:dyDescent="0.25">
      <c r="AM354" s="2">
        <v>351</v>
      </c>
      <c r="AN354" s="33">
        <v>1.2460673595150478E-2</v>
      </c>
      <c r="AO354" s="33">
        <v>5.6385333734040963E-4</v>
      </c>
    </row>
    <row r="355" spans="39:41" x14ac:dyDescent="0.25">
      <c r="AM355" s="2">
        <v>352</v>
      </c>
      <c r="AN355" s="33">
        <v>9.8631942777076525E-3</v>
      </c>
      <c r="AO355" s="33">
        <v>4.9262320743845192E-4</v>
      </c>
    </row>
    <row r="356" spans="39:41" x14ac:dyDescent="0.25">
      <c r="AM356" s="2">
        <v>353</v>
      </c>
      <c r="AN356" s="33">
        <v>1.1029417256974183E-2</v>
      </c>
      <c r="AO356" s="33">
        <v>1.0480281475209782E-3</v>
      </c>
    </row>
    <row r="357" spans="39:41" x14ac:dyDescent="0.25">
      <c r="AM357" s="2">
        <v>354</v>
      </c>
      <c r="AN357" s="33">
        <v>1.2445726913332688E-2</v>
      </c>
      <c r="AO357" s="33">
        <v>1.1755548249873223E-3</v>
      </c>
    </row>
    <row r="358" spans="39:41" x14ac:dyDescent="0.25">
      <c r="AM358" s="2">
        <v>355</v>
      </c>
      <c r="AN358" s="33">
        <v>1.0538623045157982E-2</v>
      </c>
      <c r="AO358" s="33">
        <v>7.6443236833155504E-4</v>
      </c>
    </row>
    <row r="359" spans="39:41" x14ac:dyDescent="0.25">
      <c r="AM359" s="2">
        <v>356</v>
      </c>
      <c r="AN359" s="33">
        <v>1.0935013542536164E-2</v>
      </c>
      <c r="AO359" s="33">
        <v>7.3548194064469339E-4</v>
      </c>
    </row>
    <row r="360" spans="39:41" x14ac:dyDescent="0.25">
      <c r="AM360" s="2">
        <v>357</v>
      </c>
      <c r="AN360" s="33">
        <v>1.1516451485893605E-2</v>
      </c>
      <c r="AO360" s="33">
        <v>3.5830642369609592E-4</v>
      </c>
    </row>
    <row r="361" spans="39:41" x14ac:dyDescent="0.25">
      <c r="AM361" s="2">
        <v>358</v>
      </c>
      <c r="AN361" s="33">
        <v>1.1275330703916678E-2</v>
      </c>
      <c r="AO361" s="33">
        <v>1.0461590065856494E-3</v>
      </c>
    </row>
    <row r="362" spans="39:41" x14ac:dyDescent="0.25">
      <c r="AM362" s="2">
        <v>359</v>
      </c>
      <c r="AN362" s="33">
        <v>1.0525745200912503E-2</v>
      </c>
      <c r="AO362" s="33">
        <v>4.3887354828032023E-4</v>
      </c>
    </row>
    <row r="363" spans="39:41" x14ac:dyDescent="0.25">
      <c r="AM363" s="2">
        <v>360</v>
      </c>
      <c r="AN363" s="33">
        <v>1.0686184228692962E-2</v>
      </c>
      <c r="AO363" s="33">
        <v>7.4714574499741256E-4</v>
      </c>
    </row>
    <row r="364" spans="39:41" x14ac:dyDescent="0.25">
      <c r="AM364" s="2">
        <v>361</v>
      </c>
      <c r="AN364" s="33">
        <v>9.7935256667755991E-3</v>
      </c>
      <c r="AO364" s="33">
        <v>7.9799185527232297E-4</v>
      </c>
    </row>
    <row r="365" spans="39:41" x14ac:dyDescent="0.25">
      <c r="AM365" s="2">
        <v>362</v>
      </c>
      <c r="AN365" s="33">
        <v>1.0268344001187252E-2</v>
      </c>
      <c r="AO365" s="33">
        <v>6.8653284250564869E-4</v>
      </c>
    </row>
    <row r="366" spans="39:41" x14ac:dyDescent="0.25">
      <c r="AM366" s="2">
        <v>363</v>
      </c>
      <c r="AN366" s="33">
        <v>1.0263926950439513E-2</v>
      </c>
      <c r="AO366" s="33">
        <v>6.1139779080989182E-4</v>
      </c>
    </row>
    <row r="367" spans="39:41" x14ac:dyDescent="0.25">
      <c r="AM367" s="2">
        <v>364</v>
      </c>
      <c r="AN367" s="33">
        <v>1.3868075111156631E-2</v>
      </c>
      <c r="AO367" s="33">
        <v>1.4054346801678666E-3</v>
      </c>
    </row>
    <row r="368" spans="39:41" x14ac:dyDescent="0.25">
      <c r="AM368" s="2">
        <v>365</v>
      </c>
      <c r="AN368" s="33">
        <v>1.0228509420033163E-2</v>
      </c>
      <c r="AO368" s="33">
        <v>4.5532741354754414E-4</v>
      </c>
    </row>
    <row r="369" spans="39:41" x14ac:dyDescent="0.25">
      <c r="AM369" s="2">
        <v>366</v>
      </c>
      <c r="AN369" s="33">
        <v>1.3170700045183859E-2</v>
      </c>
      <c r="AO369" s="33">
        <v>1.1985204748238643E-3</v>
      </c>
    </row>
    <row r="370" spans="39:41" x14ac:dyDescent="0.25">
      <c r="AM370" s="2">
        <v>367</v>
      </c>
      <c r="AN370" s="33">
        <v>1.2557085953124384E-2</v>
      </c>
      <c r="AO370" s="33">
        <v>1.1388600544302663E-3</v>
      </c>
    </row>
    <row r="371" spans="39:41" x14ac:dyDescent="0.25">
      <c r="AM371" s="2">
        <v>368</v>
      </c>
      <c r="AN371" s="33">
        <v>1.1339492433901623E-2</v>
      </c>
      <c r="AO371" s="33">
        <v>7.7628237429698804E-4</v>
      </c>
    </row>
    <row r="372" spans="39:41" x14ac:dyDescent="0.25">
      <c r="AM372" s="2">
        <v>369</v>
      </c>
      <c r="AN372" s="33">
        <v>1.2107323412210857E-2</v>
      </c>
      <c r="AO372" s="33">
        <v>7.0865915888862366E-4</v>
      </c>
    </row>
    <row r="373" spans="39:41" x14ac:dyDescent="0.25">
      <c r="AM373" s="2">
        <v>370</v>
      </c>
      <c r="AN373" s="33">
        <v>1.2707484125453769E-2</v>
      </c>
      <c r="AO373" s="33">
        <v>1.2612303124022153E-3</v>
      </c>
    </row>
    <row r="374" spans="39:41" x14ac:dyDescent="0.25">
      <c r="AM374" s="2">
        <v>371</v>
      </c>
      <c r="AN374" s="33">
        <v>1.3664701500835361E-2</v>
      </c>
      <c r="AO374" s="33">
        <v>9.7976370447057284E-4</v>
      </c>
    </row>
    <row r="375" spans="39:41" x14ac:dyDescent="0.25">
      <c r="AM375" s="2">
        <v>372</v>
      </c>
      <c r="AN375" s="33">
        <v>1.6329393266763987E-2</v>
      </c>
      <c r="AO375" s="33">
        <v>1.190196902524612E-3</v>
      </c>
    </row>
    <row r="376" spans="39:41" x14ac:dyDescent="0.25">
      <c r="AM376" s="2">
        <v>373</v>
      </c>
      <c r="AN376" s="33">
        <v>1.1240005951640833E-2</v>
      </c>
      <c r="AO376" s="33">
        <v>9.3850153798875717E-4</v>
      </c>
    </row>
    <row r="377" spans="39:41" x14ac:dyDescent="0.25">
      <c r="AM377" s="2">
        <v>374</v>
      </c>
      <c r="AN377" s="33">
        <v>9.5395164483628204E-3</v>
      </c>
      <c r="AO377" s="33">
        <v>6.7577911804284443E-4</v>
      </c>
    </row>
    <row r="378" spans="39:41" x14ac:dyDescent="0.25">
      <c r="AM378" s="2">
        <v>375</v>
      </c>
      <c r="AN378" s="33">
        <v>1.0684689917134983E-2</v>
      </c>
      <c r="AO378" s="33">
        <v>7.9983718515072263E-4</v>
      </c>
    </row>
    <row r="379" spans="39:41" x14ac:dyDescent="0.25">
      <c r="AM379" s="2">
        <v>376</v>
      </c>
      <c r="AN379" s="33">
        <v>1.3313478289790209E-2</v>
      </c>
      <c r="AO379" s="33">
        <v>1.2881339114083146E-3</v>
      </c>
    </row>
    <row r="380" spans="39:41" x14ac:dyDescent="0.25">
      <c r="AM380" s="2">
        <v>377</v>
      </c>
      <c r="AN380" s="33">
        <v>1.3319682108025777E-2</v>
      </c>
      <c r="AO380" s="33">
        <v>7.4495196068232524E-4</v>
      </c>
    </row>
    <row r="381" spans="39:41" x14ac:dyDescent="0.25">
      <c r="AM381" s="2">
        <v>378</v>
      </c>
      <c r="AN381" s="33">
        <v>1.1174751189603812E-2</v>
      </c>
      <c r="AO381" s="33">
        <v>8.7664612826740377E-4</v>
      </c>
    </row>
    <row r="382" spans="39:41" x14ac:dyDescent="0.25">
      <c r="AM382" s="2">
        <v>379</v>
      </c>
      <c r="AN382" s="33">
        <v>1.0646275347318105E-2</v>
      </c>
      <c r="AO382" s="33">
        <v>8.8520348057240488E-4</v>
      </c>
    </row>
    <row r="383" spans="39:41" x14ac:dyDescent="0.25">
      <c r="AM383" s="2">
        <v>380</v>
      </c>
      <c r="AN383" s="33">
        <v>9.349423506810452E-3</v>
      </c>
      <c r="AO383" s="33">
        <v>8.5120249189989117E-4</v>
      </c>
    </row>
    <row r="384" spans="39:41" x14ac:dyDescent="0.25">
      <c r="AM384" s="2">
        <v>381</v>
      </c>
      <c r="AN384" s="33">
        <v>8.3920337446530754E-3</v>
      </c>
      <c r="AO384" s="33">
        <v>5.0659530866451917E-4</v>
      </c>
    </row>
    <row r="385" spans="39:41" x14ac:dyDescent="0.25">
      <c r="AM385" s="2">
        <v>382</v>
      </c>
      <c r="AN385" s="33">
        <v>9.9588789608172131E-3</v>
      </c>
      <c r="AO385" s="33">
        <v>1.9549067789856599E-4</v>
      </c>
    </row>
    <row r="386" spans="39:41" x14ac:dyDescent="0.25">
      <c r="AM386" s="2">
        <v>383</v>
      </c>
      <c r="AN386" s="33">
        <v>1.1893510763499707E-2</v>
      </c>
      <c r="AO386" s="33">
        <v>9.4764950657529555E-4</v>
      </c>
    </row>
    <row r="387" spans="39:41" x14ac:dyDescent="0.25">
      <c r="AM387" s="2">
        <v>384</v>
      </c>
      <c r="AN387" s="33">
        <v>1.3779160604872364E-2</v>
      </c>
      <c r="AO387" s="33">
        <v>1.2439053976624316E-3</v>
      </c>
    </row>
    <row r="388" spans="39:41" x14ac:dyDescent="0.25">
      <c r="AM388" s="2">
        <v>385</v>
      </c>
      <c r="AN388" s="33">
        <v>8.8787556664897908E-3</v>
      </c>
      <c r="AO388" s="33">
        <v>5.4335554715046581E-4</v>
      </c>
    </row>
    <row r="389" spans="39:41" x14ac:dyDescent="0.25">
      <c r="AM389" s="2">
        <v>386</v>
      </c>
      <c r="AN389" s="33">
        <v>1.4295246435698149E-2</v>
      </c>
      <c r="AO389" s="33">
        <v>1.3119593989677045E-3</v>
      </c>
    </row>
    <row r="390" spans="39:41" x14ac:dyDescent="0.25">
      <c r="AM390" s="2">
        <v>387</v>
      </c>
      <c r="AN390" s="33">
        <v>1.7222308461938774E-2</v>
      </c>
      <c r="AO390" s="33">
        <v>1.710762175363307E-3</v>
      </c>
    </row>
    <row r="391" spans="39:41" x14ac:dyDescent="0.25">
      <c r="AM391" s="2">
        <v>388</v>
      </c>
      <c r="AN391" s="33">
        <v>1.1888834015800112E-2</v>
      </c>
      <c r="AO391" s="33">
        <v>9.1815435963615128E-4</v>
      </c>
    </row>
    <row r="392" spans="39:41" x14ac:dyDescent="0.25">
      <c r="AM392" s="2">
        <v>389</v>
      </c>
      <c r="AN392" s="33">
        <v>1.3368463499138578E-2</v>
      </c>
      <c r="AO392" s="33">
        <v>7.5148239464834649E-4</v>
      </c>
    </row>
    <row r="393" spans="39:41" x14ac:dyDescent="0.25">
      <c r="AM393" s="2">
        <v>390</v>
      </c>
      <c r="AN393" s="33">
        <v>1.0514798102037783E-2</v>
      </c>
      <c r="AO393" s="33">
        <v>2.8858438741623889E-4</v>
      </c>
    </row>
    <row r="394" spans="39:41" x14ac:dyDescent="0.25">
      <c r="AM394" s="2">
        <v>391</v>
      </c>
      <c r="AN394" s="33">
        <v>1.1911668920246475E-2</v>
      </c>
      <c r="AO394" s="33">
        <v>9.3866635955624925E-4</v>
      </c>
    </row>
    <row r="395" spans="39:41" x14ac:dyDescent="0.25">
      <c r="AM395" s="2">
        <v>392</v>
      </c>
      <c r="AN395" s="33">
        <v>1.3370954701983516E-2</v>
      </c>
      <c r="AO395" s="33">
        <v>1.0508437751553671E-3</v>
      </c>
    </row>
    <row r="396" spans="39:41" x14ac:dyDescent="0.25">
      <c r="AM396" s="2">
        <v>393</v>
      </c>
      <c r="AN396" s="33">
        <v>1.3224468249325867E-2</v>
      </c>
      <c r="AO396" s="33">
        <v>1.0505872022764911E-3</v>
      </c>
    </row>
    <row r="397" spans="39:41" x14ac:dyDescent="0.25">
      <c r="AM397" s="2">
        <v>394</v>
      </c>
      <c r="AN397" s="33">
        <v>1.2077335636414695E-2</v>
      </c>
      <c r="AO397" s="33">
        <v>8.1055145487970884E-4</v>
      </c>
    </row>
    <row r="398" spans="39:41" x14ac:dyDescent="0.25">
      <c r="AM398" s="2">
        <v>395</v>
      </c>
      <c r="AN398" s="33">
        <v>1.1577291943721127E-2</v>
      </c>
      <c r="AO398" s="33">
        <v>6.6557019565005582E-4</v>
      </c>
    </row>
    <row r="399" spans="39:41" x14ac:dyDescent="0.25">
      <c r="AM399" s="2">
        <v>396</v>
      </c>
      <c r="AN399" s="33">
        <v>9.5818594218070163E-3</v>
      </c>
      <c r="AO399" s="33">
        <v>6.13691507407755E-4</v>
      </c>
    </row>
    <row r="400" spans="39:41" x14ac:dyDescent="0.25">
      <c r="AM400" s="2">
        <v>397</v>
      </c>
      <c r="AN400" s="33">
        <v>1.0650105310704778E-2</v>
      </c>
      <c r="AO400" s="33">
        <v>8.7275276569453856E-4</v>
      </c>
    </row>
    <row r="401" spans="39:41" x14ac:dyDescent="0.25">
      <c r="AM401" s="2">
        <v>398</v>
      </c>
      <c r="AN401" s="33">
        <v>1.4090059977297014E-2</v>
      </c>
      <c r="AO401" s="33">
        <v>6.3249497515226747E-4</v>
      </c>
    </row>
    <row r="402" spans="39:41" x14ac:dyDescent="0.25">
      <c r="AM402" s="2">
        <v>399</v>
      </c>
      <c r="AN402" s="33">
        <v>1.2825214274484961E-2</v>
      </c>
      <c r="AO402" s="33">
        <v>1.0983501182021639E-3</v>
      </c>
    </row>
    <row r="403" spans="39:41" x14ac:dyDescent="0.25">
      <c r="AM403" s="2">
        <v>400</v>
      </c>
      <c r="AN403" s="33">
        <v>1.6197145630729538E-2</v>
      </c>
      <c r="AO403" s="33">
        <v>1.1038422478142703E-3</v>
      </c>
    </row>
    <row r="404" spans="39:41" x14ac:dyDescent="0.25">
      <c r="AM404" s="2">
        <v>401</v>
      </c>
      <c r="AN404" s="33">
        <v>1.3584144310539378E-2</v>
      </c>
      <c r="AO404" s="33">
        <v>1.1103500409589153E-3</v>
      </c>
    </row>
    <row r="405" spans="39:41" x14ac:dyDescent="0.25">
      <c r="AM405" s="2">
        <v>402</v>
      </c>
      <c r="AN405" s="33">
        <v>1.3055630723274415E-2</v>
      </c>
      <c r="AO405" s="33">
        <v>8.7003768953633389E-4</v>
      </c>
    </row>
    <row r="406" spans="39:41" x14ac:dyDescent="0.25">
      <c r="AM406" s="2">
        <v>403</v>
      </c>
      <c r="AN406" s="33">
        <v>7.712958528826132E-3</v>
      </c>
      <c r="AO406" s="33">
        <v>5.0570231214850563E-4</v>
      </c>
    </row>
    <row r="407" spans="39:41" x14ac:dyDescent="0.25">
      <c r="AM407" s="2">
        <v>404</v>
      </c>
      <c r="AN407" s="33">
        <v>1.2402244980641196E-2</v>
      </c>
      <c r="AO407" s="33">
        <v>8.7352197700463099E-4</v>
      </c>
    </row>
    <row r="408" spans="39:41" x14ac:dyDescent="0.25">
      <c r="AM408" s="2">
        <v>405</v>
      </c>
      <c r="AN408" s="33">
        <v>8.028568565510593E-3</v>
      </c>
      <c r="AO408" s="33">
        <v>6.7177262987972168E-4</v>
      </c>
    </row>
    <row r="409" spans="39:41" x14ac:dyDescent="0.25">
      <c r="AM409" s="2">
        <v>406</v>
      </c>
      <c r="AN409" s="33">
        <v>1.4058792455225668E-2</v>
      </c>
      <c r="AO409" s="33">
        <v>1.2114052814654547E-3</v>
      </c>
    </row>
    <row r="410" spans="39:41" x14ac:dyDescent="0.25">
      <c r="AM410" s="2">
        <v>407</v>
      </c>
      <c r="AN410" s="33">
        <v>1.0648455397362954E-2</v>
      </c>
      <c r="AO410" s="33">
        <v>3.3563539403353598E-4</v>
      </c>
    </row>
    <row r="411" spans="39:41" x14ac:dyDescent="0.25">
      <c r="AM411" s="2">
        <v>408</v>
      </c>
      <c r="AN411" s="33">
        <v>9.4642270384120118E-3</v>
      </c>
      <c r="AO411" s="33">
        <v>4.904937862703863E-4</v>
      </c>
    </row>
    <row r="412" spans="39:41" x14ac:dyDescent="0.25">
      <c r="AM412" s="2">
        <v>409</v>
      </c>
      <c r="AN412" s="33">
        <v>9.7796644437202814E-3</v>
      </c>
      <c r="AO412" s="33">
        <v>7.4706113907869315E-4</v>
      </c>
    </row>
    <row r="413" spans="39:41" x14ac:dyDescent="0.25">
      <c r="AM413" s="2">
        <v>410</v>
      </c>
      <c r="AN413" s="33">
        <v>8.2172355015903559E-3</v>
      </c>
      <c r="AO413" s="33">
        <v>2.828459343239144E-4</v>
      </c>
    </row>
    <row r="414" spans="39:41" x14ac:dyDescent="0.25">
      <c r="AM414" s="2">
        <v>411</v>
      </c>
      <c r="AN414" s="33">
        <v>1.1947580929529642E-2</v>
      </c>
      <c r="AO414" s="33">
        <v>5.3867481841503642E-4</v>
      </c>
    </row>
    <row r="415" spans="39:41" x14ac:dyDescent="0.25">
      <c r="AM415" s="2">
        <v>412</v>
      </c>
      <c r="AN415" s="33">
        <v>1.1927815120359991E-2</v>
      </c>
      <c r="AO415" s="33">
        <v>1.2095419570215447E-3</v>
      </c>
    </row>
    <row r="416" spans="39:41" x14ac:dyDescent="0.25">
      <c r="AM416" s="2">
        <v>413</v>
      </c>
      <c r="AN416" s="33">
        <v>1.1315851665448075E-2</v>
      </c>
      <c r="AO416" s="33">
        <v>7.5061775548976404E-4</v>
      </c>
    </row>
    <row r="417" spans="39:41" x14ac:dyDescent="0.25">
      <c r="AM417" s="2">
        <v>414</v>
      </c>
      <c r="AN417" s="33">
        <v>1.657391837395765E-2</v>
      </c>
      <c r="AO417" s="33">
        <v>1.2720674568442818E-3</v>
      </c>
    </row>
    <row r="418" spans="39:41" x14ac:dyDescent="0.25">
      <c r="AM418" s="2">
        <v>415</v>
      </c>
      <c r="AN418" s="33">
        <v>1.0613814908806604E-2</v>
      </c>
      <c r="AO418" s="33">
        <v>4.427353652946078E-4</v>
      </c>
    </row>
    <row r="419" spans="39:41" x14ac:dyDescent="0.25">
      <c r="AM419" s="2">
        <v>416</v>
      </c>
      <c r="AN419" s="33">
        <v>7.5126280829441849E-3</v>
      </c>
      <c r="AO419" s="33">
        <v>4.9619983912626469E-4</v>
      </c>
    </row>
    <row r="420" spans="39:41" x14ac:dyDescent="0.25">
      <c r="AM420" s="2">
        <v>417</v>
      </c>
      <c r="AN420" s="33">
        <v>1.1921321022003117E-2</v>
      </c>
      <c r="AO420" s="33">
        <v>1.0279988425452625E-3</v>
      </c>
    </row>
    <row r="421" spans="39:41" x14ac:dyDescent="0.25">
      <c r="AM421" s="2">
        <v>418</v>
      </c>
      <c r="AN421" s="33">
        <v>1.1031232269256735E-2</v>
      </c>
      <c r="AO421" s="33">
        <v>1.010456196153817E-3</v>
      </c>
    </row>
    <row r="422" spans="39:41" x14ac:dyDescent="0.25">
      <c r="AM422" s="2">
        <v>419</v>
      </c>
      <c r="AN422" s="33">
        <v>1.325424279098765E-2</v>
      </c>
      <c r="AO422" s="33">
        <v>9.3143638344825807E-4</v>
      </c>
    </row>
    <row r="423" spans="39:41" x14ac:dyDescent="0.25">
      <c r="AM423" s="2">
        <v>420</v>
      </c>
      <c r="AN423" s="33">
        <v>1.3766962405739687E-2</v>
      </c>
      <c r="AO423" s="33">
        <v>1.4233729716989153E-3</v>
      </c>
    </row>
    <row r="424" spans="39:41" x14ac:dyDescent="0.25">
      <c r="AM424" s="2">
        <v>421</v>
      </c>
      <c r="AN424" s="33">
        <v>1.6052701380157006E-2</v>
      </c>
      <c r="AO424" s="33">
        <v>1.1501836062498088E-3</v>
      </c>
    </row>
    <row r="425" spans="39:41" x14ac:dyDescent="0.25">
      <c r="AM425" s="2">
        <v>422</v>
      </c>
      <c r="AN425" s="33">
        <v>1.0677895054965705E-2</v>
      </c>
      <c r="AO425" s="33">
        <v>7.0783017437899508E-4</v>
      </c>
    </row>
    <row r="426" spans="39:41" x14ac:dyDescent="0.25">
      <c r="AM426" s="2">
        <v>423</v>
      </c>
      <c r="AN426" s="33">
        <v>1.3541852629587035E-2</v>
      </c>
      <c r="AO426" s="33">
        <v>4.8194732040943004E-4</v>
      </c>
    </row>
    <row r="427" spans="39:41" x14ac:dyDescent="0.25">
      <c r="AM427" s="2">
        <v>424</v>
      </c>
      <c r="AN427" s="33">
        <v>1.2665732226830236E-2</v>
      </c>
      <c r="AO427" s="33">
        <v>5.594465134751166E-4</v>
      </c>
    </row>
    <row r="428" spans="39:41" x14ac:dyDescent="0.25">
      <c r="AM428" s="2">
        <v>425</v>
      </c>
      <c r="AN428" s="33">
        <v>1.4600388903125544E-2</v>
      </c>
      <c r="AO428" s="33">
        <v>2.6931009400840982E-4</v>
      </c>
    </row>
    <row r="429" spans="39:41" x14ac:dyDescent="0.25">
      <c r="AM429" s="2">
        <v>426</v>
      </c>
      <c r="AN429" s="33">
        <v>8.9334944568383486E-3</v>
      </c>
      <c r="AO429" s="33">
        <v>6.3649627934435728E-4</v>
      </c>
    </row>
    <row r="430" spans="39:41" x14ac:dyDescent="0.25">
      <c r="AM430" s="2">
        <v>427</v>
      </c>
      <c r="AN430" s="33">
        <v>1.3412032614640086E-2</v>
      </c>
      <c r="AO430" s="33">
        <v>1.189314718096552E-3</v>
      </c>
    </row>
    <row r="431" spans="39:41" x14ac:dyDescent="0.25">
      <c r="AM431" s="2">
        <v>428</v>
      </c>
      <c r="AN431" s="33">
        <v>1.0127867594492794E-2</v>
      </c>
      <c r="AO431" s="33">
        <v>5.0562666689518124E-4</v>
      </c>
    </row>
    <row r="432" spans="39:41" x14ac:dyDescent="0.25">
      <c r="AM432" s="2">
        <v>429</v>
      </c>
      <c r="AN432" s="33">
        <v>1.3196500673765375E-2</v>
      </c>
      <c r="AO432" s="33">
        <v>8.7298336847993019E-4</v>
      </c>
    </row>
    <row r="433" spans="39:41" x14ac:dyDescent="0.25">
      <c r="AM433" s="2">
        <v>430</v>
      </c>
      <c r="AN433" s="33">
        <v>1.1387321232156021E-2</v>
      </c>
      <c r="AO433" s="33">
        <v>6.0680896982246726E-4</v>
      </c>
    </row>
    <row r="434" spans="39:41" x14ac:dyDescent="0.25">
      <c r="AM434" s="2">
        <v>431</v>
      </c>
      <c r="AN434" s="33">
        <v>1.1438571387023293E-2</v>
      </c>
      <c r="AO434" s="33">
        <v>1.1265623343354244E-3</v>
      </c>
    </row>
    <row r="435" spans="39:41" x14ac:dyDescent="0.25">
      <c r="AM435" s="2">
        <v>432</v>
      </c>
      <c r="AN435" s="33">
        <v>1.4593567718258496E-2</v>
      </c>
      <c r="AO435" s="33">
        <v>9.9808021694522365E-4</v>
      </c>
    </row>
    <row r="436" spans="39:41" x14ac:dyDescent="0.25">
      <c r="AM436" s="2">
        <v>433</v>
      </c>
      <c r="AN436" s="33">
        <v>1.5027514208741842E-2</v>
      </c>
      <c r="AO436" s="33">
        <v>1.3677210481113197E-3</v>
      </c>
    </row>
    <row r="437" spans="39:41" x14ac:dyDescent="0.25">
      <c r="AM437" s="2">
        <v>434</v>
      </c>
      <c r="AN437" s="33">
        <v>1.1421186962672742E-2</v>
      </c>
      <c r="AO437" s="33">
        <v>1.1193948710864818E-4</v>
      </c>
    </row>
    <row r="438" spans="39:41" x14ac:dyDescent="0.25">
      <c r="AM438" s="2">
        <v>435</v>
      </c>
      <c r="AN438" s="33">
        <v>1.0218251876089206E-2</v>
      </c>
      <c r="AO438" s="33">
        <v>4.3536516130285871E-4</v>
      </c>
    </row>
    <row r="439" spans="39:41" x14ac:dyDescent="0.25">
      <c r="AM439" s="2">
        <v>436</v>
      </c>
      <c r="AN439" s="33">
        <v>1.0149619449195828E-2</v>
      </c>
      <c r="AO439" s="33">
        <v>4.5711530951592647E-4</v>
      </c>
    </row>
    <row r="440" spans="39:41" x14ac:dyDescent="0.25">
      <c r="AM440" s="2">
        <v>437</v>
      </c>
      <c r="AN440" s="33">
        <v>1.1127126724211102E-2</v>
      </c>
      <c r="AO440" s="33">
        <v>1.0515536749418242E-3</v>
      </c>
    </row>
    <row r="441" spans="39:41" x14ac:dyDescent="0.25">
      <c r="AM441" s="2">
        <v>438</v>
      </c>
      <c r="AN441" s="33">
        <v>1.4210556890959366E-2</v>
      </c>
      <c r="AO441" s="33">
        <v>1.1373273570346103E-3</v>
      </c>
    </row>
    <row r="442" spans="39:41" x14ac:dyDescent="0.25">
      <c r="AM442" s="2">
        <v>439</v>
      </c>
      <c r="AN442" s="33">
        <v>1.4480879730149379E-2</v>
      </c>
      <c r="AO442" s="33">
        <v>6.3825970412354914E-4</v>
      </c>
    </row>
    <row r="443" spans="39:41" x14ac:dyDescent="0.25">
      <c r="AM443" s="2">
        <v>440</v>
      </c>
      <c r="AN443" s="33">
        <v>1.3147483230637231E-2</v>
      </c>
      <c r="AO443" s="33">
        <v>1.1431683831226883E-3</v>
      </c>
    </row>
    <row r="444" spans="39:41" x14ac:dyDescent="0.25">
      <c r="AM444" s="2">
        <v>441</v>
      </c>
      <c r="AN444" s="33">
        <v>1.4015710351139854E-2</v>
      </c>
      <c r="AO444" s="33">
        <v>8.4972725453806076E-4</v>
      </c>
    </row>
    <row r="445" spans="39:41" x14ac:dyDescent="0.25">
      <c r="AM445" s="2">
        <v>442</v>
      </c>
      <c r="AN445" s="33">
        <v>1.0009680173993165E-2</v>
      </c>
      <c r="AO445" s="33">
        <v>1.0042171679675636E-3</v>
      </c>
    </row>
    <row r="446" spans="39:41" x14ac:dyDescent="0.25">
      <c r="AM446" s="2">
        <v>443</v>
      </c>
      <c r="AN446" s="33">
        <v>1.1923990781041947E-2</v>
      </c>
      <c r="AO446" s="33">
        <v>4.1508065493644993E-4</v>
      </c>
    </row>
    <row r="447" spans="39:41" x14ac:dyDescent="0.25">
      <c r="AM447" s="2">
        <v>444</v>
      </c>
      <c r="AN447" s="33">
        <v>1.0560611532132065E-2</v>
      </c>
      <c r="AO447" s="33">
        <v>1.6865151565539953E-4</v>
      </c>
    </row>
    <row r="448" spans="39:41" x14ac:dyDescent="0.25">
      <c r="AM448" s="2">
        <v>445</v>
      </c>
      <c r="AN448" s="33">
        <v>1.0372610288247984E-2</v>
      </c>
      <c r="AO448" s="33">
        <v>8.4397417845159415E-4</v>
      </c>
    </row>
    <row r="449" spans="39:41" x14ac:dyDescent="0.25">
      <c r="AM449" s="2">
        <v>446</v>
      </c>
      <c r="AN449" s="33">
        <v>1.2377152122619464E-2</v>
      </c>
      <c r="AO449" s="33">
        <v>8.1207453054282016E-4</v>
      </c>
    </row>
    <row r="450" spans="39:41" x14ac:dyDescent="0.25">
      <c r="AM450" s="2">
        <v>447</v>
      </c>
      <c r="AN450" s="33">
        <v>1.2301281315256617E-2</v>
      </c>
      <c r="AO450" s="33">
        <v>9.9346801251842115E-4</v>
      </c>
    </row>
    <row r="451" spans="39:41" x14ac:dyDescent="0.25">
      <c r="AM451" s="2">
        <v>448</v>
      </c>
      <c r="AN451" s="33">
        <v>1.0137744998468437E-2</v>
      </c>
      <c r="AO451" s="33">
        <v>7.6978986095447373E-4</v>
      </c>
    </row>
    <row r="452" spans="39:41" x14ac:dyDescent="0.25">
      <c r="AM452" s="2">
        <v>449</v>
      </c>
      <c r="AN452" s="33">
        <v>1.0962918140042299E-2</v>
      </c>
      <c r="AO452" s="33">
        <v>3.1018499452882282E-4</v>
      </c>
    </row>
    <row r="453" spans="39:41" x14ac:dyDescent="0.25">
      <c r="AM453" s="2">
        <v>450</v>
      </c>
      <c r="AN453" s="33">
        <v>1.3261686803500568E-2</v>
      </c>
      <c r="AO453" s="33">
        <v>1.1836110273216668E-3</v>
      </c>
    </row>
    <row r="454" spans="39:41" x14ac:dyDescent="0.25">
      <c r="AM454" s="2">
        <v>451</v>
      </c>
      <c r="AN454" s="33">
        <v>1.1862520019375374E-2</v>
      </c>
      <c r="AO454" s="33">
        <v>5.3538763065225212E-4</v>
      </c>
    </row>
    <row r="455" spans="39:41" x14ac:dyDescent="0.25">
      <c r="AM455" s="2">
        <v>452</v>
      </c>
      <c r="AN455" s="33">
        <v>1.0420205133199942E-2</v>
      </c>
      <c r="AO455" s="33">
        <v>2.5014434378629278E-4</v>
      </c>
    </row>
    <row r="456" spans="39:41" x14ac:dyDescent="0.25">
      <c r="AM456" s="2">
        <v>453</v>
      </c>
      <c r="AN456" s="33">
        <v>6.8284875219230086E-3</v>
      </c>
      <c r="AO456" s="33">
        <v>9.7127805231637493E-5</v>
      </c>
    </row>
    <row r="457" spans="39:41" x14ac:dyDescent="0.25">
      <c r="AM457" s="2">
        <v>454</v>
      </c>
      <c r="AN457" s="33">
        <v>1.0644226439504143E-2</v>
      </c>
      <c r="AO457" s="33">
        <v>9.2803797958408794E-4</v>
      </c>
    </row>
    <row r="458" spans="39:41" x14ac:dyDescent="0.25">
      <c r="AM458" s="2">
        <v>455</v>
      </c>
      <c r="AN458" s="33">
        <v>1.4492031254079383E-2</v>
      </c>
      <c r="AO458" s="33">
        <v>1.1144662739842222E-3</v>
      </c>
    </row>
    <row r="459" spans="39:41" x14ac:dyDescent="0.25">
      <c r="AM459" s="2">
        <v>456</v>
      </c>
      <c r="AN459" s="33">
        <v>1.5427894335184822E-2</v>
      </c>
      <c r="AO459" s="33">
        <v>1.5605890590081591E-3</v>
      </c>
    </row>
    <row r="460" spans="39:41" x14ac:dyDescent="0.25">
      <c r="AM460" s="2">
        <v>457</v>
      </c>
      <c r="AN460" s="33">
        <v>1.2401056264368859E-2</v>
      </c>
      <c r="AO460" s="33">
        <v>8.5816447298177681E-4</v>
      </c>
    </row>
    <row r="461" spans="39:41" x14ac:dyDescent="0.25">
      <c r="AM461" s="2">
        <v>458</v>
      </c>
      <c r="AN461" s="33">
        <v>1.4237267360122319E-2</v>
      </c>
      <c r="AO461" s="33">
        <v>1.3215858370761626E-3</v>
      </c>
    </row>
    <row r="462" spans="39:41" x14ac:dyDescent="0.25">
      <c r="AM462" s="2">
        <v>459</v>
      </c>
      <c r="AN462" s="33">
        <v>8.6133736017680925E-3</v>
      </c>
      <c r="AO462" s="33">
        <v>7.7093461689397094E-4</v>
      </c>
    </row>
    <row r="463" spans="39:41" x14ac:dyDescent="0.25">
      <c r="AM463" s="2">
        <v>460</v>
      </c>
      <c r="AN463" s="33">
        <v>1.1699402544144652E-2</v>
      </c>
      <c r="AO463" s="33">
        <v>4.1687683526714532E-4</v>
      </c>
    </row>
    <row r="464" spans="39:41" x14ac:dyDescent="0.25">
      <c r="AM464" s="2">
        <v>461</v>
      </c>
      <c r="AN464" s="33">
        <v>1.2100912693287107E-2</v>
      </c>
      <c r="AO464" s="33">
        <v>5.4497035354007339E-4</v>
      </c>
    </row>
    <row r="465" spans="39:41" x14ac:dyDescent="0.25">
      <c r="AM465" s="2">
        <v>462</v>
      </c>
      <c r="AN465" s="33">
        <v>1.35075485661131E-2</v>
      </c>
      <c r="AO465" s="33">
        <v>1.0099774091532365E-3</v>
      </c>
    </row>
    <row r="466" spans="39:41" x14ac:dyDescent="0.25">
      <c r="AM466" s="2">
        <v>463</v>
      </c>
      <c r="AN466" s="33">
        <v>8.8309341108432447E-3</v>
      </c>
      <c r="AO466" s="33">
        <v>5.0902296322463258E-4</v>
      </c>
    </row>
    <row r="467" spans="39:41" x14ac:dyDescent="0.25">
      <c r="AM467" s="2">
        <v>464</v>
      </c>
      <c r="AN467" s="33">
        <v>1.3373585879348877E-2</v>
      </c>
      <c r="AO467" s="33">
        <v>4.6180552349766034E-4</v>
      </c>
    </row>
    <row r="468" spans="39:41" x14ac:dyDescent="0.25">
      <c r="AM468" s="2">
        <v>465</v>
      </c>
      <c r="AN468" s="33">
        <v>1.3552491911110992E-2</v>
      </c>
      <c r="AO468" s="33">
        <v>1.279483140480354E-3</v>
      </c>
    </row>
    <row r="469" spans="39:41" x14ac:dyDescent="0.25">
      <c r="AM469" s="2">
        <v>466</v>
      </c>
      <c r="AN469" s="33">
        <v>1.3686271660455255E-2</v>
      </c>
      <c r="AO469" s="33">
        <v>1.4387099140254155E-3</v>
      </c>
    </row>
    <row r="470" spans="39:41" x14ac:dyDescent="0.25">
      <c r="AM470" s="2">
        <v>467</v>
      </c>
      <c r="AN470" s="33">
        <v>9.4927781225701974E-3</v>
      </c>
      <c r="AO470" s="33">
        <v>8.5176589032436793E-4</v>
      </c>
    </row>
    <row r="471" spans="39:41" x14ac:dyDescent="0.25">
      <c r="AM471" s="2">
        <v>468</v>
      </c>
      <c r="AN471" s="33">
        <v>9.4407519996632886E-3</v>
      </c>
      <c r="AO471" s="33">
        <v>1.9075351384262792E-4</v>
      </c>
    </row>
    <row r="472" spans="39:41" x14ac:dyDescent="0.25">
      <c r="AM472" s="2">
        <v>469</v>
      </c>
      <c r="AN472" s="33">
        <v>1.1962586441707172E-2</v>
      </c>
      <c r="AO472" s="33">
        <v>9.1970868550972167E-4</v>
      </c>
    </row>
    <row r="473" spans="39:41" x14ac:dyDescent="0.25">
      <c r="AM473" s="2">
        <v>470</v>
      </c>
      <c r="AN473" s="33">
        <v>1.7990651165758598E-2</v>
      </c>
      <c r="AO473" s="33">
        <v>1.5355220226162261E-3</v>
      </c>
    </row>
    <row r="474" spans="39:41" x14ac:dyDescent="0.25">
      <c r="AM474" s="2">
        <v>471</v>
      </c>
      <c r="AN474" s="33">
        <v>1.1191756882686071E-2</v>
      </c>
      <c r="AO474" s="33">
        <v>9.1191353547513123E-4</v>
      </c>
    </row>
    <row r="475" spans="39:41" x14ac:dyDescent="0.25">
      <c r="AM475" s="2">
        <v>472</v>
      </c>
      <c r="AN475" s="33">
        <v>1.4935291365192803E-2</v>
      </c>
      <c r="AO475" s="33">
        <v>1.3570670322795018E-3</v>
      </c>
    </row>
    <row r="476" spans="39:41" x14ac:dyDescent="0.25">
      <c r="AM476" s="2">
        <v>473</v>
      </c>
      <c r="AN476" s="33">
        <v>1.0220247112400277E-2</v>
      </c>
      <c r="AO476" s="33">
        <v>6.352734483803269E-4</v>
      </c>
    </row>
    <row r="477" spans="39:41" x14ac:dyDescent="0.25">
      <c r="AM477" s="2">
        <v>474</v>
      </c>
      <c r="AN477" s="33">
        <v>1.090852147960026E-2</v>
      </c>
      <c r="AO477" s="33">
        <v>8.9604658334964003E-4</v>
      </c>
    </row>
    <row r="478" spans="39:41" x14ac:dyDescent="0.25">
      <c r="AM478" s="2">
        <v>475</v>
      </c>
      <c r="AN478" s="33">
        <v>1.5959690215306712E-2</v>
      </c>
      <c r="AO478" s="33">
        <v>1.3100042127630383E-3</v>
      </c>
    </row>
    <row r="479" spans="39:41" x14ac:dyDescent="0.25">
      <c r="AM479" s="2">
        <v>476</v>
      </c>
      <c r="AN479" s="33">
        <v>1.1274621604450013E-2</v>
      </c>
      <c r="AO479" s="33">
        <v>7.3697169941774388E-4</v>
      </c>
    </row>
    <row r="480" spans="39:41" x14ac:dyDescent="0.25">
      <c r="AM480" s="2">
        <v>477</v>
      </c>
      <c r="AN480" s="33">
        <v>1.1324126795117928E-2</v>
      </c>
      <c r="AO480" s="33">
        <v>8.894195818914632E-4</v>
      </c>
    </row>
    <row r="481" spans="39:41" x14ac:dyDescent="0.25">
      <c r="AM481" s="2">
        <v>478</v>
      </c>
      <c r="AN481" s="33">
        <v>1.2670645235318096E-2</v>
      </c>
      <c r="AO481" s="33">
        <v>1.0503093592583762E-3</v>
      </c>
    </row>
    <row r="482" spans="39:41" x14ac:dyDescent="0.25">
      <c r="AM482" s="2">
        <v>479</v>
      </c>
      <c r="AN482" s="33">
        <v>1.2125244060150156E-2</v>
      </c>
      <c r="AO482" s="33">
        <v>8.4164969284037088E-4</v>
      </c>
    </row>
    <row r="483" spans="39:41" x14ac:dyDescent="0.25">
      <c r="AM483" s="2">
        <v>480</v>
      </c>
      <c r="AN483" s="33">
        <v>1.6946685014137177E-2</v>
      </c>
      <c r="AO483" s="33">
        <v>1.3831277494803689E-3</v>
      </c>
    </row>
    <row r="484" spans="39:41" x14ac:dyDescent="0.25">
      <c r="AM484" s="2">
        <v>481</v>
      </c>
      <c r="AN484" s="33">
        <v>1.0493805500832936E-2</v>
      </c>
      <c r="AO484" s="33">
        <v>7.9349738690604962E-4</v>
      </c>
    </row>
    <row r="485" spans="39:41" x14ac:dyDescent="0.25">
      <c r="AM485" s="2">
        <v>482</v>
      </c>
      <c r="AN485" s="33">
        <v>9.5530493342377235E-3</v>
      </c>
      <c r="AO485" s="33">
        <v>2.2314270123460504E-4</v>
      </c>
    </row>
    <row r="486" spans="39:41" x14ac:dyDescent="0.25">
      <c r="AM486" s="2">
        <v>483</v>
      </c>
      <c r="AN486" s="33">
        <v>1.3432248419911034E-2</v>
      </c>
      <c r="AO486" s="33">
        <v>8.0848737404452939E-4</v>
      </c>
    </row>
    <row r="487" spans="39:41" x14ac:dyDescent="0.25">
      <c r="AM487" s="2">
        <v>484</v>
      </c>
      <c r="AN487" s="33">
        <v>1.4069393296343763E-2</v>
      </c>
      <c r="AO487" s="33">
        <v>1.2145342033196228E-3</v>
      </c>
    </row>
    <row r="488" spans="39:41" x14ac:dyDescent="0.25">
      <c r="AM488" s="2">
        <v>485</v>
      </c>
      <c r="AN488" s="33">
        <v>1.2400907554872904E-2</v>
      </c>
      <c r="AO488" s="33">
        <v>8.443331270758228E-4</v>
      </c>
    </row>
    <row r="489" spans="39:41" x14ac:dyDescent="0.25">
      <c r="AM489" s="2">
        <v>486</v>
      </c>
      <c r="AN489" s="33">
        <v>1.1346565186270996E-2</v>
      </c>
      <c r="AO489" s="33">
        <v>1.0634943671827435E-3</v>
      </c>
    </row>
    <row r="490" spans="39:41" x14ac:dyDescent="0.25">
      <c r="AM490" s="2">
        <v>487</v>
      </c>
      <c r="AN490" s="33">
        <v>1.5141005111028985E-2</v>
      </c>
      <c r="AO490" s="33">
        <v>1.3757723841323725E-3</v>
      </c>
    </row>
    <row r="491" spans="39:41" x14ac:dyDescent="0.25">
      <c r="AM491" s="2">
        <v>488</v>
      </c>
      <c r="AN491" s="33">
        <v>1.2755476735091847E-2</v>
      </c>
      <c r="AO491" s="33">
        <v>1.0860211278325407E-3</v>
      </c>
    </row>
    <row r="492" spans="39:41" x14ac:dyDescent="0.25">
      <c r="AM492" s="2">
        <v>489</v>
      </c>
      <c r="AN492" s="33">
        <v>1.2481873459525648E-2</v>
      </c>
      <c r="AO492" s="33">
        <v>8.7577943891093736E-4</v>
      </c>
    </row>
    <row r="493" spans="39:41" x14ac:dyDescent="0.25">
      <c r="AM493" s="2">
        <v>490</v>
      </c>
      <c r="AN493" s="33">
        <v>1.1922837558154068E-2</v>
      </c>
      <c r="AO493" s="33">
        <v>1.0539261109291575E-3</v>
      </c>
    </row>
    <row r="494" spans="39:41" x14ac:dyDescent="0.25">
      <c r="AM494" s="2">
        <v>491</v>
      </c>
      <c r="AN494" s="33">
        <v>1.0347638355726538E-2</v>
      </c>
      <c r="AO494" s="33">
        <v>3.1631496214499919E-4</v>
      </c>
    </row>
    <row r="495" spans="39:41" x14ac:dyDescent="0.25">
      <c r="AM495" s="2">
        <v>492</v>
      </c>
      <c r="AN495" s="33">
        <v>1.1837586969560292E-2</v>
      </c>
      <c r="AO495" s="33">
        <v>2.6218835144912859E-5</v>
      </c>
    </row>
    <row r="496" spans="39:41" x14ac:dyDescent="0.25">
      <c r="AM496" s="2">
        <v>493</v>
      </c>
      <c r="AN496" s="33">
        <v>1.0726124954229716E-2</v>
      </c>
      <c r="AO496" s="33">
        <v>6.7216206004409894E-4</v>
      </c>
    </row>
    <row r="497" spans="39:41" x14ac:dyDescent="0.25">
      <c r="AM497" s="2">
        <v>494</v>
      </c>
      <c r="AN497" s="33">
        <v>1.0058822922130072E-2</v>
      </c>
      <c r="AO497" s="33">
        <v>7.9162847064962979E-4</v>
      </c>
    </row>
    <row r="498" spans="39:41" x14ac:dyDescent="0.25">
      <c r="AM498" s="2">
        <v>495</v>
      </c>
      <c r="AN498" s="33">
        <v>1.1587337319330602E-2</v>
      </c>
      <c r="AO498" s="33">
        <v>7.3029070806345919E-4</v>
      </c>
    </row>
    <row r="499" spans="39:41" x14ac:dyDescent="0.25">
      <c r="AM499" s="2">
        <v>496</v>
      </c>
      <c r="AN499" s="33">
        <v>1.3292887908305641E-2</v>
      </c>
      <c r="AO499" s="33">
        <v>8.3892984969468601E-4</v>
      </c>
    </row>
    <row r="500" spans="39:41" x14ac:dyDescent="0.25">
      <c r="AM500" s="2">
        <v>497</v>
      </c>
      <c r="AN500" s="33">
        <v>1.1124246659884891E-2</v>
      </c>
      <c r="AO500" s="33">
        <v>4.6826181857408507E-4</v>
      </c>
    </row>
    <row r="501" spans="39:41" x14ac:dyDescent="0.25">
      <c r="AM501" s="2">
        <v>498</v>
      </c>
      <c r="AN501" s="33">
        <v>1.1800258812357339E-2</v>
      </c>
      <c r="AO501" s="33">
        <v>1.1628038374121908E-3</v>
      </c>
    </row>
    <row r="502" spans="39:41" x14ac:dyDescent="0.25">
      <c r="AM502" s="2">
        <v>499</v>
      </c>
      <c r="AN502" s="33">
        <v>1.3514041032543505E-2</v>
      </c>
      <c r="AO502" s="33">
        <v>8.5722710599885022E-4</v>
      </c>
    </row>
    <row r="503" spans="39:41" x14ac:dyDescent="0.25">
      <c r="AM503" s="2">
        <v>500</v>
      </c>
      <c r="AN503" s="33">
        <v>1.112896588319503E-2</v>
      </c>
      <c r="AO503" s="33">
        <v>7.9133002868674994E-4</v>
      </c>
    </row>
    <row r="504" spans="39:41" x14ac:dyDescent="0.25">
      <c r="AM504" s="2">
        <v>501</v>
      </c>
      <c r="AN504" s="33">
        <v>1.2882579636789182E-2</v>
      </c>
      <c r="AO504" s="33">
        <v>1.0541962154645532E-3</v>
      </c>
    </row>
    <row r="505" spans="39:41" x14ac:dyDescent="0.25">
      <c r="AM505" s="2">
        <v>502</v>
      </c>
      <c r="AN505" s="33">
        <v>1.0082370390295843E-2</v>
      </c>
      <c r="AO505" s="33">
        <v>4.4676682074726938E-4</v>
      </c>
    </row>
    <row r="506" spans="39:41" x14ac:dyDescent="0.25">
      <c r="AM506" s="2">
        <v>503</v>
      </c>
      <c r="AN506" s="33">
        <v>1.25657806108809E-2</v>
      </c>
      <c r="AO506" s="33">
        <v>5.1515104331754176E-4</v>
      </c>
    </row>
    <row r="507" spans="39:41" x14ac:dyDescent="0.25">
      <c r="AM507" s="2">
        <v>504</v>
      </c>
      <c r="AN507" s="33">
        <v>1.2183391118844662E-2</v>
      </c>
      <c r="AO507" s="33">
        <v>1.1686232809222069E-3</v>
      </c>
    </row>
    <row r="508" spans="39:41" x14ac:dyDescent="0.25">
      <c r="AM508" s="2">
        <v>505</v>
      </c>
      <c r="AN508" s="33">
        <v>1.0710977034725738E-2</v>
      </c>
      <c r="AO508" s="33">
        <v>7.0918763861436648E-4</v>
      </c>
    </row>
    <row r="509" spans="39:41" x14ac:dyDescent="0.25">
      <c r="AM509" s="2">
        <v>506</v>
      </c>
      <c r="AN509" s="33">
        <v>1.4519649530293378E-2</v>
      </c>
      <c r="AO509" s="33">
        <v>1.2089361754090819E-3</v>
      </c>
    </row>
    <row r="510" spans="39:41" x14ac:dyDescent="0.25">
      <c r="AM510" s="2">
        <v>507</v>
      </c>
      <c r="AN510" s="33">
        <v>1.1997910877496222E-2</v>
      </c>
      <c r="AO510" s="33">
        <v>1.1179705734904424E-3</v>
      </c>
    </row>
    <row r="511" spans="39:41" x14ac:dyDescent="0.25">
      <c r="AM511" s="2">
        <v>508</v>
      </c>
      <c r="AN511" s="33">
        <v>8.0741091491803446E-3</v>
      </c>
      <c r="AO511" s="33">
        <v>6.4205370735522709E-4</v>
      </c>
    </row>
    <row r="512" spans="39:41" x14ac:dyDescent="0.25">
      <c r="AM512" s="2">
        <v>509</v>
      </c>
      <c r="AN512" s="33">
        <v>1.0238021689551836E-2</v>
      </c>
      <c r="AO512" s="33">
        <v>7.808409351019054E-4</v>
      </c>
    </row>
    <row r="513" spans="39:41" x14ac:dyDescent="0.25">
      <c r="AM513" s="2">
        <v>510</v>
      </c>
      <c r="AN513" s="33">
        <v>9.3869223550985242E-3</v>
      </c>
      <c r="AO513" s="33">
        <v>5.9137295282751855E-4</v>
      </c>
    </row>
    <row r="514" spans="39:41" x14ac:dyDescent="0.25">
      <c r="AM514" s="2">
        <v>511</v>
      </c>
      <c r="AN514" s="33">
        <v>1.2494495874290332E-2</v>
      </c>
      <c r="AO514" s="33">
        <v>4.837094737280425E-4</v>
      </c>
    </row>
    <row r="515" spans="39:41" x14ac:dyDescent="0.25">
      <c r="AM515" s="2">
        <v>512</v>
      </c>
      <c r="AN515" s="33">
        <v>1.6225415909407011E-2</v>
      </c>
      <c r="AO515" s="33">
        <v>1.3131643447561942E-3</v>
      </c>
    </row>
    <row r="516" spans="39:41" x14ac:dyDescent="0.25">
      <c r="AM516" s="2">
        <v>513</v>
      </c>
      <c r="AN516" s="33">
        <v>1.4584279048187642E-2</v>
      </c>
      <c r="AO516" s="33">
        <v>5.9863865091833157E-4</v>
      </c>
    </row>
    <row r="517" spans="39:41" x14ac:dyDescent="0.25">
      <c r="AM517" s="2">
        <v>514</v>
      </c>
      <c r="AN517" s="33">
        <v>1.3070716105852014E-2</v>
      </c>
      <c r="AO517" s="33">
        <v>2.2563853909946289E-4</v>
      </c>
    </row>
    <row r="518" spans="39:41" x14ac:dyDescent="0.25">
      <c r="AM518" s="2">
        <v>515</v>
      </c>
      <c r="AN518" s="33">
        <v>1.5231345348289575E-2</v>
      </c>
      <c r="AO518" s="33">
        <v>1.4659429795792027E-3</v>
      </c>
    </row>
    <row r="519" spans="39:41" x14ac:dyDescent="0.25">
      <c r="AM519" s="2">
        <v>516</v>
      </c>
      <c r="AN519" s="33">
        <v>1.0734264824432601E-2</v>
      </c>
      <c r="AO519" s="33">
        <v>6.6207298064818471E-4</v>
      </c>
    </row>
    <row r="520" spans="39:41" x14ac:dyDescent="0.25">
      <c r="AM520" s="2">
        <v>517</v>
      </c>
      <c r="AN520" s="33">
        <v>1.63500449715527E-2</v>
      </c>
      <c r="AO520" s="33">
        <v>1.5147446867580675E-3</v>
      </c>
    </row>
    <row r="521" spans="39:41" x14ac:dyDescent="0.25">
      <c r="AM521" s="2">
        <v>518</v>
      </c>
      <c r="AN521" s="33">
        <v>1.2185414308216277E-2</v>
      </c>
      <c r="AO521" s="33">
        <v>1.0425011211173639E-3</v>
      </c>
    </row>
    <row r="522" spans="39:41" x14ac:dyDescent="0.25">
      <c r="AM522" s="2">
        <v>519</v>
      </c>
      <c r="AN522" s="33">
        <v>1.0096785347408214E-2</v>
      </c>
      <c r="AO522" s="33">
        <v>7.2249093848242621E-4</v>
      </c>
    </row>
    <row r="523" spans="39:41" x14ac:dyDescent="0.25">
      <c r="AM523" s="2">
        <v>520</v>
      </c>
      <c r="AN523" s="33">
        <v>1.2835834813760071E-2</v>
      </c>
      <c r="AO523" s="33">
        <v>1.2559955207764165E-3</v>
      </c>
    </row>
    <row r="524" spans="39:41" x14ac:dyDescent="0.25">
      <c r="AM524" s="2">
        <v>521</v>
      </c>
      <c r="AN524" s="33">
        <v>8.6678519563035666E-3</v>
      </c>
      <c r="AO524" s="33">
        <v>8.5486381933462313E-4</v>
      </c>
    </row>
    <row r="525" spans="39:41" x14ac:dyDescent="0.25">
      <c r="AM525" s="2">
        <v>522</v>
      </c>
      <c r="AN525" s="33">
        <v>1.3468940577153837E-2</v>
      </c>
      <c r="AO525" s="33">
        <v>1.3485289215506471E-3</v>
      </c>
    </row>
    <row r="526" spans="39:41" x14ac:dyDescent="0.25">
      <c r="AM526" s="2">
        <v>523</v>
      </c>
      <c r="AN526" s="33">
        <v>1.2754229489401719E-2</v>
      </c>
      <c r="AO526" s="33">
        <v>-8.1859612438686018E-5</v>
      </c>
    </row>
    <row r="527" spans="39:41" x14ac:dyDescent="0.25">
      <c r="AM527" s="2">
        <v>524</v>
      </c>
      <c r="AN527" s="33">
        <v>1.3261593164532777E-2</v>
      </c>
      <c r="AO527" s="33">
        <v>6.6265487153785289E-4</v>
      </c>
    </row>
    <row r="528" spans="39:41" x14ac:dyDescent="0.25">
      <c r="AM528" s="2">
        <v>525</v>
      </c>
      <c r="AN528" s="33">
        <v>8.9793049992053908E-3</v>
      </c>
      <c r="AO528" s="33">
        <v>8.8767727782982514E-4</v>
      </c>
    </row>
    <row r="529" spans="39:41" x14ac:dyDescent="0.25">
      <c r="AM529" s="2">
        <v>526</v>
      </c>
      <c r="AN529" s="33">
        <v>1.139480346935845E-2</v>
      </c>
      <c r="AO529" s="33">
        <v>1.0064974314675497E-3</v>
      </c>
    </row>
    <row r="530" spans="39:41" x14ac:dyDescent="0.25">
      <c r="AM530" s="2">
        <v>527</v>
      </c>
      <c r="AN530" s="33">
        <v>8.0270633761525961E-3</v>
      </c>
      <c r="AO530" s="33">
        <v>3.6927570218977737E-4</v>
      </c>
    </row>
    <row r="531" spans="39:41" x14ac:dyDescent="0.25">
      <c r="AM531" s="2">
        <v>528</v>
      </c>
      <c r="AN531" s="33">
        <v>1.0998446928652253E-2</v>
      </c>
      <c r="AO531" s="33">
        <v>8.632342992798541E-4</v>
      </c>
    </row>
    <row r="532" spans="39:41" x14ac:dyDescent="0.25">
      <c r="AM532" s="2">
        <v>529</v>
      </c>
      <c r="AN532" s="33">
        <v>1.1673700091641519E-2</v>
      </c>
      <c r="AO532" s="33">
        <v>5.1249111117663778E-4</v>
      </c>
    </row>
    <row r="533" spans="39:41" x14ac:dyDescent="0.25">
      <c r="AM533" s="2">
        <v>530</v>
      </c>
      <c r="AN533" s="33">
        <v>1.1653537570591586E-2</v>
      </c>
      <c r="AO533" s="33">
        <v>7.538363874276874E-4</v>
      </c>
    </row>
    <row r="534" spans="39:41" x14ac:dyDescent="0.25">
      <c r="AM534" s="2">
        <v>531</v>
      </c>
      <c r="AN534" s="33">
        <v>9.2823722012289681E-3</v>
      </c>
      <c r="AO534" s="33">
        <v>9.4740882844172663E-4</v>
      </c>
    </row>
    <row r="535" spans="39:41" x14ac:dyDescent="0.25">
      <c r="AM535" s="2">
        <v>532</v>
      </c>
      <c r="AN535" s="33">
        <v>1.3859518511388998E-2</v>
      </c>
      <c r="AO535" s="33">
        <v>9.0616191265124153E-4</v>
      </c>
    </row>
    <row r="536" spans="39:41" x14ac:dyDescent="0.25">
      <c r="AM536" s="2">
        <v>533</v>
      </c>
      <c r="AN536" s="33">
        <v>1.0026254138236742E-2</v>
      </c>
      <c r="AO536" s="33">
        <v>7.4269603006803134E-4</v>
      </c>
    </row>
    <row r="537" spans="39:41" x14ac:dyDescent="0.25">
      <c r="AM537" s="2">
        <v>534</v>
      </c>
      <c r="AN537" s="33">
        <v>1.2032879126349313E-2</v>
      </c>
      <c r="AO537" s="33">
        <v>9.3930900349018594E-4</v>
      </c>
    </row>
    <row r="538" spans="39:41" x14ac:dyDescent="0.25">
      <c r="AM538" s="2">
        <v>535</v>
      </c>
      <c r="AN538" s="33">
        <v>8.6624985171537463E-3</v>
      </c>
      <c r="AO538" s="33">
        <v>7.5889594156720072E-4</v>
      </c>
    </row>
    <row r="539" spans="39:41" x14ac:dyDescent="0.25">
      <c r="AM539" s="2">
        <v>536</v>
      </c>
      <c r="AN539" s="33">
        <v>9.6724391230533294E-3</v>
      </c>
      <c r="AO539" s="33">
        <v>3.5353832569770505E-4</v>
      </c>
    </row>
    <row r="540" spans="39:41" x14ac:dyDescent="0.25">
      <c r="AM540" s="2">
        <v>537</v>
      </c>
      <c r="AN540" s="33">
        <v>1.1573550496678502E-2</v>
      </c>
      <c r="AO540" s="33">
        <v>7.9369590021564028E-4</v>
      </c>
    </row>
    <row r="541" spans="39:41" x14ac:dyDescent="0.25">
      <c r="AM541" s="2">
        <v>538</v>
      </c>
      <c r="AN541" s="33">
        <v>1.3680246189134035E-2</v>
      </c>
      <c r="AO541" s="33">
        <v>1.1711205332870609E-3</v>
      </c>
    </row>
    <row r="542" spans="39:41" x14ac:dyDescent="0.25">
      <c r="AM542" s="2">
        <v>539</v>
      </c>
      <c r="AN542" s="33">
        <v>1.2969971768296836E-2</v>
      </c>
      <c r="AO542" s="33">
        <v>9.2027705069224006E-4</v>
      </c>
    </row>
    <row r="543" spans="39:41" x14ac:dyDescent="0.25">
      <c r="AM543" s="2">
        <v>540</v>
      </c>
      <c r="AN543" s="33">
        <v>1.0710727485989075E-2</v>
      </c>
      <c r="AO543" s="33">
        <v>4.6915063630379502E-4</v>
      </c>
    </row>
    <row r="544" spans="39:41" x14ac:dyDescent="0.25">
      <c r="AM544" s="2">
        <v>541</v>
      </c>
      <c r="AN544" s="33">
        <v>1.3336656393822359E-2</v>
      </c>
      <c r="AO544" s="33">
        <v>1.2120933422861474E-3</v>
      </c>
    </row>
    <row r="545" spans="39:41" x14ac:dyDescent="0.25">
      <c r="AM545" s="2">
        <v>542</v>
      </c>
      <c r="AN545" s="33">
        <v>9.8490959140515033E-3</v>
      </c>
      <c r="AO545" s="33">
        <v>8.2530512835708703E-4</v>
      </c>
    </row>
    <row r="546" spans="39:41" x14ac:dyDescent="0.25">
      <c r="AM546" s="2">
        <v>543</v>
      </c>
      <c r="AN546" s="33">
        <v>1.5695534639649938E-2</v>
      </c>
      <c r="AO546" s="33">
        <v>1.1196567776812099E-3</v>
      </c>
    </row>
    <row r="547" spans="39:41" x14ac:dyDescent="0.25">
      <c r="AM547" s="2">
        <v>544</v>
      </c>
      <c r="AN547" s="33">
        <v>1.5500034002268277E-2</v>
      </c>
      <c r="AO547" s="33">
        <v>1.1749170737571737E-3</v>
      </c>
    </row>
    <row r="548" spans="39:41" x14ac:dyDescent="0.25">
      <c r="AM548" s="2">
        <v>545</v>
      </c>
      <c r="AN548" s="33">
        <v>1.0562405511415431E-2</v>
      </c>
      <c r="AO548" s="33">
        <v>1.0738401406177214E-3</v>
      </c>
    </row>
    <row r="549" spans="39:41" x14ac:dyDescent="0.25">
      <c r="AM549" s="2">
        <v>546</v>
      </c>
      <c r="AN549" s="33">
        <v>1.2672241275794771E-2</v>
      </c>
      <c r="AO549" s="33">
        <v>1.0776279138857863E-3</v>
      </c>
    </row>
    <row r="550" spans="39:41" x14ac:dyDescent="0.25">
      <c r="AM550" s="2">
        <v>547</v>
      </c>
      <c r="AN550" s="33">
        <v>1.2620475755020576E-2</v>
      </c>
      <c r="AO550" s="33">
        <v>1.0571819489192855E-3</v>
      </c>
    </row>
    <row r="551" spans="39:41" x14ac:dyDescent="0.25">
      <c r="AM551" s="2">
        <v>548</v>
      </c>
      <c r="AN551" s="33">
        <v>1.2852750155698046E-2</v>
      </c>
      <c r="AO551" s="33">
        <v>1.2506423722402397E-3</v>
      </c>
    </row>
    <row r="552" spans="39:41" x14ac:dyDescent="0.25">
      <c r="AM552" s="2">
        <v>549</v>
      </c>
      <c r="AN552" s="33">
        <v>1.0537353564782916E-2</v>
      </c>
      <c r="AO552" s="33">
        <v>7.4846462302937495E-4</v>
      </c>
    </row>
    <row r="553" spans="39:41" x14ac:dyDescent="0.25">
      <c r="AM553" s="2">
        <v>550</v>
      </c>
      <c r="AN553" s="33">
        <v>1.3231137812885688E-2</v>
      </c>
      <c r="AO553" s="33">
        <v>1.1330769832159763E-3</v>
      </c>
    </row>
    <row r="554" spans="39:41" x14ac:dyDescent="0.25">
      <c r="AM554" s="2">
        <v>551</v>
      </c>
      <c r="AN554" s="33">
        <v>1.0042297933462703E-2</v>
      </c>
      <c r="AO554" s="33">
        <v>5.2750711798815882E-4</v>
      </c>
    </row>
    <row r="555" spans="39:41" x14ac:dyDescent="0.25">
      <c r="AM555" s="2">
        <v>552</v>
      </c>
      <c r="AN555" s="33">
        <v>1.2746554377601572E-2</v>
      </c>
      <c r="AO555" s="33">
        <v>1.0379379138696699E-3</v>
      </c>
    </row>
    <row r="556" spans="39:41" x14ac:dyDescent="0.25">
      <c r="AM556" s="2">
        <v>553</v>
      </c>
      <c r="AN556" s="33">
        <v>1.0607665572672021E-2</v>
      </c>
      <c r="AO556" s="33">
        <v>6.943519021916473E-4</v>
      </c>
    </row>
    <row r="557" spans="39:41" x14ac:dyDescent="0.25">
      <c r="AM557" s="2">
        <v>554</v>
      </c>
      <c r="AN557" s="33">
        <v>1.233270257170797E-2</v>
      </c>
      <c r="AO557" s="33">
        <v>8.2759403864351229E-4</v>
      </c>
    </row>
    <row r="558" spans="39:41" x14ac:dyDescent="0.25">
      <c r="AM558" s="2">
        <v>555</v>
      </c>
      <c r="AN558" s="33">
        <v>9.7401650234329694E-3</v>
      </c>
      <c r="AO558" s="33">
        <v>4.2579418135908591E-4</v>
      </c>
    </row>
    <row r="559" spans="39:41" x14ac:dyDescent="0.25">
      <c r="AM559" s="2">
        <v>556</v>
      </c>
      <c r="AN559" s="33">
        <v>1.1262350628845586E-2</v>
      </c>
      <c r="AO559" s="33">
        <v>8.186020746774864E-4</v>
      </c>
    </row>
    <row r="560" spans="39:41" x14ac:dyDescent="0.25">
      <c r="AM560" s="2">
        <v>557</v>
      </c>
      <c r="AN560" s="33">
        <v>1.1869772236080281E-2</v>
      </c>
      <c r="AO560" s="33">
        <v>1.1470714881081832E-3</v>
      </c>
    </row>
    <row r="561" spans="39:41" x14ac:dyDescent="0.25">
      <c r="AM561" s="2">
        <v>558</v>
      </c>
      <c r="AN561" s="33">
        <v>1.3028029361088392E-2</v>
      </c>
      <c r="AO561" s="33">
        <v>9.9954319644531453E-4</v>
      </c>
    </row>
    <row r="562" spans="39:41" x14ac:dyDescent="0.25">
      <c r="AM562" s="2">
        <v>559</v>
      </c>
      <c r="AN562" s="33">
        <v>1.2807774512619738E-2</v>
      </c>
      <c r="AO562" s="33">
        <v>4.3066388936210378E-4</v>
      </c>
    </row>
    <row r="563" spans="39:41" x14ac:dyDescent="0.25">
      <c r="AM563" s="2">
        <v>560</v>
      </c>
      <c r="AN563" s="33">
        <v>9.5430029566912957E-3</v>
      </c>
      <c r="AO563" s="33">
        <v>6.481229558441367E-4</v>
      </c>
    </row>
    <row r="564" spans="39:41" x14ac:dyDescent="0.25">
      <c r="AM564" s="2">
        <v>561</v>
      </c>
      <c r="AN564" s="33">
        <v>8.4229328138166505E-3</v>
      </c>
      <c r="AO564" s="33">
        <v>3.0339042213365183E-4</v>
      </c>
    </row>
    <row r="565" spans="39:41" x14ac:dyDescent="0.25">
      <c r="AM565" s="2">
        <v>562</v>
      </c>
      <c r="AN565" s="33">
        <v>1.2370590131158894E-2</v>
      </c>
      <c r="AO565" s="33">
        <v>1.1549089901931456E-3</v>
      </c>
    </row>
    <row r="566" spans="39:41" x14ac:dyDescent="0.25">
      <c r="AM566" s="2">
        <v>563</v>
      </c>
      <c r="AN566" s="33">
        <v>1.1572754926846581E-2</v>
      </c>
      <c r="AO566" s="33">
        <v>6.9814673817906125E-4</v>
      </c>
    </row>
    <row r="567" spans="39:41" x14ac:dyDescent="0.25">
      <c r="AM567" s="2">
        <v>564</v>
      </c>
      <c r="AN567" s="33">
        <v>1.2180510350592354E-2</v>
      </c>
      <c r="AO567" s="33">
        <v>9.5333277202827452E-4</v>
      </c>
    </row>
    <row r="568" spans="39:41" x14ac:dyDescent="0.25">
      <c r="AM568" s="2">
        <v>565</v>
      </c>
      <c r="AN568" s="33">
        <v>1.4335122374264684E-2</v>
      </c>
      <c r="AO568" s="33">
        <v>1.1667378890497652E-3</v>
      </c>
    </row>
    <row r="569" spans="39:41" x14ac:dyDescent="0.25">
      <c r="AM569" s="2">
        <v>566</v>
      </c>
      <c r="AN569" s="33">
        <v>1.1737843639260104E-2</v>
      </c>
      <c r="AO569" s="33">
        <v>9.5505409139762059E-4</v>
      </c>
    </row>
    <row r="570" spans="39:41" x14ac:dyDescent="0.25">
      <c r="AM570" s="2">
        <v>567</v>
      </c>
      <c r="AN570" s="33">
        <v>1.3694818052130121E-2</v>
      </c>
      <c r="AO570" s="33">
        <v>1.2945432403006392E-3</v>
      </c>
    </row>
    <row r="571" spans="39:41" x14ac:dyDescent="0.25">
      <c r="AM571" s="2">
        <v>568</v>
      </c>
      <c r="AN571" s="33">
        <v>1.0719116756284772E-2</v>
      </c>
      <c r="AO571" s="33">
        <v>8.8592817824009848E-4</v>
      </c>
    </row>
    <row r="572" spans="39:41" x14ac:dyDescent="0.25">
      <c r="AM572" s="2">
        <v>569</v>
      </c>
      <c r="AN572" s="33">
        <v>1.0408090102240759E-2</v>
      </c>
      <c r="AO572" s="33">
        <v>7.9379683561767796E-4</v>
      </c>
    </row>
    <row r="573" spans="39:41" x14ac:dyDescent="0.25">
      <c r="AM573" s="2">
        <v>570</v>
      </c>
      <c r="AN573" s="33">
        <v>1.3504517320590067E-2</v>
      </c>
      <c r="AO573" s="33">
        <v>1.1455152945830088E-3</v>
      </c>
    </row>
    <row r="574" spans="39:41" x14ac:dyDescent="0.25">
      <c r="AM574" s="2">
        <v>571</v>
      </c>
      <c r="AN574" s="33">
        <v>1.1210155450691549E-2</v>
      </c>
      <c r="AO574" s="33">
        <v>9.4270456759413764E-4</v>
      </c>
    </row>
    <row r="575" spans="39:41" x14ac:dyDescent="0.25">
      <c r="AM575" s="2">
        <v>572</v>
      </c>
      <c r="AN575" s="33">
        <v>1.8203834192613809E-2</v>
      </c>
      <c r="AO575" s="33">
        <v>1.4434390435286593E-3</v>
      </c>
    </row>
    <row r="576" spans="39:41" x14ac:dyDescent="0.25">
      <c r="AM576" s="2">
        <v>573</v>
      </c>
      <c r="AN576" s="33">
        <v>1.3669245901001726E-2</v>
      </c>
      <c r="AO576" s="33">
        <v>1.1002532826411284E-3</v>
      </c>
    </row>
    <row r="577" spans="39:41" x14ac:dyDescent="0.25">
      <c r="AM577" s="2">
        <v>574</v>
      </c>
      <c r="AN577" s="33">
        <v>9.0619953744439461E-3</v>
      </c>
      <c r="AO577" s="33">
        <v>5.5476468577853456E-4</v>
      </c>
    </row>
    <row r="578" spans="39:41" x14ac:dyDescent="0.25">
      <c r="AM578" s="2">
        <v>575</v>
      </c>
      <c r="AN578" s="33">
        <v>1.3172763308111388E-2</v>
      </c>
      <c r="AO578" s="33">
        <v>8.2188219963080257E-4</v>
      </c>
    </row>
    <row r="579" spans="39:41" x14ac:dyDescent="0.25">
      <c r="AM579" s="2">
        <v>576</v>
      </c>
      <c r="AN579" s="33">
        <v>1.2238492861361467E-2</v>
      </c>
      <c r="AO579" s="33">
        <v>6.1718582574672872E-4</v>
      </c>
    </row>
    <row r="580" spans="39:41" x14ac:dyDescent="0.25">
      <c r="AM580" s="2">
        <v>577</v>
      </c>
      <c r="AN580" s="33">
        <v>1.2970084664634901E-2</v>
      </c>
      <c r="AO580" s="33">
        <v>7.2379629930021273E-4</v>
      </c>
    </row>
    <row r="581" spans="39:41" x14ac:dyDescent="0.25">
      <c r="AM581" s="2">
        <v>578</v>
      </c>
      <c r="AN581" s="33">
        <v>9.8339450402954946E-3</v>
      </c>
      <c r="AO581" s="33">
        <v>2.1711813905472634E-4</v>
      </c>
    </row>
    <row r="582" spans="39:41" x14ac:dyDescent="0.25">
      <c r="AM582" s="2">
        <v>579</v>
      </c>
      <c r="AN582" s="33">
        <v>1.0772653984960414E-2</v>
      </c>
      <c r="AO582" s="33">
        <v>6.0037986269715563E-4</v>
      </c>
    </row>
    <row r="583" spans="39:41" x14ac:dyDescent="0.25">
      <c r="AM583" s="2">
        <v>580</v>
      </c>
      <c r="AN583" s="33">
        <v>1.1360659037450507E-2</v>
      </c>
      <c r="AO583" s="33">
        <v>9.2932061034654595E-4</v>
      </c>
    </row>
    <row r="584" spans="39:41" x14ac:dyDescent="0.25">
      <c r="AM584" s="2">
        <v>581</v>
      </c>
      <c r="AN584" s="33">
        <v>1.2603193107269772E-2</v>
      </c>
      <c r="AO584" s="33">
        <v>1.287614279882371E-3</v>
      </c>
    </row>
    <row r="585" spans="39:41" x14ac:dyDescent="0.25">
      <c r="AM585" s="2">
        <v>582</v>
      </c>
      <c r="AN585" s="33">
        <v>9.9771518301896376E-3</v>
      </c>
      <c r="AO585" s="33">
        <v>4.5771462890393665E-4</v>
      </c>
    </row>
    <row r="586" spans="39:41" x14ac:dyDescent="0.25">
      <c r="AM586" s="2">
        <v>583</v>
      </c>
      <c r="AN586" s="33">
        <v>8.8597277717566095E-3</v>
      </c>
      <c r="AO586" s="33">
        <v>6.1301944670094156E-4</v>
      </c>
    </row>
    <row r="587" spans="39:41" x14ac:dyDescent="0.25">
      <c r="AM587" s="2">
        <v>584</v>
      </c>
      <c r="AN587" s="33">
        <v>1.2251792944964493E-2</v>
      </c>
      <c r="AO587" s="33">
        <v>7.9644089769976992E-4</v>
      </c>
    </row>
    <row r="588" spans="39:41" x14ac:dyDescent="0.25">
      <c r="AM588" s="2">
        <v>585</v>
      </c>
      <c r="AN588" s="33">
        <v>9.9101146364165092E-3</v>
      </c>
      <c r="AO588" s="33">
        <v>6.0353227284625139E-4</v>
      </c>
    </row>
    <row r="589" spans="39:41" x14ac:dyDescent="0.25">
      <c r="AM589" s="2">
        <v>586</v>
      </c>
      <c r="AN589" s="33">
        <v>1.0868806844910544E-2</v>
      </c>
      <c r="AO589" s="33">
        <v>3.3770775763032244E-4</v>
      </c>
    </row>
    <row r="590" spans="39:41" x14ac:dyDescent="0.25">
      <c r="AM590" s="2">
        <v>587</v>
      </c>
      <c r="AN590" s="33">
        <v>8.7121197941339764E-3</v>
      </c>
      <c r="AO590" s="33">
        <v>4.2195885834566635E-4</v>
      </c>
    </row>
    <row r="591" spans="39:41" x14ac:dyDescent="0.25">
      <c r="AM591" s="2">
        <v>588</v>
      </c>
      <c r="AN591" s="33">
        <v>1.2932748388345823E-2</v>
      </c>
      <c r="AO591" s="33">
        <v>7.3607639554416784E-4</v>
      </c>
    </row>
    <row r="592" spans="39:41" x14ac:dyDescent="0.25">
      <c r="AM592" s="2">
        <v>589</v>
      </c>
      <c r="AN592" s="33">
        <v>9.8520393485994427E-3</v>
      </c>
      <c r="AO592" s="33">
        <v>7.4353419713820638E-4</v>
      </c>
    </row>
    <row r="593" spans="39:41" x14ac:dyDescent="0.25">
      <c r="AM593" s="2">
        <v>590</v>
      </c>
      <c r="AN593" s="33">
        <v>1.4176698816418276E-2</v>
      </c>
      <c r="AO593" s="33">
        <v>1.1795309045277533E-3</v>
      </c>
    </row>
    <row r="594" spans="39:41" x14ac:dyDescent="0.25">
      <c r="AM594" s="2">
        <v>591</v>
      </c>
      <c r="AN594" s="33">
        <v>9.8185534935893021E-3</v>
      </c>
      <c r="AO594" s="33">
        <v>8.7860338899719377E-4</v>
      </c>
    </row>
    <row r="595" spans="39:41" x14ac:dyDescent="0.25">
      <c r="AM595" s="2">
        <v>592</v>
      </c>
      <c r="AN595" s="33">
        <v>1.1771128649031872E-2</v>
      </c>
      <c r="AO595" s="33">
        <v>5.2344262456896213E-4</v>
      </c>
    </row>
    <row r="596" spans="39:41" x14ac:dyDescent="0.25">
      <c r="AM596" s="2">
        <v>593</v>
      </c>
      <c r="AN596" s="33">
        <v>7.9847654355887261E-3</v>
      </c>
      <c r="AO596" s="33">
        <v>5.6342071468090259E-4</v>
      </c>
    </row>
    <row r="597" spans="39:41" x14ac:dyDescent="0.25">
      <c r="AM597" s="2">
        <v>594</v>
      </c>
      <c r="AN597" s="33">
        <v>1.3727702151571377E-2</v>
      </c>
      <c r="AO597" s="33">
        <v>8.8998215921049168E-4</v>
      </c>
    </row>
    <row r="598" spans="39:41" x14ac:dyDescent="0.25">
      <c r="AM598" s="2">
        <v>595</v>
      </c>
      <c r="AN598" s="33">
        <v>1.03111445180328E-2</v>
      </c>
      <c r="AO598" s="33">
        <v>1.7586906574726673E-4</v>
      </c>
    </row>
    <row r="599" spans="39:41" x14ac:dyDescent="0.25">
      <c r="AM599" s="2">
        <v>596</v>
      </c>
      <c r="AN599" s="33">
        <v>1.7715355007591648E-2</v>
      </c>
      <c r="AO599" s="33">
        <v>1.813317112009487E-3</v>
      </c>
    </row>
    <row r="600" spans="39:41" x14ac:dyDescent="0.25">
      <c r="AM600" s="2">
        <v>597</v>
      </c>
      <c r="AN600" s="33">
        <v>1.3311046585635049E-2</v>
      </c>
      <c r="AO600" s="33">
        <v>1.0321891827413437E-3</v>
      </c>
    </row>
    <row r="601" spans="39:41" x14ac:dyDescent="0.25">
      <c r="AM601" s="2">
        <v>598</v>
      </c>
      <c r="AN601" s="33">
        <v>7.7952281697235152E-3</v>
      </c>
      <c r="AO601" s="33">
        <v>5.1960303097454573E-4</v>
      </c>
    </row>
    <row r="602" spans="39:41" x14ac:dyDescent="0.25">
      <c r="AM602" s="2">
        <v>599</v>
      </c>
      <c r="AN602" s="33">
        <v>1.2060818176181614E-2</v>
      </c>
      <c r="AO602" s="33">
        <v>1.0086795453775497E-3</v>
      </c>
    </row>
    <row r="603" spans="39:41" x14ac:dyDescent="0.25">
      <c r="AM603" s="2">
        <v>600</v>
      </c>
      <c r="AN603" s="33">
        <v>9.7686086551335288E-3</v>
      </c>
      <c r="AO603" s="33">
        <v>9.4525321456605824E-4</v>
      </c>
    </row>
    <row r="604" spans="39:41" x14ac:dyDescent="0.25">
      <c r="AM604" s="2">
        <v>601</v>
      </c>
      <c r="AN604" s="33">
        <v>1.0528537999172888E-2</v>
      </c>
      <c r="AO604" s="33">
        <v>2.9985379529472644E-4</v>
      </c>
    </row>
    <row r="605" spans="39:41" x14ac:dyDescent="0.25">
      <c r="AM605" s="2">
        <v>602</v>
      </c>
      <c r="AN605" s="33">
        <v>1.206421635510318E-2</v>
      </c>
      <c r="AO605" s="33">
        <v>9.7390238670908643E-4</v>
      </c>
    </row>
    <row r="606" spans="39:41" x14ac:dyDescent="0.25">
      <c r="AM606" s="2">
        <v>603</v>
      </c>
      <c r="AN606" s="33">
        <v>1.0996971335625164E-2</v>
      </c>
      <c r="AO606" s="33">
        <v>6.906603537431441E-4</v>
      </c>
    </row>
    <row r="607" spans="39:41" x14ac:dyDescent="0.25">
      <c r="AM607" s="2">
        <v>604</v>
      </c>
      <c r="AN607" s="33">
        <v>1.3822457525852039E-2</v>
      </c>
      <c r="AO607" s="33">
        <v>1.0285092902709292E-3</v>
      </c>
    </row>
    <row r="608" spans="39:41" x14ac:dyDescent="0.25">
      <c r="AM608" s="2">
        <v>605</v>
      </c>
      <c r="AN608" s="33">
        <v>1.4609656628868867E-2</v>
      </c>
      <c r="AO608" s="33">
        <v>1.0622235636514557E-3</v>
      </c>
    </row>
    <row r="609" spans="39:41" x14ac:dyDescent="0.25">
      <c r="AM609" s="2">
        <v>606</v>
      </c>
      <c r="AN609" s="33">
        <v>1.4181236151694365E-2</v>
      </c>
      <c r="AO609" s="33">
        <v>1.2732907731612094E-3</v>
      </c>
    </row>
    <row r="610" spans="39:41" x14ac:dyDescent="0.25">
      <c r="AM610" s="2">
        <v>607</v>
      </c>
      <c r="AN610" s="33">
        <v>1.1798898533507952E-2</v>
      </c>
      <c r="AO610" s="33">
        <v>7.2190196430868732E-4</v>
      </c>
    </row>
    <row r="611" spans="39:41" x14ac:dyDescent="0.25">
      <c r="AM611" s="2">
        <v>608</v>
      </c>
      <c r="AN611" s="33">
        <v>9.805700072082207E-3</v>
      </c>
      <c r="AO611" s="33">
        <v>5.9906340105484823E-4</v>
      </c>
    </row>
    <row r="612" spans="39:41" x14ac:dyDescent="0.25">
      <c r="AM612" s="2">
        <v>609</v>
      </c>
      <c r="AN612" s="33">
        <v>1.1934843635303451E-2</v>
      </c>
      <c r="AO612" s="33">
        <v>9.3130525215585935E-4</v>
      </c>
    </row>
    <row r="613" spans="39:41" x14ac:dyDescent="0.25">
      <c r="AM613" s="2">
        <v>610</v>
      </c>
      <c r="AN613" s="33">
        <v>1.0143899419195874E-2</v>
      </c>
      <c r="AO613" s="33">
        <v>7.8919425692880517E-4</v>
      </c>
    </row>
    <row r="614" spans="39:41" x14ac:dyDescent="0.25">
      <c r="AM614" s="2">
        <v>611</v>
      </c>
      <c r="AN614" s="33">
        <v>1.1332021427079505E-2</v>
      </c>
      <c r="AO614" s="33">
        <v>5.7612715743624531E-4</v>
      </c>
    </row>
    <row r="615" spans="39:41" x14ac:dyDescent="0.25">
      <c r="AM615" s="2">
        <v>612</v>
      </c>
      <c r="AN615" s="33">
        <v>9.4510798836662784E-3</v>
      </c>
      <c r="AO615" s="33">
        <v>5.8138466275547333E-4</v>
      </c>
    </row>
    <row r="616" spans="39:41" x14ac:dyDescent="0.25">
      <c r="AM616" s="2">
        <v>613</v>
      </c>
      <c r="AN616" s="33">
        <v>8.580750782682502E-3</v>
      </c>
      <c r="AO616" s="33">
        <v>7.8195303383775242E-4</v>
      </c>
    </row>
    <row r="617" spans="39:41" x14ac:dyDescent="0.25">
      <c r="AM617" s="2">
        <v>614</v>
      </c>
      <c r="AN617" s="33">
        <v>1.1714809209838861E-2</v>
      </c>
      <c r="AO617" s="33">
        <v>1.128992758927885E-3</v>
      </c>
    </row>
    <row r="618" spans="39:41" x14ac:dyDescent="0.25">
      <c r="AM618" s="2">
        <v>615</v>
      </c>
      <c r="AN618" s="33">
        <v>9.4200215083103615E-3</v>
      </c>
      <c r="AO618" s="33">
        <v>7.781129632289111E-4</v>
      </c>
    </row>
    <row r="619" spans="39:41" x14ac:dyDescent="0.25">
      <c r="AM619" s="2">
        <v>616</v>
      </c>
      <c r="AN619" s="33">
        <v>1.4641643831532851E-2</v>
      </c>
      <c r="AO619" s="33">
        <v>1.4143066874729956E-3</v>
      </c>
    </row>
    <row r="620" spans="39:41" x14ac:dyDescent="0.25">
      <c r="AM620" s="2">
        <v>617</v>
      </c>
      <c r="AN620" s="33">
        <v>8.9185992111542184E-3</v>
      </c>
      <c r="AO620" s="33">
        <v>5.1791042846270206E-4</v>
      </c>
    </row>
    <row r="621" spans="39:41" x14ac:dyDescent="0.25">
      <c r="AM621" s="2">
        <v>618</v>
      </c>
      <c r="AN621" s="33">
        <v>8.0631117213287445E-3</v>
      </c>
      <c r="AO621" s="33">
        <v>3.6734361650199709E-4</v>
      </c>
    </row>
    <row r="622" spans="39:41" x14ac:dyDescent="0.25">
      <c r="AM622" s="2">
        <v>619</v>
      </c>
      <c r="AN622" s="33">
        <v>1.1559329233330723E-2</v>
      </c>
      <c r="AO622" s="33">
        <v>9.0066752557687441E-4</v>
      </c>
    </row>
    <row r="623" spans="39:41" x14ac:dyDescent="0.25">
      <c r="AM623" s="2">
        <v>620</v>
      </c>
      <c r="AN623" s="33">
        <v>1.057485085662598E-2</v>
      </c>
      <c r="AO623" s="33">
        <v>4.7434350434663087E-4</v>
      </c>
    </row>
    <row r="624" spans="39:41" x14ac:dyDescent="0.25">
      <c r="AM624" s="2">
        <v>621</v>
      </c>
      <c r="AN624" s="33">
        <v>1.2942277702167646E-2</v>
      </c>
      <c r="AO624" s="33">
        <v>8.388246613168284E-4</v>
      </c>
    </row>
    <row r="625" spans="39:41" x14ac:dyDescent="0.25">
      <c r="AM625" s="2">
        <v>622</v>
      </c>
      <c r="AN625" s="33">
        <v>1.3388284013751783E-2</v>
      </c>
      <c r="AO625" s="33">
        <v>1.1561819004147998E-3</v>
      </c>
    </row>
    <row r="626" spans="39:41" x14ac:dyDescent="0.25">
      <c r="AM626" s="2">
        <v>623</v>
      </c>
      <c r="AN626" s="33">
        <v>1.0466051337139022E-2</v>
      </c>
      <c r="AO626" s="33">
        <v>8.0573737044257619E-4</v>
      </c>
    </row>
    <row r="627" spans="39:41" x14ac:dyDescent="0.25">
      <c r="AM627" s="2">
        <v>624</v>
      </c>
      <c r="AN627" s="33">
        <v>9.8251556977931639E-3</v>
      </c>
      <c r="AO627" s="33">
        <v>8.4214765686704818E-4</v>
      </c>
    </row>
    <row r="628" spans="39:41" x14ac:dyDescent="0.25">
      <c r="AM628" s="2">
        <v>625</v>
      </c>
      <c r="AN628" s="33">
        <v>1.1540181115674139E-2</v>
      </c>
      <c r="AO628" s="33">
        <v>1.103344506302647E-3</v>
      </c>
    </row>
    <row r="629" spans="39:41" x14ac:dyDescent="0.25">
      <c r="AM629" s="2">
        <v>626</v>
      </c>
      <c r="AN629" s="33">
        <v>1.0528075284979177E-2</v>
      </c>
      <c r="AO629" s="33">
        <v>9.0127577445775118E-4</v>
      </c>
    </row>
    <row r="630" spans="39:41" x14ac:dyDescent="0.25">
      <c r="AM630" s="2">
        <v>627</v>
      </c>
      <c r="AN630" s="33">
        <v>1.2433352545909385E-2</v>
      </c>
      <c r="AO630" s="33">
        <v>7.8411663106718035E-4</v>
      </c>
    </row>
    <row r="631" spans="39:41" x14ac:dyDescent="0.25">
      <c r="AM631" s="2">
        <v>628</v>
      </c>
      <c r="AN631" s="33">
        <v>1.1132757163770223E-2</v>
      </c>
      <c r="AO631" s="33">
        <v>9.5578206319614587E-4</v>
      </c>
    </row>
    <row r="632" spans="39:41" x14ac:dyDescent="0.25">
      <c r="AM632" s="2">
        <v>629</v>
      </c>
      <c r="AN632" s="33">
        <v>1.3467426814366211E-2</v>
      </c>
      <c r="AO632" s="33">
        <v>1.2385010307765143E-3</v>
      </c>
    </row>
    <row r="633" spans="39:41" x14ac:dyDescent="0.25">
      <c r="AM633" s="2">
        <v>630</v>
      </c>
      <c r="AN633" s="33">
        <v>1.2953784581244653E-2</v>
      </c>
      <c r="AO633" s="33">
        <v>9.6832784497701148E-4</v>
      </c>
    </row>
    <row r="634" spans="39:41" x14ac:dyDescent="0.25">
      <c r="AM634" s="2">
        <v>631</v>
      </c>
      <c r="AN634" s="33">
        <v>1.3415874033187888E-2</v>
      </c>
      <c r="AO634" s="33">
        <v>1.1481274098198821E-3</v>
      </c>
    </row>
    <row r="635" spans="39:41" x14ac:dyDescent="0.25">
      <c r="AM635" s="2">
        <v>632</v>
      </c>
      <c r="AN635" s="33">
        <v>1.2505684613888981E-2</v>
      </c>
      <c r="AO635" s="33">
        <v>8.7785960922650349E-4</v>
      </c>
    </row>
    <row r="636" spans="39:41" x14ac:dyDescent="0.25">
      <c r="AM636" s="2">
        <v>633</v>
      </c>
      <c r="AN636" s="33">
        <v>9.7487656767338889E-3</v>
      </c>
      <c r="AO636" s="33">
        <v>7.3946766160455776E-4</v>
      </c>
    </row>
    <row r="637" spans="39:41" x14ac:dyDescent="0.25">
      <c r="AM637" s="2">
        <v>634</v>
      </c>
      <c r="AN637" s="33">
        <v>1.2350853795636657E-2</v>
      </c>
      <c r="AO637" s="33">
        <v>1.032845301316514E-3</v>
      </c>
    </row>
    <row r="638" spans="39:41" x14ac:dyDescent="0.25">
      <c r="AM638" s="2">
        <v>635</v>
      </c>
      <c r="AN638" s="33">
        <v>1.0062665824313524E-2</v>
      </c>
      <c r="AO638" s="33">
        <v>6.0428126712485232E-4</v>
      </c>
    </row>
    <row r="639" spans="39:41" x14ac:dyDescent="0.25">
      <c r="AM639" s="2">
        <v>636</v>
      </c>
      <c r="AN639" s="33">
        <v>9.3738803236070329E-3</v>
      </c>
      <c r="AO639" s="33">
        <v>5.3404422627226244E-4</v>
      </c>
    </row>
    <row r="640" spans="39:41" x14ac:dyDescent="0.25">
      <c r="AM640" s="2">
        <v>637</v>
      </c>
      <c r="AN640" s="33">
        <v>1.1788883228573332E-2</v>
      </c>
      <c r="AO640" s="33">
        <v>9.5885920220637453E-4</v>
      </c>
    </row>
    <row r="641" spans="39:41" x14ac:dyDescent="0.25">
      <c r="AM641" s="2">
        <v>638</v>
      </c>
      <c r="AN641" s="33">
        <v>8.4831559125922232E-3</v>
      </c>
      <c r="AO641" s="33">
        <v>3.1274458858537076E-4</v>
      </c>
    </row>
    <row r="642" spans="39:41" x14ac:dyDescent="0.25">
      <c r="AM642" s="2">
        <v>639</v>
      </c>
      <c r="AN642" s="33">
        <v>1.4421455106179678E-2</v>
      </c>
      <c r="AO642" s="33">
        <v>1.3429590269987952E-3</v>
      </c>
    </row>
    <row r="643" spans="39:41" x14ac:dyDescent="0.25">
      <c r="AM643" s="2">
        <v>640</v>
      </c>
      <c r="AN643" s="33">
        <v>9.7319400726995787E-3</v>
      </c>
      <c r="AO643" s="33">
        <v>5.235165456385476E-4</v>
      </c>
    </row>
    <row r="644" spans="39:41" x14ac:dyDescent="0.25">
      <c r="AM644" s="2">
        <v>641</v>
      </c>
      <c r="AN644" s="33">
        <v>1.2312682534318952E-2</v>
      </c>
      <c r="AO644" s="33">
        <v>8.9615549137818688E-4</v>
      </c>
    </row>
    <row r="645" spans="39:41" x14ac:dyDescent="0.25">
      <c r="AM645" s="2">
        <v>642</v>
      </c>
      <c r="AN645" s="33">
        <v>1.3197152332991261E-2</v>
      </c>
      <c r="AO645" s="33">
        <v>1.0205046767610445E-3</v>
      </c>
    </row>
    <row r="646" spans="39:41" x14ac:dyDescent="0.25">
      <c r="AM646" s="2">
        <v>643</v>
      </c>
      <c r="AN646" s="33">
        <v>8.8082530774112096E-3</v>
      </c>
      <c r="AO646" s="33">
        <v>5.5775840516171656E-4</v>
      </c>
    </row>
    <row r="647" spans="39:41" x14ac:dyDescent="0.25">
      <c r="AM647" s="2">
        <v>644</v>
      </c>
      <c r="AN647" s="33">
        <v>9.4183357802719251E-3</v>
      </c>
      <c r="AO647" s="33">
        <v>8.4223999285890517E-4</v>
      </c>
    </row>
    <row r="648" spans="39:41" x14ac:dyDescent="0.25">
      <c r="AM648" s="2">
        <v>645</v>
      </c>
      <c r="AN648" s="33">
        <v>9.6533590405729116E-3</v>
      </c>
      <c r="AO648" s="33">
        <v>6.9186551144440024E-4</v>
      </c>
    </row>
    <row r="649" spans="39:41" x14ac:dyDescent="0.25">
      <c r="AM649" s="2">
        <v>646</v>
      </c>
      <c r="AN649" s="33">
        <v>1.0111131094196455E-2</v>
      </c>
      <c r="AO649" s="33">
        <v>8.2628566090330415E-4</v>
      </c>
    </row>
    <row r="650" spans="39:41" x14ac:dyDescent="0.25">
      <c r="AM650" s="2">
        <v>647</v>
      </c>
      <c r="AN650" s="33">
        <v>9.4659942475496806E-3</v>
      </c>
      <c r="AO650" s="33">
        <v>4.1150977067888796E-4</v>
      </c>
    </row>
    <row r="651" spans="39:41" x14ac:dyDescent="0.25">
      <c r="AM651" s="2">
        <v>648</v>
      </c>
      <c r="AN651" s="33">
        <v>1.0427598195285031E-2</v>
      </c>
      <c r="AO651" s="33">
        <v>4.2312101219026046E-4</v>
      </c>
    </row>
    <row r="652" spans="39:41" x14ac:dyDescent="0.25">
      <c r="AM652" s="2">
        <v>649</v>
      </c>
      <c r="AN652" s="33">
        <v>1.190288160694709E-2</v>
      </c>
      <c r="AO652" s="33">
        <v>6.9024578993985022E-4</v>
      </c>
    </row>
    <row r="653" spans="39:41" x14ac:dyDescent="0.25">
      <c r="AM653" s="2">
        <v>650</v>
      </c>
      <c r="AN653" s="33">
        <v>1.0469565774964574E-2</v>
      </c>
      <c r="AO653" s="33">
        <v>4.2137934739036522E-4</v>
      </c>
    </row>
    <row r="654" spans="39:41" x14ac:dyDescent="0.25">
      <c r="AM654" s="2">
        <v>651</v>
      </c>
      <c r="AN654" s="33">
        <v>1.1262406036276413E-2</v>
      </c>
      <c r="AO654" s="33">
        <v>9.5152829022964109E-4</v>
      </c>
    </row>
    <row r="655" spans="39:41" x14ac:dyDescent="0.25">
      <c r="AM655" s="2">
        <v>652</v>
      </c>
      <c r="AN655" s="33">
        <v>9.8853113357975E-3</v>
      </c>
      <c r="AO655" s="33">
        <v>4.8229191907365343E-4</v>
      </c>
    </row>
    <row r="656" spans="39:41" x14ac:dyDescent="0.25">
      <c r="AM656" s="2">
        <v>653</v>
      </c>
      <c r="AN656" s="33">
        <v>1.4112486548423684E-2</v>
      </c>
      <c r="AO656" s="33">
        <v>1.2285137517373005E-3</v>
      </c>
    </row>
    <row r="657" spans="39:41" x14ac:dyDescent="0.25">
      <c r="AM657" s="2">
        <v>654</v>
      </c>
      <c r="AN657" s="33">
        <v>1.3877969322025986E-2</v>
      </c>
      <c r="AO657" s="33">
        <v>1.311332694010314E-3</v>
      </c>
    </row>
    <row r="658" spans="39:41" x14ac:dyDescent="0.25">
      <c r="AM658" s="2">
        <v>655</v>
      </c>
      <c r="AN658" s="33">
        <v>8.9287409609012623E-3</v>
      </c>
      <c r="AO658" s="33">
        <v>1.2221235466061309E-4</v>
      </c>
    </row>
    <row r="659" spans="39:41" x14ac:dyDescent="0.25">
      <c r="AM659" s="2">
        <v>656</v>
      </c>
      <c r="AN659" s="33">
        <v>1.0053931350245428E-2</v>
      </c>
      <c r="AO659" s="33">
        <v>3.9330745872224196E-4</v>
      </c>
    </row>
    <row r="660" spans="39:41" x14ac:dyDescent="0.25">
      <c r="AM660" s="2">
        <v>657</v>
      </c>
      <c r="AN660" s="33">
        <v>1.0698642177705005E-2</v>
      </c>
      <c r="AO660" s="33">
        <v>4.66529420911127E-4</v>
      </c>
    </row>
    <row r="661" spans="39:41" x14ac:dyDescent="0.25">
      <c r="AM661" s="2">
        <v>658</v>
      </c>
      <c r="AN661" s="33">
        <v>1.2286462486084547E-2</v>
      </c>
      <c r="AO661" s="33">
        <v>1.0542117908624794E-3</v>
      </c>
    </row>
    <row r="662" spans="39:41" x14ac:dyDescent="0.25">
      <c r="AM662" s="2">
        <v>659</v>
      </c>
      <c r="AN662" s="33">
        <v>9.4198321434540988E-3</v>
      </c>
      <c r="AO662" s="33">
        <v>1.9005939328041615E-4</v>
      </c>
    </row>
    <row r="663" spans="39:41" x14ac:dyDescent="0.25">
      <c r="AM663" s="2">
        <v>660</v>
      </c>
      <c r="AN663" s="33">
        <v>1.091450501771471E-2</v>
      </c>
      <c r="AO663" s="33">
        <v>5.7890515925528539E-4</v>
      </c>
    </row>
    <row r="664" spans="39:41" x14ac:dyDescent="0.25">
      <c r="AM664" s="2">
        <v>661</v>
      </c>
      <c r="AN664" s="33">
        <v>1.7077798285123388E-2</v>
      </c>
      <c r="AO664" s="33">
        <v>5.5826688201354301E-4</v>
      </c>
    </row>
    <row r="665" spans="39:41" x14ac:dyDescent="0.25">
      <c r="AM665" s="2">
        <v>662</v>
      </c>
      <c r="AN665" s="33">
        <v>9.2867783893162241E-3</v>
      </c>
      <c r="AO665" s="33">
        <v>6.81757839640146E-4</v>
      </c>
    </row>
    <row r="666" spans="39:41" x14ac:dyDescent="0.25">
      <c r="AM666" s="2">
        <v>663</v>
      </c>
      <c r="AN666" s="33">
        <v>1.7121875867558686E-2</v>
      </c>
      <c r="AO666" s="33">
        <v>1.5882321490381165E-3</v>
      </c>
    </row>
    <row r="667" spans="39:41" x14ac:dyDescent="0.25">
      <c r="AM667" s="2">
        <v>664</v>
      </c>
      <c r="AN667" s="33">
        <v>1.1978489486890068E-2</v>
      </c>
      <c r="AO667" s="33">
        <v>8.4295514135667175E-4</v>
      </c>
    </row>
    <row r="668" spans="39:41" x14ac:dyDescent="0.25">
      <c r="AM668" s="2">
        <v>665</v>
      </c>
      <c r="AN668" s="33">
        <v>1.1216483989229769E-2</v>
      </c>
      <c r="AO668" s="33">
        <v>7.3082133842194464E-4</v>
      </c>
    </row>
    <row r="669" spans="39:41" x14ac:dyDescent="0.25">
      <c r="AM669" s="2">
        <v>666</v>
      </c>
      <c r="AN669" s="33">
        <v>1.1953335351614372E-2</v>
      </c>
      <c r="AO669" s="33">
        <v>8.0543343264966667E-4</v>
      </c>
    </row>
    <row r="670" spans="39:41" x14ac:dyDescent="0.25">
      <c r="AM670" s="2">
        <v>667</v>
      </c>
      <c r="AN670" s="33">
        <v>7.9291817996420648E-3</v>
      </c>
      <c r="AO670" s="33">
        <v>4.6548127470250452E-4</v>
      </c>
    </row>
    <row r="671" spans="39:41" x14ac:dyDescent="0.25">
      <c r="AM671" s="2">
        <v>668</v>
      </c>
      <c r="AN671" s="33">
        <v>1.2898234520829147E-2</v>
      </c>
      <c r="AO671" s="33">
        <v>8.5217474663185089E-4</v>
      </c>
    </row>
    <row r="672" spans="39:41" x14ac:dyDescent="0.25">
      <c r="AM672" s="2">
        <v>669</v>
      </c>
      <c r="AN672" s="33">
        <v>1.1364260959987335E-2</v>
      </c>
      <c r="AO672" s="33">
        <v>6.8592446005964606E-4</v>
      </c>
    </row>
    <row r="673" spans="39:41" x14ac:dyDescent="0.25">
      <c r="AM673" s="2">
        <v>670</v>
      </c>
      <c r="AN673" s="33">
        <v>1.4383413533369692E-2</v>
      </c>
      <c r="AO673" s="33">
        <v>1.2632493536107027E-3</v>
      </c>
    </row>
    <row r="674" spans="39:41" x14ac:dyDescent="0.25">
      <c r="AM674" s="2">
        <v>671</v>
      </c>
      <c r="AN674" s="33">
        <v>1.1618386343225654E-2</v>
      </c>
      <c r="AO674" s="33">
        <v>8.48885706366696E-4</v>
      </c>
    </row>
    <row r="675" spans="39:41" x14ac:dyDescent="0.25">
      <c r="AM675" s="2">
        <v>672</v>
      </c>
      <c r="AN675" s="33">
        <v>1.2943359895655475E-2</v>
      </c>
      <c r="AO675" s="33">
        <v>1.06101778474573E-3</v>
      </c>
    </row>
    <row r="676" spans="39:41" x14ac:dyDescent="0.25">
      <c r="AM676" s="2">
        <v>673</v>
      </c>
      <c r="AN676" s="33">
        <v>1.2473263590098184E-2</v>
      </c>
      <c r="AO676" s="33">
        <v>-3.9429823791549439E-5</v>
      </c>
    </row>
    <row r="677" spans="39:41" x14ac:dyDescent="0.25">
      <c r="AM677" s="2">
        <v>674</v>
      </c>
      <c r="AN677" s="33">
        <v>1.1434399387806786E-2</v>
      </c>
      <c r="AO677" s="33">
        <v>7.7399795751032007E-4</v>
      </c>
    </row>
    <row r="678" spans="39:41" x14ac:dyDescent="0.25">
      <c r="AM678" s="2">
        <v>675</v>
      </c>
      <c r="AN678" s="33">
        <v>1.0293544487029155E-2</v>
      </c>
      <c r="AO678" s="33">
        <v>7.8756224346468093E-4</v>
      </c>
    </row>
    <row r="679" spans="39:41" x14ac:dyDescent="0.25">
      <c r="AM679" s="2">
        <v>676</v>
      </c>
      <c r="AN679" s="33">
        <v>8.3041369732875063E-3</v>
      </c>
      <c r="AO679" s="33">
        <v>4.0928993273346373E-4</v>
      </c>
    </row>
    <row r="680" spans="39:41" x14ac:dyDescent="0.25">
      <c r="AM680" s="2">
        <v>677</v>
      </c>
      <c r="AN680" s="33">
        <v>9.5807350342347261E-3</v>
      </c>
      <c r="AO680" s="33">
        <v>4.6325401603449569E-4</v>
      </c>
    </row>
    <row r="681" spans="39:41" x14ac:dyDescent="0.25">
      <c r="AM681" s="2">
        <v>678</v>
      </c>
      <c r="AN681" s="33">
        <v>1.0428159838903758E-2</v>
      </c>
      <c r="AO681" s="33">
        <v>6.4799374762678299E-4</v>
      </c>
    </row>
    <row r="682" spans="39:41" x14ac:dyDescent="0.25">
      <c r="AM682" s="2">
        <v>679</v>
      </c>
      <c r="AN682" s="33">
        <v>1.446987430041405E-2</v>
      </c>
      <c r="AO682" s="33">
        <v>1.2409477222053986E-3</v>
      </c>
    </row>
    <row r="683" spans="39:41" x14ac:dyDescent="0.25">
      <c r="AM683" s="2">
        <v>680</v>
      </c>
      <c r="AN683" s="33">
        <v>1.0066760804162297E-2</v>
      </c>
      <c r="AO683" s="33">
        <v>7.3751059134578238E-4</v>
      </c>
    </row>
    <row r="684" spans="39:41" x14ac:dyDescent="0.25">
      <c r="AM684" s="2">
        <v>681</v>
      </c>
      <c r="AN684" s="33">
        <v>1.2180974412879417E-2</v>
      </c>
      <c r="AO684" s="33">
        <v>9.5665699462599665E-4</v>
      </c>
    </row>
    <row r="685" spans="39:41" x14ac:dyDescent="0.25">
      <c r="AM685" s="2">
        <v>682</v>
      </c>
      <c r="AN685" s="33">
        <v>9.4163590061574279E-3</v>
      </c>
      <c r="AO685" s="33">
        <v>3.1196562165741601E-4</v>
      </c>
    </row>
    <row r="686" spans="39:41" x14ac:dyDescent="0.25">
      <c r="AM686" s="2">
        <v>683</v>
      </c>
      <c r="AN686" s="33">
        <v>1.2034688599858805E-2</v>
      </c>
      <c r="AO686" s="33">
        <v>8.6730337347491737E-4</v>
      </c>
    </row>
    <row r="687" spans="39:41" x14ac:dyDescent="0.25">
      <c r="AM687" s="2">
        <v>684</v>
      </c>
      <c r="AN687" s="33">
        <v>9.7078277120246931E-3</v>
      </c>
      <c r="AO687" s="33">
        <v>5.4393822184174896E-4</v>
      </c>
    </row>
    <row r="688" spans="39:41" x14ac:dyDescent="0.25">
      <c r="AM688" s="2">
        <v>685</v>
      </c>
      <c r="AN688" s="33">
        <v>1.5943044198887063E-2</v>
      </c>
      <c r="AO688" s="33">
        <v>1.4011581013068306E-3</v>
      </c>
    </row>
    <row r="689" spans="39:41" x14ac:dyDescent="0.25">
      <c r="AM689" s="2">
        <v>686</v>
      </c>
      <c r="AN689" s="33">
        <v>1.1026858618086697E-2</v>
      </c>
      <c r="AO689" s="33">
        <v>1.0356747264105874E-3</v>
      </c>
    </row>
    <row r="690" spans="39:41" x14ac:dyDescent="0.25">
      <c r="AM690" s="2">
        <v>687</v>
      </c>
      <c r="AN690" s="33">
        <v>1.3065774922255635E-2</v>
      </c>
      <c r="AO690" s="33">
        <v>1.0347620116856503E-3</v>
      </c>
    </row>
    <row r="691" spans="39:41" x14ac:dyDescent="0.25">
      <c r="AM691" s="2">
        <v>688</v>
      </c>
      <c r="AN691" s="33">
        <v>1.1235931746294479E-2</v>
      </c>
      <c r="AO691" s="33">
        <v>7.8464846403148271E-4</v>
      </c>
    </row>
    <row r="692" spans="39:41" x14ac:dyDescent="0.25">
      <c r="AM692" s="2">
        <v>689</v>
      </c>
      <c r="AN692" s="33">
        <v>9.961216355315659E-3</v>
      </c>
      <c r="AO692" s="33">
        <v>7.0491850471990261E-4</v>
      </c>
    </row>
    <row r="693" spans="39:41" x14ac:dyDescent="0.25">
      <c r="AM693" s="2">
        <v>690</v>
      </c>
      <c r="AN693" s="33">
        <v>9.3558640526766081E-3</v>
      </c>
      <c r="AO693" s="33">
        <v>6.6831602783070764E-4</v>
      </c>
    </row>
    <row r="694" spans="39:41" x14ac:dyDescent="0.25">
      <c r="AM694" s="2">
        <v>691</v>
      </c>
      <c r="AN694" s="33">
        <v>1.3054353629580026E-2</v>
      </c>
      <c r="AO694" s="33">
        <v>8.2486827740139025E-4</v>
      </c>
    </row>
    <row r="695" spans="39:41" x14ac:dyDescent="0.25">
      <c r="AM695" s="2">
        <v>692</v>
      </c>
      <c r="AN695" s="33">
        <v>1.1461345981477512E-2</v>
      </c>
      <c r="AO695" s="33">
        <v>8.647480934630829E-4</v>
      </c>
    </row>
    <row r="696" spans="39:41" x14ac:dyDescent="0.25">
      <c r="AM696" s="2">
        <v>693</v>
      </c>
      <c r="AN696" s="33">
        <v>9.2708984173491583E-3</v>
      </c>
      <c r="AO696" s="33">
        <v>6.8552451325515048E-4</v>
      </c>
    </row>
    <row r="697" spans="39:41" x14ac:dyDescent="0.25">
      <c r="AM697" s="2">
        <v>694</v>
      </c>
      <c r="AN697" s="33">
        <v>1.1745018791676316E-2</v>
      </c>
      <c r="AO697" s="33">
        <v>5.6351832111661794E-4</v>
      </c>
    </row>
    <row r="698" spans="39:41" x14ac:dyDescent="0.25">
      <c r="AM698" s="2">
        <v>695</v>
      </c>
      <c r="AN698" s="33">
        <v>1.1173664520379227E-2</v>
      </c>
      <c r="AO698" s="33">
        <v>1.029467353956891E-3</v>
      </c>
    </row>
    <row r="699" spans="39:41" x14ac:dyDescent="0.25">
      <c r="AM699" s="2">
        <v>696</v>
      </c>
      <c r="AN699" s="33">
        <v>9.1296494829967781E-3</v>
      </c>
      <c r="AO699" s="33">
        <v>3.6050033329839749E-4</v>
      </c>
    </row>
    <row r="700" spans="39:41" x14ac:dyDescent="0.25">
      <c r="AM700" s="2">
        <v>697</v>
      </c>
      <c r="AN700" s="33">
        <v>9.5194154354273069E-3</v>
      </c>
      <c r="AO700" s="33">
        <v>1.4688675331196794E-4</v>
      </c>
    </row>
    <row r="701" spans="39:41" x14ac:dyDescent="0.25">
      <c r="AM701" s="2">
        <v>698</v>
      </c>
      <c r="AN701" s="33">
        <v>1.1604598490693389E-2</v>
      </c>
      <c r="AO701" s="33">
        <v>8.8006387844869046E-4</v>
      </c>
    </row>
    <row r="702" spans="39:41" x14ac:dyDescent="0.25">
      <c r="AM702" s="2">
        <v>699</v>
      </c>
      <c r="AN702" s="33">
        <v>1.1095026372365487E-2</v>
      </c>
      <c r="AO702" s="33">
        <v>6.4906537496843466E-4</v>
      </c>
    </row>
    <row r="703" spans="39:41" x14ac:dyDescent="0.25">
      <c r="AM703" s="2">
        <v>700</v>
      </c>
      <c r="AN703" s="33">
        <v>1.0832999736171807E-2</v>
      </c>
      <c r="AO703" s="33">
        <v>5.5304859461610505E-4</v>
      </c>
    </row>
    <row r="704" spans="39:41" x14ac:dyDescent="0.25">
      <c r="AM704" s="2">
        <v>701</v>
      </c>
      <c r="AN704" s="33">
        <v>1.16284707703535E-2</v>
      </c>
      <c r="AO704" s="33">
        <v>1.0379441195968175E-3</v>
      </c>
    </row>
    <row r="705" spans="39:41" x14ac:dyDescent="0.25">
      <c r="AM705" s="2">
        <v>702</v>
      </c>
      <c r="AN705" s="33">
        <v>1.2152935693475062E-2</v>
      </c>
      <c r="AO705" s="33">
        <v>8.3698130600167798E-4</v>
      </c>
    </row>
    <row r="706" spans="39:41" x14ac:dyDescent="0.25">
      <c r="AM706" s="2">
        <v>703</v>
      </c>
      <c r="AN706" s="33">
        <v>1.2892130322332091E-2</v>
      </c>
      <c r="AO706" s="33">
        <v>9.4143187052299273E-4</v>
      </c>
    </row>
    <row r="707" spans="39:41" x14ac:dyDescent="0.25">
      <c r="AM707" s="2">
        <v>704</v>
      </c>
      <c r="AN707" s="33">
        <v>8.838362382896519E-3</v>
      </c>
      <c r="AO707" s="33">
        <v>2.9588037762002666E-4</v>
      </c>
    </row>
    <row r="708" spans="39:41" x14ac:dyDescent="0.25">
      <c r="AM708" s="2">
        <v>705</v>
      </c>
      <c r="AN708" s="33">
        <v>1.0956195864491326E-2</v>
      </c>
      <c r="AO708" s="33">
        <v>7.6045241930763636E-4</v>
      </c>
    </row>
    <row r="709" spans="39:41" x14ac:dyDescent="0.25">
      <c r="AM709" s="2">
        <v>706</v>
      </c>
      <c r="AN709" s="33">
        <v>1.1983878111949623E-2</v>
      </c>
      <c r="AO709" s="33">
        <v>1.2061726006451711E-3</v>
      </c>
    </row>
    <row r="710" spans="39:41" x14ac:dyDescent="0.25">
      <c r="AM710" s="2">
        <v>707</v>
      </c>
      <c r="AN710" s="33">
        <v>1.1345906131981293E-2</v>
      </c>
      <c r="AO710" s="33">
        <v>1.0339513430797065E-3</v>
      </c>
    </row>
    <row r="711" spans="39:41" x14ac:dyDescent="0.25">
      <c r="AM711" s="2">
        <v>708</v>
      </c>
      <c r="AN711" s="33">
        <v>1.1221346981140405E-2</v>
      </c>
      <c r="AO711" s="33">
        <v>9.7719534797108417E-4</v>
      </c>
    </row>
    <row r="712" spans="39:41" x14ac:dyDescent="0.25">
      <c r="AM712" s="2">
        <v>709</v>
      </c>
      <c r="AN712" s="33">
        <v>1.5044919996551801E-2</v>
      </c>
      <c r="AO712" s="33">
        <v>1.2697438315379909E-3</v>
      </c>
    </row>
    <row r="713" spans="39:41" x14ac:dyDescent="0.25">
      <c r="AM713" s="2">
        <v>710</v>
      </c>
      <c r="AN713" s="33">
        <v>1.0699272784806061E-2</v>
      </c>
      <c r="AO713" s="33">
        <v>5.9054825282965834E-4</v>
      </c>
    </row>
    <row r="714" spans="39:41" x14ac:dyDescent="0.25">
      <c r="AM714" s="2">
        <v>711</v>
      </c>
      <c r="AN714" s="33">
        <v>6.9491219609766472E-3</v>
      </c>
      <c r="AO714" s="33">
        <v>4.6861628082471042E-4</v>
      </c>
    </row>
    <row r="715" spans="39:41" x14ac:dyDescent="0.25">
      <c r="AM715" s="2">
        <v>712</v>
      </c>
      <c r="AN715" s="33">
        <v>8.4269636925872575E-3</v>
      </c>
      <c r="AO715" s="33">
        <v>6.3653298116250377E-4</v>
      </c>
    </row>
    <row r="716" spans="39:41" x14ac:dyDescent="0.25">
      <c r="AM716" s="2">
        <v>713</v>
      </c>
      <c r="AN716" s="33">
        <v>1.3753584512805735E-2</v>
      </c>
      <c r="AO716" s="33">
        <v>1.2002723135693951E-3</v>
      </c>
    </row>
    <row r="717" spans="39:41" x14ac:dyDescent="0.25">
      <c r="AM717" s="2">
        <v>714</v>
      </c>
      <c r="AN717" s="33">
        <v>1.2473788997949344E-2</v>
      </c>
      <c r="AO717" s="33">
        <v>1.1609312524550083E-3</v>
      </c>
    </row>
    <row r="718" spans="39:41" x14ac:dyDescent="0.25">
      <c r="AM718" s="2">
        <v>715</v>
      </c>
      <c r="AN718" s="33">
        <v>1.2289922048344157E-2</v>
      </c>
      <c r="AO718" s="33">
        <v>1.19268963537331E-3</v>
      </c>
    </row>
    <row r="719" spans="39:41" x14ac:dyDescent="0.25">
      <c r="AM719" s="2">
        <v>716</v>
      </c>
      <c r="AN719" s="33">
        <v>1.4262249243142018E-2</v>
      </c>
      <c r="AO719" s="33">
        <v>1.2735255115322954E-3</v>
      </c>
    </row>
    <row r="720" spans="39:41" x14ac:dyDescent="0.25">
      <c r="AM720" s="2">
        <v>717</v>
      </c>
      <c r="AN720" s="33">
        <v>1.1315461228288477E-2</v>
      </c>
      <c r="AO720" s="33">
        <v>9.1367023859440736E-4</v>
      </c>
    </row>
    <row r="721" spans="39:41" x14ac:dyDescent="0.25">
      <c r="AM721" s="2">
        <v>718</v>
      </c>
      <c r="AN721" s="33">
        <v>1.0676101777629262E-2</v>
      </c>
      <c r="AO721" s="33">
        <v>5.0537478969555098E-4</v>
      </c>
    </row>
    <row r="722" spans="39:41" x14ac:dyDescent="0.25">
      <c r="AM722" s="2">
        <v>719</v>
      </c>
      <c r="AN722" s="33">
        <v>1.0781964835935392E-2</v>
      </c>
      <c r="AO722" s="33">
        <v>6.8514920036652754E-4</v>
      </c>
    </row>
    <row r="723" spans="39:41" x14ac:dyDescent="0.25">
      <c r="AM723" s="2">
        <v>720</v>
      </c>
      <c r="AN723" s="33">
        <v>1.1737229924413966E-2</v>
      </c>
      <c r="AO723" s="33">
        <v>1.1361430104379795E-3</v>
      </c>
    </row>
    <row r="724" spans="39:41" x14ac:dyDescent="0.25">
      <c r="AM724" s="2">
        <v>721</v>
      </c>
      <c r="AN724" s="33">
        <v>1.1618229188163659E-2</v>
      </c>
      <c r="AO724" s="33">
        <v>8.4545823112868877E-4</v>
      </c>
    </row>
    <row r="725" spans="39:41" x14ac:dyDescent="0.25">
      <c r="AM725" s="2">
        <v>722</v>
      </c>
      <c r="AN725" s="33">
        <v>1.1453290300884288E-2</v>
      </c>
      <c r="AO725" s="33">
        <v>6.7066171636924964E-4</v>
      </c>
    </row>
    <row r="726" spans="39:41" x14ac:dyDescent="0.25">
      <c r="AM726" s="2">
        <v>723</v>
      </c>
      <c r="AN726" s="33">
        <v>8.3630264013982662E-3</v>
      </c>
      <c r="AO726" s="33">
        <v>3.8118345599989106E-4</v>
      </c>
    </row>
    <row r="727" spans="39:41" x14ac:dyDescent="0.25">
      <c r="AM727" s="2">
        <v>724</v>
      </c>
      <c r="AN727" s="33">
        <v>1.1516139683379127E-2</v>
      </c>
      <c r="AO727" s="33">
        <v>1.1258537139638941E-3</v>
      </c>
    </row>
    <row r="728" spans="39:41" x14ac:dyDescent="0.25">
      <c r="AM728" s="2">
        <v>725</v>
      </c>
      <c r="AN728" s="33">
        <v>1.386316420337718E-2</v>
      </c>
      <c r="AO728" s="33">
        <v>9.5632447460036057E-4</v>
      </c>
    </row>
    <row r="729" spans="39:41" x14ac:dyDescent="0.25">
      <c r="AM729" s="2">
        <v>726</v>
      </c>
      <c r="AN729" s="33">
        <v>8.6953314033896192E-3</v>
      </c>
      <c r="AO729" s="33">
        <v>5.1111965683247761E-4</v>
      </c>
    </row>
    <row r="730" spans="39:41" x14ac:dyDescent="0.25">
      <c r="AM730" s="2">
        <v>727</v>
      </c>
      <c r="AN730" s="33">
        <v>1.1274215902586525E-2</v>
      </c>
      <c r="AO730" s="33">
        <v>9.8395448038403029E-4</v>
      </c>
    </row>
    <row r="731" spans="39:41" x14ac:dyDescent="0.25">
      <c r="AM731" s="2">
        <v>728</v>
      </c>
      <c r="AN731" s="33">
        <v>1.3861436787022162E-2</v>
      </c>
      <c r="AO731" s="33">
        <v>1.0791394320009778E-3</v>
      </c>
    </row>
    <row r="732" spans="39:41" x14ac:dyDescent="0.25">
      <c r="AM732" s="2">
        <v>729</v>
      </c>
      <c r="AN732" s="33">
        <v>1.3060299559053291E-2</v>
      </c>
      <c r="AO732" s="33">
        <v>9.1212850380762041E-4</v>
      </c>
    </row>
    <row r="733" spans="39:41" x14ac:dyDescent="0.25">
      <c r="AM733" s="2">
        <v>730</v>
      </c>
      <c r="AN733" s="33">
        <v>1.0133594676370331E-2</v>
      </c>
      <c r="AO733" s="33">
        <v>3.9364416815870019E-4</v>
      </c>
    </row>
    <row r="734" spans="39:41" x14ac:dyDescent="0.25">
      <c r="AM734" s="2">
        <v>731</v>
      </c>
      <c r="AN734" s="33">
        <v>9.2540272147048803E-3</v>
      </c>
      <c r="AO734" s="33">
        <v>5.1201932258187533E-4</v>
      </c>
    </row>
    <row r="735" spans="39:41" x14ac:dyDescent="0.25">
      <c r="AM735" s="2">
        <v>732</v>
      </c>
      <c r="AN735" s="33">
        <v>1.3366643677765902E-2</v>
      </c>
      <c r="AO735" s="33">
        <v>1.399300468772801E-3</v>
      </c>
    </row>
    <row r="736" spans="39:41" x14ac:dyDescent="0.25">
      <c r="AM736" s="2">
        <v>733</v>
      </c>
      <c r="AN736" s="33">
        <v>1.3610199408789679E-2</v>
      </c>
      <c r="AO736" s="33">
        <v>1.395951409854232E-3</v>
      </c>
    </row>
    <row r="737" spans="39:41" x14ac:dyDescent="0.25">
      <c r="AM737" s="2">
        <v>734</v>
      </c>
      <c r="AN737" s="33">
        <v>9.4655560804099443E-3</v>
      </c>
      <c r="AO737" s="33">
        <v>2.1924695860460608E-4</v>
      </c>
    </row>
    <row r="738" spans="39:41" x14ac:dyDescent="0.25">
      <c r="AM738" s="2">
        <v>735</v>
      </c>
      <c r="AN738" s="33">
        <v>1.4303006910043325E-2</v>
      </c>
      <c r="AO738" s="33">
        <v>1.0886745392987846E-3</v>
      </c>
    </row>
    <row r="739" spans="39:41" x14ac:dyDescent="0.25">
      <c r="AM739" s="2">
        <v>736</v>
      </c>
      <c r="AN739" s="33">
        <v>1.0108610307131205E-2</v>
      </c>
      <c r="AO739" s="33">
        <v>6.7562816119987545E-4</v>
      </c>
    </row>
    <row r="740" spans="39:41" x14ac:dyDescent="0.25">
      <c r="AM740" s="2">
        <v>737</v>
      </c>
      <c r="AN740" s="33">
        <v>1.0186263886710314E-2</v>
      </c>
      <c r="AO740" s="33">
        <v>1.0422072819938337E-3</v>
      </c>
    </row>
    <row r="741" spans="39:41" x14ac:dyDescent="0.25">
      <c r="AM741" s="2">
        <v>738</v>
      </c>
      <c r="AN741" s="33">
        <v>1.1551354957863339E-2</v>
      </c>
      <c r="AO741" s="33">
        <v>9.3334373177535613E-4</v>
      </c>
    </row>
    <row r="742" spans="39:41" x14ac:dyDescent="0.25">
      <c r="AM742" s="2">
        <v>739</v>
      </c>
      <c r="AN742" s="33">
        <v>9.8486823180796278E-3</v>
      </c>
      <c r="AO742" s="33">
        <v>7.8884157667924643E-4</v>
      </c>
    </row>
    <row r="743" spans="39:41" x14ac:dyDescent="0.25">
      <c r="AM743" s="2">
        <v>740</v>
      </c>
      <c r="AN743" s="33">
        <v>8.9679558103735301E-3</v>
      </c>
      <c r="AO743" s="33">
        <v>7.207617990229421E-4</v>
      </c>
    </row>
    <row r="744" spans="39:41" x14ac:dyDescent="0.25">
      <c r="AM744" s="2">
        <v>741</v>
      </c>
      <c r="AN744" s="33">
        <v>1.0286949746965183E-2</v>
      </c>
      <c r="AO744" s="33">
        <v>8.9464271037793797E-4</v>
      </c>
    </row>
    <row r="745" spans="39:41" x14ac:dyDescent="0.25">
      <c r="AM745" s="2">
        <v>742</v>
      </c>
      <c r="AN745" s="33">
        <v>1.0365841989403478E-2</v>
      </c>
      <c r="AO745" s="33">
        <v>1.0922723997584675E-3</v>
      </c>
    </row>
    <row r="746" spans="39:41" x14ac:dyDescent="0.25">
      <c r="AM746" s="2">
        <v>743</v>
      </c>
      <c r="AN746" s="33">
        <v>1.5443381927342252E-2</v>
      </c>
      <c r="AO746" s="33">
        <v>1.485270820108043E-3</v>
      </c>
    </row>
    <row r="747" spans="39:41" x14ac:dyDescent="0.25">
      <c r="AM747" s="2">
        <v>744</v>
      </c>
      <c r="AN747" s="33">
        <v>1.1613317384856863E-2</v>
      </c>
      <c r="AO747" s="33">
        <v>7.4158715763045007E-4</v>
      </c>
    </row>
    <row r="748" spans="39:41" x14ac:dyDescent="0.25">
      <c r="AM748" s="2">
        <v>745</v>
      </c>
      <c r="AN748" s="33">
        <v>9.2558694281772314E-3</v>
      </c>
      <c r="AO748" s="33">
        <v>8.178065359978517E-4</v>
      </c>
    </row>
    <row r="749" spans="39:41" x14ac:dyDescent="0.25">
      <c r="AM749" s="2">
        <v>746</v>
      </c>
      <c r="AN749" s="33">
        <v>8.6615447781596168E-3</v>
      </c>
      <c r="AO749" s="33">
        <v>4.0144916645661722E-4</v>
      </c>
    </row>
    <row r="750" spans="39:41" x14ac:dyDescent="0.25">
      <c r="AM750" s="2">
        <v>747</v>
      </c>
      <c r="AN750" s="33">
        <v>9.5088003509851103E-3</v>
      </c>
      <c r="AO750" s="33">
        <v>8.4898719776611614E-4</v>
      </c>
    </row>
    <row r="751" spans="39:41" x14ac:dyDescent="0.25">
      <c r="AM751" s="2">
        <v>748</v>
      </c>
      <c r="AN751" s="33">
        <v>1.2816376616593256E-2</v>
      </c>
      <c r="AO751" s="33">
        <v>8.9113807132470144E-4</v>
      </c>
    </row>
    <row r="752" spans="39:41" x14ac:dyDescent="0.25">
      <c r="AM752" s="2">
        <v>749</v>
      </c>
      <c r="AN752" s="33">
        <v>8.4813522152117696E-3</v>
      </c>
      <c r="AO752" s="33">
        <v>4.9520979783179188E-4</v>
      </c>
    </row>
    <row r="753" spans="39:41" x14ac:dyDescent="0.25">
      <c r="AM753" s="2">
        <v>750</v>
      </c>
      <c r="AN753" s="33">
        <v>1.1699096655960859E-2</v>
      </c>
      <c r="AO753" s="33">
        <v>4.4071483798013248E-4</v>
      </c>
    </row>
    <row r="754" spans="39:41" x14ac:dyDescent="0.25">
      <c r="AM754" s="2">
        <v>751</v>
      </c>
      <c r="AN754" s="33">
        <v>1.7149307142548722E-2</v>
      </c>
      <c r="AO754" s="33">
        <v>1.7912688051504892E-3</v>
      </c>
    </row>
    <row r="755" spans="39:41" x14ac:dyDescent="0.25">
      <c r="AM755" s="2">
        <v>752</v>
      </c>
      <c r="AN755" s="33">
        <v>1.3622659092836864E-2</v>
      </c>
      <c r="AO755" s="33">
        <v>9.6141706683221457E-4</v>
      </c>
    </row>
    <row r="756" spans="39:41" x14ac:dyDescent="0.25">
      <c r="AM756" s="2">
        <v>753</v>
      </c>
      <c r="AN756" s="33">
        <v>9.2250714343109341E-3</v>
      </c>
      <c r="AO756" s="33">
        <v>7.3784966177832696E-4</v>
      </c>
    </row>
    <row r="757" spans="39:41" x14ac:dyDescent="0.25">
      <c r="AM757" s="2">
        <v>754</v>
      </c>
      <c r="AN757" s="33">
        <v>1.1712185599391085E-2</v>
      </c>
      <c r="AO757" s="33">
        <v>8.9104614704823225E-4</v>
      </c>
    </row>
    <row r="758" spans="39:41" x14ac:dyDescent="0.25">
      <c r="AM758" s="2">
        <v>755</v>
      </c>
      <c r="AN758" s="33">
        <v>1.0815667311109355E-2</v>
      </c>
      <c r="AO758" s="33">
        <v>3.513899750143978E-4</v>
      </c>
    </row>
    <row r="759" spans="39:41" x14ac:dyDescent="0.25">
      <c r="AM759" s="2">
        <v>756</v>
      </c>
      <c r="AN759" s="33">
        <v>1.4971378910310043E-2</v>
      </c>
      <c r="AO759" s="33">
        <v>1.2169858648425592E-3</v>
      </c>
    </row>
    <row r="760" spans="39:41" x14ac:dyDescent="0.25">
      <c r="AM760" s="2">
        <v>757</v>
      </c>
      <c r="AN760" s="33">
        <v>1.1558896364876699E-2</v>
      </c>
      <c r="AO760" s="33">
        <v>1.1315262400448246E-3</v>
      </c>
    </row>
    <row r="761" spans="39:41" x14ac:dyDescent="0.25">
      <c r="AM761" s="2">
        <v>758</v>
      </c>
      <c r="AN761" s="33">
        <v>1.1692639402153633E-2</v>
      </c>
      <c r="AO761" s="33">
        <v>3.1641663326100486E-4</v>
      </c>
    </row>
    <row r="762" spans="39:41" x14ac:dyDescent="0.25">
      <c r="AM762" s="2">
        <v>759</v>
      </c>
      <c r="AN762" s="33">
        <v>8.4691081677011632E-3</v>
      </c>
      <c r="AO762" s="33">
        <v>8.5593261094000052E-4</v>
      </c>
    </row>
    <row r="763" spans="39:41" x14ac:dyDescent="0.25">
      <c r="AM763" s="2">
        <v>760</v>
      </c>
      <c r="AN763" s="33">
        <v>1.1715811757816608E-2</v>
      </c>
      <c r="AO763" s="33">
        <v>9.1192043860986358E-4</v>
      </c>
    </row>
    <row r="764" spans="39:41" x14ac:dyDescent="0.25">
      <c r="AM764" s="2">
        <v>761</v>
      </c>
      <c r="AN764" s="33">
        <v>1.3551823699258206E-2</v>
      </c>
      <c r="AO764" s="33">
        <v>8.1671830851226545E-4</v>
      </c>
    </row>
    <row r="765" spans="39:41" x14ac:dyDescent="0.25">
      <c r="AM765" s="2">
        <v>762</v>
      </c>
      <c r="AN765" s="33">
        <v>1.0257280931012807E-2</v>
      </c>
      <c r="AO765" s="33">
        <v>6.8926917712266609E-4</v>
      </c>
    </row>
    <row r="766" spans="39:41" x14ac:dyDescent="0.25">
      <c r="AM766" s="2">
        <v>763</v>
      </c>
      <c r="AN766" s="33">
        <v>1.1396114409248929E-2</v>
      </c>
      <c r="AO766" s="33">
        <v>8.9353315496459233E-4</v>
      </c>
    </row>
    <row r="767" spans="39:41" x14ac:dyDescent="0.25">
      <c r="AM767" s="2">
        <v>764</v>
      </c>
      <c r="AN767" s="33">
        <v>1.150412157939658E-2</v>
      </c>
      <c r="AO767" s="33">
        <v>8.9945804706186689E-4</v>
      </c>
    </row>
    <row r="768" spans="39:41" x14ac:dyDescent="0.25">
      <c r="AM768" s="2">
        <v>765</v>
      </c>
      <c r="AN768" s="33">
        <v>1.1592537963724992E-2</v>
      </c>
      <c r="AO768" s="33">
        <v>7.6477121734918891E-4</v>
      </c>
    </row>
    <row r="769" spans="39:41" x14ac:dyDescent="0.25">
      <c r="AM769" s="2">
        <v>766</v>
      </c>
      <c r="AN769" s="33">
        <v>1.2411969209514564E-2</v>
      </c>
      <c r="AO769" s="33">
        <v>1.013873489296327E-3</v>
      </c>
    </row>
    <row r="770" spans="39:41" x14ac:dyDescent="0.25">
      <c r="AM770" s="2">
        <v>767</v>
      </c>
      <c r="AN770" s="33">
        <v>1.0897611023476824E-2</v>
      </c>
      <c r="AO770" s="33">
        <v>4.926889805370434E-4</v>
      </c>
    </row>
    <row r="771" spans="39:41" x14ac:dyDescent="0.25">
      <c r="AM771" s="2">
        <v>768</v>
      </c>
      <c r="AN771" s="33">
        <v>1.1234043672605767E-2</v>
      </c>
      <c r="AO771" s="33">
        <v>8.8016784273228527E-4</v>
      </c>
    </row>
    <row r="772" spans="39:41" x14ac:dyDescent="0.25">
      <c r="AM772" s="2">
        <v>769</v>
      </c>
      <c r="AN772" s="33">
        <v>1.1882160154842874E-2</v>
      </c>
      <c r="AO772" s="33">
        <v>1.143681480729305E-3</v>
      </c>
    </row>
    <row r="773" spans="39:41" x14ac:dyDescent="0.25">
      <c r="AM773" s="2">
        <v>770</v>
      </c>
      <c r="AN773" s="33">
        <v>1.0181317411965374E-2</v>
      </c>
      <c r="AO773" s="33">
        <v>7.3113194038140642E-4</v>
      </c>
    </row>
    <row r="774" spans="39:41" x14ac:dyDescent="0.25">
      <c r="AM774" s="2">
        <v>771</v>
      </c>
      <c r="AN774" s="33">
        <v>1.3856700702307961E-2</v>
      </c>
      <c r="AO774" s="33">
        <v>1.1925568567340548E-3</v>
      </c>
    </row>
    <row r="775" spans="39:41" x14ac:dyDescent="0.25">
      <c r="AM775" s="2">
        <v>772</v>
      </c>
      <c r="AN775" s="33">
        <v>1.6130805511531173E-2</v>
      </c>
      <c r="AO775" s="33">
        <v>1.6040304714533687E-3</v>
      </c>
    </row>
    <row r="776" spans="39:41" x14ac:dyDescent="0.25">
      <c r="AM776" s="2">
        <v>773</v>
      </c>
      <c r="AN776" s="33">
        <v>9.3790488210631941E-3</v>
      </c>
      <c r="AO776" s="33">
        <v>3.6226609964367491E-4</v>
      </c>
    </row>
    <row r="777" spans="39:41" x14ac:dyDescent="0.25">
      <c r="AM777" s="2">
        <v>774</v>
      </c>
      <c r="AN777" s="33">
        <v>1.1398983707663915E-2</v>
      </c>
      <c r="AO777" s="33">
        <v>1.1182214810636346E-3</v>
      </c>
    </row>
    <row r="778" spans="39:41" x14ac:dyDescent="0.25">
      <c r="AM778" s="2">
        <v>775</v>
      </c>
      <c r="AN778" s="33">
        <v>1.3642389683687299E-2</v>
      </c>
      <c r="AO778" s="33">
        <v>1.4521731576568734E-3</v>
      </c>
    </row>
    <row r="779" spans="39:41" x14ac:dyDescent="0.25">
      <c r="AM779" s="2">
        <v>776</v>
      </c>
      <c r="AN779" s="33">
        <v>1.1054743116147419E-2</v>
      </c>
      <c r="AO779" s="33">
        <v>7.4109214293473019E-4</v>
      </c>
    </row>
    <row r="780" spans="39:41" x14ac:dyDescent="0.25">
      <c r="AM780" s="2">
        <v>777</v>
      </c>
      <c r="AN780" s="33">
        <v>1.1280171446710445E-2</v>
      </c>
      <c r="AO780" s="33">
        <v>9.0554721853413516E-4</v>
      </c>
    </row>
    <row r="781" spans="39:41" x14ac:dyDescent="0.25">
      <c r="AM781" s="2">
        <v>778</v>
      </c>
      <c r="AN781" s="33">
        <v>1.1333292770901782E-2</v>
      </c>
      <c r="AO781" s="33">
        <v>7.6810411616037681E-4</v>
      </c>
    </row>
    <row r="782" spans="39:41" x14ac:dyDescent="0.25">
      <c r="AM782" s="2">
        <v>779</v>
      </c>
      <c r="AN782" s="33">
        <v>1.5542054545480742E-2</v>
      </c>
      <c r="AO782" s="33">
        <v>1.0308858934576363E-3</v>
      </c>
    </row>
    <row r="783" spans="39:41" x14ac:dyDescent="0.25">
      <c r="AM783" s="2">
        <v>780</v>
      </c>
      <c r="AN783" s="33">
        <v>1.09096228069332E-2</v>
      </c>
      <c r="AO783" s="33">
        <v>1.7409620279948445E-4</v>
      </c>
    </row>
    <row r="784" spans="39:41" x14ac:dyDescent="0.25">
      <c r="AM784" s="2">
        <v>781</v>
      </c>
      <c r="AN784" s="33">
        <v>1.3842613356018075E-2</v>
      </c>
      <c r="AO784" s="33">
        <v>1.195883140766471E-3</v>
      </c>
    </row>
    <row r="785" spans="39:41" x14ac:dyDescent="0.25">
      <c r="AM785" s="2">
        <v>782</v>
      </c>
      <c r="AN785" s="33">
        <v>1.2715678354782359E-2</v>
      </c>
      <c r="AO785" s="33">
        <v>9.4852430721536259E-4</v>
      </c>
    </row>
    <row r="786" spans="39:41" x14ac:dyDescent="0.25">
      <c r="AM786" s="2">
        <v>783</v>
      </c>
      <c r="AN786" s="33">
        <v>1.1031814335090814E-2</v>
      </c>
      <c r="AO786" s="33">
        <v>6.4850776358149349E-4</v>
      </c>
    </row>
    <row r="787" spans="39:41" x14ac:dyDescent="0.25">
      <c r="AM787" s="2">
        <v>784</v>
      </c>
      <c r="AN787" s="33">
        <v>1.0552850290524822E-2</v>
      </c>
      <c r="AO787" s="33">
        <v>5.7968545217692755E-4</v>
      </c>
    </row>
    <row r="788" spans="39:41" x14ac:dyDescent="0.25">
      <c r="AM788" s="2">
        <v>785</v>
      </c>
      <c r="AN788" s="33">
        <v>1.0644734703769015E-2</v>
      </c>
      <c r="AO788" s="33">
        <v>9.2921338726558605E-4</v>
      </c>
    </row>
    <row r="789" spans="39:41" x14ac:dyDescent="0.25">
      <c r="AM789" s="2">
        <v>786</v>
      </c>
      <c r="AN789" s="33">
        <v>1.1673401764349381E-2</v>
      </c>
      <c r="AO789" s="33">
        <v>9.4073771685628915E-4</v>
      </c>
    </row>
    <row r="790" spans="39:41" x14ac:dyDescent="0.25">
      <c r="AM790" s="2">
        <v>787</v>
      </c>
      <c r="AN790" s="33">
        <v>1.1233281523012256E-2</v>
      </c>
      <c r="AO790" s="33">
        <v>6.6934406506390575E-4</v>
      </c>
    </row>
    <row r="791" spans="39:41" x14ac:dyDescent="0.25">
      <c r="AM791" s="2">
        <v>788</v>
      </c>
      <c r="AN791" s="33">
        <v>1.3301869752486588E-2</v>
      </c>
      <c r="AO791" s="33">
        <v>8.2956638531096207E-4</v>
      </c>
    </row>
    <row r="792" spans="39:41" x14ac:dyDescent="0.25">
      <c r="AM792" s="2">
        <v>789</v>
      </c>
      <c r="AN792" s="33">
        <v>1.0656827055491364E-2</v>
      </c>
      <c r="AO792" s="33">
        <v>1.0604175691889051E-3</v>
      </c>
    </row>
    <row r="793" spans="39:41" x14ac:dyDescent="0.25">
      <c r="AM793" s="2">
        <v>790</v>
      </c>
      <c r="AN793" s="33">
        <v>1.4018608647231827E-2</v>
      </c>
      <c r="AO793" s="33">
        <v>1.175354205678752E-3</v>
      </c>
    </row>
    <row r="794" spans="39:41" x14ac:dyDescent="0.25">
      <c r="AM794" s="2">
        <v>791</v>
      </c>
      <c r="AN794" s="33">
        <v>1.1791195592584533E-2</v>
      </c>
      <c r="AO794" s="33">
        <v>1.0613851348940644E-3</v>
      </c>
    </row>
    <row r="795" spans="39:41" x14ac:dyDescent="0.25">
      <c r="AM795" s="2">
        <v>792</v>
      </c>
      <c r="AN795" s="33">
        <v>1.4226053728884707E-2</v>
      </c>
      <c r="AO795" s="33">
        <v>1.0644563437974108E-3</v>
      </c>
    </row>
    <row r="796" spans="39:41" x14ac:dyDescent="0.25">
      <c r="AM796" s="2">
        <v>793</v>
      </c>
      <c r="AN796" s="33">
        <v>1.3150656897351691E-2</v>
      </c>
      <c r="AO796" s="33">
        <v>1.0767739567169306E-3</v>
      </c>
    </row>
    <row r="797" spans="39:41" x14ac:dyDescent="0.25">
      <c r="AM797" s="2">
        <v>794</v>
      </c>
      <c r="AN797" s="33">
        <v>1.7149987666071842E-2</v>
      </c>
      <c r="AO797" s="33">
        <v>1.5183924810829804E-3</v>
      </c>
    </row>
    <row r="798" spans="39:41" x14ac:dyDescent="0.25">
      <c r="AM798" s="2">
        <v>795</v>
      </c>
      <c r="AN798" s="33">
        <v>1.088288472666611E-2</v>
      </c>
      <c r="AO798" s="33">
        <v>8.2762833999240669E-4</v>
      </c>
    </row>
    <row r="799" spans="39:41" x14ac:dyDescent="0.25">
      <c r="AM799" s="2">
        <v>796</v>
      </c>
      <c r="AN799" s="33">
        <v>1.2303691727693838E-2</v>
      </c>
      <c r="AO799" s="33">
        <v>5.5948131576434145E-4</v>
      </c>
    </row>
    <row r="800" spans="39:41" x14ac:dyDescent="0.25">
      <c r="AM800" s="2">
        <v>797</v>
      </c>
      <c r="AN800" s="33">
        <v>1.4357194386023698E-2</v>
      </c>
      <c r="AO800" s="33">
        <v>1.2920383788945645E-3</v>
      </c>
    </row>
    <row r="801" spans="39:41" x14ac:dyDescent="0.25">
      <c r="AM801" s="2">
        <v>798</v>
      </c>
      <c r="AN801" s="33">
        <v>1.126767098434696E-2</v>
      </c>
      <c r="AO801" s="33">
        <v>6.2193490242047362E-4</v>
      </c>
    </row>
    <row r="802" spans="39:41" x14ac:dyDescent="0.25">
      <c r="AM802" s="2">
        <v>799</v>
      </c>
      <c r="AN802" s="33">
        <v>9.4946743610712023E-3</v>
      </c>
      <c r="AO802" s="33">
        <v>7.0221540206661152E-4</v>
      </c>
    </row>
    <row r="803" spans="39:41" x14ac:dyDescent="0.25">
      <c r="AM803" s="2">
        <v>800</v>
      </c>
      <c r="AN803" s="33">
        <v>1.2366212636584434E-2</v>
      </c>
      <c r="AO803" s="33">
        <v>1.1495208237645653E-3</v>
      </c>
    </row>
    <row r="804" spans="39:41" x14ac:dyDescent="0.25">
      <c r="AM804" s="2">
        <v>801</v>
      </c>
      <c r="AN804" s="33">
        <v>1.4983852021431123E-2</v>
      </c>
      <c r="AO804" s="33">
        <v>1.3856747102399289E-3</v>
      </c>
    </row>
    <row r="805" spans="39:41" x14ac:dyDescent="0.25">
      <c r="AM805" s="2">
        <v>802</v>
      </c>
      <c r="AN805" s="33">
        <v>1.2140701760798314E-2</v>
      </c>
      <c r="AO805" s="33">
        <v>7.8007903817527873E-4</v>
      </c>
    </row>
    <row r="806" spans="39:41" x14ac:dyDescent="0.25">
      <c r="AM806" s="2">
        <v>803</v>
      </c>
      <c r="AN806" s="33">
        <v>1.6019308051897638E-2</v>
      </c>
      <c r="AO806" s="33">
        <v>9.7743789685171014E-4</v>
      </c>
    </row>
    <row r="807" spans="39:41" x14ac:dyDescent="0.25">
      <c r="AM807" s="2">
        <v>804</v>
      </c>
      <c r="AN807" s="33">
        <v>1.4595939529200956E-2</v>
      </c>
      <c r="AO807" s="33">
        <v>7.8292221669392704E-4</v>
      </c>
    </row>
    <row r="808" spans="39:41" x14ac:dyDescent="0.25">
      <c r="AM808" s="2">
        <v>805</v>
      </c>
      <c r="AN808" s="33">
        <v>1.2558054176569433E-2</v>
      </c>
      <c r="AO808" s="33">
        <v>1.1445210430440175E-3</v>
      </c>
    </row>
    <row r="809" spans="39:41" x14ac:dyDescent="0.25">
      <c r="AM809" s="2">
        <v>806</v>
      </c>
      <c r="AN809" s="33">
        <v>1.1703316252688887E-2</v>
      </c>
      <c r="AO809" s="33">
        <v>9.4942028513560369E-4</v>
      </c>
    </row>
    <row r="810" spans="39:41" x14ac:dyDescent="0.25">
      <c r="AM810" s="2">
        <v>807</v>
      </c>
      <c r="AN810" s="33">
        <v>1.3317890860436285E-2</v>
      </c>
      <c r="AO810" s="33">
        <v>1.1551331285337004E-3</v>
      </c>
    </row>
    <row r="811" spans="39:41" x14ac:dyDescent="0.25">
      <c r="AM811" s="2">
        <v>808</v>
      </c>
      <c r="AN811" s="33">
        <v>9.9645251632556834E-3</v>
      </c>
      <c r="AO811" s="33">
        <v>7.2011389622539672E-4</v>
      </c>
    </row>
    <row r="812" spans="39:41" x14ac:dyDescent="0.25">
      <c r="AM812" s="2">
        <v>809</v>
      </c>
      <c r="AN812" s="33">
        <v>1.0271665523147178E-2</v>
      </c>
      <c r="AO812" s="33">
        <v>6.7975639808942514E-4</v>
      </c>
    </row>
    <row r="813" spans="39:41" x14ac:dyDescent="0.25">
      <c r="AM813" s="2">
        <v>810</v>
      </c>
      <c r="AN813" s="33">
        <v>1.3519709667260998E-2</v>
      </c>
      <c r="AO813" s="33">
        <v>1.1209285129253526E-3</v>
      </c>
    </row>
    <row r="814" spans="39:41" x14ac:dyDescent="0.25">
      <c r="AM814" s="2">
        <v>811</v>
      </c>
      <c r="AN814" s="33">
        <v>1.1101709489709068E-2</v>
      </c>
      <c r="AO814" s="33">
        <v>7.7248440800977705E-4</v>
      </c>
    </row>
    <row r="815" spans="39:41" x14ac:dyDescent="0.25">
      <c r="AM815" s="2">
        <v>812</v>
      </c>
      <c r="AN815" s="33">
        <v>1.329338924207153E-2</v>
      </c>
      <c r="AO815" s="33">
        <v>1.0410235387028057E-3</v>
      </c>
    </row>
    <row r="816" spans="39:41" x14ac:dyDescent="0.25">
      <c r="AM816" s="2">
        <v>813</v>
      </c>
      <c r="AN816" s="33">
        <v>1.125307424191152E-2</v>
      </c>
      <c r="AO816" s="33">
        <v>7.3569981457756895E-4</v>
      </c>
    </row>
    <row r="817" spans="39:41" x14ac:dyDescent="0.25">
      <c r="AM817" s="2">
        <v>814</v>
      </c>
      <c r="AN817" s="33">
        <v>1.3710198660206143E-2</v>
      </c>
      <c r="AO817" s="33">
        <v>1.0286290518002669E-3</v>
      </c>
    </row>
    <row r="818" spans="39:41" x14ac:dyDescent="0.25">
      <c r="AM818" s="2">
        <v>815</v>
      </c>
      <c r="AN818" s="33">
        <v>8.2620789000643919E-3</v>
      </c>
      <c r="AO818" s="33">
        <v>3.2263223907825307E-4</v>
      </c>
    </row>
    <row r="819" spans="39:41" x14ac:dyDescent="0.25">
      <c r="AM819" s="2">
        <v>816</v>
      </c>
      <c r="AN819" s="33">
        <v>1.2748991553784212E-2</v>
      </c>
      <c r="AO819" s="33">
        <v>2.0664439886991894E-4</v>
      </c>
    </row>
    <row r="820" spans="39:41" x14ac:dyDescent="0.25">
      <c r="AM820" s="2">
        <v>817</v>
      </c>
      <c r="AN820" s="33">
        <v>1.2079225568664137E-2</v>
      </c>
      <c r="AO820" s="33">
        <v>1.0482050098042292E-3</v>
      </c>
    </row>
    <row r="821" spans="39:41" x14ac:dyDescent="0.25">
      <c r="AM821" s="2">
        <v>818</v>
      </c>
      <c r="AN821" s="33">
        <v>1.4495684459338904E-2</v>
      </c>
      <c r="AO821" s="33">
        <v>1.3635731518721981E-3</v>
      </c>
    </row>
    <row r="822" spans="39:41" x14ac:dyDescent="0.25">
      <c r="AM822" s="2">
        <v>819</v>
      </c>
      <c r="AN822" s="33">
        <v>7.9880489436351659E-3</v>
      </c>
      <c r="AO822" s="33">
        <v>6.9555199172988526E-4</v>
      </c>
    </row>
    <row r="823" spans="39:41" x14ac:dyDescent="0.25">
      <c r="AM823" s="2">
        <v>820</v>
      </c>
      <c r="AN823" s="33">
        <v>1.0861447841287508E-2</v>
      </c>
      <c r="AO823" s="33">
        <v>2.2871305742482387E-4</v>
      </c>
    </row>
    <row r="824" spans="39:41" x14ac:dyDescent="0.25">
      <c r="AM824" s="2">
        <v>821</v>
      </c>
      <c r="AN824" s="33">
        <v>1.1660878240163174E-2</v>
      </c>
      <c r="AO824" s="33">
        <v>7.4383494254878595E-4</v>
      </c>
    </row>
    <row r="825" spans="39:41" x14ac:dyDescent="0.25">
      <c r="AM825" s="2">
        <v>822</v>
      </c>
      <c r="AN825" s="33">
        <v>1.1660833434132142E-2</v>
      </c>
      <c r="AO825" s="33">
        <v>5.1155016203242062E-4</v>
      </c>
    </row>
    <row r="826" spans="39:41" x14ac:dyDescent="0.25">
      <c r="AM826" s="2">
        <v>823</v>
      </c>
      <c r="AN826" s="33">
        <v>1.0780912968010528E-2</v>
      </c>
      <c r="AO826" s="33">
        <v>8.3575037725867429E-4</v>
      </c>
    </row>
    <row r="827" spans="39:41" x14ac:dyDescent="0.25">
      <c r="AM827" s="2">
        <v>824</v>
      </c>
      <c r="AN827" s="33">
        <v>1.050733763005624E-2</v>
      </c>
      <c r="AO827" s="33">
        <v>8.3538155676550442E-4</v>
      </c>
    </row>
    <row r="828" spans="39:41" x14ac:dyDescent="0.25">
      <c r="AM828" s="2">
        <v>825</v>
      </c>
      <c r="AN828" s="33">
        <v>1.0714624855124439E-2</v>
      </c>
      <c r="AO828" s="33">
        <v>6.0771173471506356E-4</v>
      </c>
    </row>
    <row r="829" spans="39:41" x14ac:dyDescent="0.25">
      <c r="AM829" s="2">
        <v>826</v>
      </c>
      <c r="AN829" s="33">
        <v>9.5170114673227557E-3</v>
      </c>
      <c r="AO829" s="33">
        <v>8.9917662587096889E-4</v>
      </c>
    </row>
    <row r="830" spans="39:41" x14ac:dyDescent="0.25">
      <c r="AM830" s="2">
        <v>827</v>
      </c>
      <c r="AN830" s="33">
        <v>1.0406875086061357E-2</v>
      </c>
      <c r="AO830" s="33">
        <v>5.4072044012883687E-4</v>
      </c>
    </row>
    <row r="831" spans="39:41" x14ac:dyDescent="0.25">
      <c r="AM831" s="2">
        <v>828</v>
      </c>
      <c r="AN831" s="33">
        <v>1.6381678605157799E-2</v>
      </c>
      <c r="AO831" s="33">
        <v>1.3526458928356105E-3</v>
      </c>
    </row>
    <row r="832" spans="39:41" x14ac:dyDescent="0.25">
      <c r="AM832" s="2">
        <v>829</v>
      </c>
      <c r="AN832" s="33">
        <v>1.2870165438235354E-2</v>
      </c>
      <c r="AO832" s="33">
        <v>9.1155358932673201E-4</v>
      </c>
    </row>
    <row r="833" spans="39:41" x14ac:dyDescent="0.25">
      <c r="AM833" s="2">
        <v>830</v>
      </c>
      <c r="AN833" s="33">
        <v>9.9312539166938624E-3</v>
      </c>
      <c r="AO833" s="33">
        <v>9.7398799432562471E-4</v>
      </c>
    </row>
    <row r="834" spans="39:41" x14ac:dyDescent="0.25">
      <c r="AM834" s="2">
        <v>831</v>
      </c>
      <c r="AN834" s="33">
        <v>1.2975178210170095E-2</v>
      </c>
      <c r="AO834" s="33">
        <v>2.5146819673706791E-5</v>
      </c>
    </row>
    <row r="835" spans="39:41" x14ac:dyDescent="0.25">
      <c r="AM835" s="2">
        <v>832</v>
      </c>
      <c r="AN835" s="33">
        <v>1.451786318212161E-2</v>
      </c>
      <c r="AO835" s="33">
        <v>9.9152571922333198E-4</v>
      </c>
    </row>
    <row r="836" spans="39:41" x14ac:dyDescent="0.25">
      <c r="AM836" s="2">
        <v>833</v>
      </c>
      <c r="AN836" s="33">
        <v>1.2600302764037034E-2</v>
      </c>
      <c r="AO836" s="33">
        <v>9.688898108298114E-4</v>
      </c>
    </row>
    <row r="837" spans="39:41" x14ac:dyDescent="0.25">
      <c r="AM837" s="2">
        <v>834</v>
      </c>
      <c r="AN837" s="33">
        <v>1.025826981133445E-2</v>
      </c>
      <c r="AO837" s="33">
        <v>5.790121981266266E-4</v>
      </c>
    </row>
    <row r="838" spans="39:41" x14ac:dyDescent="0.25">
      <c r="AM838" s="2">
        <v>835</v>
      </c>
      <c r="AN838" s="33">
        <v>1.6183158659135187E-2</v>
      </c>
      <c r="AO838" s="33">
        <v>1.2371877798364739E-3</v>
      </c>
    </row>
    <row r="839" spans="39:41" x14ac:dyDescent="0.25">
      <c r="AM839" s="2">
        <v>836</v>
      </c>
      <c r="AN839" s="33">
        <v>1.3410948050496816E-2</v>
      </c>
      <c r="AO839" s="33">
        <v>7.4885042834702507E-4</v>
      </c>
    </row>
    <row r="840" spans="39:41" x14ac:dyDescent="0.25">
      <c r="AM840" s="2">
        <v>837</v>
      </c>
      <c r="AN840" s="33">
        <v>1.497153711075767E-2</v>
      </c>
      <c r="AO840" s="33">
        <v>1.2662793992389409E-3</v>
      </c>
    </row>
    <row r="841" spans="39:41" x14ac:dyDescent="0.25">
      <c r="AM841" s="2">
        <v>838</v>
      </c>
      <c r="AN841" s="33">
        <v>1.183982660007581E-2</v>
      </c>
      <c r="AO841" s="33">
        <v>7.4380605078605035E-4</v>
      </c>
    </row>
    <row r="842" spans="39:41" x14ac:dyDescent="0.25">
      <c r="AM842" s="2">
        <v>839</v>
      </c>
      <c r="AN842" s="33">
        <v>1.5945205468789379E-2</v>
      </c>
      <c r="AO842" s="33">
        <v>1.1715090100546403E-3</v>
      </c>
    </row>
    <row r="843" spans="39:41" x14ac:dyDescent="0.25">
      <c r="AM843" s="2">
        <v>840</v>
      </c>
      <c r="AN843" s="33">
        <v>1.0117161147403192E-2</v>
      </c>
      <c r="AO843" s="33">
        <v>3.1529366345489792E-4</v>
      </c>
    </row>
    <row r="844" spans="39:41" x14ac:dyDescent="0.25">
      <c r="AM844" s="2">
        <v>841</v>
      </c>
      <c r="AN844" s="33">
        <v>1.227631922389287E-2</v>
      </c>
      <c r="AO844" s="33">
        <v>1.136751656019834E-3</v>
      </c>
    </row>
    <row r="845" spans="39:41" x14ac:dyDescent="0.25">
      <c r="AM845" s="2">
        <v>842</v>
      </c>
      <c r="AN845" s="33">
        <v>1.3206297906096027E-2</v>
      </c>
      <c r="AO845" s="33">
        <v>1.0120810382048108E-3</v>
      </c>
    </row>
    <row r="846" spans="39:41" x14ac:dyDescent="0.25">
      <c r="AM846" s="2">
        <v>843</v>
      </c>
      <c r="AN846" s="33">
        <v>1.2376044824137476E-2</v>
      </c>
      <c r="AO846" s="33">
        <v>1.0808431103439147E-3</v>
      </c>
    </row>
    <row r="847" spans="39:41" x14ac:dyDescent="0.25">
      <c r="AM847" s="2">
        <v>844</v>
      </c>
      <c r="AN847" s="33">
        <v>1.0047833149665262E-2</v>
      </c>
      <c r="AO847" s="33">
        <v>4.6400098558664876E-4</v>
      </c>
    </row>
    <row r="848" spans="39:41" x14ac:dyDescent="0.25">
      <c r="AM848" s="2">
        <v>845</v>
      </c>
      <c r="AN848" s="33">
        <v>1.2296498748159034E-2</v>
      </c>
      <c r="AO848" s="33">
        <v>9.8330827868288668E-4</v>
      </c>
    </row>
    <row r="849" spans="39:41" x14ac:dyDescent="0.25">
      <c r="AM849" s="2">
        <v>846</v>
      </c>
      <c r="AN849" s="33">
        <v>1.0346112718840573E-2</v>
      </c>
      <c r="AO849" s="33">
        <v>7.0594191338023101E-4</v>
      </c>
    </row>
    <row r="850" spans="39:41" x14ac:dyDescent="0.25">
      <c r="AM850" s="2">
        <v>847</v>
      </c>
      <c r="AN850" s="33">
        <v>1.0918558754841115E-2</v>
      </c>
      <c r="AO850" s="33">
        <v>9.4386668698335228E-4</v>
      </c>
    </row>
    <row r="851" spans="39:41" x14ac:dyDescent="0.25">
      <c r="AM851" s="2">
        <v>848</v>
      </c>
      <c r="AN851" s="33">
        <v>1.3468087326489875E-2</v>
      </c>
      <c r="AO851" s="33">
        <v>9.6049288202779267E-4</v>
      </c>
    </row>
    <row r="852" spans="39:41" x14ac:dyDescent="0.25">
      <c r="AM852" s="2">
        <v>849</v>
      </c>
      <c r="AN852" s="33">
        <v>1.3149584751628012E-2</v>
      </c>
      <c r="AO852" s="33">
        <v>1.2967235108528291E-3</v>
      </c>
    </row>
    <row r="853" spans="39:41" x14ac:dyDescent="0.25">
      <c r="AM853" s="2">
        <v>850</v>
      </c>
      <c r="AN853" s="33">
        <v>1.3441122345735438E-2</v>
      </c>
      <c r="AO853" s="33">
        <v>1.2253286021051916E-3</v>
      </c>
    </row>
    <row r="854" spans="39:41" x14ac:dyDescent="0.25">
      <c r="AM854" s="2">
        <v>851</v>
      </c>
      <c r="AN854" s="33">
        <v>2.1178275627160074E-2</v>
      </c>
      <c r="AO854" s="33">
        <v>2.0822175486288055E-3</v>
      </c>
    </row>
    <row r="855" spans="39:41" x14ac:dyDescent="0.25">
      <c r="AM855" s="2">
        <v>852</v>
      </c>
      <c r="AN855" s="33">
        <v>1.0301794094841159E-2</v>
      </c>
      <c r="AO855" s="33">
        <v>8.7134546895834811E-4</v>
      </c>
    </row>
    <row r="856" spans="39:41" x14ac:dyDescent="0.25">
      <c r="AM856" s="2">
        <v>853</v>
      </c>
      <c r="AN856" s="33">
        <v>1.3834443037678123E-2</v>
      </c>
      <c r="AO856" s="33">
        <v>1.2362454835117811E-3</v>
      </c>
    </row>
    <row r="857" spans="39:41" x14ac:dyDescent="0.25">
      <c r="AM857" s="2">
        <v>854</v>
      </c>
      <c r="AN857" s="33">
        <v>1.0699278658744378E-2</v>
      </c>
      <c r="AO857" s="33">
        <v>5.4252481389301577E-4</v>
      </c>
    </row>
    <row r="858" spans="39:41" x14ac:dyDescent="0.25">
      <c r="AM858" s="2">
        <v>855</v>
      </c>
      <c r="AN858" s="33">
        <v>1.0594675297368784E-2</v>
      </c>
      <c r="AO858" s="33">
        <v>6.4095995388104693E-4</v>
      </c>
    </row>
    <row r="859" spans="39:41" x14ac:dyDescent="0.25">
      <c r="AM859" s="2">
        <v>856</v>
      </c>
      <c r="AN859" s="33">
        <v>1.1407079899085487E-2</v>
      </c>
      <c r="AO859" s="33">
        <v>9.9689732391612142E-4</v>
      </c>
    </row>
    <row r="860" spans="39:41" x14ac:dyDescent="0.25">
      <c r="AM860" s="2">
        <v>857</v>
      </c>
      <c r="AN860" s="33">
        <v>1.2123236978532587E-2</v>
      </c>
      <c r="AO860" s="33">
        <v>1.1592675251205422E-3</v>
      </c>
    </row>
    <row r="861" spans="39:41" x14ac:dyDescent="0.25">
      <c r="AM861" s="2">
        <v>858</v>
      </c>
      <c r="AN861" s="33">
        <v>1.190897380142303E-2</v>
      </c>
      <c r="AO861" s="33">
        <v>9.3354235748955823E-4</v>
      </c>
    </row>
    <row r="862" spans="39:41" x14ac:dyDescent="0.25">
      <c r="AM862" s="2">
        <v>859</v>
      </c>
      <c r="AN862" s="33">
        <v>1.3759578691568118E-2</v>
      </c>
      <c r="AO862" s="33">
        <v>1.2276359664033171E-3</v>
      </c>
    </row>
    <row r="863" spans="39:41" x14ac:dyDescent="0.25">
      <c r="AM863" s="2">
        <v>860</v>
      </c>
      <c r="AN863" s="33">
        <v>1.3575059042999812E-2</v>
      </c>
      <c r="AO863" s="33">
        <v>1.0130214151556503E-3</v>
      </c>
    </row>
    <row r="864" spans="39:41" x14ac:dyDescent="0.25">
      <c r="AM864" s="2">
        <v>861</v>
      </c>
      <c r="AN864" s="33">
        <v>1.3183353238158868E-2</v>
      </c>
      <c r="AO864" s="33">
        <v>9.304510180512068E-4</v>
      </c>
    </row>
    <row r="865" spans="39:41" x14ac:dyDescent="0.25">
      <c r="AM865" s="2">
        <v>862</v>
      </c>
      <c r="AN865" s="33">
        <v>1.3050465805055166E-2</v>
      </c>
      <c r="AO865" s="33">
        <v>1.0667209068561244E-3</v>
      </c>
    </row>
    <row r="866" spans="39:41" x14ac:dyDescent="0.25">
      <c r="AM866" s="2">
        <v>863</v>
      </c>
      <c r="AN866" s="33">
        <v>1.0050125655834321E-2</v>
      </c>
      <c r="AO866" s="33">
        <v>8.1233598211879034E-4</v>
      </c>
    </row>
    <row r="867" spans="39:41" x14ac:dyDescent="0.25">
      <c r="AM867" s="2">
        <v>864</v>
      </c>
      <c r="AN867" s="33">
        <v>1.7373713489022186E-2</v>
      </c>
      <c r="AO867" s="33">
        <v>1.8128749523156108E-3</v>
      </c>
    </row>
    <row r="868" spans="39:41" x14ac:dyDescent="0.25">
      <c r="AM868" s="2">
        <v>865</v>
      </c>
      <c r="AN868" s="33">
        <v>1.4396399397646174E-2</v>
      </c>
      <c r="AO868" s="33">
        <v>1.1764792940279823E-3</v>
      </c>
    </row>
    <row r="869" spans="39:41" x14ac:dyDescent="0.25">
      <c r="AM869" s="2">
        <v>866</v>
      </c>
      <c r="AN869" s="33">
        <v>1.0600208897344879E-2</v>
      </c>
      <c r="AO869" s="33">
        <v>8.3065085355265742E-4</v>
      </c>
    </row>
    <row r="870" spans="39:41" x14ac:dyDescent="0.25">
      <c r="AM870" s="2">
        <v>867</v>
      </c>
      <c r="AN870" s="33">
        <v>1.4417369333720936E-2</v>
      </c>
      <c r="AO870" s="33">
        <v>8.0762233004730104E-4</v>
      </c>
    </row>
    <row r="871" spans="39:41" x14ac:dyDescent="0.25">
      <c r="AM871" s="2">
        <v>868</v>
      </c>
      <c r="AN871" s="33">
        <v>1.2541796762856192E-2</v>
      </c>
      <c r="AO871" s="33">
        <v>8.6508890490392162E-4</v>
      </c>
    </row>
    <row r="872" spans="39:41" x14ac:dyDescent="0.25">
      <c r="AM872" s="2">
        <v>869</v>
      </c>
      <c r="AN872" s="33">
        <v>1.5136712971134005E-2</v>
      </c>
      <c r="AO872" s="33">
        <v>1.1219308392873997E-3</v>
      </c>
    </row>
    <row r="873" spans="39:41" x14ac:dyDescent="0.25">
      <c r="AM873" s="2">
        <v>870</v>
      </c>
      <c r="AN873" s="33">
        <v>9.175431215682919E-3</v>
      </c>
      <c r="AO873" s="33">
        <v>7.9906557697944009E-4</v>
      </c>
    </row>
    <row r="874" spans="39:41" x14ac:dyDescent="0.25">
      <c r="AM874" s="2">
        <v>871</v>
      </c>
      <c r="AN874" s="33">
        <v>9.5029093450054777E-3</v>
      </c>
      <c r="AO874" s="33">
        <v>8.331419454466805E-4</v>
      </c>
    </row>
    <row r="875" spans="39:41" x14ac:dyDescent="0.25">
      <c r="AM875" s="2">
        <v>872</v>
      </c>
      <c r="AN875" s="33">
        <v>1.0816083780598016E-2</v>
      </c>
      <c r="AO875" s="33">
        <v>6.710128232418264E-4</v>
      </c>
    </row>
    <row r="876" spans="39:41" x14ac:dyDescent="0.25">
      <c r="AM876" s="2">
        <v>873</v>
      </c>
      <c r="AN876" s="33">
        <v>1.3180876187861032E-2</v>
      </c>
      <c r="AO876" s="33">
        <v>1.2720542743223789E-3</v>
      </c>
    </row>
    <row r="877" spans="39:41" x14ac:dyDescent="0.25">
      <c r="AM877" s="2">
        <v>874</v>
      </c>
      <c r="AN877" s="33">
        <v>1.3059289943794877E-2</v>
      </c>
      <c r="AO877" s="33">
        <v>7.2015649100243208E-4</v>
      </c>
    </row>
    <row r="878" spans="39:41" x14ac:dyDescent="0.25">
      <c r="AM878" s="2">
        <v>875</v>
      </c>
      <c r="AN878" s="33">
        <v>1.3847691358705597E-2</v>
      </c>
      <c r="AO878" s="33">
        <v>9.4511074784742351E-4</v>
      </c>
    </row>
    <row r="879" spans="39:41" x14ac:dyDescent="0.25">
      <c r="AM879" s="2">
        <v>876</v>
      </c>
      <c r="AN879" s="33">
        <v>1.328554039288002E-2</v>
      </c>
      <c r="AO879" s="33">
        <v>1.2967922421108094E-3</v>
      </c>
    </row>
    <row r="880" spans="39:41" x14ac:dyDescent="0.25">
      <c r="AM880" s="2">
        <v>877</v>
      </c>
      <c r="AN880" s="33">
        <v>1.0969503994903663E-2</v>
      </c>
      <c r="AO880" s="33">
        <v>1.076759486606668E-3</v>
      </c>
    </row>
    <row r="881" spans="39:41" x14ac:dyDescent="0.25">
      <c r="AM881" s="2">
        <v>878</v>
      </c>
      <c r="AN881" s="33">
        <v>1.3141623526092477E-2</v>
      </c>
      <c r="AO881" s="33">
        <v>1.3155720885676047E-3</v>
      </c>
    </row>
    <row r="882" spans="39:41" x14ac:dyDescent="0.25">
      <c r="AM882" s="2">
        <v>879</v>
      </c>
      <c r="AN882" s="33">
        <v>1.2459595918533921E-2</v>
      </c>
      <c r="AO882" s="33">
        <v>9.4190533543531347E-4</v>
      </c>
    </row>
    <row r="883" spans="39:41" x14ac:dyDescent="0.25">
      <c r="AM883" s="2">
        <v>880</v>
      </c>
      <c r="AN883" s="33">
        <v>1.3162672932226312E-2</v>
      </c>
      <c r="AO883" s="33">
        <v>1.1957251121867166E-3</v>
      </c>
    </row>
    <row r="884" spans="39:41" x14ac:dyDescent="0.25">
      <c r="AM884" s="2">
        <v>881</v>
      </c>
      <c r="AN884" s="33">
        <v>1.0028025899711216E-2</v>
      </c>
      <c r="AO884" s="33">
        <v>9.0795111454301098E-5</v>
      </c>
    </row>
    <row r="885" spans="39:41" x14ac:dyDescent="0.25">
      <c r="AM885" s="2">
        <v>882</v>
      </c>
      <c r="AN885" s="33">
        <v>1.227133209015694E-2</v>
      </c>
      <c r="AO885" s="33">
        <v>1.2685867636020168E-3</v>
      </c>
    </row>
    <row r="886" spans="39:41" x14ac:dyDescent="0.25">
      <c r="AM886" s="2">
        <v>883</v>
      </c>
      <c r="AN886" s="33">
        <v>1.2256194565800006E-2</v>
      </c>
      <c r="AO886" s="33">
        <v>5.3564340079681331E-4</v>
      </c>
    </row>
    <row r="887" spans="39:41" x14ac:dyDescent="0.25">
      <c r="AM887" s="2">
        <v>884</v>
      </c>
      <c r="AN887" s="33">
        <v>1.2444589576410205E-2</v>
      </c>
      <c r="AO887" s="33">
        <v>1.5396121252928748E-4</v>
      </c>
    </row>
    <row r="888" spans="39:41" x14ac:dyDescent="0.25">
      <c r="AM888" s="2">
        <v>885</v>
      </c>
      <c r="AN888" s="33">
        <v>1.5570594283169387E-2</v>
      </c>
      <c r="AO888" s="33">
        <v>1.5131661547430231E-3</v>
      </c>
    </row>
    <row r="889" spans="39:41" x14ac:dyDescent="0.25">
      <c r="AM889" s="2">
        <v>886</v>
      </c>
      <c r="AN889" s="33">
        <v>1.0500262688860468E-2</v>
      </c>
      <c r="AO889" s="33">
        <v>9.3747102716681518E-4</v>
      </c>
    </row>
    <row r="890" spans="39:41" x14ac:dyDescent="0.25">
      <c r="AM890" s="2">
        <v>887</v>
      </c>
      <c r="AN890" s="33">
        <v>1.5962299190590435E-2</v>
      </c>
      <c r="AO890" s="33">
        <v>1.1059728833509436E-3</v>
      </c>
    </row>
    <row r="891" spans="39:41" x14ac:dyDescent="0.25">
      <c r="AM891" s="2">
        <v>888</v>
      </c>
      <c r="AN891" s="33">
        <v>1.2348937915241665E-2</v>
      </c>
      <c r="AO891" s="33">
        <v>1.1113163645459397E-3</v>
      </c>
    </row>
    <row r="892" spans="39:41" x14ac:dyDescent="0.25">
      <c r="AM892" s="2">
        <v>889</v>
      </c>
      <c r="AN892" s="33">
        <v>1.2671624087450539E-2</v>
      </c>
      <c r="AO892" s="33">
        <v>1.0348589508525055E-3</v>
      </c>
    </row>
    <row r="893" spans="39:41" x14ac:dyDescent="0.25">
      <c r="AM893" s="2">
        <v>890</v>
      </c>
      <c r="AN893" s="33">
        <v>1.213501865752273E-2</v>
      </c>
      <c r="AO893" s="33">
        <v>7.9858734013365769E-4</v>
      </c>
    </row>
    <row r="894" spans="39:41" x14ac:dyDescent="0.25">
      <c r="AM894" s="2">
        <v>891</v>
      </c>
      <c r="AN894" s="33">
        <v>1.4230606660566223E-2</v>
      </c>
      <c r="AO894" s="33">
        <v>1.2563090363869071E-3</v>
      </c>
    </row>
    <row r="895" spans="39:41" x14ac:dyDescent="0.25">
      <c r="AM895" s="2">
        <v>892</v>
      </c>
      <c r="AN895" s="33">
        <v>1.1828345574974659E-2</v>
      </c>
      <c r="AO895" s="33">
        <v>9.336881271084736E-4</v>
      </c>
    </row>
    <row r="896" spans="39:41" x14ac:dyDescent="0.25">
      <c r="AM896" s="2">
        <v>893</v>
      </c>
      <c r="AN896" s="33">
        <v>1.1959973256442994E-2</v>
      </c>
      <c r="AO896" s="33">
        <v>8.1206182835824158E-4</v>
      </c>
    </row>
    <row r="897" spans="39:41" x14ac:dyDescent="0.25">
      <c r="AM897" s="2">
        <v>894</v>
      </c>
      <c r="AN897" s="33">
        <v>1.4399191916105898E-2</v>
      </c>
      <c r="AO897" s="33">
        <v>1.146788561357195E-3</v>
      </c>
    </row>
    <row r="898" spans="39:41" x14ac:dyDescent="0.25">
      <c r="AM898" s="2">
        <v>895</v>
      </c>
      <c r="AN898" s="33">
        <v>1.1157838000319479E-2</v>
      </c>
      <c r="AO898" s="33">
        <v>1.0124956907248553E-3</v>
      </c>
    </row>
    <row r="899" spans="39:41" x14ac:dyDescent="0.25">
      <c r="AM899" s="2">
        <v>896</v>
      </c>
      <c r="AN899" s="33">
        <v>1.2955579717161395E-2</v>
      </c>
      <c r="AO899" s="33">
        <v>1.0241955235425306E-3</v>
      </c>
    </row>
    <row r="900" spans="39:41" x14ac:dyDescent="0.25">
      <c r="AM900" s="2">
        <v>897</v>
      </c>
      <c r="AN900" s="33">
        <v>1.2261969565558747E-2</v>
      </c>
      <c r="AO900" s="33">
        <v>8.3054250800953708E-4</v>
      </c>
    </row>
    <row r="901" spans="39:41" x14ac:dyDescent="0.25">
      <c r="AM901" s="2">
        <v>898</v>
      </c>
      <c r="AN901" s="33">
        <v>7.9484928799904379E-3</v>
      </c>
      <c r="AO901" s="33">
        <v>5.9592400386012778E-4</v>
      </c>
    </row>
    <row r="902" spans="39:41" x14ac:dyDescent="0.25">
      <c r="AM902" s="2">
        <v>899</v>
      </c>
      <c r="AN902" s="33">
        <v>1.4513417442120893E-2</v>
      </c>
      <c r="AO902" s="33">
        <v>-8.92657115927816E-6</v>
      </c>
    </row>
    <row r="903" spans="39:41" x14ac:dyDescent="0.25">
      <c r="AM903" s="2">
        <v>900</v>
      </c>
      <c r="AN903" s="33">
        <v>1.2921400175499401E-2</v>
      </c>
      <c r="AO903" s="33">
        <v>1.3616348414961076E-3</v>
      </c>
    </row>
    <row r="904" spans="39:41" x14ac:dyDescent="0.25">
      <c r="AM904" s="2">
        <v>901</v>
      </c>
      <c r="AN904" s="33">
        <v>1.5148435007374578E-2</v>
      </c>
      <c r="AO904" s="33">
        <v>1.1439573849692699E-3</v>
      </c>
    </row>
    <row r="905" spans="39:41" x14ac:dyDescent="0.25">
      <c r="AM905" s="2">
        <v>902</v>
      </c>
      <c r="AN905" s="33">
        <v>1.4270152440852312E-2</v>
      </c>
      <c r="AO905" s="33">
        <v>1.0292453586154338E-3</v>
      </c>
    </row>
    <row r="906" spans="39:41" x14ac:dyDescent="0.25">
      <c r="AM906" s="2">
        <v>903</v>
      </c>
      <c r="AN906" s="33">
        <v>1.4523770894797757E-2</v>
      </c>
      <c r="AO906" s="33">
        <v>1.1443464465364088E-3</v>
      </c>
    </row>
    <row r="907" spans="39:41" x14ac:dyDescent="0.25">
      <c r="AM907" s="2">
        <v>904</v>
      </c>
      <c r="AN907" s="33">
        <v>1.0395154610131756E-2</v>
      </c>
      <c r="AO907" s="33">
        <v>9.3965637070352135E-4</v>
      </c>
    </row>
    <row r="908" spans="39:41" x14ac:dyDescent="0.25">
      <c r="AM908" s="2">
        <v>905</v>
      </c>
      <c r="AN908" s="33">
        <v>9.2616234777177699E-3</v>
      </c>
      <c r="AO908" s="33">
        <v>2.7813320963545745E-4</v>
      </c>
    </row>
    <row r="909" spans="39:41" x14ac:dyDescent="0.25">
      <c r="AM909" s="2">
        <v>906</v>
      </c>
      <c r="AN909" s="33">
        <v>1.4316909715402708E-2</v>
      </c>
      <c r="AO909" s="33">
        <v>1.1908696788122321E-3</v>
      </c>
    </row>
    <row r="910" spans="39:41" x14ac:dyDescent="0.25">
      <c r="AM910" s="2">
        <v>907</v>
      </c>
      <c r="AN910" s="33">
        <v>1.0065836453656555E-2</v>
      </c>
      <c r="AO910" s="33">
        <v>4.3898823165905849E-4</v>
      </c>
    </row>
    <row r="911" spans="39:41" x14ac:dyDescent="0.25">
      <c r="AM911" s="2">
        <v>908</v>
      </c>
      <c r="AN911" s="33">
        <v>1.1486634769746059E-2</v>
      </c>
      <c r="AO911" s="33">
        <v>9.2788552155374652E-4</v>
      </c>
    </row>
    <row r="912" spans="39:41" x14ac:dyDescent="0.25">
      <c r="AM912" s="2">
        <v>909</v>
      </c>
      <c r="AN912" s="33">
        <v>7.8219441560170265E-3</v>
      </c>
      <c r="AO912" s="33">
        <v>6.6468962215798354E-4</v>
      </c>
    </row>
    <row r="913" spans="39:41" x14ac:dyDescent="0.25">
      <c r="AM913" s="2">
        <v>910</v>
      </c>
      <c r="AN913" s="33">
        <v>1.3321162500387208E-2</v>
      </c>
      <c r="AO913" s="33">
        <v>1.3198848401510435E-3</v>
      </c>
    </row>
    <row r="914" spans="39:41" x14ac:dyDescent="0.25">
      <c r="AM914" s="2">
        <v>911</v>
      </c>
      <c r="AN914" s="33">
        <v>8.5589120231993054E-3</v>
      </c>
      <c r="AO914" s="33">
        <v>7.4187027824406076E-4</v>
      </c>
    </row>
    <row r="915" spans="39:41" x14ac:dyDescent="0.25">
      <c r="AM915" s="2">
        <v>912</v>
      </c>
      <c r="AN915" s="33">
        <v>1.5572187052545506E-2</v>
      </c>
      <c r="AO915" s="33">
        <v>1.261331574998219E-3</v>
      </c>
    </row>
    <row r="916" spans="39:41" x14ac:dyDescent="0.25">
      <c r="AM916" s="2">
        <v>913</v>
      </c>
      <c r="AN916" s="33">
        <v>1.1704054659495301E-2</v>
      </c>
      <c r="AO916" s="33">
        <v>7.4409595001492552E-4</v>
      </c>
    </row>
    <row r="917" spans="39:41" x14ac:dyDescent="0.25">
      <c r="AM917" s="2">
        <v>914</v>
      </c>
      <c r="AN917" s="33">
        <v>1.3598485446059924E-2</v>
      </c>
      <c r="AO917" s="33">
        <v>1.3635876357169523E-3</v>
      </c>
    </row>
    <row r="918" spans="39:41" x14ac:dyDescent="0.25">
      <c r="AM918" s="2">
        <v>915</v>
      </c>
      <c r="AN918" s="33">
        <v>1.1902450576200334E-2</v>
      </c>
      <c r="AO918" s="33">
        <v>9.5165265760138403E-4</v>
      </c>
    </row>
    <row r="919" spans="39:41" x14ac:dyDescent="0.25">
      <c r="AM919" s="2">
        <v>916</v>
      </c>
      <c r="AN919" s="33">
        <v>1.4411223792221961E-2</v>
      </c>
      <c r="AO919" s="33">
        <v>1.0840497233315159E-3</v>
      </c>
    </row>
    <row r="920" spans="39:41" x14ac:dyDescent="0.25">
      <c r="AM920" s="2">
        <v>917</v>
      </c>
      <c r="AN920" s="33">
        <v>8.1903268069055159E-3</v>
      </c>
      <c r="AO920" s="33">
        <v>4.8100893123513257E-4</v>
      </c>
    </row>
    <row r="921" spans="39:41" x14ac:dyDescent="0.25">
      <c r="AM921" s="2">
        <v>918</v>
      </c>
      <c r="AN921" s="33">
        <v>1.0162119053600191E-2</v>
      </c>
      <c r="AO921" s="33">
        <v>3.8980456295962455E-4</v>
      </c>
    </row>
    <row r="922" spans="39:41" x14ac:dyDescent="0.25">
      <c r="AM922" s="2">
        <v>919</v>
      </c>
      <c r="AN922" s="33">
        <v>1.3366753521747297E-2</v>
      </c>
      <c r="AO922" s="33">
        <v>9.8348144348394751E-4</v>
      </c>
    </row>
    <row r="923" spans="39:41" x14ac:dyDescent="0.25">
      <c r="AM923" s="2">
        <v>920</v>
      </c>
      <c r="AN923" s="33">
        <v>1.0189140614104976E-2</v>
      </c>
      <c r="AO923" s="33">
        <v>8.0810094376515757E-4</v>
      </c>
    </row>
    <row r="924" spans="39:41" x14ac:dyDescent="0.25">
      <c r="AM924" s="2">
        <v>921</v>
      </c>
      <c r="AN924" s="33">
        <v>7.3789484311724378E-3</v>
      </c>
      <c r="AO924" s="33">
        <v>5.874805343934669E-4</v>
      </c>
    </row>
    <row r="925" spans="39:41" x14ac:dyDescent="0.25">
      <c r="AM925" s="2">
        <v>922</v>
      </c>
      <c r="AN925" s="33">
        <v>1.5185286498302518E-2</v>
      </c>
      <c r="AO925" s="33">
        <v>1.2616205927068968E-3</v>
      </c>
    </row>
    <row r="926" spans="39:41" x14ac:dyDescent="0.25">
      <c r="AM926" s="2">
        <v>923</v>
      </c>
      <c r="AN926" s="33">
        <v>1.0456532947839485E-2</v>
      </c>
      <c r="AO926" s="33">
        <v>7.3281353833615551E-4</v>
      </c>
    </row>
    <row r="927" spans="39:41" x14ac:dyDescent="0.25">
      <c r="AM927" s="2">
        <v>924</v>
      </c>
      <c r="AN927" s="33">
        <v>1.3880188972973549E-2</v>
      </c>
      <c r="AO927" s="33">
        <v>1.1402664150389858E-3</v>
      </c>
    </row>
    <row r="928" spans="39:41" x14ac:dyDescent="0.25">
      <c r="AM928" s="2">
        <v>925</v>
      </c>
      <c r="AN928" s="33">
        <v>1.3300682316372197E-2</v>
      </c>
      <c r="AO928" s="33">
        <v>1.2458268410897458E-3</v>
      </c>
    </row>
    <row r="929" spans="39:41" x14ac:dyDescent="0.25">
      <c r="AM929" s="2">
        <v>926</v>
      </c>
      <c r="AN929" s="33">
        <v>1.0063728328631959E-2</v>
      </c>
      <c r="AO929" s="33">
        <v>2.1432994445919637E-4</v>
      </c>
    </row>
    <row r="930" spans="39:41" x14ac:dyDescent="0.25">
      <c r="AM930" s="2">
        <v>927</v>
      </c>
      <c r="AN930" s="33">
        <v>1.7272104514194486E-2</v>
      </c>
      <c r="AO930" s="33">
        <v>1.6734821374313111E-3</v>
      </c>
    </row>
    <row r="931" spans="39:41" x14ac:dyDescent="0.25">
      <c r="AM931" s="2">
        <v>928</v>
      </c>
      <c r="AN931" s="33">
        <v>9.8628071173985313E-3</v>
      </c>
      <c r="AO931" s="33">
        <v>8.6137208862827096E-4</v>
      </c>
    </row>
    <row r="932" spans="39:41" x14ac:dyDescent="0.25">
      <c r="AM932" s="2">
        <v>929</v>
      </c>
      <c r="AN932" s="33">
        <v>1.2229735617822146E-2</v>
      </c>
      <c r="AO932" s="33">
        <v>1.1553821643500121E-3</v>
      </c>
    </row>
    <row r="933" spans="39:41" x14ac:dyDescent="0.25">
      <c r="AM933" s="2">
        <v>930</v>
      </c>
      <c r="AN933" s="33">
        <v>1.0201845476098998E-2</v>
      </c>
      <c r="AO933" s="33">
        <v>8.2928038711787048E-4</v>
      </c>
    </row>
    <row r="934" spans="39:41" x14ac:dyDescent="0.25">
      <c r="AM934" s="2">
        <v>931</v>
      </c>
      <c r="AN934" s="33">
        <v>1.3492142837902985E-2</v>
      </c>
      <c r="AO934" s="33">
        <v>1.0840833477664671E-3</v>
      </c>
    </row>
    <row r="935" spans="39:41" x14ac:dyDescent="0.25">
      <c r="AM935" s="2">
        <v>932</v>
      </c>
      <c r="AN935" s="33">
        <v>9.7494822185535106E-3</v>
      </c>
      <c r="AO935" s="33">
        <v>3.4540465812276457E-4</v>
      </c>
    </row>
    <row r="936" spans="39:41" x14ac:dyDescent="0.25">
      <c r="AM936" s="2">
        <v>933</v>
      </c>
      <c r="AN936" s="33">
        <v>1.2606337028300879E-2</v>
      </c>
      <c r="AO936" s="33">
        <v>1.2079343190376068E-3</v>
      </c>
    </row>
    <row r="937" spans="39:41" x14ac:dyDescent="0.25">
      <c r="AM937" s="2">
        <v>934</v>
      </c>
      <c r="AN937" s="33">
        <v>1.2210837616681167E-2</v>
      </c>
      <c r="AO937" s="33">
        <v>1.1433650975171004E-3</v>
      </c>
    </row>
    <row r="938" spans="39:41" x14ac:dyDescent="0.25">
      <c r="AM938" s="2">
        <v>935</v>
      </c>
      <c r="AN938" s="33">
        <v>1.2285546819832828E-2</v>
      </c>
      <c r="AO938" s="33">
        <v>9.9797421013665048E-4</v>
      </c>
    </row>
    <row r="939" spans="39:41" x14ac:dyDescent="0.25">
      <c r="AM939" s="2">
        <v>936</v>
      </c>
      <c r="AN939" s="33">
        <v>1.2706998200692337E-2</v>
      </c>
      <c r="AO939" s="33">
        <v>7.30907296164875E-4</v>
      </c>
    </row>
    <row r="940" spans="39:41" x14ac:dyDescent="0.25">
      <c r="AM940" s="2">
        <v>937</v>
      </c>
      <c r="AN940" s="33">
        <v>1.0873359074385559E-2</v>
      </c>
      <c r="AO940" s="33">
        <v>9.5186678707176919E-4</v>
      </c>
    </row>
    <row r="941" spans="39:41" x14ac:dyDescent="0.25">
      <c r="AM941" s="2">
        <v>938</v>
      </c>
      <c r="AN941" s="33">
        <v>1.3869731759696075E-2</v>
      </c>
      <c r="AO941" s="33">
        <v>1.2115331381463898E-3</v>
      </c>
    </row>
    <row r="942" spans="39:41" x14ac:dyDescent="0.25">
      <c r="AM942" s="2">
        <v>939</v>
      </c>
      <c r="AN942" s="33">
        <v>1.0917376781703439E-2</v>
      </c>
      <c r="AO942" s="33">
        <v>6.1111253684724388E-4</v>
      </c>
    </row>
    <row r="943" spans="39:41" x14ac:dyDescent="0.25">
      <c r="AM943" s="2">
        <v>940</v>
      </c>
      <c r="AN943" s="33">
        <v>1.1593139573873118E-2</v>
      </c>
      <c r="AO943" s="33">
        <v>1.109435611618076E-3</v>
      </c>
    </row>
    <row r="944" spans="39:41" x14ac:dyDescent="0.25">
      <c r="AM944" s="2">
        <v>941</v>
      </c>
      <c r="AN944" s="33">
        <v>8.6047085249917107E-3</v>
      </c>
      <c r="AO944" s="33">
        <v>5.7389732803348435E-4</v>
      </c>
    </row>
    <row r="945" spans="39:41" x14ac:dyDescent="0.25">
      <c r="AM945" s="2">
        <v>942</v>
      </c>
      <c r="AN945" s="33">
        <v>1.0999990432094991E-2</v>
      </c>
      <c r="AO945" s="33">
        <v>8.9203376218798588E-4</v>
      </c>
    </row>
    <row r="946" spans="39:41" x14ac:dyDescent="0.25">
      <c r="AM946" s="2">
        <v>943</v>
      </c>
      <c r="AN946" s="33">
        <v>1.1102103674670401E-2</v>
      </c>
      <c r="AO946" s="33">
        <v>8.8117038042796693E-4</v>
      </c>
    </row>
    <row r="947" spans="39:41" x14ac:dyDescent="0.25">
      <c r="AM947" s="2">
        <v>944</v>
      </c>
      <c r="AN947" s="33">
        <v>1.5010633783065913E-2</v>
      </c>
      <c r="AO947" s="33">
        <v>1.0791718621988098E-3</v>
      </c>
    </row>
    <row r="948" spans="39:41" x14ac:dyDescent="0.25">
      <c r="AM948" s="2">
        <v>945</v>
      </c>
      <c r="AN948" s="33">
        <v>1.0767026421973566E-2</v>
      </c>
      <c r="AO948" s="33">
        <v>9.3416204669904686E-4</v>
      </c>
    </row>
    <row r="949" spans="39:41" x14ac:dyDescent="0.25">
      <c r="AM949" s="2">
        <v>946</v>
      </c>
      <c r="AN949" s="33">
        <v>1.4955765906371382E-2</v>
      </c>
      <c r="AO949" s="33">
        <v>1.4764921322029032E-3</v>
      </c>
    </row>
    <row r="950" spans="39:41" x14ac:dyDescent="0.25">
      <c r="AM950" s="2">
        <v>947</v>
      </c>
      <c r="AN950" s="33">
        <v>8.3977567344739081E-3</v>
      </c>
      <c r="AO950" s="33">
        <v>4.4792151075205133E-4</v>
      </c>
    </row>
    <row r="951" spans="39:41" x14ac:dyDescent="0.25">
      <c r="AM951" s="2">
        <v>948</v>
      </c>
      <c r="AN951" s="33">
        <v>1.2152041382556659E-2</v>
      </c>
      <c r="AO951" s="33">
        <v>9.842616243807415E-4</v>
      </c>
    </row>
    <row r="952" spans="39:41" x14ac:dyDescent="0.25">
      <c r="AM952" s="2">
        <v>949</v>
      </c>
      <c r="AN952" s="33">
        <v>1.5599506951872011E-2</v>
      </c>
      <c r="AO952" s="33">
        <v>1.4634636130540454E-3</v>
      </c>
    </row>
    <row r="953" spans="39:41" x14ac:dyDescent="0.25">
      <c r="AM953" s="2">
        <v>950</v>
      </c>
      <c r="AN953" s="33">
        <v>1.166641178738667E-2</v>
      </c>
      <c r="AO953" s="33">
        <v>8.4910109320804989E-4</v>
      </c>
    </row>
    <row r="954" spans="39:41" x14ac:dyDescent="0.25">
      <c r="AM954" s="2">
        <v>951</v>
      </c>
      <c r="AN954" s="33">
        <v>1.2124957845657151E-2</v>
      </c>
      <c r="AO954" s="33">
        <v>9.8323730409936557E-4</v>
      </c>
    </row>
    <row r="955" spans="39:41" x14ac:dyDescent="0.25">
      <c r="AM955" s="2">
        <v>952</v>
      </c>
      <c r="AN955" s="33">
        <v>1.0532911506611649E-2</v>
      </c>
      <c r="AO955" s="33">
        <v>6.7487330217844827E-4</v>
      </c>
    </row>
    <row r="956" spans="39:41" x14ac:dyDescent="0.25">
      <c r="AM956" s="2">
        <v>953</v>
      </c>
      <c r="AN956" s="33">
        <v>1.4506334573159764E-2</v>
      </c>
      <c r="AO956" s="33">
        <v>1.2046290016999928E-3</v>
      </c>
    </row>
    <row r="957" spans="39:41" x14ac:dyDescent="0.25">
      <c r="AM957" s="2">
        <v>954</v>
      </c>
      <c r="AN957" s="33">
        <v>1.379849464437439E-2</v>
      </c>
      <c r="AO957" s="33">
        <v>1.1784557807314427E-3</v>
      </c>
    </row>
    <row r="958" spans="39:41" x14ac:dyDescent="0.25">
      <c r="AM958" s="2">
        <v>955</v>
      </c>
      <c r="AN958" s="33">
        <v>1.2067936718468517E-2</v>
      </c>
      <c r="AO958" s="33">
        <v>1.0642633522946014E-3</v>
      </c>
    </row>
    <row r="959" spans="39:41" x14ac:dyDescent="0.25">
      <c r="AM959" s="2">
        <v>956</v>
      </c>
      <c r="AN959" s="33">
        <v>9.9909850661072577E-3</v>
      </c>
      <c r="AO959" s="33">
        <v>5.5132889596721862E-4</v>
      </c>
    </row>
    <row r="960" spans="39:41" x14ac:dyDescent="0.25">
      <c r="AM960" s="2">
        <v>957</v>
      </c>
      <c r="AN960" s="33">
        <v>1.3120184016127577E-2</v>
      </c>
      <c r="AO960" s="33">
        <v>5.1954401486184909E-4</v>
      </c>
    </row>
    <row r="961" spans="39:41" x14ac:dyDescent="0.25">
      <c r="AM961" s="2">
        <v>958</v>
      </c>
      <c r="AN961" s="33">
        <v>1.1454627980140285E-2</v>
      </c>
      <c r="AO961" s="33">
        <v>7.572277323029035E-4</v>
      </c>
    </row>
    <row r="962" spans="39:41" x14ac:dyDescent="0.25">
      <c r="AM962" s="2">
        <v>959</v>
      </c>
      <c r="AN962" s="33">
        <v>1.5092348454497672E-2</v>
      </c>
      <c r="AO962" s="33">
        <v>1.2699410166104996E-3</v>
      </c>
    </row>
    <row r="963" spans="39:41" x14ac:dyDescent="0.25">
      <c r="AM963" s="2">
        <v>960</v>
      </c>
      <c r="AN963" s="33">
        <v>9.5925025019956787E-3</v>
      </c>
      <c r="AO963" s="33">
        <v>4.915354145606178E-4</v>
      </c>
    </row>
    <row r="964" spans="39:41" x14ac:dyDescent="0.25">
      <c r="AM964" s="2">
        <v>961</v>
      </c>
      <c r="AN964" s="33">
        <v>1.5465754127544903E-2</v>
      </c>
      <c r="AO964" s="33">
        <v>1.392803303904391E-3</v>
      </c>
    </row>
    <row r="965" spans="39:41" x14ac:dyDescent="0.25">
      <c r="AM965" s="2">
        <v>962</v>
      </c>
      <c r="AN965" s="33">
        <v>1.5148150315678437E-2</v>
      </c>
      <c r="AO965" s="33">
        <v>1.3850450041884904E-3</v>
      </c>
    </row>
    <row r="966" spans="39:41" x14ac:dyDescent="0.25">
      <c r="AM966" s="2">
        <v>963</v>
      </c>
      <c r="AN966" s="33">
        <v>9.7464066539857484E-3</v>
      </c>
      <c r="AO966" s="33">
        <v>9.0936323523611352E-4</v>
      </c>
    </row>
    <row r="967" spans="39:41" x14ac:dyDescent="0.25">
      <c r="AM967" s="2">
        <v>964</v>
      </c>
      <c r="AN967" s="33">
        <v>1.011198403399133E-2</v>
      </c>
      <c r="AO967" s="33">
        <v>8.6181160090833251E-4</v>
      </c>
    </row>
    <row r="968" spans="39:41" x14ac:dyDescent="0.25">
      <c r="AM968" s="2">
        <v>965</v>
      </c>
      <c r="AN968" s="33">
        <v>1.2195215858786841E-2</v>
      </c>
      <c r="AO968" s="33">
        <v>1.11940016237496E-3</v>
      </c>
    </row>
    <row r="969" spans="39:41" x14ac:dyDescent="0.25">
      <c r="AM969" s="2">
        <v>966</v>
      </c>
      <c r="AN969" s="33">
        <v>1.2681998687874386E-2</v>
      </c>
      <c r="AO969" s="33">
        <v>9.7133920068970183E-4</v>
      </c>
    </row>
    <row r="970" spans="39:41" x14ac:dyDescent="0.25">
      <c r="AM970" s="2">
        <v>967</v>
      </c>
      <c r="AN970" s="33">
        <v>1.0745283786017377E-2</v>
      </c>
      <c r="AO970" s="33">
        <v>7.4766676227884673E-4</v>
      </c>
    </row>
    <row r="971" spans="39:41" x14ac:dyDescent="0.25">
      <c r="AM971" s="2">
        <v>968</v>
      </c>
      <c r="AN971" s="33">
        <v>1.3248729703086357E-2</v>
      </c>
      <c r="AO971" s="33">
        <v>9.3427945665429011E-4</v>
      </c>
    </row>
    <row r="972" spans="39:41" x14ac:dyDescent="0.25">
      <c r="AM972" s="2">
        <v>969</v>
      </c>
      <c r="AN972" s="33">
        <v>1.069373447480464E-2</v>
      </c>
      <c r="AO972" s="33">
        <v>4.1313722092890164E-4</v>
      </c>
    </row>
    <row r="973" spans="39:41" x14ac:dyDescent="0.25">
      <c r="AM973" s="2">
        <v>970</v>
      </c>
      <c r="AN973" s="33">
        <v>1.1992751611385773E-2</v>
      </c>
      <c r="AO973" s="33">
        <v>8.8387210731177238E-4</v>
      </c>
    </row>
    <row r="974" spans="39:41" x14ac:dyDescent="0.25">
      <c r="AM974" s="2">
        <v>971</v>
      </c>
      <c r="AN974" s="33">
        <v>1.3008532347822774E-2</v>
      </c>
      <c r="AO974" s="33">
        <v>1.0537515375479288E-3</v>
      </c>
    </row>
    <row r="975" spans="39:41" x14ac:dyDescent="0.25">
      <c r="AM975" s="2">
        <v>972</v>
      </c>
      <c r="AN975" s="33">
        <v>1.1347013741497897E-2</v>
      </c>
      <c r="AO975" s="33">
        <v>5.2559044726735492E-4</v>
      </c>
    </row>
    <row r="976" spans="39:41" x14ac:dyDescent="0.25">
      <c r="AM976" s="2">
        <v>973</v>
      </c>
      <c r="AN976" s="33">
        <v>1.0064281357526472E-2</v>
      </c>
      <c r="AO976" s="33">
        <v>9.7536919688447261E-4</v>
      </c>
    </row>
    <row r="977" spans="39:41" x14ac:dyDescent="0.25">
      <c r="AM977" s="2">
        <v>974</v>
      </c>
      <c r="AN977" s="33">
        <v>1.0977543022907328E-2</v>
      </c>
      <c r="AO977" s="33">
        <v>7.8214252962416375E-4</v>
      </c>
    </row>
    <row r="978" spans="39:41" x14ac:dyDescent="0.25">
      <c r="AM978" s="2">
        <v>975</v>
      </c>
      <c r="AN978" s="33">
        <v>1.2240707261723759E-2</v>
      </c>
      <c r="AO978" s="33">
        <v>1.1380411451359818E-3</v>
      </c>
    </row>
    <row r="979" spans="39:41" x14ac:dyDescent="0.25">
      <c r="AM979" s="2">
        <v>976</v>
      </c>
      <c r="AN979" s="33">
        <v>1.3015584193077079E-2</v>
      </c>
      <c r="AO979" s="33">
        <v>1.237338091240931E-3</v>
      </c>
    </row>
    <row r="980" spans="39:41" x14ac:dyDescent="0.25">
      <c r="AM980" s="2">
        <v>977</v>
      </c>
      <c r="AN980" s="33">
        <v>1.0912338407039254E-2</v>
      </c>
      <c r="AO980" s="33">
        <v>9.9830984499714752E-4</v>
      </c>
    </row>
    <row r="981" spans="39:41" x14ac:dyDescent="0.25">
      <c r="AM981" s="2">
        <v>978</v>
      </c>
      <c r="AN981" s="33">
        <v>1.2687948154116153E-2</v>
      </c>
      <c r="AO981" s="33">
        <v>1.2953992027586101E-3</v>
      </c>
    </row>
    <row r="982" spans="39:41" x14ac:dyDescent="0.25">
      <c r="AM982" s="2">
        <v>979</v>
      </c>
      <c r="AN982" s="33">
        <v>9.435475824261989E-3</v>
      </c>
      <c r="AO982" s="33">
        <v>3.7025150080209656E-4</v>
      </c>
    </row>
    <row r="983" spans="39:41" x14ac:dyDescent="0.25">
      <c r="AM983" s="2">
        <v>980</v>
      </c>
      <c r="AN983" s="33">
        <v>1.2342850499439952E-2</v>
      </c>
      <c r="AO983" s="33">
        <v>9.454165678819006E-4</v>
      </c>
    </row>
    <row r="984" spans="39:41" x14ac:dyDescent="0.25">
      <c r="AM984" s="2">
        <v>981</v>
      </c>
      <c r="AN984" s="33">
        <v>9.4406377147623951E-3</v>
      </c>
      <c r="AO984" s="33">
        <v>5.8520595541198845E-4</v>
      </c>
    </row>
    <row r="985" spans="39:41" x14ac:dyDescent="0.25">
      <c r="AM985" s="2">
        <v>982</v>
      </c>
      <c r="AN985" s="33">
        <v>8.6955624738119398E-3</v>
      </c>
      <c r="AO985" s="33">
        <v>5.3499160617884081E-4</v>
      </c>
    </row>
    <row r="986" spans="39:41" x14ac:dyDescent="0.25">
      <c r="AM986" s="2">
        <v>983</v>
      </c>
      <c r="AN986" s="33">
        <v>1.2911310289212949E-2</v>
      </c>
      <c r="AO986" s="33">
        <v>1.205426581897195E-3</v>
      </c>
    </row>
    <row r="987" spans="39:41" x14ac:dyDescent="0.25">
      <c r="AM987" s="2">
        <v>984</v>
      </c>
      <c r="AN987" s="33">
        <v>8.7006945070353722E-3</v>
      </c>
      <c r="AO987" s="33">
        <v>7.5702045811077486E-4</v>
      </c>
    </row>
    <row r="988" spans="39:41" x14ac:dyDescent="0.25">
      <c r="AM988" s="2">
        <v>985</v>
      </c>
      <c r="AN988" s="33">
        <v>1.1332827753971889E-2</v>
      </c>
      <c r="AO988" s="33">
        <v>6.2269479526008177E-4</v>
      </c>
    </row>
    <row r="989" spans="39:41" x14ac:dyDescent="0.25">
      <c r="AM989" s="2">
        <v>986</v>
      </c>
      <c r="AN989" s="33">
        <v>1.0860862205451178E-2</v>
      </c>
      <c r="AO989" s="33">
        <v>4.5831910927028325E-4</v>
      </c>
    </row>
    <row r="990" spans="39:41" x14ac:dyDescent="0.25">
      <c r="AM990" s="2">
        <v>987</v>
      </c>
      <c r="AN990" s="33">
        <v>1.2389133358513387E-2</v>
      </c>
      <c r="AO990" s="33">
        <v>1.0319161432978722E-3</v>
      </c>
    </row>
    <row r="991" spans="39:41" x14ac:dyDescent="0.25">
      <c r="AM991" s="2">
        <v>988</v>
      </c>
      <c r="AN991" s="33">
        <v>1.0493348398310207E-2</v>
      </c>
      <c r="AO991" s="33">
        <v>5.4072577749189133E-4</v>
      </c>
    </row>
    <row r="992" spans="39:41" x14ac:dyDescent="0.25">
      <c r="AM992" s="2">
        <v>989</v>
      </c>
      <c r="AN992" s="33">
        <v>1.2766812687406101E-2</v>
      </c>
      <c r="AO992" s="33">
        <v>8.785486256959441E-4</v>
      </c>
    </row>
    <row r="993" spans="39:41" x14ac:dyDescent="0.25">
      <c r="AM993" s="2">
        <v>990</v>
      </c>
      <c r="AN993" s="33">
        <v>1.2234905020291663E-2</v>
      </c>
      <c r="AO993" s="33">
        <v>1.051881606306735E-3</v>
      </c>
    </row>
    <row r="994" spans="39:41" x14ac:dyDescent="0.25">
      <c r="AM994" s="2">
        <v>991</v>
      </c>
      <c r="AN994" s="33">
        <v>9.9688698106943918E-3</v>
      </c>
      <c r="AO994" s="33">
        <v>8.278732592016221E-4</v>
      </c>
    </row>
    <row r="995" spans="39:41" x14ac:dyDescent="0.25">
      <c r="AM995" s="2">
        <v>992</v>
      </c>
      <c r="AN995" s="33">
        <v>1.0855865903017297E-2</v>
      </c>
      <c r="AO995" s="33">
        <v>7.481155794005804E-4</v>
      </c>
    </row>
    <row r="996" spans="39:41" x14ac:dyDescent="0.25">
      <c r="AM996" s="2">
        <v>993</v>
      </c>
      <c r="AN996" s="33">
        <v>1.0581394689351469E-2</v>
      </c>
      <c r="AO996" s="33">
        <v>4.2257712152045032E-4</v>
      </c>
    </row>
    <row r="997" spans="39:41" x14ac:dyDescent="0.25">
      <c r="AM997" s="2">
        <v>994</v>
      </c>
      <c r="AN997" s="33">
        <v>1.2785018775545063E-2</v>
      </c>
      <c r="AO997" s="33">
        <v>1.2655829869695555E-3</v>
      </c>
    </row>
    <row r="998" spans="39:41" x14ac:dyDescent="0.25">
      <c r="AM998" s="2">
        <v>995</v>
      </c>
      <c r="AN998" s="33">
        <v>1.5213624655102944E-2</v>
      </c>
      <c r="AO998" s="33">
        <v>1.0809911545147058E-3</v>
      </c>
    </row>
    <row r="999" spans="39:41" x14ac:dyDescent="0.25">
      <c r="AM999" s="2">
        <v>996</v>
      </c>
      <c r="AN999" s="33">
        <v>1.2869443103927044E-2</v>
      </c>
      <c r="AO999" s="33">
        <v>9.7469549380203987E-4</v>
      </c>
    </row>
    <row r="1000" spans="39:41" x14ac:dyDescent="0.25">
      <c r="AM1000" s="2">
        <v>997</v>
      </c>
      <c r="AN1000" s="33">
        <v>9.4706989687792439E-3</v>
      </c>
      <c r="AO1000" s="33">
        <v>7.0026995921870718E-4</v>
      </c>
    </row>
    <row r="1001" spans="39:41" x14ac:dyDescent="0.25">
      <c r="AM1001" s="2">
        <v>998</v>
      </c>
      <c r="AN1001" s="33">
        <v>1.0537588895020522E-2</v>
      </c>
      <c r="AO1001" s="33">
        <v>1.0675902669571502E-3</v>
      </c>
    </row>
    <row r="1002" spans="39:41" x14ac:dyDescent="0.25">
      <c r="AM1002" s="2">
        <v>999</v>
      </c>
      <c r="AN1002" s="33">
        <v>1.4078774910116073E-2</v>
      </c>
      <c r="AO1002" s="33">
        <v>8.8999449888649664E-4</v>
      </c>
    </row>
    <row r="1003" spans="39:41" x14ac:dyDescent="0.25">
      <c r="AM1003" s="2">
        <v>1000</v>
      </c>
      <c r="AN1003" s="33">
        <v>1.6041094074925495E-2</v>
      </c>
      <c r="AO1003" s="33">
        <v>1.5770875247908796E-3</v>
      </c>
    </row>
    <row r="1004" spans="39:41" x14ac:dyDescent="0.25">
      <c r="AM1004" s="2">
        <v>1001</v>
      </c>
      <c r="AN1004" s="33">
        <v>7.5750384286906005E-3</v>
      </c>
      <c r="AO1004" s="33">
        <v>2.3192021978187883E-4</v>
      </c>
    </row>
    <row r="1005" spans="39:41" x14ac:dyDescent="0.25">
      <c r="AM1005" s="2">
        <v>1002</v>
      </c>
      <c r="AN1005" s="33">
        <v>1.1356698450123373E-2</v>
      </c>
      <c r="AO1005" s="33">
        <v>6.0145852642503597E-4</v>
      </c>
    </row>
    <row r="1006" spans="39:41" x14ac:dyDescent="0.25">
      <c r="AM1006" s="2">
        <v>1003</v>
      </c>
      <c r="AN1006" s="33">
        <v>1.261392906018855E-2</v>
      </c>
      <c r="AO1006" s="33">
        <v>1.0210401592648834E-3</v>
      </c>
    </row>
    <row r="1007" spans="39:41" x14ac:dyDescent="0.25">
      <c r="AM1007" s="2">
        <v>1004</v>
      </c>
      <c r="AN1007" s="33">
        <v>9.5992155560719362E-3</v>
      </c>
      <c r="AO1007" s="33">
        <v>5.3315348269238636E-4</v>
      </c>
    </row>
    <row r="1008" spans="39:41" x14ac:dyDescent="0.25">
      <c r="AM1008" s="2">
        <v>1005</v>
      </c>
      <c r="AN1008" s="33">
        <v>1.0019120883887409E-2</v>
      </c>
      <c r="AO1008" s="33">
        <v>8.2712666377697823E-4</v>
      </c>
    </row>
    <row r="1009" spans="39:41" x14ac:dyDescent="0.25">
      <c r="AM1009" s="2">
        <v>1006</v>
      </c>
      <c r="AN1009" s="33">
        <v>1.1391424678377164E-2</v>
      </c>
      <c r="AO1009" s="33">
        <v>9.6248033955957321E-4</v>
      </c>
    </row>
    <row r="1010" spans="39:41" x14ac:dyDescent="0.25">
      <c r="AM1010" s="2">
        <v>1007</v>
      </c>
      <c r="AN1010" s="33">
        <v>9.4755559971094108E-3</v>
      </c>
      <c r="AO1010" s="33">
        <v>8.1270065270526665E-4</v>
      </c>
    </row>
    <row r="1011" spans="39:41" x14ac:dyDescent="0.25">
      <c r="AM1011" s="2">
        <v>1008</v>
      </c>
      <c r="AN1011" s="33">
        <v>1.7888338911543636E-2</v>
      </c>
      <c r="AO1011" s="33">
        <v>1.7200895158451337E-3</v>
      </c>
    </row>
    <row r="1012" spans="39:41" x14ac:dyDescent="0.25">
      <c r="AM1012" s="2">
        <v>1009</v>
      </c>
      <c r="AN1012" s="33">
        <v>1.2334539762265007E-2</v>
      </c>
      <c r="AO1012" s="33">
        <v>9.071060596108838E-4</v>
      </c>
    </row>
    <row r="1013" spans="39:41" x14ac:dyDescent="0.25">
      <c r="AM1013" s="2">
        <v>1010</v>
      </c>
      <c r="AN1013" s="33">
        <v>1.0368421863222645E-2</v>
      </c>
      <c r="AO1013" s="33">
        <v>5.6295852684512852E-4</v>
      </c>
    </row>
    <row r="1014" spans="39:41" x14ac:dyDescent="0.25">
      <c r="AM1014" s="2">
        <v>1011</v>
      </c>
      <c r="AN1014" s="33">
        <v>1.0250487091853569E-2</v>
      </c>
      <c r="AO1014" s="33">
        <v>5.3899981784619384E-4</v>
      </c>
    </row>
    <row r="1015" spans="39:41" x14ac:dyDescent="0.25">
      <c r="AM1015" s="2">
        <v>1012</v>
      </c>
      <c r="AN1015" s="33">
        <v>1.2517326353625837E-2</v>
      </c>
      <c r="AO1015" s="33">
        <v>8.9929982972781802E-4</v>
      </c>
    </row>
    <row r="1016" spans="39:41" x14ac:dyDescent="0.25">
      <c r="AM1016" s="2">
        <v>1013</v>
      </c>
      <c r="AN1016" s="33">
        <v>1.1864527661079993E-2</v>
      </c>
      <c r="AO1016" s="33">
        <v>1.1187663674553025E-3</v>
      </c>
    </row>
    <row r="1017" spans="39:41" x14ac:dyDescent="0.25">
      <c r="AM1017" s="2">
        <v>1014</v>
      </c>
      <c r="AN1017" s="33">
        <v>1.0941328093549156E-2</v>
      </c>
      <c r="AO1017" s="33">
        <v>5.7037785835134796E-4</v>
      </c>
    </row>
    <row r="1018" spans="39:41" x14ac:dyDescent="0.25">
      <c r="AM1018" s="2">
        <v>1015</v>
      </c>
      <c r="AN1018" s="33">
        <v>1.0562063013110055E-2</v>
      </c>
      <c r="AO1018" s="33">
        <v>3.2543216542094946E-4</v>
      </c>
    </row>
    <row r="1019" spans="39:41" x14ac:dyDescent="0.25">
      <c r="AM1019" s="2">
        <v>1016</v>
      </c>
      <c r="AN1019" s="33">
        <v>1.1045783637589028E-2</v>
      </c>
      <c r="AO1019" s="33">
        <v>6.7876265881838566E-4</v>
      </c>
    </row>
    <row r="1020" spans="39:41" x14ac:dyDescent="0.25">
      <c r="AM1020" s="2">
        <v>1017</v>
      </c>
      <c r="AN1020" s="33">
        <v>1.1272530440100886E-2</v>
      </c>
      <c r="AO1020" s="33">
        <v>6.9811470677775948E-4</v>
      </c>
    </row>
    <row r="1021" spans="39:41" x14ac:dyDescent="0.25">
      <c r="AM1021" s="2">
        <v>1018</v>
      </c>
      <c r="AN1021" s="33">
        <v>1.0716048502434466E-2</v>
      </c>
      <c r="AO1021" s="33">
        <v>4.7183247685672982E-4</v>
      </c>
    </row>
    <row r="1022" spans="39:41" x14ac:dyDescent="0.25">
      <c r="AM1022" s="2">
        <v>1019</v>
      </c>
      <c r="AN1022" s="33">
        <v>1.2109134877022521E-2</v>
      </c>
      <c r="AO1022" s="33">
        <v>8.0049722769349172E-4</v>
      </c>
    </row>
    <row r="1023" spans="39:41" x14ac:dyDescent="0.25">
      <c r="AM1023" s="2">
        <v>1020</v>
      </c>
      <c r="AN1023" s="33">
        <v>1.0389330476684814E-2</v>
      </c>
      <c r="AO1023" s="33">
        <v>9.8530075078360167E-4</v>
      </c>
    </row>
    <row r="1024" spans="39:41" x14ac:dyDescent="0.25">
      <c r="AM1024" s="2">
        <v>1021</v>
      </c>
      <c r="AN1024" s="33">
        <v>1.3800695805875571E-2</v>
      </c>
      <c r="AO1024" s="33">
        <v>1.4084871212706016E-3</v>
      </c>
    </row>
    <row r="1025" spans="39:41" x14ac:dyDescent="0.25">
      <c r="AM1025" s="2">
        <v>1022</v>
      </c>
      <c r="AN1025" s="33">
        <v>1.6537738493634171E-2</v>
      </c>
      <c r="AO1025" s="33">
        <v>1.5590604580486105E-3</v>
      </c>
    </row>
    <row r="1026" spans="39:41" x14ac:dyDescent="0.25">
      <c r="AM1026" s="2">
        <v>1023</v>
      </c>
      <c r="AN1026" s="33">
        <v>1.2071136235797968E-2</v>
      </c>
      <c r="AO1026" s="33">
        <v>6.8393060655466155E-4</v>
      </c>
    </row>
    <row r="1027" spans="39:41" x14ac:dyDescent="0.25">
      <c r="AM1027" s="2">
        <v>1024</v>
      </c>
      <c r="AN1027" s="33">
        <v>1.4363861561450718E-2</v>
      </c>
      <c r="AO1027" s="33">
        <v>1.1964698425103847E-3</v>
      </c>
    </row>
    <row r="1028" spans="39:41" x14ac:dyDescent="0.25">
      <c r="AM1028" s="2">
        <v>1025</v>
      </c>
      <c r="AN1028" s="33">
        <v>1.1359927252286593E-2</v>
      </c>
      <c r="AO1028" s="33">
        <v>9.4702396529849583E-4</v>
      </c>
    </row>
    <row r="1029" spans="39:41" x14ac:dyDescent="0.25">
      <c r="AM1029" s="2">
        <v>1026</v>
      </c>
      <c r="AN1029" s="33">
        <v>1.1357952282795005E-2</v>
      </c>
      <c r="AO1029" s="33">
        <v>1.1047887203478623E-3</v>
      </c>
    </row>
    <row r="1030" spans="39:41" x14ac:dyDescent="0.25">
      <c r="AM1030" s="2">
        <v>1027</v>
      </c>
      <c r="AN1030" s="33">
        <v>1.3243479986219709E-2</v>
      </c>
      <c r="AO1030" s="33">
        <v>7.6825283414113581E-4</v>
      </c>
    </row>
    <row r="1031" spans="39:41" x14ac:dyDescent="0.25">
      <c r="AM1031" s="2">
        <v>1028</v>
      </c>
      <c r="AN1031" s="33">
        <v>9.9164862751010205E-3</v>
      </c>
      <c r="AO1031" s="33">
        <v>7.8329566717162972E-4</v>
      </c>
    </row>
    <row r="1032" spans="39:41" x14ac:dyDescent="0.25">
      <c r="AM1032" s="2">
        <v>1029</v>
      </c>
      <c r="AN1032" s="33">
        <v>1.2022920720488668E-2</v>
      </c>
      <c r="AO1032" s="33">
        <v>1.0049576292893846E-3</v>
      </c>
    </row>
    <row r="1033" spans="39:41" x14ac:dyDescent="0.25">
      <c r="AM1033" s="2">
        <v>1030</v>
      </c>
      <c r="AN1033" s="33">
        <v>1.2665322763411162E-2</v>
      </c>
      <c r="AO1033" s="33">
        <v>1.3050675984175024E-3</v>
      </c>
    </row>
    <row r="1034" spans="39:41" x14ac:dyDescent="0.25">
      <c r="AM1034" s="2">
        <v>1031</v>
      </c>
      <c r="AN1034" s="33">
        <v>1.0072081893465477E-2</v>
      </c>
      <c r="AO1034" s="33">
        <v>6.6407332839463434E-4</v>
      </c>
    </row>
    <row r="1035" spans="39:41" x14ac:dyDescent="0.25">
      <c r="AM1035" s="2">
        <v>1032</v>
      </c>
      <c r="AN1035" s="33">
        <v>1.5366781200970122E-2</v>
      </c>
      <c r="AO1035" s="33">
        <v>1.1416387155737959E-3</v>
      </c>
    </row>
    <row r="1036" spans="39:41" x14ac:dyDescent="0.25">
      <c r="AM1036" s="2">
        <v>1033</v>
      </c>
      <c r="AN1036" s="33">
        <v>1.3048166509311846E-2</v>
      </c>
      <c r="AO1036" s="33">
        <v>1.2409022756404437E-3</v>
      </c>
    </row>
    <row r="1037" spans="39:41" x14ac:dyDescent="0.25">
      <c r="AM1037" s="2">
        <v>1034</v>
      </c>
      <c r="AN1037" s="33">
        <v>1.3816935187712149E-2</v>
      </c>
      <c r="AO1037" s="33">
        <v>1.1352905681318206E-3</v>
      </c>
    </row>
    <row r="1038" spans="39:41" x14ac:dyDescent="0.25">
      <c r="AM1038" s="2">
        <v>1035</v>
      </c>
      <c r="AN1038" s="33">
        <v>1.3981411689317134E-2</v>
      </c>
      <c r="AO1038" s="33">
        <v>1.0941659193168653E-3</v>
      </c>
    </row>
    <row r="1039" spans="39:41" x14ac:dyDescent="0.25">
      <c r="AM1039" s="2">
        <v>1036</v>
      </c>
      <c r="AN1039" s="33">
        <v>1.224335782980447E-2</v>
      </c>
      <c r="AO1039" s="33">
        <v>1.0418830853891558E-3</v>
      </c>
    </row>
    <row r="1040" spans="39:41" x14ac:dyDescent="0.25">
      <c r="AM1040" s="2">
        <v>1037</v>
      </c>
      <c r="AN1040" s="33">
        <v>1.344173413744707E-2</v>
      </c>
      <c r="AO1040" s="33">
        <v>7.7280060284583914E-4</v>
      </c>
    </row>
    <row r="1041" spans="39:41" x14ac:dyDescent="0.25">
      <c r="AM1041" s="2">
        <v>1038</v>
      </c>
      <c r="AN1041" s="33">
        <v>1.5397997805262853E-2</v>
      </c>
      <c r="AO1041" s="33">
        <v>9.4644410346053122E-4</v>
      </c>
    </row>
    <row r="1042" spans="39:41" x14ac:dyDescent="0.25">
      <c r="AM1042" s="2">
        <v>1039</v>
      </c>
      <c r="AN1042" s="33">
        <v>9.0931019054857135E-3</v>
      </c>
      <c r="AO1042" s="33">
        <v>5.8999697450168461E-4</v>
      </c>
    </row>
    <row r="1043" spans="39:41" x14ac:dyDescent="0.25">
      <c r="AM1043" s="2">
        <v>1040</v>
      </c>
      <c r="AN1043" s="33">
        <v>1.2380654220030199E-2</v>
      </c>
      <c r="AO1043" s="33">
        <v>1.1212703986460263E-3</v>
      </c>
    </row>
    <row r="1044" spans="39:41" x14ac:dyDescent="0.25">
      <c r="AM1044" s="2">
        <v>1041</v>
      </c>
      <c r="AN1044" s="33">
        <v>8.1480090236758628E-3</v>
      </c>
      <c r="AO1044" s="33">
        <v>6.547208022318142E-4</v>
      </c>
    </row>
    <row r="1045" spans="39:41" x14ac:dyDescent="0.25">
      <c r="AM1045" s="2">
        <v>1042</v>
      </c>
      <c r="AN1045" s="33">
        <v>1.2840975670504007E-2</v>
      </c>
      <c r="AO1045" s="33">
        <v>8.9556482941154309E-4</v>
      </c>
    </row>
    <row r="1046" spans="39:41" x14ac:dyDescent="0.25">
      <c r="AM1046" s="2">
        <v>1043</v>
      </c>
      <c r="AN1046" s="33">
        <v>9.182560372114559E-3</v>
      </c>
      <c r="AO1046" s="33">
        <v>7.5237570623907482E-4</v>
      </c>
    </row>
    <row r="1047" spans="39:41" x14ac:dyDescent="0.25">
      <c r="AM1047" s="2">
        <v>1044</v>
      </c>
      <c r="AN1047" s="33">
        <v>1.1466064319711455E-2</v>
      </c>
      <c r="AO1047" s="33">
        <v>1.0565424450378869E-3</v>
      </c>
    </row>
    <row r="1048" spans="39:41" x14ac:dyDescent="0.25">
      <c r="AM1048" s="2">
        <v>1045</v>
      </c>
      <c r="AN1048" s="33">
        <v>1.1114736320303849E-2</v>
      </c>
      <c r="AO1048" s="33">
        <v>8.2119727054220243E-4</v>
      </c>
    </row>
    <row r="1049" spans="39:41" x14ac:dyDescent="0.25">
      <c r="AM1049" s="2">
        <v>1046</v>
      </c>
      <c r="AN1049" s="33">
        <v>1.2064300628285759E-2</v>
      </c>
      <c r="AO1049" s="33">
        <v>9.9813452057805215E-4</v>
      </c>
    </row>
    <row r="1050" spans="39:41" x14ac:dyDescent="0.25">
      <c r="AM1050" s="2">
        <v>1047</v>
      </c>
      <c r="AN1050" s="33">
        <v>1.1876411434040033E-2</v>
      </c>
      <c r="AO1050" s="33">
        <v>6.9981266618256112E-4</v>
      </c>
    </row>
    <row r="1051" spans="39:41" x14ac:dyDescent="0.25">
      <c r="AM1051" s="2">
        <v>1048</v>
      </c>
      <c r="AN1051" s="33">
        <v>1.2379179687700468E-2</v>
      </c>
      <c r="AO1051" s="33">
        <v>8.2887895389033208E-4</v>
      </c>
    </row>
    <row r="1052" spans="39:41" x14ac:dyDescent="0.25">
      <c r="AM1052" s="2">
        <v>1049</v>
      </c>
      <c r="AN1052" s="33">
        <v>1.0291549884457542E-2</v>
      </c>
      <c r="AO1052" s="33">
        <v>7.2481769616574419E-4</v>
      </c>
    </row>
    <row r="1053" spans="39:41" x14ac:dyDescent="0.25">
      <c r="AM1053" s="2">
        <v>1050</v>
      </c>
      <c r="AN1053" s="33">
        <v>1.2202367574843822E-2</v>
      </c>
      <c r="AO1053" s="33">
        <v>1.0752778114356885E-3</v>
      </c>
    </row>
    <row r="1054" spans="39:41" x14ac:dyDescent="0.25">
      <c r="AM1054" s="2">
        <v>1051</v>
      </c>
      <c r="AN1054" s="33">
        <v>1.0280722664561292E-2</v>
      </c>
      <c r="AO1054" s="33">
        <v>8.3575791117260787E-4</v>
      </c>
    </row>
    <row r="1055" spans="39:41" x14ac:dyDescent="0.25">
      <c r="AM1055" s="2">
        <v>1052</v>
      </c>
      <c r="AN1055" s="33">
        <v>1.4365770523790913E-2</v>
      </c>
      <c r="AO1055" s="33">
        <v>1.0094249792218773E-3</v>
      </c>
    </row>
    <row r="1056" spans="39:41" x14ac:dyDescent="0.25">
      <c r="AM1056" s="2">
        <v>1053</v>
      </c>
      <c r="AN1056" s="33">
        <v>1.1408057059694868E-2</v>
      </c>
      <c r="AO1056" s="33">
        <v>8.5150924972058869E-4</v>
      </c>
    </row>
    <row r="1057" spans="39:41" x14ac:dyDescent="0.25">
      <c r="AM1057" s="2">
        <v>1054</v>
      </c>
      <c r="AN1057" s="33">
        <v>1.2627541340004555E-2</v>
      </c>
      <c r="AO1057" s="33">
        <v>7.3443641016023866E-4</v>
      </c>
    </row>
    <row r="1058" spans="39:41" x14ac:dyDescent="0.25">
      <c r="AM1058" s="2">
        <v>1055</v>
      </c>
      <c r="AN1058" s="33">
        <v>1.1089373931732344E-2</v>
      </c>
      <c r="AO1058" s="33">
        <v>6.444460922418755E-4</v>
      </c>
    </row>
    <row r="1059" spans="39:41" x14ac:dyDescent="0.25">
      <c r="AM1059" s="2">
        <v>1056</v>
      </c>
      <c r="AN1059" s="33">
        <v>1.0436091271917105E-2</v>
      </c>
      <c r="AO1059" s="33">
        <v>7.4407346916917274E-4</v>
      </c>
    </row>
    <row r="1060" spans="39:41" x14ac:dyDescent="0.25">
      <c r="AM1060" s="2">
        <v>1057</v>
      </c>
      <c r="AN1060" s="33">
        <v>1.1089111356182542E-2</v>
      </c>
      <c r="AO1060" s="33">
        <v>9.6162472138908628E-4</v>
      </c>
    </row>
    <row r="1061" spans="39:41" x14ac:dyDescent="0.25">
      <c r="AM1061" s="2">
        <v>1058</v>
      </c>
      <c r="AN1061" s="33">
        <v>1.2040179161431699E-2</v>
      </c>
      <c r="AO1061" s="33">
        <v>1.1308856538390793E-3</v>
      </c>
    </row>
    <row r="1062" spans="39:41" x14ac:dyDescent="0.25">
      <c r="AM1062" s="2">
        <v>1059</v>
      </c>
      <c r="AN1062" s="33">
        <v>1.3581209241116757E-2</v>
      </c>
      <c r="AO1062" s="33">
        <v>1.1993797345696848E-3</v>
      </c>
    </row>
    <row r="1063" spans="39:41" x14ac:dyDescent="0.25">
      <c r="AM1063" s="2">
        <v>1060</v>
      </c>
      <c r="AN1063" s="33">
        <v>1.0307241236220824E-2</v>
      </c>
      <c r="AO1063" s="33">
        <v>9.9864280079854087E-4</v>
      </c>
    </row>
    <row r="1064" spans="39:41" x14ac:dyDescent="0.25">
      <c r="AM1064" s="2">
        <v>1061</v>
      </c>
      <c r="AN1064" s="33">
        <v>1.0992411156836307E-2</v>
      </c>
      <c r="AO1064" s="33">
        <v>7.577422412620011E-4</v>
      </c>
    </row>
    <row r="1065" spans="39:41" x14ac:dyDescent="0.25">
      <c r="AM1065" s="2">
        <v>1062</v>
      </c>
      <c r="AN1065" s="33">
        <v>1.1225013437458535E-2</v>
      </c>
      <c r="AO1065" s="33">
        <v>6.2052768274212884E-4</v>
      </c>
    </row>
    <row r="1066" spans="39:41" x14ac:dyDescent="0.25">
      <c r="AM1066" s="2">
        <v>1063</v>
      </c>
      <c r="AN1066" s="33">
        <v>1.458891880070992E-2</v>
      </c>
      <c r="AO1066" s="33">
        <v>1.3142596597421764E-3</v>
      </c>
    </row>
    <row r="1067" spans="39:41" x14ac:dyDescent="0.25">
      <c r="AM1067" s="2">
        <v>1064</v>
      </c>
      <c r="AN1067" s="33">
        <v>1.130323947341723E-2</v>
      </c>
      <c r="AO1067" s="33">
        <v>8.6169612758579827E-4</v>
      </c>
    </row>
    <row r="1068" spans="39:41" x14ac:dyDescent="0.25">
      <c r="AM1068" s="2">
        <v>1065</v>
      </c>
      <c r="AN1068" s="33">
        <v>1.0341340932158371E-2</v>
      </c>
      <c r="AO1068" s="33">
        <v>2.7766336469236185E-4</v>
      </c>
    </row>
    <row r="1069" spans="39:41" x14ac:dyDescent="0.25">
      <c r="AM1069" s="2">
        <v>1066</v>
      </c>
      <c r="AN1069" s="33">
        <v>1.45392753802199E-2</v>
      </c>
      <c r="AO1069" s="33">
        <v>1.1263319475329312E-3</v>
      </c>
    </row>
    <row r="1070" spans="39:41" x14ac:dyDescent="0.25">
      <c r="AM1070" s="2">
        <v>1067</v>
      </c>
      <c r="AN1070" s="33">
        <v>1.4797252857918988E-2</v>
      </c>
      <c r="AO1070" s="33">
        <v>1.0084958172952917E-3</v>
      </c>
    </row>
    <row r="1071" spans="39:41" x14ac:dyDescent="0.25">
      <c r="AM1071" s="2">
        <v>1068</v>
      </c>
      <c r="AN1071" s="33">
        <v>1.2374290943768721E-2</v>
      </c>
      <c r="AO1071" s="33">
        <v>1.0940448509014599E-3</v>
      </c>
    </row>
    <row r="1072" spans="39:41" x14ac:dyDescent="0.25">
      <c r="AM1072" s="2">
        <v>1069</v>
      </c>
      <c r="AN1072" s="33">
        <v>1.3442248639084229E-2</v>
      </c>
      <c r="AO1072" s="33">
        <v>1.3154757272417739E-3</v>
      </c>
    </row>
    <row r="1073" spans="39:41" x14ac:dyDescent="0.25">
      <c r="AM1073" s="2">
        <v>1070</v>
      </c>
      <c r="AN1073" s="33">
        <v>8.9057245042344132E-3</v>
      </c>
      <c r="AO1073" s="33">
        <v>1.2880308099489561E-4</v>
      </c>
    </row>
    <row r="1074" spans="39:41" x14ac:dyDescent="0.25">
      <c r="AM1074" s="2">
        <v>1071</v>
      </c>
      <c r="AN1074" s="33">
        <v>1.1660848592663926E-2</v>
      </c>
      <c r="AO1074" s="33">
        <v>9.2532843084059974E-4</v>
      </c>
    </row>
    <row r="1075" spans="39:41" x14ac:dyDescent="0.25">
      <c r="AM1075" s="2">
        <v>1072</v>
      </c>
      <c r="AN1075" s="33">
        <v>1.3495665407654211E-2</v>
      </c>
      <c r="AO1075" s="33">
        <v>1.2303825372487287E-3</v>
      </c>
    </row>
    <row r="1076" spans="39:41" x14ac:dyDescent="0.25">
      <c r="AM1076" s="2">
        <v>1073</v>
      </c>
      <c r="AN1076" s="33">
        <v>1.2607467047235818E-2</v>
      </c>
      <c r="AO1076" s="33">
        <v>1.0197363415750341E-3</v>
      </c>
    </row>
    <row r="1077" spans="39:41" x14ac:dyDescent="0.25">
      <c r="AM1077" s="2">
        <v>1074</v>
      </c>
      <c r="AN1077" s="33">
        <v>9.5957029055180627E-3</v>
      </c>
      <c r="AO1077" s="33">
        <v>1.827797297332629E-4</v>
      </c>
    </row>
    <row r="1078" spans="39:41" x14ac:dyDescent="0.25">
      <c r="AM1078" s="2">
        <v>1075</v>
      </c>
      <c r="AN1078" s="33">
        <v>1.3490744454385748E-2</v>
      </c>
      <c r="AO1078" s="33">
        <v>7.474878288668466E-4</v>
      </c>
    </row>
    <row r="1079" spans="39:41" x14ac:dyDescent="0.25">
      <c r="AM1079" s="2">
        <v>1076</v>
      </c>
      <c r="AN1079" s="33">
        <v>1.219079225713667E-2</v>
      </c>
      <c r="AO1079" s="33">
        <v>9.0957353371856327E-4</v>
      </c>
    </row>
    <row r="1080" spans="39:41" x14ac:dyDescent="0.25">
      <c r="AM1080" s="2">
        <v>1077</v>
      </c>
      <c r="AN1080" s="33">
        <v>1.1485687397547031E-2</v>
      </c>
      <c r="AO1080" s="33">
        <v>6.4086004817612177E-4</v>
      </c>
    </row>
    <row r="1081" spans="39:41" x14ac:dyDescent="0.25">
      <c r="AM1081" s="2">
        <v>1078</v>
      </c>
      <c r="AN1081" s="33">
        <v>1.0770327932105323E-2</v>
      </c>
      <c r="AO1081" s="33">
        <v>9.9854483869998498E-4</v>
      </c>
    </row>
    <row r="1082" spans="39:41" x14ac:dyDescent="0.25">
      <c r="AM1082" s="2">
        <v>1079</v>
      </c>
      <c r="AN1082" s="33">
        <v>1.0801966293860802E-2</v>
      </c>
      <c r="AO1082" s="33">
        <v>6.516219315189231E-4</v>
      </c>
    </row>
    <row r="1083" spans="39:41" x14ac:dyDescent="0.25">
      <c r="AM1083" s="2">
        <v>1080</v>
      </c>
      <c r="AN1083" s="33">
        <v>1.3987334706434214E-2</v>
      </c>
      <c r="AO1083" s="33">
        <v>9.5607888667415951E-4</v>
      </c>
    </row>
    <row r="1084" spans="39:41" x14ac:dyDescent="0.25">
      <c r="AM1084" s="2">
        <v>1081</v>
      </c>
      <c r="AN1084" s="33">
        <v>1.1360827445642045E-2</v>
      </c>
      <c r="AO1084" s="33">
        <v>2.2376651696199667E-4</v>
      </c>
    </row>
    <row r="1085" spans="39:41" x14ac:dyDescent="0.25">
      <c r="AM1085" s="2">
        <v>1082</v>
      </c>
      <c r="AN1085" s="33">
        <v>1.2304077186064076E-2</v>
      </c>
      <c r="AO1085" s="33">
        <v>7.8866671607593687E-4</v>
      </c>
    </row>
    <row r="1086" spans="39:41" x14ac:dyDescent="0.25">
      <c r="AM1086" s="2">
        <v>1083</v>
      </c>
      <c r="AN1086" s="33">
        <v>1.1184060535998974E-2</v>
      </c>
      <c r="AO1086" s="33">
        <v>7.4214672490342999E-4</v>
      </c>
    </row>
    <row r="1087" spans="39:41" x14ac:dyDescent="0.25">
      <c r="AM1087" s="2">
        <v>1084</v>
      </c>
      <c r="AN1087" s="33">
        <v>1.1267117206452404E-2</v>
      </c>
      <c r="AO1087" s="33">
        <v>3.2575709609982534E-4</v>
      </c>
    </row>
    <row r="1088" spans="39:41" x14ac:dyDescent="0.25">
      <c r="AM1088" s="2">
        <v>1085</v>
      </c>
      <c r="AN1088" s="33">
        <v>1.1348796069433481E-2</v>
      </c>
      <c r="AO1088" s="33">
        <v>2.1469224400764281E-4</v>
      </c>
    </row>
    <row r="1089" spans="39:41" x14ac:dyDescent="0.25">
      <c r="AM1089" s="2">
        <v>1086</v>
      </c>
      <c r="AN1089" s="33">
        <v>1.5589634502559535E-2</v>
      </c>
      <c r="AO1089" s="33">
        <v>1.551111577177467E-3</v>
      </c>
    </row>
    <row r="1090" spans="39:41" x14ac:dyDescent="0.25">
      <c r="AM1090" s="2">
        <v>1087</v>
      </c>
      <c r="AN1090" s="33">
        <v>9.4355937430703404E-3</v>
      </c>
      <c r="AO1090" s="33">
        <v>7.4765050406943006E-4</v>
      </c>
    </row>
    <row r="1091" spans="39:41" x14ac:dyDescent="0.25">
      <c r="AM1091" s="2">
        <v>1088</v>
      </c>
      <c r="AN1091" s="33">
        <v>1.3406486984701494E-2</v>
      </c>
      <c r="AO1091" s="33">
        <v>5.624634001318875E-4</v>
      </c>
    </row>
    <row r="1092" spans="39:41" x14ac:dyDescent="0.25">
      <c r="AM1092" s="2">
        <v>1089</v>
      </c>
      <c r="AN1092" s="33">
        <v>1.1593502564573416E-2</v>
      </c>
      <c r="AO1092" s="33">
        <v>1.0224114289717745E-3</v>
      </c>
    </row>
    <row r="1093" spans="39:41" x14ac:dyDescent="0.25">
      <c r="AM1093" s="2">
        <v>1090</v>
      </c>
      <c r="AN1093" s="33">
        <v>1.2628081944871338E-2</v>
      </c>
      <c r="AO1093" s="33">
        <v>7.3981321596244972E-4</v>
      </c>
    </row>
    <row r="1094" spans="39:41" x14ac:dyDescent="0.25">
      <c r="AM1094" s="2">
        <v>1091</v>
      </c>
      <c r="AN1094" s="33">
        <v>1.0607899388642766E-2</v>
      </c>
      <c r="AO1094" s="33">
        <v>3.1935767559984699E-4</v>
      </c>
    </row>
    <row r="1095" spans="39:41" x14ac:dyDescent="0.25">
      <c r="AM1095" s="2">
        <v>1092</v>
      </c>
      <c r="AN1095" s="33">
        <v>1.2414575000860188E-2</v>
      </c>
      <c r="AO1095" s="33">
        <v>7.8491655428633946E-4</v>
      </c>
    </row>
    <row r="1096" spans="39:41" x14ac:dyDescent="0.25">
      <c r="AM1096" s="2">
        <v>1093</v>
      </c>
      <c r="AN1096" s="33">
        <v>1.2136473117320343E-2</v>
      </c>
      <c r="AO1096" s="33">
        <v>1.1381467856253847E-3</v>
      </c>
    </row>
    <row r="1097" spans="39:41" x14ac:dyDescent="0.25">
      <c r="AM1097" s="2">
        <v>1094</v>
      </c>
      <c r="AN1097" s="33">
        <v>9.4828101248603525E-3</v>
      </c>
      <c r="AO1097" s="33">
        <v>4.600134398868045E-4</v>
      </c>
    </row>
    <row r="1098" spans="39:41" x14ac:dyDescent="0.25">
      <c r="AM1098" s="2">
        <v>1095</v>
      </c>
      <c r="AN1098" s="33">
        <v>1.2284423273749952E-2</v>
      </c>
      <c r="AO1098" s="33">
        <v>5.1260936963005586E-4</v>
      </c>
    </row>
    <row r="1099" spans="39:41" x14ac:dyDescent="0.25">
      <c r="AM1099" s="2">
        <v>1096</v>
      </c>
      <c r="AN1099" s="33">
        <v>8.1734298146562169E-3</v>
      </c>
      <c r="AO1099" s="33">
        <v>7.8387553457192206E-4</v>
      </c>
    </row>
    <row r="1100" spans="39:41" x14ac:dyDescent="0.25">
      <c r="AM1100" s="2">
        <v>1097</v>
      </c>
      <c r="AN1100" s="33">
        <v>1.2445250826351279E-2</v>
      </c>
      <c r="AO1100" s="33">
        <v>1.0345874193929037E-3</v>
      </c>
    </row>
    <row r="1101" spans="39:41" x14ac:dyDescent="0.25">
      <c r="AM1101" s="2">
        <v>1098</v>
      </c>
      <c r="AN1101" s="33">
        <v>1.0967724380013151E-2</v>
      </c>
      <c r="AO1101" s="33">
        <v>2.4760864044662826E-4</v>
      </c>
    </row>
    <row r="1102" spans="39:41" x14ac:dyDescent="0.25">
      <c r="AM1102" s="2">
        <v>1099</v>
      </c>
      <c r="AN1102" s="33">
        <v>1.121551956555363E-2</v>
      </c>
      <c r="AO1102" s="33">
        <v>8.0470940533799106E-4</v>
      </c>
    </row>
    <row r="1103" spans="39:41" x14ac:dyDescent="0.25">
      <c r="AM1103" s="2">
        <v>1100</v>
      </c>
      <c r="AN1103" s="33">
        <v>9.4603374160483755E-3</v>
      </c>
      <c r="AO1103" s="33">
        <v>3.9163031737977656E-4</v>
      </c>
    </row>
    <row r="1104" spans="39:41" x14ac:dyDescent="0.25">
      <c r="AM1104" s="2">
        <v>1101</v>
      </c>
      <c r="AN1104" s="33">
        <v>1.069420671106561E-2</v>
      </c>
      <c r="AO1104" s="33">
        <v>5.776308812672703E-4</v>
      </c>
    </row>
    <row r="1105" spans="39:41" x14ac:dyDescent="0.25">
      <c r="AM1105" s="2">
        <v>1102</v>
      </c>
      <c r="AN1105" s="33">
        <v>1.1773742867964213E-2</v>
      </c>
      <c r="AO1105" s="33">
        <v>4.1651187005007636E-4</v>
      </c>
    </row>
    <row r="1106" spans="39:41" x14ac:dyDescent="0.25">
      <c r="AM1106" s="2">
        <v>1103</v>
      </c>
      <c r="AN1106" s="33">
        <v>9.3255303128913902E-3</v>
      </c>
      <c r="AO1106" s="33">
        <v>4.896436917611153E-4</v>
      </c>
    </row>
    <row r="1107" spans="39:41" x14ac:dyDescent="0.25">
      <c r="AM1107" s="2">
        <v>1104</v>
      </c>
      <c r="AN1107" s="33">
        <v>1.2178132054930027E-2</v>
      </c>
      <c r="AO1107" s="33">
        <v>6.2063726633152828E-4</v>
      </c>
    </row>
    <row r="1108" spans="39:41" x14ac:dyDescent="0.25">
      <c r="AM1108" s="2">
        <v>1105</v>
      </c>
      <c r="AN1108" s="33">
        <v>1.2261262952317588E-2</v>
      </c>
      <c r="AO1108" s="33">
        <v>7.1572697275482187E-4</v>
      </c>
    </row>
    <row r="1109" spans="39:41" x14ac:dyDescent="0.25">
      <c r="AM1109" s="2">
        <v>1106</v>
      </c>
      <c r="AN1109" s="33">
        <v>1.08647608095795E-2</v>
      </c>
      <c r="AO1109" s="33">
        <v>5.6097311899354439E-4</v>
      </c>
    </row>
    <row r="1110" spans="39:41" x14ac:dyDescent="0.25">
      <c r="AM1110" s="2">
        <v>1107</v>
      </c>
      <c r="AN1110" s="33">
        <v>1.1875778376341999E-2</v>
      </c>
      <c r="AO1110" s="33">
        <v>9.1334607605777585E-4</v>
      </c>
    </row>
    <row r="1111" spans="39:41" x14ac:dyDescent="0.25">
      <c r="AM1111" s="2">
        <v>1108</v>
      </c>
      <c r="AN1111" s="33">
        <v>1.0571168697530803E-2</v>
      </c>
      <c r="AO1111" s="33">
        <v>6.3441772683917475E-4</v>
      </c>
    </row>
    <row r="1112" spans="39:41" x14ac:dyDescent="0.25">
      <c r="AM1112" s="2">
        <v>1109</v>
      </c>
      <c r="AN1112" s="33">
        <v>9.4802161723909675E-3</v>
      </c>
      <c r="AO1112" s="33">
        <v>8.3619448441944722E-4</v>
      </c>
    </row>
    <row r="1113" spans="39:41" x14ac:dyDescent="0.25">
      <c r="AM1113" s="2">
        <v>1110</v>
      </c>
      <c r="AN1113" s="33">
        <v>1.251572403478677E-2</v>
      </c>
      <c r="AO1113" s="33">
        <v>1.1148044784302434E-3</v>
      </c>
    </row>
    <row r="1114" spans="39:41" x14ac:dyDescent="0.25">
      <c r="AM1114" s="2">
        <v>1111</v>
      </c>
      <c r="AN1114" s="33">
        <v>1.1234646724958944E-2</v>
      </c>
      <c r="AO1114" s="33">
        <v>1.4365680351398412E-4</v>
      </c>
    </row>
    <row r="1115" spans="39:41" x14ac:dyDescent="0.25">
      <c r="AM1115" s="2">
        <v>1112</v>
      </c>
      <c r="AN1115" s="33">
        <v>1.2531397232771491E-2</v>
      </c>
      <c r="AO1115" s="33">
        <v>1.181949170942472E-3</v>
      </c>
    </row>
    <row r="1116" spans="39:41" x14ac:dyDescent="0.25">
      <c r="AM1116" s="2">
        <v>1113</v>
      </c>
      <c r="AN1116" s="33">
        <v>1.0347389846724203E-2</v>
      </c>
      <c r="AO1116" s="33">
        <v>7.1819303961344132E-4</v>
      </c>
    </row>
    <row r="1117" spans="39:41" x14ac:dyDescent="0.25">
      <c r="AM1117" s="2">
        <v>1114</v>
      </c>
      <c r="AN1117" s="33">
        <v>9.9265200762162636E-3</v>
      </c>
      <c r="AO1117" s="33">
        <v>5.025970279976691E-4</v>
      </c>
    </row>
    <row r="1118" spans="39:41" x14ac:dyDescent="0.25">
      <c r="AM1118" s="2">
        <v>1115</v>
      </c>
      <c r="AN1118" s="33">
        <v>1.1802792234714119E-2</v>
      </c>
      <c r="AO1118" s="33">
        <v>6.10662661850158E-4</v>
      </c>
    </row>
    <row r="1119" spans="39:41" x14ac:dyDescent="0.25">
      <c r="AM1119" s="2">
        <v>1116</v>
      </c>
      <c r="AN1119" s="33">
        <v>1.1687046738385472E-2</v>
      </c>
      <c r="AO1119" s="33">
        <v>8.4858275679991512E-4</v>
      </c>
    </row>
    <row r="1120" spans="39:41" x14ac:dyDescent="0.25">
      <c r="AM1120" s="2">
        <v>1117</v>
      </c>
      <c r="AN1120" s="33">
        <v>1.3590330628366716E-2</v>
      </c>
      <c r="AO1120" s="33">
        <v>1.3343692209135823E-3</v>
      </c>
    </row>
    <row r="1121" spans="39:41" x14ac:dyDescent="0.25">
      <c r="AM1121" s="2">
        <v>1118</v>
      </c>
      <c r="AN1121" s="33">
        <v>1.0987481290693345E-2</v>
      </c>
      <c r="AO1121" s="33">
        <v>7.602212122556067E-4</v>
      </c>
    </row>
    <row r="1122" spans="39:41" x14ac:dyDescent="0.25">
      <c r="AM1122" s="2">
        <v>1119</v>
      </c>
      <c r="AN1122" s="33">
        <v>1.5912356797827449E-2</v>
      </c>
      <c r="AO1122" s="33">
        <v>1.1467195057782895E-3</v>
      </c>
    </row>
    <row r="1123" spans="39:41" x14ac:dyDescent="0.25">
      <c r="AM1123" s="2">
        <v>1120</v>
      </c>
      <c r="AN1123" s="33">
        <v>1.4683349927034422E-2</v>
      </c>
      <c r="AO1123" s="33">
        <v>1.0762349224975785E-3</v>
      </c>
    </row>
    <row r="1124" spans="39:41" x14ac:dyDescent="0.25">
      <c r="AM1124" s="2">
        <v>1121</v>
      </c>
      <c r="AN1124" s="33">
        <v>1.318742242595956E-2</v>
      </c>
      <c r="AO1124" s="33">
        <v>8.5161217985509996E-4</v>
      </c>
    </row>
    <row r="1125" spans="39:41" x14ac:dyDescent="0.25">
      <c r="AM1125" s="2">
        <v>1122</v>
      </c>
      <c r="AN1125" s="33">
        <v>1.5105961465251642E-2</v>
      </c>
      <c r="AO1125" s="33">
        <v>1.3349897273609911E-3</v>
      </c>
    </row>
    <row r="1126" spans="39:41" x14ac:dyDescent="0.25">
      <c r="AM1126" s="2">
        <v>1123</v>
      </c>
      <c r="AN1126" s="33">
        <v>8.2817859183285329E-3</v>
      </c>
      <c r="AO1126" s="33">
        <v>4.916867156097085E-4</v>
      </c>
    </row>
    <row r="1127" spans="39:41" x14ac:dyDescent="0.25">
      <c r="AM1127" s="2">
        <v>1124</v>
      </c>
      <c r="AN1127" s="33">
        <v>1.0389437759188103E-2</v>
      </c>
      <c r="AO1127" s="33">
        <v>6.8674869590861084E-4</v>
      </c>
    </row>
    <row r="1128" spans="39:41" x14ac:dyDescent="0.25">
      <c r="AM1128" s="2">
        <v>1125</v>
      </c>
      <c r="AN1128" s="33">
        <v>9.6928354778086697E-3</v>
      </c>
      <c r="AO1128" s="33">
        <v>7.2210190013108507E-4</v>
      </c>
    </row>
    <row r="1129" spans="39:41" x14ac:dyDescent="0.25">
      <c r="AM1129" s="2">
        <v>1126</v>
      </c>
      <c r="AN1129" s="33">
        <v>7.5322289824230858E-3</v>
      </c>
      <c r="AO1129" s="33">
        <v>3.5792269298780336E-4</v>
      </c>
    </row>
    <row r="1130" spans="39:41" x14ac:dyDescent="0.25">
      <c r="AM1130" s="2">
        <v>1127</v>
      </c>
      <c r="AN1130" s="33">
        <v>1.951641049010264E-2</v>
      </c>
      <c r="AO1130" s="33">
        <v>1.5570391628604776E-3</v>
      </c>
    </row>
    <row r="1131" spans="39:41" x14ac:dyDescent="0.25">
      <c r="AM1131" s="2">
        <v>1128</v>
      </c>
      <c r="AN1131" s="33">
        <v>1.3256104232544294E-2</v>
      </c>
      <c r="AO1131" s="33">
        <v>1.0489288568451382E-3</v>
      </c>
    </row>
    <row r="1132" spans="39:41" x14ac:dyDescent="0.25">
      <c r="AM1132" s="2">
        <v>1129</v>
      </c>
      <c r="AN1132" s="33">
        <v>9.1929135046035539E-3</v>
      </c>
      <c r="AO1132" s="33">
        <v>6.6715435147939224E-4</v>
      </c>
    </row>
    <row r="1133" spans="39:41" x14ac:dyDescent="0.25">
      <c r="AM1133" s="2">
        <v>1130</v>
      </c>
      <c r="AN1133" s="33">
        <v>1.3414673987755966E-2</v>
      </c>
      <c r="AO1133" s="33">
        <v>1.1094427718015068E-3</v>
      </c>
    </row>
    <row r="1134" spans="39:41" x14ac:dyDescent="0.25">
      <c r="AM1134" s="2">
        <v>1131</v>
      </c>
      <c r="AN1134" s="33">
        <v>1.2652198827269218E-2</v>
      </c>
      <c r="AO1134" s="33">
        <v>7.4939388496523412E-4</v>
      </c>
    </row>
    <row r="1135" spans="39:41" x14ac:dyDescent="0.25">
      <c r="AM1135" s="2">
        <v>1132</v>
      </c>
      <c r="AN1135" s="33">
        <v>1.1697728659360487E-2</v>
      </c>
      <c r="AO1135" s="33">
        <v>1.1016046864747392E-3</v>
      </c>
    </row>
    <row r="1136" spans="39:41" x14ac:dyDescent="0.25">
      <c r="AM1136" s="2">
        <v>1133</v>
      </c>
      <c r="AN1136" s="33">
        <v>1.2311407462204957E-2</v>
      </c>
      <c r="AO1136" s="33">
        <v>7.6704931501284795E-4</v>
      </c>
    </row>
    <row r="1137" spans="39:41" x14ac:dyDescent="0.25">
      <c r="AM1137" s="2">
        <v>1134</v>
      </c>
      <c r="AN1137" s="33">
        <v>1.2547383155277368E-2</v>
      </c>
      <c r="AO1137" s="33">
        <v>9.4877146524330986E-4</v>
      </c>
    </row>
    <row r="1138" spans="39:41" x14ac:dyDescent="0.25">
      <c r="AM1138" s="2">
        <v>1135</v>
      </c>
      <c r="AN1138" s="33">
        <v>1.1177286697866778E-2</v>
      </c>
      <c r="AO1138" s="33">
        <v>7.5698305654846223E-4</v>
      </c>
    </row>
    <row r="1139" spans="39:41" x14ac:dyDescent="0.25">
      <c r="AM1139" s="2">
        <v>1136</v>
      </c>
      <c r="AN1139" s="33">
        <v>1.2152456923185274E-2</v>
      </c>
      <c r="AO1139" s="33">
        <v>1.1996108084242657E-3</v>
      </c>
    </row>
    <row r="1140" spans="39:41" x14ac:dyDescent="0.25">
      <c r="AM1140" s="2">
        <v>1137</v>
      </c>
      <c r="AN1140" s="33">
        <v>1.3479848628339652E-2</v>
      </c>
      <c r="AO1140" s="33">
        <v>6.2033344155174388E-4</v>
      </c>
    </row>
    <row r="1141" spans="39:41" x14ac:dyDescent="0.25">
      <c r="AM1141" s="2">
        <v>1138</v>
      </c>
      <c r="AN1141" s="33">
        <v>1.5908590631228889E-2</v>
      </c>
      <c r="AO1141" s="33">
        <v>1.5750288834620624E-3</v>
      </c>
    </row>
    <row r="1142" spans="39:41" x14ac:dyDescent="0.25">
      <c r="AM1142" s="2">
        <v>1139</v>
      </c>
      <c r="AN1142" s="33">
        <v>1.317120310110808E-2</v>
      </c>
      <c r="AO1142" s="33">
        <v>1.0988122266912673E-3</v>
      </c>
    </row>
    <row r="1143" spans="39:41" x14ac:dyDescent="0.25">
      <c r="AM1143" s="2">
        <v>1140</v>
      </c>
      <c r="AN1143" s="33">
        <v>1.00361970582449E-2</v>
      </c>
      <c r="AO1143" s="33">
        <v>7.9091458540658072E-4</v>
      </c>
    </row>
    <row r="1144" spans="39:41" x14ac:dyDescent="0.25">
      <c r="AM1144" s="2">
        <v>1141</v>
      </c>
      <c r="AN1144" s="33">
        <v>9.5847520728268801E-3</v>
      </c>
      <c r="AO1144" s="33">
        <v>6.8693632481374716E-4</v>
      </c>
    </row>
    <row r="1145" spans="39:41" x14ac:dyDescent="0.25">
      <c r="AM1145" s="2">
        <v>1142</v>
      </c>
      <c r="AN1145" s="33">
        <v>1.1129704728444028E-2</v>
      </c>
      <c r="AO1145" s="33">
        <v>7.7656642791042879E-4</v>
      </c>
    </row>
    <row r="1146" spans="39:41" x14ac:dyDescent="0.25">
      <c r="AM1146" s="2">
        <v>1143</v>
      </c>
      <c r="AN1146" s="33">
        <v>9.3324443395668907E-3</v>
      </c>
      <c r="AO1146" s="33">
        <v>6.4450076173953408E-4</v>
      </c>
    </row>
    <row r="1147" spans="39:41" x14ac:dyDescent="0.25">
      <c r="AM1147" s="2">
        <v>1144</v>
      </c>
      <c r="AN1147" s="33">
        <v>1.5839415188953595E-2</v>
      </c>
      <c r="AO1147" s="33">
        <v>1.3818029094660887E-3</v>
      </c>
    </row>
    <row r="1148" spans="39:41" x14ac:dyDescent="0.25">
      <c r="AM1148" s="2">
        <v>1145</v>
      </c>
      <c r="AN1148" s="33">
        <v>1.3159581942671023E-2</v>
      </c>
      <c r="AO1148" s="33">
        <v>1.125560174681134E-3</v>
      </c>
    </row>
    <row r="1149" spans="39:41" x14ac:dyDescent="0.25">
      <c r="AM1149" s="2">
        <v>1146</v>
      </c>
      <c r="AN1149" s="33">
        <v>9.0977298174853283E-3</v>
      </c>
      <c r="AO1149" s="33">
        <v>6.6716279880732834E-4</v>
      </c>
    </row>
    <row r="1150" spans="39:41" x14ac:dyDescent="0.25">
      <c r="AM1150" s="2">
        <v>1147</v>
      </c>
      <c r="AN1150" s="33">
        <v>9.8853955584702474E-3</v>
      </c>
      <c r="AO1150" s="33">
        <v>6.9343776863402642E-4</v>
      </c>
    </row>
    <row r="1151" spans="39:41" x14ac:dyDescent="0.25">
      <c r="AM1151" s="2">
        <v>1148</v>
      </c>
      <c r="AN1151" s="33">
        <v>1.3070597971367129E-2</v>
      </c>
      <c r="AO1151" s="33">
        <v>9.8119372087636489E-4</v>
      </c>
    </row>
    <row r="1152" spans="39:41" x14ac:dyDescent="0.25">
      <c r="AM1152" s="2">
        <v>1149</v>
      </c>
      <c r="AN1152" s="33">
        <v>9.8392636273987675E-3</v>
      </c>
      <c r="AO1152" s="33">
        <v>6.9124955881199842E-4</v>
      </c>
    </row>
    <row r="1153" spans="39:41" x14ac:dyDescent="0.25">
      <c r="AM1153" s="2">
        <v>1150</v>
      </c>
      <c r="AN1153" s="33">
        <v>1.151973048104173E-2</v>
      </c>
      <c r="AO1153" s="33">
        <v>8.5224288221131834E-4</v>
      </c>
    </row>
    <row r="1154" spans="39:41" x14ac:dyDescent="0.25">
      <c r="AM1154" s="2">
        <v>1151</v>
      </c>
      <c r="AN1154" s="33">
        <v>1.4034323210320632E-2</v>
      </c>
      <c r="AO1154" s="33">
        <v>1.3593025872608436E-3</v>
      </c>
    </row>
    <row r="1155" spans="39:41" x14ac:dyDescent="0.25">
      <c r="AM1155" s="2">
        <v>1152</v>
      </c>
      <c r="AN1155" s="33">
        <v>1.3093285702553852E-2</v>
      </c>
      <c r="AO1155" s="33">
        <v>8.9060189258470621E-4</v>
      </c>
    </row>
    <row r="1156" spans="39:41" x14ac:dyDescent="0.25">
      <c r="AM1156" s="2">
        <v>1153</v>
      </c>
      <c r="AN1156" s="33">
        <v>8.5575103545755624E-3</v>
      </c>
      <c r="AO1156" s="33">
        <v>8.1571971484289908E-4</v>
      </c>
    </row>
    <row r="1157" spans="39:41" x14ac:dyDescent="0.25">
      <c r="AM1157" s="2">
        <v>1154</v>
      </c>
      <c r="AN1157" s="33">
        <v>1.1085494976749398E-2</v>
      </c>
      <c r="AO1157" s="33">
        <v>5.9481550729121647E-4</v>
      </c>
    </row>
    <row r="1158" spans="39:41" x14ac:dyDescent="0.25">
      <c r="AM1158" s="2">
        <v>1155</v>
      </c>
      <c r="AN1158" s="33">
        <v>1.1232320867041807E-2</v>
      </c>
      <c r="AO1158" s="33">
        <v>8.2836316908161648E-4</v>
      </c>
    </row>
    <row r="1159" spans="39:41" x14ac:dyDescent="0.25">
      <c r="AM1159" s="2">
        <v>1156</v>
      </c>
      <c r="AN1159" s="33">
        <v>1.2364830542856284E-2</v>
      </c>
      <c r="AO1159" s="33">
        <v>8.4505001930511856E-4</v>
      </c>
    </row>
    <row r="1160" spans="39:41" x14ac:dyDescent="0.25">
      <c r="AM1160" s="2">
        <v>1157</v>
      </c>
      <c r="AN1160" s="33">
        <v>1.2353371371445159E-2</v>
      </c>
      <c r="AO1160" s="33">
        <v>4.4122323178934035E-4</v>
      </c>
    </row>
    <row r="1161" spans="39:41" x14ac:dyDescent="0.25">
      <c r="AM1161" s="2">
        <v>1158</v>
      </c>
      <c r="AN1161" s="33">
        <v>9.793013563929448E-3</v>
      </c>
      <c r="AO1161" s="33">
        <v>6.6982133650406173E-4</v>
      </c>
    </row>
    <row r="1162" spans="39:41" x14ac:dyDescent="0.25">
      <c r="AM1162" s="2">
        <v>1159</v>
      </c>
      <c r="AN1162" s="33">
        <v>9.2753345946766427E-3</v>
      </c>
      <c r="AO1162" s="33">
        <v>6.0640918781611479E-4</v>
      </c>
    </row>
    <row r="1163" spans="39:41" x14ac:dyDescent="0.25">
      <c r="AM1163" s="2">
        <v>1160</v>
      </c>
      <c r="AN1163" s="33">
        <v>1.0205568098004101E-2</v>
      </c>
      <c r="AO1163" s="33">
        <v>7.5143514661576126E-4</v>
      </c>
    </row>
    <row r="1164" spans="39:41" x14ac:dyDescent="0.25">
      <c r="AM1164" s="2">
        <v>1161</v>
      </c>
      <c r="AN1164" s="33">
        <v>1.0049393825770954E-2</v>
      </c>
      <c r="AO1164" s="33">
        <v>9.4833189763184728E-4</v>
      </c>
    </row>
    <row r="1165" spans="39:41" x14ac:dyDescent="0.25">
      <c r="AM1165" s="2">
        <v>1162</v>
      </c>
      <c r="AN1165" s="33">
        <v>1.4999037183150453E-2</v>
      </c>
      <c r="AO1165" s="33">
        <v>1.3490286205044505E-3</v>
      </c>
    </row>
    <row r="1166" spans="39:41" x14ac:dyDescent="0.25">
      <c r="AM1166" s="2">
        <v>1163</v>
      </c>
      <c r="AN1166" s="33">
        <v>1.0491646986518426E-2</v>
      </c>
      <c r="AO1166" s="33">
        <v>3.1799971634314427E-4</v>
      </c>
    </row>
    <row r="1167" spans="39:41" x14ac:dyDescent="0.25">
      <c r="AM1167" s="2">
        <v>1164</v>
      </c>
      <c r="AN1167" s="33">
        <v>8.0932179007493152E-3</v>
      </c>
      <c r="AO1167" s="33">
        <v>3.0561820083606367E-4</v>
      </c>
    </row>
    <row r="1168" spans="39:41" x14ac:dyDescent="0.25">
      <c r="AM1168" s="2">
        <v>1165</v>
      </c>
      <c r="AN1168" s="33">
        <v>1.2952156005033041E-2</v>
      </c>
      <c r="AO1168" s="33">
        <v>1.0804768575470754E-3</v>
      </c>
    </row>
    <row r="1169" spans="39:41" x14ac:dyDescent="0.25">
      <c r="AM1169" s="2">
        <v>1166</v>
      </c>
      <c r="AN1169" s="33">
        <v>1.5169090723487729E-2</v>
      </c>
      <c r="AO1169" s="33">
        <v>1.3511269314942958E-3</v>
      </c>
    </row>
    <row r="1170" spans="39:41" x14ac:dyDescent="0.25">
      <c r="AM1170" s="2">
        <v>1167</v>
      </c>
      <c r="AN1170" s="33">
        <v>1.2678919548502574E-2</v>
      </c>
      <c r="AO1170" s="33">
        <v>1.0087266185444274E-3</v>
      </c>
    </row>
    <row r="1171" spans="39:41" x14ac:dyDescent="0.25">
      <c r="AM1171" s="2">
        <v>1168</v>
      </c>
      <c r="AN1171" s="33">
        <v>1.3683778359622121E-2</v>
      </c>
      <c r="AO1171" s="33">
        <v>1.3233503485373976E-3</v>
      </c>
    </row>
    <row r="1172" spans="39:41" x14ac:dyDescent="0.25">
      <c r="AM1172" s="2">
        <v>1169</v>
      </c>
      <c r="AN1172" s="33">
        <v>1.1883965844564956E-2</v>
      </c>
      <c r="AO1172" s="33">
        <v>7.3270747084328079E-4</v>
      </c>
    </row>
    <row r="1173" spans="39:41" x14ac:dyDescent="0.25">
      <c r="AM1173" s="2">
        <v>1170</v>
      </c>
      <c r="AN1173" s="33">
        <v>1.5012658500489821E-2</v>
      </c>
      <c r="AO1173" s="33">
        <v>1.3456241014408682E-3</v>
      </c>
    </row>
    <row r="1174" spans="39:41" x14ac:dyDescent="0.25">
      <c r="AM1174" s="2">
        <v>1171</v>
      </c>
      <c r="AN1174" s="33">
        <v>1.3980696767766325E-2</v>
      </c>
      <c r="AO1174" s="33">
        <v>8.8619197508399178E-4</v>
      </c>
    </row>
    <row r="1175" spans="39:41" x14ac:dyDescent="0.25">
      <c r="AM1175" s="2">
        <v>1172</v>
      </c>
      <c r="AN1175" s="33">
        <v>1.1957984374387007E-2</v>
      </c>
      <c r="AO1175" s="33">
        <v>7.1566219586123331E-4</v>
      </c>
    </row>
    <row r="1176" spans="39:41" x14ac:dyDescent="0.25">
      <c r="AM1176" s="2">
        <v>1173</v>
      </c>
      <c r="AN1176" s="33">
        <v>1.006201845919372E-2</v>
      </c>
      <c r="AO1176" s="33">
        <v>7.7168067919828709E-4</v>
      </c>
    </row>
    <row r="1177" spans="39:41" x14ac:dyDescent="0.25">
      <c r="AM1177" s="2">
        <v>1174</v>
      </c>
      <c r="AN1177" s="33">
        <v>1.2209875543542584E-2</v>
      </c>
      <c r="AO1177" s="33">
        <v>1.1128698211557925E-3</v>
      </c>
    </row>
    <row r="1178" spans="39:41" x14ac:dyDescent="0.25">
      <c r="AM1178" s="2">
        <v>1175</v>
      </c>
      <c r="AN1178" s="33">
        <v>1.2559690840340244E-2</v>
      </c>
      <c r="AO1178" s="33">
        <v>8.0249504942649552E-4</v>
      </c>
    </row>
    <row r="1179" spans="39:41" x14ac:dyDescent="0.25">
      <c r="AM1179" s="2">
        <v>1176</v>
      </c>
      <c r="AN1179" s="33">
        <v>1.1155994344966029E-2</v>
      </c>
      <c r="AO1179" s="33">
        <v>-2.9542109210635702E-5</v>
      </c>
    </row>
    <row r="1180" spans="39:41" x14ac:dyDescent="0.25">
      <c r="AM1180" s="2">
        <v>1177</v>
      </c>
      <c r="AN1180" s="33">
        <v>1.5967902024762608E-2</v>
      </c>
      <c r="AO1180" s="33">
        <v>1.4657543293074146E-3</v>
      </c>
    </row>
    <row r="1181" spans="39:41" x14ac:dyDescent="0.25">
      <c r="AM1181" s="2">
        <v>1178</v>
      </c>
      <c r="AN1181" s="33">
        <v>1.0505046178845378E-2</v>
      </c>
      <c r="AO1181" s="33">
        <v>6.3229808872307673E-4</v>
      </c>
    </row>
    <row r="1182" spans="39:41" x14ac:dyDescent="0.25">
      <c r="AM1182" s="2">
        <v>1179</v>
      </c>
      <c r="AN1182" s="33">
        <v>1.2256651951324733E-2</v>
      </c>
      <c r="AO1182" s="33">
        <v>1.0590710848322764E-3</v>
      </c>
    </row>
    <row r="1183" spans="39:41" x14ac:dyDescent="0.25">
      <c r="AM1183" s="2">
        <v>1180</v>
      </c>
      <c r="AN1183" s="33">
        <v>1.009052647026693E-2</v>
      </c>
      <c r="AO1183" s="33">
        <v>6.4175969173229047E-4</v>
      </c>
    </row>
    <row r="1184" spans="39:41" x14ac:dyDescent="0.25">
      <c r="AM1184" s="2">
        <v>1181</v>
      </c>
      <c r="AN1184" s="33">
        <v>1.438166139083921E-2</v>
      </c>
      <c r="AO1184" s="33">
        <v>1.4377047875313294E-3</v>
      </c>
    </row>
    <row r="1185" spans="39:41" x14ac:dyDescent="0.25">
      <c r="AM1185" s="2">
        <v>1182</v>
      </c>
      <c r="AN1185" s="33">
        <v>9.5408257005799493E-3</v>
      </c>
      <c r="AO1185" s="33">
        <v>4.3337484683411649E-4</v>
      </c>
    </row>
    <row r="1186" spans="39:41" x14ac:dyDescent="0.25">
      <c r="AM1186" s="2">
        <v>1183</v>
      </c>
      <c r="AN1186" s="33">
        <v>1.5754772904825069E-2</v>
      </c>
      <c r="AO1186" s="33">
        <v>1.1572672059696856E-3</v>
      </c>
    </row>
    <row r="1187" spans="39:41" x14ac:dyDescent="0.25">
      <c r="AM1187" s="2">
        <v>1184</v>
      </c>
      <c r="AN1187" s="33">
        <v>2.1299557053774218E-2</v>
      </c>
      <c r="AO1187" s="33">
        <v>1.6956817595238844E-3</v>
      </c>
    </row>
    <row r="1188" spans="39:41" x14ac:dyDescent="0.25">
      <c r="AM1188" s="2">
        <v>1185</v>
      </c>
      <c r="AN1188" s="33">
        <v>1.2167190370263776E-2</v>
      </c>
      <c r="AO1188" s="33">
        <v>7.4046356546555851E-4</v>
      </c>
    </row>
    <row r="1189" spans="39:41" x14ac:dyDescent="0.25">
      <c r="AM1189" s="2">
        <v>1186</v>
      </c>
      <c r="AN1189" s="33">
        <v>1.2889469018096031E-2</v>
      </c>
      <c r="AO1189" s="33">
        <v>1.2085397555607663E-3</v>
      </c>
    </row>
    <row r="1190" spans="39:41" x14ac:dyDescent="0.25">
      <c r="AM1190" s="2">
        <v>1187</v>
      </c>
      <c r="AN1190" s="33">
        <v>9.148231258372887E-3</v>
      </c>
      <c r="AO1190" s="33">
        <v>7.8001005888677396E-4</v>
      </c>
    </row>
    <row r="1191" spans="39:41" x14ac:dyDescent="0.25">
      <c r="AM1191" s="2">
        <v>1188</v>
      </c>
      <c r="AN1191" s="33">
        <v>1.0899421475553115E-2</v>
      </c>
      <c r="AO1191" s="33">
        <v>1.0590849712881875E-3</v>
      </c>
    </row>
    <row r="1192" spans="39:41" x14ac:dyDescent="0.25">
      <c r="AM1192" s="2">
        <v>1189</v>
      </c>
      <c r="AN1192" s="33">
        <v>9.243469458785316E-3</v>
      </c>
      <c r="AO1192" s="33">
        <v>4.3528905250109635E-4</v>
      </c>
    </row>
    <row r="1193" spans="39:41" x14ac:dyDescent="0.25">
      <c r="AM1193" s="2">
        <v>1190</v>
      </c>
      <c r="AN1193" s="33">
        <v>1.0806148630452365E-2</v>
      </c>
      <c r="AO1193" s="33">
        <v>8.1615208301976771E-4</v>
      </c>
    </row>
    <row r="1194" spans="39:41" x14ac:dyDescent="0.25">
      <c r="AM1194" s="2">
        <v>1191</v>
      </c>
      <c r="AN1194" s="33">
        <v>1.3465779891390863E-2</v>
      </c>
      <c r="AO1194" s="33">
        <v>1.1406601943491385E-3</v>
      </c>
    </row>
    <row r="1195" spans="39:41" x14ac:dyDescent="0.25">
      <c r="AM1195" s="2">
        <v>1192</v>
      </c>
      <c r="AN1195" s="33">
        <v>1.4269454127364911E-2</v>
      </c>
      <c r="AO1195" s="33">
        <v>1.1033638489872726E-3</v>
      </c>
    </row>
    <row r="1196" spans="39:41" x14ac:dyDescent="0.25">
      <c r="AM1196" s="2">
        <v>1193</v>
      </c>
      <c r="AN1196" s="33">
        <v>1.3764883684387228E-2</v>
      </c>
      <c r="AO1196" s="33">
        <v>1.3037127818408979E-3</v>
      </c>
    </row>
    <row r="1197" spans="39:41" x14ac:dyDescent="0.25">
      <c r="AM1197" s="2">
        <v>1194</v>
      </c>
      <c r="AN1197" s="33">
        <v>1.0382030314362583E-2</v>
      </c>
      <c r="AO1197" s="33">
        <v>5.9148427513244079E-4</v>
      </c>
    </row>
    <row r="1198" spans="39:41" x14ac:dyDescent="0.25">
      <c r="AM1198" s="2">
        <v>1195</v>
      </c>
      <c r="AN1198" s="33">
        <v>1.3516505311510656E-2</v>
      </c>
      <c r="AO1198" s="33">
        <v>1.094635319311602E-3</v>
      </c>
    </row>
    <row r="1199" spans="39:41" x14ac:dyDescent="0.25">
      <c r="AM1199" s="2">
        <v>1196</v>
      </c>
      <c r="AN1199" s="33">
        <v>1.4725585127532128E-2</v>
      </c>
      <c r="AO1199" s="33">
        <v>1.2302444797816674E-3</v>
      </c>
    </row>
    <row r="1200" spans="39:41" x14ac:dyDescent="0.25">
      <c r="AM1200" s="2">
        <v>1197</v>
      </c>
      <c r="AN1200" s="33">
        <v>1.3668181232859124E-2</v>
      </c>
      <c r="AO1200" s="33">
        <v>9.9886519244381006E-4</v>
      </c>
    </row>
    <row r="1201" spans="39:41" x14ac:dyDescent="0.25">
      <c r="AM1201" s="2">
        <v>1198</v>
      </c>
      <c r="AN1201" s="33">
        <v>1.3887571601961066E-2</v>
      </c>
      <c r="AO1201" s="33">
        <v>1.1995578111943753E-3</v>
      </c>
    </row>
    <row r="1202" spans="39:41" x14ac:dyDescent="0.25">
      <c r="AM1202" s="2">
        <v>1199</v>
      </c>
      <c r="AN1202" s="33">
        <v>1.1869365537788239E-2</v>
      </c>
      <c r="AO1202" s="33">
        <v>9.2969078062661039E-4</v>
      </c>
    </row>
    <row r="1203" spans="39:41" x14ac:dyDescent="0.25">
      <c r="AM1203" s="2">
        <v>1200</v>
      </c>
      <c r="AN1203" s="33">
        <v>1.0173876668808764E-2</v>
      </c>
      <c r="AO1203" s="33">
        <v>5.7468044419190878E-4</v>
      </c>
    </row>
    <row r="1204" spans="39:41" x14ac:dyDescent="0.25">
      <c r="AM1204" s="2">
        <v>1201</v>
      </c>
      <c r="AN1204" s="33">
        <v>9.7497225354543308E-3</v>
      </c>
      <c r="AO1204" s="33">
        <v>4.8411886049739774E-4</v>
      </c>
    </row>
    <row r="1205" spans="39:41" x14ac:dyDescent="0.25">
      <c r="AM1205" s="2">
        <v>1202</v>
      </c>
      <c r="AN1205" s="33">
        <v>9.7290438803408798E-3</v>
      </c>
      <c r="AO1205" s="33">
        <v>9.1750319246767847E-4</v>
      </c>
    </row>
    <row r="1206" spans="39:41" x14ac:dyDescent="0.25">
      <c r="AM1206" s="2">
        <v>1203</v>
      </c>
      <c r="AN1206" s="33">
        <v>1.1817443357081141E-2</v>
      </c>
      <c r="AO1206" s="33">
        <v>5.0647026547606634E-4</v>
      </c>
    </row>
    <row r="1207" spans="39:41" x14ac:dyDescent="0.25">
      <c r="AM1207" s="2">
        <v>1204</v>
      </c>
      <c r="AN1207" s="33">
        <v>1.1926618072529942E-2</v>
      </c>
      <c r="AO1207" s="33">
        <v>4.4051425740825425E-4</v>
      </c>
    </row>
    <row r="1208" spans="39:41" x14ac:dyDescent="0.25">
      <c r="AM1208" s="2">
        <v>1205</v>
      </c>
      <c r="AN1208" s="33">
        <v>1.3890433869187375E-2</v>
      </c>
      <c r="AO1208" s="33">
        <v>1.1869329305997469E-3</v>
      </c>
    </row>
    <row r="1209" spans="39:41" x14ac:dyDescent="0.25">
      <c r="AM1209" s="2">
        <v>1206</v>
      </c>
      <c r="AN1209" s="33">
        <v>1.2979404323545498E-2</v>
      </c>
      <c r="AO1209" s="33">
        <v>9.8609217415047837E-4</v>
      </c>
    </row>
    <row r="1210" spans="39:41" x14ac:dyDescent="0.25">
      <c r="AM1210" s="2">
        <v>1207</v>
      </c>
      <c r="AN1210" s="33">
        <v>1.1367786951970214E-2</v>
      </c>
      <c r="AO1210" s="33">
        <v>1.1315070093854038E-3</v>
      </c>
    </row>
    <row r="1211" spans="39:41" x14ac:dyDescent="0.25">
      <c r="AM1211" s="2">
        <v>1208</v>
      </c>
      <c r="AN1211" s="33">
        <v>1.0618219042318227E-2</v>
      </c>
      <c r="AO1211" s="33">
        <v>9.4871417134640519E-4</v>
      </c>
    </row>
    <row r="1212" spans="39:41" x14ac:dyDescent="0.25">
      <c r="AM1212" s="2">
        <v>1209</v>
      </c>
      <c r="AN1212" s="33">
        <v>1.3316817370243889E-2</v>
      </c>
      <c r="AO1212" s="33">
        <v>1.2752680147521784E-3</v>
      </c>
    </row>
    <row r="1213" spans="39:41" x14ac:dyDescent="0.25">
      <c r="AM1213" s="2">
        <v>1210</v>
      </c>
      <c r="AN1213" s="33">
        <v>1.0347717765292879E-2</v>
      </c>
      <c r="AO1213" s="33">
        <v>8.9794760605566958E-4</v>
      </c>
    </row>
    <row r="1214" spans="39:41" x14ac:dyDescent="0.25">
      <c r="AM1214" s="2">
        <v>1211</v>
      </c>
      <c r="AN1214" s="33">
        <v>1.097921339725064E-2</v>
      </c>
      <c r="AO1214" s="33">
        <v>4.9056449516919458E-4</v>
      </c>
    </row>
    <row r="1215" spans="39:41" x14ac:dyDescent="0.25">
      <c r="AM1215" s="2">
        <v>1212</v>
      </c>
      <c r="AN1215" s="33">
        <v>1.0008555736436308E-2</v>
      </c>
      <c r="AO1215" s="33">
        <v>4.4692609662686991E-4</v>
      </c>
    </row>
    <row r="1216" spans="39:41" x14ac:dyDescent="0.25">
      <c r="AM1216" s="2">
        <v>1213</v>
      </c>
      <c r="AN1216" s="33">
        <v>1.0246871656842866E-2</v>
      </c>
      <c r="AO1216" s="33">
        <v>6.2400426825916851E-4</v>
      </c>
    </row>
    <row r="1217" spans="39:41" x14ac:dyDescent="0.25">
      <c r="AM1217" s="2">
        <v>1214</v>
      </c>
      <c r="AN1217" s="33">
        <v>1.4126710504965624E-2</v>
      </c>
      <c r="AO1217" s="33">
        <v>1.1619178173957764E-3</v>
      </c>
    </row>
    <row r="1218" spans="39:41" x14ac:dyDescent="0.25">
      <c r="AM1218" s="2">
        <v>1215</v>
      </c>
      <c r="AN1218" s="33">
        <v>1.3610498124264786E-2</v>
      </c>
      <c r="AO1218" s="33">
        <v>1.2157840720749876E-3</v>
      </c>
    </row>
    <row r="1219" spans="39:41" x14ac:dyDescent="0.25">
      <c r="AM1219" s="2">
        <v>1216</v>
      </c>
      <c r="AN1219" s="33">
        <v>1.1373425914228416E-2</v>
      </c>
      <c r="AO1219" s="33">
        <v>9.5977183587898679E-4</v>
      </c>
    </row>
    <row r="1220" spans="39:41" x14ac:dyDescent="0.25">
      <c r="AM1220" s="2">
        <v>1217</v>
      </c>
      <c r="AN1220" s="33">
        <v>1.5576947563848862E-2</v>
      </c>
      <c r="AO1220" s="33">
        <v>1.354940074897756E-3</v>
      </c>
    </row>
    <row r="1221" spans="39:41" x14ac:dyDescent="0.25">
      <c r="AM1221" s="2">
        <v>1218</v>
      </c>
      <c r="AN1221" s="33">
        <v>1.0118625350609319E-2</v>
      </c>
      <c r="AO1221" s="33">
        <v>4.387779401617011E-4</v>
      </c>
    </row>
    <row r="1222" spans="39:41" x14ac:dyDescent="0.25">
      <c r="AM1222" s="2">
        <v>1219</v>
      </c>
      <c r="AN1222" s="33">
        <v>1.0132346768722735E-2</v>
      </c>
      <c r="AO1222" s="33">
        <v>4.5810518870125307E-4</v>
      </c>
    </row>
    <row r="1223" spans="39:41" x14ac:dyDescent="0.25">
      <c r="AM1223" s="2">
        <v>1220</v>
      </c>
      <c r="AN1223" s="33">
        <v>1.2940873906747393E-2</v>
      </c>
      <c r="AO1223" s="33">
        <v>4.4664465748194861E-4</v>
      </c>
    </row>
    <row r="1224" spans="39:41" x14ac:dyDescent="0.25">
      <c r="AM1224" s="2">
        <v>1221</v>
      </c>
      <c r="AN1224" s="33">
        <v>1.2463387139237881E-2</v>
      </c>
      <c r="AO1224" s="33">
        <v>5.1518022717254256E-4</v>
      </c>
    </row>
    <row r="1225" spans="39:41" x14ac:dyDescent="0.25">
      <c r="AM1225" s="2">
        <v>1222</v>
      </c>
      <c r="AN1225" s="33">
        <v>1.0766753486107327E-2</v>
      </c>
      <c r="AO1225" s="33">
        <v>7.0867147075244063E-4</v>
      </c>
    </row>
    <row r="1226" spans="39:41" x14ac:dyDescent="0.25">
      <c r="AM1226" s="2">
        <v>1223</v>
      </c>
      <c r="AN1226" s="33">
        <v>1.4740710595686492E-2</v>
      </c>
      <c r="AO1226" s="33">
        <v>1.4493063290007761E-3</v>
      </c>
    </row>
    <row r="1227" spans="39:41" x14ac:dyDescent="0.25">
      <c r="AM1227" s="2">
        <v>1224</v>
      </c>
      <c r="AN1227" s="33">
        <v>1.24256112107979E-2</v>
      </c>
      <c r="AO1227" s="33">
        <v>1.2742556931336709E-3</v>
      </c>
    </row>
    <row r="1228" spans="39:41" x14ac:dyDescent="0.25">
      <c r="AM1228" s="2">
        <v>1225</v>
      </c>
      <c r="AN1228" s="33">
        <v>1.2564311053738828E-2</v>
      </c>
      <c r="AO1228" s="33">
        <v>3.1411470727780327E-4</v>
      </c>
    </row>
    <row r="1229" spans="39:41" x14ac:dyDescent="0.25">
      <c r="AM1229" s="2">
        <v>1226</v>
      </c>
      <c r="AN1229" s="33">
        <v>1.2078521226569104E-2</v>
      </c>
      <c r="AO1229" s="33">
        <v>9.958503733235259E-4</v>
      </c>
    </row>
    <row r="1230" spans="39:41" x14ac:dyDescent="0.25">
      <c r="AM1230" s="2">
        <v>1227</v>
      </c>
      <c r="AN1230" s="33">
        <v>9.6039718230122289E-3</v>
      </c>
      <c r="AO1230" s="33">
        <v>1.2687996022010641E-4</v>
      </c>
    </row>
    <row r="1231" spans="39:41" x14ac:dyDescent="0.25">
      <c r="AM1231" s="2">
        <v>1228</v>
      </c>
      <c r="AN1231" s="33">
        <v>1.4222421056856943E-2</v>
      </c>
      <c r="AO1231" s="33">
        <v>1.4390008812390212E-3</v>
      </c>
    </row>
    <row r="1232" spans="39:41" x14ac:dyDescent="0.25">
      <c r="AM1232" s="2">
        <v>1229</v>
      </c>
      <c r="AN1232" s="33">
        <v>1.3900560711636369E-2</v>
      </c>
      <c r="AO1232" s="33">
        <v>1.0563474133620694E-3</v>
      </c>
    </row>
    <row r="1233" spans="39:41" x14ac:dyDescent="0.25">
      <c r="AM1233" s="2">
        <v>1230</v>
      </c>
      <c r="AN1233" s="33">
        <v>1.2500718694716948E-2</v>
      </c>
      <c r="AO1233" s="33">
        <v>8.3397865291811126E-4</v>
      </c>
    </row>
    <row r="1234" spans="39:41" x14ac:dyDescent="0.25">
      <c r="AM1234" s="2">
        <v>1231</v>
      </c>
      <c r="AN1234" s="33">
        <v>9.7333492831559697E-3</v>
      </c>
      <c r="AO1234" s="33">
        <v>7.2878540120809834E-4</v>
      </c>
    </row>
    <row r="1235" spans="39:41" x14ac:dyDescent="0.25">
      <c r="AM1235" s="2">
        <v>1232</v>
      </c>
      <c r="AN1235" s="33">
        <v>8.7983585824943124E-3</v>
      </c>
      <c r="AO1235" s="33">
        <v>6.0149201847596589E-4</v>
      </c>
    </row>
    <row r="1236" spans="39:41" x14ac:dyDescent="0.25">
      <c r="AM1236" s="2">
        <v>1233</v>
      </c>
      <c r="AN1236" s="33">
        <v>9.3624673976870649E-3</v>
      </c>
      <c r="AO1236" s="33">
        <v>6.8958650437065327E-4</v>
      </c>
    </row>
    <row r="1237" spans="39:41" x14ac:dyDescent="0.25">
      <c r="AM1237" s="2">
        <v>1234</v>
      </c>
      <c r="AN1237" s="33">
        <v>1.3146627014647732E-2</v>
      </c>
      <c r="AO1237" s="33">
        <v>1.2361900136585331E-3</v>
      </c>
    </row>
    <row r="1238" spans="39:41" x14ac:dyDescent="0.25">
      <c r="AM1238" s="2">
        <v>1235</v>
      </c>
      <c r="AN1238" s="33">
        <v>1.6928385744070257E-2</v>
      </c>
      <c r="AO1238" s="33">
        <v>1.700170999522954E-3</v>
      </c>
    </row>
    <row r="1239" spans="39:41" x14ac:dyDescent="0.25">
      <c r="AM1239" s="2">
        <v>1236</v>
      </c>
      <c r="AN1239" s="33">
        <v>1.1899315783352234E-2</v>
      </c>
      <c r="AO1239" s="33">
        <v>2.9831094686490276E-4</v>
      </c>
    </row>
    <row r="1240" spans="39:41" x14ac:dyDescent="0.25">
      <c r="AM1240" s="2">
        <v>1237</v>
      </c>
      <c r="AN1240" s="33">
        <v>1.0840313720952637E-2</v>
      </c>
      <c r="AO1240" s="33">
        <v>7.3450146034512208E-4</v>
      </c>
    </row>
    <row r="1241" spans="39:41" x14ac:dyDescent="0.25">
      <c r="AM1241" s="2">
        <v>1238</v>
      </c>
      <c r="AN1241" s="33">
        <v>9.2722652482465813E-3</v>
      </c>
      <c r="AO1241" s="33">
        <v>6.6901044499532059E-4</v>
      </c>
    </row>
    <row r="1242" spans="39:41" x14ac:dyDescent="0.25">
      <c r="AM1242" s="2">
        <v>1239</v>
      </c>
      <c r="AN1242" s="33">
        <v>1.5920709950906043E-2</v>
      </c>
      <c r="AO1242" s="33">
        <v>1.4539003398099243E-3</v>
      </c>
    </row>
    <row r="1243" spans="39:41" x14ac:dyDescent="0.25">
      <c r="AM1243" s="2">
        <v>1240</v>
      </c>
      <c r="AN1243" s="33">
        <v>1.0164181787763148E-2</v>
      </c>
      <c r="AO1243" s="33">
        <v>6.1347391317927592E-4</v>
      </c>
    </row>
    <row r="1244" spans="39:41" x14ac:dyDescent="0.25">
      <c r="AM1244" s="2">
        <v>1241</v>
      </c>
      <c r="AN1244" s="33">
        <v>1.4833136458367919E-2</v>
      </c>
      <c r="AO1244" s="33">
        <v>1.2512861016529589E-3</v>
      </c>
    </row>
    <row r="1245" spans="39:41" x14ac:dyDescent="0.25">
      <c r="AM1245" s="2">
        <v>1242</v>
      </c>
      <c r="AN1245" s="33">
        <v>1.2273812999059852E-2</v>
      </c>
      <c r="AO1245" s="33">
        <v>1.1463505296674921E-3</v>
      </c>
    </row>
    <row r="1246" spans="39:41" x14ac:dyDescent="0.25">
      <c r="AM1246" s="2">
        <v>1243</v>
      </c>
      <c r="AN1246" s="33">
        <v>1.1095401992623559E-2</v>
      </c>
      <c r="AO1246" s="33">
        <v>5.993839489735473E-4</v>
      </c>
    </row>
    <row r="1247" spans="39:41" x14ac:dyDescent="0.25">
      <c r="AM1247" s="2">
        <v>1244</v>
      </c>
      <c r="AN1247" s="33">
        <v>1.4497585867498233E-2</v>
      </c>
      <c r="AO1247" s="33">
        <v>9.6359731910042508E-4</v>
      </c>
    </row>
    <row r="1248" spans="39:41" x14ac:dyDescent="0.25">
      <c r="AM1248" s="2">
        <v>1245</v>
      </c>
      <c r="AN1248" s="33">
        <v>1.4299911414968405E-2</v>
      </c>
      <c r="AO1248" s="33">
        <v>1.0259024917337117E-3</v>
      </c>
    </row>
    <row r="1249" spans="39:41" x14ac:dyDescent="0.25">
      <c r="AM1249" s="2">
        <v>1246</v>
      </c>
      <c r="AN1249" s="33">
        <v>1.6277931125835341E-2</v>
      </c>
      <c r="AO1249" s="33">
        <v>1.4437290593369381E-3</v>
      </c>
    </row>
    <row r="1250" spans="39:41" x14ac:dyDescent="0.25">
      <c r="AM1250" s="2">
        <v>1247</v>
      </c>
      <c r="AN1250" s="33">
        <v>1.1390066112769458E-2</v>
      </c>
      <c r="AO1250" s="33">
        <v>8.5737593024848139E-4</v>
      </c>
    </row>
    <row r="1251" spans="39:41" x14ac:dyDescent="0.25">
      <c r="AM1251" s="2">
        <v>1248</v>
      </c>
      <c r="AN1251" s="33">
        <v>1.3127565949390617E-2</v>
      </c>
      <c r="AO1251" s="33">
        <v>1.0331349890902539E-3</v>
      </c>
    </row>
    <row r="1252" spans="39:41" x14ac:dyDescent="0.25">
      <c r="AM1252" s="2">
        <v>1249</v>
      </c>
      <c r="AN1252" s="33">
        <v>8.8222972990398517E-3</v>
      </c>
      <c r="AO1252" s="33">
        <v>8.304536508446916E-4</v>
      </c>
    </row>
    <row r="1253" spans="39:41" x14ac:dyDescent="0.25">
      <c r="AM1253" s="2">
        <v>1250</v>
      </c>
      <c r="AN1253" s="33">
        <v>1.3774146375471894E-2</v>
      </c>
      <c r="AO1253" s="33">
        <v>9.7244167651506109E-4</v>
      </c>
    </row>
    <row r="1254" spans="39:41" x14ac:dyDescent="0.25">
      <c r="AM1254" s="2">
        <v>1251</v>
      </c>
      <c r="AN1254" s="33">
        <v>1.1444050989672742E-2</v>
      </c>
      <c r="AO1254" s="33">
        <v>9.4751871581625876E-4</v>
      </c>
    </row>
    <row r="1255" spans="39:41" x14ac:dyDescent="0.25">
      <c r="AM1255" s="2">
        <v>1252</v>
      </c>
      <c r="AN1255" s="33">
        <v>9.3753239568575928E-3</v>
      </c>
      <c r="AO1255" s="33">
        <v>6.116946785124232E-4</v>
      </c>
    </row>
    <row r="1256" spans="39:41" x14ac:dyDescent="0.25">
      <c r="AM1256" s="2">
        <v>1253</v>
      </c>
      <c r="AN1256" s="33">
        <v>1.0646177168057221E-2</v>
      </c>
      <c r="AO1256" s="33">
        <v>9.8881391126770957E-4</v>
      </c>
    </row>
    <row r="1257" spans="39:41" x14ac:dyDescent="0.25">
      <c r="AM1257" s="2">
        <v>1254</v>
      </c>
      <c r="AN1257" s="33">
        <v>9.5324940846696106E-3</v>
      </c>
      <c r="AO1257" s="33">
        <v>8.3010385126808066E-4</v>
      </c>
    </row>
    <row r="1258" spans="39:41" x14ac:dyDescent="0.25">
      <c r="AM1258" s="2">
        <v>1255</v>
      </c>
      <c r="AN1258" s="33">
        <v>8.3492327710942213E-3</v>
      </c>
      <c r="AO1258" s="33">
        <v>3.2643500256825174E-4</v>
      </c>
    </row>
    <row r="1259" spans="39:41" x14ac:dyDescent="0.25">
      <c r="AM1259" s="2">
        <v>1256</v>
      </c>
      <c r="AN1259" s="33">
        <v>9.739449089962474E-3</v>
      </c>
      <c r="AO1259" s="33">
        <v>2.3701326428400316E-4</v>
      </c>
    </row>
    <row r="1260" spans="39:41" x14ac:dyDescent="0.25">
      <c r="AM1260" s="2">
        <v>1257</v>
      </c>
      <c r="AN1260" s="33">
        <v>1.0072446776131585E-2</v>
      </c>
      <c r="AO1260" s="33">
        <v>1.0630756161494812E-3</v>
      </c>
    </row>
    <row r="1261" spans="39:41" x14ac:dyDescent="0.25">
      <c r="AM1261" s="2">
        <v>1258</v>
      </c>
      <c r="AN1261" s="33">
        <v>1.1787796213088316E-2</v>
      </c>
      <c r="AO1261" s="33">
        <v>9.6141031717217481E-4</v>
      </c>
    </row>
    <row r="1262" spans="39:41" x14ac:dyDescent="0.25">
      <c r="AM1262" s="2">
        <v>1259</v>
      </c>
      <c r="AN1262" s="33">
        <v>1.752433603569235E-2</v>
      </c>
      <c r="AO1262" s="33">
        <v>1.5622383384841275E-3</v>
      </c>
    </row>
    <row r="1263" spans="39:41" x14ac:dyDescent="0.25">
      <c r="AM1263" s="2">
        <v>1260</v>
      </c>
      <c r="AN1263" s="33">
        <v>1.0154769966408541E-2</v>
      </c>
      <c r="AO1263" s="33">
        <v>6.0729878348861853E-4</v>
      </c>
    </row>
    <row r="1264" spans="39:41" x14ac:dyDescent="0.25">
      <c r="AM1264" s="2">
        <v>1261</v>
      </c>
      <c r="AN1264" s="33">
        <v>1.2270833121570479E-2</v>
      </c>
      <c r="AO1264" s="33">
        <v>1.0733471993893953E-3</v>
      </c>
    </row>
    <row r="1265" spans="39:41" x14ac:dyDescent="0.25">
      <c r="AM1265" s="2">
        <v>1262</v>
      </c>
      <c r="AN1265" s="33">
        <v>1.1192141407726645E-2</v>
      </c>
      <c r="AO1265" s="33">
        <v>8.1517497625140448E-4</v>
      </c>
    </row>
    <row r="1266" spans="39:41" x14ac:dyDescent="0.25">
      <c r="AM1266" s="2">
        <v>1263</v>
      </c>
      <c r="AN1266" s="33">
        <v>9.5294155272220016E-3</v>
      </c>
      <c r="AO1266" s="33">
        <v>6.6254195925751522E-4</v>
      </c>
    </row>
    <row r="1267" spans="39:41" x14ac:dyDescent="0.25">
      <c r="AM1267" s="2">
        <v>1264</v>
      </c>
      <c r="AN1267" s="33">
        <v>1.085892040680555E-2</v>
      </c>
      <c r="AO1267" s="33">
        <v>8.4878960571877795E-4</v>
      </c>
    </row>
    <row r="1268" spans="39:41" x14ac:dyDescent="0.25">
      <c r="AM1268" s="2">
        <v>1265</v>
      </c>
      <c r="AN1268" s="33">
        <v>1.3210522299520563E-2</v>
      </c>
      <c r="AO1268" s="33">
        <v>6.4496468876101257E-4</v>
      </c>
    </row>
    <row r="1269" spans="39:41" x14ac:dyDescent="0.25">
      <c r="AM1269" s="2">
        <v>1266</v>
      </c>
      <c r="AN1269" s="33">
        <v>9.9076243044497435E-3</v>
      </c>
      <c r="AO1269" s="33">
        <v>4.8583667456581652E-4</v>
      </c>
    </row>
    <row r="1270" spans="39:41" x14ac:dyDescent="0.25">
      <c r="AM1270" s="2">
        <v>1267</v>
      </c>
      <c r="AN1270" s="33">
        <v>8.8128741126194121E-3</v>
      </c>
      <c r="AO1270" s="33">
        <v>6.43175062310085E-4</v>
      </c>
    </row>
    <row r="1271" spans="39:41" x14ac:dyDescent="0.25">
      <c r="AM1271" s="2">
        <v>1268</v>
      </c>
      <c r="AN1271" s="33">
        <v>8.5655826714762674E-3</v>
      </c>
      <c r="AO1271" s="33">
        <v>5.0379435375308554E-4</v>
      </c>
    </row>
    <row r="1272" spans="39:41" x14ac:dyDescent="0.25">
      <c r="AM1272" s="2">
        <v>1269</v>
      </c>
      <c r="AN1272" s="33">
        <v>1.0545657261083835E-2</v>
      </c>
      <c r="AO1272" s="33">
        <v>6.5045955210082322E-4</v>
      </c>
    </row>
    <row r="1273" spans="39:41" x14ac:dyDescent="0.25">
      <c r="AM1273" s="2">
        <v>1270</v>
      </c>
      <c r="AN1273" s="33">
        <v>8.8440270195795593E-3</v>
      </c>
      <c r="AO1273" s="33">
        <v>6.6893627454830192E-4</v>
      </c>
    </row>
    <row r="1274" spans="39:41" x14ac:dyDescent="0.25">
      <c r="AM1274" s="2">
        <v>1271</v>
      </c>
      <c r="AN1274" s="33">
        <v>1.2240588615241728E-2</v>
      </c>
      <c r="AO1274" s="33">
        <v>9.5575485144795257E-4</v>
      </c>
    </row>
    <row r="1275" spans="39:41" x14ac:dyDescent="0.25">
      <c r="AM1275" s="2">
        <v>1272</v>
      </c>
      <c r="AN1275" s="33">
        <v>1.1033770716054008E-2</v>
      </c>
      <c r="AO1275" s="33">
        <v>8.6852133195086981E-4</v>
      </c>
    </row>
    <row r="1276" spans="39:41" x14ac:dyDescent="0.25">
      <c r="AM1276" s="2">
        <v>1273</v>
      </c>
      <c r="AN1276" s="33">
        <v>1.4803137207912301E-2</v>
      </c>
      <c r="AO1276" s="33">
        <v>9.891180423435746E-4</v>
      </c>
    </row>
    <row r="1277" spans="39:41" x14ac:dyDescent="0.25">
      <c r="AM1277" s="2">
        <v>1274</v>
      </c>
      <c r="AN1277" s="33">
        <v>1.1806538564701626E-2</v>
      </c>
      <c r="AO1277" s="33">
        <v>6.3417198481166158E-4</v>
      </c>
    </row>
    <row r="1278" spans="39:41" x14ac:dyDescent="0.25">
      <c r="AM1278" s="2">
        <v>1275</v>
      </c>
      <c r="AN1278" s="33">
        <v>1.0979822104013168E-2</v>
      </c>
      <c r="AO1278" s="33">
        <v>3.7516896065617624E-4</v>
      </c>
    </row>
    <row r="1279" spans="39:41" x14ac:dyDescent="0.25">
      <c r="AM1279" s="2">
        <v>1276</v>
      </c>
      <c r="AN1279" s="33">
        <v>9.075938610894391E-3</v>
      </c>
      <c r="AO1279" s="33">
        <v>3.3561410029709564E-4</v>
      </c>
    </row>
    <row r="1280" spans="39:41" x14ac:dyDescent="0.25">
      <c r="AM1280" s="2">
        <v>1277</v>
      </c>
      <c r="AN1280" s="33">
        <v>1.1837022976903942E-2</v>
      </c>
      <c r="AO1280" s="33">
        <v>1.0126910106067971E-3</v>
      </c>
    </row>
    <row r="1281" spans="39:41" x14ac:dyDescent="0.25">
      <c r="AM1281" s="2">
        <v>1278</v>
      </c>
      <c r="AN1281" s="33">
        <v>7.6792408195755137E-3</v>
      </c>
      <c r="AO1281" s="33">
        <v>3.8180923113341746E-4</v>
      </c>
    </row>
    <row r="1282" spans="39:41" x14ac:dyDescent="0.25">
      <c r="AM1282" s="2">
        <v>1279</v>
      </c>
      <c r="AN1282" s="33">
        <v>1.1345618901474175E-2</v>
      </c>
      <c r="AO1282" s="33">
        <v>8.5175235358942553E-4</v>
      </c>
    </row>
    <row r="1283" spans="39:41" x14ac:dyDescent="0.25">
      <c r="AM1283" s="2">
        <v>1280</v>
      </c>
      <c r="AN1283" s="33">
        <v>1.1888100218583377E-2</v>
      </c>
      <c r="AO1283" s="33">
        <v>1.079860421946103E-3</v>
      </c>
    </row>
    <row r="1284" spans="39:41" x14ac:dyDescent="0.25">
      <c r="AM1284" s="2">
        <v>1281</v>
      </c>
      <c r="AN1284" s="33">
        <v>1.0560355826319378E-2</v>
      </c>
      <c r="AO1284" s="33">
        <v>6.9378172355266394E-4</v>
      </c>
    </row>
    <row r="1285" spans="39:41" x14ac:dyDescent="0.25">
      <c r="AM1285" s="2">
        <v>1282</v>
      </c>
      <c r="AN1285" s="33">
        <v>9.0226812535781336E-3</v>
      </c>
      <c r="AO1285" s="33">
        <v>6.0007834867649901E-4</v>
      </c>
    </row>
    <row r="1286" spans="39:41" x14ac:dyDescent="0.25">
      <c r="AM1286" s="2">
        <v>1283</v>
      </c>
      <c r="AN1286" s="33">
        <v>8.4483009048344614E-3</v>
      </c>
      <c r="AO1286" s="33">
        <v>6.8738784014501662E-4</v>
      </c>
    </row>
    <row r="1287" spans="39:41" x14ac:dyDescent="0.25">
      <c r="AM1287" s="2">
        <v>1284</v>
      </c>
      <c r="AN1287" s="33">
        <v>1.6188728821443645E-2</v>
      </c>
      <c r="AO1287" s="33">
        <v>1.4531921010756594E-3</v>
      </c>
    </row>
    <row r="1288" spans="39:41" x14ac:dyDescent="0.25">
      <c r="AM1288" s="2">
        <v>1285</v>
      </c>
      <c r="AN1288" s="33">
        <v>1.1229118089853015E-2</v>
      </c>
      <c r="AO1288" s="33">
        <v>8.9106738238770814E-4</v>
      </c>
    </row>
    <row r="1289" spans="39:41" x14ac:dyDescent="0.25">
      <c r="AM1289" s="2">
        <v>1286</v>
      </c>
      <c r="AN1289" s="33">
        <v>1.5322052498616182E-2</v>
      </c>
      <c r="AO1289" s="33">
        <v>1.5055879158875367E-3</v>
      </c>
    </row>
    <row r="1290" spans="39:41" x14ac:dyDescent="0.25">
      <c r="AM1290" s="2">
        <v>1287</v>
      </c>
      <c r="AN1290" s="33">
        <v>1.3450043104848403E-2</v>
      </c>
      <c r="AO1290" s="33">
        <v>9.4826075577408191E-4</v>
      </c>
    </row>
    <row r="1291" spans="39:41" x14ac:dyDescent="0.25">
      <c r="AM1291" s="2">
        <v>1288</v>
      </c>
      <c r="AN1291" s="33">
        <v>9.9465816963234515E-3</v>
      </c>
      <c r="AO1291" s="33">
        <v>2.3883980023233878E-4</v>
      </c>
    </row>
    <row r="1292" spans="39:41" x14ac:dyDescent="0.25">
      <c r="AM1292" s="2">
        <v>1289</v>
      </c>
      <c r="AN1292" s="33">
        <v>1.2933130995786558E-2</v>
      </c>
      <c r="AO1292" s="33">
        <v>1.080929126295556E-3</v>
      </c>
    </row>
    <row r="1293" spans="39:41" x14ac:dyDescent="0.25">
      <c r="AM1293" s="2">
        <v>1290</v>
      </c>
      <c r="AN1293" s="33">
        <v>9.3189152389833024E-3</v>
      </c>
      <c r="AO1293" s="33">
        <v>1.9775811824061746E-4</v>
      </c>
    </row>
    <row r="1294" spans="39:41" x14ac:dyDescent="0.25">
      <c r="AM1294" s="2">
        <v>1291</v>
      </c>
      <c r="AN1294" s="33">
        <v>9.1085598695197952E-3</v>
      </c>
      <c r="AO1294" s="33">
        <v>3.4495133718704003E-4</v>
      </c>
    </row>
    <row r="1295" spans="39:41" x14ac:dyDescent="0.25">
      <c r="AM1295" s="2">
        <v>1292</v>
      </c>
      <c r="AN1295" s="33">
        <v>1.0545940816624402E-2</v>
      </c>
      <c r="AO1295" s="33">
        <v>8.7905141175745371E-4</v>
      </c>
    </row>
    <row r="1296" spans="39:41" x14ac:dyDescent="0.25">
      <c r="AM1296" s="2">
        <v>1293</v>
      </c>
      <c r="AN1296" s="33">
        <v>1.1553026743949134E-2</v>
      </c>
      <c r="AO1296" s="33">
        <v>7.3562083571491847E-4</v>
      </c>
    </row>
    <row r="1297" spans="39:41" x14ac:dyDescent="0.25">
      <c r="AM1297" s="2">
        <v>1294</v>
      </c>
      <c r="AN1297" s="33">
        <v>1.1105261796852332E-2</v>
      </c>
      <c r="AO1297" s="33">
        <v>8.0621332943043536E-4</v>
      </c>
    </row>
    <row r="1298" spans="39:41" x14ac:dyDescent="0.25">
      <c r="AM1298" s="2">
        <v>1295</v>
      </c>
      <c r="AN1298" s="33">
        <v>1.1636158037903082E-2</v>
      </c>
      <c r="AO1298" s="33">
        <v>8.5961239378050955E-4</v>
      </c>
    </row>
    <row r="1299" spans="39:41" x14ac:dyDescent="0.25">
      <c r="AM1299" s="2">
        <v>1296</v>
      </c>
      <c r="AN1299" s="33">
        <v>9.8079705994305894E-3</v>
      </c>
      <c r="AO1299" s="33">
        <v>8.0867236575782396E-4</v>
      </c>
    </row>
    <row r="1300" spans="39:41" x14ac:dyDescent="0.25">
      <c r="AM1300" s="2">
        <v>1297</v>
      </c>
      <c r="AN1300" s="33">
        <v>1.4037335317581723E-2</v>
      </c>
      <c r="AO1300" s="33">
        <v>1.06987649094712E-3</v>
      </c>
    </row>
    <row r="1301" spans="39:41" x14ac:dyDescent="0.25">
      <c r="AM1301" s="2">
        <v>1298</v>
      </c>
      <c r="AN1301" s="33">
        <v>1.0896231715491192E-2</v>
      </c>
      <c r="AO1301" s="33">
        <v>1.0387220018469776E-3</v>
      </c>
    </row>
    <row r="1302" spans="39:41" x14ac:dyDescent="0.25">
      <c r="AM1302" s="2">
        <v>1299</v>
      </c>
      <c r="AN1302" s="33">
        <v>9.9862049875791645E-3</v>
      </c>
      <c r="AO1302" s="33">
        <v>3.919090487949065E-4</v>
      </c>
    </row>
    <row r="1303" spans="39:41" x14ac:dyDescent="0.25">
      <c r="AM1303" s="2">
        <v>1300</v>
      </c>
      <c r="AN1303" s="33">
        <v>9.5277152942513602E-3</v>
      </c>
      <c r="AO1303" s="33">
        <v>6.6783872556444265E-4</v>
      </c>
    </row>
    <row r="1304" spans="39:41" x14ac:dyDescent="0.25">
      <c r="AM1304" s="2">
        <v>1301</v>
      </c>
      <c r="AN1304" s="33">
        <v>1.1015555951694232E-2</v>
      </c>
      <c r="AO1304" s="33">
        <v>7.656957436805149E-4</v>
      </c>
    </row>
    <row r="1305" spans="39:41" x14ac:dyDescent="0.25">
      <c r="AM1305" s="2">
        <v>1302</v>
      </c>
      <c r="AN1305" s="33">
        <v>1.2323888099629724E-2</v>
      </c>
      <c r="AO1305" s="33">
        <v>5.5094218529298214E-4</v>
      </c>
    </row>
    <row r="1306" spans="39:41" x14ac:dyDescent="0.25">
      <c r="AM1306" s="2">
        <v>1303</v>
      </c>
      <c r="AN1306" s="33">
        <v>1.1464404534395392E-2</v>
      </c>
      <c r="AO1306" s="33">
        <v>8.3969226206600102E-4</v>
      </c>
    </row>
    <row r="1307" spans="39:41" x14ac:dyDescent="0.25">
      <c r="AM1307" s="2">
        <v>1304</v>
      </c>
      <c r="AN1307" s="33">
        <v>1.5054028074470982E-2</v>
      </c>
      <c r="AO1307" s="33">
        <v>1.5124224389432255E-3</v>
      </c>
    </row>
    <row r="1308" spans="39:41" x14ac:dyDescent="0.25">
      <c r="AM1308" s="2">
        <v>1305</v>
      </c>
      <c r="AN1308" s="33">
        <v>1.4076718117837946E-2</v>
      </c>
      <c r="AO1308" s="33">
        <v>1.3370257242880251E-3</v>
      </c>
    </row>
    <row r="1309" spans="39:41" x14ac:dyDescent="0.25">
      <c r="AM1309" s="2">
        <v>1306</v>
      </c>
      <c r="AN1309" s="33">
        <v>1.0789939473864696E-2</v>
      </c>
      <c r="AO1309" s="33">
        <v>8.3544839683395028E-4</v>
      </c>
    </row>
    <row r="1310" spans="39:41" x14ac:dyDescent="0.25">
      <c r="AM1310" s="2">
        <v>1307</v>
      </c>
      <c r="AN1310" s="33">
        <v>1.1742022089768104E-2</v>
      </c>
      <c r="AO1310" s="33">
        <v>7.8257618610361364E-4</v>
      </c>
    </row>
    <row r="1311" spans="39:41" x14ac:dyDescent="0.25">
      <c r="AM1311" s="2">
        <v>1308</v>
      </c>
      <c r="AN1311" s="33">
        <v>1.3460957870395364E-2</v>
      </c>
      <c r="AO1311" s="33">
        <v>1.2733478519257227E-3</v>
      </c>
    </row>
    <row r="1312" spans="39:41" x14ac:dyDescent="0.25">
      <c r="AM1312" s="2">
        <v>1309</v>
      </c>
      <c r="AN1312" s="33">
        <v>1.0672193511108327E-2</v>
      </c>
      <c r="AO1312" s="33">
        <v>8.352118302592525E-4</v>
      </c>
    </row>
    <row r="1313" spans="39:41" x14ac:dyDescent="0.25">
      <c r="AM1313" s="2">
        <v>1310</v>
      </c>
      <c r="AN1313" s="33">
        <v>1.5191548602341702E-2</v>
      </c>
      <c r="AO1313" s="33">
        <v>1.3490039982413265E-3</v>
      </c>
    </row>
    <row r="1314" spans="39:41" x14ac:dyDescent="0.25">
      <c r="AM1314" s="2">
        <v>1311</v>
      </c>
      <c r="AN1314" s="33">
        <v>1.1080080367149048E-2</v>
      </c>
      <c r="AO1314" s="33">
        <v>9.4363345127998499E-4</v>
      </c>
    </row>
    <row r="1315" spans="39:41" x14ac:dyDescent="0.25">
      <c r="AM1315" s="2">
        <v>1312</v>
      </c>
      <c r="AN1315" s="33">
        <v>8.8547714815850227E-3</v>
      </c>
      <c r="AO1315" s="33">
        <v>6.3221793199141126E-4</v>
      </c>
    </row>
    <row r="1316" spans="39:41" x14ac:dyDescent="0.25">
      <c r="AM1316" s="2">
        <v>1313</v>
      </c>
      <c r="AN1316" s="33">
        <v>1.2283117465821149E-2</v>
      </c>
      <c r="AO1316" s="33">
        <v>7.4571542059902998E-4</v>
      </c>
    </row>
    <row r="1317" spans="39:41" x14ac:dyDescent="0.25">
      <c r="AM1317" s="2">
        <v>1314</v>
      </c>
      <c r="AN1317" s="33">
        <v>1.8488222424347542E-2</v>
      </c>
      <c r="AO1317" s="33">
        <v>1.6272150798085378E-3</v>
      </c>
    </row>
    <row r="1318" spans="39:41" x14ac:dyDescent="0.25">
      <c r="AM1318" s="2">
        <v>1315</v>
      </c>
      <c r="AN1318" s="33">
        <v>8.4644496234479484E-3</v>
      </c>
      <c r="AO1318" s="33">
        <v>3.7847947840029039E-4</v>
      </c>
    </row>
    <row r="1319" spans="39:41" x14ac:dyDescent="0.25">
      <c r="AM1319" s="2">
        <v>1316</v>
      </c>
      <c r="AN1319" s="33">
        <v>8.4850605482783281E-3</v>
      </c>
      <c r="AO1319" s="33">
        <v>4.491417555957887E-4</v>
      </c>
    </row>
    <row r="1320" spans="39:41" x14ac:dyDescent="0.25">
      <c r="AM1320" s="2">
        <v>1317</v>
      </c>
      <c r="AN1320" s="33">
        <v>9.7232933719580052E-3</v>
      </c>
      <c r="AO1320" s="33">
        <v>8.0877613651598925E-4</v>
      </c>
    </row>
    <row r="1321" spans="39:41" x14ac:dyDescent="0.25">
      <c r="AM1321" s="2">
        <v>1318</v>
      </c>
      <c r="AN1321" s="33">
        <v>1.0176387826139603E-2</v>
      </c>
      <c r="AO1321" s="33">
        <v>6.8377211262028378E-4</v>
      </c>
    </row>
    <row r="1322" spans="39:41" x14ac:dyDescent="0.25">
      <c r="AM1322" s="2">
        <v>1319</v>
      </c>
      <c r="AN1322" s="33">
        <v>1.3246208474606705E-2</v>
      </c>
      <c r="AO1322" s="33">
        <v>1.1816747360892162E-3</v>
      </c>
    </row>
    <row r="1323" spans="39:41" x14ac:dyDescent="0.25">
      <c r="AM1323" s="2">
        <v>1320</v>
      </c>
      <c r="AN1323" s="33">
        <v>1.1745101421184801E-2</v>
      </c>
      <c r="AO1323" s="33">
        <v>1.1708321076221396E-3</v>
      </c>
    </row>
    <row r="1324" spans="39:41" x14ac:dyDescent="0.25">
      <c r="AM1324" s="2">
        <v>1321</v>
      </c>
      <c r="AN1324" s="33">
        <v>1.6518080656679507E-2</v>
      </c>
      <c r="AO1324" s="33">
        <v>1.4564665325932358E-3</v>
      </c>
    </row>
    <row r="1325" spans="39:41" x14ac:dyDescent="0.25">
      <c r="AM1325" s="2">
        <v>1322</v>
      </c>
      <c r="AN1325" s="33">
        <v>1.1790429031840731E-2</v>
      </c>
      <c r="AO1325" s="33">
        <v>1.05987689645485E-3</v>
      </c>
    </row>
    <row r="1326" spans="39:41" x14ac:dyDescent="0.25">
      <c r="AM1326" s="2">
        <v>1323</v>
      </c>
      <c r="AN1326" s="33">
        <v>1.2656925988839669E-2</v>
      </c>
      <c r="AO1326" s="33">
        <v>7.8392896000430211E-4</v>
      </c>
    </row>
    <row r="1327" spans="39:41" x14ac:dyDescent="0.25">
      <c r="AM1327" s="2">
        <v>1324</v>
      </c>
      <c r="AN1327" s="33">
        <v>1.0600157265365588E-2</v>
      </c>
      <c r="AO1327" s="33">
        <v>5.6425653376024321E-4</v>
      </c>
    </row>
    <row r="1328" spans="39:41" x14ac:dyDescent="0.25">
      <c r="AM1328" s="2">
        <v>1325</v>
      </c>
      <c r="AN1328" s="33">
        <v>1.258482393969685E-2</v>
      </c>
      <c r="AO1328" s="33">
        <v>7.2251582103331216E-4</v>
      </c>
    </row>
    <row r="1329" spans="39:41" x14ac:dyDescent="0.25">
      <c r="AM1329" s="2">
        <v>1326</v>
      </c>
      <c r="AN1329" s="33">
        <v>1.0321006327946084E-2</v>
      </c>
      <c r="AO1329" s="33">
        <v>8.442275233209402E-4</v>
      </c>
    </row>
    <row r="1330" spans="39:41" x14ac:dyDescent="0.25">
      <c r="AM1330" s="2">
        <v>1327</v>
      </c>
      <c r="AN1330" s="33">
        <v>1.4032398821255919E-2</v>
      </c>
      <c r="AO1330" s="33">
        <v>9.819626699901034E-4</v>
      </c>
    </row>
    <row r="1331" spans="39:41" x14ac:dyDescent="0.25">
      <c r="AM1331" s="2">
        <v>1328</v>
      </c>
      <c r="AN1331" s="33">
        <v>1.2091665996087681E-2</v>
      </c>
      <c r="AO1331" s="33">
        <v>1.2241832428606077E-3</v>
      </c>
    </row>
    <row r="1332" spans="39:41" x14ac:dyDescent="0.25">
      <c r="AM1332" s="2">
        <v>1329</v>
      </c>
      <c r="AN1332" s="33">
        <v>9.6579309874398386E-3</v>
      </c>
      <c r="AO1332" s="33">
        <v>6.2601299981263504E-4</v>
      </c>
    </row>
    <row r="1333" spans="39:41" x14ac:dyDescent="0.25">
      <c r="AM1333" s="2">
        <v>1330</v>
      </c>
      <c r="AN1333" s="33">
        <v>1.0332814643013447E-2</v>
      </c>
      <c r="AO1333" s="33">
        <v>7.1175611405869578E-4</v>
      </c>
    </row>
    <row r="1334" spans="39:41" x14ac:dyDescent="0.25">
      <c r="AM1334" s="2">
        <v>1331</v>
      </c>
      <c r="AN1334" s="33">
        <v>1.2584102591401575E-2</v>
      </c>
      <c r="AO1334" s="33">
        <v>1.0477450915803567E-3</v>
      </c>
    </row>
    <row r="1335" spans="39:41" x14ac:dyDescent="0.25">
      <c r="AM1335" s="2">
        <v>1332</v>
      </c>
      <c r="AN1335" s="33">
        <v>1.123424436431591E-2</v>
      </c>
      <c r="AO1335" s="33">
        <v>7.793782386404601E-4</v>
      </c>
    </row>
    <row r="1336" spans="39:41" x14ac:dyDescent="0.25">
      <c r="AM1336" s="2">
        <v>1333</v>
      </c>
      <c r="AN1336" s="33">
        <v>1.1595175028903747E-2</v>
      </c>
      <c r="AO1336" s="33">
        <v>7.6450813241802284E-4</v>
      </c>
    </row>
    <row r="1337" spans="39:41" x14ac:dyDescent="0.25">
      <c r="AM1337" s="2">
        <v>1334</v>
      </c>
      <c r="AN1337" s="33">
        <v>1.0173716588147677E-2</v>
      </c>
      <c r="AO1337" s="33">
        <v>1.0678453370067187E-3</v>
      </c>
    </row>
    <row r="1338" spans="39:41" x14ac:dyDescent="0.25">
      <c r="AM1338" s="2">
        <v>1335</v>
      </c>
      <c r="AN1338" s="33">
        <v>1.3183193202857236E-2</v>
      </c>
      <c r="AO1338" s="33">
        <v>9.9619545139489722E-4</v>
      </c>
    </row>
    <row r="1339" spans="39:41" x14ac:dyDescent="0.25">
      <c r="AM1339" s="2">
        <v>1336</v>
      </c>
      <c r="AN1339" s="33">
        <v>1.1342122417751109E-2</v>
      </c>
      <c r="AO1339" s="33">
        <v>7.9398545340663015E-4</v>
      </c>
    </row>
    <row r="1340" spans="39:41" x14ac:dyDescent="0.25">
      <c r="AM1340" s="2">
        <v>1337</v>
      </c>
      <c r="AN1340" s="33">
        <v>7.7738457306285886E-3</v>
      </c>
      <c r="AO1340" s="33">
        <v>4.2998718498185113E-4</v>
      </c>
    </row>
    <row r="1341" spans="39:41" x14ac:dyDescent="0.25">
      <c r="AM1341" s="2">
        <v>1338</v>
      </c>
      <c r="AN1341" s="33">
        <v>9.0898277468253585E-3</v>
      </c>
      <c r="AO1341" s="33">
        <v>4.679781262645609E-4</v>
      </c>
    </row>
    <row r="1342" spans="39:41" x14ac:dyDescent="0.25">
      <c r="AM1342" s="2">
        <v>1339</v>
      </c>
      <c r="AN1342" s="33">
        <v>1.4315002743520999E-2</v>
      </c>
      <c r="AO1342" s="33">
        <v>1.4864065633307722E-3</v>
      </c>
    </row>
    <row r="1343" spans="39:41" x14ac:dyDescent="0.25">
      <c r="AM1343" s="2">
        <v>1340</v>
      </c>
      <c r="AN1343" s="33">
        <v>9.0734480625503169E-3</v>
      </c>
      <c r="AO1343" s="33">
        <v>3.7347919263050917E-4</v>
      </c>
    </row>
    <row r="1344" spans="39:41" x14ac:dyDescent="0.25">
      <c r="AM1344" s="2">
        <v>1341</v>
      </c>
      <c r="AN1344" s="33">
        <v>1.2677328102240138E-2</v>
      </c>
      <c r="AO1344" s="33">
        <v>7.9556248545801286E-4</v>
      </c>
    </row>
    <row r="1345" spans="39:41" x14ac:dyDescent="0.25">
      <c r="AM1345" s="2">
        <v>1342</v>
      </c>
      <c r="AN1345" s="33">
        <v>1.1171976495982E-2</v>
      </c>
      <c r="AO1345" s="33">
        <v>9.193345501740495E-4</v>
      </c>
    </row>
    <row r="1346" spans="39:41" x14ac:dyDescent="0.25">
      <c r="AM1346" s="2">
        <v>1343</v>
      </c>
      <c r="AN1346" s="33">
        <v>1.3538893266681508E-2</v>
      </c>
      <c r="AO1346" s="33">
        <v>8.6557874326439609E-4</v>
      </c>
    </row>
    <row r="1347" spans="39:41" x14ac:dyDescent="0.25">
      <c r="AM1347" s="2">
        <v>1344</v>
      </c>
      <c r="AN1347" s="33">
        <v>9.3670725143641231E-3</v>
      </c>
      <c r="AO1347" s="33">
        <v>5.8421044764786782E-4</v>
      </c>
    </row>
    <row r="1348" spans="39:41" x14ac:dyDescent="0.25">
      <c r="AM1348" s="2">
        <v>1345</v>
      </c>
      <c r="AN1348" s="33">
        <v>1.7776966809977979E-2</v>
      </c>
      <c r="AO1348" s="33">
        <v>1.4239409512844068E-3</v>
      </c>
    </row>
    <row r="1349" spans="39:41" x14ac:dyDescent="0.25">
      <c r="AM1349" s="2">
        <v>1346</v>
      </c>
      <c r="AN1349" s="33">
        <v>1.0837482325149481E-2</v>
      </c>
      <c r="AO1349" s="33">
        <v>5.4134486460179513E-4</v>
      </c>
    </row>
    <row r="1350" spans="39:41" x14ac:dyDescent="0.25">
      <c r="AM1350" s="2">
        <v>1347</v>
      </c>
      <c r="AN1350" s="33">
        <v>1.1022628357672253E-2</v>
      </c>
      <c r="AO1350" s="33">
        <v>8.31460566967826E-4</v>
      </c>
    </row>
    <row r="1351" spans="39:41" x14ac:dyDescent="0.25">
      <c r="AM1351" s="2">
        <v>1348</v>
      </c>
      <c r="AN1351" s="33">
        <v>9.8941397850681664E-3</v>
      </c>
      <c r="AO1351" s="33">
        <v>3.0144532300077945E-4</v>
      </c>
    </row>
    <row r="1352" spans="39:41" x14ac:dyDescent="0.25">
      <c r="AM1352" s="2">
        <v>1349</v>
      </c>
      <c r="AN1352" s="33">
        <v>1.3028880009987382E-2</v>
      </c>
      <c r="AO1352" s="33">
        <v>1.1649894422553389E-3</v>
      </c>
    </row>
    <row r="1353" spans="39:41" x14ac:dyDescent="0.25">
      <c r="AM1353" s="2">
        <v>1350</v>
      </c>
      <c r="AN1353" s="33">
        <v>1.0574983353617241E-2</v>
      </c>
      <c r="AO1353" s="33">
        <v>6.0195985104370252E-4</v>
      </c>
    </row>
    <row r="1354" spans="39:41" x14ac:dyDescent="0.25">
      <c r="AM1354" s="2">
        <v>1351</v>
      </c>
      <c r="AN1354" s="33">
        <v>1.6556369703707958E-2</v>
      </c>
      <c r="AO1354" s="33">
        <v>1.3537164480231139E-3</v>
      </c>
    </row>
    <row r="1355" spans="39:41" x14ac:dyDescent="0.25">
      <c r="AM1355" s="2">
        <v>1352</v>
      </c>
      <c r="AN1355" s="33">
        <v>1.3235575944942584E-2</v>
      </c>
      <c r="AO1355" s="33">
        <v>1.2434808834114824E-3</v>
      </c>
    </row>
    <row r="1356" spans="39:41" x14ac:dyDescent="0.25">
      <c r="AM1356" s="2">
        <v>1353</v>
      </c>
      <c r="AN1356" s="33">
        <v>1.2784952203234093E-2</v>
      </c>
      <c r="AO1356" s="33">
        <v>8.18737315827278E-4</v>
      </c>
    </row>
    <row r="1357" spans="39:41" x14ac:dyDescent="0.25">
      <c r="AM1357" s="2">
        <v>1354</v>
      </c>
      <c r="AN1357" s="33">
        <v>1.4121002581862517E-2</v>
      </c>
      <c r="AO1357" s="33">
        <v>1.2307694285158567E-3</v>
      </c>
    </row>
    <row r="1358" spans="39:41" x14ac:dyDescent="0.25">
      <c r="AM1358" s="2">
        <v>1355</v>
      </c>
      <c r="AN1358" s="33">
        <v>1.2613570990909978E-2</v>
      </c>
      <c r="AO1358" s="33">
        <v>2.4564507984232563E-4</v>
      </c>
    </row>
    <row r="1359" spans="39:41" x14ac:dyDescent="0.25">
      <c r="AM1359" s="2">
        <v>1356</v>
      </c>
      <c r="AN1359" s="33">
        <v>1.334110642623668E-2</v>
      </c>
      <c r="AO1359" s="33">
        <v>8.0108340384705547E-4</v>
      </c>
    </row>
    <row r="1360" spans="39:41" x14ac:dyDescent="0.25">
      <c r="AM1360" s="2">
        <v>1357</v>
      </c>
      <c r="AN1360" s="33">
        <v>1.3202067913522951E-2</v>
      </c>
      <c r="AO1360" s="33">
        <v>1.0980366684018375E-3</v>
      </c>
    </row>
    <row r="1361" spans="39:41" x14ac:dyDescent="0.25">
      <c r="AM1361" s="2">
        <v>1358</v>
      </c>
      <c r="AN1361" s="33">
        <v>1.0305589477006759E-2</v>
      </c>
      <c r="AO1361" s="33">
        <v>5.9652098644122787E-4</v>
      </c>
    </row>
    <row r="1362" spans="39:41" x14ac:dyDescent="0.25">
      <c r="AM1362" s="2">
        <v>1359</v>
      </c>
      <c r="AN1362" s="33">
        <v>1.1502141558806724E-2</v>
      </c>
      <c r="AO1362" s="33">
        <v>9.8525781954211648E-4</v>
      </c>
    </row>
    <row r="1363" spans="39:41" x14ac:dyDescent="0.25">
      <c r="AM1363" s="2">
        <v>1360</v>
      </c>
      <c r="AN1363" s="33">
        <v>1.0345280843389199E-2</v>
      </c>
      <c r="AO1363" s="33">
        <v>5.7862025330700825E-4</v>
      </c>
    </row>
    <row r="1364" spans="39:41" x14ac:dyDescent="0.25">
      <c r="AM1364" s="2">
        <v>1361</v>
      </c>
      <c r="AN1364" s="33">
        <v>1.2925111663533915E-2</v>
      </c>
      <c r="AO1364" s="33">
        <v>1.1791834427473402E-3</v>
      </c>
    </row>
    <row r="1365" spans="39:41" x14ac:dyDescent="0.25">
      <c r="AM1365" s="2">
        <v>1362</v>
      </c>
      <c r="AN1365" s="33">
        <v>1.1526510715545175E-2</v>
      </c>
      <c r="AO1365" s="33">
        <v>8.8670187677058533E-4</v>
      </c>
    </row>
    <row r="1366" spans="39:41" x14ac:dyDescent="0.25">
      <c r="AM1366" s="2">
        <v>1363</v>
      </c>
      <c r="AN1366" s="33">
        <v>1.2091748540850746E-2</v>
      </c>
      <c r="AO1366" s="33">
        <v>1.0464412661848994E-3</v>
      </c>
    </row>
    <row r="1367" spans="39:41" x14ac:dyDescent="0.25">
      <c r="AM1367" s="2">
        <v>1364</v>
      </c>
      <c r="AN1367" s="33">
        <v>1.109088811043972E-2</v>
      </c>
      <c r="AO1367" s="33">
        <v>3.5732145828458201E-4</v>
      </c>
    </row>
    <row r="1368" spans="39:41" x14ac:dyDescent="0.25">
      <c r="AM1368" s="2">
        <v>1365</v>
      </c>
      <c r="AN1368" s="33">
        <v>1.0283675255303186E-2</v>
      </c>
      <c r="AO1368" s="33">
        <v>2.4068166467179207E-4</v>
      </c>
    </row>
    <row r="1369" spans="39:41" x14ac:dyDescent="0.25">
      <c r="AM1369" s="2">
        <v>1366</v>
      </c>
      <c r="AN1369" s="33">
        <v>1.7309853633232009E-2</v>
      </c>
      <c r="AO1369" s="33">
        <v>1.8317216042506653E-3</v>
      </c>
    </row>
    <row r="1370" spans="39:41" x14ac:dyDescent="0.25">
      <c r="AM1370" s="2">
        <v>1367</v>
      </c>
      <c r="AN1370" s="33">
        <v>1.4523949967665793E-2</v>
      </c>
      <c r="AO1370" s="33">
        <v>1.2560086839050139E-3</v>
      </c>
    </row>
    <row r="1371" spans="39:41" x14ac:dyDescent="0.25">
      <c r="AM1371" s="2">
        <v>1368</v>
      </c>
      <c r="AN1371" s="33">
        <v>1.1668443108496849E-2</v>
      </c>
      <c r="AO1371" s="33">
        <v>9.4782676639719433E-4</v>
      </c>
    </row>
    <row r="1372" spans="39:41" x14ac:dyDescent="0.25">
      <c r="AM1372" s="2">
        <v>1369</v>
      </c>
      <c r="AN1372" s="33">
        <v>1.2146257367015292E-2</v>
      </c>
      <c r="AO1372" s="33">
        <v>1.0190808571781066E-3</v>
      </c>
    </row>
    <row r="1373" spans="39:41" x14ac:dyDescent="0.25">
      <c r="AM1373" s="2">
        <v>1370</v>
      </c>
      <c r="AN1373" s="33">
        <v>1.2016928792484361E-2</v>
      </c>
      <c r="AO1373" s="33">
        <v>9.0512188370555258E-4</v>
      </c>
    </row>
    <row r="1374" spans="39:41" x14ac:dyDescent="0.25">
      <c r="AM1374" s="2">
        <v>1371</v>
      </c>
      <c r="AN1374" s="33">
        <v>1.6663498284521485E-2</v>
      </c>
      <c r="AO1374" s="33">
        <v>1.5480240778561474E-3</v>
      </c>
    </row>
    <row r="1375" spans="39:41" x14ac:dyDescent="0.25">
      <c r="AM1375" s="2">
        <v>1372</v>
      </c>
      <c r="AN1375" s="33">
        <v>1.1914532879653512E-2</v>
      </c>
      <c r="AO1375" s="33">
        <v>3.0388961431376067E-4</v>
      </c>
    </row>
    <row r="1376" spans="39:41" x14ac:dyDescent="0.25">
      <c r="AM1376" s="2">
        <v>1373</v>
      </c>
      <c r="AN1376" s="33">
        <v>8.0783995879229742E-3</v>
      </c>
      <c r="AO1376" s="33">
        <v>8.0427058166949539E-4</v>
      </c>
    </row>
    <row r="1377" spans="39:41" x14ac:dyDescent="0.25">
      <c r="AM1377" s="2">
        <v>1374</v>
      </c>
      <c r="AN1377" s="33">
        <v>1.1977023971662695E-2</v>
      </c>
      <c r="AO1377" s="33">
        <v>7.4523646937107231E-4</v>
      </c>
    </row>
    <row r="1378" spans="39:41" x14ac:dyDescent="0.25">
      <c r="AM1378" s="2">
        <v>1375</v>
      </c>
      <c r="AN1378" s="33">
        <v>1.139571852970369E-2</v>
      </c>
      <c r="AO1378" s="33">
        <v>6.8824520236153463E-4</v>
      </c>
    </row>
    <row r="1379" spans="39:41" x14ac:dyDescent="0.25">
      <c r="AM1379" s="2">
        <v>1376</v>
      </c>
      <c r="AN1379" s="33">
        <v>1.195432488083863E-2</v>
      </c>
      <c r="AO1379" s="33">
        <v>3.9953618040937915E-4</v>
      </c>
    </row>
    <row r="1380" spans="39:41" x14ac:dyDescent="0.25">
      <c r="AM1380" s="2">
        <v>1377</v>
      </c>
      <c r="AN1380" s="33">
        <v>1.2840853054290972E-2</v>
      </c>
      <c r="AO1380" s="33">
        <v>1.1064552295368571E-3</v>
      </c>
    </row>
    <row r="1381" spans="39:41" x14ac:dyDescent="0.25">
      <c r="AM1381" s="2">
        <v>1378</v>
      </c>
      <c r="AN1381" s="33">
        <v>9.7320302744006333E-3</v>
      </c>
      <c r="AO1381" s="33">
        <v>7.8743081070969739E-4</v>
      </c>
    </row>
    <row r="1382" spans="39:41" x14ac:dyDescent="0.25">
      <c r="AM1382" s="2">
        <v>1379</v>
      </c>
      <c r="AN1382" s="33">
        <v>1.1891711051671906E-2</v>
      </c>
      <c r="AO1382" s="33">
        <v>1.0576643718158061E-3</v>
      </c>
    </row>
    <row r="1383" spans="39:41" x14ac:dyDescent="0.25">
      <c r="AM1383" s="2">
        <v>1380</v>
      </c>
      <c r="AN1383" s="33">
        <v>9.9066890015224729E-3</v>
      </c>
      <c r="AO1383" s="33">
        <v>8.7599963374430359E-4</v>
      </c>
    </row>
    <row r="1384" spans="39:41" x14ac:dyDescent="0.25">
      <c r="AM1384" s="2">
        <v>1381</v>
      </c>
      <c r="AN1384" s="33">
        <v>1.0084094919901067E-2</v>
      </c>
      <c r="AO1384" s="33">
        <v>3.3944379592647982E-4</v>
      </c>
    </row>
    <row r="1385" spans="39:41" x14ac:dyDescent="0.25">
      <c r="AM1385" s="2">
        <v>1382</v>
      </c>
      <c r="AN1385" s="33">
        <v>1.0902863698857247E-2</v>
      </c>
      <c r="AO1385" s="33">
        <v>7.7330424364257166E-4</v>
      </c>
    </row>
    <row r="1386" spans="39:41" x14ac:dyDescent="0.25">
      <c r="AM1386" s="2">
        <v>1383</v>
      </c>
      <c r="AN1386" s="33">
        <v>1.0831362582803209E-2</v>
      </c>
      <c r="AO1386" s="33">
        <v>8.0475164922834321E-4</v>
      </c>
    </row>
    <row r="1387" spans="39:41" x14ac:dyDescent="0.25">
      <c r="AM1387" s="2">
        <v>1384</v>
      </c>
      <c r="AN1387" s="33">
        <v>9.5240024515478097E-3</v>
      </c>
      <c r="AO1387" s="33">
        <v>4.8609066064576542E-4</v>
      </c>
    </row>
    <row r="1388" spans="39:41" x14ac:dyDescent="0.25">
      <c r="AM1388" s="2">
        <v>1385</v>
      </c>
      <c r="AN1388" s="33">
        <v>9.8929896647227036E-3</v>
      </c>
      <c r="AO1388" s="33">
        <v>6.9666121139594773E-4</v>
      </c>
    </row>
    <row r="1389" spans="39:41" x14ac:dyDescent="0.25">
      <c r="AM1389" s="2">
        <v>1386</v>
      </c>
      <c r="AN1389" s="33">
        <v>1.3273648331526861E-2</v>
      </c>
      <c r="AO1389" s="33">
        <v>1.2148894785713536E-3</v>
      </c>
    </row>
    <row r="1390" spans="39:41" x14ac:dyDescent="0.25">
      <c r="AM1390" s="2">
        <v>1387</v>
      </c>
      <c r="AN1390" s="33">
        <v>1.2498664552964538E-2</v>
      </c>
      <c r="AO1390" s="33">
        <v>1.1399706043668603E-3</v>
      </c>
    </row>
    <row r="1391" spans="39:41" x14ac:dyDescent="0.25">
      <c r="AM1391" s="2">
        <v>1388</v>
      </c>
      <c r="AN1391" s="33">
        <v>1.6205174959871314E-2</v>
      </c>
      <c r="AO1391" s="33">
        <v>1.4333201274545351E-3</v>
      </c>
    </row>
    <row r="1392" spans="39:41" x14ac:dyDescent="0.25">
      <c r="AM1392" s="2">
        <v>1389</v>
      </c>
      <c r="AN1392" s="33">
        <v>1.1200385343351597E-2</v>
      </c>
      <c r="AO1392" s="33">
        <v>7.1290850699558912E-4</v>
      </c>
    </row>
    <row r="1393" spans="39:41" x14ac:dyDescent="0.25">
      <c r="AM1393" s="2">
        <v>1390</v>
      </c>
      <c r="AN1393" s="33">
        <v>1.3694447494697778E-2</v>
      </c>
      <c r="AO1393" s="33">
        <v>1.1343100542717597E-3</v>
      </c>
    </row>
    <row r="1394" spans="39:41" x14ac:dyDescent="0.25">
      <c r="AM1394" s="2">
        <v>1391</v>
      </c>
      <c r="AN1394" s="33">
        <v>1.1068047515401514E-2</v>
      </c>
      <c r="AO1394" s="33">
        <v>7.3437437798588954E-4</v>
      </c>
    </row>
    <row r="1395" spans="39:41" x14ac:dyDescent="0.25">
      <c r="AM1395" s="2">
        <v>1392</v>
      </c>
      <c r="AN1395" s="33">
        <v>1.1865349304105365E-2</v>
      </c>
      <c r="AO1395" s="33">
        <v>7.1947295283564857E-4</v>
      </c>
    </row>
    <row r="1396" spans="39:41" x14ac:dyDescent="0.25">
      <c r="AM1396" s="2">
        <v>1393</v>
      </c>
      <c r="AN1396" s="33">
        <v>1.0018771892006393E-2</v>
      </c>
      <c r="AO1396" s="33">
        <v>6.9486007490911293E-4</v>
      </c>
    </row>
    <row r="1397" spans="39:41" x14ac:dyDescent="0.25">
      <c r="AM1397" s="2">
        <v>1394</v>
      </c>
      <c r="AN1397" s="33">
        <v>1.0838203259247199E-2</v>
      </c>
      <c r="AO1397" s="33">
        <v>9.787288503389014E-4</v>
      </c>
    </row>
    <row r="1398" spans="39:41" x14ac:dyDescent="0.25">
      <c r="AM1398" s="2">
        <v>1395</v>
      </c>
      <c r="AN1398" s="33">
        <v>1.1053812464889822E-2</v>
      </c>
      <c r="AO1398" s="33">
        <v>4.454167258051346E-4</v>
      </c>
    </row>
    <row r="1399" spans="39:41" x14ac:dyDescent="0.25">
      <c r="AM1399" s="2">
        <v>1396</v>
      </c>
      <c r="AN1399" s="33">
        <v>1.2227772986806312E-2</v>
      </c>
      <c r="AO1399" s="33">
        <v>1.0238302012675515E-3</v>
      </c>
    </row>
    <row r="1400" spans="39:41" x14ac:dyDescent="0.25">
      <c r="AM1400" s="2">
        <v>1397</v>
      </c>
      <c r="AN1400" s="33">
        <v>1.0198234856465142E-2</v>
      </c>
      <c r="AO1400" s="33">
        <v>6.2162143327364693E-4</v>
      </c>
    </row>
    <row r="1401" spans="39:41" x14ac:dyDescent="0.25">
      <c r="AM1401" s="2">
        <v>1398</v>
      </c>
      <c r="AN1401" s="33">
        <v>9.1613033231894483E-3</v>
      </c>
      <c r="AO1401" s="33">
        <v>7.0733727726800027E-4</v>
      </c>
    </row>
    <row r="1402" spans="39:41" x14ac:dyDescent="0.25">
      <c r="AM1402" s="2">
        <v>1399</v>
      </c>
      <c r="AN1402" s="33">
        <v>8.5698984538896041E-3</v>
      </c>
      <c r="AO1402" s="33">
        <v>6.8597902879291117E-4</v>
      </c>
    </row>
    <row r="1403" spans="39:41" x14ac:dyDescent="0.25">
      <c r="AM1403" s="2">
        <v>1400</v>
      </c>
      <c r="AN1403" s="33">
        <v>1.0704682071669079E-2</v>
      </c>
      <c r="AO1403" s="33">
        <v>4.4677836190165534E-4</v>
      </c>
    </row>
    <row r="1404" spans="39:41" x14ac:dyDescent="0.25">
      <c r="AM1404" s="2">
        <v>1401</v>
      </c>
      <c r="AN1404" s="33">
        <v>1.3166362631050929E-2</v>
      </c>
      <c r="AO1404" s="33">
        <v>1.0689465378849856E-3</v>
      </c>
    </row>
    <row r="1405" spans="39:41" x14ac:dyDescent="0.25">
      <c r="AM1405" s="2">
        <v>1402</v>
      </c>
      <c r="AN1405" s="33">
        <v>1.1624361663604124E-2</v>
      </c>
      <c r="AO1405" s="33">
        <v>8.0163454124996376E-4</v>
      </c>
    </row>
    <row r="1406" spans="39:41" x14ac:dyDescent="0.25">
      <c r="AM1406" s="2">
        <v>1403</v>
      </c>
      <c r="AN1406" s="33">
        <v>1.2871067789865446E-2</v>
      </c>
      <c r="AO1406" s="33">
        <v>1.1150387427656754E-3</v>
      </c>
    </row>
    <row r="1407" spans="39:41" x14ac:dyDescent="0.25">
      <c r="AM1407" s="2">
        <v>1404</v>
      </c>
      <c r="AN1407" s="33">
        <v>1.0567661531065578E-2</v>
      </c>
      <c r="AO1407" s="33">
        <v>9.8462860046150016E-4</v>
      </c>
    </row>
    <row r="1408" spans="39:41" x14ac:dyDescent="0.25">
      <c r="AM1408" s="2">
        <v>1405</v>
      </c>
      <c r="AN1408" s="33">
        <v>1.2314848760500194E-2</v>
      </c>
      <c r="AO1408" s="33">
        <v>1.044980796001595E-3</v>
      </c>
    </row>
    <row r="1409" spans="39:41" x14ac:dyDescent="0.25">
      <c r="AM1409" s="2">
        <v>1406</v>
      </c>
      <c r="AN1409" s="33">
        <v>1.0175746171328793E-2</v>
      </c>
      <c r="AO1409" s="33">
        <v>4.6927979302281464E-4</v>
      </c>
    </row>
    <row r="1410" spans="39:41" x14ac:dyDescent="0.25">
      <c r="AM1410" s="2">
        <v>1407</v>
      </c>
      <c r="AN1410" s="33">
        <v>1.2562007356640497E-2</v>
      </c>
      <c r="AO1410" s="33">
        <v>1.0504871448449122E-3</v>
      </c>
    </row>
    <row r="1411" spans="39:41" x14ac:dyDescent="0.25">
      <c r="AM1411" s="2">
        <v>1408</v>
      </c>
      <c r="AN1411" s="33">
        <v>1.0295816320854507E-2</v>
      </c>
      <c r="AO1411" s="33">
        <v>6.8754151905936044E-4</v>
      </c>
    </row>
    <row r="1412" spans="39:41" x14ac:dyDescent="0.25">
      <c r="AM1412" s="2">
        <v>1409</v>
      </c>
      <c r="AN1412" s="33">
        <v>1.1046431617415513E-2</v>
      </c>
      <c r="AO1412" s="33">
        <v>9.6157936383256971E-4</v>
      </c>
    </row>
    <row r="1413" spans="39:41" x14ac:dyDescent="0.25">
      <c r="AM1413" s="2">
        <v>1410</v>
      </c>
      <c r="AN1413" s="33">
        <v>1.1749186635350309E-2</v>
      </c>
      <c r="AO1413" s="33">
        <v>6.9469995990324664E-4</v>
      </c>
    </row>
    <row r="1414" spans="39:41" x14ac:dyDescent="0.25">
      <c r="AM1414" s="2">
        <v>1411</v>
      </c>
      <c r="AN1414" s="33">
        <v>1.5640101564953591E-2</v>
      </c>
      <c r="AO1414" s="33">
        <v>1.3869621085557168E-3</v>
      </c>
    </row>
    <row r="1415" spans="39:41" x14ac:dyDescent="0.25">
      <c r="AM1415" s="2">
        <v>1412</v>
      </c>
      <c r="AN1415" s="33">
        <v>1.1276387466495421E-2</v>
      </c>
      <c r="AO1415" s="33">
        <v>1.1816874392886713E-3</v>
      </c>
    </row>
    <row r="1416" spans="39:41" x14ac:dyDescent="0.25">
      <c r="AM1416" s="2">
        <v>1413</v>
      </c>
      <c r="AN1416" s="33">
        <v>9.9760500763752882E-3</v>
      </c>
      <c r="AO1416" s="33">
        <v>9.0030924331158276E-4</v>
      </c>
    </row>
    <row r="1417" spans="39:41" x14ac:dyDescent="0.25">
      <c r="AM1417" s="2">
        <v>1414</v>
      </c>
      <c r="AN1417" s="33">
        <v>1.1629977155522822E-2</v>
      </c>
      <c r="AO1417" s="33">
        <v>6.858671266964869E-4</v>
      </c>
    </row>
    <row r="1418" spans="39:41" x14ac:dyDescent="0.25">
      <c r="AM1418" s="2">
        <v>1415</v>
      </c>
      <c r="AN1418" s="33">
        <v>1.597809999952823E-2</v>
      </c>
      <c r="AO1418" s="33">
        <v>1.1243252334461199E-3</v>
      </c>
    </row>
    <row r="1419" spans="39:41" x14ac:dyDescent="0.25">
      <c r="AM1419" s="2">
        <v>1416</v>
      </c>
      <c r="AN1419" s="33">
        <v>1.015100900956317E-2</v>
      </c>
      <c r="AO1419" s="33">
        <v>4.7958604793512543E-4</v>
      </c>
    </row>
    <row r="1420" spans="39:41" x14ac:dyDescent="0.25">
      <c r="AM1420" s="2">
        <v>1417</v>
      </c>
      <c r="AN1420" s="33">
        <v>7.9401816555154225E-3</v>
      </c>
      <c r="AO1420" s="33">
        <v>4.6889346672699701E-4</v>
      </c>
    </row>
    <row r="1421" spans="39:41" x14ac:dyDescent="0.25">
      <c r="AM1421" s="2">
        <v>1418</v>
      </c>
      <c r="AN1421" s="33">
        <v>9.2388380027564696E-3</v>
      </c>
      <c r="AO1421" s="33">
        <v>7.0332588079984461E-4</v>
      </c>
    </row>
    <row r="1422" spans="39:41" x14ac:dyDescent="0.25">
      <c r="AM1422" s="2">
        <v>1419</v>
      </c>
      <c r="AN1422" s="33">
        <v>1.1652091496756122E-2</v>
      </c>
      <c r="AO1422" s="33">
        <v>1.0921025446051201E-3</v>
      </c>
    </row>
    <row r="1423" spans="39:41" x14ac:dyDescent="0.25">
      <c r="AM1423" s="2">
        <v>1420</v>
      </c>
      <c r="AN1423" s="33">
        <v>1.0413624234306218E-2</v>
      </c>
      <c r="AO1423" s="33">
        <v>5.1799324735006698E-4</v>
      </c>
    </row>
    <row r="1424" spans="39:41" x14ac:dyDescent="0.25">
      <c r="AM1424" s="2">
        <v>1421</v>
      </c>
      <c r="AN1424" s="33">
        <v>1.383358479761034E-2</v>
      </c>
      <c r="AO1424" s="33">
        <v>1.3137797197042224E-3</v>
      </c>
    </row>
    <row r="1425" spans="39:41" x14ac:dyDescent="0.25">
      <c r="AM1425" s="2">
        <v>1422</v>
      </c>
      <c r="AN1425" s="33">
        <v>1.2326482874621571E-2</v>
      </c>
      <c r="AO1425" s="33">
        <v>1.2617623412930449E-3</v>
      </c>
    </row>
    <row r="1426" spans="39:41" x14ac:dyDescent="0.25">
      <c r="AM1426" s="2">
        <v>1423</v>
      </c>
      <c r="AN1426" s="33">
        <v>1.4937982560865372E-2</v>
      </c>
      <c r="AO1426" s="33">
        <v>9.812522589930186E-4</v>
      </c>
    </row>
    <row r="1427" spans="39:41" x14ac:dyDescent="0.25">
      <c r="AM1427" s="2">
        <v>1424</v>
      </c>
      <c r="AN1427" s="33">
        <v>1.2906837129286803E-2</v>
      </c>
      <c r="AO1427" s="33">
        <v>8.1706133757412621E-4</v>
      </c>
    </row>
    <row r="1428" spans="39:41" x14ac:dyDescent="0.25">
      <c r="AM1428" s="2">
        <v>1425</v>
      </c>
      <c r="AN1428" s="33">
        <v>1.1970302516361261E-2</v>
      </c>
      <c r="AO1428" s="33">
        <v>7.9571988016255749E-4</v>
      </c>
    </row>
    <row r="1429" spans="39:41" x14ac:dyDescent="0.25">
      <c r="AM1429" s="2">
        <v>1426</v>
      </c>
      <c r="AN1429" s="33">
        <v>1.1372752635638811E-2</v>
      </c>
      <c r="AO1429" s="33">
        <v>9.1185178799899145E-4</v>
      </c>
    </row>
    <row r="1430" spans="39:41" x14ac:dyDescent="0.25">
      <c r="AM1430" s="2">
        <v>1427</v>
      </c>
      <c r="AN1430" s="33">
        <v>1.4597731901453899E-2</v>
      </c>
      <c r="AO1430" s="33">
        <v>1.436264176453463E-3</v>
      </c>
    </row>
    <row r="1431" spans="39:41" x14ac:dyDescent="0.25">
      <c r="AM1431" s="2">
        <v>1428</v>
      </c>
      <c r="AN1431" s="33">
        <v>1.2653819543081096E-2</v>
      </c>
      <c r="AO1431" s="33">
        <v>9.1813128104320919E-4</v>
      </c>
    </row>
    <row r="1432" spans="39:41" x14ac:dyDescent="0.25">
      <c r="AM1432" s="2">
        <v>1429</v>
      </c>
      <c r="AN1432" s="33">
        <v>1.1446430763106891E-2</v>
      </c>
      <c r="AO1432" s="33">
        <v>8.5714622709393321E-4</v>
      </c>
    </row>
    <row r="1433" spans="39:41" x14ac:dyDescent="0.25">
      <c r="AM1433" s="2">
        <v>1430</v>
      </c>
      <c r="AN1433" s="33">
        <v>9.9443739102221401E-3</v>
      </c>
      <c r="AO1433" s="33">
        <v>9.7760839334615083E-4</v>
      </c>
    </row>
    <row r="1434" spans="39:41" x14ac:dyDescent="0.25">
      <c r="AM1434" s="2">
        <v>1431</v>
      </c>
      <c r="AN1434" s="33">
        <v>1.2625729938108676E-2</v>
      </c>
      <c r="AO1434" s="33">
        <v>1.048759379938186E-3</v>
      </c>
    </row>
    <row r="1435" spans="39:41" x14ac:dyDescent="0.25">
      <c r="AM1435" s="2">
        <v>1432</v>
      </c>
      <c r="AN1435" s="33">
        <v>1.4643183134979854E-2</v>
      </c>
      <c r="AO1435" s="33">
        <v>1.2480520036470316E-3</v>
      </c>
    </row>
    <row r="1436" spans="39:41" x14ac:dyDescent="0.25">
      <c r="AM1436" s="2">
        <v>1433</v>
      </c>
      <c r="AN1436" s="33">
        <v>1.3691966463616282E-2</v>
      </c>
      <c r="AO1436" s="33">
        <v>9.7272127866064183E-4</v>
      </c>
    </row>
    <row r="1437" spans="39:41" x14ac:dyDescent="0.25">
      <c r="AM1437" s="2">
        <v>1434</v>
      </c>
      <c r="AN1437" s="33">
        <v>1.0807902317765532E-2</v>
      </c>
      <c r="AO1437" s="33">
        <v>8.6260911303332572E-4</v>
      </c>
    </row>
    <row r="1438" spans="39:41" x14ac:dyDescent="0.25">
      <c r="AM1438" s="2">
        <v>1435</v>
      </c>
      <c r="AN1438" s="33">
        <v>1.318886822355839E-2</v>
      </c>
      <c r="AO1438" s="33">
        <v>8.9321866756285958E-4</v>
      </c>
    </row>
    <row r="1439" spans="39:41" x14ac:dyDescent="0.25">
      <c r="AM1439" s="2">
        <v>1436</v>
      </c>
      <c r="AN1439" s="33">
        <v>1.0493242302096232E-2</v>
      </c>
      <c r="AO1439" s="33">
        <v>7.7763869416425547E-4</v>
      </c>
    </row>
    <row r="1440" spans="39:41" x14ac:dyDescent="0.25">
      <c r="AM1440" s="2">
        <v>1437</v>
      </c>
      <c r="AN1440" s="33">
        <v>1.5538513533944623E-2</v>
      </c>
      <c r="AO1440" s="33">
        <v>1.3717833902655717E-3</v>
      </c>
    </row>
    <row r="1441" spans="39:41" x14ac:dyDescent="0.25">
      <c r="AM1441" s="2">
        <v>1438</v>
      </c>
      <c r="AN1441" s="33">
        <v>1.2288868334995928E-2</v>
      </c>
      <c r="AO1441" s="33">
        <v>1.0023757541791165E-3</v>
      </c>
    </row>
    <row r="1442" spans="39:41" x14ac:dyDescent="0.25">
      <c r="AM1442" s="2">
        <v>1439</v>
      </c>
      <c r="AN1442" s="33">
        <v>1.4301668323147651E-2</v>
      </c>
      <c r="AO1442" s="33">
        <v>8.7204054899798025E-4</v>
      </c>
    </row>
    <row r="1443" spans="39:41" x14ac:dyDescent="0.25">
      <c r="AM1443" s="2">
        <v>1440</v>
      </c>
      <c r="AN1443" s="33">
        <v>1.1120366561481377E-2</v>
      </c>
      <c r="AO1443" s="33">
        <v>9.2655646226855886E-4</v>
      </c>
    </row>
    <row r="1444" spans="39:41" x14ac:dyDescent="0.25">
      <c r="AM1444" s="2">
        <v>1441</v>
      </c>
      <c r="AN1444" s="33">
        <v>1.1424725335044022E-2</v>
      </c>
      <c r="AO1444" s="33">
        <v>9.9462006753654091E-4</v>
      </c>
    </row>
    <row r="1445" spans="39:41" x14ac:dyDescent="0.25">
      <c r="AM1445" s="2">
        <v>1442</v>
      </c>
      <c r="AN1445" s="33">
        <v>1.0527579576081733E-2</v>
      </c>
      <c r="AO1445" s="33">
        <v>7.182095353164648E-4</v>
      </c>
    </row>
    <row r="1446" spans="39:41" x14ac:dyDescent="0.25">
      <c r="AM1446" s="2">
        <v>1443</v>
      </c>
      <c r="AN1446" s="33">
        <v>1.1198968108377417E-2</v>
      </c>
      <c r="AO1446" s="33">
        <v>5.469382093306809E-4</v>
      </c>
    </row>
    <row r="1447" spans="39:41" x14ac:dyDescent="0.25">
      <c r="AM1447" s="2">
        <v>1444</v>
      </c>
      <c r="AN1447" s="33">
        <v>1.4231425601156098E-2</v>
      </c>
      <c r="AO1447" s="33">
        <v>1.4297871597705699E-3</v>
      </c>
    </row>
    <row r="1448" spans="39:41" x14ac:dyDescent="0.25">
      <c r="AM1448" s="2">
        <v>1445</v>
      </c>
      <c r="AN1448" s="33">
        <v>8.0015865273750965E-3</v>
      </c>
      <c r="AO1448" s="33">
        <v>5.1723406749179415E-4</v>
      </c>
    </row>
    <row r="1449" spans="39:41" x14ac:dyDescent="0.25">
      <c r="AM1449" s="2">
        <v>1446</v>
      </c>
      <c r="AN1449" s="33">
        <v>8.9163229806321857E-3</v>
      </c>
      <c r="AO1449" s="33">
        <v>6.7361159734370885E-4</v>
      </c>
    </row>
    <row r="1450" spans="39:41" x14ac:dyDescent="0.25">
      <c r="AM1450" s="2">
        <v>1447</v>
      </c>
      <c r="AN1450" s="33">
        <v>1.0618205951174258E-2</v>
      </c>
      <c r="AO1450" s="33">
        <v>1.0692000248813762E-3</v>
      </c>
    </row>
    <row r="1451" spans="39:41" x14ac:dyDescent="0.25">
      <c r="AM1451" s="2">
        <v>1448</v>
      </c>
      <c r="AN1451" s="33">
        <v>1.1378780497545534E-2</v>
      </c>
      <c r="AO1451" s="33">
        <v>6.260126443681939E-4</v>
      </c>
    </row>
    <row r="1452" spans="39:41" x14ac:dyDescent="0.25">
      <c r="AM1452" s="2">
        <v>1449</v>
      </c>
      <c r="AN1452" s="33">
        <v>1.091220824972961E-2</v>
      </c>
      <c r="AO1452" s="33">
        <v>8.1949923690497687E-4</v>
      </c>
    </row>
    <row r="1453" spans="39:41" x14ac:dyDescent="0.25">
      <c r="AM1453" s="2">
        <v>1450</v>
      </c>
      <c r="AN1453" s="33">
        <v>1.4226323420420907E-2</v>
      </c>
      <c r="AO1453" s="33">
        <v>1.2615665384285788E-3</v>
      </c>
    </row>
    <row r="1454" spans="39:41" x14ac:dyDescent="0.25">
      <c r="AM1454" s="2">
        <v>1451</v>
      </c>
      <c r="AN1454" s="33">
        <v>1.4161087962912247E-2</v>
      </c>
      <c r="AO1454" s="33">
        <v>1.0055485380753312E-3</v>
      </c>
    </row>
    <row r="1455" spans="39:41" x14ac:dyDescent="0.25">
      <c r="AM1455" s="2">
        <v>1452</v>
      </c>
      <c r="AN1455" s="33">
        <v>1.1961868708067964E-2</v>
      </c>
      <c r="AO1455" s="33">
        <v>9.0871605131119819E-4</v>
      </c>
    </row>
    <row r="1456" spans="39:41" x14ac:dyDescent="0.25">
      <c r="AM1456" s="2">
        <v>1453</v>
      </c>
      <c r="AN1456" s="33">
        <v>1.1931088557173933E-2</v>
      </c>
      <c r="AO1456" s="33">
        <v>6.961022057889746E-4</v>
      </c>
    </row>
    <row r="1457" spans="39:41" x14ac:dyDescent="0.25">
      <c r="AM1457" s="2">
        <v>1454</v>
      </c>
      <c r="AN1457" s="33">
        <v>1.2396121331456922E-2</v>
      </c>
      <c r="AO1457" s="33">
        <v>9.3731269453304212E-4</v>
      </c>
    </row>
    <row r="1458" spans="39:41" x14ac:dyDescent="0.25">
      <c r="AM1458" s="2">
        <v>1455</v>
      </c>
      <c r="AN1458" s="33">
        <v>9.1531136197342648E-3</v>
      </c>
      <c r="AO1458" s="33">
        <v>7.7254113633299585E-4</v>
      </c>
    </row>
    <row r="1459" spans="39:41" x14ac:dyDescent="0.25">
      <c r="AM1459" s="2">
        <v>1456</v>
      </c>
      <c r="AN1459" s="33">
        <v>1.1991206414483768E-2</v>
      </c>
      <c r="AO1459" s="33">
        <v>1.1871454862149775E-3</v>
      </c>
    </row>
    <row r="1460" spans="39:41" x14ac:dyDescent="0.25">
      <c r="AM1460" s="2">
        <v>1457</v>
      </c>
      <c r="AN1460" s="33">
        <v>1.0414354018876058E-2</v>
      </c>
      <c r="AO1460" s="33">
        <v>6.6281007338400331E-4</v>
      </c>
    </row>
    <row r="1461" spans="39:41" x14ac:dyDescent="0.25">
      <c r="AM1461" s="2">
        <v>1458</v>
      </c>
      <c r="AN1461" s="33">
        <v>7.957327967871625E-3</v>
      </c>
      <c r="AO1461" s="33">
        <v>5.2894784198293464E-4</v>
      </c>
    </row>
    <row r="1462" spans="39:41" x14ac:dyDescent="0.25">
      <c r="AM1462" s="2">
        <v>1459</v>
      </c>
      <c r="AN1462" s="33">
        <v>1.1739141023592442E-2</v>
      </c>
      <c r="AO1462" s="33">
        <v>8.8098544786735359E-4</v>
      </c>
    </row>
    <row r="1463" spans="39:41" x14ac:dyDescent="0.25">
      <c r="AM1463" s="2">
        <v>1460</v>
      </c>
      <c r="AN1463" s="33">
        <v>1.098827037413087E-2</v>
      </c>
      <c r="AO1463" s="33">
        <v>5.9248789571443616E-4</v>
      </c>
    </row>
    <row r="1464" spans="39:41" x14ac:dyDescent="0.25">
      <c r="AM1464" s="2">
        <v>1461</v>
      </c>
      <c r="AN1464" s="33">
        <v>1.2350491275590163E-2</v>
      </c>
      <c r="AO1464" s="33">
        <v>1.1674914704379012E-3</v>
      </c>
    </row>
    <row r="1465" spans="39:41" x14ac:dyDescent="0.25">
      <c r="AM1465" s="2">
        <v>1462</v>
      </c>
      <c r="AN1465" s="33">
        <v>8.3714723283621565E-3</v>
      </c>
      <c r="AO1465" s="33">
        <v>6.0634156290498699E-4</v>
      </c>
    </row>
    <row r="1466" spans="39:41" x14ac:dyDescent="0.25">
      <c r="AM1466" s="2">
        <v>1463</v>
      </c>
      <c r="AN1466" s="33">
        <v>1.5231884389542255E-2</v>
      </c>
      <c r="AO1466" s="33">
        <v>1.2375840956031449E-3</v>
      </c>
    </row>
    <row r="1467" spans="39:41" x14ac:dyDescent="0.25">
      <c r="AM1467" s="2">
        <v>1464</v>
      </c>
      <c r="AN1467" s="33">
        <v>1.3284778161279485E-2</v>
      </c>
      <c r="AO1467" s="33">
        <v>1.0650347043446745E-3</v>
      </c>
    </row>
    <row r="1468" spans="39:41" x14ac:dyDescent="0.25">
      <c r="AM1468" s="2">
        <v>1465</v>
      </c>
      <c r="AN1468" s="33">
        <v>1.2152903047289505E-2</v>
      </c>
      <c r="AO1468" s="33">
        <v>1.0163579078714575E-3</v>
      </c>
    </row>
    <row r="1469" spans="39:41" x14ac:dyDescent="0.25">
      <c r="AM1469" s="2">
        <v>1466</v>
      </c>
      <c r="AN1469" s="33">
        <v>1.2372645351194049E-2</v>
      </c>
      <c r="AO1469" s="33">
        <v>8.1461160246367804E-4</v>
      </c>
    </row>
    <row r="1470" spans="39:41" x14ac:dyDescent="0.25">
      <c r="AM1470" s="2">
        <v>1467</v>
      </c>
      <c r="AN1470" s="33">
        <v>1.0010050733263847E-2</v>
      </c>
      <c r="AO1470" s="33">
        <v>6.7925804653654845E-4</v>
      </c>
    </row>
    <row r="1471" spans="39:41" x14ac:dyDescent="0.25">
      <c r="AM1471" s="2">
        <v>1468</v>
      </c>
      <c r="AN1471" s="33">
        <v>9.1431470978320557E-3</v>
      </c>
      <c r="AO1471" s="33">
        <v>5.4797455674903935E-4</v>
      </c>
    </row>
    <row r="1472" spans="39:41" x14ac:dyDescent="0.25">
      <c r="AM1472" s="2">
        <v>1469</v>
      </c>
      <c r="AN1472" s="33">
        <v>8.9917035914037977E-3</v>
      </c>
      <c r="AO1472" s="33">
        <v>5.0185321100000839E-4</v>
      </c>
    </row>
    <row r="1473" spans="39:41" x14ac:dyDescent="0.25">
      <c r="AM1473" s="2">
        <v>1470</v>
      </c>
      <c r="AN1473" s="33">
        <v>1.3964601236476502E-2</v>
      </c>
      <c r="AO1473" s="33">
        <v>1.2754317669953735E-3</v>
      </c>
    </row>
    <row r="1474" spans="39:41" x14ac:dyDescent="0.25">
      <c r="AM1474" s="2">
        <v>1471</v>
      </c>
      <c r="AN1474" s="33">
        <v>9.4420816106439917E-3</v>
      </c>
      <c r="AO1474" s="33">
        <v>5.3064503772304122E-4</v>
      </c>
    </row>
    <row r="1475" spans="39:41" x14ac:dyDescent="0.25">
      <c r="AM1475" s="2">
        <v>1472</v>
      </c>
      <c r="AN1475" s="33">
        <v>1.4405221959586479E-2</v>
      </c>
      <c r="AO1475" s="33">
        <v>1.4159210445436297E-3</v>
      </c>
    </row>
    <row r="1476" spans="39:41" x14ac:dyDescent="0.25">
      <c r="AM1476" s="2">
        <v>1473</v>
      </c>
      <c r="AN1476" s="33">
        <v>1.0148783200465004E-2</v>
      </c>
      <c r="AO1476" s="33">
        <v>5.4108957595660665E-4</v>
      </c>
    </row>
    <row r="1477" spans="39:41" x14ac:dyDescent="0.25">
      <c r="AM1477" s="2">
        <v>1474</v>
      </c>
      <c r="AN1477" s="33">
        <v>1.0216083540752841E-2</v>
      </c>
      <c r="AO1477" s="33">
        <v>6.9042443410716517E-4</v>
      </c>
    </row>
    <row r="1478" spans="39:41" x14ac:dyDescent="0.25">
      <c r="AM1478" s="2">
        <v>1475</v>
      </c>
      <c r="AN1478" s="33">
        <v>9.5375210989686997E-3</v>
      </c>
      <c r="AO1478" s="33">
        <v>6.2996950965588723E-4</v>
      </c>
    </row>
    <row r="1479" spans="39:41" x14ac:dyDescent="0.25">
      <c r="AM1479" s="2">
        <v>1476</v>
      </c>
      <c r="AN1479" s="33">
        <v>1.1819476427072808E-2</v>
      </c>
      <c r="AO1479" s="33">
        <v>7.3552512556251178E-4</v>
      </c>
    </row>
    <row r="1480" spans="39:41" x14ac:dyDescent="0.25">
      <c r="AM1480" s="2">
        <v>1477</v>
      </c>
      <c r="AN1480" s="33">
        <v>1.1882144728498014E-2</v>
      </c>
      <c r="AO1480" s="33">
        <v>1.2201433672428396E-3</v>
      </c>
    </row>
    <row r="1481" spans="39:41" x14ac:dyDescent="0.25">
      <c r="AM1481" s="2">
        <v>1478</v>
      </c>
      <c r="AN1481" s="33">
        <v>1.0834112010577287E-2</v>
      </c>
      <c r="AO1481" s="33">
        <v>8.100214233220692E-4</v>
      </c>
    </row>
    <row r="1482" spans="39:41" x14ac:dyDescent="0.25">
      <c r="AM1482" s="2">
        <v>1479</v>
      </c>
      <c r="AN1482" s="33">
        <v>1.248249564635006E-2</v>
      </c>
      <c r="AO1482" s="33">
        <v>1.0799443089386971E-3</v>
      </c>
    </row>
    <row r="1483" spans="39:41" x14ac:dyDescent="0.25">
      <c r="AM1483" s="2">
        <v>1480</v>
      </c>
      <c r="AN1483" s="33">
        <v>9.9120873115187118E-3</v>
      </c>
      <c r="AO1483" s="33">
        <v>6.1476191457152162E-4</v>
      </c>
    </row>
    <row r="1484" spans="39:41" x14ac:dyDescent="0.25">
      <c r="AM1484" s="2">
        <v>1481</v>
      </c>
      <c r="AN1484" s="33">
        <v>1.3609257123198916E-2</v>
      </c>
      <c r="AO1484" s="33">
        <v>1.2451087766581766E-3</v>
      </c>
    </row>
    <row r="1485" spans="39:41" x14ac:dyDescent="0.25">
      <c r="AM1485" s="2">
        <v>1482</v>
      </c>
      <c r="AN1485" s="33">
        <v>1.0466475719554115E-2</v>
      </c>
      <c r="AO1485" s="33">
        <v>5.8114813618149249E-4</v>
      </c>
    </row>
    <row r="1486" spans="39:41" x14ac:dyDescent="0.25">
      <c r="AM1486" s="2">
        <v>1483</v>
      </c>
      <c r="AN1486" s="33">
        <v>1.015259622907558E-2</v>
      </c>
      <c r="AO1486" s="33">
        <v>3.5244887079900137E-4</v>
      </c>
    </row>
    <row r="1487" spans="39:41" x14ac:dyDescent="0.25">
      <c r="AM1487" s="2">
        <v>1484</v>
      </c>
      <c r="AN1487" s="33">
        <v>8.4542489262415324E-3</v>
      </c>
      <c r="AO1487" s="33">
        <v>4.1972058480599296E-4</v>
      </c>
    </row>
    <row r="1488" spans="39:41" x14ac:dyDescent="0.25">
      <c r="AM1488" s="2">
        <v>1485</v>
      </c>
      <c r="AN1488" s="33">
        <v>1.174017254867109E-2</v>
      </c>
      <c r="AO1488" s="33">
        <v>4.8109844865773825E-4</v>
      </c>
    </row>
    <row r="1489" spans="39:41" x14ac:dyDescent="0.25">
      <c r="AM1489" s="2">
        <v>1486</v>
      </c>
      <c r="AN1489" s="33">
        <v>1.2105691194036225E-2</v>
      </c>
      <c r="AO1489" s="33">
        <v>5.6497401819434565E-4</v>
      </c>
    </row>
    <row r="1490" spans="39:41" x14ac:dyDescent="0.25">
      <c r="AM1490" s="2">
        <v>1487</v>
      </c>
      <c r="AN1490" s="33">
        <v>1.4133386711942642E-2</v>
      </c>
      <c r="AO1490" s="33">
        <v>1.0375292098339407E-3</v>
      </c>
    </row>
    <row r="1491" spans="39:41" x14ac:dyDescent="0.25">
      <c r="AM1491" s="2">
        <v>1488</v>
      </c>
      <c r="AN1491" s="33">
        <v>1.1194901473194154E-2</v>
      </c>
      <c r="AO1491" s="33">
        <v>1.2120124124531743E-4</v>
      </c>
    </row>
    <row r="1492" spans="39:41" x14ac:dyDescent="0.25">
      <c r="AM1492" s="2">
        <v>1489</v>
      </c>
      <c r="AN1492" s="33">
        <v>1.2820974494631548E-2</v>
      </c>
      <c r="AO1492" s="33">
        <v>1.3046119842295694E-3</v>
      </c>
    </row>
    <row r="1493" spans="39:41" x14ac:dyDescent="0.25">
      <c r="AM1493" s="2">
        <v>1490</v>
      </c>
      <c r="AN1493" s="33">
        <v>1.0681267314698768E-2</v>
      </c>
      <c r="AO1493" s="33">
        <v>7.7540580196463246E-4</v>
      </c>
    </row>
    <row r="1494" spans="39:41" x14ac:dyDescent="0.25">
      <c r="AM1494" s="2">
        <v>1491</v>
      </c>
      <c r="AN1494" s="33">
        <v>1.3021778635988749E-2</v>
      </c>
      <c r="AO1494" s="33">
        <v>1.2528655382119513E-3</v>
      </c>
    </row>
    <row r="1495" spans="39:41" x14ac:dyDescent="0.25">
      <c r="AM1495" s="2">
        <v>1492</v>
      </c>
      <c r="AN1495" s="33">
        <v>1.0558488716798325E-2</v>
      </c>
      <c r="AO1495" s="33">
        <v>7.2930978472360167E-4</v>
      </c>
    </row>
    <row r="1496" spans="39:41" x14ac:dyDescent="0.25">
      <c r="AM1496" s="2">
        <v>1493</v>
      </c>
      <c r="AN1496" s="33">
        <v>1.1728535518963554E-2</v>
      </c>
      <c r="AO1496" s="33">
        <v>6.5852758397501961E-4</v>
      </c>
    </row>
    <row r="1497" spans="39:41" x14ac:dyDescent="0.25">
      <c r="AM1497" s="2">
        <v>1494</v>
      </c>
      <c r="AN1497" s="33">
        <v>1.4051785643234657E-2</v>
      </c>
      <c r="AO1497" s="33">
        <v>1.3674831660751246E-3</v>
      </c>
    </row>
    <row r="1498" spans="39:41" x14ac:dyDescent="0.25">
      <c r="AM1498" s="2">
        <v>1495</v>
      </c>
      <c r="AN1498" s="33">
        <v>1.1236655407465282E-2</v>
      </c>
      <c r="AO1498" s="33">
        <v>3.2197038562971922E-4</v>
      </c>
    </row>
    <row r="1499" spans="39:41" x14ac:dyDescent="0.25">
      <c r="AM1499" s="2">
        <v>1496</v>
      </c>
      <c r="AN1499" s="33">
        <v>1.0756766912565611E-2</v>
      </c>
      <c r="AO1499" s="33">
        <v>5.5614807082300058E-4</v>
      </c>
    </row>
    <row r="1500" spans="39:41" x14ac:dyDescent="0.25">
      <c r="AM1500" s="2">
        <v>1497</v>
      </c>
      <c r="AN1500" s="33">
        <v>1.2463239571512078E-2</v>
      </c>
      <c r="AO1500" s="33">
        <v>1.0236886238220917E-3</v>
      </c>
    </row>
    <row r="1501" spans="39:41" x14ac:dyDescent="0.25">
      <c r="AM1501" s="2">
        <v>1498</v>
      </c>
      <c r="AN1501" s="33">
        <v>1.0037189935212038E-2</v>
      </c>
      <c r="AO1501" s="33">
        <v>6.0318482562046088E-4</v>
      </c>
    </row>
    <row r="1502" spans="39:41" x14ac:dyDescent="0.25">
      <c r="AM1502" s="2">
        <v>1499</v>
      </c>
      <c r="AN1502" s="33">
        <v>1.073310794364834E-2</v>
      </c>
      <c r="AO1502" s="33">
        <v>7.4326445190921273E-4</v>
      </c>
    </row>
    <row r="1503" spans="39:41" x14ac:dyDescent="0.25">
      <c r="AM1503" s="2">
        <v>1500</v>
      </c>
      <c r="AN1503" s="33">
        <v>1.0048904085436241E-2</v>
      </c>
      <c r="AO1503" s="33">
        <v>5.7813865100638494E-4</v>
      </c>
    </row>
    <row r="1504" spans="39:41" x14ac:dyDescent="0.25">
      <c r="AM1504" s="2">
        <v>1501</v>
      </c>
      <c r="AN1504" s="33">
        <v>1.1686830994516496E-2</v>
      </c>
      <c r="AO1504" s="33">
        <v>9.5568547746214833E-4</v>
      </c>
    </row>
    <row r="1505" spans="39:41" x14ac:dyDescent="0.25">
      <c r="AM1505" s="2">
        <v>1502</v>
      </c>
      <c r="AN1505" s="33">
        <v>8.9983553005063312E-3</v>
      </c>
      <c r="AO1505" s="33">
        <v>7.7007769769945743E-4</v>
      </c>
    </row>
    <row r="1506" spans="39:41" x14ac:dyDescent="0.25">
      <c r="AM1506" s="2">
        <v>1503</v>
      </c>
      <c r="AN1506" s="33">
        <v>8.6994046110120214E-3</v>
      </c>
      <c r="AO1506" s="33">
        <v>5.8315883272169321E-4</v>
      </c>
    </row>
    <row r="1507" spans="39:41" x14ac:dyDescent="0.25">
      <c r="AM1507" s="2">
        <v>1504</v>
      </c>
      <c r="AN1507" s="33">
        <v>8.8644182454644758E-3</v>
      </c>
      <c r="AO1507" s="33">
        <v>5.4465399641189318E-4</v>
      </c>
    </row>
    <row r="1508" spans="39:41" x14ac:dyDescent="0.25">
      <c r="AM1508" s="2">
        <v>1505</v>
      </c>
      <c r="AN1508" s="33">
        <v>1.0684693537320747E-2</v>
      </c>
      <c r="AO1508" s="33">
        <v>1.0352564553792443E-3</v>
      </c>
    </row>
    <row r="1509" spans="39:41" x14ac:dyDescent="0.25">
      <c r="AM1509" s="2">
        <v>1506</v>
      </c>
      <c r="AN1509" s="33">
        <v>1.2766817399964485E-2</v>
      </c>
      <c r="AO1509" s="33">
        <v>1.0882435961307889E-3</v>
      </c>
    </row>
    <row r="1510" spans="39:41" x14ac:dyDescent="0.25">
      <c r="AM1510" s="2">
        <v>1507</v>
      </c>
      <c r="AN1510" s="33">
        <v>1.178642504107804E-2</v>
      </c>
      <c r="AO1510" s="33">
        <v>8.9618174039290358E-4</v>
      </c>
    </row>
    <row r="1511" spans="39:41" x14ac:dyDescent="0.25">
      <c r="AM1511" s="2">
        <v>1508</v>
      </c>
      <c r="AN1511" s="33">
        <v>1.1850098925269895E-2</v>
      </c>
      <c r="AO1511" s="33">
        <v>8.4247769844157596E-4</v>
      </c>
    </row>
    <row r="1512" spans="39:41" x14ac:dyDescent="0.25">
      <c r="AM1512" s="2">
        <v>1509</v>
      </c>
      <c r="AN1512" s="33">
        <v>1.1201137542087427E-2</v>
      </c>
      <c r="AO1512" s="33">
        <v>8.2265545719590173E-4</v>
      </c>
    </row>
    <row r="1513" spans="39:41" x14ac:dyDescent="0.25">
      <c r="AM1513" s="2">
        <v>1510</v>
      </c>
      <c r="AN1513" s="33">
        <v>1.4546103909317661E-2</v>
      </c>
      <c r="AO1513" s="33">
        <v>1.2438025688909981E-3</v>
      </c>
    </row>
    <row r="1514" spans="39:41" x14ac:dyDescent="0.25">
      <c r="AM1514" s="2">
        <v>1511</v>
      </c>
      <c r="AN1514" s="33">
        <v>1.1613427206869757E-2</v>
      </c>
      <c r="AO1514" s="33">
        <v>1.0251451731889704E-3</v>
      </c>
    </row>
    <row r="1515" spans="39:41" x14ac:dyDescent="0.25">
      <c r="AM1515" s="2">
        <v>1512</v>
      </c>
      <c r="AN1515" s="33">
        <v>1.3975509392741024E-2</v>
      </c>
      <c r="AO1515" s="33">
        <v>1.318971771095133E-3</v>
      </c>
    </row>
    <row r="1516" spans="39:41" x14ac:dyDescent="0.25">
      <c r="AM1516" s="2">
        <v>1513</v>
      </c>
      <c r="AN1516" s="33">
        <v>1.2813767856281669E-2</v>
      </c>
      <c r="AO1516" s="33">
        <v>1.6768419664459376E-4</v>
      </c>
    </row>
    <row r="1517" spans="39:41" x14ac:dyDescent="0.25">
      <c r="AM1517" s="2">
        <v>1514</v>
      </c>
      <c r="AN1517" s="33">
        <v>1.2036411575008453E-2</v>
      </c>
      <c r="AO1517" s="33">
        <v>1.0702311853377279E-3</v>
      </c>
    </row>
    <row r="1518" spans="39:41" x14ac:dyDescent="0.25">
      <c r="AM1518" s="2">
        <v>1515</v>
      </c>
      <c r="AN1518" s="33">
        <v>1.2592026683947988E-2</v>
      </c>
      <c r="AO1518" s="33">
        <v>8.3506091052179445E-4</v>
      </c>
    </row>
    <row r="1519" spans="39:41" x14ac:dyDescent="0.25">
      <c r="AM1519" s="2">
        <v>1516</v>
      </c>
      <c r="AN1519" s="33">
        <v>1.0110859962182493E-2</v>
      </c>
      <c r="AO1519" s="33">
        <v>7.8160775251172993E-4</v>
      </c>
    </row>
    <row r="1520" spans="39:41" x14ac:dyDescent="0.25">
      <c r="AM1520" s="2">
        <v>1517</v>
      </c>
      <c r="AN1520" s="33">
        <v>1.1294473404800782E-2</v>
      </c>
      <c r="AO1520" s="33">
        <v>6.3098355603965778E-4</v>
      </c>
    </row>
    <row r="1521" spans="39:41" x14ac:dyDescent="0.25">
      <c r="AM1521" s="2">
        <v>1518</v>
      </c>
      <c r="AN1521" s="33">
        <v>1.1073680508969645E-2</v>
      </c>
      <c r="AO1521" s="33">
        <v>3.7334406513318249E-4</v>
      </c>
    </row>
    <row r="1522" spans="39:41" x14ac:dyDescent="0.25">
      <c r="AM1522" s="2">
        <v>1519</v>
      </c>
      <c r="AN1522" s="33">
        <v>1.0729388940714298E-2</v>
      </c>
      <c r="AO1522" s="33">
        <v>5.2224342707056655E-5</v>
      </c>
    </row>
    <row r="1523" spans="39:41" x14ac:dyDescent="0.25">
      <c r="AM1523" s="2">
        <v>1520</v>
      </c>
      <c r="AN1523" s="33">
        <v>1.134785583735385E-2</v>
      </c>
      <c r="AO1523" s="33">
        <v>9.8335871012172568E-4</v>
      </c>
    </row>
    <row r="1524" spans="39:41" x14ac:dyDescent="0.25">
      <c r="AM1524" s="2">
        <v>1521</v>
      </c>
      <c r="AN1524" s="33">
        <v>1.0300450181382263E-2</v>
      </c>
      <c r="AO1524" s="33">
        <v>5.3077173611043181E-4</v>
      </c>
    </row>
    <row r="1525" spans="39:41" x14ac:dyDescent="0.25">
      <c r="AM1525" s="2">
        <v>1522</v>
      </c>
      <c r="AN1525" s="33">
        <v>1.2204136512484426E-2</v>
      </c>
      <c r="AO1525" s="33">
        <v>1.038275684814181E-3</v>
      </c>
    </row>
    <row r="1526" spans="39:41" x14ac:dyDescent="0.25">
      <c r="AM1526" s="2">
        <v>1523</v>
      </c>
      <c r="AN1526" s="33">
        <v>1.2968343632835612E-2</v>
      </c>
      <c r="AO1526" s="33">
        <v>1.0586548623483739E-3</v>
      </c>
    </row>
    <row r="1527" spans="39:41" x14ac:dyDescent="0.25">
      <c r="AM1527" s="2">
        <v>1524</v>
      </c>
      <c r="AN1527" s="33">
        <v>1.3374460436583134E-2</v>
      </c>
      <c r="AO1527" s="33">
        <v>8.5627507262526516E-4</v>
      </c>
    </row>
    <row r="1528" spans="39:41" x14ac:dyDescent="0.25">
      <c r="AM1528" s="2">
        <v>1525</v>
      </c>
      <c r="AN1528" s="33">
        <v>1.0580010794066752E-2</v>
      </c>
      <c r="AO1528" s="33">
        <v>2.9220079033800896E-4</v>
      </c>
    </row>
    <row r="1529" spans="39:41" x14ac:dyDescent="0.25">
      <c r="AM1529" s="2">
        <v>1526</v>
      </c>
      <c r="AN1529" s="33">
        <v>1.3957142560534447E-2</v>
      </c>
      <c r="AO1529" s="33">
        <v>9.2050548566475316E-4</v>
      </c>
    </row>
    <row r="1530" spans="39:41" x14ac:dyDescent="0.25">
      <c r="AM1530" s="2">
        <v>1527</v>
      </c>
      <c r="AN1530" s="33">
        <v>1.0602915402101796E-2</v>
      </c>
      <c r="AO1530" s="33">
        <v>7.1456680107796311E-4</v>
      </c>
    </row>
    <row r="1531" spans="39:41" x14ac:dyDescent="0.25">
      <c r="AM1531" s="2">
        <v>1528</v>
      </c>
      <c r="AN1531" s="33">
        <v>8.4893647944341063E-3</v>
      </c>
      <c r="AO1531" s="33">
        <v>5.4542315372134529E-4</v>
      </c>
    </row>
    <row r="1532" spans="39:41" x14ac:dyDescent="0.25">
      <c r="AM1532" s="2">
        <v>1529</v>
      </c>
      <c r="AN1532" s="33">
        <v>1.1093802445284408E-2</v>
      </c>
      <c r="AO1532" s="33">
        <v>4.590745776364407E-4</v>
      </c>
    </row>
    <row r="1533" spans="39:41" x14ac:dyDescent="0.25">
      <c r="AM1533" s="2">
        <v>1530</v>
      </c>
      <c r="AN1533" s="33">
        <v>1.232105241451961E-2</v>
      </c>
      <c r="AO1533" s="33">
        <v>8.6248842944880747E-4</v>
      </c>
    </row>
    <row r="1534" spans="39:41" x14ac:dyDescent="0.25">
      <c r="AM1534" s="2">
        <v>1531</v>
      </c>
      <c r="AN1534" s="33">
        <v>1.5813229378699129E-2</v>
      </c>
      <c r="AO1534" s="33">
        <v>1.2866394897037641E-3</v>
      </c>
    </row>
    <row r="1535" spans="39:41" x14ac:dyDescent="0.25">
      <c r="AM1535" s="2">
        <v>1532</v>
      </c>
      <c r="AN1535" s="33">
        <v>1.7479551546419152E-2</v>
      </c>
      <c r="AO1535" s="33">
        <v>1.8010208578821542E-3</v>
      </c>
    </row>
    <row r="1536" spans="39:41" x14ac:dyDescent="0.25">
      <c r="AM1536" s="2">
        <v>1533</v>
      </c>
      <c r="AN1536" s="33">
        <v>1.9301911021562049E-2</v>
      </c>
      <c r="AO1536" s="33">
        <v>1.7859076225855512E-3</v>
      </c>
    </row>
    <row r="1537" spans="39:41" x14ac:dyDescent="0.25">
      <c r="AM1537" s="2">
        <v>1534</v>
      </c>
      <c r="AN1537" s="33">
        <v>1.1535362540375311E-2</v>
      </c>
      <c r="AO1537" s="33">
        <v>4.8690179421609348E-4</v>
      </c>
    </row>
    <row r="1538" spans="39:41" x14ac:dyDescent="0.25">
      <c r="AM1538" s="2">
        <v>1535</v>
      </c>
      <c r="AN1538" s="33">
        <v>1.0263138224756406E-2</v>
      </c>
      <c r="AO1538" s="33">
        <v>4.8990572835152656E-4</v>
      </c>
    </row>
    <row r="1539" spans="39:41" x14ac:dyDescent="0.25">
      <c r="AM1539" s="2">
        <v>1536</v>
      </c>
      <c r="AN1539" s="33">
        <v>1.0183202394240106E-2</v>
      </c>
      <c r="AO1539" s="33">
        <v>7.0067121895878105E-4</v>
      </c>
    </row>
    <row r="1540" spans="39:41" x14ac:dyDescent="0.25">
      <c r="AM1540" s="2">
        <v>1537</v>
      </c>
      <c r="AN1540" s="33">
        <v>1.2788863758643704E-2</v>
      </c>
      <c r="AO1540" s="33">
        <v>9.8608232883974308E-4</v>
      </c>
    </row>
    <row r="1541" spans="39:41" x14ac:dyDescent="0.25">
      <c r="AM1541" s="2">
        <v>1538</v>
      </c>
      <c r="AN1541" s="33">
        <v>1.1901450721195639E-2</v>
      </c>
      <c r="AO1541" s="33">
        <v>8.331946729357233E-4</v>
      </c>
    </row>
    <row r="1542" spans="39:41" x14ac:dyDescent="0.25">
      <c r="AM1542" s="2">
        <v>1539</v>
      </c>
      <c r="AN1542" s="33">
        <v>1.18609731640032E-2</v>
      </c>
      <c r="AO1542" s="33">
        <v>5.4239105081345179E-4</v>
      </c>
    </row>
    <row r="1543" spans="39:41" x14ac:dyDescent="0.25">
      <c r="AM1543" s="2">
        <v>1540</v>
      </c>
      <c r="AN1543" s="33">
        <v>1.1038375129102671E-2</v>
      </c>
      <c r="AO1543" s="33">
        <v>9.2974004469293802E-4</v>
      </c>
    </row>
    <row r="1544" spans="39:41" x14ac:dyDescent="0.25">
      <c r="AM1544" s="2">
        <v>1541</v>
      </c>
      <c r="AN1544" s="33">
        <v>1.1102278661578849E-2</v>
      </c>
      <c r="AO1544" s="33">
        <v>1.5905735450695457E-4</v>
      </c>
    </row>
    <row r="1545" spans="39:41" x14ac:dyDescent="0.25">
      <c r="AM1545" s="2">
        <v>1542</v>
      </c>
      <c r="AN1545" s="33">
        <v>1.2822757971879678E-2</v>
      </c>
      <c r="AO1545" s="33">
        <v>8.9148559008257527E-4</v>
      </c>
    </row>
    <row r="1546" spans="39:41" x14ac:dyDescent="0.25">
      <c r="AM1546" s="2">
        <v>1543</v>
      </c>
      <c r="AN1546" s="33">
        <v>1.0326488328684649E-2</v>
      </c>
      <c r="AO1546" s="33">
        <v>8.909436030731789E-4</v>
      </c>
    </row>
    <row r="1547" spans="39:41" x14ac:dyDescent="0.25">
      <c r="AM1547" s="2">
        <v>1544</v>
      </c>
      <c r="AN1547" s="33">
        <v>1.1338258281862489E-2</v>
      </c>
      <c r="AO1547" s="33">
        <v>3.5552303749002438E-4</v>
      </c>
    </row>
    <row r="1548" spans="39:41" x14ac:dyDescent="0.25">
      <c r="AM1548" s="2">
        <v>1545</v>
      </c>
      <c r="AN1548" s="33">
        <v>9.1340053096686767E-3</v>
      </c>
      <c r="AO1548" s="33">
        <v>6.3261168801839664E-4</v>
      </c>
    </row>
    <row r="1549" spans="39:41" x14ac:dyDescent="0.25">
      <c r="AM1549" s="2">
        <v>1546</v>
      </c>
      <c r="AN1549" s="33">
        <v>1.0945385787861063E-2</v>
      </c>
      <c r="AO1549" s="33">
        <v>5.6923793073949481E-4</v>
      </c>
    </row>
    <row r="1550" spans="39:41" x14ac:dyDescent="0.25">
      <c r="AM1550" s="2">
        <v>1547</v>
      </c>
      <c r="AN1550" s="33">
        <v>1.3842424350716748E-2</v>
      </c>
      <c r="AO1550" s="33">
        <v>8.6011023754955184E-4</v>
      </c>
    </row>
    <row r="1551" spans="39:41" x14ac:dyDescent="0.25">
      <c r="AM1551" s="2">
        <v>1548</v>
      </c>
      <c r="AN1551" s="33">
        <v>1.395200220887005E-2</v>
      </c>
      <c r="AO1551" s="33">
        <v>1.2506467790204269E-3</v>
      </c>
    </row>
    <row r="1552" spans="39:41" x14ac:dyDescent="0.25">
      <c r="AM1552" s="2">
        <v>1549</v>
      </c>
      <c r="AN1552" s="33">
        <v>9.4572568605766748E-3</v>
      </c>
      <c r="AO1552" s="33">
        <v>4.6902585599825235E-4</v>
      </c>
    </row>
    <row r="1553" spans="39:41" x14ac:dyDescent="0.25">
      <c r="AM1553" s="2">
        <v>1550</v>
      </c>
      <c r="AN1553" s="33">
        <v>9.4501939024818644E-3</v>
      </c>
      <c r="AO1553" s="33">
        <v>7.6886276934276477E-4</v>
      </c>
    </row>
    <row r="1554" spans="39:41" x14ac:dyDescent="0.25">
      <c r="AM1554" s="2">
        <v>1551</v>
      </c>
      <c r="AN1554" s="33">
        <v>1.2123763127351321E-2</v>
      </c>
      <c r="AO1554" s="33">
        <v>5.7776036711027661E-4</v>
      </c>
    </row>
    <row r="1555" spans="39:41" x14ac:dyDescent="0.25">
      <c r="AM1555" s="2">
        <v>1552</v>
      </c>
      <c r="AN1555" s="33">
        <v>9.6879917387877202E-3</v>
      </c>
      <c r="AO1555" s="33">
        <v>7.1201402079955735E-4</v>
      </c>
    </row>
    <row r="1556" spans="39:41" x14ac:dyDescent="0.25">
      <c r="AM1556" s="2">
        <v>1553</v>
      </c>
      <c r="AN1556" s="33">
        <v>9.6177509185462542E-3</v>
      </c>
      <c r="AO1556" s="33">
        <v>7.8805807706179619E-4</v>
      </c>
    </row>
    <row r="1557" spans="39:41" x14ac:dyDescent="0.25">
      <c r="AM1557" s="2">
        <v>1554</v>
      </c>
      <c r="AN1557" s="33">
        <v>1.2629068083845476E-2</v>
      </c>
      <c r="AO1557" s="33">
        <v>1.2123357439034321E-3</v>
      </c>
    </row>
    <row r="1558" spans="39:41" x14ac:dyDescent="0.25">
      <c r="AM1558" s="2">
        <v>1555</v>
      </c>
      <c r="AN1558" s="33">
        <v>1.2170633261887366E-2</v>
      </c>
      <c r="AO1558" s="33">
        <v>1.1630015908097079E-3</v>
      </c>
    </row>
    <row r="1559" spans="39:41" x14ac:dyDescent="0.25">
      <c r="AM1559" s="2">
        <v>1556</v>
      </c>
      <c r="AN1559" s="33">
        <v>9.3558588410545401E-3</v>
      </c>
      <c r="AO1559" s="33">
        <v>8.448886139892927E-4</v>
      </c>
    </row>
    <row r="1560" spans="39:41" x14ac:dyDescent="0.25">
      <c r="AM1560" s="2">
        <v>1557</v>
      </c>
      <c r="AN1560" s="33">
        <v>1.3533599490724354E-2</v>
      </c>
      <c r="AO1560" s="33">
        <v>1.1856172002314002E-3</v>
      </c>
    </row>
    <row r="1561" spans="39:41" x14ac:dyDescent="0.25">
      <c r="AM1561" s="2">
        <v>1558</v>
      </c>
      <c r="AN1561" s="33">
        <v>1.0174198626217452E-2</v>
      </c>
      <c r="AO1561" s="33">
        <v>5.2047500917649871E-4</v>
      </c>
    </row>
    <row r="1562" spans="39:41" x14ac:dyDescent="0.25">
      <c r="AM1562" s="2">
        <v>1559</v>
      </c>
      <c r="AN1562" s="33">
        <v>8.5647319806788341E-3</v>
      </c>
      <c r="AO1562" s="33">
        <v>6.5518630503689926E-4</v>
      </c>
    </row>
    <row r="1563" spans="39:41" x14ac:dyDescent="0.25">
      <c r="AM1563" s="2">
        <v>1560</v>
      </c>
      <c r="AN1563" s="33">
        <v>9.0159365582719118E-3</v>
      </c>
      <c r="AO1563" s="33">
        <v>3.7814333848899514E-4</v>
      </c>
    </row>
    <row r="1564" spans="39:41" x14ac:dyDescent="0.25">
      <c r="AM1564" s="2">
        <v>1561</v>
      </c>
      <c r="AN1564" s="33">
        <v>1.5895466585401478E-2</v>
      </c>
      <c r="AO1564" s="33">
        <v>1.1159321960380981E-3</v>
      </c>
    </row>
    <row r="1565" spans="39:41" x14ac:dyDescent="0.25">
      <c r="AM1565" s="2">
        <v>1562</v>
      </c>
      <c r="AN1565" s="33">
        <v>1.0438484802626116E-2</v>
      </c>
      <c r="AO1565" s="33">
        <v>4.9853516835160938E-4</v>
      </c>
    </row>
    <row r="1566" spans="39:41" x14ac:dyDescent="0.25">
      <c r="AM1566" s="2">
        <v>1563</v>
      </c>
      <c r="AN1566" s="33">
        <v>1.1073005977616509E-2</v>
      </c>
      <c r="AO1566" s="33">
        <v>6.4324733381795332E-4</v>
      </c>
    </row>
    <row r="1567" spans="39:41" x14ac:dyDescent="0.25">
      <c r="AM1567" s="2">
        <v>1564</v>
      </c>
      <c r="AN1567" s="33">
        <v>1.4396895300448112E-2</v>
      </c>
      <c r="AO1567" s="33">
        <v>1.3267730035366448E-3</v>
      </c>
    </row>
    <row r="1568" spans="39:41" x14ac:dyDescent="0.25">
      <c r="AM1568" s="2">
        <v>1565</v>
      </c>
      <c r="AN1568" s="33">
        <v>9.9477073111420983E-3</v>
      </c>
      <c r="AO1568" s="33">
        <v>6.8648587672499308E-4</v>
      </c>
    </row>
    <row r="1569" spans="39:41" x14ac:dyDescent="0.25">
      <c r="AM1569" s="2">
        <v>1566</v>
      </c>
      <c r="AN1569" s="33">
        <v>9.8439821105409681E-3</v>
      </c>
      <c r="AO1569" s="33">
        <v>4.203680927144203E-4</v>
      </c>
    </row>
    <row r="1570" spans="39:41" x14ac:dyDescent="0.25">
      <c r="AM1570" s="2">
        <v>1567</v>
      </c>
      <c r="AN1570" s="33">
        <v>1.0270586844316738E-2</v>
      </c>
      <c r="AO1570" s="33">
        <v>7.3779239105795926E-4</v>
      </c>
    </row>
    <row r="1571" spans="39:41" x14ac:dyDescent="0.25">
      <c r="AM1571" s="2">
        <v>1568</v>
      </c>
      <c r="AN1571" s="33">
        <v>1.2606689337733712E-2</v>
      </c>
      <c r="AO1571" s="33">
        <v>9.6001888434253603E-4</v>
      </c>
    </row>
    <row r="1572" spans="39:41" x14ac:dyDescent="0.25">
      <c r="AM1572" s="2">
        <v>1569</v>
      </c>
      <c r="AN1572" s="33">
        <v>1.113103518572385E-2</v>
      </c>
      <c r="AO1572" s="33">
        <v>8.5763780020649283E-4</v>
      </c>
    </row>
    <row r="1573" spans="39:41" x14ac:dyDescent="0.25">
      <c r="AM1573" s="2">
        <v>1570</v>
      </c>
      <c r="AN1573" s="33">
        <v>1.2169596491187588E-2</v>
      </c>
      <c r="AO1573" s="33">
        <v>1.2251525538990037E-3</v>
      </c>
    </row>
    <row r="1574" spans="39:41" x14ac:dyDescent="0.25">
      <c r="AM1574" s="2">
        <v>1571</v>
      </c>
      <c r="AN1574" s="33">
        <v>9.2175856588086053E-3</v>
      </c>
      <c r="AO1574" s="33">
        <v>3.4817119382625581E-4</v>
      </c>
    </row>
    <row r="1575" spans="39:41" x14ac:dyDescent="0.25">
      <c r="AM1575" s="2">
        <v>1572</v>
      </c>
      <c r="AN1575" s="33">
        <v>1.2317646832071228E-2</v>
      </c>
      <c r="AO1575" s="33">
        <v>8.9615399853699214E-4</v>
      </c>
    </row>
    <row r="1576" spans="39:41" x14ac:dyDescent="0.25">
      <c r="AM1576" s="2">
        <v>1573</v>
      </c>
      <c r="AN1576" s="33">
        <v>8.710555880379835E-3</v>
      </c>
      <c r="AO1576" s="33">
        <v>5.976202209017319E-4</v>
      </c>
    </row>
    <row r="1577" spans="39:41" x14ac:dyDescent="0.25">
      <c r="AM1577" s="2">
        <v>1574</v>
      </c>
      <c r="AN1577" s="33">
        <v>1.1508611465236733E-2</v>
      </c>
      <c r="AO1577" s="33">
        <v>7.9127482604169123E-4</v>
      </c>
    </row>
    <row r="1578" spans="39:41" x14ac:dyDescent="0.25">
      <c r="AM1578" s="2">
        <v>1575</v>
      </c>
      <c r="AN1578" s="33">
        <v>1.0841569918897568E-2</v>
      </c>
      <c r="AO1578" s="33">
        <v>9.5088974640632109E-4</v>
      </c>
    </row>
    <row r="1579" spans="39:41" x14ac:dyDescent="0.25">
      <c r="AM1579" s="2">
        <v>1576</v>
      </c>
      <c r="AN1579" s="33">
        <v>9.0648199249676754E-3</v>
      </c>
      <c r="AO1579" s="33">
        <v>2.0539897878875583E-4</v>
      </c>
    </row>
    <row r="1580" spans="39:41" x14ac:dyDescent="0.25">
      <c r="AM1580" s="2">
        <v>1577</v>
      </c>
      <c r="AN1580" s="33">
        <v>1.8418266370624704E-2</v>
      </c>
      <c r="AO1580" s="33">
        <v>1.6945795628286655E-3</v>
      </c>
    </row>
    <row r="1581" spans="39:41" x14ac:dyDescent="0.25">
      <c r="AM1581" s="2">
        <v>1578</v>
      </c>
      <c r="AN1581" s="33">
        <v>8.0616481644393886E-3</v>
      </c>
      <c r="AO1581" s="33">
        <v>2.766985730913421E-4</v>
      </c>
    </row>
    <row r="1582" spans="39:41" x14ac:dyDescent="0.25">
      <c r="AM1582" s="2">
        <v>1579</v>
      </c>
      <c r="AN1582" s="33">
        <v>1.2204470085172607E-2</v>
      </c>
      <c r="AO1582" s="33">
        <v>6.5150109787858509E-4</v>
      </c>
    </row>
    <row r="1583" spans="39:41" x14ac:dyDescent="0.25">
      <c r="AM1583" s="2">
        <v>1580</v>
      </c>
      <c r="AN1583" s="33">
        <v>1.0554439043090167E-2</v>
      </c>
      <c r="AO1583" s="33">
        <v>6.4335836241224205E-4</v>
      </c>
    </row>
    <row r="1584" spans="39:41" x14ac:dyDescent="0.25">
      <c r="AM1584" s="2">
        <v>1581</v>
      </c>
      <c r="AN1584" s="33">
        <v>8.2911381959508128E-3</v>
      </c>
      <c r="AO1584" s="33">
        <v>8.6821147445555983E-4</v>
      </c>
    </row>
    <row r="1585" spans="39:41" x14ac:dyDescent="0.25">
      <c r="AM1585" s="2">
        <v>1582</v>
      </c>
      <c r="AN1585" s="33">
        <v>8.9131148038545695E-3</v>
      </c>
      <c r="AO1585" s="33">
        <v>3.9428616413172773E-4</v>
      </c>
    </row>
    <row r="1586" spans="39:41" x14ac:dyDescent="0.25">
      <c r="AM1586" s="2">
        <v>1583</v>
      </c>
      <c r="AN1586" s="33">
        <v>1.3489594954267665E-2</v>
      </c>
      <c r="AO1586" s="33">
        <v>1.0482471172816716E-3</v>
      </c>
    </row>
    <row r="1587" spans="39:41" x14ac:dyDescent="0.25">
      <c r="AM1587" s="2">
        <v>1584</v>
      </c>
      <c r="AN1587" s="33">
        <v>1.7356348092606212E-2</v>
      </c>
      <c r="AO1587" s="33">
        <v>1.0425633217587241E-3</v>
      </c>
    </row>
    <row r="1588" spans="39:41" x14ac:dyDescent="0.25">
      <c r="AM1588" s="2">
        <v>1585</v>
      </c>
      <c r="AN1588" s="33">
        <v>1.0572149556006728E-2</v>
      </c>
      <c r="AO1588" s="33">
        <v>1.0192415948239424E-3</v>
      </c>
    </row>
    <row r="1589" spans="39:41" x14ac:dyDescent="0.25">
      <c r="AM1589" s="2">
        <v>1586</v>
      </c>
      <c r="AN1589" s="33">
        <v>9.7920437097934292E-3</v>
      </c>
      <c r="AO1589" s="33">
        <v>3.3409187757236857E-4</v>
      </c>
    </row>
    <row r="1590" spans="39:41" x14ac:dyDescent="0.25">
      <c r="AM1590" s="2">
        <v>1587</v>
      </c>
      <c r="AN1590" s="33">
        <v>1.1196949435131482E-2</v>
      </c>
      <c r="AO1590" s="33">
        <v>8.5353148989798268E-4</v>
      </c>
    </row>
    <row r="1591" spans="39:41" x14ac:dyDescent="0.25">
      <c r="AM1591" s="2">
        <v>1588</v>
      </c>
      <c r="AN1591" s="33">
        <v>1.1134881023958954E-2</v>
      </c>
      <c r="AO1591" s="33">
        <v>1.0964890161683318E-3</v>
      </c>
    </row>
    <row r="1592" spans="39:41" x14ac:dyDescent="0.25">
      <c r="AM1592" s="2">
        <v>1589</v>
      </c>
      <c r="AN1592" s="33">
        <v>1.0785332876932537E-2</v>
      </c>
      <c r="AO1592" s="33">
        <v>5.2080843659528216E-4</v>
      </c>
    </row>
    <row r="1593" spans="39:41" x14ac:dyDescent="0.25">
      <c r="AM1593" s="2">
        <v>1590</v>
      </c>
      <c r="AN1593" s="33">
        <v>9.1677438651142709E-3</v>
      </c>
      <c r="AO1593" s="33">
        <v>9.2821856831946708E-4</v>
      </c>
    </row>
    <row r="1594" spans="39:41" x14ac:dyDescent="0.25">
      <c r="AM1594" s="2">
        <v>1591</v>
      </c>
      <c r="AN1594" s="33">
        <v>1.426878483242602E-2</v>
      </c>
      <c r="AO1594" s="33">
        <v>8.3862562371635402E-4</v>
      </c>
    </row>
    <row r="1595" spans="39:41" x14ac:dyDescent="0.25">
      <c r="AM1595" s="2">
        <v>1592</v>
      </c>
      <c r="AN1595" s="33">
        <v>1.2055267374955195E-2</v>
      </c>
      <c r="AO1595" s="33">
        <v>1.100760731737326E-3</v>
      </c>
    </row>
    <row r="1596" spans="39:41" x14ac:dyDescent="0.25">
      <c r="AM1596" s="2">
        <v>1593</v>
      </c>
      <c r="AN1596" s="33">
        <v>1.2083014670938598E-2</v>
      </c>
      <c r="AO1596" s="33">
        <v>9.7163488564755212E-4</v>
      </c>
    </row>
    <row r="1597" spans="39:41" x14ac:dyDescent="0.25">
      <c r="AM1597" s="2">
        <v>1594</v>
      </c>
      <c r="AN1597" s="33">
        <v>1.1289834836931701E-2</v>
      </c>
      <c r="AO1597" s="33">
        <v>7.5431332682625383E-4</v>
      </c>
    </row>
    <row r="1598" spans="39:41" x14ac:dyDescent="0.25">
      <c r="AM1598" s="2">
        <v>1595</v>
      </c>
      <c r="AN1598" s="33">
        <v>1.1299906481904855E-2</v>
      </c>
      <c r="AO1598" s="33">
        <v>6.2495205385515885E-4</v>
      </c>
    </row>
    <row r="1599" spans="39:41" x14ac:dyDescent="0.25">
      <c r="AM1599" s="2">
        <v>1596</v>
      </c>
      <c r="AN1599" s="33">
        <v>1.3026037949109106E-2</v>
      </c>
      <c r="AO1599" s="33">
        <v>1.360623077010907E-3</v>
      </c>
    </row>
    <row r="1600" spans="39:41" x14ac:dyDescent="0.25">
      <c r="AM1600" s="2">
        <v>1597</v>
      </c>
      <c r="AN1600" s="33">
        <v>1.5668764372717862E-2</v>
      </c>
      <c r="AO1600" s="33">
        <v>1.3576322156600225E-3</v>
      </c>
    </row>
    <row r="1601" spans="39:41" x14ac:dyDescent="0.25">
      <c r="AM1601" s="2">
        <v>1598</v>
      </c>
      <c r="AN1601" s="33">
        <v>1.1976813030093769E-2</v>
      </c>
      <c r="AO1601" s="33">
        <v>8.1353735889811297E-4</v>
      </c>
    </row>
    <row r="1602" spans="39:41" x14ac:dyDescent="0.25">
      <c r="AM1602" s="2">
        <v>1599</v>
      </c>
      <c r="AN1602" s="33">
        <v>1.8176608383963077E-2</v>
      </c>
      <c r="AO1602" s="33">
        <v>1.3886145631813755E-3</v>
      </c>
    </row>
    <row r="1603" spans="39:41" x14ac:dyDescent="0.25">
      <c r="AM1603" s="2">
        <v>1600</v>
      </c>
      <c r="AN1603" s="33">
        <v>1.1616519759278254E-2</v>
      </c>
      <c r="AO1603" s="33">
        <v>1.1405791112283046E-3</v>
      </c>
    </row>
    <row r="1604" spans="39:41" x14ac:dyDescent="0.25">
      <c r="AM1604" s="2">
        <v>1601</v>
      </c>
      <c r="AN1604" s="33">
        <v>8.723496360534707E-3</v>
      </c>
      <c r="AO1604" s="33">
        <v>7.5416020389834745E-4</v>
      </c>
    </row>
    <row r="1605" spans="39:41" x14ac:dyDescent="0.25">
      <c r="AM1605" s="2">
        <v>1602</v>
      </c>
      <c r="AN1605" s="33">
        <v>1.1282765400367881E-2</v>
      </c>
      <c r="AO1605" s="33">
        <v>4.3144162672208928E-4</v>
      </c>
    </row>
    <row r="1606" spans="39:41" x14ac:dyDescent="0.25">
      <c r="AM1606" s="2">
        <v>1603</v>
      </c>
      <c r="AN1606" s="33">
        <v>9.6787752389369958E-3</v>
      </c>
      <c r="AO1606" s="33">
        <v>9.5816300958076668E-4</v>
      </c>
    </row>
    <row r="1607" spans="39:41" x14ac:dyDescent="0.25">
      <c r="AM1607" s="2">
        <v>1604</v>
      </c>
      <c r="AN1607" s="33">
        <v>9.9749058910967529E-3</v>
      </c>
      <c r="AO1607" s="33">
        <v>3.410587050680572E-4</v>
      </c>
    </row>
    <row r="1608" spans="39:41" x14ac:dyDescent="0.25">
      <c r="AM1608" s="2">
        <v>1605</v>
      </c>
      <c r="AN1608" s="33">
        <v>8.3374094557523686E-3</v>
      </c>
      <c r="AO1608" s="33">
        <v>3.2588115148962031E-4</v>
      </c>
    </row>
    <row r="1609" spans="39:41" x14ac:dyDescent="0.25">
      <c r="AM1609" s="2">
        <v>1606</v>
      </c>
      <c r="AN1609" s="33">
        <v>1.2021420441875744E-2</v>
      </c>
      <c r="AO1609" s="33">
        <v>8.0075831302007855E-4</v>
      </c>
    </row>
    <row r="1610" spans="39:41" x14ac:dyDescent="0.25">
      <c r="AM1610" s="2">
        <v>1607</v>
      </c>
      <c r="AN1610" s="33">
        <v>1.3848515043462083E-2</v>
      </c>
      <c r="AO1610" s="33">
        <v>9.7028141065984915E-4</v>
      </c>
    </row>
    <row r="1611" spans="39:41" x14ac:dyDescent="0.25">
      <c r="AM1611" s="2">
        <v>1608</v>
      </c>
      <c r="AN1611" s="33">
        <v>9.7281591970035768E-3</v>
      </c>
      <c r="AO1611" s="33">
        <v>4.6291813868202923E-4</v>
      </c>
    </row>
    <row r="1612" spans="39:41" x14ac:dyDescent="0.25">
      <c r="AM1612" s="2">
        <v>1609</v>
      </c>
      <c r="AN1612" s="33">
        <v>1.0406196148005573E-2</v>
      </c>
      <c r="AO1612" s="33">
        <v>6.3629929501762101E-4</v>
      </c>
    </row>
    <row r="1613" spans="39:41" x14ac:dyDescent="0.25">
      <c r="AM1613" s="2">
        <v>1610</v>
      </c>
      <c r="AN1613" s="33">
        <v>1.3571881637917154E-2</v>
      </c>
      <c r="AO1613" s="33">
        <v>1.3183083235644457E-3</v>
      </c>
    </row>
    <row r="1614" spans="39:41" x14ac:dyDescent="0.25">
      <c r="AM1614" s="2">
        <v>1611</v>
      </c>
      <c r="AN1614" s="33">
        <v>1.0943771591526864E-2</v>
      </c>
      <c r="AO1614" s="33">
        <v>5.286230616348888E-4</v>
      </c>
    </row>
    <row r="1615" spans="39:41" x14ac:dyDescent="0.25">
      <c r="AM1615" s="2">
        <v>1612</v>
      </c>
      <c r="AN1615" s="33">
        <v>1.049479553514595E-2</v>
      </c>
      <c r="AO1615" s="33">
        <v>6.4451923186823758E-4</v>
      </c>
    </row>
    <row r="1616" spans="39:41" x14ac:dyDescent="0.25">
      <c r="AM1616" s="2">
        <v>1613</v>
      </c>
      <c r="AN1616" s="33">
        <v>1.1566207282337954E-2</v>
      </c>
      <c r="AO1616" s="33">
        <v>1.0067877433326607E-3</v>
      </c>
    </row>
    <row r="1617" spans="39:41" x14ac:dyDescent="0.25">
      <c r="AM1617" s="2">
        <v>1614</v>
      </c>
      <c r="AN1617" s="33">
        <v>1.1141368536422603E-2</v>
      </c>
      <c r="AO1617" s="33">
        <v>7.1092869942729244E-4</v>
      </c>
    </row>
    <row r="1618" spans="39:41" x14ac:dyDescent="0.25">
      <c r="AM1618" s="2">
        <v>1615</v>
      </c>
      <c r="AN1618" s="33">
        <v>1.4816949561286243E-2</v>
      </c>
      <c r="AO1618" s="33">
        <v>1.4215585619581626E-3</v>
      </c>
    </row>
    <row r="1619" spans="39:41" x14ac:dyDescent="0.25">
      <c r="AM1619" s="2">
        <v>1616</v>
      </c>
      <c r="AN1619" s="33">
        <v>1.0299724953659089E-2</v>
      </c>
      <c r="AO1619" s="33">
        <v>7.3173669502960914E-4</v>
      </c>
    </row>
    <row r="1620" spans="39:41" x14ac:dyDescent="0.25">
      <c r="AM1620" s="2">
        <v>1617</v>
      </c>
      <c r="AN1620" s="33">
        <v>8.8005335851463699E-3</v>
      </c>
      <c r="AO1620" s="33">
        <v>4.2828234849402502E-4</v>
      </c>
    </row>
    <row r="1621" spans="39:41" x14ac:dyDescent="0.25">
      <c r="AM1621" s="2">
        <v>1618</v>
      </c>
      <c r="AN1621" s="33">
        <v>9.0801750860470282E-3</v>
      </c>
      <c r="AO1621" s="33">
        <v>6.7497650717854979E-4</v>
      </c>
    </row>
    <row r="1622" spans="39:41" x14ac:dyDescent="0.25">
      <c r="AM1622" s="2">
        <v>1619</v>
      </c>
      <c r="AN1622" s="33">
        <v>1.0702291414699437E-2</v>
      </c>
      <c r="AO1622" s="33">
        <v>9.8844630399992509E-4</v>
      </c>
    </row>
    <row r="1623" spans="39:41" x14ac:dyDescent="0.25">
      <c r="AM1623" s="2">
        <v>1620</v>
      </c>
      <c r="AN1623" s="33">
        <v>1.3705177119959009E-2</v>
      </c>
      <c r="AO1623" s="33">
        <v>8.6189673607871644E-4</v>
      </c>
    </row>
    <row r="1624" spans="39:41" x14ac:dyDescent="0.25">
      <c r="AM1624" s="2">
        <v>1621</v>
      </c>
      <c r="AN1624" s="33">
        <v>1.459369892547964E-2</v>
      </c>
      <c r="AO1624" s="33">
        <v>1.2418135547996921E-3</v>
      </c>
    </row>
    <row r="1625" spans="39:41" x14ac:dyDescent="0.25">
      <c r="AM1625" s="2">
        <v>1622</v>
      </c>
      <c r="AN1625" s="33">
        <v>1.2426785229154995E-2</v>
      </c>
      <c r="AO1625" s="33">
        <v>6.2232643233978212E-4</v>
      </c>
    </row>
    <row r="1626" spans="39:41" x14ac:dyDescent="0.25">
      <c r="AM1626" s="2">
        <v>1623</v>
      </c>
      <c r="AN1626" s="33">
        <v>8.8604357655310273E-3</v>
      </c>
      <c r="AO1626" s="33">
        <v>7.5786591710442261E-4</v>
      </c>
    </row>
    <row r="1627" spans="39:41" x14ac:dyDescent="0.25">
      <c r="AM1627" s="2">
        <v>1624</v>
      </c>
      <c r="AN1627" s="33">
        <v>9.9516276724548741E-3</v>
      </c>
      <c r="AO1627" s="33">
        <v>4.883683803679614E-4</v>
      </c>
    </row>
    <row r="1628" spans="39:41" x14ac:dyDescent="0.25">
      <c r="AM1628" s="2">
        <v>1625</v>
      </c>
      <c r="AN1628" s="33">
        <v>1.1882505794863161E-2</v>
      </c>
      <c r="AO1628" s="33">
        <v>9.3412882714730399E-4</v>
      </c>
    </row>
    <row r="1629" spans="39:41" x14ac:dyDescent="0.25">
      <c r="AM1629" s="2">
        <v>1626</v>
      </c>
      <c r="AN1629" s="33">
        <v>9.5165764156511755E-3</v>
      </c>
      <c r="AO1629" s="33">
        <v>7.6592519946633785E-4</v>
      </c>
    </row>
    <row r="1630" spans="39:41" x14ac:dyDescent="0.25">
      <c r="AM1630" s="2">
        <v>1627</v>
      </c>
      <c r="AN1630" s="33">
        <v>1.2660195102972475E-2</v>
      </c>
      <c r="AO1630" s="33">
        <v>9.0759195693459246E-4</v>
      </c>
    </row>
    <row r="1631" spans="39:41" x14ac:dyDescent="0.25">
      <c r="AM1631" s="2">
        <v>1628</v>
      </c>
      <c r="AN1631" s="33">
        <v>1.1656711943257002E-2</v>
      </c>
      <c r="AO1631" s="33">
        <v>8.0189647659170216E-4</v>
      </c>
    </row>
    <row r="1632" spans="39:41" x14ac:dyDescent="0.25">
      <c r="AM1632" s="2">
        <v>1629</v>
      </c>
      <c r="AN1632" s="33">
        <v>1.1884401041089133E-2</v>
      </c>
      <c r="AO1632" s="33">
        <v>8.3752187034901544E-4</v>
      </c>
    </row>
    <row r="1633" spans="39:41" x14ac:dyDescent="0.25">
      <c r="AM1633" s="2">
        <v>1630</v>
      </c>
      <c r="AN1633" s="33">
        <v>1.3425556746112217E-2</v>
      </c>
      <c r="AO1633" s="33">
        <v>9.8806739067755348E-4</v>
      </c>
    </row>
    <row r="1634" spans="39:41" x14ac:dyDescent="0.25">
      <c r="AM1634" s="2">
        <v>1631</v>
      </c>
      <c r="AN1634" s="33">
        <v>1.2944730490236707E-2</v>
      </c>
      <c r="AO1634" s="33">
        <v>1.1427736885457169E-3</v>
      </c>
    </row>
    <row r="1635" spans="39:41" x14ac:dyDescent="0.25">
      <c r="AM1635" s="2">
        <v>1632</v>
      </c>
      <c r="AN1635" s="33">
        <v>1.2427013809593365E-2</v>
      </c>
      <c r="AO1635" s="33">
        <v>9.8708933119532813E-4</v>
      </c>
    </row>
    <row r="1636" spans="39:41" x14ac:dyDescent="0.25">
      <c r="AM1636" s="2">
        <v>1633</v>
      </c>
      <c r="AN1636" s="33">
        <v>1.3186612341673506E-2</v>
      </c>
      <c r="AO1636" s="33">
        <v>1.174130499707683E-3</v>
      </c>
    </row>
    <row r="1637" spans="39:41" x14ac:dyDescent="0.25">
      <c r="AM1637" s="2">
        <v>1634</v>
      </c>
      <c r="AN1637" s="33">
        <v>8.7167445391102879E-3</v>
      </c>
      <c r="AO1637" s="33">
        <v>7.8811845463492029E-4</v>
      </c>
    </row>
    <row r="1638" spans="39:41" x14ac:dyDescent="0.25">
      <c r="AM1638" s="2">
        <v>1635</v>
      </c>
      <c r="AN1638" s="33">
        <v>1.201883060380347E-2</v>
      </c>
      <c r="AO1638" s="33">
        <v>6.58336592252836E-4</v>
      </c>
    </row>
    <row r="1639" spans="39:41" x14ac:dyDescent="0.25">
      <c r="AM1639" s="2">
        <v>1636</v>
      </c>
      <c r="AN1639" s="33">
        <v>1.2778620000558747E-2</v>
      </c>
      <c r="AO1639" s="33">
        <v>1.0583520745169636E-3</v>
      </c>
    </row>
    <row r="1640" spans="39:41" x14ac:dyDescent="0.25">
      <c r="AM1640" s="2">
        <v>1637</v>
      </c>
      <c r="AN1640" s="33">
        <v>1.1629617413973403E-2</v>
      </c>
      <c r="AO1640" s="33">
        <v>6.1019645307354908E-4</v>
      </c>
    </row>
    <row r="1641" spans="39:41" x14ac:dyDescent="0.25">
      <c r="AM1641" s="2">
        <v>1638</v>
      </c>
      <c r="AN1641" s="33">
        <v>1.0687219723264946E-2</v>
      </c>
      <c r="AO1641" s="33">
        <v>6.9085784128342315E-4</v>
      </c>
    </row>
    <row r="1642" spans="39:41" x14ac:dyDescent="0.25">
      <c r="AM1642" s="2">
        <v>1639</v>
      </c>
      <c r="AN1642" s="33">
        <v>8.5402688598266718E-3</v>
      </c>
      <c r="AO1642" s="33">
        <v>5.4656186369024171E-4</v>
      </c>
    </row>
    <row r="1643" spans="39:41" x14ac:dyDescent="0.25">
      <c r="AM1643" s="2">
        <v>1640</v>
      </c>
      <c r="AN1643" s="33">
        <v>1.2760661571727613E-2</v>
      </c>
      <c r="AO1643" s="33">
        <v>1.1852210727858765E-3</v>
      </c>
    </row>
    <row r="1644" spans="39:41" x14ac:dyDescent="0.25">
      <c r="AM1644" s="2">
        <v>1641</v>
      </c>
      <c r="AN1644" s="33">
        <v>1.0219621349185229E-2</v>
      </c>
      <c r="AO1644" s="33">
        <v>8.9505544984277432E-4</v>
      </c>
    </row>
    <row r="1645" spans="39:41" x14ac:dyDescent="0.25">
      <c r="AM1645" s="2">
        <v>1642</v>
      </c>
      <c r="AN1645" s="33">
        <v>1.0335913165251936E-2</v>
      </c>
      <c r="AO1645" s="33">
        <v>9.36483951635885E-4</v>
      </c>
    </row>
    <row r="1646" spans="39:41" x14ac:dyDescent="0.25">
      <c r="AM1646" s="2">
        <v>1643</v>
      </c>
      <c r="AN1646" s="33">
        <v>1.582735967398996E-2</v>
      </c>
      <c r="AO1646" s="33">
        <v>5.9119719928480547E-4</v>
      </c>
    </row>
    <row r="1647" spans="39:41" x14ac:dyDescent="0.25">
      <c r="AM1647" s="2">
        <v>1644</v>
      </c>
      <c r="AN1647" s="33">
        <v>1.032705901049266E-2</v>
      </c>
      <c r="AO1647" s="33">
        <v>8.327575447292689E-4</v>
      </c>
    </row>
    <row r="1648" spans="39:41" x14ac:dyDescent="0.25">
      <c r="AM1648" s="2">
        <v>1645</v>
      </c>
      <c r="AN1648" s="33">
        <v>1.0432842066557001E-2</v>
      </c>
      <c r="AO1648" s="33">
        <v>7.7459020574921825E-4</v>
      </c>
    </row>
    <row r="1649" spans="39:41" x14ac:dyDescent="0.25">
      <c r="AM1649" s="2">
        <v>1646</v>
      </c>
      <c r="AN1649" s="33">
        <v>9.5047970426471538E-3</v>
      </c>
      <c r="AO1649" s="33">
        <v>5.0630392478011787E-4</v>
      </c>
    </row>
    <row r="1650" spans="39:41" x14ac:dyDescent="0.25">
      <c r="AM1650" s="2">
        <v>1647</v>
      </c>
      <c r="AN1650" s="33">
        <v>9.505987956567279E-3</v>
      </c>
      <c r="AO1650" s="33">
        <v>9.3976760480854319E-4</v>
      </c>
    </row>
    <row r="1651" spans="39:41" x14ac:dyDescent="0.25">
      <c r="AM1651" s="2">
        <v>1648</v>
      </c>
      <c r="AN1651" s="33">
        <v>1.0646796337723892E-2</v>
      </c>
      <c r="AO1651" s="33">
        <v>1.0127991386840081E-3</v>
      </c>
    </row>
    <row r="1652" spans="39:41" x14ac:dyDescent="0.25">
      <c r="AM1652" s="2">
        <v>1649</v>
      </c>
      <c r="AN1652" s="33">
        <v>9.9413926736924823E-3</v>
      </c>
      <c r="AO1652" s="33">
        <v>7.1244861793424367E-4</v>
      </c>
    </row>
    <row r="1653" spans="39:41" x14ac:dyDescent="0.25">
      <c r="AM1653" s="2">
        <v>1650</v>
      </c>
      <c r="AN1653" s="33">
        <v>1.1099965221934323E-2</v>
      </c>
      <c r="AO1653" s="33">
        <v>1.1212880123547249E-3</v>
      </c>
    </row>
    <row r="1654" spans="39:41" x14ac:dyDescent="0.25">
      <c r="AM1654" s="2">
        <v>1651</v>
      </c>
      <c r="AN1654" s="33">
        <v>9.9453526343141665E-3</v>
      </c>
      <c r="AO1654" s="33">
        <v>7.6466046838973012E-4</v>
      </c>
    </row>
    <row r="1655" spans="39:41" x14ac:dyDescent="0.25">
      <c r="AM1655" s="2">
        <v>1652</v>
      </c>
      <c r="AN1655" s="33">
        <v>1.2276991360435396E-2</v>
      </c>
      <c r="AO1655" s="33">
        <v>8.242136667682209E-4</v>
      </c>
    </row>
    <row r="1656" spans="39:41" x14ac:dyDescent="0.25">
      <c r="AM1656" s="2">
        <v>1653</v>
      </c>
      <c r="AN1656" s="33">
        <v>1.0731121991469214E-2</v>
      </c>
      <c r="AO1656" s="33">
        <v>8.9347691562528385E-4</v>
      </c>
    </row>
    <row r="1657" spans="39:41" x14ac:dyDescent="0.25">
      <c r="AM1657" s="2">
        <v>1654</v>
      </c>
      <c r="AN1657" s="33">
        <v>1.3324645646223906E-2</v>
      </c>
      <c r="AO1657" s="33">
        <v>7.4803189730999076E-4</v>
      </c>
    </row>
    <row r="1658" spans="39:41" x14ac:dyDescent="0.25">
      <c r="AM1658" s="2">
        <v>1655</v>
      </c>
      <c r="AN1658" s="33">
        <v>1.1883626555794573E-2</v>
      </c>
      <c r="AO1658" s="33">
        <v>8.2338952671211208E-4</v>
      </c>
    </row>
    <row r="1659" spans="39:41" x14ac:dyDescent="0.25">
      <c r="AM1659" s="2">
        <v>1656</v>
      </c>
      <c r="AN1659" s="33">
        <v>1.3572907625730503E-2</v>
      </c>
      <c r="AO1659" s="33">
        <v>1.3042355743950083E-3</v>
      </c>
    </row>
    <row r="1660" spans="39:41" x14ac:dyDescent="0.25">
      <c r="AM1660" s="2">
        <v>1657</v>
      </c>
      <c r="AN1660" s="33">
        <v>1.0165732792439475E-2</v>
      </c>
      <c r="AO1660" s="33">
        <v>5.7362112065237683E-4</v>
      </c>
    </row>
    <row r="1661" spans="39:41" x14ac:dyDescent="0.25">
      <c r="AM1661" s="2">
        <v>1658</v>
      </c>
      <c r="AN1661" s="33">
        <v>1.2329329668534115E-2</v>
      </c>
      <c r="AO1661" s="33">
        <v>1.0352446305097267E-3</v>
      </c>
    </row>
    <row r="1662" spans="39:41" x14ac:dyDescent="0.25">
      <c r="AM1662" s="2">
        <v>1659</v>
      </c>
      <c r="AN1662" s="33">
        <v>1.1713535958506462E-2</v>
      </c>
      <c r="AO1662" s="33">
        <v>9.3465543846133294E-4</v>
      </c>
    </row>
    <row r="1663" spans="39:41" x14ac:dyDescent="0.25">
      <c r="AM1663" s="2">
        <v>1660</v>
      </c>
      <c r="AN1663" s="33">
        <v>1.3597584321072526E-2</v>
      </c>
      <c r="AO1663" s="33">
        <v>1.0549706188343192E-3</v>
      </c>
    </row>
    <row r="1664" spans="39:41" x14ac:dyDescent="0.25">
      <c r="AM1664" s="2">
        <v>1661</v>
      </c>
      <c r="AN1664" s="33">
        <v>1.2350885642007649E-2</v>
      </c>
      <c r="AO1664" s="33">
        <v>8.9739883378838121E-4</v>
      </c>
    </row>
    <row r="1665" spans="39:41" x14ac:dyDescent="0.25">
      <c r="AM1665" s="2">
        <v>1662</v>
      </c>
      <c r="AN1665" s="33">
        <v>1.5177616799869962E-2</v>
      </c>
      <c r="AO1665" s="33">
        <v>9.3136485722949015E-4</v>
      </c>
    </row>
    <row r="1666" spans="39:41" x14ac:dyDescent="0.25">
      <c r="AM1666" s="2">
        <v>1663</v>
      </c>
      <c r="AN1666" s="33">
        <v>1.1553853507867971E-2</v>
      </c>
      <c r="AO1666" s="33">
        <v>1.109433877216805E-3</v>
      </c>
    </row>
    <row r="1667" spans="39:41" x14ac:dyDescent="0.25">
      <c r="AM1667" s="2">
        <v>1664</v>
      </c>
      <c r="AN1667" s="33">
        <v>1.5383330751775488E-2</v>
      </c>
      <c r="AO1667" s="33">
        <v>8.4068429385556701E-4</v>
      </c>
    </row>
    <row r="1668" spans="39:41" x14ac:dyDescent="0.25">
      <c r="AM1668" s="2">
        <v>1665</v>
      </c>
      <c r="AN1668" s="33">
        <v>1.2014434617184282E-2</v>
      </c>
      <c r="AO1668" s="33">
        <v>6.4389078063635562E-4</v>
      </c>
    </row>
    <row r="1669" spans="39:41" x14ac:dyDescent="0.25">
      <c r="AM1669" s="2">
        <v>1666</v>
      </c>
      <c r="AN1669" s="33">
        <v>1.3040163169336601E-2</v>
      </c>
      <c r="AO1669" s="33">
        <v>1.2747890358974546E-3</v>
      </c>
    </row>
    <row r="1670" spans="39:41" x14ac:dyDescent="0.25">
      <c r="AM1670" s="2">
        <v>1667</v>
      </c>
      <c r="AN1670" s="33">
        <v>9.8311234521983506E-3</v>
      </c>
      <c r="AO1670" s="33">
        <v>6.9627182087897443E-4</v>
      </c>
    </row>
    <row r="1671" spans="39:41" x14ac:dyDescent="0.25">
      <c r="AM1671" s="2">
        <v>1668</v>
      </c>
      <c r="AN1671" s="33">
        <v>1.3214161552453987E-2</v>
      </c>
      <c r="AO1671" s="33">
        <v>6.6829192462169724E-4</v>
      </c>
    </row>
    <row r="1672" spans="39:41" x14ac:dyDescent="0.25">
      <c r="AM1672" s="2">
        <v>1669</v>
      </c>
      <c r="AN1672" s="33">
        <v>1.2569793305991376E-2</v>
      </c>
      <c r="AO1672" s="33">
        <v>1.033096465065077E-3</v>
      </c>
    </row>
    <row r="1673" spans="39:41" x14ac:dyDescent="0.25">
      <c r="AM1673" s="2">
        <v>1670</v>
      </c>
      <c r="AN1673" s="33">
        <v>8.6889072489154742E-3</v>
      </c>
      <c r="AO1673" s="33">
        <v>4.2420281781330854E-4</v>
      </c>
    </row>
    <row r="1674" spans="39:41" x14ac:dyDescent="0.25">
      <c r="AM1674" s="2">
        <v>1671</v>
      </c>
      <c r="AN1674" s="33">
        <v>1.1697277466607616E-2</v>
      </c>
      <c r="AO1674" s="33">
        <v>7.6059175944141136E-4</v>
      </c>
    </row>
    <row r="1675" spans="39:41" x14ac:dyDescent="0.25">
      <c r="AM1675" s="2">
        <v>1672</v>
      </c>
      <c r="AN1675" s="33">
        <v>1.1511000854029636E-2</v>
      </c>
      <c r="AO1675" s="33">
        <v>4.3701428979492444E-4</v>
      </c>
    </row>
    <row r="1676" spans="39:41" x14ac:dyDescent="0.25">
      <c r="AM1676" s="2">
        <v>1673</v>
      </c>
      <c r="AN1676" s="33">
        <v>1.2725403750557944E-2</v>
      </c>
      <c r="AO1676" s="33">
        <v>6.6152016941396752E-4</v>
      </c>
    </row>
    <row r="1677" spans="39:41" x14ac:dyDescent="0.25">
      <c r="AM1677" s="2">
        <v>1674</v>
      </c>
      <c r="AN1677" s="33">
        <v>1.3928115352435485E-2</v>
      </c>
      <c r="AO1677" s="33">
        <v>1.1985928350195518E-3</v>
      </c>
    </row>
    <row r="1678" spans="39:41" x14ac:dyDescent="0.25">
      <c r="AM1678" s="2">
        <v>1675</v>
      </c>
      <c r="AN1678" s="33">
        <v>1.0165612607631607E-2</v>
      </c>
      <c r="AO1678" s="33">
        <v>9.6889197314948086E-4</v>
      </c>
    </row>
    <row r="1679" spans="39:41" x14ac:dyDescent="0.25">
      <c r="AM1679" s="2">
        <v>1676</v>
      </c>
      <c r="AN1679" s="33">
        <v>1.6916263161198077E-2</v>
      </c>
      <c r="AO1679" s="33">
        <v>1.357504134532153E-3</v>
      </c>
    </row>
    <row r="1680" spans="39:41" x14ac:dyDescent="0.25">
      <c r="AM1680" s="2">
        <v>1677</v>
      </c>
      <c r="AN1680" s="33">
        <v>1.0313244315077359E-2</v>
      </c>
      <c r="AO1680" s="33">
        <v>4.2853674121658218E-4</v>
      </c>
    </row>
    <row r="1681" spans="39:41" x14ac:dyDescent="0.25">
      <c r="AM1681" s="2">
        <v>1678</v>
      </c>
      <c r="AN1681" s="33">
        <v>8.6288288449206437E-3</v>
      </c>
      <c r="AO1681" s="33">
        <v>5.3720680689585919E-4</v>
      </c>
    </row>
    <row r="1682" spans="39:41" x14ac:dyDescent="0.25">
      <c r="AM1682" s="2">
        <v>1679</v>
      </c>
      <c r="AN1682" s="33">
        <v>1.413002091057983E-2</v>
      </c>
      <c r="AO1682" s="33">
        <v>1.0778104746296225E-3</v>
      </c>
    </row>
    <row r="1683" spans="39:41" x14ac:dyDescent="0.25">
      <c r="AM1683" s="2">
        <v>1680</v>
      </c>
      <c r="AN1683" s="33">
        <v>7.2661354606490432E-3</v>
      </c>
      <c r="AO1683" s="33">
        <v>5.5025063504613619E-4</v>
      </c>
    </row>
    <row r="1684" spans="39:41" x14ac:dyDescent="0.25">
      <c r="AM1684" s="2">
        <v>1681</v>
      </c>
      <c r="AN1684" s="33">
        <v>1.4327055043261148E-2</v>
      </c>
      <c r="AO1684" s="33">
        <v>1.0980580906363722E-3</v>
      </c>
    </row>
    <row r="1685" spans="39:41" x14ac:dyDescent="0.25">
      <c r="AM1685" s="2">
        <v>1682</v>
      </c>
      <c r="AN1685" s="33">
        <v>9.6567164160239367E-3</v>
      </c>
      <c r="AO1685" s="33">
        <v>5.0887690476696817E-4</v>
      </c>
    </row>
    <row r="1686" spans="39:41" x14ac:dyDescent="0.25">
      <c r="AM1686" s="2">
        <v>1683</v>
      </c>
      <c r="AN1686" s="33">
        <v>1.4064090502446992E-2</v>
      </c>
      <c r="AO1686" s="33">
        <v>1.0207929156900767E-3</v>
      </c>
    </row>
    <row r="1687" spans="39:41" x14ac:dyDescent="0.25">
      <c r="AM1687" s="2">
        <v>1684</v>
      </c>
      <c r="AN1687" s="33">
        <v>1.2280563803491625E-2</v>
      </c>
      <c r="AO1687" s="33">
        <v>9.1502872240720829E-4</v>
      </c>
    </row>
    <row r="1688" spans="39:41" x14ac:dyDescent="0.25">
      <c r="AM1688" s="2">
        <v>1685</v>
      </c>
      <c r="AN1688" s="33">
        <v>1.0754789412635076E-2</v>
      </c>
      <c r="AO1688" s="33">
        <v>7.9988938756219308E-4</v>
      </c>
    </row>
    <row r="1689" spans="39:41" x14ac:dyDescent="0.25">
      <c r="AM1689" s="2">
        <v>1686</v>
      </c>
      <c r="AN1689" s="33">
        <v>1.3058155647778203E-2</v>
      </c>
      <c r="AO1689" s="33">
        <v>1.0027992092403379E-3</v>
      </c>
    </row>
    <row r="1690" spans="39:41" x14ac:dyDescent="0.25">
      <c r="AM1690" s="2">
        <v>1687</v>
      </c>
      <c r="AN1690" s="33">
        <v>1.4774413517527158E-2</v>
      </c>
      <c r="AO1690" s="33">
        <v>1.3047964298663849E-3</v>
      </c>
    </row>
    <row r="1691" spans="39:41" x14ac:dyDescent="0.25">
      <c r="AM1691" s="2">
        <v>1688</v>
      </c>
      <c r="AN1691" s="33">
        <v>1.0542824667067217E-2</v>
      </c>
      <c r="AO1691" s="33">
        <v>5.5379631753764544E-4</v>
      </c>
    </row>
    <row r="1692" spans="39:41" x14ac:dyDescent="0.25">
      <c r="AM1692" s="2">
        <v>1689</v>
      </c>
      <c r="AN1692" s="33">
        <v>8.7043066702884083E-3</v>
      </c>
      <c r="AO1692" s="33">
        <v>6.9325261988647819E-4</v>
      </c>
    </row>
    <row r="1693" spans="39:41" x14ac:dyDescent="0.25">
      <c r="AM1693" s="2">
        <v>1690</v>
      </c>
      <c r="AN1693" s="33">
        <v>1.1748611288579128E-2</v>
      </c>
      <c r="AO1693" s="33">
        <v>9.4731605625267886E-4</v>
      </c>
    </row>
    <row r="1694" spans="39:41" x14ac:dyDescent="0.25">
      <c r="AM1694" s="2">
        <v>1691</v>
      </c>
      <c r="AN1694" s="33">
        <v>1.1380058079795094E-2</v>
      </c>
      <c r="AO1694" s="33">
        <v>1.0413587560415517E-3</v>
      </c>
    </row>
    <row r="1695" spans="39:41" x14ac:dyDescent="0.25">
      <c r="AM1695" s="2">
        <v>1692</v>
      </c>
      <c r="AN1695" s="33">
        <v>9.534342867398864E-3</v>
      </c>
      <c r="AO1695" s="33">
        <v>6.815730066709807E-4</v>
      </c>
    </row>
    <row r="1696" spans="39:41" x14ac:dyDescent="0.25">
      <c r="AM1696" s="2">
        <v>1693</v>
      </c>
      <c r="AN1696" s="33">
        <v>1.5935222034790225E-2</v>
      </c>
      <c r="AO1696" s="33">
        <v>1.2067451936290841E-3</v>
      </c>
    </row>
    <row r="1697" spans="39:41" x14ac:dyDescent="0.25">
      <c r="AM1697" s="2">
        <v>1694</v>
      </c>
      <c r="AN1697" s="33">
        <v>1.1610848622905748E-2</v>
      </c>
      <c r="AO1697" s="33">
        <v>9.9004239151458985E-4</v>
      </c>
    </row>
    <row r="1698" spans="39:41" x14ac:dyDescent="0.25">
      <c r="AM1698" s="2">
        <v>1695</v>
      </c>
      <c r="AN1698" s="33">
        <v>9.7135367636384303E-3</v>
      </c>
      <c r="AO1698" s="33">
        <v>5.0704456990455606E-4</v>
      </c>
    </row>
    <row r="1699" spans="39:41" x14ac:dyDescent="0.25">
      <c r="AM1699" s="2">
        <v>1696</v>
      </c>
      <c r="AN1699" s="33">
        <v>1.1993394617718126E-2</v>
      </c>
      <c r="AO1699" s="33">
        <v>8.2563728362663319E-4</v>
      </c>
    </row>
    <row r="1700" spans="39:41" x14ac:dyDescent="0.25">
      <c r="AM1700" s="2">
        <v>1697</v>
      </c>
      <c r="AN1700" s="33">
        <v>9.9774351163881333E-3</v>
      </c>
      <c r="AO1700" s="33">
        <v>6.512715733510392E-4</v>
      </c>
    </row>
    <row r="1701" spans="39:41" x14ac:dyDescent="0.25">
      <c r="AM1701" s="2">
        <v>1698</v>
      </c>
      <c r="AN1701" s="33">
        <v>1.0989323797630153E-2</v>
      </c>
      <c r="AO1701" s="33">
        <v>2.560619333282345E-4</v>
      </c>
    </row>
    <row r="1702" spans="39:41" x14ac:dyDescent="0.25">
      <c r="AM1702" s="2">
        <v>1699</v>
      </c>
      <c r="AN1702" s="33">
        <v>1.2091652302833121E-2</v>
      </c>
      <c r="AO1702" s="33">
        <v>8.8381412179903756E-4</v>
      </c>
    </row>
    <row r="1703" spans="39:41" x14ac:dyDescent="0.25">
      <c r="AM1703" s="2">
        <v>1700</v>
      </c>
      <c r="AN1703" s="33">
        <v>9.857453837898834E-3</v>
      </c>
      <c r="AO1703" s="33">
        <v>7.1695876078158277E-4</v>
      </c>
    </row>
    <row r="1704" spans="39:41" x14ac:dyDescent="0.25">
      <c r="AM1704" s="2">
        <v>1701</v>
      </c>
      <c r="AN1704" s="33">
        <v>1.1841478317674086E-2</v>
      </c>
      <c r="AO1704" s="33">
        <v>1.1343977507576879E-3</v>
      </c>
    </row>
    <row r="1705" spans="39:41" x14ac:dyDescent="0.25">
      <c r="AM1705" s="2">
        <v>1702</v>
      </c>
      <c r="AN1705" s="33">
        <v>9.8901927833688931E-3</v>
      </c>
      <c r="AO1705" s="33">
        <v>4.637001812572566E-4</v>
      </c>
    </row>
    <row r="1706" spans="39:41" x14ac:dyDescent="0.25">
      <c r="AM1706" s="2">
        <v>1703</v>
      </c>
      <c r="AN1706" s="33">
        <v>1.3238425883829508E-2</v>
      </c>
      <c r="AO1706" s="33">
        <v>1.0551434546530367E-3</v>
      </c>
    </row>
    <row r="1707" spans="39:41" x14ac:dyDescent="0.25">
      <c r="AM1707" s="2">
        <v>1704</v>
      </c>
      <c r="AN1707" s="33">
        <v>1.2563014813973808E-2</v>
      </c>
      <c r="AO1707" s="33">
        <v>1.1756238767351339E-3</v>
      </c>
    </row>
    <row r="1708" spans="39:41" x14ac:dyDescent="0.25">
      <c r="AM1708" s="2">
        <v>1705</v>
      </c>
      <c r="AN1708" s="33">
        <v>1.0512945609162827E-2</v>
      </c>
      <c r="AO1708" s="33">
        <v>2.5630723137063836E-4</v>
      </c>
    </row>
    <row r="1709" spans="39:41" x14ac:dyDescent="0.25">
      <c r="AM1709" s="2">
        <v>1706</v>
      </c>
      <c r="AN1709" s="33">
        <v>1.3701948810469633E-2</v>
      </c>
      <c r="AO1709" s="33">
        <v>3.3450375094801871E-5</v>
      </c>
    </row>
    <row r="1710" spans="39:41" x14ac:dyDescent="0.25">
      <c r="AM1710" s="2">
        <v>1707</v>
      </c>
      <c r="AN1710" s="33">
        <v>1.1716752427253802E-2</v>
      </c>
      <c r="AO1710" s="33">
        <v>7.5281803979680424E-4</v>
      </c>
    </row>
    <row r="1711" spans="39:41" x14ac:dyDescent="0.25">
      <c r="AM1711" s="2">
        <v>1708</v>
      </c>
      <c r="AN1711" s="33">
        <v>1.4207551547038882E-2</v>
      </c>
      <c r="AO1711" s="33">
        <v>1.3525398254947689E-3</v>
      </c>
    </row>
    <row r="1712" spans="39:41" x14ac:dyDescent="0.25">
      <c r="AM1712" s="2">
        <v>1709</v>
      </c>
      <c r="AN1712" s="33">
        <v>9.3751289205159533E-3</v>
      </c>
      <c r="AO1712" s="33">
        <v>9.2456612236878073E-4</v>
      </c>
    </row>
    <row r="1713" spans="39:41" x14ac:dyDescent="0.25">
      <c r="AM1713" s="2">
        <v>1710</v>
      </c>
      <c r="AN1713" s="33">
        <v>1.1451010685415911E-2</v>
      </c>
      <c r="AO1713" s="33">
        <v>7.7512089119558892E-4</v>
      </c>
    </row>
    <row r="1714" spans="39:41" x14ac:dyDescent="0.25">
      <c r="AM1714" s="2">
        <v>1711</v>
      </c>
      <c r="AN1714" s="33">
        <v>1.0952908732598016E-2</v>
      </c>
      <c r="AO1714" s="33">
        <v>9.5175516908115878E-4</v>
      </c>
    </row>
    <row r="1715" spans="39:41" x14ac:dyDescent="0.25">
      <c r="AM1715" s="2">
        <v>1712</v>
      </c>
      <c r="AN1715" s="33">
        <v>1.1700191887538576E-2</v>
      </c>
      <c r="AO1715" s="33">
        <v>9.3589248664346979E-4</v>
      </c>
    </row>
    <row r="1716" spans="39:41" x14ac:dyDescent="0.25">
      <c r="AM1716" s="2">
        <v>1713</v>
      </c>
      <c r="AN1716" s="33">
        <v>1.111506151183086E-2</v>
      </c>
      <c r="AO1716" s="33">
        <v>4.0926006608486078E-4</v>
      </c>
    </row>
    <row r="1717" spans="39:41" x14ac:dyDescent="0.25">
      <c r="AM1717" s="2">
        <v>1714</v>
      </c>
      <c r="AN1717" s="33">
        <v>1.2617102003706816E-2</v>
      </c>
      <c r="AO1717" s="33">
        <v>1.1342677134180286E-3</v>
      </c>
    </row>
    <row r="1718" spans="39:41" x14ac:dyDescent="0.25">
      <c r="AM1718" s="2">
        <v>1715</v>
      </c>
      <c r="AN1718" s="33">
        <v>1.1504702790828424E-2</v>
      </c>
      <c r="AO1718" s="33">
        <v>8.027352746035278E-4</v>
      </c>
    </row>
    <row r="1719" spans="39:41" x14ac:dyDescent="0.25">
      <c r="AM1719" s="2">
        <v>1716</v>
      </c>
      <c r="AN1719" s="33">
        <v>1.0384979909265431E-2</v>
      </c>
      <c r="AO1719" s="33">
        <v>5.7952920568801855E-4</v>
      </c>
    </row>
    <row r="1720" spans="39:41" x14ac:dyDescent="0.25">
      <c r="AM1720" s="2">
        <v>1717</v>
      </c>
      <c r="AN1720" s="33">
        <v>1.0110626953801789E-2</v>
      </c>
      <c r="AO1720" s="33">
        <v>3.8368394785693065E-4</v>
      </c>
    </row>
    <row r="1721" spans="39:41" x14ac:dyDescent="0.25">
      <c r="AM1721" s="2">
        <v>1718</v>
      </c>
      <c r="AN1721" s="33">
        <v>1.0024489387037861E-2</v>
      </c>
      <c r="AO1721" s="33">
        <v>9.9925091175236775E-4</v>
      </c>
    </row>
    <row r="1722" spans="39:41" x14ac:dyDescent="0.25">
      <c r="AM1722" s="2">
        <v>1719</v>
      </c>
      <c r="AN1722" s="33">
        <v>1.4287417463855159E-2</v>
      </c>
      <c r="AO1722" s="33">
        <v>7.3552574159607708E-4</v>
      </c>
    </row>
    <row r="1723" spans="39:41" x14ac:dyDescent="0.25">
      <c r="AM1723" s="2">
        <v>1720</v>
      </c>
      <c r="AN1723" s="33">
        <v>1.1573841377228025E-2</v>
      </c>
      <c r="AO1723" s="33">
        <v>8.5868941087350649E-4</v>
      </c>
    </row>
    <row r="1724" spans="39:41" x14ac:dyDescent="0.25">
      <c r="AM1724" s="2">
        <v>1721</v>
      </c>
      <c r="AN1724" s="33">
        <v>1.5129137291695493E-2</v>
      </c>
      <c r="AO1724" s="33">
        <v>1.3462659921100182E-3</v>
      </c>
    </row>
    <row r="1725" spans="39:41" x14ac:dyDescent="0.25">
      <c r="AM1725" s="2">
        <v>1722</v>
      </c>
      <c r="AN1725" s="33">
        <v>8.7745083228782297E-3</v>
      </c>
      <c r="AO1725" s="33">
        <v>7.6691268742383131E-4</v>
      </c>
    </row>
    <row r="1726" spans="39:41" x14ac:dyDescent="0.25">
      <c r="AM1726" s="2">
        <v>1723</v>
      </c>
      <c r="AN1726" s="33">
        <v>1.0838148947568771E-2</v>
      </c>
      <c r="AO1726" s="33">
        <v>8.3748053376409904E-4</v>
      </c>
    </row>
    <row r="1727" spans="39:41" x14ac:dyDescent="0.25">
      <c r="AM1727" s="2">
        <v>1724</v>
      </c>
      <c r="AN1727" s="33">
        <v>1.3629501248680396E-2</v>
      </c>
      <c r="AO1727" s="33">
        <v>1.2945102774330989E-3</v>
      </c>
    </row>
    <row r="1728" spans="39:41" x14ac:dyDescent="0.25">
      <c r="AM1728" s="2">
        <v>1725</v>
      </c>
      <c r="AN1728" s="33">
        <v>1.3427393693478781E-2</v>
      </c>
      <c r="AO1728" s="33">
        <v>1.0991207707220011E-3</v>
      </c>
    </row>
    <row r="1729" spans="39:41" x14ac:dyDescent="0.25">
      <c r="AM1729" s="2">
        <v>1726</v>
      </c>
      <c r="AN1729" s="33">
        <v>8.2718170993785704E-3</v>
      </c>
      <c r="AO1729" s="33">
        <v>2.0182068531771058E-4</v>
      </c>
    </row>
    <row r="1730" spans="39:41" x14ac:dyDescent="0.25">
      <c r="AM1730" s="2">
        <v>1727</v>
      </c>
      <c r="AN1730" s="33">
        <v>1.0232894358927359E-2</v>
      </c>
      <c r="AO1730" s="33">
        <v>5.5328586839698533E-4</v>
      </c>
    </row>
    <row r="1731" spans="39:41" x14ac:dyDescent="0.25">
      <c r="AM1731" s="2">
        <v>1728</v>
      </c>
      <c r="AN1731" s="33">
        <v>1.3316435921326886E-2</v>
      </c>
      <c r="AO1731" s="33">
        <v>1.182750013276367E-3</v>
      </c>
    </row>
    <row r="1732" spans="39:41" x14ac:dyDescent="0.25">
      <c r="AM1732" s="2">
        <v>1729</v>
      </c>
      <c r="AN1732" s="33">
        <v>1.1712892858920947E-2</v>
      </c>
      <c r="AO1732" s="33">
        <v>7.4199613460915561E-4</v>
      </c>
    </row>
    <row r="1733" spans="39:41" x14ac:dyDescent="0.25">
      <c r="AM1733" s="2">
        <v>1730</v>
      </c>
      <c r="AN1733" s="33">
        <v>1.0191649496027542E-2</v>
      </c>
      <c r="AO1733" s="33">
        <v>7.4204178109416562E-4</v>
      </c>
    </row>
    <row r="1734" spans="39:41" x14ac:dyDescent="0.25">
      <c r="AM1734" s="2">
        <v>1731</v>
      </c>
      <c r="AN1734" s="33">
        <v>1.0421812862519558E-2</v>
      </c>
      <c r="AO1734" s="33">
        <v>4.0946047219975125E-4</v>
      </c>
    </row>
    <row r="1735" spans="39:41" x14ac:dyDescent="0.25">
      <c r="AM1735" s="2">
        <v>1732</v>
      </c>
      <c r="AN1735" s="33">
        <v>1.1966132018088766E-2</v>
      </c>
      <c r="AO1735" s="33">
        <v>8.0138694992618064E-4</v>
      </c>
    </row>
    <row r="1736" spans="39:41" x14ac:dyDescent="0.25">
      <c r="AM1736" s="2">
        <v>1733</v>
      </c>
      <c r="AN1736" s="33">
        <v>1.6602981440401846E-2</v>
      </c>
      <c r="AO1736" s="33">
        <v>1.4392254890186874E-3</v>
      </c>
    </row>
    <row r="1737" spans="39:41" x14ac:dyDescent="0.25">
      <c r="AM1737" s="2">
        <v>1734</v>
      </c>
      <c r="AN1737" s="33">
        <v>1.257174955830362E-2</v>
      </c>
      <c r="AO1737" s="33">
        <v>9.3138610556189069E-4</v>
      </c>
    </row>
    <row r="1738" spans="39:41" x14ac:dyDescent="0.25">
      <c r="AM1738" s="2">
        <v>1735</v>
      </c>
      <c r="AN1738" s="33">
        <v>1.0671841499736606E-2</v>
      </c>
      <c r="AO1738" s="33">
        <v>8.6955396062819051E-4</v>
      </c>
    </row>
    <row r="1739" spans="39:41" x14ac:dyDescent="0.25">
      <c r="AM1739" s="2">
        <v>1736</v>
      </c>
      <c r="AN1739" s="33">
        <v>1.0321931736771128E-2</v>
      </c>
      <c r="AO1739" s="33">
        <v>4.6467424827159761E-4</v>
      </c>
    </row>
    <row r="1740" spans="39:41" x14ac:dyDescent="0.25">
      <c r="AM1740" s="2">
        <v>1737</v>
      </c>
      <c r="AN1740" s="33">
        <v>1.0425829823715824E-2</v>
      </c>
      <c r="AO1740" s="33">
        <v>6.416599468438409E-4</v>
      </c>
    </row>
    <row r="1741" spans="39:41" x14ac:dyDescent="0.25">
      <c r="AM1741" s="2">
        <v>1738</v>
      </c>
      <c r="AN1741" s="33">
        <v>1.2179730520920588E-2</v>
      </c>
      <c r="AO1741" s="33">
        <v>8.7409561195393953E-4</v>
      </c>
    </row>
    <row r="1742" spans="39:41" x14ac:dyDescent="0.25">
      <c r="AM1742" s="2">
        <v>1739</v>
      </c>
      <c r="AN1742" s="33">
        <v>1.169807735505364E-2</v>
      </c>
      <c r="AO1742" s="33">
        <v>9.9087808816581617E-4</v>
      </c>
    </row>
    <row r="1743" spans="39:41" x14ac:dyDescent="0.25">
      <c r="AM1743" s="2">
        <v>1740</v>
      </c>
      <c r="AN1743" s="33">
        <v>1.1035842724994045E-2</v>
      </c>
      <c r="AO1743" s="33">
        <v>1.1117909091618414E-3</v>
      </c>
    </row>
    <row r="1744" spans="39:41" x14ac:dyDescent="0.25">
      <c r="AM1744" s="2">
        <v>1741</v>
      </c>
      <c r="AN1744" s="33">
        <v>1.0675899272621844E-2</v>
      </c>
      <c r="AO1744" s="33">
        <v>7.6691055005720561E-4</v>
      </c>
    </row>
    <row r="1745" spans="39:41" x14ac:dyDescent="0.25">
      <c r="AM1745" s="2">
        <v>1742</v>
      </c>
      <c r="AN1745" s="33">
        <v>1.0708974121026929E-2</v>
      </c>
      <c r="AO1745" s="33">
        <v>5.452161834027748E-4</v>
      </c>
    </row>
    <row r="1746" spans="39:41" x14ac:dyDescent="0.25">
      <c r="AM1746" s="2">
        <v>1743</v>
      </c>
      <c r="AN1746" s="33">
        <v>1.1055703678299469E-2</v>
      </c>
      <c r="AO1746" s="33">
        <v>1.0134994901810697E-3</v>
      </c>
    </row>
    <row r="1747" spans="39:41" x14ac:dyDescent="0.25">
      <c r="AM1747" s="2">
        <v>1744</v>
      </c>
      <c r="AN1747" s="33">
        <v>1.7947702401561686E-2</v>
      </c>
      <c r="AO1747" s="33">
        <v>1.6564537041874956E-3</v>
      </c>
    </row>
    <row r="1748" spans="39:41" x14ac:dyDescent="0.25">
      <c r="AM1748" s="2">
        <v>1745</v>
      </c>
      <c r="AN1748" s="33">
        <v>1.3926188337136282E-2</v>
      </c>
      <c r="AO1748" s="33">
        <v>1.1549968155147713E-3</v>
      </c>
    </row>
    <row r="1749" spans="39:41" x14ac:dyDescent="0.25">
      <c r="AM1749" s="2">
        <v>1746</v>
      </c>
      <c r="AN1749" s="33">
        <v>8.2927976842049091E-3</v>
      </c>
      <c r="AO1749" s="33">
        <v>6.0592954056492025E-4</v>
      </c>
    </row>
    <row r="1750" spans="39:41" x14ac:dyDescent="0.25">
      <c r="AM1750" s="2">
        <v>1747</v>
      </c>
      <c r="AN1750" s="33">
        <v>1.3022552122524891E-2</v>
      </c>
      <c r="AO1750" s="33">
        <v>9.2669574511869087E-4</v>
      </c>
    </row>
    <row r="1751" spans="39:41" x14ac:dyDescent="0.25">
      <c r="AM1751" s="2">
        <v>1748</v>
      </c>
      <c r="AN1751" s="33">
        <v>1.1441206216977978E-2</v>
      </c>
      <c r="AO1751" s="33">
        <v>1.0458340951505492E-3</v>
      </c>
    </row>
    <row r="1752" spans="39:41" x14ac:dyDescent="0.25">
      <c r="AM1752" s="2">
        <v>1749</v>
      </c>
      <c r="AN1752" s="33">
        <v>1.1883126510448712E-2</v>
      </c>
      <c r="AO1752" s="33">
        <v>1.0492482065012105E-3</v>
      </c>
    </row>
    <row r="1753" spans="39:41" x14ac:dyDescent="0.25">
      <c r="AM1753" s="2">
        <v>1750</v>
      </c>
      <c r="AN1753" s="33">
        <v>1.3517868228524086E-2</v>
      </c>
      <c r="AO1753" s="33">
        <v>8.3781563259943941E-4</v>
      </c>
    </row>
    <row r="1754" spans="39:41" x14ac:dyDescent="0.25">
      <c r="AM1754" s="2">
        <v>1751</v>
      </c>
      <c r="AN1754" s="33">
        <v>1.4099527852597648E-2</v>
      </c>
      <c r="AO1754" s="33">
        <v>1.459123048856218E-3</v>
      </c>
    </row>
    <row r="1755" spans="39:41" x14ac:dyDescent="0.25">
      <c r="AM1755" s="2">
        <v>1752</v>
      </c>
      <c r="AN1755" s="33">
        <v>1.0158842485962393E-2</v>
      </c>
      <c r="AO1755" s="33">
        <v>8.0448277243913514E-4</v>
      </c>
    </row>
    <row r="1756" spans="39:41" x14ac:dyDescent="0.25">
      <c r="AM1756" s="2">
        <v>1753</v>
      </c>
      <c r="AN1756" s="33">
        <v>1.3050736646856758E-2</v>
      </c>
      <c r="AO1756" s="33">
        <v>1.259690155173659E-3</v>
      </c>
    </row>
    <row r="1757" spans="39:41" x14ac:dyDescent="0.25">
      <c r="AM1757" s="2">
        <v>1754</v>
      </c>
      <c r="AN1757" s="33">
        <v>9.1360143134704714E-3</v>
      </c>
      <c r="AO1757" s="33">
        <v>9.0861092532266681E-4</v>
      </c>
    </row>
    <row r="1758" spans="39:41" x14ac:dyDescent="0.25">
      <c r="AM1758" s="2">
        <v>1755</v>
      </c>
      <c r="AN1758" s="33">
        <v>8.6139518648344696E-3</v>
      </c>
      <c r="AO1758" s="33">
        <v>6.7155980614399147E-4</v>
      </c>
    </row>
    <row r="1759" spans="39:41" x14ac:dyDescent="0.25">
      <c r="AM1759" s="2">
        <v>1756</v>
      </c>
      <c r="AN1759" s="33">
        <v>8.5045222969592979E-3</v>
      </c>
      <c r="AO1759" s="33">
        <v>5.3044730119523637E-4</v>
      </c>
    </row>
    <row r="1760" spans="39:41" x14ac:dyDescent="0.25">
      <c r="AM1760" s="2">
        <v>1757</v>
      </c>
      <c r="AN1760" s="33">
        <v>1.1941828210081691E-2</v>
      </c>
      <c r="AO1760" s="33">
        <v>1.0196845467020685E-3</v>
      </c>
    </row>
    <row r="1761" spans="39:41" x14ac:dyDescent="0.25">
      <c r="AM1761" s="2">
        <v>1758</v>
      </c>
      <c r="AN1761" s="33">
        <v>9.5581043086081091E-3</v>
      </c>
      <c r="AO1761" s="33">
        <v>6.8424482871546613E-4</v>
      </c>
    </row>
    <row r="1762" spans="39:41" x14ac:dyDescent="0.25">
      <c r="AM1762" s="2">
        <v>1759</v>
      </c>
      <c r="AN1762" s="33">
        <v>1.3424681680522804E-2</v>
      </c>
      <c r="AO1762" s="33">
        <v>1.2766867866239459E-3</v>
      </c>
    </row>
    <row r="1763" spans="39:41" x14ac:dyDescent="0.25">
      <c r="AM1763" s="2">
        <v>1760</v>
      </c>
      <c r="AN1763" s="33">
        <v>1.2503581925557663E-2</v>
      </c>
      <c r="AO1763" s="33">
        <v>4.1356032319714016E-4</v>
      </c>
    </row>
    <row r="1764" spans="39:41" x14ac:dyDescent="0.25">
      <c r="AM1764" s="2">
        <v>1761</v>
      </c>
      <c r="AN1764" s="33">
        <v>1.1772540188265429E-2</v>
      </c>
      <c r="AO1764" s="33">
        <v>5.6270071363515072E-4</v>
      </c>
    </row>
    <row r="1765" spans="39:41" x14ac:dyDescent="0.25">
      <c r="AM1765" s="2">
        <v>1762</v>
      </c>
      <c r="AN1765" s="33">
        <v>1.4004860911250706E-2</v>
      </c>
      <c r="AO1765" s="33">
        <v>1.1694568770602755E-3</v>
      </c>
    </row>
    <row r="1766" spans="39:41" x14ac:dyDescent="0.25">
      <c r="AM1766" s="2">
        <v>1763</v>
      </c>
      <c r="AN1766" s="33">
        <v>1.1381221309303885E-2</v>
      </c>
      <c r="AO1766" s="33">
        <v>8.6898778259855572E-4</v>
      </c>
    </row>
    <row r="1767" spans="39:41" x14ac:dyDescent="0.25">
      <c r="AM1767" s="2">
        <v>1764</v>
      </c>
      <c r="AN1767" s="33">
        <v>9.0248753123079017E-3</v>
      </c>
      <c r="AO1767" s="33">
        <v>7.7617971268591625E-4</v>
      </c>
    </row>
    <row r="1768" spans="39:41" x14ac:dyDescent="0.25">
      <c r="AM1768" s="2">
        <v>1765</v>
      </c>
      <c r="AN1768" s="33">
        <v>1.1822402785166906E-2</v>
      </c>
      <c r="AO1768" s="33">
        <v>9.6942796408031951E-4</v>
      </c>
    </row>
    <row r="1769" spans="39:41" x14ac:dyDescent="0.25">
      <c r="AM1769" s="2">
        <v>1766</v>
      </c>
      <c r="AN1769" s="33">
        <v>1.1800532711701624E-2</v>
      </c>
      <c r="AO1769" s="33">
        <v>9.2777084523387808E-4</v>
      </c>
    </row>
    <row r="1770" spans="39:41" x14ac:dyDescent="0.25">
      <c r="AM1770" s="2">
        <v>1767</v>
      </c>
      <c r="AN1770" s="33">
        <v>1.394386605736714E-2</v>
      </c>
      <c r="AO1770" s="33">
        <v>1.2561316082190467E-3</v>
      </c>
    </row>
    <row r="1771" spans="39:41" x14ac:dyDescent="0.25">
      <c r="AM1771" s="2">
        <v>1768</v>
      </c>
      <c r="AN1771" s="33">
        <v>1.1213513149620125E-2</v>
      </c>
      <c r="AO1771" s="33">
        <v>8.911825588223737E-4</v>
      </c>
    </row>
    <row r="1772" spans="39:41" x14ac:dyDescent="0.25">
      <c r="AM1772" s="2">
        <v>1769</v>
      </c>
      <c r="AN1772" s="33">
        <v>1.4553522035233584E-2</v>
      </c>
      <c r="AO1772" s="33">
        <v>1.1215234318907622E-3</v>
      </c>
    </row>
    <row r="1773" spans="39:41" x14ac:dyDescent="0.25">
      <c r="AM1773" s="2">
        <v>1770</v>
      </c>
      <c r="AN1773" s="33">
        <v>1.34854028165067E-2</v>
      </c>
      <c r="AO1773" s="33">
        <v>9.1817559969137308E-4</v>
      </c>
    </row>
    <row r="1774" spans="39:41" x14ac:dyDescent="0.25">
      <c r="AM1774" s="2">
        <v>1771</v>
      </c>
      <c r="AN1774" s="33">
        <v>9.4893587644752919E-3</v>
      </c>
      <c r="AO1774" s="33">
        <v>5.236590215182363E-4</v>
      </c>
    </row>
    <row r="1775" spans="39:41" x14ac:dyDescent="0.25">
      <c r="AM1775" s="2">
        <v>1772</v>
      </c>
      <c r="AN1775" s="33">
        <v>1.1985153970358351E-2</v>
      </c>
      <c r="AO1775" s="33">
        <v>5.6496763941763287E-4</v>
      </c>
    </row>
    <row r="1776" spans="39:41" x14ac:dyDescent="0.25">
      <c r="AM1776" s="2">
        <v>1773</v>
      </c>
      <c r="AN1776" s="33">
        <v>1.458097809639888E-2</v>
      </c>
      <c r="AO1776" s="33">
        <v>1.1773997284816149E-3</v>
      </c>
    </row>
    <row r="1777" spans="39:41" x14ac:dyDescent="0.25">
      <c r="AM1777" s="2">
        <v>1774</v>
      </c>
      <c r="AN1777" s="33">
        <v>1.199449500292623E-2</v>
      </c>
      <c r="AO1777" s="33">
        <v>5.9522084591973913E-4</v>
      </c>
    </row>
    <row r="1778" spans="39:41" x14ac:dyDescent="0.25">
      <c r="AM1778" s="2">
        <v>1775</v>
      </c>
      <c r="AN1778" s="33">
        <v>1.0400106937016648E-2</v>
      </c>
      <c r="AO1778" s="33">
        <v>9.0975236365778032E-4</v>
      </c>
    </row>
    <row r="1779" spans="39:41" x14ac:dyDescent="0.25">
      <c r="AM1779" s="2">
        <v>1776</v>
      </c>
      <c r="AN1779" s="33">
        <v>9.2561825642173048E-3</v>
      </c>
      <c r="AO1779" s="33">
        <v>3.2931354538265838E-4</v>
      </c>
    </row>
    <row r="1780" spans="39:41" x14ac:dyDescent="0.25">
      <c r="AM1780" s="2">
        <v>1777</v>
      </c>
      <c r="AN1780" s="33">
        <v>9.5417765726299193E-3</v>
      </c>
      <c r="AO1780" s="33">
        <v>4.4305033804173307E-4</v>
      </c>
    </row>
    <row r="1781" spans="39:41" x14ac:dyDescent="0.25">
      <c r="AM1781" s="2">
        <v>1778</v>
      </c>
      <c r="AN1781" s="33">
        <v>9.8059661909283505E-3</v>
      </c>
      <c r="AO1781" s="33">
        <v>5.0646503496910855E-4</v>
      </c>
    </row>
    <row r="1782" spans="39:41" x14ac:dyDescent="0.25">
      <c r="AM1782" s="2">
        <v>1779</v>
      </c>
      <c r="AN1782" s="33">
        <v>9.1568477972036218E-3</v>
      </c>
      <c r="AO1782" s="33">
        <v>4.8571685988716752E-4</v>
      </c>
    </row>
    <row r="1783" spans="39:41" x14ac:dyDescent="0.25">
      <c r="AM1783" s="2">
        <v>1780</v>
      </c>
      <c r="AN1783" s="33">
        <v>1.1080151928646496E-2</v>
      </c>
      <c r="AO1783" s="33">
        <v>9.1746274731669059E-4</v>
      </c>
    </row>
    <row r="1784" spans="39:41" x14ac:dyDescent="0.25">
      <c r="AM1784" s="2">
        <v>1781</v>
      </c>
      <c r="AN1784" s="33">
        <v>9.3345240866810758E-3</v>
      </c>
      <c r="AO1784" s="33">
        <v>4.3380940295376156E-4</v>
      </c>
    </row>
    <row r="1785" spans="39:41" x14ac:dyDescent="0.25">
      <c r="AM1785" s="2">
        <v>1782</v>
      </c>
      <c r="AN1785" s="33">
        <v>1.3879645225403747E-2</v>
      </c>
      <c r="AO1785" s="33">
        <v>1.2172903709025988E-3</v>
      </c>
    </row>
    <row r="1786" spans="39:41" x14ac:dyDescent="0.25">
      <c r="AM1786" s="2">
        <v>1783</v>
      </c>
      <c r="AN1786" s="33">
        <v>1.133277269998979E-2</v>
      </c>
      <c r="AO1786" s="33">
        <v>8.2322747852455044E-4</v>
      </c>
    </row>
    <row r="1787" spans="39:41" x14ac:dyDescent="0.25">
      <c r="AM1787" s="2">
        <v>1784</v>
      </c>
      <c r="AN1787" s="33">
        <v>1.2238621843813578E-2</v>
      </c>
      <c r="AO1787" s="33">
        <v>9.7876595833290905E-4</v>
      </c>
    </row>
    <row r="1788" spans="39:41" x14ac:dyDescent="0.25">
      <c r="AM1788" s="2">
        <v>1785</v>
      </c>
      <c r="AN1788" s="33">
        <v>1.4217167047659483E-2</v>
      </c>
      <c r="AO1788" s="33">
        <v>1.0010508995779784E-3</v>
      </c>
    </row>
    <row r="1789" spans="39:41" x14ac:dyDescent="0.25">
      <c r="AM1789" s="2">
        <v>1786</v>
      </c>
      <c r="AN1789" s="33">
        <v>1.0405685568271658E-2</v>
      </c>
      <c r="AO1789" s="33">
        <v>7.6059371739189757E-4</v>
      </c>
    </row>
    <row r="1790" spans="39:41" x14ac:dyDescent="0.25">
      <c r="AM1790" s="2">
        <v>1787</v>
      </c>
      <c r="AN1790" s="33">
        <v>1.2759521421079272E-2</v>
      </c>
      <c r="AO1790" s="33">
        <v>1.1917961780491847E-3</v>
      </c>
    </row>
    <row r="1791" spans="39:41" x14ac:dyDescent="0.25">
      <c r="AM1791" s="2">
        <v>1788</v>
      </c>
      <c r="AN1791" s="33">
        <v>1.036879251835162E-2</v>
      </c>
      <c r="AO1791" s="33">
        <v>9.9860046226782849E-4</v>
      </c>
    </row>
    <row r="1792" spans="39:41" x14ac:dyDescent="0.25">
      <c r="AM1792" s="2">
        <v>1789</v>
      </c>
      <c r="AN1792" s="33">
        <v>1.0899312288710581E-2</v>
      </c>
      <c r="AO1792" s="33">
        <v>1.1208153335555517E-3</v>
      </c>
    </row>
    <row r="1793" spans="39:41" x14ac:dyDescent="0.25">
      <c r="AM1793" s="2">
        <v>1790</v>
      </c>
      <c r="AN1793" s="33">
        <v>1.2053348415598297E-2</v>
      </c>
      <c r="AO1793" s="33">
        <v>9.6857061441545469E-4</v>
      </c>
    </row>
    <row r="1794" spans="39:41" x14ac:dyDescent="0.25">
      <c r="AM1794" s="2">
        <v>1791</v>
      </c>
      <c r="AN1794" s="33">
        <v>1.2410910806708536E-2</v>
      </c>
      <c r="AO1794" s="33">
        <v>8.0227013134909534E-4</v>
      </c>
    </row>
    <row r="1795" spans="39:41" x14ac:dyDescent="0.25">
      <c r="AM1795" s="2">
        <v>1792</v>
      </c>
      <c r="AN1795" s="33">
        <v>9.6376260387409859E-3</v>
      </c>
      <c r="AO1795" s="33">
        <v>8.7469889160792197E-4</v>
      </c>
    </row>
    <row r="1796" spans="39:41" x14ac:dyDescent="0.25">
      <c r="AM1796" s="2">
        <v>1793</v>
      </c>
      <c r="AN1796" s="33">
        <v>1.3415691602148659E-2</v>
      </c>
      <c r="AO1796" s="33">
        <v>6.8350000072804856E-4</v>
      </c>
    </row>
    <row r="1797" spans="39:41" x14ac:dyDescent="0.25">
      <c r="AM1797" s="2">
        <v>1794</v>
      </c>
      <c r="AN1797" s="33">
        <v>8.6111482785134977E-3</v>
      </c>
      <c r="AO1797" s="33">
        <v>4.2817654504051592E-4</v>
      </c>
    </row>
    <row r="1798" spans="39:41" x14ac:dyDescent="0.25">
      <c r="AM1798" s="2">
        <v>1795</v>
      </c>
      <c r="AN1798" s="33">
        <v>1.2478940789891091E-2</v>
      </c>
      <c r="AO1798" s="33">
        <v>8.8269300631059033E-4</v>
      </c>
    </row>
    <row r="1799" spans="39:41" x14ac:dyDescent="0.25">
      <c r="AM1799" s="2">
        <v>1796</v>
      </c>
      <c r="AN1799" s="33">
        <v>9.0593691364523263E-3</v>
      </c>
      <c r="AO1799" s="33">
        <v>7.0780096853786175E-4</v>
      </c>
    </row>
    <row r="1800" spans="39:41" x14ac:dyDescent="0.25">
      <c r="AM1800" s="2">
        <v>1797</v>
      </c>
      <c r="AN1800" s="33">
        <v>1.1904283616845455E-2</v>
      </c>
      <c r="AO1800" s="33">
        <v>4.1760426285452094E-4</v>
      </c>
    </row>
    <row r="1801" spans="39:41" x14ac:dyDescent="0.25">
      <c r="AM1801" s="2">
        <v>1798</v>
      </c>
      <c r="AN1801" s="33">
        <v>1.4239323923857303E-2</v>
      </c>
      <c r="AO1801" s="33">
        <v>1.0185298674819467E-3</v>
      </c>
    </row>
    <row r="1802" spans="39:41" x14ac:dyDescent="0.25">
      <c r="AM1802" s="2">
        <v>1799</v>
      </c>
      <c r="AN1802" s="33">
        <v>1.2621416645725143E-2</v>
      </c>
      <c r="AO1802" s="33">
        <v>7.4563592171465526E-4</v>
      </c>
    </row>
    <row r="1803" spans="39:41" x14ac:dyDescent="0.25">
      <c r="AM1803" s="2">
        <v>1800</v>
      </c>
      <c r="AN1803" s="33">
        <v>1.7185634198118992E-2</v>
      </c>
      <c r="AO1803" s="33">
        <v>1.2157732130805275E-3</v>
      </c>
    </row>
    <row r="1804" spans="39:41" x14ac:dyDescent="0.25">
      <c r="AM1804" s="2">
        <v>1801</v>
      </c>
      <c r="AN1804" s="33">
        <v>1.0570140003998925E-2</v>
      </c>
      <c r="AO1804" s="33">
        <v>9.4894451559059307E-4</v>
      </c>
    </row>
    <row r="1805" spans="39:41" x14ac:dyDescent="0.25">
      <c r="AM1805" s="2">
        <v>1802</v>
      </c>
      <c r="AN1805" s="33">
        <v>9.7588130372800383E-3</v>
      </c>
      <c r="AO1805" s="33">
        <v>6.3569333732025485E-4</v>
      </c>
    </row>
    <row r="1806" spans="39:41" x14ac:dyDescent="0.25">
      <c r="AM1806" s="2">
        <v>1803</v>
      </c>
      <c r="AN1806" s="33">
        <v>1.017241114103197E-2</v>
      </c>
      <c r="AO1806" s="33">
        <v>6.7445834654680629E-4</v>
      </c>
    </row>
    <row r="1807" spans="39:41" x14ac:dyDescent="0.25">
      <c r="AM1807" s="2">
        <v>1804</v>
      </c>
      <c r="AN1807" s="33">
        <v>1.0665115085515974E-2</v>
      </c>
      <c r="AO1807" s="33">
        <v>8.6254332696478707E-4</v>
      </c>
    </row>
    <row r="1808" spans="39:41" x14ac:dyDescent="0.25">
      <c r="AM1808" s="2">
        <v>1805</v>
      </c>
      <c r="AN1808" s="33">
        <v>1.4741162304990037E-2</v>
      </c>
      <c r="AO1808" s="33">
        <v>1.1301060498108378E-3</v>
      </c>
    </row>
    <row r="1809" spans="39:41" x14ac:dyDescent="0.25">
      <c r="AM1809" s="2">
        <v>1806</v>
      </c>
      <c r="AN1809" s="33">
        <v>9.9002690843265281E-3</v>
      </c>
      <c r="AO1809" s="33">
        <v>4.5142364967125094E-4</v>
      </c>
    </row>
    <row r="1810" spans="39:41" x14ac:dyDescent="0.25">
      <c r="AM1810" s="2">
        <v>1807</v>
      </c>
      <c r="AN1810" s="33">
        <v>8.8167093942318527E-3</v>
      </c>
      <c r="AO1810" s="33">
        <v>3.4190133029125678E-4</v>
      </c>
    </row>
    <row r="1811" spans="39:41" x14ac:dyDescent="0.25">
      <c r="AM1811" s="2">
        <v>1808</v>
      </c>
      <c r="AN1811" s="33">
        <v>1.2127214884970898E-2</v>
      </c>
      <c r="AO1811" s="33">
        <v>1.2298972023850661E-3</v>
      </c>
    </row>
    <row r="1812" spans="39:41" x14ac:dyDescent="0.25">
      <c r="AM1812" s="2">
        <v>1809</v>
      </c>
      <c r="AN1812" s="33">
        <v>1.2239652742954228E-2</v>
      </c>
      <c r="AO1812" s="33">
        <v>5.8907913977326355E-4</v>
      </c>
    </row>
    <row r="1813" spans="39:41" x14ac:dyDescent="0.25">
      <c r="AM1813" s="2">
        <v>1810</v>
      </c>
      <c r="AN1813" s="33">
        <v>1.1777404132018918E-2</v>
      </c>
      <c r="AO1813" s="33">
        <v>6.0375714944498982E-4</v>
      </c>
    </row>
    <row r="1814" spans="39:41" x14ac:dyDescent="0.25">
      <c r="AM1814" s="2">
        <v>1811</v>
      </c>
      <c r="AN1814" s="33">
        <v>1.4814565039657925E-2</v>
      </c>
      <c r="AO1814" s="33">
        <v>1.076861907333277E-3</v>
      </c>
    </row>
    <row r="1815" spans="39:41" x14ac:dyDescent="0.25">
      <c r="AM1815" s="2">
        <v>1812</v>
      </c>
      <c r="AN1815" s="33">
        <v>1.0156327801389661E-2</v>
      </c>
      <c r="AO1815" s="33">
        <v>3.5082064066232615E-4</v>
      </c>
    </row>
    <row r="1816" spans="39:41" x14ac:dyDescent="0.25">
      <c r="AM1816" s="2">
        <v>1813</v>
      </c>
      <c r="AN1816" s="33">
        <v>1.1532784366669307E-2</v>
      </c>
      <c r="AO1816" s="33">
        <v>5.6685229388205949E-4</v>
      </c>
    </row>
    <row r="1817" spans="39:41" x14ac:dyDescent="0.25">
      <c r="AM1817" s="2">
        <v>1814</v>
      </c>
      <c r="AN1817" s="33">
        <v>1.3600013640710003E-2</v>
      </c>
      <c r="AO1817" s="33">
        <v>1.3054085580461367E-3</v>
      </c>
    </row>
    <row r="1818" spans="39:41" x14ac:dyDescent="0.25">
      <c r="AM1818" s="2">
        <v>1815</v>
      </c>
      <c r="AN1818" s="33">
        <v>1.3089938592969799E-2</v>
      </c>
      <c r="AO1818" s="33">
        <v>8.8378396186197762E-4</v>
      </c>
    </row>
    <row r="1819" spans="39:41" x14ac:dyDescent="0.25">
      <c r="AM1819" s="2">
        <v>1816</v>
      </c>
      <c r="AN1819" s="33">
        <v>1.0383579236319695E-2</v>
      </c>
      <c r="AO1819" s="33">
        <v>8.3315714942334485E-4</v>
      </c>
    </row>
    <row r="1820" spans="39:41" x14ac:dyDescent="0.25">
      <c r="AM1820" s="2">
        <v>1817</v>
      </c>
      <c r="AN1820" s="33">
        <v>1.2824443404754795E-2</v>
      </c>
      <c r="AO1820" s="33">
        <v>1.0024014632866035E-3</v>
      </c>
    </row>
    <row r="1821" spans="39:41" x14ac:dyDescent="0.25">
      <c r="AM1821" s="2">
        <v>1818</v>
      </c>
      <c r="AN1821" s="33">
        <v>1.252450467181159E-2</v>
      </c>
      <c r="AO1821" s="33">
        <v>1.1362142520919512E-3</v>
      </c>
    </row>
    <row r="1822" spans="39:41" x14ac:dyDescent="0.25">
      <c r="AM1822" s="2">
        <v>1819</v>
      </c>
      <c r="AN1822" s="33">
        <v>1.1096444894880691E-2</v>
      </c>
      <c r="AO1822" s="33">
        <v>6.5928162854742272E-4</v>
      </c>
    </row>
    <row r="1823" spans="39:41" x14ac:dyDescent="0.25">
      <c r="AM1823" s="2">
        <v>1820</v>
      </c>
      <c r="AN1823" s="33">
        <v>1.1665130349557974E-2</v>
      </c>
      <c r="AO1823" s="33">
        <v>5.4946160944652363E-4</v>
      </c>
    </row>
    <row r="1824" spans="39:41" x14ac:dyDescent="0.25">
      <c r="AM1824" s="2">
        <v>1821</v>
      </c>
      <c r="AN1824" s="33">
        <v>1.4043464242861953E-2</v>
      </c>
      <c r="AO1824" s="33">
        <v>9.0478683864206018E-4</v>
      </c>
    </row>
    <row r="1825" spans="39:41" x14ac:dyDescent="0.25">
      <c r="AM1825" s="2">
        <v>1822</v>
      </c>
      <c r="AN1825" s="33">
        <v>1.1176980737742032E-2</v>
      </c>
      <c r="AO1825" s="33">
        <v>1.0584525636460008E-3</v>
      </c>
    </row>
    <row r="1826" spans="39:41" x14ac:dyDescent="0.25">
      <c r="AM1826" s="2">
        <v>1823</v>
      </c>
      <c r="AN1826" s="33">
        <v>1.1850856733258325E-2</v>
      </c>
      <c r="AO1826" s="33">
        <v>1.0905694257280646E-3</v>
      </c>
    </row>
    <row r="1827" spans="39:41" x14ac:dyDescent="0.25">
      <c r="AM1827" s="2">
        <v>1824</v>
      </c>
      <c r="AN1827" s="33">
        <v>1.4589726891534089E-2</v>
      </c>
      <c r="AO1827" s="33">
        <v>1.2420523560979038E-3</v>
      </c>
    </row>
    <row r="1828" spans="39:41" x14ac:dyDescent="0.25">
      <c r="AM1828" s="2">
        <v>1825</v>
      </c>
      <c r="AN1828" s="33">
        <v>1.1172702112051101E-2</v>
      </c>
      <c r="AO1828" s="33">
        <v>7.0077497241112518E-4</v>
      </c>
    </row>
    <row r="1829" spans="39:41" x14ac:dyDescent="0.25">
      <c r="AM1829" s="2">
        <v>1826</v>
      </c>
      <c r="AN1829" s="33">
        <v>9.4303940790477804E-3</v>
      </c>
      <c r="AO1829" s="33">
        <v>7.1018793304715108E-4</v>
      </c>
    </row>
    <row r="1830" spans="39:41" x14ac:dyDescent="0.25">
      <c r="AM1830" s="2">
        <v>1827</v>
      </c>
      <c r="AN1830" s="33">
        <v>1.3343896277593017E-2</v>
      </c>
      <c r="AO1830" s="33">
        <v>1.1840492009765067E-3</v>
      </c>
    </row>
    <row r="1831" spans="39:41" x14ac:dyDescent="0.25">
      <c r="AM1831" s="2">
        <v>1828</v>
      </c>
      <c r="AN1831" s="33">
        <v>1.3313585352661271E-2</v>
      </c>
      <c r="AO1831" s="33">
        <v>1.4186049906243982E-3</v>
      </c>
    </row>
    <row r="1832" spans="39:41" x14ac:dyDescent="0.25">
      <c r="AM1832" s="2">
        <v>1829</v>
      </c>
      <c r="AN1832" s="33">
        <v>1.08219871814741E-2</v>
      </c>
      <c r="AO1832" s="33">
        <v>8.8842002200764712E-4</v>
      </c>
    </row>
    <row r="1833" spans="39:41" x14ac:dyDescent="0.25">
      <c r="AM1833" s="2">
        <v>1830</v>
      </c>
      <c r="AN1833" s="33">
        <v>1.0952424844629816E-2</v>
      </c>
      <c r="AO1833" s="33">
        <v>3.2008199254224268E-4</v>
      </c>
    </row>
    <row r="1834" spans="39:41" x14ac:dyDescent="0.25">
      <c r="AM1834" s="2">
        <v>1831</v>
      </c>
      <c r="AN1834" s="33">
        <v>1.1263842393983405E-2</v>
      </c>
      <c r="AO1834" s="33">
        <v>3.6030447124594069E-4</v>
      </c>
    </row>
    <row r="1835" spans="39:41" x14ac:dyDescent="0.25">
      <c r="AM1835" s="2">
        <v>1832</v>
      </c>
      <c r="AN1835" s="33">
        <v>1.2508222173485899E-2</v>
      </c>
      <c r="AO1835" s="33">
        <v>1.1171434430480426E-3</v>
      </c>
    </row>
    <row r="1836" spans="39:41" x14ac:dyDescent="0.25">
      <c r="AM1836" s="2">
        <v>1833</v>
      </c>
      <c r="AN1836" s="33">
        <v>1.2010222043407482E-2</v>
      </c>
      <c r="AO1836" s="33">
        <v>9.0670614669490065E-4</v>
      </c>
    </row>
    <row r="1837" spans="39:41" x14ac:dyDescent="0.25">
      <c r="AM1837" s="2">
        <v>1834</v>
      </c>
      <c r="AN1837" s="33">
        <v>1.3345950008333289E-2</v>
      </c>
      <c r="AO1837" s="33">
        <v>1.3253440536974835E-3</v>
      </c>
    </row>
    <row r="1838" spans="39:41" x14ac:dyDescent="0.25">
      <c r="AM1838" s="2">
        <v>1835</v>
      </c>
      <c r="AN1838" s="33">
        <v>9.7110093645322668E-3</v>
      </c>
      <c r="AO1838" s="33">
        <v>6.7851100731374718E-4</v>
      </c>
    </row>
    <row r="1839" spans="39:41" x14ac:dyDescent="0.25">
      <c r="AM1839" s="2">
        <v>1836</v>
      </c>
      <c r="AN1839" s="33">
        <v>1.3022010218684441E-2</v>
      </c>
      <c r="AO1839" s="33">
        <v>1.1963747295295475E-3</v>
      </c>
    </row>
    <row r="1840" spans="39:41" x14ac:dyDescent="0.25">
      <c r="AM1840" s="2">
        <v>1837</v>
      </c>
      <c r="AN1840" s="33">
        <v>9.0535641618696757E-3</v>
      </c>
      <c r="AO1840" s="33">
        <v>7.7923039836712586E-4</v>
      </c>
    </row>
    <row r="1841" spans="39:41" x14ac:dyDescent="0.25">
      <c r="AM1841" s="2">
        <v>1838</v>
      </c>
      <c r="AN1841" s="33">
        <v>1.2447882819212398E-2</v>
      </c>
      <c r="AO1841" s="33">
        <v>8.9930424025229958E-4</v>
      </c>
    </row>
    <row r="1842" spans="39:41" x14ac:dyDescent="0.25">
      <c r="AM1842" s="2">
        <v>1839</v>
      </c>
      <c r="AN1842" s="33">
        <v>1.0358302703462925E-2</v>
      </c>
      <c r="AO1842" s="33">
        <v>7.8241739016794232E-4</v>
      </c>
    </row>
    <row r="1843" spans="39:41" x14ac:dyDescent="0.25">
      <c r="AM1843" s="2">
        <v>1840</v>
      </c>
      <c r="AN1843" s="33">
        <v>1.2725669343480881E-2</v>
      </c>
      <c r="AO1843" s="33">
        <v>1.2998942292505569E-3</v>
      </c>
    </row>
    <row r="1844" spans="39:41" x14ac:dyDescent="0.25">
      <c r="AM1844" s="2">
        <v>1841</v>
      </c>
      <c r="AN1844" s="33">
        <v>1.6676501774286576E-2</v>
      </c>
      <c r="AO1844" s="33">
        <v>1.2842776857742047E-3</v>
      </c>
    </row>
    <row r="1845" spans="39:41" x14ac:dyDescent="0.25">
      <c r="AM1845" s="2">
        <v>1842</v>
      </c>
      <c r="AN1845" s="33">
        <v>1.0975273350228999E-2</v>
      </c>
      <c r="AO1845" s="33">
        <v>6.7458492124145486E-4</v>
      </c>
    </row>
    <row r="1846" spans="39:41" x14ac:dyDescent="0.25">
      <c r="AM1846" s="2">
        <v>1843</v>
      </c>
      <c r="AN1846" s="33">
        <v>1.2705578758321207E-2</v>
      </c>
      <c r="AO1846" s="33">
        <v>9.2708688368108581E-4</v>
      </c>
    </row>
    <row r="1847" spans="39:41" x14ac:dyDescent="0.25">
      <c r="AM1847" s="2">
        <v>1844</v>
      </c>
      <c r="AN1847" s="33">
        <v>1.1085988448297553E-2</v>
      </c>
      <c r="AO1847" s="33">
        <v>9.8933030569671519E-4</v>
      </c>
    </row>
    <row r="1848" spans="39:41" x14ac:dyDescent="0.25">
      <c r="AM1848" s="2">
        <v>1845</v>
      </c>
      <c r="AN1848" s="33">
        <v>1.1876628667796421E-2</v>
      </c>
      <c r="AO1848" s="33">
        <v>9.262885418593503E-4</v>
      </c>
    </row>
    <row r="1849" spans="39:41" x14ac:dyDescent="0.25">
      <c r="AM1849" s="2">
        <v>1846</v>
      </c>
      <c r="AN1849" s="33">
        <v>1.133558719993937E-2</v>
      </c>
      <c r="AO1849" s="33">
        <v>1.0038887428045794E-3</v>
      </c>
    </row>
    <row r="1850" spans="39:41" x14ac:dyDescent="0.25">
      <c r="AM1850" s="2">
        <v>1847</v>
      </c>
      <c r="AN1850" s="33">
        <v>1.1392262249232357E-2</v>
      </c>
      <c r="AO1850" s="33">
        <v>1.1514991825118053E-4</v>
      </c>
    </row>
    <row r="1851" spans="39:41" x14ac:dyDescent="0.25">
      <c r="AM1851" s="2">
        <v>1848</v>
      </c>
      <c r="AN1851" s="33">
        <v>1.2312420205236502E-2</v>
      </c>
      <c r="AO1851" s="33">
        <v>8.1863487675599381E-4</v>
      </c>
    </row>
    <row r="1852" spans="39:41" x14ac:dyDescent="0.25">
      <c r="AM1852" s="2">
        <v>1849</v>
      </c>
      <c r="AN1852" s="33">
        <v>1.1548654520351549E-2</v>
      </c>
      <c r="AO1852" s="33">
        <v>1.1603168220313805E-3</v>
      </c>
    </row>
    <row r="1853" spans="39:41" x14ac:dyDescent="0.25">
      <c r="AM1853" s="2">
        <v>1850</v>
      </c>
      <c r="AN1853" s="33">
        <v>1.268251799861711E-2</v>
      </c>
      <c r="AO1853" s="33">
        <v>9.2643967638093871E-4</v>
      </c>
    </row>
    <row r="1854" spans="39:41" x14ac:dyDescent="0.25">
      <c r="AM1854" s="2">
        <v>1851</v>
      </c>
      <c r="AN1854" s="33">
        <v>1.3240175596926473E-2</v>
      </c>
      <c r="AO1854" s="33">
        <v>1.0645236695349769E-3</v>
      </c>
    </row>
    <row r="1855" spans="39:41" x14ac:dyDescent="0.25">
      <c r="AM1855" s="2">
        <v>1852</v>
      </c>
      <c r="AN1855" s="33">
        <v>9.6319839307997309E-3</v>
      </c>
      <c r="AO1855" s="33">
        <v>6.9955055648636877E-4</v>
      </c>
    </row>
    <row r="1856" spans="39:41" x14ac:dyDescent="0.25">
      <c r="AM1856" s="2">
        <v>1853</v>
      </c>
      <c r="AN1856" s="33">
        <v>1.0547906932587107E-2</v>
      </c>
      <c r="AO1856" s="33">
        <v>5.0584019216974802E-5</v>
      </c>
    </row>
    <row r="1857" spans="39:41" x14ac:dyDescent="0.25">
      <c r="AM1857" s="2">
        <v>1854</v>
      </c>
      <c r="AN1857" s="33">
        <v>1.0783384873404349E-2</v>
      </c>
      <c r="AO1857" s="33">
        <v>6.3129073823997496E-4</v>
      </c>
    </row>
    <row r="1858" spans="39:41" x14ac:dyDescent="0.25">
      <c r="AM1858" s="2">
        <v>1855</v>
      </c>
      <c r="AN1858" s="33">
        <v>1.2132999173878866E-2</v>
      </c>
      <c r="AO1858" s="33">
        <v>9.4202148238946239E-4</v>
      </c>
    </row>
    <row r="1859" spans="39:41" x14ac:dyDescent="0.25">
      <c r="AM1859" s="2">
        <v>1856</v>
      </c>
      <c r="AN1859" s="33">
        <v>9.6710810036671601E-3</v>
      </c>
      <c r="AO1859" s="33">
        <v>3.4181759898171585E-4</v>
      </c>
    </row>
    <row r="1860" spans="39:41" x14ac:dyDescent="0.25">
      <c r="AM1860" s="2">
        <v>1857</v>
      </c>
      <c r="AN1860" s="33">
        <v>1.3130084470382461E-2</v>
      </c>
      <c r="AO1860" s="33">
        <v>8.6870206899117438E-4</v>
      </c>
    </row>
    <row r="1861" spans="39:41" x14ac:dyDescent="0.25">
      <c r="AM1861" s="2">
        <v>1858</v>
      </c>
      <c r="AN1861" s="33">
        <v>1.6466577375912398E-2</v>
      </c>
      <c r="AO1861" s="33">
        <v>1.4209590633459319E-3</v>
      </c>
    </row>
    <row r="1862" spans="39:41" x14ac:dyDescent="0.25">
      <c r="AM1862" s="2">
        <v>1859</v>
      </c>
      <c r="AN1862" s="33">
        <v>1.4665013951457022E-2</v>
      </c>
      <c r="AO1862" s="33">
        <v>1.0639128780816319E-3</v>
      </c>
    </row>
    <row r="1863" spans="39:41" x14ac:dyDescent="0.25">
      <c r="AM1863" s="2">
        <v>1860</v>
      </c>
      <c r="AN1863" s="33">
        <v>1.1718786897367356E-2</v>
      </c>
      <c r="AO1863" s="33">
        <v>7.2705715113691421E-4</v>
      </c>
    </row>
    <row r="1864" spans="39:41" x14ac:dyDescent="0.25">
      <c r="AM1864" s="2">
        <v>1861</v>
      </c>
      <c r="AN1864" s="33">
        <v>9.9462273738142246E-3</v>
      </c>
      <c r="AO1864" s="33">
        <v>8.1585750206742585E-4</v>
      </c>
    </row>
    <row r="1865" spans="39:41" x14ac:dyDescent="0.25">
      <c r="AM1865" s="2">
        <v>1862</v>
      </c>
      <c r="AN1865" s="33">
        <v>1.0717942144224986E-2</v>
      </c>
      <c r="AO1865" s="33">
        <v>9.6501291810282782E-4</v>
      </c>
    </row>
    <row r="1866" spans="39:41" x14ac:dyDescent="0.25">
      <c r="AM1866" s="2">
        <v>1863</v>
      </c>
      <c r="AN1866" s="33">
        <v>1.2654213766096951E-2</v>
      </c>
      <c r="AO1866" s="33">
        <v>7.5974164461572753E-4</v>
      </c>
    </row>
    <row r="1867" spans="39:41" x14ac:dyDescent="0.25">
      <c r="AM1867" s="2">
        <v>1864</v>
      </c>
      <c r="AN1867" s="33">
        <v>1.5658049891719716E-2</v>
      </c>
      <c r="AO1867" s="33">
        <v>1.1894115860303402E-3</v>
      </c>
    </row>
    <row r="1868" spans="39:41" x14ac:dyDescent="0.25">
      <c r="AM1868" s="2">
        <v>1865</v>
      </c>
      <c r="AN1868" s="33">
        <v>1.4095299616295459E-2</v>
      </c>
      <c r="AO1868" s="33">
        <v>8.9635060673024403E-4</v>
      </c>
    </row>
    <row r="1869" spans="39:41" x14ac:dyDescent="0.25">
      <c r="AM1869" s="2">
        <v>1866</v>
      </c>
      <c r="AN1869" s="33">
        <v>1.2334989850290901E-2</v>
      </c>
      <c r="AO1869" s="33">
        <v>1.1543016947082182E-3</v>
      </c>
    </row>
    <row r="1870" spans="39:41" x14ac:dyDescent="0.25">
      <c r="AM1870" s="2">
        <v>1867</v>
      </c>
      <c r="AN1870" s="33">
        <v>8.4699092244105746E-3</v>
      </c>
      <c r="AO1870" s="33">
        <v>4.2652980272570403E-4</v>
      </c>
    </row>
    <row r="1871" spans="39:41" x14ac:dyDescent="0.25">
      <c r="AM1871" s="2">
        <v>1868</v>
      </c>
      <c r="AN1871" s="33">
        <v>1.1067905824381359E-2</v>
      </c>
      <c r="AO1871" s="33">
        <v>1.0172302699464071E-3</v>
      </c>
    </row>
    <row r="1872" spans="39:41" x14ac:dyDescent="0.25">
      <c r="AM1872" s="2">
        <v>1869</v>
      </c>
      <c r="AN1872" s="33">
        <v>8.6911157755779449E-3</v>
      </c>
      <c r="AO1872" s="33">
        <v>5.0635910769872164E-4</v>
      </c>
    </row>
    <row r="1873" spans="39:41" x14ac:dyDescent="0.25">
      <c r="AM1873" s="2">
        <v>1870</v>
      </c>
      <c r="AN1873" s="33">
        <v>9.6482984075967025E-3</v>
      </c>
      <c r="AO1873" s="33">
        <v>7.6577419999679104E-4</v>
      </c>
    </row>
    <row r="1874" spans="39:41" x14ac:dyDescent="0.25">
      <c r="AM1874" s="2">
        <v>1871</v>
      </c>
      <c r="AN1874" s="33">
        <v>1.1924804668521487E-2</v>
      </c>
      <c r="AO1874" s="33">
        <v>1.0870335190823167E-3</v>
      </c>
    </row>
    <row r="1875" spans="39:41" x14ac:dyDescent="0.25">
      <c r="AM1875" s="2">
        <v>1872</v>
      </c>
      <c r="AN1875" s="33">
        <v>1.4692309792203611E-2</v>
      </c>
      <c r="AO1875" s="33">
        <v>1.0660158540357939E-3</v>
      </c>
    </row>
    <row r="1876" spans="39:41" x14ac:dyDescent="0.25">
      <c r="AM1876" s="2">
        <v>1873</v>
      </c>
      <c r="AN1876" s="33">
        <v>1.1056924497144878E-2</v>
      </c>
      <c r="AO1876" s="33">
        <v>7.6759869154980893E-4</v>
      </c>
    </row>
    <row r="1877" spans="39:41" x14ac:dyDescent="0.25">
      <c r="AM1877" s="2">
        <v>1874</v>
      </c>
      <c r="AN1877" s="33">
        <v>9.4134143275266171E-3</v>
      </c>
      <c r="AO1877" s="33">
        <v>7.2712522724974725E-4</v>
      </c>
    </row>
    <row r="1878" spans="39:41" x14ac:dyDescent="0.25">
      <c r="AM1878" s="2">
        <v>1875</v>
      </c>
      <c r="AN1878" s="33">
        <v>1.3206496678641584E-2</v>
      </c>
      <c r="AO1878" s="33">
        <v>8.9290873446244581E-4</v>
      </c>
    </row>
    <row r="1879" spans="39:41" x14ac:dyDescent="0.25">
      <c r="AM1879" s="2">
        <v>1876</v>
      </c>
      <c r="AN1879" s="33">
        <v>1.3569437299909608E-2</v>
      </c>
      <c r="AO1879" s="33">
        <v>1.1893169875434833E-3</v>
      </c>
    </row>
    <row r="1880" spans="39:41" x14ac:dyDescent="0.25">
      <c r="AM1880" s="2">
        <v>1877</v>
      </c>
      <c r="AN1880" s="33">
        <v>9.7884063116227601E-3</v>
      </c>
      <c r="AO1880" s="33">
        <v>5.0476544692137763E-4</v>
      </c>
    </row>
    <row r="1881" spans="39:41" x14ac:dyDescent="0.25">
      <c r="AM1881" s="2">
        <v>1878</v>
      </c>
      <c r="AN1881" s="33">
        <v>1.3640693551081834E-2</v>
      </c>
      <c r="AO1881" s="33">
        <v>1.1148802472121322E-3</v>
      </c>
    </row>
    <row r="1882" spans="39:41" x14ac:dyDescent="0.25">
      <c r="AM1882" s="2">
        <v>1879</v>
      </c>
      <c r="AN1882" s="33">
        <v>1.2594550342257566E-2</v>
      </c>
      <c r="AO1882" s="33">
        <v>4.8087329237978883E-4</v>
      </c>
    </row>
    <row r="1883" spans="39:41" x14ac:dyDescent="0.25">
      <c r="AM1883" s="2">
        <v>1880</v>
      </c>
      <c r="AN1883" s="33">
        <v>1.1660908868721107E-2</v>
      </c>
      <c r="AO1883" s="33">
        <v>1.0462401880510853E-3</v>
      </c>
    </row>
    <row r="1884" spans="39:41" x14ac:dyDescent="0.25">
      <c r="AM1884" s="2">
        <v>1881</v>
      </c>
      <c r="AN1884" s="33">
        <v>1.1313067512326554E-2</v>
      </c>
      <c r="AO1884" s="33">
        <v>1.072516570000566E-3</v>
      </c>
    </row>
    <row r="1885" spans="39:41" x14ac:dyDescent="0.25">
      <c r="AM1885" s="2">
        <v>1882</v>
      </c>
      <c r="AN1885" s="33">
        <v>1.0293474638202718E-2</v>
      </c>
      <c r="AO1885" s="33">
        <v>6.4614959804968307E-4</v>
      </c>
    </row>
    <row r="1886" spans="39:41" x14ac:dyDescent="0.25">
      <c r="AM1886" s="2">
        <v>1883</v>
      </c>
      <c r="AN1886" s="33">
        <v>1.1223910185022067E-2</v>
      </c>
      <c r="AO1886" s="33">
        <v>8.5672652952897442E-4</v>
      </c>
    </row>
    <row r="1887" spans="39:41" x14ac:dyDescent="0.25">
      <c r="AM1887" s="2">
        <v>1884</v>
      </c>
      <c r="AN1887" s="33">
        <v>1.0521256149537668E-2</v>
      </c>
      <c r="AO1887" s="33">
        <v>8.261922502094596E-4</v>
      </c>
    </row>
    <row r="1888" spans="39:41" x14ac:dyDescent="0.25">
      <c r="AM1888" s="2">
        <v>1885</v>
      </c>
      <c r="AN1888" s="33">
        <v>1.1677558926206278E-2</v>
      </c>
      <c r="AO1888" s="33">
        <v>7.4068899840651586E-4</v>
      </c>
    </row>
    <row r="1889" spans="39:41" x14ac:dyDescent="0.25">
      <c r="AM1889" s="2">
        <v>1886</v>
      </c>
      <c r="AN1889" s="33">
        <v>8.968191509948209E-3</v>
      </c>
      <c r="AO1889" s="33">
        <v>4.9923780033044756E-4</v>
      </c>
    </row>
    <row r="1890" spans="39:41" x14ac:dyDescent="0.25">
      <c r="AM1890" s="2">
        <v>1887</v>
      </c>
      <c r="AN1890" s="33">
        <v>1.1867063934631201E-2</v>
      </c>
      <c r="AO1890" s="33">
        <v>1.3135566567286381E-3</v>
      </c>
    </row>
    <row r="1891" spans="39:41" x14ac:dyDescent="0.25">
      <c r="AM1891" s="2">
        <v>1888</v>
      </c>
      <c r="AN1891" s="33">
        <v>1.4132611897983385E-2</v>
      </c>
      <c r="AO1891" s="33">
        <v>8.3223443731907597E-4</v>
      </c>
    </row>
    <row r="1892" spans="39:41" x14ac:dyDescent="0.25">
      <c r="AM1892" s="2">
        <v>1889</v>
      </c>
      <c r="AN1892" s="33">
        <v>1.0180991994560237E-2</v>
      </c>
      <c r="AO1892" s="33">
        <v>6.411207193588184E-4</v>
      </c>
    </row>
    <row r="1893" spans="39:41" x14ac:dyDescent="0.25">
      <c r="AM1893" s="2">
        <v>1890</v>
      </c>
      <c r="AN1893" s="33">
        <v>9.488842362979635E-3</v>
      </c>
      <c r="AO1893" s="33">
        <v>6.5586504738112186E-4</v>
      </c>
    </row>
    <row r="1894" spans="39:41" x14ac:dyDescent="0.25">
      <c r="AM1894" s="2">
        <v>1891</v>
      </c>
      <c r="AN1894" s="33">
        <v>9.4623152769558062E-3</v>
      </c>
      <c r="AO1894" s="33">
        <v>2.4813059400961379E-4</v>
      </c>
    </row>
    <row r="1895" spans="39:41" x14ac:dyDescent="0.25">
      <c r="AM1895" s="2">
        <v>1892</v>
      </c>
      <c r="AN1895" s="33">
        <v>1.0329576046775814E-2</v>
      </c>
      <c r="AO1895" s="33">
        <v>1.9354059529910669E-4</v>
      </c>
    </row>
    <row r="1896" spans="39:41" x14ac:dyDescent="0.25">
      <c r="AM1896" s="2">
        <v>1893</v>
      </c>
      <c r="AN1896" s="33">
        <v>9.3949259422671742E-3</v>
      </c>
      <c r="AO1896" s="33">
        <v>4.099961019497757E-4</v>
      </c>
    </row>
    <row r="1897" spans="39:41" x14ac:dyDescent="0.25">
      <c r="AM1897" s="2">
        <v>1894</v>
      </c>
      <c r="AN1897" s="33">
        <v>8.5556031305377613E-3</v>
      </c>
      <c r="AO1897" s="33">
        <v>6.319000792820961E-4</v>
      </c>
    </row>
    <row r="1898" spans="39:41" x14ac:dyDescent="0.25">
      <c r="AM1898" s="2">
        <v>1895</v>
      </c>
      <c r="AN1898" s="33">
        <v>1.2450967874035764E-2</v>
      </c>
      <c r="AO1898" s="33">
        <v>9.9790835524378257E-4</v>
      </c>
    </row>
    <row r="1899" spans="39:41" x14ac:dyDescent="0.25">
      <c r="AM1899" s="2">
        <v>1896</v>
      </c>
      <c r="AN1899" s="33">
        <v>9.8200903468563614E-3</v>
      </c>
      <c r="AO1899" s="33">
        <v>5.585704705272363E-4</v>
      </c>
    </row>
    <row r="1900" spans="39:41" x14ac:dyDescent="0.25">
      <c r="AM1900" s="2">
        <v>1897</v>
      </c>
      <c r="AN1900" s="33">
        <v>9.969991841314833E-3</v>
      </c>
      <c r="AO1900" s="33">
        <v>7.3295748795705845E-4</v>
      </c>
    </row>
    <row r="1901" spans="39:41" x14ac:dyDescent="0.25">
      <c r="AM1901" s="2">
        <v>1898</v>
      </c>
      <c r="AN1901" s="33">
        <v>1.4743214000783877E-2</v>
      </c>
      <c r="AO1901" s="33">
        <v>1.3519638561053458E-3</v>
      </c>
    </row>
    <row r="1902" spans="39:41" x14ac:dyDescent="0.25">
      <c r="AM1902" s="2">
        <v>1899</v>
      </c>
      <c r="AN1902" s="33">
        <v>1.0479147156104702E-2</v>
      </c>
      <c r="AO1902" s="33">
        <v>5.2416378231844561E-4</v>
      </c>
    </row>
    <row r="1903" spans="39:41" x14ac:dyDescent="0.25">
      <c r="AM1903" s="2">
        <v>1900</v>
      </c>
      <c r="AN1903" s="33">
        <v>1.1163572666544176E-2</v>
      </c>
      <c r="AO1903" s="33">
        <v>7.0808491258023381E-4</v>
      </c>
    </row>
    <row r="1904" spans="39:41" x14ac:dyDescent="0.25">
      <c r="AM1904" s="2">
        <v>1901</v>
      </c>
      <c r="AN1904" s="33">
        <v>1.0685749440908915E-2</v>
      </c>
      <c r="AO1904" s="33">
        <v>9.259036430680315E-4</v>
      </c>
    </row>
    <row r="1905" spans="39:41" x14ac:dyDescent="0.25">
      <c r="AM1905" s="2">
        <v>1902</v>
      </c>
      <c r="AN1905" s="33">
        <v>1.3230985470479623E-2</v>
      </c>
      <c r="AO1905" s="33">
        <v>1.0134244498849697E-3</v>
      </c>
    </row>
    <row r="1906" spans="39:41" x14ac:dyDescent="0.25">
      <c r="AM1906" s="2">
        <v>1903</v>
      </c>
      <c r="AN1906" s="33">
        <v>8.4453983943074701E-3</v>
      </c>
      <c r="AO1906" s="33">
        <v>4.7663791331596905E-4</v>
      </c>
    </row>
    <row r="1907" spans="39:41" x14ac:dyDescent="0.25">
      <c r="AM1907" s="2">
        <v>1904</v>
      </c>
      <c r="AN1907" s="33">
        <v>1.429336680689056E-2</v>
      </c>
      <c r="AO1907" s="33">
        <v>1.1202020010812259E-3</v>
      </c>
    </row>
    <row r="1908" spans="39:41" x14ac:dyDescent="0.25">
      <c r="AM1908" s="2">
        <v>1905</v>
      </c>
      <c r="AN1908" s="33">
        <v>1.0602918014619938E-2</v>
      </c>
      <c r="AO1908" s="33">
        <v>7.7294436931830198E-4</v>
      </c>
    </row>
    <row r="1909" spans="39:41" x14ac:dyDescent="0.25">
      <c r="AM1909" s="2">
        <v>1906</v>
      </c>
      <c r="AN1909" s="33">
        <v>1.1123658998933894E-2</v>
      </c>
      <c r="AO1909" s="33">
        <v>7.663677804570602E-4</v>
      </c>
    </row>
    <row r="1910" spans="39:41" x14ac:dyDescent="0.25">
      <c r="AM1910" s="2">
        <v>1907</v>
      </c>
      <c r="AN1910" s="33">
        <v>8.9514691707966876E-3</v>
      </c>
      <c r="AO1910" s="33">
        <v>8.5629822508522186E-4</v>
      </c>
    </row>
    <row r="1911" spans="39:41" x14ac:dyDescent="0.25">
      <c r="AM1911" s="2">
        <v>1908</v>
      </c>
      <c r="AN1911" s="33">
        <v>1.4231577479828542E-2</v>
      </c>
      <c r="AO1911" s="33">
        <v>1.4308524086272005E-3</v>
      </c>
    </row>
    <row r="1912" spans="39:41" x14ac:dyDescent="0.25">
      <c r="AM1912" s="2">
        <v>1909</v>
      </c>
      <c r="AN1912" s="33">
        <v>8.5284683310072711E-3</v>
      </c>
      <c r="AO1912" s="33">
        <v>5.5616598904998185E-4</v>
      </c>
    </row>
    <row r="1913" spans="39:41" x14ac:dyDescent="0.25">
      <c r="AM1913" s="2">
        <v>1910</v>
      </c>
      <c r="AN1913" s="33">
        <v>1.1644242719256157E-2</v>
      </c>
      <c r="AO1913" s="33">
        <v>7.5614193257430326E-4</v>
      </c>
    </row>
    <row r="1914" spans="39:41" x14ac:dyDescent="0.25">
      <c r="AM1914" s="2">
        <v>1911</v>
      </c>
      <c r="AN1914" s="33">
        <v>1.2515987261834513E-2</v>
      </c>
      <c r="AO1914" s="33">
        <v>1.0835943315452264E-3</v>
      </c>
    </row>
    <row r="1915" spans="39:41" x14ac:dyDescent="0.25">
      <c r="AM1915" s="2">
        <v>1912</v>
      </c>
      <c r="AN1915" s="33">
        <v>1.5280642546933605E-2</v>
      </c>
      <c r="AO1915" s="33">
        <v>1.4072447317004389E-3</v>
      </c>
    </row>
    <row r="1916" spans="39:41" x14ac:dyDescent="0.25">
      <c r="AM1916" s="2">
        <v>1913</v>
      </c>
      <c r="AN1916" s="33">
        <v>8.6604485753237308E-3</v>
      </c>
      <c r="AO1916" s="33">
        <v>4.5834669036777509E-4</v>
      </c>
    </row>
    <row r="1917" spans="39:41" x14ac:dyDescent="0.25">
      <c r="AM1917" s="2">
        <v>1914</v>
      </c>
      <c r="AN1917" s="33">
        <v>1.1764025169811889E-2</v>
      </c>
      <c r="AO1917" s="33">
        <v>1.045003375080194E-3</v>
      </c>
    </row>
    <row r="1918" spans="39:41" x14ac:dyDescent="0.25">
      <c r="AM1918" s="2">
        <v>1915</v>
      </c>
      <c r="AN1918" s="33">
        <v>1.1033360837164229E-2</v>
      </c>
      <c r="AO1918" s="33">
        <v>6.5820732133880979E-4</v>
      </c>
    </row>
    <row r="1919" spans="39:41" x14ac:dyDescent="0.25">
      <c r="AM1919" s="2">
        <v>1916</v>
      </c>
      <c r="AN1919" s="33">
        <v>8.9464602021011499E-3</v>
      </c>
      <c r="AO1919" s="33">
        <v>6.0645111546296063E-4</v>
      </c>
    </row>
    <row r="1920" spans="39:41" x14ac:dyDescent="0.25">
      <c r="AM1920" s="2">
        <v>1917</v>
      </c>
      <c r="AN1920" s="33">
        <v>1.1797941151133898E-2</v>
      </c>
      <c r="AO1920" s="33">
        <v>1.1139675229520853E-3</v>
      </c>
    </row>
    <row r="1921" spans="39:41" x14ac:dyDescent="0.25">
      <c r="AM1921" s="2">
        <v>1918</v>
      </c>
      <c r="AN1921" s="33">
        <v>8.8557865312478435E-3</v>
      </c>
      <c r="AO1921" s="33">
        <v>7.6245428088166133E-4</v>
      </c>
    </row>
    <row r="1922" spans="39:41" x14ac:dyDescent="0.25">
      <c r="AM1922" s="2">
        <v>1919</v>
      </c>
      <c r="AN1922" s="33">
        <v>1.6509534356007358E-2</v>
      </c>
      <c r="AO1922" s="33">
        <v>1.3251028163727844E-3</v>
      </c>
    </row>
    <row r="1923" spans="39:41" x14ac:dyDescent="0.25">
      <c r="AM1923" s="2">
        <v>1920</v>
      </c>
      <c r="AN1923" s="33">
        <v>1.2722221530293912E-2</v>
      </c>
      <c r="AO1923" s="33">
        <v>1.258571489380115E-3</v>
      </c>
    </row>
    <row r="1924" spans="39:41" x14ac:dyDescent="0.25">
      <c r="AM1924" s="2">
        <v>1921</v>
      </c>
      <c r="AN1924" s="33">
        <v>1.5127876322757271E-2</v>
      </c>
      <c r="AO1924" s="33">
        <v>1.5679106141938696E-3</v>
      </c>
    </row>
    <row r="1925" spans="39:41" x14ac:dyDescent="0.25">
      <c r="AM1925" s="2">
        <v>1922</v>
      </c>
      <c r="AN1925" s="33">
        <v>1.413704391128949E-2</v>
      </c>
      <c r="AO1925" s="33">
        <v>1.2245152231941875E-3</v>
      </c>
    </row>
    <row r="1926" spans="39:41" x14ac:dyDescent="0.25">
      <c r="AM1926" s="2">
        <v>1923</v>
      </c>
      <c r="AN1926" s="33">
        <v>1.3232887452679485E-2</v>
      </c>
      <c r="AO1926" s="33">
        <v>7.8844388470135037E-4</v>
      </c>
    </row>
    <row r="1927" spans="39:41" x14ac:dyDescent="0.25">
      <c r="AM1927" s="2">
        <v>1924</v>
      </c>
      <c r="AN1927" s="33">
        <v>9.2829398461492796E-3</v>
      </c>
      <c r="AO1927" s="33">
        <v>7.4375546430933493E-4</v>
      </c>
    </row>
    <row r="1928" spans="39:41" x14ac:dyDescent="0.25">
      <c r="AM1928" s="2">
        <v>1925</v>
      </c>
      <c r="AN1928" s="33">
        <v>1.2006005280706141E-2</v>
      </c>
      <c r="AO1928" s="33">
        <v>9.4799616992151338E-4</v>
      </c>
    </row>
    <row r="1929" spans="39:41" x14ac:dyDescent="0.25">
      <c r="AM1929" s="2">
        <v>1926</v>
      </c>
      <c r="AN1929" s="33">
        <v>9.8952673260696393E-3</v>
      </c>
      <c r="AO1929" s="33">
        <v>6.5479987782595349E-4</v>
      </c>
    </row>
    <row r="1930" spans="39:41" x14ac:dyDescent="0.25">
      <c r="AM1930" s="2">
        <v>1927</v>
      </c>
      <c r="AN1930" s="33">
        <v>1.3976700354277062E-2</v>
      </c>
      <c r="AO1930" s="33">
        <v>1.0542672936378907E-3</v>
      </c>
    </row>
    <row r="1931" spans="39:41" x14ac:dyDescent="0.25">
      <c r="AM1931" s="2">
        <v>1928</v>
      </c>
      <c r="AN1931" s="33">
        <v>1.4365573288405466E-2</v>
      </c>
      <c r="AO1931" s="33">
        <v>1.2455137964973934E-3</v>
      </c>
    </row>
    <row r="1932" spans="39:41" x14ac:dyDescent="0.25">
      <c r="AM1932" s="2">
        <v>1929</v>
      </c>
      <c r="AN1932" s="33">
        <v>1.026096595441202E-2</v>
      </c>
      <c r="AO1932" s="33">
        <v>6.3923309122253507E-4</v>
      </c>
    </row>
    <row r="1933" spans="39:41" x14ac:dyDescent="0.25">
      <c r="AM1933" s="2">
        <v>1930</v>
      </c>
      <c r="AN1933" s="33">
        <v>1.1422344738751714E-2</v>
      </c>
      <c r="AO1933" s="33">
        <v>1.0437483577892196E-3</v>
      </c>
    </row>
    <row r="1934" spans="39:41" x14ac:dyDescent="0.25">
      <c r="AM1934" s="2">
        <v>1931</v>
      </c>
      <c r="AN1934" s="33">
        <v>1.3371739175872782E-2</v>
      </c>
      <c r="AO1934" s="33">
        <v>1.4155669875218653E-3</v>
      </c>
    </row>
    <row r="1935" spans="39:41" x14ac:dyDescent="0.25">
      <c r="AM1935" s="2">
        <v>1932</v>
      </c>
      <c r="AN1935" s="33">
        <v>1.4811391928816984E-2</v>
      </c>
      <c r="AO1935" s="33">
        <v>1.2219849028368027E-3</v>
      </c>
    </row>
    <row r="1936" spans="39:41" x14ac:dyDescent="0.25">
      <c r="AM1936" s="2">
        <v>1933</v>
      </c>
      <c r="AN1936" s="33">
        <v>1.066577141371159E-2</v>
      </c>
      <c r="AO1936" s="33">
        <v>4.7599826379617879E-4</v>
      </c>
    </row>
    <row r="1937" spans="39:41" x14ac:dyDescent="0.25">
      <c r="AM1937" s="2">
        <v>1934</v>
      </c>
      <c r="AN1937" s="33">
        <v>1.0962270704604201E-2</v>
      </c>
      <c r="AO1937" s="33">
        <v>7.7011719275753201E-4</v>
      </c>
    </row>
    <row r="1938" spans="39:41" x14ac:dyDescent="0.25">
      <c r="AM1938" s="2">
        <v>1935</v>
      </c>
      <c r="AN1938" s="33">
        <v>1.2561982874772554E-2</v>
      </c>
      <c r="AO1938" s="33">
        <v>9.3418721514951881E-4</v>
      </c>
    </row>
    <row r="1939" spans="39:41" x14ac:dyDescent="0.25">
      <c r="AM1939" s="2">
        <v>1936</v>
      </c>
      <c r="AN1939" s="33">
        <v>1.0526696212474995E-2</v>
      </c>
      <c r="AO1939" s="33">
        <v>8.0658393031834649E-4</v>
      </c>
    </row>
    <row r="1940" spans="39:41" x14ac:dyDescent="0.25">
      <c r="AM1940" s="2">
        <v>1937</v>
      </c>
      <c r="AN1940" s="33">
        <v>1.600444474057932E-2</v>
      </c>
      <c r="AO1940" s="33">
        <v>1.4228472483233008E-3</v>
      </c>
    </row>
    <row r="1941" spans="39:41" x14ac:dyDescent="0.25">
      <c r="AM1941" s="2">
        <v>1938</v>
      </c>
      <c r="AN1941" s="33">
        <v>1.4502504991691204E-2</v>
      </c>
      <c r="AO1941" s="33">
        <v>1.0372798844174643E-3</v>
      </c>
    </row>
    <row r="1942" spans="39:41" x14ac:dyDescent="0.25">
      <c r="AM1942" s="2">
        <v>1939</v>
      </c>
      <c r="AN1942" s="33">
        <v>9.0606665860398106E-3</v>
      </c>
      <c r="AO1942" s="33">
        <v>7.206782360493451E-4</v>
      </c>
    </row>
    <row r="1943" spans="39:41" x14ac:dyDescent="0.25">
      <c r="AM1943" s="2">
        <v>1940</v>
      </c>
      <c r="AN1943" s="33">
        <v>1.0167625035666965E-2</v>
      </c>
      <c r="AO1943" s="33">
        <v>5.1822471548291474E-4</v>
      </c>
    </row>
    <row r="1944" spans="39:41" x14ac:dyDescent="0.25">
      <c r="AM1944" s="2">
        <v>1941</v>
      </c>
      <c r="AN1944" s="33">
        <v>1.6559596980008532E-2</v>
      </c>
      <c r="AO1944" s="33">
        <v>1.2728108839149784E-3</v>
      </c>
    </row>
    <row r="1945" spans="39:41" x14ac:dyDescent="0.25">
      <c r="AM1945" s="2">
        <v>1942</v>
      </c>
      <c r="AN1945" s="33">
        <v>1.2057384636682607E-2</v>
      </c>
      <c r="AO1945" s="33">
        <v>4.3112807063074292E-4</v>
      </c>
    </row>
    <row r="1946" spans="39:41" x14ac:dyDescent="0.25">
      <c r="AM1946" s="2">
        <v>1943</v>
      </c>
      <c r="AN1946" s="33">
        <v>1.1392628690599401E-2</v>
      </c>
      <c r="AO1946" s="33">
        <v>8.9271276425368642E-4</v>
      </c>
    </row>
    <row r="1947" spans="39:41" x14ac:dyDescent="0.25">
      <c r="AM1947" s="2">
        <v>1944</v>
      </c>
      <c r="AN1947" s="33">
        <v>9.2014418198923323E-3</v>
      </c>
      <c r="AO1947" s="33">
        <v>2.233981094605989E-4</v>
      </c>
    </row>
    <row r="1948" spans="39:41" x14ac:dyDescent="0.25">
      <c r="AM1948" s="2">
        <v>1945</v>
      </c>
      <c r="AN1948" s="33">
        <v>1.259484588654722E-2</v>
      </c>
      <c r="AO1948" s="33">
        <v>1.0860703239976705E-3</v>
      </c>
    </row>
    <row r="1949" spans="39:41" x14ac:dyDescent="0.25">
      <c r="AM1949" s="2">
        <v>1946</v>
      </c>
      <c r="AN1949" s="33">
        <v>1.2427346458678858E-2</v>
      </c>
      <c r="AO1949" s="33">
        <v>1.2381500101683338E-3</v>
      </c>
    </row>
    <row r="1950" spans="39:41" x14ac:dyDescent="0.25">
      <c r="AM1950" s="2">
        <v>1947</v>
      </c>
      <c r="AN1950" s="33">
        <v>9.8736517695236885E-3</v>
      </c>
      <c r="AO1950" s="33">
        <v>8.7693609965343615E-4</v>
      </c>
    </row>
    <row r="1951" spans="39:41" x14ac:dyDescent="0.25">
      <c r="AM1951" s="2">
        <v>1948</v>
      </c>
      <c r="AN1951" s="33">
        <v>1.0585021816515843E-2</v>
      </c>
      <c r="AO1951" s="33">
        <v>6.9802599105042544E-4</v>
      </c>
    </row>
    <row r="1952" spans="39:41" x14ac:dyDescent="0.25">
      <c r="AM1952" s="2">
        <v>1949</v>
      </c>
      <c r="AN1952" s="33">
        <v>1.0888581362632632E-2</v>
      </c>
      <c r="AO1952" s="33">
        <v>8.9286689933269769E-4</v>
      </c>
    </row>
    <row r="1953" spans="39:41" x14ac:dyDescent="0.25">
      <c r="AM1953" s="2">
        <v>1950</v>
      </c>
      <c r="AN1953" s="33">
        <v>1.0582980133477901E-2</v>
      </c>
      <c r="AO1953" s="33">
        <v>9.3824140091850773E-4</v>
      </c>
    </row>
    <row r="1954" spans="39:41" x14ac:dyDescent="0.25">
      <c r="AM1954" s="2">
        <v>1951</v>
      </c>
      <c r="AN1954" s="33">
        <v>1.2757308704438338E-2</v>
      </c>
      <c r="AO1954" s="33">
        <v>6.275089007739186E-4</v>
      </c>
    </row>
    <row r="1955" spans="39:41" x14ac:dyDescent="0.25">
      <c r="AM1955" s="2">
        <v>1952</v>
      </c>
      <c r="AN1955" s="33">
        <v>1.3511890818263095E-2</v>
      </c>
      <c r="AO1955" s="33">
        <v>1.1768906257808881E-3</v>
      </c>
    </row>
    <row r="1956" spans="39:41" x14ac:dyDescent="0.25">
      <c r="AM1956" s="2">
        <v>1953</v>
      </c>
      <c r="AN1956" s="33">
        <v>1.0861709501897196E-2</v>
      </c>
      <c r="AO1956" s="33">
        <v>6.9863287750689639E-4</v>
      </c>
    </row>
    <row r="1957" spans="39:41" x14ac:dyDescent="0.25">
      <c r="AM1957" s="2">
        <v>1954</v>
      </c>
      <c r="AN1957" s="33">
        <v>1.1686536436377702E-2</v>
      </c>
      <c r="AO1957" s="33">
        <v>9.3791863563905207E-4</v>
      </c>
    </row>
    <row r="1958" spans="39:41" x14ac:dyDescent="0.25">
      <c r="AM1958" s="2">
        <v>1955</v>
      </c>
      <c r="AN1958" s="33">
        <v>1.1655593414339797E-2</v>
      </c>
      <c r="AO1958" s="33">
        <v>9.0341215078151794E-4</v>
      </c>
    </row>
    <row r="1959" spans="39:41" x14ac:dyDescent="0.25">
      <c r="AM1959" s="2">
        <v>1956</v>
      </c>
      <c r="AN1959" s="33">
        <v>8.2821044036643851E-3</v>
      </c>
      <c r="AO1959" s="33">
        <v>6.2479533291999922E-4</v>
      </c>
    </row>
    <row r="1960" spans="39:41" x14ac:dyDescent="0.25">
      <c r="AM1960" s="2">
        <v>1957</v>
      </c>
      <c r="AN1960" s="33">
        <v>1.3126080131722844E-2</v>
      </c>
      <c r="AO1960" s="33">
        <v>1.0110391232447551E-3</v>
      </c>
    </row>
    <row r="1961" spans="39:41" x14ac:dyDescent="0.25">
      <c r="AM1961" s="2">
        <v>1958</v>
      </c>
      <c r="AN1961" s="33">
        <v>8.4882706999038614E-3</v>
      </c>
      <c r="AO1961" s="33">
        <v>3.3558543531833905E-4</v>
      </c>
    </row>
    <row r="1962" spans="39:41" x14ac:dyDescent="0.25">
      <c r="AM1962" s="2">
        <v>1959</v>
      </c>
      <c r="AN1962" s="33">
        <v>1.0121468864417671E-2</v>
      </c>
      <c r="AO1962" s="33">
        <v>9.6349911297153635E-4</v>
      </c>
    </row>
    <row r="1963" spans="39:41" x14ac:dyDescent="0.25">
      <c r="AM1963" s="2">
        <v>1960</v>
      </c>
      <c r="AN1963" s="33">
        <v>1.0067529286450621E-2</v>
      </c>
      <c r="AO1963" s="33">
        <v>6.7512032447925724E-4</v>
      </c>
    </row>
    <row r="1964" spans="39:41" x14ac:dyDescent="0.25">
      <c r="AM1964" s="2">
        <v>1961</v>
      </c>
      <c r="AN1964" s="33">
        <v>9.2224037113922755E-3</v>
      </c>
      <c r="AO1964" s="33">
        <v>3.1908415013162281E-4</v>
      </c>
    </row>
    <row r="1965" spans="39:41" x14ac:dyDescent="0.25">
      <c r="AM1965" s="2">
        <v>1962</v>
      </c>
      <c r="AN1965" s="33">
        <v>1.1975126042626915E-2</v>
      </c>
      <c r="AO1965" s="33">
        <v>1.2243759217248382E-3</v>
      </c>
    </row>
    <row r="1966" spans="39:41" x14ac:dyDescent="0.25">
      <c r="AM1966" s="2">
        <v>1963</v>
      </c>
      <c r="AN1966" s="33">
        <v>1.0767766690891504E-2</v>
      </c>
      <c r="AO1966" s="33">
        <v>7.1162150009379532E-4</v>
      </c>
    </row>
    <row r="1967" spans="39:41" x14ac:dyDescent="0.25">
      <c r="AM1967" s="2">
        <v>1964</v>
      </c>
      <c r="AN1967" s="33">
        <v>1.3040017759333672E-2</v>
      </c>
      <c r="AO1967" s="33">
        <v>1.1566648448081305E-3</v>
      </c>
    </row>
    <row r="1968" spans="39:41" x14ac:dyDescent="0.25">
      <c r="AM1968" s="2">
        <v>1965</v>
      </c>
      <c r="AN1968" s="33">
        <v>1.3224887948093154E-2</v>
      </c>
      <c r="AO1968" s="33">
        <v>1.009735440901813E-3</v>
      </c>
    </row>
    <row r="1969" spans="39:41" x14ac:dyDescent="0.25">
      <c r="AM1969" s="2">
        <v>1966</v>
      </c>
      <c r="AN1969" s="33">
        <v>1.0237900686553869E-2</v>
      </c>
      <c r="AO1969" s="33">
        <v>5.2551817232497741E-4</v>
      </c>
    </row>
    <row r="1970" spans="39:41" x14ac:dyDescent="0.25">
      <c r="AM1970" s="2">
        <v>1967</v>
      </c>
      <c r="AN1970" s="33">
        <v>9.7900960813581371E-3</v>
      </c>
      <c r="AO1970" s="33">
        <v>1.9487446881457458E-4</v>
      </c>
    </row>
    <row r="1971" spans="39:41" x14ac:dyDescent="0.25">
      <c r="AM1971" s="2">
        <v>1968</v>
      </c>
      <c r="AN1971" s="33">
        <v>1.0193894613222195E-2</v>
      </c>
      <c r="AO1971" s="33">
        <v>5.5833237525442577E-4</v>
      </c>
    </row>
    <row r="1972" spans="39:41" x14ac:dyDescent="0.25">
      <c r="AM1972" s="2">
        <v>1969</v>
      </c>
      <c r="AN1972" s="33">
        <v>9.911669286264406E-3</v>
      </c>
      <c r="AO1972" s="33">
        <v>4.8846054963848579E-4</v>
      </c>
    </row>
    <row r="1973" spans="39:41" x14ac:dyDescent="0.25">
      <c r="AM1973" s="2">
        <v>1970</v>
      </c>
      <c r="AN1973" s="33">
        <v>1.123078106718163E-2</v>
      </c>
      <c r="AO1973" s="33">
        <v>5.8331536857164678E-4</v>
      </c>
    </row>
    <row r="1974" spans="39:41" x14ac:dyDescent="0.25">
      <c r="AM1974" s="2">
        <v>1971</v>
      </c>
      <c r="AN1974" s="33">
        <v>1.1462112210012799E-2</v>
      </c>
      <c r="AO1974" s="33">
        <v>7.2797612824536189E-4</v>
      </c>
    </row>
    <row r="1975" spans="39:41" x14ac:dyDescent="0.25">
      <c r="AM1975" s="2">
        <v>1972</v>
      </c>
      <c r="AN1975" s="33">
        <v>1.0750573999077131E-2</v>
      </c>
      <c r="AO1975" s="33">
        <v>6.3817551192737576E-4</v>
      </c>
    </row>
    <row r="1976" spans="39:41" x14ac:dyDescent="0.25">
      <c r="AM1976" s="2">
        <v>1973</v>
      </c>
      <c r="AN1976" s="33">
        <v>1.070760468636133E-2</v>
      </c>
      <c r="AO1976" s="33">
        <v>7.2900131036319679E-4</v>
      </c>
    </row>
    <row r="1977" spans="39:41" x14ac:dyDescent="0.25">
      <c r="AM1977" s="2">
        <v>1974</v>
      </c>
      <c r="AN1977" s="33">
        <v>1.4150771379801395E-2</v>
      </c>
      <c r="AO1977" s="33">
        <v>1.0231747669559527E-3</v>
      </c>
    </row>
    <row r="1978" spans="39:41" x14ac:dyDescent="0.25">
      <c r="AM1978" s="2">
        <v>1975</v>
      </c>
      <c r="AN1978" s="33">
        <v>1.431426156148671E-2</v>
      </c>
      <c r="AO1978" s="33">
        <v>2.2745239325626761E-4</v>
      </c>
    </row>
    <row r="1979" spans="39:41" x14ac:dyDescent="0.25">
      <c r="AM1979" s="2">
        <v>1976</v>
      </c>
      <c r="AN1979" s="33">
        <v>1.0228932210945152E-2</v>
      </c>
      <c r="AO1979" s="33">
        <v>6.0031057652665297E-4</v>
      </c>
    </row>
    <row r="1980" spans="39:41" x14ac:dyDescent="0.25">
      <c r="AM1980" s="2">
        <v>1977</v>
      </c>
      <c r="AN1980" s="33">
        <v>9.5938096899834228E-3</v>
      </c>
      <c r="AO1980" s="33">
        <v>6.8675345456939798E-4</v>
      </c>
    </row>
    <row r="1981" spans="39:41" x14ac:dyDescent="0.25">
      <c r="AM1981" s="2">
        <v>1978</v>
      </c>
      <c r="AN1981" s="33">
        <v>1.1466517243714435E-2</v>
      </c>
      <c r="AO1981" s="33">
        <v>1.1066175518708136E-3</v>
      </c>
    </row>
    <row r="1982" spans="39:41" x14ac:dyDescent="0.25">
      <c r="AM1982" s="2">
        <v>1979</v>
      </c>
      <c r="AN1982" s="33">
        <v>1.1186463034781871E-2</v>
      </c>
      <c r="AO1982" s="33">
        <v>7.7622510301127254E-4</v>
      </c>
    </row>
    <row r="1983" spans="39:41" x14ac:dyDescent="0.25">
      <c r="AM1983" s="2">
        <v>1980</v>
      </c>
      <c r="AN1983" s="33">
        <v>1.3475641050430087E-2</v>
      </c>
      <c r="AO1983" s="33">
        <v>8.7010316509172317E-4</v>
      </c>
    </row>
    <row r="1984" spans="39:41" x14ac:dyDescent="0.25">
      <c r="AM1984" s="2">
        <v>1981</v>
      </c>
      <c r="AN1984" s="33">
        <v>8.2999686406433123E-3</v>
      </c>
      <c r="AO1984" s="33">
        <v>4.3968173233581328E-4</v>
      </c>
    </row>
    <row r="1985" spans="39:41" x14ac:dyDescent="0.25">
      <c r="AM1985" s="2">
        <v>1982</v>
      </c>
      <c r="AN1985" s="33">
        <v>1.1849127308881421E-2</v>
      </c>
      <c r="AO1985" s="33">
        <v>8.582250918311075E-4</v>
      </c>
    </row>
    <row r="1986" spans="39:41" x14ac:dyDescent="0.25">
      <c r="AM1986" s="2">
        <v>1983</v>
      </c>
      <c r="AN1986" s="33">
        <v>1.1945733218607441E-2</v>
      </c>
      <c r="AO1986" s="33">
        <v>1.0197873199000542E-3</v>
      </c>
    </row>
    <row r="1987" spans="39:41" x14ac:dyDescent="0.25">
      <c r="AM1987" s="2">
        <v>1984</v>
      </c>
      <c r="AN1987" s="33">
        <v>1.151260399525068E-2</v>
      </c>
      <c r="AO1987" s="33">
        <v>9.4774666008191899E-4</v>
      </c>
    </row>
    <row r="1988" spans="39:41" x14ac:dyDescent="0.25">
      <c r="AM1988" s="2">
        <v>1985</v>
      </c>
      <c r="AN1988" s="33">
        <v>1.0224233483685894E-2</v>
      </c>
      <c r="AO1988" s="33">
        <v>7.5132492293571087E-4</v>
      </c>
    </row>
    <row r="1989" spans="39:41" x14ac:dyDescent="0.25">
      <c r="AM1989" s="2">
        <v>1986</v>
      </c>
      <c r="AN1989" s="33">
        <v>9.5264857153693448E-3</v>
      </c>
      <c r="AO1989" s="33">
        <v>7.3240080639352186E-4</v>
      </c>
    </row>
    <row r="1990" spans="39:41" x14ac:dyDescent="0.25">
      <c r="AM1990" s="2">
        <v>1987</v>
      </c>
      <c r="AN1990" s="33">
        <v>1.1376520797731712E-2</v>
      </c>
      <c r="AO1990" s="33">
        <v>2.2923561009300609E-4</v>
      </c>
    </row>
    <row r="1991" spans="39:41" x14ac:dyDescent="0.25">
      <c r="AM1991" s="2">
        <v>1988</v>
      </c>
      <c r="AN1991" s="33">
        <v>1.312582569975649E-2</v>
      </c>
      <c r="AO1991" s="33">
        <v>9.8891078211892796E-4</v>
      </c>
    </row>
    <row r="1992" spans="39:41" x14ac:dyDescent="0.25">
      <c r="AM1992" s="2">
        <v>1989</v>
      </c>
      <c r="AN1992" s="33">
        <v>1.0952716498988921E-2</v>
      </c>
      <c r="AO1992" s="33">
        <v>1.0420410987485177E-3</v>
      </c>
    </row>
    <row r="1993" spans="39:41" x14ac:dyDescent="0.25">
      <c r="AM1993" s="2">
        <v>1990</v>
      </c>
      <c r="AN1993" s="33">
        <v>1.2278303294250439E-2</v>
      </c>
      <c r="AO1993" s="33">
        <v>6.9478862596706399E-4</v>
      </c>
    </row>
    <row r="1994" spans="39:41" x14ac:dyDescent="0.25">
      <c r="AM1994" s="2">
        <v>1991</v>
      </c>
      <c r="AN1994" s="33">
        <v>1.3875801437017525E-2</v>
      </c>
      <c r="AO1994" s="33">
        <v>1.2145034329782368E-3</v>
      </c>
    </row>
    <row r="1995" spans="39:41" x14ac:dyDescent="0.25">
      <c r="AM1995" s="2">
        <v>1992</v>
      </c>
      <c r="AN1995" s="33">
        <v>1.2992407278082426E-2</v>
      </c>
      <c r="AO1995" s="33">
        <v>1.3518520957977083E-3</v>
      </c>
    </row>
    <row r="1996" spans="39:41" x14ac:dyDescent="0.25">
      <c r="AM1996" s="2">
        <v>1993</v>
      </c>
      <c r="AN1996" s="33">
        <v>1.2680343133709191E-2</v>
      </c>
      <c r="AO1996" s="33">
        <v>8.6598762986394597E-4</v>
      </c>
    </row>
    <row r="1997" spans="39:41" x14ac:dyDescent="0.25">
      <c r="AM1997" s="2">
        <v>1994</v>
      </c>
      <c r="AN1997" s="33">
        <v>1.4468149899331477E-2</v>
      </c>
      <c r="AO1997" s="33">
        <v>1.4127826964294441E-3</v>
      </c>
    </row>
    <row r="1998" spans="39:41" x14ac:dyDescent="0.25">
      <c r="AM1998" s="2">
        <v>1995</v>
      </c>
      <c r="AN1998" s="33">
        <v>1.0069831221082438E-2</v>
      </c>
      <c r="AO1998" s="33">
        <v>7.6779584060057856E-4</v>
      </c>
    </row>
    <row r="1999" spans="39:41" x14ac:dyDescent="0.25">
      <c r="AM1999" s="2">
        <v>1996</v>
      </c>
      <c r="AN1999" s="33">
        <v>1.2339383061217389E-2</v>
      </c>
      <c r="AO1999" s="33">
        <v>1.1453499900700703E-3</v>
      </c>
    </row>
    <row r="2000" spans="39:41" x14ac:dyDescent="0.25">
      <c r="AM2000" s="2">
        <v>1997</v>
      </c>
      <c r="AN2000" s="33">
        <v>1.105600752665932E-2</v>
      </c>
      <c r="AO2000" s="33">
        <v>7.2409170790734792E-4</v>
      </c>
    </row>
    <row r="2001" spans="39:41" x14ac:dyDescent="0.25">
      <c r="AM2001" s="2">
        <v>1998</v>
      </c>
      <c r="AN2001" s="33">
        <v>9.5153226086923844E-3</v>
      </c>
      <c r="AO2001" s="33">
        <v>5.8604479853684838E-4</v>
      </c>
    </row>
    <row r="2002" spans="39:41" x14ac:dyDescent="0.25">
      <c r="AM2002" s="2">
        <v>1999</v>
      </c>
      <c r="AN2002" s="33">
        <v>1.0864976490715472E-2</v>
      </c>
      <c r="AO2002" s="33">
        <v>5.0025321537458653E-4</v>
      </c>
    </row>
    <row r="2003" spans="39:41" x14ac:dyDescent="0.25">
      <c r="AM2003" s="2">
        <v>2000</v>
      </c>
      <c r="AN2003" s="33">
        <v>1.1018029981575344E-2</v>
      </c>
      <c r="AO2003" s="33">
        <v>8.4593811729684061E-4</v>
      </c>
    </row>
    <row r="2004" spans="39:41" x14ac:dyDescent="0.25">
      <c r="AM2004" s="2">
        <v>2001</v>
      </c>
      <c r="AN2004" s="33">
        <v>1.2006081599402486E-2</v>
      </c>
      <c r="AO2004" s="33">
        <v>6.9080838496228634E-4</v>
      </c>
    </row>
    <row r="2005" spans="39:41" x14ac:dyDescent="0.25">
      <c r="AM2005" s="2">
        <v>2002</v>
      </c>
      <c r="AN2005" s="33">
        <v>8.0286175602958046E-3</v>
      </c>
      <c r="AO2005" s="33">
        <v>4.5995865520158456E-4</v>
      </c>
    </row>
    <row r="2006" spans="39:41" x14ac:dyDescent="0.25">
      <c r="AM2006" s="2">
        <v>2003</v>
      </c>
      <c r="AN2006" s="33">
        <v>1.168982723909342E-2</v>
      </c>
      <c r="AO2006" s="33">
        <v>8.2727401237393783E-4</v>
      </c>
    </row>
    <row r="2007" spans="39:41" x14ac:dyDescent="0.25">
      <c r="AM2007" s="2">
        <v>2004</v>
      </c>
      <c r="AN2007" s="33">
        <v>1.2576498359834491E-2</v>
      </c>
      <c r="AO2007" s="33">
        <v>1.0247349378669983E-3</v>
      </c>
    </row>
    <row r="2008" spans="39:41" x14ac:dyDescent="0.25">
      <c r="AM2008" s="2">
        <v>2005</v>
      </c>
      <c r="AN2008" s="33">
        <v>1.1220252000961802E-2</v>
      </c>
      <c r="AO2008" s="33">
        <v>8.2048122077558647E-4</v>
      </c>
    </row>
    <row r="2009" spans="39:41" x14ac:dyDescent="0.25">
      <c r="AM2009" s="2">
        <v>2006</v>
      </c>
      <c r="AN2009" s="33">
        <v>1.3335466338179716E-2</v>
      </c>
      <c r="AO2009" s="33">
        <v>7.046837452651777E-4</v>
      </c>
    </row>
    <row r="2010" spans="39:41" x14ac:dyDescent="0.25">
      <c r="AM2010" s="2">
        <v>2007</v>
      </c>
      <c r="AN2010" s="33">
        <v>1.1512528978016849E-2</v>
      </c>
      <c r="AO2010" s="33">
        <v>8.6832263392856083E-4</v>
      </c>
    </row>
    <row r="2011" spans="39:41" x14ac:dyDescent="0.25">
      <c r="AM2011" s="2">
        <v>2008</v>
      </c>
      <c r="AN2011" s="33">
        <v>9.8012182241404948E-3</v>
      </c>
      <c r="AO2011" s="33">
        <v>8.62088558303487E-4</v>
      </c>
    </row>
    <row r="2012" spans="39:41" x14ac:dyDescent="0.25">
      <c r="AM2012" s="2">
        <v>2009</v>
      </c>
      <c r="AN2012" s="33">
        <v>1.0895763251374075E-2</v>
      </c>
      <c r="AO2012" s="33">
        <v>4.3858932497057662E-4</v>
      </c>
    </row>
    <row r="2013" spans="39:41" x14ac:dyDescent="0.25">
      <c r="AM2013" s="2">
        <v>2010</v>
      </c>
      <c r="AN2013" s="33">
        <v>9.8609963106928242E-3</v>
      </c>
      <c r="AO2013" s="33">
        <v>4.64248191164058E-4</v>
      </c>
    </row>
    <row r="2014" spans="39:41" x14ac:dyDescent="0.25">
      <c r="AM2014" s="2">
        <v>2011</v>
      </c>
      <c r="AN2014" s="33">
        <v>1.3188132471653152E-2</v>
      </c>
      <c r="AO2014" s="33">
        <v>7.058117766208555E-4</v>
      </c>
    </row>
    <row r="2015" spans="39:41" x14ac:dyDescent="0.25">
      <c r="AM2015" s="2">
        <v>2012</v>
      </c>
      <c r="AN2015" s="33">
        <v>9.7761389137133257E-3</v>
      </c>
      <c r="AO2015" s="33">
        <v>2.7926936686163944E-4</v>
      </c>
    </row>
    <row r="2016" spans="39:41" x14ac:dyDescent="0.25">
      <c r="AM2016" s="2">
        <v>2013</v>
      </c>
      <c r="AN2016" s="33">
        <v>1.4006738978545394E-2</v>
      </c>
      <c r="AO2016" s="33">
        <v>1.0406176616996866E-3</v>
      </c>
    </row>
    <row r="2017" spans="39:41" x14ac:dyDescent="0.25">
      <c r="AM2017" s="2">
        <v>2014</v>
      </c>
      <c r="AN2017" s="33">
        <v>8.288501976454905E-3</v>
      </c>
      <c r="AO2017" s="33">
        <v>6.1239222890418393E-4</v>
      </c>
    </row>
    <row r="2018" spans="39:41" x14ac:dyDescent="0.25">
      <c r="AM2018" s="2">
        <v>2015</v>
      </c>
      <c r="AN2018" s="33">
        <v>1.3798808197864849E-2</v>
      </c>
      <c r="AO2018" s="33">
        <v>1.0002466476579331E-3</v>
      </c>
    </row>
    <row r="2019" spans="39:41" x14ac:dyDescent="0.25">
      <c r="AM2019" s="2">
        <v>2016</v>
      </c>
      <c r="AN2019" s="33">
        <v>1.0276988261714547E-2</v>
      </c>
      <c r="AO2019" s="33">
        <v>7.3807037055954584E-5</v>
      </c>
    </row>
    <row r="2020" spans="39:41" x14ac:dyDescent="0.25">
      <c r="AM2020" s="2">
        <v>2017</v>
      </c>
      <c r="AN2020" s="33">
        <v>1.0024404979808024E-2</v>
      </c>
      <c r="AO2020" s="33">
        <v>5.2342557942478235E-4</v>
      </c>
    </row>
    <row r="2021" spans="39:41" x14ac:dyDescent="0.25">
      <c r="AM2021" s="2">
        <v>2018</v>
      </c>
      <c r="AN2021" s="33">
        <v>1.3790220170712384E-2</v>
      </c>
      <c r="AO2021" s="33">
        <v>9.8268226665653878E-4</v>
      </c>
    </row>
    <row r="2022" spans="39:41" x14ac:dyDescent="0.25">
      <c r="AM2022" s="2">
        <v>2019</v>
      </c>
      <c r="AN2022" s="33">
        <v>1.3138825060956545E-2</v>
      </c>
      <c r="AO2022" s="33">
        <v>1.0735823824884424E-3</v>
      </c>
    </row>
    <row r="2023" spans="39:41" x14ac:dyDescent="0.25">
      <c r="AM2023" s="2">
        <v>2020</v>
      </c>
      <c r="AN2023" s="33">
        <v>1.279816571628991E-2</v>
      </c>
      <c r="AO2023" s="33">
        <v>9.8089145222656957E-4</v>
      </c>
    </row>
    <row r="2024" spans="39:41" x14ac:dyDescent="0.25">
      <c r="AM2024" s="2">
        <v>2021</v>
      </c>
      <c r="AN2024" s="33">
        <v>1.3621110764055434E-2</v>
      </c>
      <c r="AO2024" s="33">
        <v>1.1424826630975667E-3</v>
      </c>
    </row>
    <row r="2025" spans="39:41" x14ac:dyDescent="0.25">
      <c r="AM2025" s="2">
        <v>2022</v>
      </c>
      <c r="AN2025" s="33">
        <v>1.1051485900979575E-2</v>
      </c>
      <c r="AO2025" s="33">
        <v>6.7431617438784282E-4</v>
      </c>
    </row>
    <row r="2026" spans="39:41" x14ac:dyDescent="0.25">
      <c r="AM2026" s="2">
        <v>2023</v>
      </c>
      <c r="AN2026" s="33">
        <v>9.7576689438638366E-3</v>
      </c>
      <c r="AO2026" s="33">
        <v>6.3729681510930512E-4</v>
      </c>
    </row>
    <row r="2027" spans="39:41" x14ac:dyDescent="0.25">
      <c r="AM2027" s="2">
        <v>2024</v>
      </c>
      <c r="AN2027" s="33">
        <v>1.1057261461379326E-2</v>
      </c>
      <c r="AO2027" s="33">
        <v>1.0588833362721168E-3</v>
      </c>
    </row>
    <row r="2028" spans="39:41" x14ac:dyDescent="0.25">
      <c r="AM2028" s="2">
        <v>2025</v>
      </c>
      <c r="AN2028" s="33">
        <v>1.1565423415405165E-2</v>
      </c>
      <c r="AO2028" s="33">
        <v>6.3111883968515643E-4</v>
      </c>
    </row>
    <row r="2029" spans="39:41" x14ac:dyDescent="0.25">
      <c r="AM2029" s="2">
        <v>2026</v>
      </c>
      <c r="AN2029" s="33">
        <v>9.8118188554136097E-3</v>
      </c>
      <c r="AO2029" s="33">
        <v>9.131334745334426E-4</v>
      </c>
    </row>
    <row r="2030" spans="39:41" x14ac:dyDescent="0.25">
      <c r="AM2030" s="2">
        <v>2027</v>
      </c>
      <c r="AN2030" s="33">
        <v>9.8308101415144518E-3</v>
      </c>
      <c r="AO2030" s="33">
        <v>6.0299773494743361E-4</v>
      </c>
    </row>
    <row r="2031" spans="39:41" x14ac:dyDescent="0.25">
      <c r="AM2031" s="2">
        <v>2028</v>
      </c>
      <c r="AN2031" s="33">
        <v>9.7977834840248645E-3</v>
      </c>
      <c r="AO2031" s="33">
        <v>5.4838569461545584E-4</v>
      </c>
    </row>
    <row r="2032" spans="39:41" x14ac:dyDescent="0.25">
      <c r="AM2032" s="2">
        <v>2029</v>
      </c>
      <c r="AN2032" s="33">
        <v>1.190086754821703E-2</v>
      </c>
      <c r="AO2032" s="33">
        <v>6.9762468275186946E-4</v>
      </c>
    </row>
    <row r="2033" spans="39:41" x14ac:dyDescent="0.25">
      <c r="AM2033" s="2">
        <v>2030</v>
      </c>
      <c r="AN2033" s="33">
        <v>1.3045699662304171E-2</v>
      </c>
      <c r="AO2033" s="33">
        <v>1.0064519686429517E-3</v>
      </c>
    </row>
    <row r="2034" spans="39:41" x14ac:dyDescent="0.25">
      <c r="AM2034" s="2">
        <v>2031</v>
      </c>
      <c r="AN2034" s="33">
        <v>1.4365873363094821E-2</v>
      </c>
      <c r="AO2034" s="33">
        <v>1.0089674639484267E-3</v>
      </c>
    </row>
    <row r="2035" spans="39:41" x14ac:dyDescent="0.25">
      <c r="AM2035" s="2">
        <v>2032</v>
      </c>
      <c r="AN2035" s="33">
        <v>9.6582962356824252E-3</v>
      </c>
      <c r="AO2035" s="33">
        <v>6.6076076084136217E-4</v>
      </c>
    </row>
    <row r="2036" spans="39:41" x14ac:dyDescent="0.25">
      <c r="AM2036" s="2">
        <v>2033</v>
      </c>
      <c r="AN2036" s="33">
        <v>9.2064861344797171E-3</v>
      </c>
      <c r="AO2036" s="33">
        <v>2.4431939316804131E-4</v>
      </c>
    </row>
    <row r="2037" spans="39:41" x14ac:dyDescent="0.25">
      <c r="AM2037" s="2">
        <v>2034</v>
      </c>
      <c r="AN2037" s="33">
        <v>1.0360622655028009E-2</v>
      </c>
      <c r="AO2037" s="33">
        <v>6.0122799793840582E-4</v>
      </c>
    </row>
    <row r="2038" spans="39:41" x14ac:dyDescent="0.25">
      <c r="AM2038" s="2">
        <v>2035</v>
      </c>
      <c r="AN2038" s="33">
        <v>1.6029539693626318E-2</v>
      </c>
      <c r="AO2038" s="33">
        <v>1.1259918954004103E-3</v>
      </c>
    </row>
    <row r="2039" spans="39:41" x14ac:dyDescent="0.25">
      <c r="AM2039" s="2">
        <v>2036</v>
      </c>
      <c r="AN2039" s="33">
        <v>1.3135614752272467E-2</v>
      </c>
      <c r="AO2039" s="33">
        <v>1.2283354780404123E-3</v>
      </c>
    </row>
    <row r="2040" spans="39:41" x14ac:dyDescent="0.25">
      <c r="AM2040" s="2">
        <v>2037</v>
      </c>
      <c r="AN2040" s="33">
        <v>1.0959566863398971E-2</v>
      </c>
      <c r="AO2040" s="33">
        <v>5.9054983701880941E-4</v>
      </c>
    </row>
    <row r="2041" spans="39:41" x14ac:dyDescent="0.25">
      <c r="AM2041" s="2">
        <v>2038</v>
      </c>
      <c r="AN2041" s="33">
        <v>1.1779301589909398E-2</v>
      </c>
      <c r="AO2041" s="33">
        <v>7.6513757509694949E-4</v>
      </c>
    </row>
    <row r="2042" spans="39:41" x14ac:dyDescent="0.25">
      <c r="AM2042" s="2">
        <v>2039</v>
      </c>
      <c r="AN2042" s="33">
        <v>1.2580405993693301E-2</v>
      </c>
      <c r="AO2042" s="33">
        <v>4.850961841982302E-4</v>
      </c>
    </row>
    <row r="2043" spans="39:41" x14ac:dyDescent="0.25">
      <c r="AM2043" s="2">
        <v>2040</v>
      </c>
      <c r="AN2043" s="33">
        <v>7.6684430006139503E-3</v>
      </c>
      <c r="AO2043" s="33">
        <v>4.1259185669177548E-4</v>
      </c>
    </row>
    <row r="2044" spans="39:41" x14ac:dyDescent="0.25">
      <c r="AM2044" s="2">
        <v>2041</v>
      </c>
      <c r="AN2044" s="33">
        <v>1.3829183925854697E-2</v>
      </c>
      <c r="AO2044" s="33">
        <v>9.0558088854221974E-4</v>
      </c>
    </row>
    <row r="2045" spans="39:41" x14ac:dyDescent="0.25">
      <c r="AM2045" s="2">
        <v>2042</v>
      </c>
      <c r="AN2045" s="33">
        <v>7.6969645598808896E-3</v>
      </c>
      <c r="AO2045" s="33">
        <v>3.509807862573435E-4</v>
      </c>
    </row>
    <row r="2046" spans="39:41" x14ac:dyDescent="0.25">
      <c r="AM2046" s="2">
        <v>2043</v>
      </c>
      <c r="AN2046" s="33">
        <v>1.1114824267308858E-2</v>
      </c>
      <c r="AO2046" s="33">
        <v>3.7319953046637439E-4</v>
      </c>
    </row>
    <row r="2047" spans="39:41" x14ac:dyDescent="0.25">
      <c r="AM2047" s="2">
        <v>2044</v>
      </c>
      <c r="AN2047" s="33">
        <v>1.111056355106519E-2</v>
      </c>
      <c r="AO2047" s="33">
        <v>8.013091493464619E-4</v>
      </c>
    </row>
    <row r="2048" spans="39:41" x14ac:dyDescent="0.25">
      <c r="AM2048" s="2">
        <v>2045</v>
      </c>
      <c r="AN2048" s="33">
        <v>1.3317300464707251E-2</v>
      </c>
      <c r="AO2048" s="33">
        <v>1.3505567681492252E-3</v>
      </c>
    </row>
    <row r="2049" spans="39:41" x14ac:dyDescent="0.25">
      <c r="AM2049" s="2">
        <v>2046</v>
      </c>
      <c r="AN2049" s="33">
        <v>1.5246917532274805E-2</v>
      </c>
      <c r="AO2049" s="33">
        <v>1.028599073914363E-3</v>
      </c>
    </row>
    <row r="2050" spans="39:41" x14ac:dyDescent="0.25">
      <c r="AM2050" s="2">
        <v>2047</v>
      </c>
      <c r="AN2050" s="33">
        <v>1.2109909040089191E-2</v>
      </c>
      <c r="AO2050" s="33">
        <v>1.211641693527659E-3</v>
      </c>
    </row>
    <row r="2051" spans="39:41" x14ac:dyDescent="0.25">
      <c r="AM2051" s="2">
        <v>2048</v>
      </c>
      <c r="AN2051" s="33">
        <v>1.150669712562135E-2</v>
      </c>
      <c r="AO2051" s="33">
        <v>2.2231608016227939E-4</v>
      </c>
    </row>
    <row r="2052" spans="39:41" x14ac:dyDescent="0.25">
      <c r="AM2052" s="2">
        <v>2049</v>
      </c>
      <c r="AN2052" s="33">
        <v>1.3708509587330133E-2</v>
      </c>
      <c r="AO2052" s="33">
        <v>3.4711923648291366E-4</v>
      </c>
    </row>
    <row r="2053" spans="39:41" x14ac:dyDescent="0.25">
      <c r="AM2053" s="2">
        <v>2050</v>
      </c>
      <c r="AN2053" s="33">
        <v>1.6710088755473425E-2</v>
      </c>
      <c r="AO2053" s="33">
        <v>1.2518599418110958E-3</v>
      </c>
    </row>
    <row r="2054" spans="39:41" x14ac:dyDescent="0.25">
      <c r="AM2054" s="2">
        <v>2051</v>
      </c>
      <c r="AN2054" s="33">
        <v>1.1995801908195098E-2</v>
      </c>
      <c r="AO2054" s="33">
        <v>7.4791780717145605E-4</v>
      </c>
    </row>
    <row r="2055" spans="39:41" x14ac:dyDescent="0.25">
      <c r="AM2055" s="2">
        <v>2052</v>
      </c>
      <c r="AN2055" s="33">
        <v>1.150088153731159E-2</v>
      </c>
      <c r="AO2055" s="33">
        <v>7.2496307735511831E-4</v>
      </c>
    </row>
    <row r="2056" spans="39:41" x14ac:dyDescent="0.25">
      <c r="AM2056" s="2">
        <v>2053</v>
      </c>
      <c r="AN2056" s="33">
        <v>9.9461278707220074E-3</v>
      </c>
      <c r="AO2056" s="33">
        <v>7.0678880122719112E-4</v>
      </c>
    </row>
    <row r="2057" spans="39:41" x14ac:dyDescent="0.25">
      <c r="AM2057" s="2">
        <v>2054</v>
      </c>
      <c r="AN2057" s="33">
        <v>1.2544901630198137E-2</v>
      </c>
      <c r="AO2057" s="33">
        <v>6.2688410704741767E-4</v>
      </c>
    </row>
    <row r="2058" spans="39:41" x14ac:dyDescent="0.25">
      <c r="AM2058" s="2">
        <v>2055</v>
      </c>
      <c r="AN2058" s="33">
        <v>1.4517046464974731E-2</v>
      </c>
      <c r="AO2058" s="33">
        <v>1.4264548101478186E-3</v>
      </c>
    </row>
    <row r="2059" spans="39:41" x14ac:dyDescent="0.25">
      <c r="AM2059" s="2">
        <v>2056</v>
      </c>
      <c r="AN2059" s="33">
        <v>1.3192973389974844E-2</v>
      </c>
      <c r="AO2059" s="33">
        <v>1.0137308466708602E-3</v>
      </c>
    </row>
    <row r="2060" spans="39:41" x14ac:dyDescent="0.25">
      <c r="AM2060" s="2">
        <v>2057</v>
      </c>
      <c r="AN2060" s="33">
        <v>1.5928710567235795E-2</v>
      </c>
      <c r="AO2060" s="33">
        <v>1.5539121597094891E-3</v>
      </c>
    </row>
    <row r="2061" spans="39:41" x14ac:dyDescent="0.25">
      <c r="AM2061" s="2">
        <v>2058</v>
      </c>
      <c r="AN2061" s="33">
        <v>1.2527867659568911E-2</v>
      </c>
      <c r="AO2061" s="33">
        <v>9.3102989154054332E-4</v>
      </c>
    </row>
    <row r="2062" spans="39:41" x14ac:dyDescent="0.25">
      <c r="AM2062" s="2">
        <v>2059</v>
      </c>
      <c r="AN2062" s="33">
        <v>1.1758339930142046E-2</v>
      </c>
      <c r="AO2062" s="33">
        <v>5.9721832905063727E-4</v>
      </c>
    </row>
    <row r="2063" spans="39:41" x14ac:dyDescent="0.25">
      <c r="AM2063" s="2">
        <v>2060</v>
      </c>
      <c r="AN2063" s="33">
        <v>1.0503801677525662E-2</v>
      </c>
      <c r="AO2063" s="33">
        <v>6.7735371999868015E-4</v>
      </c>
    </row>
    <row r="2064" spans="39:41" x14ac:dyDescent="0.25">
      <c r="AM2064" s="2">
        <v>2061</v>
      </c>
      <c r="AN2064" s="33">
        <v>1.2371651792485963E-2</v>
      </c>
      <c r="AO2064" s="33">
        <v>9.0123619653686168E-4</v>
      </c>
    </row>
    <row r="2065" spans="39:41" x14ac:dyDescent="0.25">
      <c r="AM2065" s="2">
        <v>2062</v>
      </c>
      <c r="AN2065" s="33">
        <v>1.1786793465563725E-2</v>
      </c>
      <c r="AO2065" s="33">
        <v>8.7437570130268101E-4</v>
      </c>
    </row>
    <row r="2066" spans="39:41" x14ac:dyDescent="0.25">
      <c r="AM2066" s="2">
        <v>2063</v>
      </c>
      <c r="AN2066" s="33">
        <v>1.1851078616166414E-2</v>
      </c>
      <c r="AO2066" s="33">
        <v>5.1785819354392649E-4</v>
      </c>
    </row>
    <row r="2067" spans="39:41" x14ac:dyDescent="0.25">
      <c r="AM2067" s="2">
        <v>2064</v>
      </c>
      <c r="AN2067" s="33">
        <v>1.3759329792624861E-2</v>
      </c>
      <c r="AO2067" s="33">
        <v>8.6498958517850172E-4</v>
      </c>
    </row>
    <row r="2068" spans="39:41" x14ac:dyDescent="0.25">
      <c r="AM2068" s="2">
        <v>2065</v>
      </c>
      <c r="AN2068" s="33">
        <v>1.0264589191184767E-2</v>
      </c>
      <c r="AO2068" s="33">
        <v>4.1302336434904664E-4</v>
      </c>
    </row>
    <row r="2069" spans="39:41" x14ac:dyDescent="0.25">
      <c r="AM2069" s="2">
        <v>2066</v>
      </c>
      <c r="AN2069" s="33">
        <v>8.9704574481642707E-3</v>
      </c>
      <c r="AO2069" s="33">
        <v>5.2895761738620112E-4</v>
      </c>
    </row>
    <row r="2070" spans="39:41" x14ac:dyDescent="0.25">
      <c r="AM2070" s="2">
        <v>2067</v>
      </c>
      <c r="AN2070" s="33">
        <v>1.2462628787714966E-2</v>
      </c>
      <c r="AO2070" s="33">
        <v>1.1602248386189701E-3</v>
      </c>
    </row>
    <row r="2071" spans="39:41" x14ac:dyDescent="0.25">
      <c r="AM2071" s="2">
        <v>2068</v>
      </c>
      <c r="AN2071" s="33">
        <v>9.1451070452146666E-3</v>
      </c>
      <c r="AO2071" s="33">
        <v>5.7734890054579797E-4</v>
      </c>
    </row>
    <row r="2072" spans="39:41" x14ac:dyDescent="0.25">
      <c r="AM2072" s="2">
        <v>2069</v>
      </c>
      <c r="AN2072" s="33">
        <v>1.2255118932991842E-2</v>
      </c>
      <c r="AO2072" s="33">
        <v>8.7927991372673648E-4</v>
      </c>
    </row>
    <row r="2073" spans="39:41" x14ac:dyDescent="0.25">
      <c r="AM2073" s="2">
        <v>2070</v>
      </c>
      <c r="AN2073" s="33">
        <v>7.6246426369840949E-3</v>
      </c>
      <c r="AO2073" s="33">
        <v>5.5968833234502609E-4</v>
      </c>
    </row>
    <row r="2074" spans="39:41" x14ac:dyDescent="0.25">
      <c r="AM2074" s="2">
        <v>2071</v>
      </c>
      <c r="AN2074" s="33">
        <v>2.039390723218867E-2</v>
      </c>
      <c r="AO2074" s="33">
        <v>1.3232383723479778E-3</v>
      </c>
    </row>
    <row r="2075" spans="39:41" x14ac:dyDescent="0.25">
      <c r="AM2075" s="2">
        <v>2072</v>
      </c>
      <c r="AN2075" s="33">
        <v>1.185910130733339E-2</v>
      </c>
      <c r="AO2075" s="33">
        <v>9.1766525410557351E-4</v>
      </c>
    </row>
    <row r="2076" spans="39:41" x14ac:dyDescent="0.25">
      <c r="AM2076" s="2">
        <v>2073</v>
      </c>
      <c r="AN2076" s="33">
        <v>1.3706190408657618E-2</v>
      </c>
      <c r="AO2076" s="33">
        <v>1.2563242400530283E-3</v>
      </c>
    </row>
    <row r="2077" spans="39:41" x14ac:dyDescent="0.25">
      <c r="AM2077" s="2">
        <v>2074</v>
      </c>
      <c r="AN2077" s="33">
        <v>1.4627421453934917E-2</v>
      </c>
      <c r="AO2077" s="33">
        <v>1.3828886809308456E-3</v>
      </c>
    </row>
    <row r="2078" spans="39:41" x14ac:dyDescent="0.25">
      <c r="AM2078" s="2">
        <v>2075</v>
      </c>
      <c r="AN2078" s="33">
        <v>1.380162332318041E-2</v>
      </c>
      <c r="AO2078" s="33">
        <v>1.2110515689658775E-3</v>
      </c>
    </row>
    <row r="2079" spans="39:41" x14ac:dyDescent="0.25">
      <c r="AM2079" s="2">
        <v>2076</v>
      </c>
      <c r="AN2079" s="33">
        <v>1.0089688374353529E-2</v>
      </c>
      <c r="AO2079" s="33">
        <v>4.0686621843379501E-4</v>
      </c>
    </row>
    <row r="2080" spans="39:41" x14ac:dyDescent="0.25">
      <c r="AM2080" s="2">
        <v>2077</v>
      </c>
      <c r="AN2080" s="33">
        <v>1.1940839544367254E-2</v>
      </c>
      <c r="AO2080" s="33">
        <v>8.9890204074310261E-4</v>
      </c>
    </row>
    <row r="2081" spans="39:41" x14ac:dyDescent="0.25">
      <c r="AM2081" s="2">
        <v>2078</v>
      </c>
      <c r="AN2081" s="33">
        <v>1.112364643370121E-2</v>
      </c>
      <c r="AO2081" s="33">
        <v>7.447503774168935E-4</v>
      </c>
    </row>
    <row r="2082" spans="39:41" x14ac:dyDescent="0.25">
      <c r="AM2082" s="2">
        <v>2079</v>
      </c>
      <c r="AN2082" s="33">
        <v>1.3675968761729307E-2</v>
      </c>
      <c r="AO2082" s="33">
        <v>1.1231861091648204E-3</v>
      </c>
    </row>
    <row r="2083" spans="39:41" x14ac:dyDescent="0.25">
      <c r="AM2083" s="2">
        <v>2080</v>
      </c>
      <c r="AN2083" s="33">
        <v>1.1572631512215539E-2</v>
      </c>
      <c r="AO2083" s="33">
        <v>1.0797069403090402E-3</v>
      </c>
    </row>
    <row r="2084" spans="39:41" x14ac:dyDescent="0.25">
      <c r="AM2084" s="2">
        <v>2081</v>
      </c>
      <c r="AN2084" s="33">
        <v>1.4534493188484399E-2</v>
      </c>
      <c r="AO2084" s="33">
        <v>1.3254515697705138E-3</v>
      </c>
    </row>
    <row r="2085" spans="39:41" x14ac:dyDescent="0.25">
      <c r="AM2085" s="2">
        <v>2082</v>
      </c>
      <c r="AN2085" s="33">
        <v>1.4864115590180292E-2</v>
      </c>
      <c r="AO2085" s="33">
        <v>1.0979934531137364E-3</v>
      </c>
    </row>
    <row r="2086" spans="39:41" x14ac:dyDescent="0.25">
      <c r="AM2086" s="2">
        <v>2083</v>
      </c>
      <c r="AN2086" s="33">
        <v>1.6039290537889418E-2</v>
      </c>
      <c r="AO2086" s="33">
        <v>1.6160921858768113E-3</v>
      </c>
    </row>
    <row r="2087" spans="39:41" x14ac:dyDescent="0.25">
      <c r="AM2087" s="2">
        <v>2084</v>
      </c>
      <c r="AN2087" s="33">
        <v>1.3832298133724927E-2</v>
      </c>
      <c r="AO2087" s="33">
        <v>1.2462809894357102E-3</v>
      </c>
    </row>
    <row r="2088" spans="39:41" x14ac:dyDescent="0.25">
      <c r="AM2088" s="2">
        <v>2085</v>
      </c>
      <c r="AN2088" s="33">
        <v>1.1789335913918784E-2</v>
      </c>
      <c r="AO2088" s="33">
        <v>6.4222456629487747E-4</v>
      </c>
    </row>
    <row r="2089" spans="39:41" x14ac:dyDescent="0.25">
      <c r="AM2089" s="2">
        <v>2086</v>
      </c>
      <c r="AN2089" s="33">
        <v>1.0020971306409084E-2</v>
      </c>
      <c r="AO2089" s="33">
        <v>8.3133487966402422E-4</v>
      </c>
    </row>
    <row r="2090" spans="39:41" x14ac:dyDescent="0.25">
      <c r="AM2090" s="2">
        <v>2087</v>
      </c>
      <c r="AN2090" s="33">
        <v>1.2157292764004266E-2</v>
      </c>
      <c r="AO2090" s="33">
        <v>8.8259721224330078E-4</v>
      </c>
    </row>
    <row r="2091" spans="39:41" x14ac:dyDescent="0.25">
      <c r="AM2091" s="2">
        <v>2088</v>
      </c>
      <c r="AN2091" s="33">
        <v>1.3580705985989244E-2</v>
      </c>
      <c r="AO2091" s="33">
        <v>1.3084113383913642E-3</v>
      </c>
    </row>
    <row r="2092" spans="39:41" x14ac:dyDescent="0.25">
      <c r="AM2092" s="2">
        <v>2089</v>
      </c>
      <c r="AN2092" s="33">
        <v>1.5287292210296406E-2</v>
      </c>
      <c r="AO2092" s="33">
        <v>7.5195116321419547E-4</v>
      </c>
    </row>
    <row r="2093" spans="39:41" x14ac:dyDescent="0.25">
      <c r="AM2093" s="2">
        <v>2090</v>
      </c>
      <c r="AN2093" s="33">
        <v>1.091572842902481E-2</v>
      </c>
      <c r="AO2093" s="33">
        <v>9.5952481103092689E-4</v>
      </c>
    </row>
    <row r="2094" spans="39:41" x14ac:dyDescent="0.25">
      <c r="AM2094" s="2">
        <v>2091</v>
      </c>
      <c r="AN2094" s="33">
        <v>9.0006851408888748E-3</v>
      </c>
      <c r="AO2094" s="33">
        <v>4.1569417459597535E-4</v>
      </c>
    </row>
    <row r="2095" spans="39:41" x14ac:dyDescent="0.25">
      <c r="AM2095" s="2">
        <v>2092</v>
      </c>
      <c r="AN2095" s="33">
        <v>1.2808362207386697E-2</v>
      </c>
      <c r="AO2095" s="33">
        <v>1.014764524759582E-3</v>
      </c>
    </row>
    <row r="2096" spans="39:41" x14ac:dyDescent="0.25">
      <c r="AM2096" s="2">
        <v>2093</v>
      </c>
      <c r="AN2096" s="33">
        <v>1.1943462664188987E-2</v>
      </c>
      <c r="AO2096" s="33">
        <v>9.1648498558652652E-4</v>
      </c>
    </row>
    <row r="2097" spans="39:41" x14ac:dyDescent="0.25">
      <c r="AM2097" s="2">
        <v>2094</v>
      </c>
      <c r="AN2097" s="33">
        <v>1.3390794284565993E-2</v>
      </c>
      <c r="AO2097" s="33">
        <v>1.4067810348003577E-3</v>
      </c>
    </row>
    <row r="2098" spans="39:41" x14ac:dyDescent="0.25">
      <c r="AM2098" s="2">
        <v>2095</v>
      </c>
      <c r="AN2098" s="33">
        <v>1.1224678612784063E-2</v>
      </c>
      <c r="AO2098" s="33">
        <v>4.6973538570731552E-4</v>
      </c>
    </row>
    <row r="2099" spans="39:41" x14ac:dyDescent="0.25">
      <c r="AM2099" s="2">
        <v>2096</v>
      </c>
      <c r="AN2099" s="33">
        <v>1.1108617280073368E-2</v>
      </c>
      <c r="AO2099" s="33">
        <v>8.624487211911549E-4</v>
      </c>
    </row>
    <row r="2100" spans="39:41" x14ac:dyDescent="0.25">
      <c r="AM2100" s="2">
        <v>2097</v>
      </c>
      <c r="AN2100" s="33">
        <v>9.281254749816269E-3</v>
      </c>
      <c r="AO2100" s="33">
        <v>2.773390701436656E-4</v>
      </c>
    </row>
    <row r="2101" spans="39:41" x14ac:dyDescent="0.25">
      <c r="AM2101" s="2">
        <v>2098</v>
      </c>
      <c r="AN2101" s="33">
        <v>1.1264691895759297E-2</v>
      </c>
      <c r="AO2101" s="33">
        <v>7.8120662958076144E-4</v>
      </c>
    </row>
    <row r="2102" spans="39:41" x14ac:dyDescent="0.25">
      <c r="AM2102" s="2">
        <v>2099</v>
      </c>
      <c r="AN2102" s="33">
        <v>9.4589375033078526E-3</v>
      </c>
      <c r="AO2102" s="33">
        <v>3.3501330561671211E-4</v>
      </c>
    </row>
    <row r="2103" spans="39:41" x14ac:dyDescent="0.25">
      <c r="AM2103" s="2">
        <v>2100</v>
      </c>
      <c r="AN2103" s="33">
        <v>1.1416765615196221E-2</v>
      </c>
      <c r="AO2103" s="33">
        <v>6.1344481081385864E-4</v>
      </c>
    </row>
    <row r="2104" spans="39:41" x14ac:dyDescent="0.25">
      <c r="AM2104" s="2">
        <v>2101</v>
      </c>
      <c r="AN2104" s="33">
        <v>8.4152605707353487E-3</v>
      </c>
      <c r="AO2104" s="33">
        <v>6.1294731834044122E-4</v>
      </c>
    </row>
    <row r="2105" spans="39:41" x14ac:dyDescent="0.25">
      <c r="AM2105" s="2">
        <v>2102</v>
      </c>
      <c r="AN2105" s="33">
        <v>1.0480681183002789E-2</v>
      </c>
      <c r="AO2105" s="33">
        <v>7.518729067404529E-4</v>
      </c>
    </row>
    <row r="2106" spans="39:41" x14ac:dyDescent="0.25">
      <c r="AM2106" s="2">
        <v>2103</v>
      </c>
      <c r="AN2106" s="33">
        <v>9.13646754149159E-3</v>
      </c>
      <c r="AO2106" s="33">
        <v>3.1994041026114515E-4</v>
      </c>
    </row>
    <row r="2107" spans="39:41" x14ac:dyDescent="0.25">
      <c r="AM2107" s="2">
        <v>2104</v>
      </c>
      <c r="AN2107" s="33">
        <v>1.4592726805199359E-2</v>
      </c>
      <c r="AO2107" s="33">
        <v>1.2421436667022607E-3</v>
      </c>
    </row>
    <row r="2108" spans="39:41" x14ac:dyDescent="0.25">
      <c r="AM2108" s="2">
        <v>2105</v>
      </c>
      <c r="AN2108" s="33">
        <v>1.3236023344035723E-2</v>
      </c>
      <c r="AO2108" s="33">
        <v>5.8194315807788988E-4</v>
      </c>
    </row>
    <row r="2109" spans="39:41" x14ac:dyDescent="0.25">
      <c r="AM2109" s="2">
        <v>2106</v>
      </c>
      <c r="AN2109" s="33">
        <v>1.0886923334554892E-2</v>
      </c>
      <c r="AO2109" s="33">
        <v>6.9635781609277158E-4</v>
      </c>
    </row>
    <row r="2110" spans="39:41" x14ac:dyDescent="0.25">
      <c r="AM2110" s="2">
        <v>2107</v>
      </c>
      <c r="AN2110" s="33">
        <v>1.2573869807210094E-2</v>
      </c>
      <c r="AO2110" s="33">
        <v>8.2351830225743476E-4</v>
      </c>
    </row>
    <row r="2111" spans="39:41" x14ac:dyDescent="0.25">
      <c r="AM2111" s="2">
        <v>2108</v>
      </c>
      <c r="AN2111" s="33">
        <v>1.0628912815480469E-2</v>
      </c>
      <c r="AO2111" s="33">
        <v>5.4892945131946387E-4</v>
      </c>
    </row>
    <row r="2112" spans="39:41" x14ac:dyDescent="0.25">
      <c r="AM2112" s="2">
        <v>2109</v>
      </c>
      <c r="AN2112" s="33">
        <v>9.774573814641736E-3</v>
      </c>
      <c r="AO2112" s="33">
        <v>8.1162431753086959E-4</v>
      </c>
    </row>
    <row r="2113" spans="39:41" x14ac:dyDescent="0.25">
      <c r="AM2113" s="2">
        <v>2110</v>
      </c>
      <c r="AN2113" s="33">
        <v>1.3498744535879003E-2</v>
      </c>
      <c r="AO2113" s="33">
        <v>1.0178117599704175E-3</v>
      </c>
    </row>
    <row r="2114" spans="39:41" x14ac:dyDescent="0.25">
      <c r="AM2114" s="2">
        <v>2111</v>
      </c>
      <c r="AN2114" s="33">
        <v>1.0951383847085421E-2</v>
      </c>
      <c r="AO2114" s="33">
        <v>1.697918406961714E-4</v>
      </c>
    </row>
    <row r="2115" spans="39:41" x14ac:dyDescent="0.25">
      <c r="AM2115" s="2">
        <v>2112</v>
      </c>
      <c r="AN2115" s="33">
        <v>8.8801188975059595E-3</v>
      </c>
      <c r="AO2115" s="33">
        <v>7.3140619081731863E-4</v>
      </c>
    </row>
    <row r="2116" spans="39:41" x14ac:dyDescent="0.25">
      <c r="AM2116" s="2">
        <v>2113</v>
      </c>
      <c r="AN2116" s="33">
        <v>2.0073621552933959E-2</v>
      </c>
      <c r="AO2116" s="33">
        <v>1.9840909636371319E-3</v>
      </c>
    </row>
    <row r="2117" spans="39:41" x14ac:dyDescent="0.25">
      <c r="AM2117" s="2">
        <v>2114</v>
      </c>
      <c r="AN2117" s="33">
        <v>1.1117322672940199E-2</v>
      </c>
      <c r="AO2117" s="33">
        <v>5.9156499993054542E-4</v>
      </c>
    </row>
    <row r="2118" spans="39:41" x14ac:dyDescent="0.25">
      <c r="AM2118" s="2">
        <v>2115</v>
      </c>
      <c r="AN2118" s="33">
        <v>1.1567155145114813E-2</v>
      </c>
      <c r="AO2118" s="33">
        <v>4.7266899355334722E-4</v>
      </c>
    </row>
    <row r="2119" spans="39:41" x14ac:dyDescent="0.25">
      <c r="AM2119" s="2">
        <v>2116</v>
      </c>
      <c r="AN2119" s="33">
        <v>1.007823720982357E-2</v>
      </c>
      <c r="AO2119" s="33">
        <v>5.9077257000502944E-4</v>
      </c>
    </row>
    <row r="2120" spans="39:41" x14ac:dyDescent="0.25">
      <c r="AM2120" s="2">
        <v>2117</v>
      </c>
      <c r="AN2120" s="33">
        <v>1.1584437430521365E-2</v>
      </c>
      <c r="AO2120" s="33">
        <v>4.3855451397279766E-4</v>
      </c>
    </row>
    <row r="2121" spans="39:41" x14ac:dyDescent="0.25">
      <c r="AM2121" s="2">
        <v>2118</v>
      </c>
      <c r="AN2121" s="33">
        <v>1.0197603307138831E-2</v>
      </c>
      <c r="AO2121" s="33">
        <v>6.5140065152158734E-4</v>
      </c>
    </row>
    <row r="2122" spans="39:41" x14ac:dyDescent="0.25">
      <c r="AM2122" s="2">
        <v>2119</v>
      </c>
      <c r="AN2122" s="33">
        <v>1.0784197848513432E-2</v>
      </c>
      <c r="AO2122" s="33">
        <v>6.7968326301400721E-4</v>
      </c>
    </row>
    <row r="2123" spans="39:41" x14ac:dyDescent="0.25">
      <c r="AM2123" s="2">
        <v>2120</v>
      </c>
      <c r="AN2123" s="33">
        <v>9.6610716272687545E-3</v>
      </c>
      <c r="AO2123" s="33">
        <v>5.0956618054148045E-4</v>
      </c>
    </row>
    <row r="2124" spans="39:41" x14ac:dyDescent="0.25">
      <c r="AM2124" s="2">
        <v>2121</v>
      </c>
      <c r="AN2124" s="33">
        <v>1.2670134655840321E-2</v>
      </c>
      <c r="AO2124" s="33">
        <v>7.5561241541694684E-4</v>
      </c>
    </row>
    <row r="2125" spans="39:41" x14ac:dyDescent="0.25">
      <c r="AM2125" s="2">
        <v>2122</v>
      </c>
      <c r="AN2125" s="33">
        <v>9.6082986723655169E-3</v>
      </c>
      <c r="AO2125" s="33">
        <v>8.2361615281461968E-4</v>
      </c>
    </row>
    <row r="2126" spans="39:41" x14ac:dyDescent="0.25">
      <c r="AM2126" s="2">
        <v>2123</v>
      </c>
      <c r="AN2126" s="33">
        <v>1.004331457776444E-2</v>
      </c>
      <c r="AO2126" s="33">
        <v>5.3847939010258079E-4</v>
      </c>
    </row>
    <row r="2127" spans="39:41" x14ac:dyDescent="0.25">
      <c r="AM2127" s="2">
        <v>2124</v>
      </c>
      <c r="AN2127" s="33">
        <v>1.3292717860583132E-2</v>
      </c>
      <c r="AO2127" s="33">
        <v>1.3416345161296722E-3</v>
      </c>
    </row>
    <row r="2128" spans="39:41" x14ac:dyDescent="0.25">
      <c r="AM2128" s="2">
        <v>2125</v>
      </c>
      <c r="AN2128" s="33">
        <v>1.5170947338736427E-2</v>
      </c>
      <c r="AO2128" s="33">
        <v>1.3097343565647618E-3</v>
      </c>
    </row>
    <row r="2129" spans="39:41" x14ac:dyDescent="0.25">
      <c r="AM2129" s="2">
        <v>2126</v>
      </c>
      <c r="AN2129" s="33">
        <v>1.0310255149458198E-2</v>
      </c>
      <c r="AO2129" s="33">
        <v>6.6776033922256106E-4</v>
      </c>
    </row>
    <row r="2130" spans="39:41" x14ac:dyDescent="0.25">
      <c r="AM2130" s="2">
        <v>2127</v>
      </c>
      <c r="AN2130" s="33">
        <v>1.1106072190890529E-2</v>
      </c>
      <c r="AO2130" s="33">
        <v>5.6848533090155114E-4</v>
      </c>
    </row>
    <row r="2131" spans="39:41" x14ac:dyDescent="0.25">
      <c r="AM2131" s="2">
        <v>2128</v>
      </c>
      <c r="AN2131" s="33">
        <v>8.5540685634633677E-3</v>
      </c>
      <c r="AO2131" s="33">
        <v>3.8510430537047071E-4</v>
      </c>
    </row>
    <row r="2132" spans="39:41" x14ac:dyDescent="0.25">
      <c r="AM2132" s="2">
        <v>2129</v>
      </c>
      <c r="AN2132" s="33">
        <v>1.7083012589989958E-2</v>
      </c>
      <c r="AO2132" s="33">
        <v>1.5729791554589736E-3</v>
      </c>
    </row>
    <row r="2133" spans="39:41" x14ac:dyDescent="0.25">
      <c r="AM2133" s="2">
        <v>2130</v>
      </c>
      <c r="AN2133" s="33">
        <v>1.3691897337121088E-2</v>
      </c>
      <c r="AO2133" s="33">
        <v>9.4253384730576771E-4</v>
      </c>
    </row>
    <row r="2134" spans="39:41" x14ac:dyDescent="0.25">
      <c r="AM2134" s="2">
        <v>2131</v>
      </c>
      <c r="AN2134" s="33">
        <v>1.2549219865096453E-2</v>
      </c>
      <c r="AO2134" s="33">
        <v>1.0345494293127451E-3</v>
      </c>
    </row>
    <row r="2135" spans="39:41" x14ac:dyDescent="0.25">
      <c r="AM2135" s="2">
        <v>2132</v>
      </c>
      <c r="AN2135" s="33">
        <v>1.239687752528793E-2</v>
      </c>
      <c r="AO2135" s="33">
        <v>9.8715852788863138E-4</v>
      </c>
    </row>
    <row r="2136" spans="39:41" x14ac:dyDescent="0.25">
      <c r="AM2136" s="2">
        <v>2133</v>
      </c>
      <c r="AN2136" s="33">
        <v>9.5085901762608366E-3</v>
      </c>
      <c r="AO2136" s="33">
        <v>3.6821102054131037E-4</v>
      </c>
    </row>
    <row r="2137" spans="39:41" x14ac:dyDescent="0.25">
      <c r="AM2137" s="2">
        <v>2134</v>
      </c>
      <c r="AN2137" s="33">
        <v>8.9740907022570864E-3</v>
      </c>
      <c r="AO2137" s="33">
        <v>1.9794783459855598E-4</v>
      </c>
    </row>
    <row r="2138" spans="39:41" x14ac:dyDescent="0.25">
      <c r="AM2138" s="2">
        <v>2135</v>
      </c>
      <c r="AN2138" s="33">
        <v>1.0255247897624824E-2</v>
      </c>
      <c r="AO2138" s="33">
        <v>7.2984192009321761E-4</v>
      </c>
    </row>
    <row r="2139" spans="39:41" x14ac:dyDescent="0.25">
      <c r="AM2139" s="2">
        <v>2136</v>
      </c>
      <c r="AN2139" s="33">
        <v>1.1583009480064377E-2</v>
      </c>
      <c r="AO2139" s="33">
        <v>7.3813359842029051E-4</v>
      </c>
    </row>
    <row r="2140" spans="39:41" x14ac:dyDescent="0.25">
      <c r="AM2140" s="2">
        <v>2137</v>
      </c>
      <c r="AN2140" s="33">
        <v>1.3853422411563858E-2</v>
      </c>
      <c r="AO2140" s="33">
        <v>1.0406724470666154E-3</v>
      </c>
    </row>
    <row r="2141" spans="39:41" x14ac:dyDescent="0.25">
      <c r="AM2141" s="2">
        <v>2138</v>
      </c>
      <c r="AN2141" s="33">
        <v>1.3136419046316421E-2</v>
      </c>
      <c r="AO2141" s="33">
        <v>1.0698071802354157E-3</v>
      </c>
    </row>
    <row r="2142" spans="39:41" x14ac:dyDescent="0.25">
      <c r="AM2142" s="2">
        <v>2139</v>
      </c>
      <c r="AN2142" s="33">
        <v>1.3509438886692404E-2</v>
      </c>
      <c r="AO2142" s="33">
        <v>1.3424370179292299E-3</v>
      </c>
    </row>
    <row r="2143" spans="39:41" x14ac:dyDescent="0.25">
      <c r="AM2143" s="2">
        <v>2140</v>
      </c>
      <c r="AN2143" s="33">
        <v>1.2833385748891151E-2</v>
      </c>
      <c r="AO2143" s="33">
        <v>3.3069200504877352E-4</v>
      </c>
    </row>
    <row r="2144" spans="39:41" x14ac:dyDescent="0.25">
      <c r="AM2144" s="2">
        <v>2141</v>
      </c>
      <c r="AN2144" s="33">
        <v>1.3027076527633902E-2</v>
      </c>
      <c r="AO2144" s="33">
        <v>1.2408025513854588E-3</v>
      </c>
    </row>
    <row r="2145" spans="39:41" x14ac:dyDescent="0.25">
      <c r="AM2145" s="2">
        <v>2142</v>
      </c>
      <c r="AN2145" s="33">
        <v>1.1090779807719503E-2</v>
      </c>
      <c r="AO2145" s="33">
        <v>7.1366999848891991E-4</v>
      </c>
    </row>
    <row r="2146" spans="39:41" x14ac:dyDescent="0.25">
      <c r="AM2146" s="2">
        <v>2143</v>
      </c>
      <c r="AN2146" s="33">
        <v>1.0716391309433616E-2</v>
      </c>
      <c r="AO2146" s="33">
        <v>6.1998432978562813E-4</v>
      </c>
    </row>
    <row r="2147" spans="39:41" x14ac:dyDescent="0.25">
      <c r="AM2147" s="2">
        <v>2144</v>
      </c>
      <c r="AN2147" s="33">
        <v>1.5562432132504815E-2</v>
      </c>
      <c r="AO2147" s="33">
        <v>1.2233371708838092E-3</v>
      </c>
    </row>
    <row r="2148" spans="39:41" x14ac:dyDescent="0.25">
      <c r="AM2148" s="2">
        <v>2145</v>
      </c>
      <c r="AN2148" s="33">
        <v>1.1760729386848219E-2</v>
      </c>
      <c r="AO2148" s="33">
        <v>2.6886688487055518E-4</v>
      </c>
    </row>
    <row r="2149" spans="39:41" x14ac:dyDescent="0.25">
      <c r="AM2149" s="2">
        <v>2146</v>
      </c>
      <c r="AN2149" s="33">
        <v>1.2299450756510441E-2</v>
      </c>
      <c r="AO2149" s="33">
        <v>7.4402078430655164E-4</v>
      </c>
    </row>
    <row r="2150" spans="39:41" x14ac:dyDescent="0.25">
      <c r="AM2150" s="2">
        <v>2147</v>
      </c>
      <c r="AN2150" s="33">
        <v>1.0508505620284469E-2</v>
      </c>
      <c r="AO2150" s="33">
        <v>8.2108549159447481E-4</v>
      </c>
    </row>
    <row r="2151" spans="39:41" x14ac:dyDescent="0.25">
      <c r="AM2151" s="2">
        <v>2148</v>
      </c>
      <c r="AN2151" s="33">
        <v>1.1862520103354583E-2</v>
      </c>
      <c r="AO2151" s="33">
        <v>7.9586740503772842E-4</v>
      </c>
    </row>
    <row r="2152" spans="39:41" x14ac:dyDescent="0.25">
      <c r="AM2152" s="2">
        <v>2149</v>
      </c>
      <c r="AN2152" s="33">
        <v>8.659073157121314E-3</v>
      </c>
      <c r="AO2152" s="33">
        <v>4.168925998471177E-4</v>
      </c>
    </row>
    <row r="2153" spans="39:41" x14ac:dyDescent="0.25">
      <c r="AM2153" s="2">
        <v>2150</v>
      </c>
      <c r="AN2153" s="33">
        <v>9.0302870917608469E-3</v>
      </c>
      <c r="AO2153" s="33">
        <v>2.8145527185548193E-4</v>
      </c>
    </row>
    <row r="2154" spans="39:41" x14ac:dyDescent="0.25">
      <c r="AM2154" s="2">
        <v>2151</v>
      </c>
      <c r="AN2154" s="33">
        <v>1.0400867735913484E-2</v>
      </c>
      <c r="AO2154" s="33">
        <v>9.8956301430459304E-4</v>
      </c>
    </row>
    <row r="2155" spans="39:41" x14ac:dyDescent="0.25">
      <c r="AM2155" s="2">
        <v>2152</v>
      </c>
      <c r="AN2155" s="33">
        <v>1.23564637636292E-2</v>
      </c>
      <c r="AO2155" s="33">
        <v>7.8976693645810574E-4</v>
      </c>
    </row>
    <row r="2156" spans="39:41" x14ac:dyDescent="0.25">
      <c r="AM2156" s="2">
        <v>2153</v>
      </c>
      <c r="AN2156" s="33">
        <v>1.3101256232282286E-2</v>
      </c>
      <c r="AO2156" s="33">
        <v>1.1503009964543703E-3</v>
      </c>
    </row>
    <row r="2157" spans="39:41" x14ac:dyDescent="0.25">
      <c r="AM2157" s="2">
        <v>2154</v>
      </c>
      <c r="AN2157" s="33">
        <v>1.6777289961006144E-2</v>
      </c>
      <c r="AO2157" s="33">
        <v>1.6877445785662716E-3</v>
      </c>
    </row>
    <row r="2158" spans="39:41" x14ac:dyDescent="0.25">
      <c r="AM2158" s="2">
        <v>2155</v>
      </c>
      <c r="AN2158" s="33">
        <v>9.8092307159007141E-3</v>
      </c>
      <c r="AO2158" s="33">
        <v>5.0629769444323074E-4</v>
      </c>
    </row>
    <row r="2159" spans="39:41" x14ac:dyDescent="0.25">
      <c r="AM2159" s="2">
        <v>2156</v>
      </c>
      <c r="AN2159" s="33">
        <v>8.6019994087503261E-3</v>
      </c>
      <c r="AO2159" s="33">
        <v>3.8667838239120702E-4</v>
      </c>
    </row>
    <row r="2160" spans="39:41" x14ac:dyDescent="0.25">
      <c r="AM2160" s="2">
        <v>2157</v>
      </c>
      <c r="AN2160" s="33">
        <v>9.2448757559273013E-3</v>
      </c>
      <c r="AO2160" s="33">
        <v>7.3256954512996512E-4</v>
      </c>
    </row>
    <row r="2161" spans="39:41" x14ac:dyDescent="0.25">
      <c r="AM2161" s="2">
        <v>2158</v>
      </c>
      <c r="AN2161" s="33">
        <v>1.0930741665123764E-2</v>
      </c>
      <c r="AO2161" s="33">
        <v>4.7883348490520942E-4</v>
      </c>
    </row>
    <row r="2162" spans="39:41" x14ac:dyDescent="0.25">
      <c r="AM2162" s="2">
        <v>2159</v>
      </c>
      <c r="AN2162" s="33">
        <v>1.009983204123148E-2</v>
      </c>
      <c r="AO2162" s="33">
        <v>9.4067183887874969E-4</v>
      </c>
    </row>
    <row r="2163" spans="39:41" x14ac:dyDescent="0.25">
      <c r="AM2163" s="2">
        <v>2160</v>
      </c>
      <c r="AN2163" s="33">
        <v>1.2819239401526695E-2</v>
      </c>
      <c r="AO2163" s="33">
        <v>8.7025233182635889E-4</v>
      </c>
    </row>
    <row r="2164" spans="39:41" x14ac:dyDescent="0.25">
      <c r="AM2164" s="2">
        <v>2161</v>
      </c>
      <c r="AN2164" s="33">
        <v>1.329081231431873E-2</v>
      </c>
      <c r="AO2164" s="33">
        <v>1.0815044654254107E-3</v>
      </c>
    </row>
    <row r="2165" spans="39:41" x14ac:dyDescent="0.25">
      <c r="AM2165" s="2">
        <v>2162</v>
      </c>
      <c r="AN2165" s="33">
        <v>1.2231998878349176E-2</v>
      </c>
      <c r="AO2165" s="33">
        <v>6.6899376501891475E-4</v>
      </c>
    </row>
    <row r="2166" spans="39:41" x14ac:dyDescent="0.25">
      <c r="AM2166" s="2">
        <v>2163</v>
      </c>
      <c r="AN2166" s="33">
        <v>1.3807713422026394E-2</v>
      </c>
      <c r="AO2166" s="33">
        <v>9.8094259519121213E-4</v>
      </c>
    </row>
    <row r="2167" spans="39:41" x14ac:dyDescent="0.25">
      <c r="AM2167" s="2">
        <v>2164</v>
      </c>
      <c r="AN2167" s="33">
        <v>8.3216304706383998E-3</v>
      </c>
      <c r="AO2167" s="33">
        <v>6.324012344002466E-4</v>
      </c>
    </row>
    <row r="2168" spans="39:41" x14ac:dyDescent="0.25">
      <c r="AM2168" s="2">
        <v>2165</v>
      </c>
      <c r="AN2168" s="33">
        <v>1.6662158817078238E-2</v>
      </c>
      <c r="AO2168" s="33">
        <v>1.6584236768930854E-3</v>
      </c>
    </row>
    <row r="2169" spans="39:41" x14ac:dyDescent="0.25">
      <c r="AM2169" s="2">
        <v>2166</v>
      </c>
      <c r="AN2169" s="33">
        <v>1.1218410586168365E-2</v>
      </c>
      <c r="AO2169" s="33">
        <v>2.9956726584947106E-4</v>
      </c>
    </row>
    <row r="2170" spans="39:41" x14ac:dyDescent="0.25">
      <c r="AM2170" s="2">
        <v>2167</v>
      </c>
      <c r="AN2170" s="33">
        <v>1.0841623981431825E-2</v>
      </c>
      <c r="AO2170" s="33">
        <v>7.2688671676601128E-4</v>
      </c>
    </row>
    <row r="2171" spans="39:41" x14ac:dyDescent="0.25">
      <c r="AM2171" s="2">
        <v>2168</v>
      </c>
      <c r="AN2171" s="33">
        <v>1.0831048120431539E-2</v>
      </c>
      <c r="AO2171" s="33">
        <v>7.1270649759703998E-4</v>
      </c>
    </row>
    <row r="2172" spans="39:41" x14ac:dyDescent="0.25">
      <c r="AM2172" s="2">
        <v>2169</v>
      </c>
      <c r="AN2172" s="33">
        <v>1.1331066534671501E-2</v>
      </c>
      <c r="AO2172" s="33">
        <v>1.1508405850846294E-3</v>
      </c>
    </row>
    <row r="2173" spans="39:41" x14ac:dyDescent="0.25">
      <c r="AM2173" s="2">
        <v>2170</v>
      </c>
      <c r="AN2173" s="33">
        <v>1.3198680166000704E-2</v>
      </c>
      <c r="AO2173" s="33">
        <v>1.1306260405743787E-3</v>
      </c>
    </row>
    <row r="2174" spans="39:41" x14ac:dyDescent="0.25">
      <c r="AM2174" s="2">
        <v>2171</v>
      </c>
      <c r="AN2174" s="33">
        <v>9.6091531041782013E-3</v>
      </c>
      <c r="AO2174" s="33">
        <v>7.0197148442109635E-4</v>
      </c>
    </row>
    <row r="2175" spans="39:41" x14ac:dyDescent="0.25">
      <c r="AM2175" s="2">
        <v>2172</v>
      </c>
      <c r="AN2175" s="33">
        <v>1.1532415678674525E-2</v>
      </c>
      <c r="AO2175" s="33">
        <v>8.8464495306736241E-4</v>
      </c>
    </row>
    <row r="2176" spans="39:41" x14ac:dyDescent="0.25">
      <c r="AM2176" s="2">
        <v>2173</v>
      </c>
      <c r="AN2176" s="33">
        <v>9.2505799476845056E-3</v>
      </c>
      <c r="AO2176" s="33">
        <v>6.7505144851390958E-4</v>
      </c>
    </row>
    <row r="2177" spans="39:41" x14ac:dyDescent="0.25">
      <c r="AM2177" s="2">
        <v>2174</v>
      </c>
      <c r="AN2177" s="33">
        <v>1.4159807279470032E-2</v>
      </c>
      <c r="AO2177" s="33">
        <v>1.3173898497300623E-3</v>
      </c>
    </row>
    <row r="2178" spans="39:41" x14ac:dyDescent="0.25">
      <c r="AM2178" s="2">
        <v>2175</v>
      </c>
      <c r="AN2178" s="33">
        <v>1.3614590000730939E-2</v>
      </c>
      <c r="AO2178" s="33">
        <v>1.139890274787515E-3</v>
      </c>
    </row>
    <row r="2179" spans="39:41" x14ac:dyDescent="0.25">
      <c r="AM2179" s="2">
        <v>2176</v>
      </c>
      <c r="AN2179" s="33">
        <v>1.4349498303766289E-2</v>
      </c>
      <c r="AO2179" s="33">
        <v>1.2939430562702756E-3</v>
      </c>
    </row>
    <row r="2180" spans="39:41" x14ac:dyDescent="0.25">
      <c r="AM2180" s="2">
        <v>2177</v>
      </c>
      <c r="AN2180" s="33">
        <v>9.8786074864302652E-3</v>
      </c>
      <c r="AO2180" s="33">
        <v>7.8683523329840604E-4</v>
      </c>
    </row>
    <row r="2181" spans="39:41" x14ac:dyDescent="0.25">
      <c r="AM2181" s="2">
        <v>2178</v>
      </c>
      <c r="AN2181" s="33">
        <v>1.0178687624556586E-2</v>
      </c>
      <c r="AO2181" s="33">
        <v>1.0242917514544144E-3</v>
      </c>
    </row>
    <row r="2182" spans="39:41" x14ac:dyDescent="0.25">
      <c r="AM2182" s="2">
        <v>2179</v>
      </c>
      <c r="AN2182" s="33">
        <v>1.1785960962471536E-2</v>
      </c>
      <c r="AO2182" s="33">
        <v>7.0069620162166771E-4</v>
      </c>
    </row>
    <row r="2183" spans="39:41" x14ac:dyDescent="0.25">
      <c r="AM2183" s="2">
        <v>2180</v>
      </c>
      <c r="AN2183" s="33">
        <v>1.4337162466779772E-2</v>
      </c>
      <c r="AO2183" s="33">
        <v>1.3721738256064406E-3</v>
      </c>
    </row>
    <row r="2184" spans="39:41" x14ac:dyDescent="0.25">
      <c r="AM2184" s="2">
        <v>2181</v>
      </c>
      <c r="AN2184" s="33">
        <v>1.1405772376165241E-2</v>
      </c>
      <c r="AO2184" s="33">
        <v>7.1579357188357375E-4</v>
      </c>
    </row>
    <row r="2185" spans="39:41" x14ac:dyDescent="0.25">
      <c r="AM2185" s="2">
        <v>2182</v>
      </c>
      <c r="AN2185" s="33">
        <v>1.217066331643712E-2</v>
      </c>
      <c r="AO2185" s="33">
        <v>9.4347151132247989E-4</v>
      </c>
    </row>
    <row r="2186" spans="39:41" x14ac:dyDescent="0.25">
      <c r="AM2186" s="2">
        <v>2183</v>
      </c>
      <c r="AN2186" s="33">
        <v>1.3129970249242617E-2</v>
      </c>
      <c r="AO2186" s="33">
        <v>1.3047761861260134E-3</v>
      </c>
    </row>
    <row r="2187" spans="39:41" x14ac:dyDescent="0.25">
      <c r="AM2187" s="2">
        <v>2184</v>
      </c>
      <c r="AN2187" s="33">
        <v>1.1692435504142496E-2</v>
      </c>
      <c r="AO2187" s="33">
        <v>1.0746494128083049E-3</v>
      </c>
    </row>
    <row r="2188" spans="39:41" x14ac:dyDescent="0.25">
      <c r="AM2188" s="2">
        <v>2185</v>
      </c>
      <c r="AN2188" s="33">
        <v>1.3628688086789031E-2</v>
      </c>
      <c r="AO2188" s="33">
        <v>9.2600782583526059E-4</v>
      </c>
    </row>
    <row r="2189" spans="39:41" x14ac:dyDescent="0.25">
      <c r="AM2189" s="2">
        <v>2186</v>
      </c>
      <c r="AN2189" s="33">
        <v>1.1204166555596019E-2</v>
      </c>
      <c r="AO2189" s="33">
        <v>6.5904398982951284E-4</v>
      </c>
    </row>
    <row r="2190" spans="39:41" x14ac:dyDescent="0.25">
      <c r="AM2190" s="2">
        <v>2187</v>
      </c>
      <c r="AN2190" s="33">
        <v>1.0131432933303364E-2</v>
      </c>
      <c r="AO2190" s="33">
        <v>5.4131757868054178E-4</v>
      </c>
    </row>
    <row r="2191" spans="39:41" x14ac:dyDescent="0.25">
      <c r="AM2191" s="2">
        <v>2188</v>
      </c>
      <c r="AN2191" s="33">
        <v>1.5088684358585633E-2</v>
      </c>
      <c r="AO2191" s="33">
        <v>1.471308817353611E-3</v>
      </c>
    </row>
    <row r="2192" spans="39:41" x14ac:dyDescent="0.25">
      <c r="AM2192" s="2">
        <v>2189</v>
      </c>
      <c r="AN2192" s="33">
        <v>1.1959475738623257E-2</v>
      </c>
      <c r="AO2192" s="33">
        <v>8.9900888784396889E-4</v>
      </c>
    </row>
    <row r="2193" spans="39:41" x14ac:dyDescent="0.25">
      <c r="AM2193" s="2">
        <v>2190</v>
      </c>
      <c r="AN2193" s="33">
        <v>1.5338656634771974E-2</v>
      </c>
      <c r="AO2193" s="33">
        <v>1.4666000195458124E-3</v>
      </c>
    </row>
    <row r="2194" spans="39:41" x14ac:dyDescent="0.25">
      <c r="AM2194" s="2">
        <v>2191</v>
      </c>
      <c r="AN2194" s="33">
        <v>1.0427509717413829E-2</v>
      </c>
      <c r="AO2194" s="33">
        <v>6.1905150586002056E-4</v>
      </c>
    </row>
    <row r="2195" spans="39:41" x14ac:dyDescent="0.25">
      <c r="AM2195" s="2">
        <v>2192</v>
      </c>
      <c r="AN2195" s="33">
        <v>1.2841398787004979E-2</v>
      </c>
      <c r="AO2195" s="33">
        <v>1.0182212431577992E-3</v>
      </c>
    </row>
    <row r="2196" spans="39:41" x14ac:dyDescent="0.25">
      <c r="AM2196" s="2">
        <v>2193</v>
      </c>
      <c r="AN2196" s="33">
        <v>1.1887969085540677E-2</v>
      </c>
      <c r="AO2196" s="33">
        <v>6.2347276747356454E-4</v>
      </c>
    </row>
    <row r="2197" spans="39:41" x14ac:dyDescent="0.25">
      <c r="AM2197" s="2">
        <v>2194</v>
      </c>
      <c r="AN2197" s="33">
        <v>1.5917222542596893E-2</v>
      </c>
      <c r="AO2197" s="33">
        <v>8.9291991238609934E-4</v>
      </c>
    </row>
    <row r="2198" spans="39:41" x14ac:dyDescent="0.25">
      <c r="AM2198" s="2">
        <v>2195</v>
      </c>
      <c r="AN2198" s="33">
        <v>1.4293247442281404E-2</v>
      </c>
      <c r="AO2198" s="33">
        <v>1.4167937674853589E-3</v>
      </c>
    </row>
    <row r="2199" spans="39:41" x14ac:dyDescent="0.25">
      <c r="AM2199" s="2">
        <v>2196</v>
      </c>
      <c r="AN2199" s="33">
        <v>8.9758013430825297E-3</v>
      </c>
      <c r="AO2199" s="33">
        <v>3.053321857261086E-4</v>
      </c>
    </row>
    <row r="2200" spans="39:41" x14ac:dyDescent="0.25">
      <c r="AM2200" s="2">
        <v>2197</v>
      </c>
      <c r="AN2200" s="33">
        <v>1.2732607329285446E-2</v>
      </c>
      <c r="AO2200" s="33">
        <v>9.0296995292161834E-4</v>
      </c>
    </row>
    <row r="2201" spans="39:41" x14ac:dyDescent="0.25">
      <c r="AM2201" s="2">
        <v>2198</v>
      </c>
      <c r="AN2201" s="33">
        <v>1.1190885509349061E-2</v>
      </c>
      <c r="AO2201" s="33">
        <v>5.279813706252196E-4</v>
      </c>
    </row>
    <row r="2202" spans="39:41" x14ac:dyDescent="0.25">
      <c r="AM2202" s="2">
        <v>2199</v>
      </c>
      <c r="AN2202" s="33">
        <v>9.830605706980966E-3</v>
      </c>
      <c r="AO2202" s="33">
        <v>8.0405046263698477E-4</v>
      </c>
    </row>
    <row r="2203" spans="39:41" x14ac:dyDescent="0.25">
      <c r="AM2203" s="2">
        <v>2200</v>
      </c>
      <c r="AN2203" s="33">
        <v>1.1002169071999725E-2</v>
      </c>
      <c r="AO2203" s="33">
        <v>6.2472457923659261E-4</v>
      </c>
    </row>
    <row r="2204" spans="39:41" x14ac:dyDescent="0.25">
      <c r="AM2204" s="2">
        <v>2201</v>
      </c>
      <c r="AN2204" s="33">
        <v>1.0912935242376205E-2</v>
      </c>
      <c r="AO2204" s="33">
        <v>8.7680957355834891E-4</v>
      </c>
    </row>
    <row r="2205" spans="39:41" x14ac:dyDescent="0.25">
      <c r="AM2205" s="2">
        <v>2202</v>
      </c>
      <c r="AN2205" s="33">
        <v>9.8167256048374892E-3</v>
      </c>
      <c r="AO2205" s="33">
        <v>7.9882393071802461E-4</v>
      </c>
    </row>
    <row r="2206" spans="39:41" x14ac:dyDescent="0.25">
      <c r="AM2206" s="2">
        <v>2203</v>
      </c>
      <c r="AN2206" s="33">
        <v>9.4647613936617563E-3</v>
      </c>
      <c r="AO2206" s="33">
        <v>9.8125248544162109E-4</v>
      </c>
    </row>
    <row r="2207" spans="39:41" x14ac:dyDescent="0.25">
      <c r="AM2207" s="2">
        <v>2204</v>
      </c>
      <c r="AN2207" s="33">
        <v>8.2963966799469695E-3</v>
      </c>
      <c r="AO2207" s="33">
        <v>7.50727996948973E-4</v>
      </c>
    </row>
    <row r="2208" spans="39:41" x14ac:dyDescent="0.25">
      <c r="AM2208" s="2">
        <v>2205</v>
      </c>
      <c r="AN2208" s="33">
        <v>1.2091374200924963E-2</v>
      </c>
      <c r="AO2208" s="33">
        <v>9.8213630281271543E-4</v>
      </c>
    </row>
    <row r="2209" spans="39:41" x14ac:dyDescent="0.25">
      <c r="AM2209" s="2">
        <v>2206</v>
      </c>
      <c r="AN2209" s="33">
        <v>9.6912593366798635E-3</v>
      </c>
      <c r="AO2209" s="33">
        <v>8.008459146949577E-4</v>
      </c>
    </row>
    <row r="2210" spans="39:41" x14ac:dyDescent="0.25">
      <c r="AM2210" s="2">
        <v>2207</v>
      </c>
      <c r="AN2210" s="33">
        <v>1.0412325901352363E-2</v>
      </c>
      <c r="AO2210" s="33">
        <v>8.5006767916025986E-4</v>
      </c>
    </row>
    <row r="2211" spans="39:41" x14ac:dyDescent="0.25">
      <c r="AM2211" s="2">
        <v>2208</v>
      </c>
      <c r="AN2211" s="33">
        <v>1.5222711329913735E-2</v>
      </c>
      <c r="AO2211" s="33">
        <v>1.2133118545438247E-3</v>
      </c>
    </row>
    <row r="2212" spans="39:41" x14ac:dyDescent="0.25">
      <c r="AM2212" s="2">
        <v>2209</v>
      </c>
      <c r="AN2212" s="33">
        <v>9.1401013630976087E-3</v>
      </c>
      <c r="AO2212" s="33">
        <v>4.3304219912265371E-4</v>
      </c>
    </row>
    <row r="2213" spans="39:41" x14ac:dyDescent="0.25">
      <c r="AM2213" s="2">
        <v>2210</v>
      </c>
      <c r="AN2213" s="33">
        <v>9.1907100603301033E-3</v>
      </c>
      <c r="AO2213" s="33">
        <v>6.6595552104617255E-4</v>
      </c>
    </row>
    <row r="2214" spans="39:41" x14ac:dyDescent="0.25">
      <c r="AM2214" s="2">
        <v>2211</v>
      </c>
      <c r="AN2214" s="33">
        <v>1.0979338731545297E-2</v>
      </c>
      <c r="AO2214" s="33">
        <v>6.3231696237690848E-4</v>
      </c>
    </row>
    <row r="2215" spans="39:41" x14ac:dyDescent="0.25">
      <c r="AM2215" s="2">
        <v>2212</v>
      </c>
      <c r="AN2215" s="33">
        <v>7.8055596639352472E-3</v>
      </c>
      <c r="AO2215" s="33">
        <v>3.5679721011346672E-4</v>
      </c>
    </row>
    <row r="2216" spans="39:41" x14ac:dyDescent="0.25">
      <c r="AM2216" s="2">
        <v>2213</v>
      </c>
      <c r="AN2216" s="33">
        <v>1.1205233947350297E-2</v>
      </c>
      <c r="AO2216" s="33">
        <v>6.2704218382166207E-4</v>
      </c>
    </row>
    <row r="2217" spans="39:41" x14ac:dyDescent="0.25">
      <c r="AM2217" s="2">
        <v>2214</v>
      </c>
      <c r="AN2217" s="33">
        <v>9.9843762345260909E-3</v>
      </c>
      <c r="AO2217" s="33">
        <v>2.0525009438176526E-4</v>
      </c>
    </row>
    <row r="2218" spans="39:41" x14ac:dyDescent="0.25">
      <c r="AM2218" s="2">
        <v>2215</v>
      </c>
      <c r="AN2218" s="33">
        <v>9.4347227825538928E-3</v>
      </c>
      <c r="AO2218" s="33">
        <v>6.5293443872059933E-4</v>
      </c>
    </row>
    <row r="2219" spans="39:41" x14ac:dyDescent="0.25">
      <c r="AM2219" s="2">
        <v>2216</v>
      </c>
      <c r="AN2219" s="33">
        <v>1.37483492280646E-2</v>
      </c>
      <c r="AO2219" s="33">
        <v>1.3155217612327015E-3</v>
      </c>
    </row>
    <row r="2220" spans="39:41" x14ac:dyDescent="0.25">
      <c r="AM2220" s="2">
        <v>2217</v>
      </c>
      <c r="AN2220" s="33">
        <v>9.7244636517682843E-3</v>
      </c>
      <c r="AO2220" s="33">
        <v>8.3367857044287287E-4</v>
      </c>
    </row>
    <row r="2221" spans="39:41" x14ac:dyDescent="0.25">
      <c r="AM2221" s="2">
        <v>2218</v>
      </c>
      <c r="AN2221" s="33">
        <v>9.834131175528487E-3</v>
      </c>
      <c r="AO2221" s="33">
        <v>6.3244912304032911E-4</v>
      </c>
    </row>
    <row r="2222" spans="39:41" x14ac:dyDescent="0.25">
      <c r="AM2222" s="2">
        <v>2219</v>
      </c>
      <c r="AN2222" s="33">
        <v>1.15787840922564E-2</v>
      </c>
      <c r="AO2222" s="33">
        <v>6.5528314274908869E-4</v>
      </c>
    </row>
    <row r="2223" spans="39:41" x14ac:dyDescent="0.25">
      <c r="AM2223" s="2">
        <v>2220</v>
      </c>
      <c r="AN2223" s="33">
        <v>8.7941547795032712E-3</v>
      </c>
      <c r="AO2223" s="33">
        <v>6.6485135899930765E-4</v>
      </c>
    </row>
    <row r="2224" spans="39:41" x14ac:dyDescent="0.25">
      <c r="AM2224" s="2">
        <v>2221</v>
      </c>
      <c r="AN2224" s="33">
        <v>1.4866163998045533E-2</v>
      </c>
      <c r="AO2224" s="33">
        <v>1.5628316788398704E-3</v>
      </c>
    </row>
    <row r="2225" spans="39:41" x14ac:dyDescent="0.25">
      <c r="AM2225" s="2">
        <v>2222</v>
      </c>
      <c r="AN2225" s="33">
        <v>1.7926342930960661E-2</v>
      </c>
      <c r="AO2225" s="33">
        <v>1.5656362489071534E-3</v>
      </c>
    </row>
    <row r="2226" spans="39:41" x14ac:dyDescent="0.25">
      <c r="AM2226" s="2">
        <v>2223</v>
      </c>
      <c r="AN2226" s="33">
        <v>9.928631581480071E-3</v>
      </c>
      <c r="AO2226" s="33">
        <v>7.9049558142732545E-4</v>
      </c>
    </row>
    <row r="2227" spans="39:41" x14ac:dyDescent="0.25">
      <c r="AM2227" s="2">
        <v>2224</v>
      </c>
      <c r="AN2227" s="33">
        <v>8.4715690335356378E-3</v>
      </c>
      <c r="AO2227" s="33">
        <v>4.3112287091643536E-4</v>
      </c>
    </row>
    <row r="2228" spans="39:41" x14ac:dyDescent="0.25">
      <c r="AM2228" s="2">
        <v>2225</v>
      </c>
      <c r="AN2228" s="33">
        <v>9.5883649410749561E-3</v>
      </c>
      <c r="AO2228" s="33">
        <v>6.4258639016978125E-4</v>
      </c>
    </row>
    <row r="2229" spans="39:41" x14ac:dyDescent="0.25">
      <c r="AM2229" s="2">
        <v>2226</v>
      </c>
      <c r="AN2229" s="33">
        <v>1.2211588853353751E-2</v>
      </c>
      <c r="AO2229" s="33">
        <v>7.5983071630387968E-4</v>
      </c>
    </row>
    <row r="2230" spans="39:41" x14ac:dyDescent="0.25">
      <c r="AM2230" s="2">
        <v>2227</v>
      </c>
      <c r="AN2230" s="33">
        <v>8.0224052833064649E-3</v>
      </c>
      <c r="AO2230" s="33">
        <v>6.5036547344146255E-4</v>
      </c>
    </row>
    <row r="2231" spans="39:41" x14ac:dyDescent="0.25">
      <c r="AM2231" s="2">
        <v>2228</v>
      </c>
      <c r="AN2231" s="33">
        <v>9.0403925355207367E-3</v>
      </c>
      <c r="AO2231" s="33">
        <v>4.3751011461009084E-4</v>
      </c>
    </row>
    <row r="2232" spans="39:41" x14ac:dyDescent="0.25">
      <c r="AM2232" s="2">
        <v>2229</v>
      </c>
      <c r="AN2232" s="33">
        <v>1.0726732735946853E-2</v>
      </c>
      <c r="AO2232" s="33">
        <v>7.9672516618471559E-4</v>
      </c>
    </row>
    <row r="2233" spans="39:41" x14ac:dyDescent="0.25">
      <c r="AM2233" s="2">
        <v>2230</v>
      </c>
      <c r="AN2233" s="33">
        <v>1.2159691471700096E-2</v>
      </c>
      <c r="AO2233" s="33">
        <v>1.076900063605013E-3</v>
      </c>
    </row>
    <row r="2234" spans="39:41" x14ac:dyDescent="0.25">
      <c r="AM2234" s="2">
        <v>2231</v>
      </c>
      <c r="AN2234" s="33">
        <v>1.170797670667865E-2</v>
      </c>
      <c r="AO2234" s="33">
        <v>9.3976322745891014E-4</v>
      </c>
    </row>
    <row r="2235" spans="39:41" x14ac:dyDescent="0.25">
      <c r="AM2235" s="2">
        <v>2232</v>
      </c>
      <c r="AN2235" s="33">
        <v>1.3598769687229641E-2</v>
      </c>
      <c r="AO2235" s="33">
        <v>1.2233483539367642E-3</v>
      </c>
    </row>
    <row r="2236" spans="39:41" x14ac:dyDescent="0.25">
      <c r="AM2236" s="2">
        <v>2233</v>
      </c>
      <c r="AN2236" s="33">
        <v>1.157161647663673E-2</v>
      </c>
      <c r="AO2236" s="33">
        <v>7.2842549699235633E-4</v>
      </c>
    </row>
    <row r="2237" spans="39:41" x14ac:dyDescent="0.25">
      <c r="AM2237" s="2">
        <v>2234</v>
      </c>
      <c r="AN2237" s="33">
        <v>9.9644563546555584E-3</v>
      </c>
      <c r="AO2237" s="33">
        <v>6.0034337783877647E-4</v>
      </c>
    </row>
    <row r="2238" spans="39:41" x14ac:dyDescent="0.25">
      <c r="AM2238" s="2">
        <v>2235</v>
      </c>
      <c r="AN2238" s="33">
        <v>1.3497734255740293E-2</v>
      </c>
      <c r="AO2238" s="33">
        <v>1.2801854255073473E-3</v>
      </c>
    </row>
    <row r="2239" spans="39:41" x14ac:dyDescent="0.25">
      <c r="AM2239" s="2">
        <v>2236</v>
      </c>
      <c r="AN2239" s="33">
        <v>1.1130524197260312E-2</v>
      </c>
      <c r="AO2239" s="33">
        <v>7.254500484464414E-4</v>
      </c>
    </row>
    <row r="2240" spans="39:41" x14ac:dyDescent="0.25">
      <c r="AM2240" s="2">
        <v>2237</v>
      </c>
      <c r="AN2240" s="33">
        <v>9.2151660751903543E-3</v>
      </c>
      <c r="AO2240" s="33">
        <v>3.9850243857215745E-4</v>
      </c>
    </row>
    <row r="2241" spans="39:41" x14ac:dyDescent="0.25">
      <c r="AM2241" s="2">
        <v>2238</v>
      </c>
      <c r="AN2241" s="33">
        <v>1.2986527405508418E-2</v>
      </c>
      <c r="AO2241" s="33">
        <v>9.3556353359903425E-4</v>
      </c>
    </row>
    <row r="2242" spans="39:41" x14ac:dyDescent="0.25">
      <c r="AM2242" s="2">
        <v>2239</v>
      </c>
      <c r="AN2242" s="33">
        <v>1.1286063768591847E-2</v>
      </c>
      <c r="AO2242" s="33">
        <v>1.0274566320944037E-3</v>
      </c>
    </row>
    <row r="2243" spans="39:41" x14ac:dyDescent="0.25">
      <c r="AM2243" s="2">
        <v>2240</v>
      </c>
      <c r="AN2243" s="33">
        <v>9.9770445413290554E-3</v>
      </c>
      <c r="AO2243" s="33">
        <v>1.0051098962628089E-3</v>
      </c>
    </row>
    <row r="2244" spans="39:41" x14ac:dyDescent="0.25">
      <c r="AM2244" s="2">
        <v>2241</v>
      </c>
      <c r="AN2244" s="33">
        <v>1.0138668496891773E-2</v>
      </c>
      <c r="AO2244" s="33">
        <v>8.0607385351240098E-4</v>
      </c>
    </row>
    <row r="2245" spans="39:41" x14ac:dyDescent="0.25">
      <c r="AM2245" s="2">
        <v>2242</v>
      </c>
      <c r="AN2245" s="33">
        <v>7.6752025129223208E-3</v>
      </c>
      <c r="AO2245" s="33">
        <v>6.6316183497171189E-4</v>
      </c>
    </row>
    <row r="2246" spans="39:41" x14ac:dyDescent="0.25">
      <c r="AM2246" s="2">
        <v>2243</v>
      </c>
      <c r="AN2246" s="33">
        <v>1.5662431066376062E-2</v>
      </c>
      <c r="AO2246" s="33">
        <v>1.3949220504131854E-3</v>
      </c>
    </row>
    <row r="2247" spans="39:41" x14ac:dyDescent="0.25">
      <c r="AM2247" s="2">
        <v>2244</v>
      </c>
      <c r="AN2247" s="33">
        <v>1.28653776182061E-2</v>
      </c>
      <c r="AO2247" s="33">
        <v>1.2262883593655977E-3</v>
      </c>
    </row>
    <row r="2248" spans="39:41" x14ac:dyDescent="0.25">
      <c r="AM2248" s="2">
        <v>2245</v>
      </c>
      <c r="AN2248" s="33">
        <v>1.2395863489721517E-2</v>
      </c>
      <c r="AO2248" s="33">
        <v>5.7297252791105042E-4</v>
      </c>
    </row>
    <row r="2249" spans="39:41" x14ac:dyDescent="0.25">
      <c r="AM2249" s="2">
        <v>2246</v>
      </c>
      <c r="AN2249" s="33">
        <v>1.1589343947831973E-2</v>
      </c>
      <c r="AO2249" s="33">
        <v>1.1550349155094578E-3</v>
      </c>
    </row>
    <row r="2250" spans="39:41" x14ac:dyDescent="0.25">
      <c r="AM2250" s="2">
        <v>2247</v>
      </c>
      <c r="AN2250" s="33">
        <v>1.0603690223981098E-2</v>
      </c>
      <c r="AO2250" s="33">
        <v>9.5652256281070853E-4</v>
      </c>
    </row>
    <row r="2251" spans="39:41" x14ac:dyDescent="0.25">
      <c r="AM2251" s="2">
        <v>2248</v>
      </c>
      <c r="AN2251" s="33">
        <v>1.1627069244754592E-2</v>
      </c>
      <c r="AO2251" s="33">
        <v>2.6805542312752071E-4</v>
      </c>
    </row>
    <row r="2252" spans="39:41" x14ac:dyDescent="0.25">
      <c r="AM2252" s="2">
        <v>2249</v>
      </c>
      <c r="AN2252" s="33">
        <v>1.5693890926904427E-2</v>
      </c>
      <c r="AO2252" s="33">
        <v>1.4649368508825862E-3</v>
      </c>
    </row>
    <row r="2253" spans="39:41" x14ac:dyDescent="0.25">
      <c r="AM2253" s="2">
        <v>2250</v>
      </c>
      <c r="AN2253" s="33">
        <v>1.2061853205210495E-2</v>
      </c>
      <c r="AO2253" s="33">
        <v>1.1404647139788941E-3</v>
      </c>
    </row>
    <row r="2254" spans="39:41" x14ac:dyDescent="0.25">
      <c r="AM2254" s="2">
        <v>2251</v>
      </c>
      <c r="AN2254" s="33">
        <v>1.1747821707497068E-2</v>
      </c>
      <c r="AO2254" s="33">
        <v>7.6696787437970115E-4</v>
      </c>
    </row>
    <row r="2255" spans="39:41" x14ac:dyDescent="0.25">
      <c r="AM2255" s="2">
        <v>2252</v>
      </c>
      <c r="AN2255" s="33">
        <v>9.9292831778125604E-3</v>
      </c>
      <c r="AO2255" s="33">
        <v>2.1944121544473357E-5</v>
      </c>
    </row>
    <row r="2256" spans="39:41" x14ac:dyDescent="0.25">
      <c r="AM2256" s="2">
        <v>2253</v>
      </c>
      <c r="AN2256" s="33">
        <v>9.1689002506668716E-3</v>
      </c>
      <c r="AO2256" s="33">
        <v>7.8062257717813398E-4</v>
      </c>
    </row>
    <row r="2257" spans="39:41" x14ac:dyDescent="0.25">
      <c r="AM2257" s="2">
        <v>2254</v>
      </c>
      <c r="AN2257" s="33">
        <v>1.3906472767244842E-2</v>
      </c>
      <c r="AO2257" s="33">
        <v>1.0560199343409972E-3</v>
      </c>
    </row>
    <row r="2258" spans="39:41" x14ac:dyDescent="0.25">
      <c r="AM2258" s="2">
        <v>2255</v>
      </c>
      <c r="AN2258" s="33">
        <v>1.1078681174335324E-2</v>
      </c>
      <c r="AO2258" s="33">
        <v>5.2379588605856915E-4</v>
      </c>
    </row>
    <row r="2259" spans="39:41" x14ac:dyDescent="0.25">
      <c r="AM2259" s="2">
        <v>2256</v>
      </c>
      <c r="AN2259" s="33">
        <v>8.8081908803809821E-3</v>
      </c>
      <c r="AO2259" s="33">
        <v>6.617084137473401E-4</v>
      </c>
    </row>
    <row r="2260" spans="39:41" x14ac:dyDescent="0.25">
      <c r="AM2260" s="2">
        <v>2257</v>
      </c>
      <c r="AN2260" s="33">
        <v>1.2192877084422031E-2</v>
      </c>
      <c r="AO2260" s="33">
        <v>9.8562430315566555E-4</v>
      </c>
    </row>
    <row r="2261" spans="39:41" x14ac:dyDescent="0.25">
      <c r="AM2261" s="2">
        <v>2258</v>
      </c>
      <c r="AN2261" s="33">
        <v>1.6238437855044561E-2</v>
      </c>
      <c r="AO2261" s="33">
        <v>1.5813099729090946E-3</v>
      </c>
    </row>
    <row r="2262" spans="39:41" x14ac:dyDescent="0.25">
      <c r="AM2262" s="2">
        <v>2259</v>
      </c>
      <c r="AN2262" s="33">
        <v>8.8190389036198504E-3</v>
      </c>
      <c r="AO2262" s="33">
        <v>5.4713281538440049E-4</v>
      </c>
    </row>
    <row r="2263" spans="39:41" x14ac:dyDescent="0.25">
      <c r="AM2263" s="2">
        <v>2260</v>
      </c>
      <c r="AN2263" s="33">
        <v>1.0573763758442748E-2</v>
      </c>
      <c r="AO2263" s="33">
        <v>6.3835289935086051E-4</v>
      </c>
    </row>
    <row r="2264" spans="39:41" x14ac:dyDescent="0.25">
      <c r="AM2264" s="2">
        <v>2261</v>
      </c>
      <c r="AN2264" s="33">
        <v>1.1292386793773816E-2</v>
      </c>
      <c r="AO2264" s="33">
        <v>4.4878701962169595E-4</v>
      </c>
    </row>
    <row r="2265" spans="39:41" x14ac:dyDescent="0.25">
      <c r="AM2265" s="2">
        <v>2262</v>
      </c>
      <c r="AN2265" s="33">
        <v>9.7486878594112009E-3</v>
      </c>
      <c r="AO2265" s="33">
        <v>4.5233592265307845E-4</v>
      </c>
    </row>
    <row r="2266" spans="39:41" x14ac:dyDescent="0.25">
      <c r="AM2266" s="2">
        <v>2263</v>
      </c>
      <c r="AN2266" s="33">
        <v>1.271296633770887E-2</v>
      </c>
      <c r="AO2266" s="33">
        <v>9.7418577449078457E-4</v>
      </c>
    </row>
    <row r="2267" spans="39:41" x14ac:dyDescent="0.25">
      <c r="AM2267" s="2">
        <v>2264</v>
      </c>
      <c r="AN2267" s="33">
        <v>1.1309832154877648E-2</v>
      </c>
      <c r="AO2267" s="33">
        <v>4.6675724559530916E-4</v>
      </c>
    </row>
    <row r="2268" spans="39:41" x14ac:dyDescent="0.25">
      <c r="AM2268" s="2">
        <v>2265</v>
      </c>
      <c r="AN2268" s="33">
        <v>1.261771003367433E-2</v>
      </c>
      <c r="AO2268" s="33">
        <v>1.2275562162062908E-3</v>
      </c>
    </row>
    <row r="2269" spans="39:41" x14ac:dyDescent="0.25">
      <c r="AM2269" s="2">
        <v>2266</v>
      </c>
      <c r="AN2269" s="33">
        <v>1.0004883992536474E-2</v>
      </c>
      <c r="AO2269" s="33">
        <v>7.0153590623427413E-4</v>
      </c>
    </row>
    <row r="2270" spans="39:41" x14ac:dyDescent="0.25">
      <c r="AM2270" s="2">
        <v>2267</v>
      </c>
      <c r="AN2270" s="33">
        <v>1.2006854623208945E-2</v>
      </c>
      <c r="AO2270" s="33">
        <v>8.7132235624121708E-4</v>
      </c>
    </row>
    <row r="2271" spans="39:41" x14ac:dyDescent="0.25">
      <c r="AM2271" s="2">
        <v>2268</v>
      </c>
      <c r="AN2271" s="33">
        <v>1.0530603940692242E-2</v>
      </c>
      <c r="AO2271" s="33">
        <v>9.6147759960479385E-4</v>
      </c>
    </row>
    <row r="2272" spans="39:41" x14ac:dyDescent="0.25">
      <c r="AM2272" s="2">
        <v>2269</v>
      </c>
      <c r="AN2272" s="33">
        <v>9.0707570942751541E-3</v>
      </c>
      <c r="AO2272" s="33">
        <v>6.8974222558141111E-4</v>
      </c>
    </row>
    <row r="2273" spans="39:41" x14ac:dyDescent="0.25">
      <c r="AM2273" s="2">
        <v>2270</v>
      </c>
      <c r="AN2273" s="33">
        <v>1.0229490877790997E-2</v>
      </c>
      <c r="AO2273" s="33">
        <v>8.4327465362703919E-4</v>
      </c>
    </row>
    <row r="2274" spans="39:41" x14ac:dyDescent="0.25">
      <c r="AM2274" s="2">
        <v>2271</v>
      </c>
      <c r="AN2274" s="33">
        <v>9.9677608131979959E-3</v>
      </c>
      <c r="AO2274" s="33">
        <v>6.7707054045942309E-4</v>
      </c>
    </row>
    <row r="2275" spans="39:41" x14ac:dyDescent="0.25">
      <c r="AM2275" s="2">
        <v>2272</v>
      </c>
      <c r="AN2275" s="33">
        <v>1.3775339727283323E-2</v>
      </c>
      <c r="AO2275" s="33">
        <v>9.8835676377584695E-4</v>
      </c>
    </row>
    <row r="2276" spans="39:41" x14ac:dyDescent="0.25">
      <c r="AM2276" s="2">
        <v>2273</v>
      </c>
      <c r="AN2276" s="33">
        <v>1.444891221914906E-2</v>
      </c>
      <c r="AO2276" s="33">
        <v>9.636451201387921E-4</v>
      </c>
    </row>
    <row r="2277" spans="39:41" x14ac:dyDescent="0.25">
      <c r="AM2277" s="2">
        <v>2274</v>
      </c>
      <c r="AN2277" s="33">
        <v>1.1451619569163136E-2</v>
      </c>
      <c r="AO2277" s="33">
        <v>5.7697564198500202E-4</v>
      </c>
    </row>
    <row r="2278" spans="39:41" x14ac:dyDescent="0.25">
      <c r="AM2278" s="2">
        <v>2275</v>
      </c>
      <c r="AN2278" s="33">
        <v>9.8617332040009976E-3</v>
      </c>
      <c r="AO2278" s="33">
        <v>7.0614058566067128E-4</v>
      </c>
    </row>
    <row r="2279" spans="39:41" x14ac:dyDescent="0.25">
      <c r="AM2279" s="2">
        <v>2276</v>
      </c>
      <c r="AN2279" s="33">
        <v>1.0685127396329536E-2</v>
      </c>
      <c r="AO2279" s="33">
        <v>9.503035698237148E-4</v>
      </c>
    </row>
    <row r="2280" spans="39:41" x14ac:dyDescent="0.25">
      <c r="AM2280" s="2">
        <v>2277</v>
      </c>
      <c r="AN2280" s="33">
        <v>1.0957395528219482E-2</v>
      </c>
      <c r="AO2280" s="33">
        <v>7.2416253942649033E-4</v>
      </c>
    </row>
    <row r="2281" spans="39:41" x14ac:dyDescent="0.25">
      <c r="AM2281" s="2">
        <v>2278</v>
      </c>
      <c r="AN2281" s="33">
        <v>1.4092745951438581E-2</v>
      </c>
      <c r="AO2281" s="33">
        <v>1.3033131167028938E-3</v>
      </c>
    </row>
    <row r="2282" spans="39:41" x14ac:dyDescent="0.25">
      <c r="AM2282" s="2">
        <v>2279</v>
      </c>
      <c r="AN2282" s="33">
        <v>1.0408367806913085E-2</v>
      </c>
      <c r="AO2282" s="33">
        <v>4.4766701889458469E-4</v>
      </c>
    </row>
    <row r="2283" spans="39:41" x14ac:dyDescent="0.25">
      <c r="AM2283" s="2">
        <v>2280</v>
      </c>
      <c r="AN2283" s="33">
        <v>1.2712017707440055E-2</v>
      </c>
      <c r="AO2283" s="33">
        <v>1.1693503623613564E-3</v>
      </c>
    </row>
    <row r="2284" spans="39:41" x14ac:dyDescent="0.25">
      <c r="AM2284" s="2">
        <v>2281</v>
      </c>
      <c r="AN2284" s="33">
        <v>1.2803106264472222E-2</v>
      </c>
      <c r="AO2284" s="33">
        <v>8.7945203292793639E-4</v>
      </c>
    </row>
    <row r="2285" spans="39:41" x14ac:dyDescent="0.25">
      <c r="AM2285" s="2">
        <v>2282</v>
      </c>
      <c r="AN2285" s="33">
        <v>1.555917807078917E-2</v>
      </c>
      <c r="AO2285" s="33">
        <v>1.2121928937899064E-3</v>
      </c>
    </row>
    <row r="2286" spans="39:41" x14ac:dyDescent="0.25">
      <c r="AM2286" s="2">
        <v>2283</v>
      </c>
      <c r="AN2286" s="33">
        <v>1.3068308645654754E-2</v>
      </c>
      <c r="AO2286" s="33">
        <v>9.5466207530155807E-4</v>
      </c>
    </row>
    <row r="2287" spans="39:41" x14ac:dyDescent="0.25">
      <c r="AM2287" s="2">
        <v>2284</v>
      </c>
      <c r="AN2287" s="33">
        <v>9.7552183296338441E-3</v>
      </c>
      <c r="AO2287" s="33">
        <v>8.5062637733686482E-4</v>
      </c>
    </row>
    <row r="2288" spans="39:41" x14ac:dyDescent="0.25">
      <c r="AM2288" s="2">
        <v>2285</v>
      </c>
      <c r="AN2288" s="33">
        <v>1.2992603431564853E-2</v>
      </c>
      <c r="AO2288" s="33">
        <v>1.2108218876794564E-3</v>
      </c>
    </row>
    <row r="2289" spans="39:41" x14ac:dyDescent="0.25">
      <c r="AM2289" s="2">
        <v>2286</v>
      </c>
      <c r="AN2289" s="33">
        <v>1.6632128727420595E-2</v>
      </c>
      <c r="AO2289" s="33">
        <v>1.5798620914069829E-3</v>
      </c>
    </row>
    <row r="2290" spans="39:41" x14ac:dyDescent="0.25">
      <c r="AM2290" s="2">
        <v>2287</v>
      </c>
      <c r="AN2290" s="33">
        <v>1.3764464214280993E-2</v>
      </c>
      <c r="AO2290" s="33">
        <v>1.1107512965153352E-3</v>
      </c>
    </row>
    <row r="2291" spans="39:41" x14ac:dyDescent="0.25">
      <c r="AM2291" s="2">
        <v>2288</v>
      </c>
      <c r="AN2291" s="33">
        <v>1.4944396004248453E-2</v>
      </c>
      <c r="AO2291" s="33">
        <v>1.3762294528534399E-3</v>
      </c>
    </row>
    <row r="2292" spans="39:41" x14ac:dyDescent="0.25">
      <c r="AM2292" s="2">
        <v>2289</v>
      </c>
      <c r="AN2292" s="33">
        <v>1.1580816497011797E-2</v>
      </c>
      <c r="AO2292" s="33">
        <v>6.1132541488191736E-4</v>
      </c>
    </row>
    <row r="2293" spans="39:41" x14ac:dyDescent="0.25">
      <c r="AM2293" s="2">
        <v>2290</v>
      </c>
      <c r="AN2293" s="33">
        <v>9.7777356479086582E-3</v>
      </c>
      <c r="AO2293" s="33">
        <v>1.5735605270950011E-4</v>
      </c>
    </row>
    <row r="2294" spans="39:41" x14ac:dyDescent="0.25">
      <c r="AM2294" s="2">
        <v>2291</v>
      </c>
      <c r="AN2294" s="33">
        <v>1.3488600475683041E-2</v>
      </c>
      <c r="AO2294" s="33">
        <v>9.5832433989838893E-4</v>
      </c>
    </row>
    <row r="2295" spans="39:41" x14ac:dyDescent="0.25">
      <c r="AM2295" s="2">
        <v>2292</v>
      </c>
      <c r="AN2295" s="33">
        <v>9.1366133190595843E-3</v>
      </c>
      <c r="AO2295" s="33">
        <v>7.1356918214612191E-4</v>
      </c>
    </row>
    <row r="2296" spans="39:41" x14ac:dyDescent="0.25">
      <c r="AM2296" s="2">
        <v>2293</v>
      </c>
      <c r="AN2296" s="33">
        <v>1.3250860288182969E-2</v>
      </c>
      <c r="AO2296" s="33">
        <v>8.2020039270230317E-4</v>
      </c>
    </row>
    <row r="2297" spans="39:41" x14ac:dyDescent="0.25">
      <c r="AM2297" s="2">
        <v>2294</v>
      </c>
      <c r="AN2297" s="33">
        <v>1.6646515154146242E-2</v>
      </c>
      <c r="AO2297" s="33">
        <v>1.5673525084629806E-3</v>
      </c>
    </row>
    <row r="2298" spans="39:41" x14ac:dyDescent="0.25">
      <c r="AM2298" s="2">
        <v>2295</v>
      </c>
      <c r="AN2298" s="33">
        <v>1.1810130263236147E-2</v>
      </c>
      <c r="AO2298" s="33">
        <v>1.0227526923092894E-3</v>
      </c>
    </row>
    <row r="2299" spans="39:41" x14ac:dyDescent="0.25">
      <c r="AM2299" s="2">
        <v>2296</v>
      </c>
      <c r="AN2299" s="33">
        <v>1.0101008937588151E-2</v>
      </c>
      <c r="AO2299" s="33">
        <v>6.8529716502401352E-4</v>
      </c>
    </row>
    <row r="2300" spans="39:41" x14ac:dyDescent="0.25">
      <c r="AM2300" s="2">
        <v>2297</v>
      </c>
      <c r="AN2300" s="33">
        <v>1.4770386373952994E-2</v>
      </c>
      <c r="AO2300" s="33">
        <v>1.4058897367815791E-3</v>
      </c>
    </row>
    <row r="2301" spans="39:41" x14ac:dyDescent="0.25">
      <c r="AM2301" s="2">
        <v>2298</v>
      </c>
      <c r="AN2301" s="33">
        <v>1.5521715468727815E-2</v>
      </c>
      <c r="AO2301" s="33">
        <v>1.2784319641112696E-3</v>
      </c>
    </row>
    <row r="2302" spans="39:41" x14ac:dyDescent="0.25">
      <c r="AM2302" s="2">
        <v>2299</v>
      </c>
      <c r="AN2302" s="33">
        <v>1.177832280645584E-2</v>
      </c>
      <c r="AO2302" s="33">
        <v>9.4661034979246406E-4</v>
      </c>
    </row>
    <row r="2303" spans="39:41" x14ac:dyDescent="0.25">
      <c r="AM2303" s="2">
        <v>2300</v>
      </c>
      <c r="AN2303" s="33">
        <v>1.5505589891565977E-2</v>
      </c>
      <c r="AO2303" s="33">
        <v>1.1669000031027414E-3</v>
      </c>
    </row>
    <row r="2304" spans="39:41" x14ac:dyDescent="0.25">
      <c r="AM2304" s="2">
        <v>2301</v>
      </c>
      <c r="AN2304" s="33">
        <v>1.0800992715210655E-2</v>
      </c>
      <c r="AO2304" s="33">
        <v>8.8399065302781127E-4</v>
      </c>
    </row>
    <row r="2305" spans="39:41" x14ac:dyDescent="0.25">
      <c r="AM2305" s="2">
        <v>2302</v>
      </c>
      <c r="AN2305" s="33">
        <v>1.525360745164386E-2</v>
      </c>
      <c r="AO2305" s="33">
        <v>1.1870027584300342E-3</v>
      </c>
    </row>
    <row r="2306" spans="39:41" x14ac:dyDescent="0.25">
      <c r="AM2306" s="2">
        <v>2303</v>
      </c>
      <c r="AN2306" s="33">
        <v>9.0022171048942147E-3</v>
      </c>
      <c r="AO2306" s="33">
        <v>7.6578408259491348E-4</v>
      </c>
    </row>
    <row r="2307" spans="39:41" x14ac:dyDescent="0.25">
      <c r="AM2307" s="2">
        <v>2304</v>
      </c>
      <c r="AN2307" s="33">
        <v>1.3941802080479166E-2</v>
      </c>
      <c r="AO2307" s="33">
        <v>9.9113011238323814E-4</v>
      </c>
    </row>
    <row r="2308" spans="39:41" x14ac:dyDescent="0.25">
      <c r="AM2308" s="2">
        <v>2305</v>
      </c>
      <c r="AN2308" s="33">
        <v>1.364890270368496E-2</v>
      </c>
      <c r="AO2308" s="33">
        <v>1.3874021609403446E-3</v>
      </c>
    </row>
    <row r="2309" spans="39:41" x14ac:dyDescent="0.25">
      <c r="AM2309" s="2">
        <v>2306</v>
      </c>
      <c r="AN2309" s="33">
        <v>1.6533014150473729E-2</v>
      </c>
      <c r="AO2309" s="33">
        <v>1.4365338671172114E-3</v>
      </c>
    </row>
    <row r="2310" spans="39:41" x14ac:dyDescent="0.25">
      <c r="AM2310" s="2">
        <v>2307</v>
      </c>
      <c r="AN2310" s="33">
        <v>1.1290707216624766E-2</v>
      </c>
      <c r="AO2310" s="33">
        <v>1.0447888218242522E-3</v>
      </c>
    </row>
    <row r="2311" spans="39:41" x14ac:dyDescent="0.25">
      <c r="AM2311" s="2">
        <v>2308</v>
      </c>
      <c r="AN2311" s="33">
        <v>7.9631752218946045E-3</v>
      </c>
      <c r="AO2311" s="33">
        <v>3.1004821688569815E-4</v>
      </c>
    </row>
    <row r="2312" spans="39:41" x14ac:dyDescent="0.25">
      <c r="AM2312" s="2">
        <v>2309</v>
      </c>
      <c r="AN2312" s="33">
        <v>1.4845132246575816E-2</v>
      </c>
      <c r="AO2312" s="33">
        <v>1.083327816229224E-3</v>
      </c>
    </row>
    <row r="2313" spans="39:41" x14ac:dyDescent="0.25">
      <c r="AM2313" s="2">
        <v>2310</v>
      </c>
      <c r="AN2313" s="33">
        <v>9.8537624815146947E-3</v>
      </c>
      <c r="AO2313" s="33">
        <v>1.1193050973061447E-4</v>
      </c>
    </row>
    <row r="2314" spans="39:41" x14ac:dyDescent="0.25">
      <c r="AM2314" s="2">
        <v>2311</v>
      </c>
      <c r="AN2314" s="33">
        <v>1.1994611835440963E-2</v>
      </c>
      <c r="AO2314" s="33">
        <v>1.0485223470120639E-3</v>
      </c>
    </row>
    <row r="2315" spans="39:41" x14ac:dyDescent="0.25">
      <c r="AM2315" s="2">
        <v>2312</v>
      </c>
      <c r="AN2315" s="33">
        <v>1.1677990102426506E-2</v>
      </c>
      <c r="AO2315" s="33">
        <v>6.3656413439125046E-4</v>
      </c>
    </row>
    <row r="2316" spans="39:41" x14ac:dyDescent="0.25">
      <c r="AM2316" s="2">
        <v>2313</v>
      </c>
      <c r="AN2316" s="33">
        <v>1.5299046076233069E-2</v>
      </c>
      <c r="AO2316" s="33">
        <v>1.6072773741090496E-3</v>
      </c>
    </row>
    <row r="2317" spans="39:41" x14ac:dyDescent="0.25">
      <c r="AM2317" s="2">
        <v>2314</v>
      </c>
      <c r="AN2317" s="33">
        <v>1.0265114040710975E-2</v>
      </c>
      <c r="AO2317" s="33">
        <v>2.9884025558450249E-4</v>
      </c>
    </row>
    <row r="2318" spans="39:41" x14ac:dyDescent="0.25">
      <c r="AM2318" s="2">
        <v>2315</v>
      </c>
      <c r="AN2318" s="33">
        <v>1.4496035739623211E-2</v>
      </c>
      <c r="AO2318" s="33">
        <v>1.3716352586317022E-3</v>
      </c>
    </row>
    <row r="2319" spans="39:41" x14ac:dyDescent="0.25">
      <c r="AM2319" s="2">
        <v>2316</v>
      </c>
      <c r="AN2319" s="33">
        <v>7.3801774481604401E-3</v>
      </c>
      <c r="AO2319" s="33">
        <v>5.4546532946027826E-4</v>
      </c>
    </row>
    <row r="2320" spans="39:41" x14ac:dyDescent="0.25">
      <c r="AM2320" s="2">
        <v>2317</v>
      </c>
      <c r="AN2320" s="33">
        <v>9.6262298857950589E-3</v>
      </c>
      <c r="AO2320" s="33">
        <v>8.7576010716359099E-4</v>
      </c>
    </row>
    <row r="2321" spans="39:41" x14ac:dyDescent="0.25">
      <c r="AM2321" s="2">
        <v>2318</v>
      </c>
      <c r="AN2321" s="33">
        <v>1.2732869921471291E-2</v>
      </c>
      <c r="AO2321" s="33">
        <v>1.0331040871575329E-3</v>
      </c>
    </row>
    <row r="2322" spans="39:41" x14ac:dyDescent="0.25">
      <c r="AM2322" s="2">
        <v>2319</v>
      </c>
      <c r="AN2322" s="33">
        <v>1.4765099387354663E-2</v>
      </c>
      <c r="AO2322" s="33">
        <v>1.1959918852164928E-3</v>
      </c>
    </row>
    <row r="2323" spans="39:41" x14ac:dyDescent="0.25">
      <c r="AM2323" s="2">
        <v>2320</v>
      </c>
      <c r="AN2323" s="33">
        <v>1.1653662685600518E-2</v>
      </c>
      <c r="AO2323" s="33">
        <v>4.7471622734440011E-4</v>
      </c>
    </row>
    <row r="2324" spans="39:41" x14ac:dyDescent="0.25">
      <c r="AM2324" s="2">
        <v>2321</v>
      </c>
      <c r="AN2324" s="33">
        <v>1.0728989662417743E-2</v>
      </c>
      <c r="AO2324" s="33">
        <v>6.3226811530943438E-4</v>
      </c>
    </row>
    <row r="2325" spans="39:41" x14ac:dyDescent="0.25">
      <c r="AM2325" s="2">
        <v>2322</v>
      </c>
      <c r="AN2325" s="33">
        <v>1.2998361232800409E-2</v>
      </c>
      <c r="AO2325" s="33">
        <v>1.2221881114520903E-3</v>
      </c>
    </row>
    <row r="2326" spans="39:41" x14ac:dyDescent="0.25">
      <c r="AM2326" s="2">
        <v>2323</v>
      </c>
      <c r="AN2326" s="33">
        <v>9.0122611239647037E-3</v>
      </c>
      <c r="AO2326" s="33">
        <v>7.2346196502904464E-4</v>
      </c>
    </row>
    <row r="2327" spans="39:41" x14ac:dyDescent="0.25">
      <c r="AM2327" s="2">
        <v>2324</v>
      </c>
      <c r="AN2327" s="33">
        <v>9.4829246617278515E-3</v>
      </c>
      <c r="AO2327" s="33">
        <v>8.486762467582791E-4</v>
      </c>
    </row>
    <row r="2328" spans="39:41" x14ac:dyDescent="0.25">
      <c r="AM2328" s="2">
        <v>2325</v>
      </c>
      <c r="AN2328" s="33">
        <v>1.0125204021642483E-2</v>
      </c>
      <c r="AO2328" s="33">
        <v>4.9460790594964342E-4</v>
      </c>
    </row>
    <row r="2329" spans="39:41" x14ac:dyDescent="0.25">
      <c r="AM2329" s="2">
        <v>2326</v>
      </c>
      <c r="AN2329" s="33">
        <v>1.5925269349175573E-2</v>
      </c>
      <c r="AO2329" s="33">
        <v>1.4574414989734668E-3</v>
      </c>
    </row>
    <row r="2330" spans="39:41" x14ac:dyDescent="0.25">
      <c r="AM2330" s="2">
        <v>2327</v>
      </c>
      <c r="AN2330" s="33">
        <v>1.0340278197625407E-2</v>
      </c>
      <c r="AO2330" s="33">
        <v>8.6376202054672037E-4</v>
      </c>
    </row>
    <row r="2331" spans="39:41" x14ac:dyDescent="0.25">
      <c r="AM2331" s="2">
        <v>2328</v>
      </c>
      <c r="AN2331" s="33">
        <v>1.1957929933004959E-2</v>
      </c>
      <c r="AO2331" s="33">
        <v>2.4704618997312393E-4</v>
      </c>
    </row>
    <row r="2332" spans="39:41" x14ac:dyDescent="0.25">
      <c r="AM2332" s="2">
        <v>2329</v>
      </c>
      <c r="AN2332" s="33">
        <v>1.419405172051947E-2</v>
      </c>
      <c r="AO2332" s="33">
        <v>1.0062269599042258E-3</v>
      </c>
    </row>
    <row r="2333" spans="39:41" x14ac:dyDescent="0.25">
      <c r="AM2333" s="2">
        <v>2330</v>
      </c>
      <c r="AN2333" s="33">
        <v>1.1316083360596247E-2</v>
      </c>
      <c r="AO2333" s="33">
        <v>6.3035891555088318E-4</v>
      </c>
    </row>
    <row r="2334" spans="39:41" x14ac:dyDescent="0.25">
      <c r="AM2334" s="2">
        <v>2331</v>
      </c>
      <c r="AN2334" s="33">
        <v>8.8662543142246173E-3</v>
      </c>
      <c r="AO2334" s="33">
        <v>7.9765130251288857E-4</v>
      </c>
    </row>
    <row r="2335" spans="39:41" x14ac:dyDescent="0.25">
      <c r="AM2335" s="2">
        <v>2332</v>
      </c>
      <c r="AN2335" s="33">
        <v>8.6822816616576488E-3</v>
      </c>
      <c r="AO2335" s="33">
        <v>4.9049322322831934E-4</v>
      </c>
    </row>
    <row r="2336" spans="39:41" x14ac:dyDescent="0.25">
      <c r="AM2336" s="2">
        <v>2333</v>
      </c>
      <c r="AN2336" s="33">
        <v>1.3552709495403723E-2</v>
      </c>
      <c r="AO2336" s="33">
        <v>1.2844038606087795E-3</v>
      </c>
    </row>
    <row r="2337" spans="39:41" x14ac:dyDescent="0.25">
      <c r="AM2337" s="2">
        <v>2334</v>
      </c>
      <c r="AN2337" s="33">
        <v>1.1751978645245445E-2</v>
      </c>
      <c r="AO2337" s="33">
        <v>1.0683288926135589E-3</v>
      </c>
    </row>
    <row r="2338" spans="39:41" x14ac:dyDescent="0.25">
      <c r="AM2338" s="2">
        <v>2335</v>
      </c>
      <c r="AN2338" s="33">
        <v>1.3537157604559254E-2</v>
      </c>
      <c r="AO2338" s="33">
        <v>9.1346861629031518E-4</v>
      </c>
    </row>
    <row r="2339" spans="39:41" x14ac:dyDescent="0.25">
      <c r="AM2339" s="2">
        <v>2336</v>
      </c>
      <c r="AN2339" s="33">
        <v>8.2571500208034696E-3</v>
      </c>
      <c r="AO2339" s="33">
        <v>5.2211181357034663E-4</v>
      </c>
    </row>
    <row r="2340" spans="39:41" x14ac:dyDescent="0.25">
      <c r="AM2340" s="2">
        <v>2337</v>
      </c>
      <c r="AN2340" s="33">
        <v>1.0185715930520632E-2</v>
      </c>
      <c r="AO2340" s="33">
        <v>5.0785701626142581E-4</v>
      </c>
    </row>
    <row r="2341" spans="39:41" x14ac:dyDescent="0.25">
      <c r="AM2341" s="2">
        <v>2338</v>
      </c>
      <c r="AN2341" s="33">
        <v>9.8558405276826262E-3</v>
      </c>
      <c r="AO2341" s="33">
        <v>4.851898164847236E-4</v>
      </c>
    </row>
    <row r="2342" spans="39:41" x14ac:dyDescent="0.25">
      <c r="AM2342" s="2">
        <v>2339</v>
      </c>
      <c r="AN2342" s="33">
        <v>1.0595695692392682E-2</v>
      </c>
      <c r="AO2342" s="33">
        <v>1.2813412368099721E-4</v>
      </c>
    </row>
    <row r="2343" spans="39:41" x14ac:dyDescent="0.25">
      <c r="AM2343" s="2">
        <v>2340</v>
      </c>
      <c r="AN2343" s="33">
        <v>9.5762033558298848E-3</v>
      </c>
      <c r="AO2343" s="33">
        <v>7.366155637601998E-4</v>
      </c>
    </row>
    <row r="2344" spans="39:41" x14ac:dyDescent="0.25">
      <c r="AM2344" s="2">
        <v>2341</v>
      </c>
      <c r="AN2344" s="33">
        <v>1.0315269906163481E-2</v>
      </c>
      <c r="AO2344" s="33">
        <v>4.1731943034197449E-4</v>
      </c>
    </row>
    <row r="2345" spans="39:41" x14ac:dyDescent="0.25">
      <c r="AM2345" s="2">
        <v>2342</v>
      </c>
      <c r="AN2345" s="33">
        <v>1.2535489585058313E-2</v>
      </c>
      <c r="AO2345" s="33">
        <v>1.0366194299957592E-3</v>
      </c>
    </row>
    <row r="2346" spans="39:41" x14ac:dyDescent="0.25">
      <c r="AM2346" s="2">
        <v>2343</v>
      </c>
      <c r="AN2346" s="33">
        <v>1.2546594952250363E-2</v>
      </c>
      <c r="AO2346" s="33">
        <v>1.0087323999240778E-3</v>
      </c>
    </row>
    <row r="2347" spans="39:41" x14ac:dyDescent="0.25">
      <c r="AM2347" s="2">
        <v>2344</v>
      </c>
      <c r="AN2347" s="33">
        <v>1.1558390872862128E-2</v>
      </c>
      <c r="AO2347" s="33">
        <v>1.0030540954512137E-3</v>
      </c>
    </row>
    <row r="2348" spans="39:41" x14ac:dyDescent="0.25">
      <c r="AM2348" s="2">
        <v>2345</v>
      </c>
      <c r="AN2348" s="33">
        <v>9.4189134841307677E-3</v>
      </c>
      <c r="AO2348" s="33">
        <v>8.0413831989402699E-4</v>
      </c>
    </row>
    <row r="2349" spans="39:41" x14ac:dyDescent="0.25">
      <c r="AM2349" s="2">
        <v>2346</v>
      </c>
      <c r="AN2349" s="33">
        <v>1.2216058437754257E-2</v>
      </c>
      <c r="AO2349" s="33">
        <v>8.822828026847653E-4</v>
      </c>
    </row>
    <row r="2350" spans="39:41" x14ac:dyDescent="0.25">
      <c r="AM2350" s="2">
        <v>2347</v>
      </c>
      <c r="AN2350" s="33">
        <v>1.2144889957052324E-2</v>
      </c>
      <c r="AO2350" s="33">
        <v>8.1884551748525052E-4</v>
      </c>
    </row>
    <row r="2351" spans="39:41" x14ac:dyDescent="0.25">
      <c r="AM2351" s="2">
        <v>2348</v>
      </c>
      <c r="AN2351" s="33">
        <v>1.4286183844706842E-2</v>
      </c>
      <c r="AO2351" s="33">
        <v>1.4021671789966128E-3</v>
      </c>
    </row>
    <row r="2352" spans="39:41" x14ac:dyDescent="0.25">
      <c r="AM2352" s="2">
        <v>2349</v>
      </c>
      <c r="AN2352" s="33">
        <v>9.8252599574131013E-3</v>
      </c>
      <c r="AO2352" s="33">
        <v>4.8541873809487314E-4</v>
      </c>
    </row>
    <row r="2353" spans="39:41" x14ac:dyDescent="0.25">
      <c r="AM2353" s="2">
        <v>2350</v>
      </c>
      <c r="AN2353" s="33">
        <v>1.2570651144015193E-2</v>
      </c>
      <c r="AO2353" s="33">
        <v>8.4002997783833391E-4</v>
      </c>
    </row>
    <row r="2354" spans="39:41" x14ac:dyDescent="0.25">
      <c r="AM2354" s="2">
        <v>2351</v>
      </c>
      <c r="AN2354" s="33">
        <v>1.3587303541018541E-2</v>
      </c>
      <c r="AO2354" s="33">
        <v>1.2683766685159322E-3</v>
      </c>
    </row>
    <row r="2355" spans="39:41" x14ac:dyDescent="0.25">
      <c r="AM2355" s="2">
        <v>2352</v>
      </c>
      <c r="AN2355" s="33">
        <v>1.0988312456868586E-2</v>
      </c>
      <c r="AO2355" s="33">
        <v>1.0667406303387654E-3</v>
      </c>
    </row>
    <row r="2356" spans="39:41" x14ac:dyDescent="0.25">
      <c r="AM2356" s="2">
        <v>2353</v>
      </c>
      <c r="AN2356" s="33">
        <v>8.129839911963142E-3</v>
      </c>
      <c r="AO2356" s="33">
        <v>5.0240098007451955E-4</v>
      </c>
    </row>
    <row r="2357" spans="39:41" x14ac:dyDescent="0.25">
      <c r="AM2357" s="2">
        <v>2354</v>
      </c>
      <c r="AN2357" s="33">
        <v>1.4565129736633237E-2</v>
      </c>
      <c r="AO2357" s="33">
        <v>1.3463682256326607E-3</v>
      </c>
    </row>
    <row r="2358" spans="39:41" x14ac:dyDescent="0.25">
      <c r="AM2358" s="2">
        <v>2355</v>
      </c>
      <c r="AN2358" s="33">
        <v>1.0264077203588693E-2</v>
      </c>
      <c r="AO2358" s="33">
        <v>6.3937802954000371E-4</v>
      </c>
    </row>
    <row r="2359" spans="39:41" x14ac:dyDescent="0.25">
      <c r="AM2359" s="2">
        <v>2356</v>
      </c>
      <c r="AN2359" s="33">
        <v>1.0202108257479595E-2</v>
      </c>
      <c r="AO2359" s="33">
        <v>5.4819108205048507E-4</v>
      </c>
    </row>
    <row r="2360" spans="39:41" x14ac:dyDescent="0.25">
      <c r="AM2360" s="2">
        <v>2357</v>
      </c>
      <c r="AN2360" s="33">
        <v>1.4450415343865878E-2</v>
      </c>
      <c r="AO2360" s="33">
        <v>1.1719221314959801E-3</v>
      </c>
    </row>
    <row r="2361" spans="39:41" x14ac:dyDescent="0.25">
      <c r="AM2361" s="2">
        <v>2358</v>
      </c>
      <c r="AN2361" s="33">
        <v>1.0469097376628631E-2</v>
      </c>
      <c r="AO2361" s="33">
        <v>6.519341729808194E-4</v>
      </c>
    </row>
    <row r="2362" spans="39:41" x14ac:dyDescent="0.25">
      <c r="AM2362" s="2">
        <v>2359</v>
      </c>
      <c r="AN2362" s="33">
        <v>1.1570523548686904E-2</v>
      </c>
      <c r="AO2362" s="33">
        <v>7.7654134911477859E-4</v>
      </c>
    </row>
    <row r="2363" spans="39:41" x14ac:dyDescent="0.25">
      <c r="AM2363" s="2">
        <v>2360</v>
      </c>
      <c r="AN2363" s="33">
        <v>1.0737868225374638E-2</v>
      </c>
      <c r="AO2363" s="33">
        <v>8.2943161084083087E-4</v>
      </c>
    </row>
    <row r="2364" spans="39:41" x14ac:dyDescent="0.25">
      <c r="AM2364" s="2">
        <v>2361</v>
      </c>
      <c r="AN2364" s="33">
        <v>1.2191743906786765E-2</v>
      </c>
      <c r="AO2364" s="33">
        <v>5.6140039749445747E-4</v>
      </c>
    </row>
    <row r="2365" spans="39:41" x14ac:dyDescent="0.25">
      <c r="AM2365" s="2">
        <v>2362</v>
      </c>
      <c r="AN2365" s="33">
        <v>1.3792589414099506E-2</v>
      </c>
      <c r="AO2365" s="33">
        <v>1.1588337559991994E-3</v>
      </c>
    </row>
    <row r="2366" spans="39:41" x14ac:dyDescent="0.25">
      <c r="AM2366" s="2">
        <v>2363</v>
      </c>
      <c r="AN2366" s="33">
        <v>1.3018159254282275E-2</v>
      </c>
      <c r="AO2366" s="33">
        <v>1.1979302841433755E-3</v>
      </c>
    </row>
    <row r="2367" spans="39:41" x14ac:dyDescent="0.25">
      <c r="AM2367" s="2">
        <v>2364</v>
      </c>
      <c r="AN2367" s="33">
        <v>1.1341931601871054E-2</v>
      </c>
      <c r="AO2367" s="33">
        <v>8.2508381422146358E-4</v>
      </c>
    </row>
    <row r="2368" spans="39:41" x14ac:dyDescent="0.25">
      <c r="AM2368" s="2">
        <v>2365</v>
      </c>
      <c r="AN2368" s="33">
        <v>1.2661308538657816E-2</v>
      </c>
      <c r="AO2368" s="33">
        <v>9.9250162855337256E-4</v>
      </c>
    </row>
    <row r="2369" spans="39:41" x14ac:dyDescent="0.25">
      <c r="AM2369" s="2">
        <v>2366</v>
      </c>
      <c r="AN2369" s="33">
        <v>1.0166914725503741E-2</v>
      </c>
      <c r="AO2369" s="33">
        <v>9.1755037878643087E-4</v>
      </c>
    </row>
    <row r="2370" spans="39:41" x14ac:dyDescent="0.25">
      <c r="AM2370" s="2">
        <v>2367</v>
      </c>
      <c r="AN2370" s="33">
        <v>1.2227044599719159E-2</v>
      </c>
      <c r="AO2370" s="33">
        <v>1.2071859939794284E-3</v>
      </c>
    </row>
    <row r="2371" spans="39:41" x14ac:dyDescent="0.25">
      <c r="AM2371" s="2">
        <v>2368</v>
      </c>
      <c r="AN2371" s="33">
        <v>1.4151728037649683E-2</v>
      </c>
      <c r="AO2371" s="33">
        <v>4.6446730783451426E-4</v>
      </c>
    </row>
    <row r="2372" spans="39:41" x14ac:dyDescent="0.25">
      <c r="AM2372" s="2">
        <v>2369</v>
      </c>
      <c r="AN2372" s="33">
        <v>1.4490456571944501E-2</v>
      </c>
      <c r="AO2372" s="33">
        <v>1.3785338409257079E-3</v>
      </c>
    </row>
    <row r="2373" spans="39:41" x14ac:dyDescent="0.25">
      <c r="AM2373" s="2">
        <v>2370</v>
      </c>
      <c r="AN2373" s="33">
        <v>1.2745662083239993E-2</v>
      </c>
      <c r="AO2373" s="33">
        <v>8.4336242565162414E-4</v>
      </c>
    </row>
    <row r="2374" spans="39:41" x14ac:dyDescent="0.25">
      <c r="AM2374" s="2">
        <v>2371</v>
      </c>
      <c r="AN2374" s="33">
        <v>1.3547780352835838E-2</v>
      </c>
      <c r="AO2374" s="33">
        <v>1.2780899307303268E-3</v>
      </c>
    </row>
    <row r="2375" spans="39:41" x14ac:dyDescent="0.25">
      <c r="AM2375" s="2">
        <v>2372</v>
      </c>
      <c r="AN2375" s="33">
        <v>9.6649627958581598E-3</v>
      </c>
      <c r="AO2375" s="33">
        <v>6.0584301499081632E-4</v>
      </c>
    </row>
    <row r="2376" spans="39:41" x14ac:dyDescent="0.25">
      <c r="AM2376" s="2">
        <v>2373</v>
      </c>
      <c r="AN2376" s="33">
        <v>1.3579677567141195E-2</v>
      </c>
      <c r="AO2376" s="33">
        <v>9.9005019910600634E-4</v>
      </c>
    </row>
    <row r="2377" spans="39:41" x14ac:dyDescent="0.25">
      <c r="AM2377" s="2">
        <v>2374</v>
      </c>
      <c r="AN2377" s="33">
        <v>1.1317592138905291E-2</v>
      </c>
      <c r="AO2377" s="33">
        <v>2.797094831827159E-4</v>
      </c>
    </row>
    <row r="2378" spans="39:41" x14ac:dyDescent="0.25">
      <c r="AM2378" s="2">
        <v>2375</v>
      </c>
      <c r="AN2378" s="33">
        <v>1.2838397259557941E-2</v>
      </c>
      <c r="AO2378" s="33">
        <v>9.2007992017978618E-4</v>
      </c>
    </row>
    <row r="2379" spans="39:41" x14ac:dyDescent="0.25">
      <c r="AM2379" s="2">
        <v>2376</v>
      </c>
      <c r="AN2379" s="33">
        <v>1.2269908848321236E-2</v>
      </c>
      <c r="AO2379" s="33">
        <v>7.3759639582839185E-4</v>
      </c>
    </row>
    <row r="2380" spans="39:41" x14ac:dyDescent="0.25">
      <c r="AM2380" s="2">
        <v>2377</v>
      </c>
      <c r="AN2380" s="33">
        <v>8.1967709008359795E-3</v>
      </c>
      <c r="AO2380" s="33">
        <v>3.7016594241100187E-4</v>
      </c>
    </row>
    <row r="2381" spans="39:41" x14ac:dyDescent="0.25">
      <c r="AM2381" s="2">
        <v>2378</v>
      </c>
      <c r="AN2381" s="33">
        <v>9.9280654964037096E-3</v>
      </c>
      <c r="AO2381" s="33">
        <v>4.9088567141479999E-4</v>
      </c>
    </row>
    <row r="2382" spans="39:41" x14ac:dyDescent="0.25">
      <c r="AM2382" s="2">
        <v>2379</v>
      </c>
      <c r="AN2382" s="33">
        <v>1.214110463139699E-2</v>
      </c>
      <c r="AO2382" s="33">
        <v>1.0964089834018963E-3</v>
      </c>
    </row>
    <row r="2383" spans="39:41" x14ac:dyDescent="0.25">
      <c r="AM2383" s="2">
        <v>2380</v>
      </c>
      <c r="AN2383" s="33">
        <v>1.4424535828509862E-2</v>
      </c>
      <c r="AO2383" s="33">
        <v>1.0774483556541237E-3</v>
      </c>
    </row>
    <row r="2384" spans="39:41" x14ac:dyDescent="0.25">
      <c r="AM2384" s="2">
        <v>2381</v>
      </c>
      <c r="AN2384" s="33">
        <v>1.2057372433039377E-2</v>
      </c>
      <c r="AO2384" s="33">
        <v>9.3897963581614805E-4</v>
      </c>
    </row>
    <row r="2385" spans="39:41" x14ac:dyDescent="0.25">
      <c r="AM2385" s="2">
        <v>2382</v>
      </c>
      <c r="AN2385" s="33">
        <v>1.2935206639705432E-2</v>
      </c>
      <c r="AO2385" s="33">
        <v>4.8342245528557466E-4</v>
      </c>
    </row>
    <row r="2386" spans="39:41" x14ac:dyDescent="0.25">
      <c r="AM2386" s="2">
        <v>2383</v>
      </c>
      <c r="AN2386" s="33">
        <v>1.2284564461071458E-2</v>
      </c>
      <c r="AO2386" s="33">
        <v>1.0648106334152166E-3</v>
      </c>
    </row>
    <row r="2387" spans="39:41" x14ac:dyDescent="0.25">
      <c r="AM2387" s="2">
        <v>2384</v>
      </c>
      <c r="AN2387" s="33">
        <v>1.625755334941659E-2</v>
      </c>
      <c r="AO2387" s="33">
        <v>1.3278910767212768E-3</v>
      </c>
    </row>
    <row r="2388" spans="39:41" x14ac:dyDescent="0.25">
      <c r="AM2388" s="2">
        <v>2385</v>
      </c>
      <c r="AN2388" s="33">
        <v>8.4682104634902014E-3</v>
      </c>
      <c r="AO2388" s="33">
        <v>5.7873732962265855E-4</v>
      </c>
    </row>
    <row r="2389" spans="39:41" x14ac:dyDescent="0.25">
      <c r="AM2389" s="2">
        <v>2386</v>
      </c>
      <c r="AN2389" s="33">
        <v>1.1492185660735876E-2</v>
      </c>
      <c r="AO2389" s="33">
        <v>1.0973282590882381E-3</v>
      </c>
    </row>
    <row r="2390" spans="39:41" x14ac:dyDescent="0.25">
      <c r="AM2390" s="2">
        <v>2387</v>
      </c>
      <c r="AN2390" s="33">
        <v>1.177827712973204E-2</v>
      </c>
      <c r="AO2390" s="33">
        <v>1.0030696402845291E-3</v>
      </c>
    </row>
    <row r="2391" spans="39:41" x14ac:dyDescent="0.25">
      <c r="AM2391" s="2">
        <v>2388</v>
      </c>
      <c r="AN2391" s="33">
        <v>1.1614330173254823E-2</v>
      </c>
      <c r="AO2391" s="33">
        <v>7.2323596680083288E-4</v>
      </c>
    </row>
    <row r="2392" spans="39:41" x14ac:dyDescent="0.25">
      <c r="AM2392" s="2">
        <v>2389</v>
      </c>
      <c r="AN2392" s="33">
        <v>1.5329274147988884E-2</v>
      </c>
      <c r="AO2392" s="33">
        <v>1.3935963007648468E-3</v>
      </c>
    </row>
    <row r="2393" spans="39:41" x14ac:dyDescent="0.25">
      <c r="AM2393" s="2">
        <v>2390</v>
      </c>
      <c r="AN2393" s="33">
        <v>1.1830585331965368E-2</v>
      </c>
      <c r="AO2393" s="33">
        <v>7.2050125764313265E-4</v>
      </c>
    </row>
    <row r="2394" spans="39:41" x14ac:dyDescent="0.25">
      <c r="AM2394" s="2">
        <v>2391</v>
      </c>
      <c r="AN2394" s="33">
        <v>1.0356178034550785E-2</v>
      </c>
      <c r="AO2394" s="33">
        <v>8.0412703783332878E-4</v>
      </c>
    </row>
    <row r="2395" spans="39:41" x14ac:dyDescent="0.25">
      <c r="AM2395" s="2">
        <v>2392</v>
      </c>
      <c r="AN2395" s="33">
        <v>1.2042904250980703E-2</v>
      </c>
      <c r="AO2395" s="33">
        <v>8.4461652420985377E-4</v>
      </c>
    </row>
    <row r="2396" spans="39:41" x14ac:dyDescent="0.25">
      <c r="AM2396" s="2">
        <v>2393</v>
      </c>
      <c r="AN2396" s="33">
        <v>9.7765551547125788E-3</v>
      </c>
      <c r="AO2396" s="33">
        <v>4.3325290963035142E-4</v>
      </c>
    </row>
    <row r="2397" spans="39:41" x14ac:dyDescent="0.25">
      <c r="AM2397" s="2">
        <v>2394</v>
      </c>
      <c r="AN2397" s="33">
        <v>9.8754037711674091E-3</v>
      </c>
      <c r="AO2397" s="33">
        <v>5.2988019733691779E-4</v>
      </c>
    </row>
    <row r="2398" spans="39:41" x14ac:dyDescent="0.25">
      <c r="AM2398" s="2">
        <v>2395</v>
      </c>
      <c r="AN2398" s="33">
        <v>1.1503851950505862E-2</v>
      </c>
      <c r="AO2398" s="33">
        <v>8.8192041722314515E-4</v>
      </c>
    </row>
    <row r="2399" spans="39:41" x14ac:dyDescent="0.25">
      <c r="AM2399" s="2">
        <v>2396</v>
      </c>
      <c r="AN2399" s="33">
        <v>1.1390410130196042E-2</v>
      </c>
      <c r="AO2399" s="33">
        <v>8.9153082538305463E-4</v>
      </c>
    </row>
    <row r="2400" spans="39:41" x14ac:dyDescent="0.25">
      <c r="AM2400" s="2">
        <v>2397</v>
      </c>
      <c r="AN2400" s="33">
        <v>1.2149189799281233E-2</v>
      </c>
      <c r="AO2400" s="33">
        <v>1.1406709569384992E-3</v>
      </c>
    </row>
    <row r="2401" spans="39:41" x14ac:dyDescent="0.25">
      <c r="AM2401" s="2">
        <v>2398</v>
      </c>
      <c r="AN2401" s="33">
        <v>1.0988597402260917E-2</v>
      </c>
      <c r="AO2401" s="33">
        <v>7.0316680483253793E-4</v>
      </c>
    </row>
    <row r="2402" spans="39:41" x14ac:dyDescent="0.25">
      <c r="AM2402" s="2">
        <v>2399</v>
      </c>
      <c r="AN2402" s="33">
        <v>1.0027634095040277E-2</v>
      </c>
      <c r="AO2402" s="33">
        <v>5.2824549851074364E-4</v>
      </c>
    </row>
    <row r="2403" spans="39:41" x14ac:dyDescent="0.25">
      <c r="AM2403" s="2">
        <v>2400</v>
      </c>
      <c r="AN2403" s="33">
        <v>1.1846176661507011E-2</v>
      </c>
      <c r="AO2403" s="33">
        <v>8.2177652027639377E-4</v>
      </c>
    </row>
    <row r="2404" spans="39:41" x14ac:dyDescent="0.25">
      <c r="AM2404" s="2">
        <v>2401</v>
      </c>
      <c r="AN2404" s="33">
        <v>1.1246126497897526E-2</v>
      </c>
      <c r="AO2404" s="33">
        <v>7.7028637721705015E-4</v>
      </c>
    </row>
    <row r="2405" spans="39:41" x14ac:dyDescent="0.25">
      <c r="AM2405" s="2">
        <v>2402</v>
      </c>
      <c r="AN2405" s="33">
        <v>1.192637212751709E-2</v>
      </c>
      <c r="AO2405" s="33">
        <v>7.3183208029492476E-4</v>
      </c>
    </row>
    <row r="2406" spans="39:41" x14ac:dyDescent="0.25">
      <c r="AM2406" s="2">
        <v>2403</v>
      </c>
      <c r="AN2406" s="33">
        <v>1.5383740309898196E-2</v>
      </c>
      <c r="AO2406" s="33">
        <v>5.6961810566329108E-4</v>
      </c>
    </row>
    <row r="2407" spans="39:41" x14ac:dyDescent="0.25">
      <c r="AM2407" s="2">
        <v>2404</v>
      </c>
      <c r="AN2407" s="33">
        <v>1.1428489251239373E-2</v>
      </c>
      <c r="AO2407" s="33">
        <v>6.8612950068688925E-4</v>
      </c>
    </row>
    <row r="2408" spans="39:41" x14ac:dyDescent="0.25">
      <c r="AM2408" s="2">
        <v>2405</v>
      </c>
      <c r="AN2408" s="33">
        <v>7.6592552189808519E-3</v>
      </c>
      <c r="AO2408" s="33">
        <v>3.7496788286390923E-4</v>
      </c>
    </row>
    <row r="2409" spans="39:41" x14ac:dyDescent="0.25">
      <c r="AM2409" s="2">
        <v>2406</v>
      </c>
      <c r="AN2409" s="33">
        <v>1.3551365061342368E-2</v>
      </c>
      <c r="AO2409" s="33">
        <v>8.8308342100498728E-4</v>
      </c>
    </row>
    <row r="2410" spans="39:41" x14ac:dyDescent="0.25">
      <c r="AM2410" s="2">
        <v>2407</v>
      </c>
      <c r="AN2410" s="33">
        <v>1.1236795347215356E-2</v>
      </c>
      <c r="AO2410" s="33">
        <v>7.5540600787651468E-4</v>
      </c>
    </row>
    <row r="2411" spans="39:41" x14ac:dyDescent="0.25">
      <c r="AM2411" s="2">
        <v>2408</v>
      </c>
      <c r="AN2411" s="33">
        <v>1.3235425563708238E-2</v>
      </c>
      <c r="AO2411" s="33">
        <v>1.3215984447787468E-3</v>
      </c>
    </row>
    <row r="2412" spans="39:41" x14ac:dyDescent="0.25">
      <c r="AM2412" s="2">
        <v>2409</v>
      </c>
      <c r="AN2412" s="33">
        <v>8.6192059544643509E-3</v>
      </c>
      <c r="AO2412" s="33">
        <v>5.3701577944384547E-4</v>
      </c>
    </row>
    <row r="2413" spans="39:41" x14ac:dyDescent="0.25">
      <c r="AM2413" s="2">
        <v>2410</v>
      </c>
      <c r="AN2413" s="33">
        <v>1.3331746552169919E-2</v>
      </c>
      <c r="AO2413" s="33">
        <v>1.0255022020029987E-3</v>
      </c>
    </row>
    <row r="2414" spans="39:41" x14ac:dyDescent="0.25">
      <c r="AM2414" s="2">
        <v>2411</v>
      </c>
      <c r="AN2414" s="33">
        <v>1.0288914069361027E-2</v>
      </c>
      <c r="AO2414" s="33">
        <v>7.6272099261278726E-4</v>
      </c>
    </row>
    <row r="2415" spans="39:41" x14ac:dyDescent="0.25">
      <c r="AM2415" s="2">
        <v>2412</v>
      </c>
      <c r="AN2415" s="33">
        <v>9.717379376325894E-3</v>
      </c>
      <c r="AO2415" s="33">
        <v>7.7731043047513744E-4</v>
      </c>
    </row>
    <row r="2416" spans="39:41" x14ac:dyDescent="0.25">
      <c r="AM2416" s="2">
        <v>2413</v>
      </c>
      <c r="AN2416" s="33">
        <v>1.1144991130051568E-2</v>
      </c>
      <c r="AO2416" s="33">
        <v>5.95542899543331E-4</v>
      </c>
    </row>
    <row r="2417" spans="39:41" x14ac:dyDescent="0.25">
      <c r="AM2417" s="2">
        <v>2414</v>
      </c>
      <c r="AN2417" s="33">
        <v>9.966555505659733E-3</v>
      </c>
      <c r="AO2417" s="33">
        <v>5.6056992921954952E-4</v>
      </c>
    </row>
    <row r="2418" spans="39:41" x14ac:dyDescent="0.25">
      <c r="AM2418" s="2">
        <v>2415</v>
      </c>
      <c r="AN2418" s="33">
        <v>1.2529183597645344E-2</v>
      </c>
      <c r="AO2418" s="33">
        <v>9.3577316844507352E-4</v>
      </c>
    </row>
    <row r="2419" spans="39:41" x14ac:dyDescent="0.25">
      <c r="AM2419" s="2">
        <v>2416</v>
      </c>
      <c r="AN2419" s="33">
        <v>9.9769742321199756E-3</v>
      </c>
      <c r="AO2419" s="33">
        <v>4.2157955185260739E-4</v>
      </c>
    </row>
    <row r="2420" spans="39:41" x14ac:dyDescent="0.25">
      <c r="AM2420" s="2">
        <v>2417</v>
      </c>
      <c r="AN2420" s="33">
        <v>1.6303323956097408E-2</v>
      </c>
      <c r="AO2420" s="33">
        <v>1.6296640299500456E-3</v>
      </c>
    </row>
    <row r="2421" spans="39:41" x14ac:dyDescent="0.25">
      <c r="AM2421" s="2">
        <v>2418</v>
      </c>
      <c r="AN2421" s="33">
        <v>1.1243443150333245E-2</v>
      </c>
      <c r="AO2421" s="33">
        <v>2.2841574214998138E-4</v>
      </c>
    </row>
    <row r="2422" spans="39:41" x14ac:dyDescent="0.25">
      <c r="AM2422" s="2">
        <v>2419</v>
      </c>
      <c r="AN2422" s="33">
        <v>1.159825559845965E-2</v>
      </c>
      <c r="AO2422" s="33">
        <v>7.1615528463665605E-4</v>
      </c>
    </row>
    <row r="2423" spans="39:41" x14ac:dyDescent="0.25">
      <c r="AM2423" s="2">
        <v>2420</v>
      </c>
      <c r="AN2423" s="33">
        <v>1.4082143259211153E-2</v>
      </c>
      <c r="AO2423" s="33">
        <v>1.0161403586870462E-3</v>
      </c>
    </row>
    <row r="2424" spans="39:41" x14ac:dyDescent="0.25">
      <c r="AM2424" s="2">
        <v>2421</v>
      </c>
      <c r="AN2424" s="33">
        <v>1.17385507289679E-2</v>
      </c>
      <c r="AO2424" s="33">
        <v>7.284379465875377E-4</v>
      </c>
    </row>
    <row r="2425" spans="39:41" x14ac:dyDescent="0.25">
      <c r="AM2425" s="2">
        <v>2422</v>
      </c>
      <c r="AN2425" s="33">
        <v>1.0785742284677862E-2</v>
      </c>
      <c r="AO2425" s="33">
        <v>6.5896027583970383E-4</v>
      </c>
    </row>
    <row r="2426" spans="39:41" x14ac:dyDescent="0.25">
      <c r="AM2426" s="2">
        <v>2423</v>
      </c>
      <c r="AN2426" s="33">
        <v>1.386262388148898E-2</v>
      </c>
      <c r="AO2426" s="33">
        <v>1.0055106239315267E-3</v>
      </c>
    </row>
    <row r="2427" spans="39:41" x14ac:dyDescent="0.25">
      <c r="AM2427" s="2">
        <v>2424</v>
      </c>
      <c r="AN2427" s="33">
        <v>1.2163076577735887E-2</v>
      </c>
      <c r="AO2427" s="33">
        <v>1.0778468931788392E-3</v>
      </c>
    </row>
    <row r="2428" spans="39:41" x14ac:dyDescent="0.25">
      <c r="AM2428" s="2">
        <v>2425</v>
      </c>
      <c r="AN2428" s="33">
        <v>1.1839468319834045E-2</v>
      </c>
      <c r="AO2428" s="33">
        <v>6.9037560944339518E-4</v>
      </c>
    </row>
    <row r="2429" spans="39:41" x14ac:dyDescent="0.25">
      <c r="AM2429" s="2">
        <v>2426</v>
      </c>
      <c r="AN2429" s="33">
        <v>1.4770557740362997E-2</v>
      </c>
      <c r="AO2429" s="33">
        <v>1.0608613281268134E-3</v>
      </c>
    </row>
    <row r="2430" spans="39:41" x14ac:dyDescent="0.25">
      <c r="AM2430" s="2">
        <v>2427</v>
      </c>
      <c r="AN2430" s="33">
        <v>1.2647953997660721E-2</v>
      </c>
      <c r="AO2430" s="33">
        <v>3.964240127809661E-4</v>
      </c>
    </row>
    <row r="2431" spans="39:41" x14ac:dyDescent="0.25">
      <c r="AM2431" s="2">
        <v>2428</v>
      </c>
      <c r="AN2431" s="33">
        <v>1.0852394884874401E-2</v>
      </c>
      <c r="AO2431" s="33">
        <v>8.1117695885422674E-4</v>
      </c>
    </row>
    <row r="2432" spans="39:41" x14ac:dyDescent="0.25">
      <c r="AM2432" s="2">
        <v>2429</v>
      </c>
      <c r="AN2432" s="33">
        <v>1.3139921291377324E-2</v>
      </c>
      <c r="AO2432" s="33">
        <v>9.4039398452267213E-4</v>
      </c>
    </row>
    <row r="2433" spans="39:41" x14ac:dyDescent="0.25">
      <c r="AM2433" s="2">
        <v>2430</v>
      </c>
      <c r="AN2433" s="33">
        <v>9.7011878563190469E-3</v>
      </c>
      <c r="AO2433" s="33">
        <v>8.9341646106582133E-4</v>
      </c>
    </row>
    <row r="2434" spans="39:41" x14ac:dyDescent="0.25">
      <c r="AM2434" s="2">
        <v>2431</v>
      </c>
      <c r="AN2434" s="33">
        <v>1.2942155651951488E-2</v>
      </c>
      <c r="AO2434" s="33">
        <v>1.153455469634117E-3</v>
      </c>
    </row>
    <row r="2435" spans="39:41" x14ac:dyDescent="0.25">
      <c r="AM2435" s="2">
        <v>2432</v>
      </c>
      <c r="AN2435" s="33">
        <v>1.4784721183246729E-2</v>
      </c>
      <c r="AO2435" s="33">
        <v>1.2630442814806277E-3</v>
      </c>
    </row>
    <row r="2436" spans="39:41" x14ac:dyDescent="0.25">
      <c r="AM2436" s="2">
        <v>2433</v>
      </c>
      <c r="AN2436" s="33">
        <v>1.078605081626394E-2</v>
      </c>
      <c r="AO2436" s="33">
        <v>8.8872214363164585E-4</v>
      </c>
    </row>
    <row r="2437" spans="39:41" x14ac:dyDescent="0.25">
      <c r="AM2437" s="2">
        <v>2434</v>
      </c>
      <c r="AN2437" s="33">
        <v>9.9365796568299768E-3</v>
      </c>
      <c r="AO2437" s="33">
        <v>6.8218971378095246E-4</v>
      </c>
    </row>
    <row r="2438" spans="39:41" x14ac:dyDescent="0.25">
      <c r="AM2438" s="2">
        <v>2435</v>
      </c>
      <c r="AN2438" s="33">
        <v>1.0934430590804683E-2</v>
      </c>
      <c r="AO2438" s="33">
        <v>9.6926377021620185E-4</v>
      </c>
    </row>
    <row r="2439" spans="39:41" x14ac:dyDescent="0.25">
      <c r="AM2439" s="2">
        <v>2436</v>
      </c>
      <c r="AN2439" s="33">
        <v>1.1302657211891007E-2</v>
      </c>
      <c r="AO2439" s="33">
        <v>6.0930193120116774E-4</v>
      </c>
    </row>
    <row r="2440" spans="39:41" x14ac:dyDescent="0.25">
      <c r="AM2440" s="2">
        <v>2437</v>
      </c>
      <c r="AN2440" s="33">
        <v>1.2664649089197648E-2</v>
      </c>
      <c r="AO2440" s="33">
        <v>8.5298911055738016E-4</v>
      </c>
    </row>
    <row r="2441" spans="39:41" x14ac:dyDescent="0.25">
      <c r="AM2441" s="2">
        <v>2438</v>
      </c>
      <c r="AN2441" s="33">
        <v>1.0684326789813778E-2</v>
      </c>
      <c r="AO2441" s="33">
        <v>5.0285802167691852E-4</v>
      </c>
    </row>
    <row r="2442" spans="39:41" x14ac:dyDescent="0.25">
      <c r="AM2442" s="2">
        <v>2439</v>
      </c>
      <c r="AN2442" s="33">
        <v>1.1258375611360892E-2</v>
      </c>
      <c r="AO2442" s="33">
        <v>5.7336021294552349E-4</v>
      </c>
    </row>
    <row r="2443" spans="39:41" x14ac:dyDescent="0.25">
      <c r="AM2443" s="2">
        <v>2440</v>
      </c>
      <c r="AN2443" s="33">
        <v>1.4183149199807775E-2</v>
      </c>
      <c r="AO2443" s="33">
        <v>9.208888239987563E-4</v>
      </c>
    </row>
    <row r="2444" spans="39:41" x14ac:dyDescent="0.25">
      <c r="AM2444" s="2">
        <v>2441</v>
      </c>
      <c r="AN2444" s="33">
        <v>1.1415575286363057E-2</v>
      </c>
      <c r="AO2444" s="33">
        <v>9.0222096138856079E-4</v>
      </c>
    </row>
    <row r="2445" spans="39:41" x14ac:dyDescent="0.25">
      <c r="AM2445" s="2">
        <v>2442</v>
      </c>
      <c r="AN2445" s="33">
        <v>9.8381088844605377E-3</v>
      </c>
      <c r="AO2445" s="33">
        <v>8.5460622074491502E-4</v>
      </c>
    </row>
    <row r="2446" spans="39:41" x14ac:dyDescent="0.25">
      <c r="AM2446" s="2">
        <v>2443</v>
      </c>
      <c r="AN2446" s="33">
        <v>1.239490914305289E-2</v>
      </c>
      <c r="AO2446" s="33">
        <v>8.534443745962393E-4</v>
      </c>
    </row>
    <row r="2447" spans="39:41" x14ac:dyDescent="0.25">
      <c r="AM2447" s="2">
        <v>2444</v>
      </c>
      <c r="AN2447" s="33">
        <v>1.136582110930506E-2</v>
      </c>
      <c r="AO2447" s="33">
        <v>8.9500020539226403E-4</v>
      </c>
    </row>
    <row r="2448" spans="39:41" x14ac:dyDescent="0.25">
      <c r="AM2448" s="2">
        <v>2445</v>
      </c>
      <c r="AN2448" s="33">
        <v>1.1369229399464185E-2</v>
      </c>
      <c r="AO2448" s="33">
        <v>9.3075326787595773E-4</v>
      </c>
    </row>
    <row r="2449" spans="39:41" x14ac:dyDescent="0.25">
      <c r="AM2449" s="2">
        <v>2446</v>
      </c>
      <c r="AN2449" s="33">
        <v>9.0151180801434447E-3</v>
      </c>
      <c r="AO2449" s="33">
        <v>7.9419737015176694E-4</v>
      </c>
    </row>
    <row r="2450" spans="39:41" x14ac:dyDescent="0.25">
      <c r="AM2450" s="2">
        <v>2447</v>
      </c>
      <c r="AN2450" s="33">
        <v>1.3499745598845486E-2</v>
      </c>
      <c r="AO2450" s="33">
        <v>1.173109942851533E-3</v>
      </c>
    </row>
    <row r="2451" spans="39:41" x14ac:dyDescent="0.25">
      <c r="AM2451" s="2">
        <v>2448</v>
      </c>
      <c r="AN2451" s="33">
        <v>1.2213015994954045E-2</v>
      </c>
      <c r="AO2451" s="33">
        <v>5.4654628518135441E-4</v>
      </c>
    </row>
    <row r="2452" spans="39:41" x14ac:dyDescent="0.25">
      <c r="AM2452" s="2">
        <v>2449</v>
      </c>
      <c r="AN2452" s="33">
        <v>1.3378750293722489E-2</v>
      </c>
      <c r="AO2452" s="33">
        <v>5.932025220504128E-4</v>
      </c>
    </row>
    <row r="2453" spans="39:41" x14ac:dyDescent="0.25">
      <c r="AM2453" s="2">
        <v>2450</v>
      </c>
      <c r="AN2453" s="33">
        <v>1.0326235891777332E-2</v>
      </c>
      <c r="AO2453" s="33">
        <v>7.2866062213460729E-4</v>
      </c>
    </row>
    <row r="2454" spans="39:41" x14ac:dyDescent="0.25">
      <c r="AM2454" s="2">
        <v>2451</v>
      </c>
      <c r="AN2454" s="33">
        <v>1.1874206131708196E-2</v>
      </c>
      <c r="AO2454" s="33">
        <v>6.1793373202385839E-4</v>
      </c>
    </row>
    <row r="2455" spans="39:41" x14ac:dyDescent="0.25">
      <c r="AM2455" s="2">
        <v>2452</v>
      </c>
      <c r="AN2455" s="33">
        <v>1.139222572363547E-2</v>
      </c>
      <c r="AO2455" s="33">
        <v>9.7543596948289509E-4</v>
      </c>
    </row>
    <row r="2456" spans="39:41" x14ac:dyDescent="0.25">
      <c r="AM2456" s="2">
        <v>2453</v>
      </c>
      <c r="AN2456" s="33">
        <v>1.0253133923303539E-2</v>
      </c>
      <c r="AO2456" s="33">
        <v>4.8670044745503685E-4</v>
      </c>
    </row>
    <row r="2457" spans="39:41" x14ac:dyDescent="0.25">
      <c r="AM2457" s="2">
        <v>2454</v>
      </c>
      <c r="AN2457" s="33">
        <v>9.4584264362378417E-3</v>
      </c>
      <c r="AO2457" s="33">
        <v>4.1754724181626861E-4</v>
      </c>
    </row>
    <row r="2458" spans="39:41" x14ac:dyDescent="0.25">
      <c r="AM2458" s="2">
        <v>2455</v>
      </c>
      <c r="AN2458" s="33">
        <v>1.0729284740260952E-2</v>
      </c>
      <c r="AO2458" s="33">
        <v>3.9631690635098847E-4</v>
      </c>
    </row>
    <row r="2459" spans="39:41" x14ac:dyDescent="0.25">
      <c r="AM2459" s="2">
        <v>2456</v>
      </c>
      <c r="AN2459" s="33">
        <v>7.9376077499113892E-3</v>
      </c>
      <c r="AO2459" s="33">
        <v>5.5761471511531051E-4</v>
      </c>
    </row>
    <row r="2460" spans="39:41" x14ac:dyDescent="0.25">
      <c r="AM2460" s="2">
        <v>2457</v>
      </c>
      <c r="AN2460" s="33">
        <v>1.2493004705489936E-2</v>
      </c>
      <c r="AO2460" s="33">
        <v>1.2524581640898961E-3</v>
      </c>
    </row>
    <row r="2461" spans="39:41" x14ac:dyDescent="0.25">
      <c r="AM2461" s="2">
        <v>2458</v>
      </c>
      <c r="AN2461" s="33">
        <v>9.5884308234531895E-3</v>
      </c>
      <c r="AO2461" s="33">
        <v>6.1423206640988555E-4</v>
      </c>
    </row>
    <row r="2462" spans="39:41" x14ac:dyDescent="0.25">
      <c r="AM2462" s="2">
        <v>2459</v>
      </c>
      <c r="AN2462" s="33">
        <v>1.5148081232526629E-2</v>
      </c>
      <c r="AO2462" s="33">
        <v>1.0656320488787708E-3</v>
      </c>
    </row>
    <row r="2463" spans="39:41" x14ac:dyDescent="0.25">
      <c r="AM2463" s="2">
        <v>2460</v>
      </c>
      <c r="AN2463" s="33">
        <v>1.5429590308671434E-2</v>
      </c>
      <c r="AO2463" s="33">
        <v>1.0634781204237774E-3</v>
      </c>
    </row>
    <row r="2464" spans="39:41" x14ac:dyDescent="0.25">
      <c r="AM2464" s="2">
        <v>2461</v>
      </c>
      <c r="AN2464" s="33">
        <v>1.1559636429176772E-2</v>
      </c>
      <c r="AO2464" s="33">
        <v>9.7868502905226794E-4</v>
      </c>
    </row>
    <row r="2465" spans="39:41" x14ac:dyDescent="0.25">
      <c r="AM2465" s="2">
        <v>2462</v>
      </c>
      <c r="AN2465" s="33">
        <v>1.1220504793013227E-2</v>
      </c>
      <c r="AO2465" s="33">
        <v>6.4838838002246875E-4</v>
      </c>
    </row>
    <row r="2466" spans="39:41" x14ac:dyDescent="0.25">
      <c r="AM2466" s="2">
        <v>2463</v>
      </c>
      <c r="AN2466" s="33">
        <v>1.0490493405957427E-2</v>
      </c>
      <c r="AO2466" s="33">
        <v>6.5379091145359924E-4</v>
      </c>
    </row>
    <row r="2467" spans="39:41" x14ac:dyDescent="0.25">
      <c r="AM2467" s="2">
        <v>2464</v>
      </c>
      <c r="AN2467" s="33">
        <v>1.1984763994150925E-2</v>
      </c>
      <c r="AO2467" s="33">
        <v>9.1505986695207282E-4</v>
      </c>
    </row>
    <row r="2468" spans="39:41" x14ac:dyDescent="0.25">
      <c r="AM2468" s="2">
        <v>2465</v>
      </c>
      <c r="AN2468" s="33">
        <v>1.2240533301408037E-2</v>
      </c>
      <c r="AO2468" s="33">
        <v>7.394756455188058E-4</v>
      </c>
    </row>
    <row r="2469" spans="39:41" x14ac:dyDescent="0.25">
      <c r="AM2469" s="2">
        <v>2466</v>
      </c>
      <c r="AN2469" s="33">
        <v>1.0824697166596559E-2</v>
      </c>
      <c r="AO2469" s="33">
        <v>8.8755387449053122E-4</v>
      </c>
    </row>
    <row r="2470" spans="39:41" x14ac:dyDescent="0.25">
      <c r="AM2470" s="2">
        <v>2467</v>
      </c>
      <c r="AN2470" s="33">
        <v>1.3435572008515327E-2</v>
      </c>
      <c r="AO2470" s="33">
        <v>8.9195771833882242E-4</v>
      </c>
    </row>
    <row r="2471" spans="39:41" x14ac:dyDescent="0.25">
      <c r="AM2471" s="2">
        <v>2468</v>
      </c>
      <c r="AN2471" s="33">
        <v>1.2532658439807309E-2</v>
      </c>
      <c r="AO2471" s="33">
        <v>1.1749152989422439E-3</v>
      </c>
    </row>
    <row r="2472" spans="39:41" x14ac:dyDescent="0.25">
      <c r="AM2472" s="2">
        <v>2469</v>
      </c>
      <c r="AN2472" s="33">
        <v>1.2252300643831152E-2</v>
      </c>
      <c r="AO2472" s="33">
        <v>8.5162727540557951E-4</v>
      </c>
    </row>
    <row r="2473" spans="39:41" x14ac:dyDescent="0.25">
      <c r="AM2473" s="2">
        <v>2470</v>
      </c>
      <c r="AN2473" s="33">
        <v>8.602253679602637E-3</v>
      </c>
      <c r="AO2473" s="33">
        <v>8.0967668668719555E-4</v>
      </c>
    </row>
    <row r="2474" spans="39:41" x14ac:dyDescent="0.25">
      <c r="AM2474" s="2">
        <v>2471</v>
      </c>
      <c r="AN2474" s="33">
        <v>1.2819244189953402E-2</v>
      </c>
      <c r="AO2474" s="33">
        <v>1.069275132477015E-3</v>
      </c>
    </row>
    <row r="2475" spans="39:41" x14ac:dyDescent="0.25">
      <c r="AM2475" s="2">
        <v>2472</v>
      </c>
      <c r="AN2475" s="33">
        <v>1.0424068531136638E-2</v>
      </c>
      <c r="AO2475" s="33">
        <v>6.488757006217462E-4</v>
      </c>
    </row>
    <row r="2476" spans="39:41" x14ac:dyDescent="0.25">
      <c r="AM2476" s="2">
        <v>2473</v>
      </c>
      <c r="AN2476" s="33">
        <v>1.5626260019674803E-2</v>
      </c>
      <c r="AO2476" s="33">
        <v>1.3231155592429522E-3</v>
      </c>
    </row>
    <row r="2477" spans="39:41" x14ac:dyDescent="0.25">
      <c r="AM2477" s="2">
        <v>2474</v>
      </c>
      <c r="AN2477" s="33">
        <v>9.2996184099546717E-3</v>
      </c>
      <c r="AO2477" s="33">
        <v>7.8204395911660337E-4</v>
      </c>
    </row>
    <row r="2478" spans="39:41" x14ac:dyDescent="0.25">
      <c r="AM2478" s="2">
        <v>2475</v>
      </c>
      <c r="AN2478" s="33">
        <v>9.9554590786813772E-3</v>
      </c>
      <c r="AO2478" s="33">
        <v>5.882748890677842E-4</v>
      </c>
    </row>
    <row r="2479" spans="39:41" x14ac:dyDescent="0.25">
      <c r="AM2479" s="2">
        <v>2476</v>
      </c>
      <c r="AN2479" s="33">
        <v>9.6460361073514127E-3</v>
      </c>
      <c r="AO2479" s="33">
        <v>8.5655853953551164E-4</v>
      </c>
    </row>
    <row r="2480" spans="39:41" x14ac:dyDescent="0.25">
      <c r="AM2480" s="2">
        <v>2477</v>
      </c>
      <c r="AN2480" s="33">
        <v>1.0349200514031393E-2</v>
      </c>
      <c r="AO2480" s="33">
        <v>2.25877450404904E-4</v>
      </c>
    </row>
    <row r="2481" spans="39:41" x14ac:dyDescent="0.25">
      <c r="AM2481" s="2">
        <v>2478</v>
      </c>
      <c r="AN2481" s="33">
        <v>7.8172753277907375E-3</v>
      </c>
      <c r="AO2481" s="33">
        <v>3.743650971063639E-4</v>
      </c>
    </row>
    <row r="2482" spans="39:41" x14ac:dyDescent="0.25">
      <c r="AM2482" s="2">
        <v>2479</v>
      </c>
      <c r="AN2482" s="33">
        <v>1.2699330909808603E-2</v>
      </c>
      <c r="AO2482" s="33">
        <v>1.2877790945067594E-3</v>
      </c>
    </row>
    <row r="2483" spans="39:41" x14ac:dyDescent="0.25">
      <c r="AM2483" s="2">
        <v>2480</v>
      </c>
      <c r="AN2483" s="33">
        <v>9.1732413841947753E-3</v>
      </c>
      <c r="AO2483" s="33">
        <v>6.2073997496889341E-4</v>
      </c>
    </row>
    <row r="2484" spans="39:41" x14ac:dyDescent="0.25">
      <c r="AM2484" s="2">
        <v>2481</v>
      </c>
      <c r="AN2484" s="33">
        <v>1.5311879000661234E-2</v>
      </c>
      <c r="AO2484" s="33">
        <v>1.3958329397750827E-3</v>
      </c>
    </row>
    <row r="2485" spans="39:41" x14ac:dyDescent="0.25">
      <c r="AM2485" s="2">
        <v>2482</v>
      </c>
      <c r="AN2485" s="33">
        <v>1.109385029056573E-2</v>
      </c>
      <c r="AO2485" s="33">
        <v>9.7236990600949751E-4</v>
      </c>
    </row>
    <row r="2486" spans="39:41" x14ac:dyDescent="0.25">
      <c r="AM2486" s="2">
        <v>2483</v>
      </c>
      <c r="AN2486" s="33">
        <v>1.3468478056429742E-2</v>
      </c>
      <c r="AO2486" s="33">
        <v>1.3209533047207E-3</v>
      </c>
    </row>
    <row r="2487" spans="39:41" x14ac:dyDescent="0.25">
      <c r="AM2487" s="2">
        <v>2484</v>
      </c>
      <c r="AN2487" s="33">
        <v>9.564847029986917E-3</v>
      </c>
      <c r="AO2487" s="33">
        <v>3.827927917228615E-4</v>
      </c>
    </row>
    <row r="2488" spans="39:41" x14ac:dyDescent="0.25">
      <c r="AM2488" s="2">
        <v>2485</v>
      </c>
      <c r="AN2488" s="33">
        <v>1.2083538738818485E-2</v>
      </c>
      <c r="AO2488" s="33">
        <v>1.1249167428566784E-3</v>
      </c>
    </row>
    <row r="2489" spans="39:41" x14ac:dyDescent="0.25">
      <c r="AM2489" s="2">
        <v>2486</v>
      </c>
      <c r="AN2489" s="33">
        <v>8.3859426345080958E-3</v>
      </c>
      <c r="AO2489" s="33">
        <v>6.2990168864231297E-4</v>
      </c>
    </row>
    <row r="2490" spans="39:41" x14ac:dyDescent="0.25">
      <c r="AM2490" s="2">
        <v>2487</v>
      </c>
      <c r="AN2490" s="33">
        <v>1.0320431259068698E-2</v>
      </c>
      <c r="AO2490" s="33">
        <v>8.2422169390044403E-4</v>
      </c>
    </row>
    <row r="2491" spans="39:41" x14ac:dyDescent="0.25">
      <c r="AM2491" s="2">
        <v>2488</v>
      </c>
      <c r="AN2491" s="33">
        <v>1.2587508049578431E-2</v>
      </c>
      <c r="AO2491" s="33">
        <v>4.3706653053614063E-4</v>
      </c>
    </row>
    <row r="2492" spans="39:41" x14ac:dyDescent="0.25">
      <c r="AM2492" s="2">
        <v>2489</v>
      </c>
      <c r="AN2492" s="33">
        <v>8.9066612014364333E-3</v>
      </c>
      <c r="AO2492" s="33">
        <v>4.4280635849552988E-4</v>
      </c>
    </row>
    <row r="2493" spans="39:41" x14ac:dyDescent="0.25">
      <c r="AM2493" s="2">
        <v>2490</v>
      </c>
      <c r="AN2493" s="33">
        <v>1.0272791344398692E-2</v>
      </c>
      <c r="AO2493" s="33">
        <v>3.4523751209284873E-4</v>
      </c>
    </row>
    <row r="2494" spans="39:41" x14ac:dyDescent="0.25">
      <c r="AM2494" s="2">
        <v>2491</v>
      </c>
      <c r="AN2494" s="33">
        <v>1.091951371442672E-2</v>
      </c>
      <c r="AO2494" s="33">
        <v>6.5923327919469238E-4</v>
      </c>
    </row>
    <row r="2495" spans="39:41" x14ac:dyDescent="0.25">
      <c r="AM2495" s="2">
        <v>2492</v>
      </c>
      <c r="AN2495" s="33">
        <v>1.1850388016982604E-2</v>
      </c>
      <c r="AO2495" s="33">
        <v>8.7238624533149086E-4</v>
      </c>
    </row>
    <row r="2496" spans="39:41" x14ac:dyDescent="0.25">
      <c r="AM2496" s="2">
        <v>2493</v>
      </c>
      <c r="AN2496" s="33">
        <v>1.0705100432856721E-2</v>
      </c>
      <c r="AO2496" s="33">
        <v>1.0882569192290515E-3</v>
      </c>
    </row>
    <row r="2497" spans="39:41" x14ac:dyDescent="0.25">
      <c r="AM2497" s="2">
        <v>2494</v>
      </c>
      <c r="AN2497" s="33">
        <v>9.7562358805099794E-3</v>
      </c>
      <c r="AO2497" s="33">
        <v>5.4736921711112608E-4</v>
      </c>
    </row>
    <row r="2498" spans="39:41" x14ac:dyDescent="0.25">
      <c r="AM2498" s="2">
        <v>2495</v>
      </c>
      <c r="AN2498" s="33">
        <v>1.1548384219506198E-2</v>
      </c>
      <c r="AO2498" s="33">
        <v>2.6187114832903937E-4</v>
      </c>
    </row>
    <row r="2499" spans="39:41" x14ac:dyDescent="0.25">
      <c r="AM2499" s="2">
        <v>2496</v>
      </c>
      <c r="AN2499" s="33">
        <v>1.2005873432466719E-2</v>
      </c>
      <c r="AO2499" s="33">
        <v>9.6901476988135509E-4</v>
      </c>
    </row>
    <row r="2500" spans="39:41" x14ac:dyDescent="0.25">
      <c r="AM2500" s="2">
        <v>2497</v>
      </c>
      <c r="AN2500" s="33">
        <v>9.9422092985395963E-3</v>
      </c>
      <c r="AO2500" s="33">
        <v>7.4113531618529352E-4</v>
      </c>
    </row>
    <row r="2501" spans="39:41" x14ac:dyDescent="0.25">
      <c r="AM2501" s="2">
        <v>2498</v>
      </c>
      <c r="AN2501" s="33">
        <v>1.0782450420488835E-2</v>
      </c>
      <c r="AO2501" s="33">
        <v>4.9113958349315454E-4</v>
      </c>
    </row>
    <row r="2502" spans="39:41" x14ac:dyDescent="0.25">
      <c r="AM2502" s="2">
        <v>2499</v>
      </c>
      <c r="AN2502" s="33">
        <v>1.3337499494040379E-2</v>
      </c>
      <c r="AO2502" s="33">
        <v>7.2195607751474836E-4</v>
      </c>
    </row>
    <row r="2503" spans="39:41" x14ac:dyDescent="0.25">
      <c r="AM2503" s="2">
        <v>2500</v>
      </c>
      <c r="AN2503" s="33">
        <v>1.5317388086606489E-2</v>
      </c>
      <c r="AO2503" s="33">
        <v>8.7571536969080672E-4</v>
      </c>
    </row>
    <row r="2504" spans="39:41" x14ac:dyDescent="0.25">
      <c r="AM2504" s="2">
        <v>2501</v>
      </c>
      <c r="AN2504" s="33">
        <v>1.0465149270502254E-2</v>
      </c>
      <c r="AO2504" s="33">
        <v>1.0863389330282183E-3</v>
      </c>
    </row>
    <row r="2505" spans="39:41" x14ac:dyDescent="0.25">
      <c r="AM2505" s="2">
        <v>2502</v>
      </c>
      <c r="AN2505" s="33">
        <v>1.1079679339121754E-2</v>
      </c>
      <c r="AO2505" s="33">
        <v>7.8607747645557024E-4</v>
      </c>
    </row>
    <row r="2506" spans="39:41" x14ac:dyDescent="0.25">
      <c r="AM2506" s="2">
        <v>2503</v>
      </c>
      <c r="AN2506" s="33">
        <v>1.2860504872047457E-2</v>
      </c>
      <c r="AO2506" s="33">
        <v>1.140932846776079E-3</v>
      </c>
    </row>
    <row r="2507" spans="39:41" x14ac:dyDescent="0.25">
      <c r="AM2507" s="2">
        <v>2504</v>
      </c>
      <c r="AN2507" s="33">
        <v>1.0240760435847738E-2</v>
      </c>
      <c r="AO2507" s="33">
        <v>4.9611076309026526E-4</v>
      </c>
    </row>
    <row r="2508" spans="39:41" x14ac:dyDescent="0.25">
      <c r="AM2508" s="2">
        <v>2505</v>
      </c>
      <c r="AN2508" s="33">
        <v>1.0609730994548698E-2</v>
      </c>
      <c r="AO2508" s="33">
        <v>8.2562930300840139E-4</v>
      </c>
    </row>
    <row r="2509" spans="39:41" x14ac:dyDescent="0.25">
      <c r="AM2509" s="2">
        <v>2506</v>
      </c>
      <c r="AN2509" s="33">
        <v>8.8236542819518909E-3</v>
      </c>
      <c r="AO2509" s="33">
        <v>5.9843618699468627E-4</v>
      </c>
    </row>
    <row r="2510" spans="39:41" x14ac:dyDescent="0.25">
      <c r="AM2510" s="2">
        <v>2507</v>
      </c>
      <c r="AN2510" s="33">
        <v>1.3502216647630409E-2</v>
      </c>
      <c r="AO2510" s="33">
        <v>1.299396704658879E-3</v>
      </c>
    </row>
    <row r="2511" spans="39:41" x14ac:dyDescent="0.25">
      <c r="AM2511" s="2">
        <v>2508</v>
      </c>
      <c r="AN2511" s="33">
        <v>1.185808117564181E-2</v>
      </c>
      <c r="AO2511" s="33">
        <v>9.7379743855413852E-4</v>
      </c>
    </row>
    <row r="2512" spans="39:41" x14ac:dyDescent="0.25">
      <c r="AM2512" s="2">
        <v>2509</v>
      </c>
      <c r="AN2512" s="33">
        <v>1.004197891218332E-2</v>
      </c>
      <c r="AO2512" s="33">
        <v>6.9333315258280736E-4</v>
      </c>
    </row>
    <row r="2513" spans="39:41" x14ac:dyDescent="0.25">
      <c r="AM2513" s="2">
        <v>2510</v>
      </c>
      <c r="AN2513" s="33">
        <v>8.7967931149252609E-3</v>
      </c>
      <c r="AO2513" s="33">
        <v>5.779800652189848E-4</v>
      </c>
    </row>
    <row r="2514" spans="39:41" x14ac:dyDescent="0.25">
      <c r="AM2514" s="2">
        <v>2511</v>
      </c>
      <c r="AN2514" s="33">
        <v>1.1629625225742802E-2</v>
      </c>
      <c r="AO2514" s="33">
        <v>8.2800928438819484E-4</v>
      </c>
    </row>
    <row r="2515" spans="39:41" x14ac:dyDescent="0.25">
      <c r="AM2515" s="2">
        <v>2512</v>
      </c>
      <c r="AN2515" s="33">
        <v>9.1411849993049011E-3</v>
      </c>
      <c r="AO2515" s="33">
        <v>6.8535597235190831E-4</v>
      </c>
    </row>
    <row r="2516" spans="39:41" x14ac:dyDescent="0.25">
      <c r="AM2516" s="2">
        <v>2513</v>
      </c>
      <c r="AN2516" s="33">
        <v>1.0192404909344595E-2</v>
      </c>
      <c r="AO2516" s="33">
        <v>4.9713359173330469E-4</v>
      </c>
    </row>
    <row r="2517" spans="39:41" x14ac:dyDescent="0.25">
      <c r="AM2517" s="2">
        <v>2514</v>
      </c>
      <c r="AN2517" s="33">
        <v>1.6112192279714239E-2</v>
      </c>
      <c r="AO2517" s="33">
        <v>1.4448466300249177E-3</v>
      </c>
    </row>
    <row r="2518" spans="39:41" x14ac:dyDescent="0.25">
      <c r="AM2518" s="2">
        <v>2515</v>
      </c>
      <c r="AN2518" s="33">
        <v>1.3289665409281056E-2</v>
      </c>
      <c r="AO2518" s="33">
        <v>7.1618397945026775E-4</v>
      </c>
    </row>
    <row r="2519" spans="39:41" x14ac:dyDescent="0.25">
      <c r="AM2519" s="2">
        <v>2516</v>
      </c>
      <c r="AN2519" s="33">
        <v>9.8594564399153845E-3</v>
      </c>
      <c r="AO2519" s="33">
        <v>7.5402582954010367E-4</v>
      </c>
    </row>
    <row r="2520" spans="39:41" x14ac:dyDescent="0.25">
      <c r="AM2520" s="2">
        <v>2517</v>
      </c>
      <c r="AN2520" s="33">
        <v>1.3086648081694845E-2</v>
      </c>
      <c r="AO2520" s="33">
        <v>1.2979981704018665E-3</v>
      </c>
    </row>
    <row r="2521" spans="39:41" x14ac:dyDescent="0.25">
      <c r="AM2521" s="2">
        <v>2518</v>
      </c>
      <c r="AN2521" s="33">
        <v>1.0364592857375569E-2</v>
      </c>
      <c r="AO2521" s="33">
        <v>4.747106186964762E-4</v>
      </c>
    </row>
    <row r="2522" spans="39:41" x14ac:dyDescent="0.25">
      <c r="AM2522" s="2">
        <v>2519</v>
      </c>
      <c r="AN2522" s="33">
        <v>1.5624725208847157E-2</v>
      </c>
      <c r="AO2522" s="33">
        <v>1.2856438392881331E-3</v>
      </c>
    </row>
    <row r="2523" spans="39:41" x14ac:dyDescent="0.25">
      <c r="AM2523" s="2">
        <v>2520</v>
      </c>
      <c r="AN2523" s="33">
        <v>1.0460255395011541E-2</v>
      </c>
      <c r="AO2523" s="33">
        <v>5.0476789436463816E-4</v>
      </c>
    </row>
    <row r="2524" spans="39:41" x14ac:dyDescent="0.25">
      <c r="AM2524" s="2">
        <v>2521</v>
      </c>
      <c r="AN2524" s="33">
        <v>1.3604477880242398E-2</v>
      </c>
      <c r="AO2524" s="33">
        <v>9.5479985193309405E-4</v>
      </c>
    </row>
    <row r="2525" spans="39:41" x14ac:dyDescent="0.25">
      <c r="AM2525" s="2">
        <v>2522</v>
      </c>
      <c r="AN2525" s="33">
        <v>8.2446546381305681E-3</v>
      </c>
      <c r="AO2525" s="33">
        <v>5.9030357016957445E-4</v>
      </c>
    </row>
    <row r="2526" spans="39:41" x14ac:dyDescent="0.25">
      <c r="AM2526" s="2">
        <v>2523</v>
      </c>
      <c r="AN2526" s="33">
        <v>9.8129807448531173E-3</v>
      </c>
      <c r="AO2526" s="33">
        <v>3.8370485741958093E-4</v>
      </c>
    </row>
    <row r="2527" spans="39:41" x14ac:dyDescent="0.25">
      <c r="AM2527" s="2">
        <v>2524</v>
      </c>
      <c r="AN2527" s="33">
        <v>1.0252212427544795E-2</v>
      </c>
      <c r="AO2527" s="33">
        <v>1.5838158181271237E-4</v>
      </c>
    </row>
    <row r="2528" spans="39:41" x14ac:dyDescent="0.25">
      <c r="AM2528" s="2">
        <v>2525</v>
      </c>
      <c r="AN2528" s="33">
        <v>1.3764794770146031E-2</v>
      </c>
      <c r="AO2528" s="33">
        <v>1.0171725917390085E-3</v>
      </c>
    </row>
    <row r="2529" spans="39:41" x14ac:dyDescent="0.25">
      <c r="AM2529" s="2">
        <v>2526</v>
      </c>
      <c r="AN2529" s="33">
        <v>1.0786761612545747E-2</v>
      </c>
      <c r="AO2529" s="33">
        <v>9.1273023377194673E-4</v>
      </c>
    </row>
    <row r="2530" spans="39:41" x14ac:dyDescent="0.25">
      <c r="AM2530" s="2">
        <v>2527</v>
      </c>
      <c r="AN2530" s="33">
        <v>1.3925940501340018E-2</v>
      </c>
      <c r="AO2530" s="33">
        <v>1.1535361260970394E-3</v>
      </c>
    </row>
    <row r="2531" spans="39:41" x14ac:dyDescent="0.25">
      <c r="AM2531" s="2">
        <v>2528</v>
      </c>
      <c r="AN2531" s="33">
        <v>1.0728310049279113E-2</v>
      </c>
      <c r="AO2531" s="33">
        <v>6.4378996516793394E-4</v>
      </c>
    </row>
    <row r="2532" spans="39:41" x14ac:dyDescent="0.25">
      <c r="AM2532" s="2">
        <v>2529</v>
      </c>
      <c r="AN2532" s="33">
        <v>1.2961344343734339E-2</v>
      </c>
      <c r="AO2532" s="33">
        <v>1.1090837425907179E-3</v>
      </c>
    </row>
    <row r="2533" spans="39:41" x14ac:dyDescent="0.25">
      <c r="AM2533" s="2">
        <v>2530</v>
      </c>
      <c r="AN2533" s="33">
        <v>1.0661181737432801E-2</v>
      </c>
      <c r="AO2533" s="33">
        <v>9.4344806693872892E-4</v>
      </c>
    </row>
    <row r="2534" spans="39:41" x14ac:dyDescent="0.25">
      <c r="AM2534" s="2">
        <v>2531</v>
      </c>
      <c r="AN2534" s="33">
        <v>1.3598002438862498E-2</v>
      </c>
      <c r="AO2534" s="33">
        <v>1.3848273359496346E-3</v>
      </c>
    </row>
    <row r="2535" spans="39:41" x14ac:dyDescent="0.25">
      <c r="AM2535" s="2">
        <v>2532</v>
      </c>
      <c r="AN2535" s="33">
        <v>1.3686333837956779E-2</v>
      </c>
      <c r="AO2535" s="33">
        <v>9.1689447102606767E-4</v>
      </c>
    </row>
    <row r="2536" spans="39:41" x14ac:dyDescent="0.25">
      <c r="AM2536" s="2">
        <v>2533</v>
      </c>
      <c r="AN2536" s="33">
        <v>1.4735969257478315E-2</v>
      </c>
      <c r="AO2536" s="33">
        <v>1.3134096090104733E-3</v>
      </c>
    </row>
    <row r="2537" spans="39:41" x14ac:dyDescent="0.25">
      <c r="AM2537" s="2">
        <v>2534</v>
      </c>
      <c r="AN2537" s="33">
        <v>1.0407406832894687E-2</v>
      </c>
      <c r="AO2537" s="33">
        <v>6.1262479931028179E-4</v>
      </c>
    </row>
    <row r="2538" spans="39:41" x14ac:dyDescent="0.25">
      <c r="AM2538" s="2">
        <v>2535</v>
      </c>
      <c r="AN2538" s="33">
        <v>1.3013972270866736E-2</v>
      </c>
      <c r="AO2538" s="33">
        <v>9.9605311911826755E-4</v>
      </c>
    </row>
    <row r="2539" spans="39:41" x14ac:dyDescent="0.25">
      <c r="AM2539" s="2">
        <v>2536</v>
      </c>
      <c r="AN2539" s="33">
        <v>8.8222726797735247E-3</v>
      </c>
      <c r="AO2539" s="33">
        <v>6.193607158824049E-4</v>
      </c>
    </row>
    <row r="2540" spans="39:41" x14ac:dyDescent="0.25">
      <c r="AM2540" s="2">
        <v>2537</v>
      </c>
      <c r="AN2540" s="33">
        <v>1.1950046777050726E-2</v>
      </c>
      <c r="AO2540" s="33">
        <v>8.231305559652229E-4</v>
      </c>
    </row>
    <row r="2541" spans="39:41" x14ac:dyDescent="0.25">
      <c r="AM2541" s="2">
        <v>2538</v>
      </c>
      <c r="AN2541" s="33">
        <v>1.5331623852094189E-2</v>
      </c>
      <c r="AO2541" s="33">
        <v>1.3785605491951443E-3</v>
      </c>
    </row>
    <row r="2542" spans="39:41" x14ac:dyDescent="0.25">
      <c r="AM2542" s="2">
        <v>2539</v>
      </c>
      <c r="AN2542" s="33">
        <v>1.2692860789110093E-2</v>
      </c>
      <c r="AO2542" s="33">
        <v>9.4755649964557806E-4</v>
      </c>
    </row>
    <row r="2543" spans="39:41" x14ac:dyDescent="0.25">
      <c r="AM2543" s="2">
        <v>2540</v>
      </c>
      <c r="AN2543" s="33">
        <v>1.1929107903265179E-2</v>
      </c>
      <c r="AO2543" s="33">
        <v>1.0821626019101023E-3</v>
      </c>
    </row>
    <row r="2544" spans="39:41" x14ac:dyDescent="0.25">
      <c r="AM2544" s="2">
        <v>2541</v>
      </c>
      <c r="AN2544" s="33">
        <v>1.0245730881878178E-2</v>
      </c>
      <c r="AO2544" s="33">
        <v>6.026305382993471E-4</v>
      </c>
    </row>
    <row r="2545" spans="39:41" x14ac:dyDescent="0.25">
      <c r="AM2545" s="2">
        <v>2542</v>
      </c>
      <c r="AN2545" s="33">
        <v>1.1954345594463497E-2</v>
      </c>
      <c r="AO2545" s="33">
        <v>1.2093892098018566E-3</v>
      </c>
    </row>
    <row r="2546" spans="39:41" x14ac:dyDescent="0.25">
      <c r="AM2546" s="2">
        <v>2543</v>
      </c>
      <c r="AN2546" s="33">
        <v>1.1852699997818661E-2</v>
      </c>
      <c r="AO2546" s="33">
        <v>6.8414146935204061E-4</v>
      </c>
    </row>
    <row r="2547" spans="39:41" x14ac:dyDescent="0.25">
      <c r="AM2547" s="2">
        <v>2544</v>
      </c>
      <c r="AN2547" s="33">
        <v>9.6248656962134894E-3</v>
      </c>
      <c r="AO2547" s="33">
        <v>7.2204397080329974E-4</v>
      </c>
    </row>
    <row r="2548" spans="39:41" x14ac:dyDescent="0.25">
      <c r="AM2548" s="2">
        <v>2545</v>
      </c>
      <c r="AN2548" s="33">
        <v>1.137880175508698E-2</v>
      </c>
      <c r="AO2548" s="33">
        <v>8.2278011484167475E-4</v>
      </c>
    </row>
    <row r="2549" spans="39:41" x14ac:dyDescent="0.25">
      <c r="AM2549" s="2">
        <v>2546</v>
      </c>
      <c r="AN2549" s="33">
        <v>1.0263701751132531E-2</v>
      </c>
      <c r="AO2549" s="33">
        <v>5.4682369879708887E-4</v>
      </c>
    </row>
    <row r="2550" spans="39:41" x14ac:dyDescent="0.25">
      <c r="AM2550" s="2">
        <v>2547</v>
      </c>
      <c r="AN2550" s="33">
        <v>1.2961599511181058E-2</v>
      </c>
      <c r="AO2550" s="33">
        <v>8.0044637432305824E-4</v>
      </c>
    </row>
    <row r="2551" spans="39:41" x14ac:dyDescent="0.25">
      <c r="AM2551" s="2">
        <v>2548</v>
      </c>
      <c r="AN2551" s="33">
        <v>8.787265691558124E-3</v>
      </c>
      <c r="AO2551" s="33">
        <v>3.1178365085378021E-4</v>
      </c>
    </row>
    <row r="2552" spans="39:41" x14ac:dyDescent="0.25">
      <c r="AM2552" s="2">
        <v>2549</v>
      </c>
      <c r="AN2552" s="33">
        <v>9.1349347983816897E-3</v>
      </c>
      <c r="AO2552" s="33">
        <v>4.7489367213547737E-4</v>
      </c>
    </row>
    <row r="2553" spans="39:41" x14ac:dyDescent="0.25">
      <c r="AM2553" s="2">
        <v>2550</v>
      </c>
      <c r="AN2553" s="33">
        <v>1.2613768229631178E-2</v>
      </c>
      <c r="AO2553" s="33">
        <v>1.2455864407134836E-3</v>
      </c>
    </row>
    <row r="2554" spans="39:41" x14ac:dyDescent="0.25">
      <c r="AM2554" s="2">
        <v>2551</v>
      </c>
      <c r="AN2554" s="33">
        <v>7.6716314387500978E-3</v>
      </c>
      <c r="AO2554" s="33">
        <v>5.2867727226206713E-4</v>
      </c>
    </row>
    <row r="2555" spans="39:41" x14ac:dyDescent="0.25">
      <c r="AM2555" s="2">
        <v>2552</v>
      </c>
      <c r="AN2555" s="33">
        <v>9.3205788375809347E-3</v>
      </c>
      <c r="AO2555" s="33">
        <v>7.8319772503329221E-4</v>
      </c>
    </row>
    <row r="2556" spans="39:41" x14ac:dyDescent="0.25">
      <c r="AM2556" s="2">
        <v>2553</v>
      </c>
      <c r="AN2556" s="33">
        <v>1.0446301696483952E-2</v>
      </c>
      <c r="AO2556" s="33">
        <v>8.2495758784370456E-4</v>
      </c>
    </row>
    <row r="2557" spans="39:41" x14ac:dyDescent="0.25">
      <c r="AM2557" s="2">
        <v>2554</v>
      </c>
      <c r="AN2557" s="33">
        <v>1.2531426318920898E-2</v>
      </c>
      <c r="AO2557" s="33">
        <v>9.3022074661683015E-4</v>
      </c>
    </row>
    <row r="2558" spans="39:41" x14ac:dyDescent="0.25">
      <c r="AM2558" s="2">
        <v>2555</v>
      </c>
      <c r="AN2558" s="33">
        <v>1.1782973692894808E-2</v>
      </c>
      <c r="AO2558" s="33">
        <v>8.6303007867638071E-4</v>
      </c>
    </row>
    <row r="2559" spans="39:41" x14ac:dyDescent="0.25">
      <c r="AM2559" s="2">
        <v>2556</v>
      </c>
      <c r="AN2559" s="33">
        <v>1.0285940049621876E-2</v>
      </c>
      <c r="AO2559" s="33">
        <v>9.2269610878706223E-4</v>
      </c>
    </row>
    <row r="2560" spans="39:41" x14ac:dyDescent="0.25">
      <c r="AM2560" s="2">
        <v>2557</v>
      </c>
      <c r="AN2560" s="33">
        <v>1.1241771143748656E-2</v>
      </c>
      <c r="AO2560" s="33">
        <v>7.3026780035639113E-4</v>
      </c>
    </row>
    <row r="2561" spans="39:41" x14ac:dyDescent="0.25">
      <c r="AM2561" s="2">
        <v>2558</v>
      </c>
      <c r="AN2561" s="33">
        <v>1.2271396658122186E-2</v>
      </c>
      <c r="AO2561" s="33">
        <v>9.9318000969768924E-4</v>
      </c>
    </row>
    <row r="2562" spans="39:41" x14ac:dyDescent="0.25">
      <c r="AM2562" s="2">
        <v>2559</v>
      </c>
      <c r="AN2562" s="33">
        <v>1.3593515607243633E-2</v>
      </c>
      <c r="AO2562" s="33">
        <v>1.219042618431644E-3</v>
      </c>
    </row>
    <row r="2563" spans="39:41" x14ac:dyDescent="0.25">
      <c r="AM2563" s="2">
        <v>2560</v>
      </c>
      <c r="AN2563" s="33">
        <v>1.5748420332679789E-2</v>
      </c>
      <c r="AO2563" s="33">
        <v>1.3607332281314129E-3</v>
      </c>
    </row>
    <row r="2564" spans="39:41" x14ac:dyDescent="0.25">
      <c r="AM2564" s="2">
        <v>2561</v>
      </c>
      <c r="AN2564" s="33">
        <v>1.1079060264466679E-2</v>
      </c>
      <c r="AO2564" s="33">
        <v>1.0989386830450637E-3</v>
      </c>
    </row>
    <row r="2565" spans="39:41" x14ac:dyDescent="0.25">
      <c r="AM2565" s="2">
        <v>2562</v>
      </c>
      <c r="AN2565" s="33">
        <v>9.3772556683218902E-3</v>
      </c>
      <c r="AO2565" s="33">
        <v>9.1302277416568044E-4</v>
      </c>
    </row>
    <row r="2566" spans="39:41" x14ac:dyDescent="0.25">
      <c r="AM2566" s="2">
        <v>2563</v>
      </c>
      <c r="AN2566" s="33">
        <v>1.0907174111695546E-2</v>
      </c>
      <c r="AO2566" s="33">
        <v>3.0554529995260573E-4</v>
      </c>
    </row>
    <row r="2567" spans="39:41" x14ac:dyDescent="0.25">
      <c r="AM2567" s="2">
        <v>2564</v>
      </c>
      <c r="AN2567" s="33">
        <v>1.4459264889984913E-2</v>
      </c>
      <c r="AO2567" s="33">
        <v>1.3098745964755891E-3</v>
      </c>
    </row>
    <row r="2568" spans="39:41" x14ac:dyDescent="0.25">
      <c r="AM2568" s="2">
        <v>2565</v>
      </c>
      <c r="AN2568" s="33">
        <v>1.219462501019055E-2</v>
      </c>
      <c r="AO2568" s="33">
        <v>1.0391928357734021E-3</v>
      </c>
    </row>
    <row r="2569" spans="39:41" x14ac:dyDescent="0.25">
      <c r="AM2569" s="2">
        <v>2566</v>
      </c>
      <c r="AN2569" s="33">
        <v>1.4254189409623126E-2</v>
      </c>
      <c r="AO2569" s="33">
        <v>1.2743474599503418E-3</v>
      </c>
    </row>
    <row r="2570" spans="39:41" x14ac:dyDescent="0.25">
      <c r="AM2570" s="2">
        <v>2567</v>
      </c>
      <c r="AN2570" s="33">
        <v>1.4185885591307939E-2</v>
      </c>
      <c r="AO2570" s="33">
        <v>1.2904555342439334E-3</v>
      </c>
    </row>
    <row r="2571" spans="39:41" x14ac:dyDescent="0.25">
      <c r="AM2571" s="2">
        <v>2568</v>
      </c>
      <c r="AN2571" s="33">
        <v>1.0353776738340323E-2</v>
      </c>
      <c r="AO2571" s="33">
        <v>8.2748728027837051E-4</v>
      </c>
    </row>
    <row r="2572" spans="39:41" x14ac:dyDescent="0.25">
      <c r="AM2572" s="2">
        <v>2569</v>
      </c>
      <c r="AN2572" s="33">
        <v>1.1168363758089384E-2</v>
      </c>
      <c r="AO2572" s="33">
        <v>7.3777715128573156E-4</v>
      </c>
    </row>
    <row r="2573" spans="39:41" x14ac:dyDescent="0.25">
      <c r="AM2573" s="2">
        <v>2570</v>
      </c>
      <c r="AN2573" s="33">
        <v>1.2087866891489293E-2</v>
      </c>
      <c r="AO2573" s="33">
        <v>2.3420231809637225E-4</v>
      </c>
    </row>
    <row r="2574" spans="39:41" x14ac:dyDescent="0.25">
      <c r="AM2574" s="2">
        <v>2571</v>
      </c>
      <c r="AN2574" s="33">
        <v>8.5591605570638427E-3</v>
      </c>
      <c r="AO2574" s="33">
        <v>6.5433773584220017E-4</v>
      </c>
    </row>
    <row r="2575" spans="39:41" x14ac:dyDescent="0.25">
      <c r="AM2575" s="2">
        <v>2572</v>
      </c>
      <c r="AN2575" s="33">
        <v>1.2457210058340794E-2</v>
      </c>
      <c r="AO2575" s="33">
        <v>9.0511697460244191E-4</v>
      </c>
    </row>
    <row r="2576" spans="39:41" x14ac:dyDescent="0.25">
      <c r="AM2576" s="2">
        <v>2573</v>
      </c>
      <c r="AN2576" s="33">
        <v>9.580544448100678E-3</v>
      </c>
      <c r="AO2576" s="33">
        <v>5.128065193779432E-4</v>
      </c>
    </row>
    <row r="2577" spans="39:41" x14ac:dyDescent="0.25">
      <c r="AM2577" s="2">
        <v>2574</v>
      </c>
      <c r="AN2577" s="33">
        <v>1.2608256135780121E-2</v>
      </c>
      <c r="AO2577" s="33">
        <v>8.9260281586048891E-4</v>
      </c>
    </row>
    <row r="2578" spans="39:41" x14ac:dyDescent="0.25">
      <c r="AM2578" s="2">
        <v>2575</v>
      </c>
      <c r="AN2578" s="33">
        <v>8.886583057980936E-3</v>
      </c>
      <c r="AO2578" s="33">
        <v>5.5270610739736501E-4</v>
      </c>
    </row>
    <row r="2579" spans="39:41" x14ac:dyDescent="0.25">
      <c r="AM2579" s="2">
        <v>2576</v>
      </c>
      <c r="AN2579" s="33">
        <v>1.0891793289973683E-2</v>
      </c>
      <c r="AO2579" s="33">
        <v>5.343898754498164E-4</v>
      </c>
    </row>
    <row r="2580" spans="39:41" x14ac:dyDescent="0.25">
      <c r="AM2580" s="2">
        <v>2577</v>
      </c>
      <c r="AN2580" s="33">
        <v>1.0551633309496192E-2</v>
      </c>
      <c r="AO2580" s="33">
        <v>8.4199816239655285E-4</v>
      </c>
    </row>
    <row r="2581" spans="39:41" x14ac:dyDescent="0.25">
      <c r="AM2581" s="2">
        <v>2578</v>
      </c>
      <c r="AN2581" s="33">
        <v>1.1763744961513778E-2</v>
      </c>
      <c r="AO2581" s="33">
        <v>1.054088940954286E-3</v>
      </c>
    </row>
    <row r="2582" spans="39:41" x14ac:dyDescent="0.25">
      <c r="AM2582" s="2">
        <v>2579</v>
      </c>
      <c r="AN2582" s="33">
        <v>1.5169991232092752E-2</v>
      </c>
      <c r="AO2582" s="33">
        <v>1.413421931030643E-3</v>
      </c>
    </row>
    <row r="2583" spans="39:41" x14ac:dyDescent="0.25">
      <c r="AM2583" s="2">
        <v>2580</v>
      </c>
      <c r="AN2583" s="33">
        <v>1.1858614937876582E-2</v>
      </c>
      <c r="AO2583" s="33">
        <v>1.2828504706750754E-3</v>
      </c>
    </row>
    <row r="2584" spans="39:41" x14ac:dyDescent="0.25">
      <c r="AM2584" s="2">
        <v>2581</v>
      </c>
      <c r="AN2584" s="33">
        <v>7.7171872983492658E-3</v>
      </c>
      <c r="AO2584" s="33">
        <v>3.2826869834476016E-4</v>
      </c>
    </row>
    <row r="2585" spans="39:41" x14ac:dyDescent="0.25">
      <c r="AM2585" s="2">
        <v>2582</v>
      </c>
      <c r="AN2585" s="33">
        <v>1.2003293796085732E-2</v>
      </c>
      <c r="AO2585" s="33">
        <v>8.0392457471150248E-4</v>
      </c>
    </row>
    <row r="2586" spans="39:41" x14ac:dyDescent="0.25">
      <c r="AM2586" s="2">
        <v>2583</v>
      </c>
      <c r="AN2586" s="33">
        <v>1.042913436204162E-2</v>
      </c>
      <c r="AO2586" s="33">
        <v>2.5138923787447286E-4</v>
      </c>
    </row>
    <row r="2587" spans="39:41" x14ac:dyDescent="0.25">
      <c r="AM2587" s="2">
        <v>2584</v>
      </c>
      <c r="AN2587" s="33">
        <v>1.1295877897164954E-2</v>
      </c>
      <c r="AO2587" s="33">
        <v>6.961761071547914E-4</v>
      </c>
    </row>
    <row r="2588" spans="39:41" x14ac:dyDescent="0.25">
      <c r="AM2588" s="2">
        <v>2585</v>
      </c>
      <c r="AN2588" s="33">
        <v>1.1708898223449279E-2</v>
      </c>
      <c r="AO2588" s="33">
        <v>8.8617513926808372E-4</v>
      </c>
    </row>
    <row r="2589" spans="39:41" x14ac:dyDescent="0.25">
      <c r="AM2589" s="2">
        <v>2586</v>
      </c>
      <c r="AN2589" s="33">
        <v>9.53422651911804E-3</v>
      </c>
      <c r="AO2589" s="33">
        <v>6.8679559660528961E-4</v>
      </c>
    </row>
    <row r="2590" spans="39:41" x14ac:dyDescent="0.25">
      <c r="AM2590" s="2">
        <v>2587</v>
      </c>
      <c r="AN2590" s="33">
        <v>1.2799120357895656E-2</v>
      </c>
      <c r="AO2590" s="33">
        <v>4.6664652795747107E-4</v>
      </c>
    </row>
    <row r="2591" spans="39:41" x14ac:dyDescent="0.25">
      <c r="AM2591" s="2">
        <v>2588</v>
      </c>
      <c r="AN2591" s="33">
        <v>1.2178071325375942E-2</v>
      </c>
      <c r="AO2591" s="33">
        <v>7.8930253937179254E-4</v>
      </c>
    </row>
    <row r="2592" spans="39:41" x14ac:dyDescent="0.25">
      <c r="AM2592" s="2">
        <v>2589</v>
      </c>
      <c r="AN2592" s="33">
        <v>1.5526894426138034E-2</v>
      </c>
      <c r="AO2592" s="33">
        <v>1.1158384921558888E-3</v>
      </c>
    </row>
    <row r="2593" spans="39:41" x14ac:dyDescent="0.25">
      <c r="AM2593" s="2">
        <v>2590</v>
      </c>
      <c r="AN2593" s="33">
        <v>1.0504940342363267E-2</v>
      </c>
      <c r="AO2593" s="33">
        <v>8.7903990788987057E-4</v>
      </c>
    </row>
    <row r="2594" spans="39:41" x14ac:dyDescent="0.25">
      <c r="AM2594" s="2">
        <v>2591</v>
      </c>
      <c r="AN2594" s="33">
        <v>1.0655630037115714E-2</v>
      </c>
      <c r="AO2594" s="33">
        <v>8.9959230126471213E-4</v>
      </c>
    </row>
    <row r="2595" spans="39:41" x14ac:dyDescent="0.25">
      <c r="AM2595" s="2">
        <v>2592</v>
      </c>
      <c r="AN2595" s="33">
        <v>1.3768029650642583E-2</v>
      </c>
      <c r="AO2595" s="33">
        <v>1.1621724514885223E-3</v>
      </c>
    </row>
    <row r="2596" spans="39:41" x14ac:dyDescent="0.25">
      <c r="AM2596" s="2">
        <v>2593</v>
      </c>
      <c r="AN2596" s="33">
        <v>1.4418798619753929E-2</v>
      </c>
      <c r="AO2596" s="33">
        <v>7.5679518095469111E-4</v>
      </c>
    </row>
    <row r="2597" spans="39:41" x14ac:dyDescent="0.25">
      <c r="AM2597" s="2">
        <v>2594</v>
      </c>
      <c r="AN2597" s="33">
        <v>1.6257285216138954E-2</v>
      </c>
      <c r="AO2597" s="33">
        <v>1.0433654693837108E-3</v>
      </c>
    </row>
    <row r="2598" spans="39:41" x14ac:dyDescent="0.25">
      <c r="AM2598" s="2">
        <v>2595</v>
      </c>
      <c r="AN2598" s="33">
        <v>1.5304025610508127E-2</v>
      </c>
      <c r="AO2598" s="33">
        <v>1.6047133927636552E-3</v>
      </c>
    </row>
    <row r="2599" spans="39:41" x14ac:dyDescent="0.25">
      <c r="AM2599" s="2">
        <v>2596</v>
      </c>
      <c r="AN2599" s="33">
        <v>1.2659212788862319E-2</v>
      </c>
      <c r="AO2599" s="33">
        <v>1.0610243545754912E-3</v>
      </c>
    </row>
    <row r="2600" spans="39:41" x14ac:dyDescent="0.25">
      <c r="AM2600" s="2">
        <v>2597</v>
      </c>
      <c r="AN2600" s="33">
        <v>1.2075744969424068E-2</v>
      </c>
      <c r="AO2600" s="33">
        <v>7.2218698007544559E-4</v>
      </c>
    </row>
    <row r="2601" spans="39:41" x14ac:dyDescent="0.25">
      <c r="AM2601" s="2">
        <v>2598</v>
      </c>
      <c r="AN2601" s="33">
        <v>1.450848050618328E-2</v>
      </c>
      <c r="AO2601" s="33">
        <v>1.1230154726258623E-3</v>
      </c>
    </row>
    <row r="2602" spans="39:41" x14ac:dyDescent="0.25">
      <c r="AM2602" s="2">
        <v>2599</v>
      </c>
      <c r="AN2602" s="33">
        <v>1.0597868680605449E-2</v>
      </c>
      <c r="AO2602" s="33">
        <v>7.8440755190924746E-4</v>
      </c>
    </row>
    <row r="2603" spans="39:41" x14ac:dyDescent="0.25">
      <c r="AM2603" s="2">
        <v>2600</v>
      </c>
      <c r="AN2603" s="33">
        <v>1.1057944826217086E-2</v>
      </c>
      <c r="AO2603" s="33">
        <v>8.8063632520646036E-4</v>
      </c>
    </row>
    <row r="2604" spans="39:41" x14ac:dyDescent="0.25">
      <c r="AM2604" s="2">
        <v>2601</v>
      </c>
      <c r="AN2604" s="33">
        <v>8.7649027095683466E-3</v>
      </c>
      <c r="AO2604" s="33">
        <v>6.7972624972259868E-4</v>
      </c>
    </row>
    <row r="2605" spans="39:41" x14ac:dyDescent="0.25">
      <c r="AM2605" s="2">
        <v>2602</v>
      </c>
      <c r="AN2605" s="33">
        <v>1.0360001692308319E-2</v>
      </c>
      <c r="AO2605" s="33">
        <v>8.497657770366472E-4</v>
      </c>
    </row>
    <row r="2606" spans="39:41" x14ac:dyDescent="0.25">
      <c r="AM2606" s="2">
        <v>2603</v>
      </c>
      <c r="AN2606" s="33">
        <v>1.5897734270329832E-2</v>
      </c>
      <c r="AO2606" s="33">
        <v>1.241382172926628E-3</v>
      </c>
    </row>
    <row r="2607" spans="39:41" x14ac:dyDescent="0.25">
      <c r="AM2607" s="2">
        <v>2604</v>
      </c>
      <c r="AN2607" s="33">
        <v>1.045624988068051E-2</v>
      </c>
      <c r="AO2607" s="33">
        <v>8.0710532036115028E-4</v>
      </c>
    </row>
    <row r="2608" spans="39:41" x14ac:dyDescent="0.25">
      <c r="AM2608" s="2">
        <v>2605</v>
      </c>
      <c r="AN2608" s="33">
        <v>1.1370420403209403E-2</v>
      </c>
      <c r="AO2608" s="33">
        <v>9.990434593848171E-4</v>
      </c>
    </row>
    <row r="2609" spans="39:41" x14ac:dyDescent="0.25">
      <c r="AM2609" s="2">
        <v>2606</v>
      </c>
      <c r="AN2609" s="33">
        <v>1.6366854595487337E-2</v>
      </c>
      <c r="AO2609" s="33">
        <v>1.5197310522909505E-3</v>
      </c>
    </row>
    <row r="2610" spans="39:41" x14ac:dyDescent="0.25">
      <c r="AM2610" s="2">
        <v>2607</v>
      </c>
      <c r="AN2610" s="33">
        <v>9.8059159910479574E-3</v>
      </c>
      <c r="AO2610" s="33">
        <v>6.1185167405955791E-4</v>
      </c>
    </row>
    <row r="2611" spans="39:41" x14ac:dyDescent="0.25">
      <c r="AM2611" s="2">
        <v>2608</v>
      </c>
      <c r="AN2611" s="33">
        <v>1.1513987700779866E-2</v>
      </c>
      <c r="AO2611" s="33">
        <v>5.4325046869711129E-4</v>
      </c>
    </row>
    <row r="2612" spans="39:41" x14ac:dyDescent="0.25">
      <c r="AM2612" s="2">
        <v>2609</v>
      </c>
      <c r="AN2612" s="33">
        <v>1.1854436215422337E-2</v>
      </c>
      <c r="AO2612" s="33">
        <v>9.8333604620964854E-4</v>
      </c>
    </row>
    <row r="2613" spans="39:41" x14ac:dyDescent="0.25">
      <c r="AM2613" s="2">
        <v>2610</v>
      </c>
      <c r="AN2613" s="33">
        <v>1.0897431591507628E-2</v>
      </c>
      <c r="AO2613" s="33">
        <v>7.7643416062789542E-4</v>
      </c>
    </row>
    <row r="2614" spans="39:41" x14ac:dyDescent="0.25">
      <c r="AM2614" s="2">
        <v>2611</v>
      </c>
      <c r="AN2614" s="33">
        <v>1.4746385996378493E-2</v>
      </c>
      <c r="AO2614" s="33">
        <v>1.2566891045795343E-3</v>
      </c>
    </row>
    <row r="2615" spans="39:41" x14ac:dyDescent="0.25">
      <c r="AM2615" s="2">
        <v>2612</v>
      </c>
      <c r="AN2615" s="33">
        <v>1.0223956257975075E-2</v>
      </c>
      <c r="AO2615" s="33">
        <v>7.2320499294402808E-4</v>
      </c>
    </row>
    <row r="2616" spans="39:41" x14ac:dyDescent="0.25">
      <c r="AM2616" s="2">
        <v>2613</v>
      </c>
      <c r="AN2616" s="33">
        <v>1.4685485990543113E-2</v>
      </c>
      <c r="AO2616" s="33">
        <v>1.1962362058242023E-3</v>
      </c>
    </row>
    <row r="2617" spans="39:41" x14ac:dyDescent="0.25">
      <c r="AM2617" s="2">
        <v>2614</v>
      </c>
      <c r="AN2617" s="33">
        <v>1.0314750392861812E-2</v>
      </c>
      <c r="AO2617" s="33">
        <v>9.6859835642234074E-4</v>
      </c>
    </row>
    <row r="2618" spans="39:41" x14ac:dyDescent="0.25">
      <c r="AM2618" s="2">
        <v>2615</v>
      </c>
      <c r="AN2618" s="33">
        <v>8.2753819263881312E-3</v>
      </c>
      <c r="AO2618" s="33">
        <v>5.1578788907252326E-4</v>
      </c>
    </row>
    <row r="2619" spans="39:41" x14ac:dyDescent="0.25">
      <c r="AM2619" s="2">
        <v>2616</v>
      </c>
      <c r="AN2619" s="33">
        <v>8.9470342276952667E-3</v>
      </c>
      <c r="AO2619" s="33">
        <v>6.4145676247402E-4</v>
      </c>
    </row>
    <row r="2620" spans="39:41" x14ac:dyDescent="0.25">
      <c r="AM2620" s="2">
        <v>2617</v>
      </c>
      <c r="AN2620" s="33">
        <v>1.3535187775219079E-2</v>
      </c>
      <c r="AO2620" s="33">
        <v>1.0572031826353748E-3</v>
      </c>
    </row>
    <row r="2621" spans="39:41" x14ac:dyDescent="0.25">
      <c r="AM2621" s="2">
        <v>2618</v>
      </c>
      <c r="AN2621" s="33">
        <v>1.0608342291452891E-2</v>
      </c>
      <c r="AO2621" s="33">
        <v>4.6054772571384937E-4</v>
      </c>
    </row>
    <row r="2622" spans="39:41" x14ac:dyDescent="0.25">
      <c r="AM2622" s="2">
        <v>2619</v>
      </c>
      <c r="AN2622" s="33">
        <v>1.0080681447728805E-2</v>
      </c>
      <c r="AO2622" s="33">
        <v>7.9481292304540096E-4</v>
      </c>
    </row>
    <row r="2623" spans="39:41" x14ac:dyDescent="0.25">
      <c r="AM2623" s="2">
        <v>2620</v>
      </c>
      <c r="AN2623" s="33">
        <v>1.6795079746703027E-2</v>
      </c>
      <c r="AO2623" s="33">
        <v>1.7361716788424865E-3</v>
      </c>
    </row>
    <row r="2624" spans="39:41" x14ac:dyDescent="0.25">
      <c r="AM2624" s="2">
        <v>2621</v>
      </c>
      <c r="AN2624" s="33">
        <v>1.2439310414709465E-2</v>
      </c>
      <c r="AO2624" s="33">
        <v>6.7222198571341169E-4</v>
      </c>
    </row>
    <row r="2625" spans="39:41" x14ac:dyDescent="0.25">
      <c r="AM2625" s="2">
        <v>2622</v>
      </c>
      <c r="AN2625" s="33">
        <v>1.1324780261880678E-2</v>
      </c>
      <c r="AO2625" s="33">
        <v>1.0343280496651155E-3</v>
      </c>
    </row>
    <row r="2626" spans="39:41" x14ac:dyDescent="0.25">
      <c r="AM2626" s="2">
        <v>2623</v>
      </c>
      <c r="AN2626" s="33">
        <v>9.7757969520159659E-3</v>
      </c>
      <c r="AO2626" s="33">
        <v>2.7628556968574094E-4</v>
      </c>
    </row>
    <row r="2627" spans="39:41" x14ac:dyDescent="0.25">
      <c r="AM2627" s="2">
        <v>2624</v>
      </c>
      <c r="AN2627" s="33">
        <v>9.3193202366570211E-3</v>
      </c>
      <c r="AO2627" s="33">
        <v>6.7866365153772593E-4</v>
      </c>
    </row>
    <row r="2628" spans="39:41" x14ac:dyDescent="0.25">
      <c r="AM2628" s="2">
        <v>2625</v>
      </c>
      <c r="AN2628" s="33">
        <v>1.1174895969609452E-2</v>
      </c>
      <c r="AO2628" s="33">
        <v>8.1378294489900028E-4</v>
      </c>
    </row>
    <row r="2629" spans="39:41" x14ac:dyDescent="0.25">
      <c r="AM2629" s="2">
        <v>2626</v>
      </c>
      <c r="AN2629" s="33">
        <v>1.2986122563468344E-2</v>
      </c>
      <c r="AO2629" s="33">
        <v>-8.2222259981230242E-5</v>
      </c>
    </row>
    <row r="2630" spans="39:41" x14ac:dyDescent="0.25">
      <c r="AM2630" s="2">
        <v>2627</v>
      </c>
      <c r="AN2630" s="33">
        <v>1.6173722046835374E-2</v>
      </c>
      <c r="AO2630" s="33">
        <v>1.3879450302447297E-3</v>
      </c>
    </row>
    <row r="2631" spans="39:41" x14ac:dyDescent="0.25">
      <c r="AM2631" s="2">
        <v>2628</v>
      </c>
      <c r="AN2631" s="33">
        <v>1.1704668107300548E-2</v>
      </c>
      <c r="AO2631" s="33">
        <v>8.0398156615288201E-4</v>
      </c>
    </row>
    <row r="2632" spans="39:41" x14ac:dyDescent="0.25">
      <c r="AM2632" s="2">
        <v>2629</v>
      </c>
      <c r="AN2632" s="33">
        <v>7.1343863072077397E-3</v>
      </c>
      <c r="AO2632" s="33">
        <v>4.1669692079056503E-4</v>
      </c>
    </row>
    <row r="2633" spans="39:41" x14ac:dyDescent="0.25">
      <c r="AM2633" s="2">
        <v>2630</v>
      </c>
      <c r="AN2633" s="33">
        <v>1.1931593228271265E-2</v>
      </c>
      <c r="AO2633" s="33">
        <v>8.7210828772564216E-4</v>
      </c>
    </row>
    <row r="2634" spans="39:41" x14ac:dyDescent="0.25">
      <c r="AM2634" s="2">
        <v>2631</v>
      </c>
      <c r="AN2634" s="33">
        <v>1.4546866517304035E-2</v>
      </c>
      <c r="AO2634" s="33">
        <v>1.0280706538059261E-3</v>
      </c>
    </row>
    <row r="2635" spans="39:41" x14ac:dyDescent="0.25">
      <c r="AM2635" s="2">
        <v>2632</v>
      </c>
      <c r="AN2635" s="33">
        <v>8.492636406162787E-3</v>
      </c>
      <c r="AO2635" s="33">
        <v>8.8556295620790051E-4</v>
      </c>
    </row>
    <row r="2636" spans="39:41" x14ac:dyDescent="0.25">
      <c r="AM2636" s="2">
        <v>2633</v>
      </c>
      <c r="AN2636" s="33">
        <v>1.0440945563850097E-2</v>
      </c>
      <c r="AO2636" s="33">
        <v>3.8969752973590498E-4</v>
      </c>
    </row>
    <row r="2637" spans="39:41" x14ac:dyDescent="0.25">
      <c r="AM2637" s="2">
        <v>2634</v>
      </c>
      <c r="AN2637" s="33">
        <v>1.0725041665363611E-2</v>
      </c>
      <c r="AO2637" s="33">
        <v>1.052288991017654E-3</v>
      </c>
    </row>
    <row r="2638" spans="39:41" x14ac:dyDescent="0.25">
      <c r="AM2638" s="2">
        <v>2635</v>
      </c>
      <c r="AN2638" s="33">
        <v>1.3392860162863887E-2</v>
      </c>
      <c r="AO2638" s="33">
        <v>1.0636496196805404E-3</v>
      </c>
    </row>
    <row r="2639" spans="39:41" x14ac:dyDescent="0.25">
      <c r="AM2639" s="2">
        <v>2636</v>
      </c>
      <c r="AN2639" s="33">
        <v>1.2507511717755231E-2</v>
      </c>
      <c r="AO2639" s="33">
        <v>1.1785385450434984E-3</v>
      </c>
    </row>
    <row r="2640" spans="39:41" x14ac:dyDescent="0.25">
      <c r="AM2640" s="2">
        <v>2637</v>
      </c>
      <c r="AN2640" s="33">
        <v>1.2575945926933702E-2</v>
      </c>
      <c r="AO2640" s="33">
        <v>6.8189318966637856E-4</v>
      </c>
    </row>
    <row r="2641" spans="39:41" x14ac:dyDescent="0.25">
      <c r="AM2641" s="2">
        <v>2638</v>
      </c>
      <c r="AN2641" s="33">
        <v>8.6643572797079522E-3</v>
      </c>
      <c r="AO2641" s="33">
        <v>7.5388610544573813E-4</v>
      </c>
    </row>
    <row r="2642" spans="39:41" x14ac:dyDescent="0.25">
      <c r="AM2642" s="2">
        <v>2639</v>
      </c>
      <c r="AN2642" s="33">
        <v>1.2180645976965847E-2</v>
      </c>
      <c r="AO2642" s="33">
        <v>5.0087432823218677E-4</v>
      </c>
    </row>
    <row r="2643" spans="39:41" x14ac:dyDescent="0.25">
      <c r="AM2643" s="2">
        <v>2640</v>
      </c>
      <c r="AN2643" s="33">
        <v>1.0352991054858554E-2</v>
      </c>
      <c r="AO2643" s="33">
        <v>9.254314654438575E-4</v>
      </c>
    </row>
    <row r="2644" spans="39:41" x14ac:dyDescent="0.25">
      <c r="AM2644" s="2">
        <v>2641</v>
      </c>
      <c r="AN2644" s="33">
        <v>1.2688453557133406E-2</v>
      </c>
      <c r="AO2644" s="33">
        <v>1.0537509483269131E-3</v>
      </c>
    </row>
    <row r="2645" spans="39:41" x14ac:dyDescent="0.25">
      <c r="AM2645" s="2">
        <v>2642</v>
      </c>
      <c r="AN2645" s="33">
        <v>1.1996235937045456E-2</v>
      </c>
      <c r="AO2645" s="33">
        <v>8.5860920341921233E-4</v>
      </c>
    </row>
    <row r="2646" spans="39:41" x14ac:dyDescent="0.25">
      <c r="AM2646" s="2">
        <v>2643</v>
      </c>
      <c r="AN2646" s="33">
        <v>1.355964929645791E-2</v>
      </c>
      <c r="AO2646" s="33">
        <v>1.2828220719080792E-3</v>
      </c>
    </row>
    <row r="2647" spans="39:41" x14ac:dyDescent="0.25">
      <c r="AM2647" s="2">
        <v>2644</v>
      </c>
      <c r="AN2647" s="33">
        <v>1.0972292177195812E-2</v>
      </c>
      <c r="AO2647" s="33">
        <v>8.7285927563339873E-4</v>
      </c>
    </row>
    <row r="2648" spans="39:41" x14ac:dyDescent="0.25">
      <c r="AM2648" s="2">
        <v>2645</v>
      </c>
      <c r="AN2648" s="33">
        <v>9.2784576439694511E-3</v>
      </c>
      <c r="AO2648" s="33">
        <v>2.9822461836509192E-4</v>
      </c>
    </row>
    <row r="2649" spans="39:41" x14ac:dyDescent="0.25">
      <c r="AM2649" s="2">
        <v>2646</v>
      </c>
      <c r="AN2649" s="33">
        <v>1.2050783911765055E-2</v>
      </c>
      <c r="AO2649" s="33">
        <v>8.8971179758288933E-4</v>
      </c>
    </row>
    <row r="2650" spans="39:41" x14ac:dyDescent="0.25">
      <c r="AM2650" s="2">
        <v>2647</v>
      </c>
      <c r="AN2650" s="33">
        <v>1.494711256640106E-2</v>
      </c>
      <c r="AO2650" s="33">
        <v>1.2972708168845061E-3</v>
      </c>
    </row>
    <row r="2651" spans="39:41" x14ac:dyDescent="0.25">
      <c r="AM2651" s="2">
        <v>2648</v>
      </c>
      <c r="AN2651" s="33">
        <v>9.2223226681323149E-3</v>
      </c>
      <c r="AO2651" s="33">
        <v>6.1973692876082515E-4</v>
      </c>
    </row>
    <row r="2652" spans="39:41" x14ac:dyDescent="0.25">
      <c r="AM2652" s="2">
        <v>2649</v>
      </c>
      <c r="AN2652" s="33">
        <v>1.179272153742288E-2</v>
      </c>
      <c r="AO2652" s="33">
        <v>1.0611010039707283E-3</v>
      </c>
    </row>
    <row r="2653" spans="39:41" x14ac:dyDescent="0.25">
      <c r="AM2653" s="2">
        <v>2650</v>
      </c>
      <c r="AN2653" s="33">
        <v>1.1579173312960949E-2</v>
      </c>
      <c r="AO2653" s="33">
        <v>1.1128850506666305E-3</v>
      </c>
    </row>
    <row r="2654" spans="39:41" x14ac:dyDescent="0.25">
      <c r="AM2654" s="2">
        <v>2651</v>
      </c>
      <c r="AN2654" s="33">
        <v>1.1778761943583379E-2</v>
      </c>
      <c r="AO2654" s="33">
        <v>7.7036621313244418E-4</v>
      </c>
    </row>
    <row r="2655" spans="39:41" x14ac:dyDescent="0.25">
      <c r="AM2655" s="2">
        <v>2652</v>
      </c>
      <c r="AN2655" s="33">
        <v>1.6240491283447345E-2</v>
      </c>
      <c r="AO2655" s="33">
        <v>1.0531863897794633E-3</v>
      </c>
    </row>
    <row r="2656" spans="39:41" x14ac:dyDescent="0.25">
      <c r="AM2656" s="2">
        <v>2653</v>
      </c>
      <c r="AN2656" s="33">
        <v>1.4391376062900942E-2</v>
      </c>
      <c r="AO2656" s="33">
        <v>1.1289610152048202E-3</v>
      </c>
    </row>
    <row r="2657" spans="39:41" x14ac:dyDescent="0.25">
      <c r="AM2657" s="2">
        <v>2654</v>
      </c>
      <c r="AN2657" s="33">
        <v>1.4109556702791896E-2</v>
      </c>
      <c r="AO2657" s="33">
        <v>6.932282320837159E-4</v>
      </c>
    </row>
    <row r="2658" spans="39:41" x14ac:dyDescent="0.25">
      <c r="AM2658" s="2">
        <v>2655</v>
      </c>
      <c r="AN2658" s="33">
        <v>8.4888212807069721E-3</v>
      </c>
      <c r="AO2658" s="33">
        <v>6.0955176265019978E-4</v>
      </c>
    </row>
    <row r="2659" spans="39:41" x14ac:dyDescent="0.25">
      <c r="AM2659" s="2">
        <v>2656</v>
      </c>
      <c r="AN2659" s="33">
        <v>1.025013226707404E-2</v>
      </c>
      <c r="AO2659" s="33">
        <v>8.6103536614089626E-4</v>
      </c>
    </row>
    <row r="2660" spans="39:41" x14ac:dyDescent="0.25">
      <c r="AM2660" s="2">
        <v>2657</v>
      </c>
      <c r="AN2660" s="33">
        <v>1.0024530661356626E-2</v>
      </c>
      <c r="AO2660" s="33">
        <v>4.2320987889926599E-4</v>
      </c>
    </row>
    <row r="2661" spans="39:41" x14ac:dyDescent="0.25">
      <c r="AM2661" s="2">
        <v>2658</v>
      </c>
      <c r="AN2661" s="33">
        <v>1.2668435070759555E-2</v>
      </c>
      <c r="AO2661" s="33">
        <v>9.7966029523799229E-4</v>
      </c>
    </row>
    <row r="2662" spans="39:41" x14ac:dyDescent="0.25">
      <c r="AM2662" s="2">
        <v>2659</v>
      </c>
      <c r="AN2662" s="33">
        <v>1.0909812632630507E-2</v>
      </c>
      <c r="AO2662" s="33">
        <v>4.5582532963846716E-4</v>
      </c>
    </row>
    <row r="2663" spans="39:41" x14ac:dyDescent="0.25">
      <c r="AM2663" s="2">
        <v>2660</v>
      </c>
      <c r="AN2663" s="33">
        <v>8.6972871385462037E-3</v>
      </c>
      <c r="AO2663" s="33">
        <v>4.3967277827051385E-4</v>
      </c>
    </row>
    <row r="2664" spans="39:41" x14ac:dyDescent="0.25">
      <c r="AM2664" s="2">
        <v>2661</v>
      </c>
      <c r="AN2664" s="33">
        <v>1.1733004783700093E-2</v>
      </c>
      <c r="AO2664" s="33">
        <v>1.078627447355268E-3</v>
      </c>
    </row>
    <row r="2665" spans="39:41" x14ac:dyDescent="0.25">
      <c r="AM2665" s="2">
        <v>2662</v>
      </c>
      <c r="AN2665" s="33">
        <v>1.0773876573028369E-2</v>
      </c>
      <c r="AO2665" s="33">
        <v>9.7453549664189537E-4</v>
      </c>
    </row>
    <row r="2666" spans="39:41" x14ac:dyDescent="0.25">
      <c r="AM2666" s="2">
        <v>2663</v>
      </c>
      <c r="AN2666" s="33">
        <v>1.2808388096873426E-2</v>
      </c>
      <c r="AO2666" s="33">
        <v>1.3003737186654696E-3</v>
      </c>
    </row>
    <row r="2667" spans="39:41" x14ac:dyDescent="0.25">
      <c r="AM2667" s="2">
        <v>2664</v>
      </c>
      <c r="AN2667" s="33">
        <v>1.5209416536224842E-2</v>
      </c>
      <c r="AO2667" s="33">
        <v>1.3193136525943673E-3</v>
      </c>
    </row>
    <row r="2668" spans="39:41" x14ac:dyDescent="0.25">
      <c r="AM2668" s="2">
        <v>2665</v>
      </c>
      <c r="AN2668" s="33">
        <v>1.2137679565442209E-2</v>
      </c>
      <c r="AO2668" s="33">
        <v>1.0205939127275934E-3</v>
      </c>
    </row>
    <row r="2669" spans="39:41" x14ac:dyDescent="0.25">
      <c r="AM2669" s="2">
        <v>2666</v>
      </c>
      <c r="AN2669" s="33">
        <v>1.2752207881451809E-2</v>
      </c>
      <c r="AO2669" s="33">
        <v>1.0697490499080873E-3</v>
      </c>
    </row>
    <row r="2670" spans="39:41" x14ac:dyDescent="0.25">
      <c r="AM2670" s="2">
        <v>2667</v>
      </c>
      <c r="AN2670" s="33">
        <v>1.1738305368468082E-2</v>
      </c>
      <c r="AO2670" s="33">
        <v>9.6312839531499629E-4</v>
      </c>
    </row>
    <row r="2671" spans="39:41" x14ac:dyDescent="0.25">
      <c r="AM2671" s="2">
        <v>2668</v>
      </c>
      <c r="AN2671" s="33">
        <v>1.2410402106310791E-2</v>
      </c>
      <c r="AO2671" s="33">
        <v>5.787047076745511E-4</v>
      </c>
    </row>
    <row r="2672" spans="39:41" x14ac:dyDescent="0.25">
      <c r="AM2672" s="2">
        <v>2669</v>
      </c>
      <c r="AN2672" s="33">
        <v>1.065322112302206E-2</v>
      </c>
      <c r="AO2672" s="33">
        <v>7.3304939729569617E-4</v>
      </c>
    </row>
    <row r="2673" spans="39:41" x14ac:dyDescent="0.25">
      <c r="AM2673" s="2">
        <v>2670</v>
      </c>
      <c r="AN2673" s="33">
        <v>1.0535495491379101E-2</v>
      </c>
      <c r="AO2673" s="33">
        <v>4.4652075474973764E-4</v>
      </c>
    </row>
    <row r="2674" spans="39:41" x14ac:dyDescent="0.25">
      <c r="AM2674" s="2">
        <v>2671</v>
      </c>
      <c r="AN2674" s="33">
        <v>8.4248430079658498E-3</v>
      </c>
      <c r="AO2674" s="33">
        <v>6.3083867550913137E-4</v>
      </c>
    </row>
    <row r="2675" spans="39:41" x14ac:dyDescent="0.25">
      <c r="AM2675" s="2">
        <v>2672</v>
      </c>
      <c r="AN2675" s="33">
        <v>1.4138788185180457E-2</v>
      </c>
      <c r="AO2675" s="33">
        <v>1.3584661189526565E-3</v>
      </c>
    </row>
    <row r="2676" spans="39:41" x14ac:dyDescent="0.25">
      <c r="AM2676" s="2">
        <v>2673</v>
      </c>
      <c r="AN2676" s="33">
        <v>1.0924163792162944E-2</v>
      </c>
      <c r="AO2676" s="33">
        <v>7.6768394643245445E-4</v>
      </c>
    </row>
    <row r="2677" spans="39:41" x14ac:dyDescent="0.25">
      <c r="AM2677" s="2">
        <v>2674</v>
      </c>
      <c r="AN2677" s="33">
        <v>8.8942976102568318E-3</v>
      </c>
      <c r="AO2677" s="33">
        <v>2.3209762128571513E-4</v>
      </c>
    </row>
    <row r="2678" spans="39:41" x14ac:dyDescent="0.25">
      <c r="AM2678" s="2">
        <v>2675</v>
      </c>
      <c r="AN2678" s="33">
        <v>1.5638828826993592E-2</v>
      </c>
      <c r="AO2678" s="33">
        <v>1.4961568682339758E-3</v>
      </c>
    </row>
    <row r="2679" spans="39:41" x14ac:dyDescent="0.25">
      <c r="AM2679" s="2">
        <v>2676</v>
      </c>
      <c r="AN2679" s="33">
        <v>1.0870589412301544E-2</v>
      </c>
      <c r="AO2679" s="33">
        <v>3.5904196914143935E-4</v>
      </c>
    </row>
    <row r="2680" spans="39:41" x14ac:dyDescent="0.25">
      <c r="AM2680" s="2">
        <v>2677</v>
      </c>
      <c r="AN2680" s="33">
        <v>1.2617919319493505E-2</v>
      </c>
      <c r="AO2680" s="33">
        <v>1.2382993249385765E-3</v>
      </c>
    </row>
    <row r="2681" spans="39:41" x14ac:dyDescent="0.25">
      <c r="AM2681" s="2">
        <v>2678</v>
      </c>
      <c r="AN2681" s="33">
        <v>9.4551861895956317E-3</v>
      </c>
      <c r="AO2681" s="33">
        <v>4.6251031386681E-4</v>
      </c>
    </row>
    <row r="2682" spans="39:41" x14ac:dyDescent="0.25">
      <c r="AM2682" s="2">
        <v>2679</v>
      </c>
      <c r="AN2682" s="33">
        <v>1.2089696122423957E-2</v>
      </c>
      <c r="AO2682" s="33">
        <v>7.5251248932852073E-4</v>
      </c>
    </row>
    <row r="2683" spans="39:41" x14ac:dyDescent="0.25">
      <c r="AM2683" s="2">
        <v>2680</v>
      </c>
      <c r="AN2683" s="33">
        <v>8.1095261019379934E-3</v>
      </c>
      <c r="AO2683" s="33">
        <v>3.5713472931485655E-4</v>
      </c>
    </row>
    <row r="2684" spans="39:41" x14ac:dyDescent="0.25">
      <c r="AM2684" s="2">
        <v>2681</v>
      </c>
      <c r="AN2684" s="33">
        <v>1.0751561638423094E-2</v>
      </c>
      <c r="AO2684" s="33">
        <v>6.4628978072350037E-4</v>
      </c>
    </row>
    <row r="2685" spans="39:41" x14ac:dyDescent="0.25">
      <c r="AM2685" s="2">
        <v>2682</v>
      </c>
      <c r="AN2685" s="33">
        <v>9.2870010664130136E-3</v>
      </c>
      <c r="AO2685" s="33">
        <v>3.8986582247399677E-4</v>
      </c>
    </row>
    <row r="2686" spans="39:41" x14ac:dyDescent="0.25">
      <c r="AM2686" s="2">
        <v>2683</v>
      </c>
      <c r="AN2686" s="33">
        <v>1.0601137593875582E-2</v>
      </c>
      <c r="AO2686" s="33">
        <v>7.1736181977408121E-4</v>
      </c>
    </row>
    <row r="2687" spans="39:41" x14ac:dyDescent="0.25">
      <c r="AM2687" s="2">
        <v>2684</v>
      </c>
      <c r="AN2687" s="33">
        <v>9.0716291340061286E-3</v>
      </c>
      <c r="AO2687" s="33">
        <v>5.6514733199878708E-4</v>
      </c>
    </row>
    <row r="2688" spans="39:41" x14ac:dyDescent="0.25">
      <c r="AM2688" s="2">
        <v>2685</v>
      </c>
      <c r="AN2688" s="33">
        <v>1.423585079288622E-2</v>
      </c>
      <c r="AO2688" s="33">
        <v>1.2692887840164578E-3</v>
      </c>
    </row>
    <row r="2689" spans="39:41" x14ac:dyDescent="0.25">
      <c r="AM2689" s="2">
        <v>2686</v>
      </c>
      <c r="AN2689" s="33">
        <v>1.1970627491535093E-2</v>
      </c>
      <c r="AO2689" s="33">
        <v>9.4821133525921017E-4</v>
      </c>
    </row>
    <row r="2690" spans="39:41" x14ac:dyDescent="0.25">
      <c r="AM2690" s="2">
        <v>2687</v>
      </c>
      <c r="AN2690" s="33">
        <v>7.5828100934957603E-3</v>
      </c>
      <c r="AO2690" s="33">
        <v>4.6798879633373644E-4</v>
      </c>
    </row>
    <row r="2691" spans="39:41" x14ac:dyDescent="0.25">
      <c r="AM2691" s="2">
        <v>2688</v>
      </c>
      <c r="AN2691" s="33">
        <v>1.1989771361523955E-2</v>
      </c>
      <c r="AO2691" s="33">
        <v>5.6870806277110409E-4</v>
      </c>
    </row>
    <row r="2692" spans="39:41" x14ac:dyDescent="0.25">
      <c r="AM2692" s="2">
        <v>2689</v>
      </c>
      <c r="AN2692" s="33">
        <v>8.3998125319063258E-3</v>
      </c>
      <c r="AO2692" s="33">
        <v>4.7008916045079038E-4</v>
      </c>
    </row>
    <row r="2693" spans="39:41" x14ac:dyDescent="0.25">
      <c r="AM2693" s="2">
        <v>2690</v>
      </c>
      <c r="AN2693" s="33">
        <v>1.496030186563236E-2</v>
      </c>
      <c r="AO2693" s="33">
        <v>1.3620583778901243E-3</v>
      </c>
    </row>
    <row r="2694" spans="39:41" x14ac:dyDescent="0.25">
      <c r="AM2694" s="2">
        <v>2691</v>
      </c>
      <c r="AN2694" s="33">
        <v>9.5606124358124985E-3</v>
      </c>
      <c r="AO2694" s="33">
        <v>4.4385643278379812E-4</v>
      </c>
    </row>
    <row r="2695" spans="39:41" x14ac:dyDescent="0.25">
      <c r="AM2695" s="2">
        <v>2692</v>
      </c>
      <c r="AN2695" s="33">
        <v>1.0928603134252583E-2</v>
      </c>
      <c r="AO2695" s="33">
        <v>5.451825248086442E-4</v>
      </c>
    </row>
    <row r="2696" spans="39:41" x14ac:dyDescent="0.25">
      <c r="AM2696" s="2">
        <v>2693</v>
      </c>
      <c r="AN2696" s="33">
        <v>1.0946248066745273E-2</v>
      </c>
      <c r="AO2696" s="33">
        <v>7.4129410843725091E-4</v>
      </c>
    </row>
    <row r="2697" spans="39:41" x14ac:dyDescent="0.25">
      <c r="AM2697" s="2">
        <v>2694</v>
      </c>
      <c r="AN2697" s="33">
        <v>1.4068648862004287E-2</v>
      </c>
      <c r="AO2697" s="33">
        <v>4.6807260460996478E-4</v>
      </c>
    </row>
    <row r="2698" spans="39:41" x14ac:dyDescent="0.25">
      <c r="AM2698" s="2">
        <v>2695</v>
      </c>
      <c r="AN2698" s="33">
        <v>1.1917755698940307E-2</v>
      </c>
      <c r="AO2698" s="33">
        <v>8.9468444694269073E-4</v>
      </c>
    </row>
    <row r="2699" spans="39:41" x14ac:dyDescent="0.25">
      <c r="AM2699" s="2">
        <v>2696</v>
      </c>
      <c r="AN2699" s="33">
        <v>1.4170069135981088E-2</v>
      </c>
      <c r="AO2699" s="33">
        <v>1.0717588487691289E-3</v>
      </c>
    </row>
    <row r="2700" spans="39:41" x14ac:dyDescent="0.25">
      <c r="AM2700" s="2">
        <v>2697</v>
      </c>
      <c r="AN2700" s="33">
        <v>1.2078821277283132E-2</v>
      </c>
      <c r="AO2700" s="33">
        <v>9.9524067125243568E-4</v>
      </c>
    </row>
    <row r="2701" spans="39:41" x14ac:dyDescent="0.25">
      <c r="AM2701" s="2">
        <v>2698</v>
      </c>
      <c r="AN2701" s="33">
        <v>1.0731819039809293E-2</v>
      </c>
      <c r="AO2701" s="33">
        <v>8.3049439061724762E-4</v>
      </c>
    </row>
    <row r="2702" spans="39:41" x14ac:dyDescent="0.25">
      <c r="AM2702" s="2">
        <v>2699</v>
      </c>
      <c r="AN2702" s="33">
        <v>8.8717302310237518E-3</v>
      </c>
      <c r="AO2702" s="33">
        <v>5.1084089289235362E-4</v>
      </c>
    </row>
    <row r="2703" spans="39:41" x14ac:dyDescent="0.25">
      <c r="AM2703" s="2">
        <v>2700</v>
      </c>
      <c r="AN2703" s="33">
        <v>1.1715639215622711E-2</v>
      </c>
      <c r="AO2703" s="33">
        <v>1.0195212892026031E-3</v>
      </c>
    </row>
    <row r="2704" spans="39:41" x14ac:dyDescent="0.25">
      <c r="AM2704" s="2">
        <v>2701</v>
      </c>
      <c r="AN2704" s="33">
        <v>1.3497867646262204E-2</v>
      </c>
      <c r="AO2704" s="33">
        <v>5.9284900460585183E-4</v>
      </c>
    </row>
    <row r="2705" spans="39:41" x14ac:dyDescent="0.25">
      <c r="AM2705" s="2">
        <v>2702</v>
      </c>
      <c r="AN2705" s="33">
        <v>1.2302523873979032E-2</v>
      </c>
      <c r="AO2705" s="33">
        <v>1.2421128064020676E-3</v>
      </c>
    </row>
    <row r="2706" spans="39:41" x14ac:dyDescent="0.25">
      <c r="AM2706" s="2">
        <v>2703</v>
      </c>
      <c r="AN2706" s="33">
        <v>1.1558997223726627E-2</v>
      </c>
      <c r="AO2706" s="33">
        <v>8.2608710276215966E-4</v>
      </c>
    </row>
    <row r="2707" spans="39:41" x14ac:dyDescent="0.25">
      <c r="AM2707" s="2">
        <v>2704</v>
      </c>
      <c r="AN2707" s="33">
        <v>1.2318264733592E-2</v>
      </c>
      <c r="AO2707" s="33">
        <v>1.0873063858275278E-3</v>
      </c>
    </row>
    <row r="2708" spans="39:41" x14ac:dyDescent="0.25">
      <c r="AM2708" s="2">
        <v>2705</v>
      </c>
      <c r="AN2708" s="33">
        <v>1.0816125211389927E-2</v>
      </c>
      <c r="AO2708" s="33">
        <v>4.7079927382078093E-4</v>
      </c>
    </row>
    <row r="2709" spans="39:41" x14ac:dyDescent="0.25">
      <c r="AM2709" s="2">
        <v>2706</v>
      </c>
      <c r="AN2709" s="33">
        <v>1.0378151168358295E-2</v>
      </c>
      <c r="AO2709" s="33">
        <v>6.3319514522790796E-4</v>
      </c>
    </row>
    <row r="2710" spans="39:41" x14ac:dyDescent="0.25">
      <c r="AM2710" s="2">
        <v>2707</v>
      </c>
      <c r="AN2710" s="33">
        <v>1.1189661291189571E-2</v>
      </c>
      <c r="AO2710" s="33">
        <v>7.5594245577545417E-4</v>
      </c>
    </row>
    <row r="2711" spans="39:41" x14ac:dyDescent="0.25">
      <c r="AM2711" s="2">
        <v>2708</v>
      </c>
      <c r="AN2711" s="33">
        <v>1.2525727998437824E-2</v>
      </c>
      <c r="AO2711" s="33">
        <v>9.4364095053552912E-4</v>
      </c>
    </row>
    <row r="2712" spans="39:41" x14ac:dyDescent="0.25">
      <c r="AM2712" s="2">
        <v>2709</v>
      </c>
      <c r="AN2712" s="33">
        <v>1.1958651047310772E-2</v>
      </c>
      <c r="AO2712" s="33">
        <v>8.4670733896383859E-4</v>
      </c>
    </row>
    <row r="2713" spans="39:41" x14ac:dyDescent="0.25">
      <c r="AM2713" s="2">
        <v>2710</v>
      </c>
      <c r="AN2713" s="33">
        <v>1.1811083426001626E-2</v>
      </c>
      <c r="AO2713" s="33">
        <v>8.6912653525516041E-4</v>
      </c>
    </row>
    <row r="2714" spans="39:41" x14ac:dyDescent="0.25">
      <c r="AM2714" s="2">
        <v>2711</v>
      </c>
      <c r="AN2714" s="33">
        <v>1.1390773673266104E-2</v>
      </c>
      <c r="AO2714" s="33">
        <v>9.719682085726389E-4</v>
      </c>
    </row>
    <row r="2715" spans="39:41" x14ac:dyDescent="0.25">
      <c r="AM2715" s="2">
        <v>2712</v>
      </c>
      <c r="AN2715" s="33">
        <v>8.8525154927665013E-3</v>
      </c>
      <c r="AO2715" s="33">
        <v>5.8700052469651428E-4</v>
      </c>
    </row>
    <row r="2716" spans="39:41" x14ac:dyDescent="0.25">
      <c r="AM2716" s="2">
        <v>2713</v>
      </c>
      <c r="AN2716" s="33">
        <v>1.1244516093563939E-2</v>
      </c>
      <c r="AO2716" s="33">
        <v>1.1541061326649869E-3</v>
      </c>
    </row>
    <row r="2717" spans="39:41" x14ac:dyDescent="0.25">
      <c r="AM2717" s="2">
        <v>2714</v>
      </c>
      <c r="AN2717" s="33">
        <v>1.4822279267464397E-2</v>
      </c>
      <c r="AO2717" s="33">
        <v>1.0387494410306496E-3</v>
      </c>
    </row>
    <row r="2718" spans="39:41" x14ac:dyDescent="0.25">
      <c r="AM2718" s="2">
        <v>2715</v>
      </c>
      <c r="AN2718" s="33">
        <v>1.2832522258904036E-2</v>
      </c>
      <c r="AO2718" s="33">
        <v>5.0019080053258561E-4</v>
      </c>
    </row>
    <row r="2719" spans="39:41" x14ac:dyDescent="0.25">
      <c r="AM2719" s="2">
        <v>2716</v>
      </c>
      <c r="AN2719" s="33">
        <v>9.1015186975433801E-3</v>
      </c>
      <c r="AO2719" s="33">
        <v>8.846453979616596E-4</v>
      </c>
    </row>
    <row r="2720" spans="39:41" x14ac:dyDescent="0.25">
      <c r="AM2720" s="2">
        <v>2717</v>
      </c>
      <c r="AN2720" s="33">
        <v>1.1216034616351326E-2</v>
      </c>
      <c r="AO2720" s="33">
        <v>5.576706911616183E-4</v>
      </c>
    </row>
    <row r="2721" spans="39:41" x14ac:dyDescent="0.25">
      <c r="AM2721" s="2">
        <v>2718</v>
      </c>
      <c r="AN2721" s="33">
        <v>1.0765347353805641E-2</v>
      </c>
      <c r="AO2721" s="33">
        <v>6.8556941769684306E-4</v>
      </c>
    </row>
    <row r="2722" spans="39:41" x14ac:dyDescent="0.25">
      <c r="AM2722" s="2">
        <v>2719</v>
      </c>
      <c r="AN2722" s="33">
        <v>1.5142312204173704E-2</v>
      </c>
      <c r="AO2722" s="33">
        <v>1.380236618351609E-3</v>
      </c>
    </row>
    <row r="2723" spans="39:41" x14ac:dyDescent="0.25">
      <c r="AM2723" s="2">
        <v>2720</v>
      </c>
      <c r="AN2723" s="33">
        <v>9.1316798904116109E-3</v>
      </c>
      <c r="AO2723" s="33">
        <v>4.6280546353160015E-4</v>
      </c>
    </row>
    <row r="2724" spans="39:41" x14ac:dyDescent="0.25">
      <c r="AM2724" s="2">
        <v>2721</v>
      </c>
      <c r="AN2724" s="33">
        <v>1.5040914987469586E-2</v>
      </c>
      <c r="AO2724" s="33">
        <v>1.0805970559183134E-3</v>
      </c>
    </row>
    <row r="2725" spans="39:41" x14ac:dyDescent="0.25">
      <c r="AM2725" s="2">
        <v>2722</v>
      </c>
      <c r="AN2725" s="33">
        <v>1.1225311057356812E-2</v>
      </c>
      <c r="AO2725" s="33">
        <v>4.7284121816241922E-4</v>
      </c>
    </row>
    <row r="2726" spans="39:41" x14ac:dyDescent="0.25">
      <c r="AM2726" s="2">
        <v>2723</v>
      </c>
      <c r="AN2726" s="33">
        <v>9.5672514872985719E-3</v>
      </c>
      <c r="AO2726" s="33">
        <v>3.5750354767640933E-4</v>
      </c>
    </row>
    <row r="2727" spans="39:41" x14ac:dyDescent="0.25">
      <c r="AM2727" s="2">
        <v>2724</v>
      </c>
      <c r="AN2727" s="33">
        <v>9.5777057664104791E-3</v>
      </c>
      <c r="AO2727" s="33">
        <v>8.8803620247148145E-4</v>
      </c>
    </row>
    <row r="2728" spans="39:41" x14ac:dyDescent="0.25">
      <c r="AM2728" s="2">
        <v>2725</v>
      </c>
      <c r="AN2728" s="33">
        <v>1.1711404985684161E-2</v>
      </c>
      <c r="AO2728" s="33">
        <v>1.0999852405949007E-3</v>
      </c>
    </row>
    <row r="2729" spans="39:41" x14ac:dyDescent="0.25">
      <c r="AM2729" s="2">
        <v>2726</v>
      </c>
      <c r="AN2729" s="33">
        <v>1.28511414439144E-2</v>
      </c>
      <c r="AO2729" s="33">
        <v>8.4323012914646743E-4</v>
      </c>
    </row>
    <row r="2730" spans="39:41" x14ac:dyDescent="0.25">
      <c r="AM2730" s="2">
        <v>2727</v>
      </c>
      <c r="AN2730" s="33">
        <v>7.5515570775530338E-3</v>
      </c>
      <c r="AO2730" s="33">
        <v>5.4445448894219239E-4</v>
      </c>
    </row>
    <row r="2731" spans="39:41" x14ac:dyDescent="0.25">
      <c r="AM2731" s="2">
        <v>2728</v>
      </c>
      <c r="AN2731" s="33">
        <v>9.1278405138208261E-3</v>
      </c>
      <c r="AO2731" s="33">
        <v>6.0979241651753114E-4</v>
      </c>
    </row>
    <row r="2732" spans="39:41" x14ac:dyDescent="0.25">
      <c r="AM2732" s="2">
        <v>2729</v>
      </c>
      <c r="AN2732" s="33">
        <v>1.3544415943615001E-2</v>
      </c>
      <c r="AO2732" s="33">
        <v>2.2206918523613048E-4</v>
      </c>
    </row>
    <row r="2733" spans="39:41" x14ac:dyDescent="0.25">
      <c r="AM2733" s="2">
        <v>2730</v>
      </c>
      <c r="AN2733" s="33">
        <v>1.3422969513000014E-2</v>
      </c>
      <c r="AO2733" s="33">
        <v>1.1743189345746509E-3</v>
      </c>
    </row>
    <row r="2734" spans="39:41" x14ac:dyDescent="0.25">
      <c r="AM2734" s="2">
        <v>2731</v>
      </c>
      <c r="AN2734" s="33">
        <v>1.2118290800656751E-2</v>
      </c>
      <c r="AO2734" s="33">
        <v>1.0917501999585103E-3</v>
      </c>
    </row>
    <row r="2735" spans="39:41" x14ac:dyDescent="0.25">
      <c r="AM2735" s="2">
        <v>2732</v>
      </c>
      <c r="AN2735" s="33">
        <v>1.2536149692486991E-2</v>
      </c>
      <c r="AO2735" s="33">
        <v>9.4495969498724342E-4</v>
      </c>
    </row>
    <row r="2736" spans="39:41" x14ac:dyDescent="0.25">
      <c r="AM2736" s="2">
        <v>2733</v>
      </c>
      <c r="AN2736" s="33">
        <v>1.302527905822526E-2</v>
      </c>
      <c r="AO2736" s="33">
        <v>8.587422388373696E-4</v>
      </c>
    </row>
    <row r="2737" spans="39:41" x14ac:dyDescent="0.25">
      <c r="AM2737" s="2">
        <v>2734</v>
      </c>
      <c r="AN2737" s="33">
        <v>1.0924459226958706E-2</v>
      </c>
      <c r="AO2737" s="33">
        <v>1.1180057838920492E-3</v>
      </c>
    </row>
    <row r="2738" spans="39:41" x14ac:dyDescent="0.25">
      <c r="AM2738" s="2">
        <v>2735</v>
      </c>
      <c r="AN2738" s="33">
        <v>1.1637403893768718E-2</v>
      </c>
      <c r="AO2738" s="33">
        <v>9.7458477332985005E-4</v>
      </c>
    </row>
    <row r="2739" spans="39:41" x14ac:dyDescent="0.25">
      <c r="AM2739" s="2">
        <v>2736</v>
      </c>
      <c r="AN2739" s="33">
        <v>1.3262182345814109E-2</v>
      </c>
      <c r="AO2739" s="33">
        <v>1.2249645502015382E-3</v>
      </c>
    </row>
    <row r="2740" spans="39:41" x14ac:dyDescent="0.25">
      <c r="AM2740" s="2">
        <v>2737</v>
      </c>
      <c r="AN2740" s="33">
        <v>1.4648959901758803E-2</v>
      </c>
      <c r="AO2740" s="33">
        <v>7.5801880121772883E-4</v>
      </c>
    </row>
    <row r="2741" spans="39:41" x14ac:dyDescent="0.25">
      <c r="AM2741" s="2">
        <v>2738</v>
      </c>
      <c r="AN2741" s="33">
        <v>9.4828928803301106E-3</v>
      </c>
      <c r="AO2741" s="33">
        <v>7.3035748538230428E-4</v>
      </c>
    </row>
    <row r="2742" spans="39:41" x14ac:dyDescent="0.25">
      <c r="AM2742" s="2">
        <v>2739</v>
      </c>
      <c r="AN2742" s="33">
        <v>1.0978314906195347E-2</v>
      </c>
      <c r="AO2742" s="33">
        <v>1.0668592244346029E-3</v>
      </c>
    </row>
    <row r="2743" spans="39:41" x14ac:dyDescent="0.25">
      <c r="AM2743" s="2">
        <v>2740</v>
      </c>
      <c r="AN2743" s="33">
        <v>9.630325580627307E-3</v>
      </c>
      <c r="AO2743" s="33">
        <v>5.8382367719511869E-4</v>
      </c>
    </row>
    <row r="2744" spans="39:41" x14ac:dyDescent="0.25">
      <c r="AM2744" s="2">
        <v>2741</v>
      </c>
      <c r="AN2744" s="33">
        <v>1.3347459555204305E-2</v>
      </c>
      <c r="AO2744" s="33">
        <v>1.2975788897625908E-3</v>
      </c>
    </row>
    <row r="2745" spans="39:41" x14ac:dyDescent="0.25">
      <c r="AM2745" s="2">
        <v>2742</v>
      </c>
      <c r="AN2745" s="33">
        <v>1.1694593346889194E-2</v>
      </c>
      <c r="AO2745" s="33">
        <v>1.1178634988217397E-3</v>
      </c>
    </row>
    <row r="2746" spans="39:41" x14ac:dyDescent="0.25">
      <c r="AM2746" s="2">
        <v>2743</v>
      </c>
      <c r="AN2746" s="33">
        <v>9.8169609519213399E-3</v>
      </c>
      <c r="AO2746" s="33">
        <v>4.0664696277538858E-4</v>
      </c>
    </row>
    <row r="2747" spans="39:41" x14ac:dyDescent="0.25">
      <c r="AM2747" s="2">
        <v>2744</v>
      </c>
      <c r="AN2747" s="33">
        <v>1.328351598249787E-2</v>
      </c>
      <c r="AO2747" s="33">
        <v>1.1922944779722601E-3</v>
      </c>
    </row>
    <row r="2748" spans="39:41" x14ac:dyDescent="0.25">
      <c r="AM2748" s="2">
        <v>2745</v>
      </c>
      <c r="AN2748" s="33">
        <v>8.3414622325666942E-3</v>
      </c>
      <c r="AO2748" s="33">
        <v>5.5400192274265023E-4</v>
      </c>
    </row>
    <row r="2749" spans="39:41" x14ac:dyDescent="0.25">
      <c r="AM2749" s="2">
        <v>2746</v>
      </c>
      <c r="AN2749" s="33">
        <v>1.0109800258280364E-2</v>
      </c>
      <c r="AO2749" s="33">
        <v>7.9132298445198414E-4</v>
      </c>
    </row>
    <row r="2750" spans="39:41" x14ac:dyDescent="0.25">
      <c r="AM2750" s="2">
        <v>2747</v>
      </c>
      <c r="AN2750" s="33">
        <v>1.0331957728573168E-2</v>
      </c>
      <c r="AO2750" s="33">
        <v>5.9570493963415246E-4</v>
      </c>
    </row>
    <row r="2751" spans="39:41" x14ac:dyDescent="0.25">
      <c r="AM2751" s="2">
        <v>2748</v>
      </c>
      <c r="AN2751" s="33">
        <v>1.179604795659718E-2</v>
      </c>
      <c r="AO2751" s="33">
        <v>8.7955752187251926E-4</v>
      </c>
    </row>
    <row r="2752" spans="39:41" x14ac:dyDescent="0.25">
      <c r="AM2752" s="2">
        <v>2749</v>
      </c>
      <c r="AN2752" s="33">
        <v>1.0297902256923522E-2</v>
      </c>
      <c r="AO2752" s="33">
        <v>1.8956627706209037E-4</v>
      </c>
    </row>
    <row r="2753" spans="39:41" x14ac:dyDescent="0.25">
      <c r="AM2753" s="2">
        <v>2750</v>
      </c>
      <c r="AN2753" s="33">
        <v>9.2854385416749306E-3</v>
      </c>
      <c r="AO2753" s="33">
        <v>4.5957239839707645E-4</v>
      </c>
    </row>
    <row r="2754" spans="39:41" x14ac:dyDescent="0.25">
      <c r="AM2754" s="2">
        <v>2751</v>
      </c>
      <c r="AN2754" s="33">
        <v>1.4389457162415626E-2</v>
      </c>
      <c r="AO2754" s="33">
        <v>1.0529677686104131E-3</v>
      </c>
    </row>
    <row r="2755" spans="39:41" x14ac:dyDescent="0.25">
      <c r="AM2755" s="2">
        <v>2752</v>
      </c>
      <c r="AN2755" s="33">
        <v>1.3041304183677573E-2</v>
      </c>
      <c r="AO2755" s="33">
        <v>7.770620224820063E-4</v>
      </c>
    </row>
    <row r="2756" spans="39:41" x14ac:dyDescent="0.25">
      <c r="AM2756" s="2">
        <v>2753</v>
      </c>
      <c r="AN2756" s="33">
        <v>1.1708724435697541E-2</v>
      </c>
      <c r="AO2756" s="33">
        <v>9.8055429289532368E-4</v>
      </c>
    </row>
    <row r="2757" spans="39:41" x14ac:dyDescent="0.25">
      <c r="AM2757" s="2">
        <v>2754</v>
      </c>
      <c r="AN2757" s="33">
        <v>1.4624264745996098E-2</v>
      </c>
      <c r="AO2757" s="33">
        <v>1.120355107021449E-3</v>
      </c>
    </row>
    <row r="2758" spans="39:41" x14ac:dyDescent="0.25">
      <c r="AM2758" s="2">
        <v>2755</v>
      </c>
      <c r="AN2758" s="33">
        <v>1.2716667020384823E-2</v>
      </c>
      <c r="AO2758" s="33">
        <v>5.0827297220059774E-4</v>
      </c>
    </row>
    <row r="2759" spans="39:41" x14ac:dyDescent="0.25">
      <c r="AM2759" s="2">
        <v>2756</v>
      </c>
      <c r="AN2759" s="33">
        <v>9.3995948456580079E-3</v>
      </c>
      <c r="AO2759" s="33">
        <v>5.1678852679876641E-4</v>
      </c>
    </row>
    <row r="2760" spans="39:41" x14ac:dyDescent="0.25">
      <c r="AM2760" s="2">
        <v>2757</v>
      </c>
      <c r="AN2760" s="33">
        <v>1.3316066180176611E-2</v>
      </c>
      <c r="AO2760" s="33">
        <v>1.0492906357290558E-3</v>
      </c>
    </row>
    <row r="2761" spans="39:41" x14ac:dyDescent="0.25">
      <c r="AM2761" s="2">
        <v>2758</v>
      </c>
      <c r="AN2761" s="33">
        <v>1.0935401891843803E-2</v>
      </c>
      <c r="AO2761" s="33">
        <v>8.0727066655632686E-4</v>
      </c>
    </row>
    <row r="2762" spans="39:41" x14ac:dyDescent="0.25">
      <c r="AM2762" s="2">
        <v>2759</v>
      </c>
      <c r="AN2762" s="33">
        <v>1.0749581463614521E-2</v>
      </c>
      <c r="AO2762" s="33">
        <v>3.781267048719553E-4</v>
      </c>
    </row>
    <row r="2763" spans="39:41" x14ac:dyDescent="0.25">
      <c r="AM2763" s="2">
        <v>2760</v>
      </c>
      <c r="AN2763" s="33">
        <v>1.4102521993380133E-2</v>
      </c>
      <c r="AO2763" s="33">
        <v>1.140527621570924E-3</v>
      </c>
    </row>
    <row r="2764" spans="39:41" x14ac:dyDescent="0.25">
      <c r="AM2764" s="2">
        <v>2761</v>
      </c>
      <c r="AN2764" s="33">
        <v>1.3617985161394763E-2</v>
      </c>
      <c r="AO2764" s="33">
        <v>1.0887244978464473E-3</v>
      </c>
    </row>
    <row r="2765" spans="39:41" x14ac:dyDescent="0.25">
      <c r="AM2765" s="2">
        <v>2762</v>
      </c>
      <c r="AN2765" s="33">
        <v>1.3849857559090812E-2</v>
      </c>
      <c r="AO2765" s="33">
        <v>1.2609245327863477E-3</v>
      </c>
    </row>
    <row r="2766" spans="39:41" x14ac:dyDescent="0.25">
      <c r="AM2766" s="2">
        <v>2763</v>
      </c>
      <c r="AN2766" s="33">
        <v>1.0765261562375108E-2</v>
      </c>
      <c r="AO2766" s="33">
        <v>8.1584315487539508E-4</v>
      </c>
    </row>
    <row r="2767" spans="39:41" x14ac:dyDescent="0.25">
      <c r="AM2767" s="2">
        <v>2764</v>
      </c>
      <c r="AN2767" s="33">
        <v>1.2052709740130818E-2</v>
      </c>
      <c r="AO2767" s="33">
        <v>1.1881944707395784E-3</v>
      </c>
    </row>
    <row r="2768" spans="39:41" x14ac:dyDescent="0.25">
      <c r="AM2768" s="2">
        <v>2765</v>
      </c>
      <c r="AN2768" s="33">
        <v>8.9507455391811975E-3</v>
      </c>
      <c r="AO2768" s="33">
        <v>7.4952178991790892E-4</v>
      </c>
    </row>
    <row r="2769" spans="39:41" x14ac:dyDescent="0.25">
      <c r="AM2769" s="2">
        <v>2766</v>
      </c>
      <c r="AN2769" s="33">
        <v>1.2412726420561161E-2</v>
      </c>
      <c r="AO2769" s="33">
        <v>1.0366789380968676E-3</v>
      </c>
    </row>
    <row r="2770" spans="39:41" x14ac:dyDescent="0.25">
      <c r="AM2770" s="2">
        <v>2767</v>
      </c>
      <c r="AN2770" s="33">
        <v>1.3414623155982226E-2</v>
      </c>
      <c r="AO2770" s="33">
        <v>6.4893903634536429E-4</v>
      </c>
    </row>
    <row r="2771" spans="39:41" x14ac:dyDescent="0.25">
      <c r="AM2771" s="2">
        <v>2768</v>
      </c>
      <c r="AN2771" s="33">
        <v>1.31069973668028E-2</v>
      </c>
      <c r="AO2771" s="33">
        <v>1.7851382144728863E-4</v>
      </c>
    </row>
    <row r="2772" spans="39:41" x14ac:dyDescent="0.25">
      <c r="AM2772" s="2">
        <v>2769</v>
      </c>
      <c r="AN2772" s="33">
        <v>1.0061141103594332E-2</v>
      </c>
      <c r="AO2772" s="33">
        <v>4.1640796421772632E-4</v>
      </c>
    </row>
    <row r="2773" spans="39:41" x14ac:dyDescent="0.25">
      <c r="AM2773" s="2">
        <v>2770</v>
      </c>
      <c r="AN2773" s="33">
        <v>1.1848071994358585E-2</v>
      </c>
      <c r="AO2773" s="33">
        <v>1.0030035954882368E-3</v>
      </c>
    </row>
    <row r="2774" spans="39:41" x14ac:dyDescent="0.25">
      <c r="AM2774" s="2">
        <v>2771</v>
      </c>
      <c r="AN2774" s="33">
        <v>1.3981408780809832E-2</v>
      </c>
      <c r="AO2774" s="33">
        <v>5.023829457699012E-4</v>
      </c>
    </row>
    <row r="2775" spans="39:41" x14ac:dyDescent="0.25">
      <c r="AM2775" s="2">
        <v>2772</v>
      </c>
      <c r="AN2775" s="33">
        <v>9.4540225387454574E-3</v>
      </c>
      <c r="AO2775" s="33">
        <v>4.9327722257662323E-4</v>
      </c>
    </row>
    <row r="2776" spans="39:41" x14ac:dyDescent="0.25">
      <c r="AM2776" s="2">
        <v>2773</v>
      </c>
      <c r="AN2776" s="33">
        <v>1.035765339472731E-2</v>
      </c>
      <c r="AO2776" s="33">
        <v>5.9097290774877864E-4</v>
      </c>
    </row>
    <row r="2777" spans="39:41" x14ac:dyDescent="0.25">
      <c r="AM2777" s="2">
        <v>2774</v>
      </c>
      <c r="AN2777" s="33">
        <v>1.2314208887627527E-2</v>
      </c>
      <c r="AO2777" s="33">
        <v>9.6438495574921869E-4</v>
      </c>
    </row>
    <row r="2778" spans="39:41" x14ac:dyDescent="0.25">
      <c r="AM2778" s="2">
        <v>2775</v>
      </c>
      <c r="AN2778" s="33">
        <v>1.2640572832023286E-2</v>
      </c>
      <c r="AO2778" s="33">
        <v>8.929752187545987E-4</v>
      </c>
    </row>
    <row r="2779" spans="39:41" x14ac:dyDescent="0.25">
      <c r="AM2779" s="2">
        <v>2776</v>
      </c>
      <c r="AN2779" s="33">
        <v>8.2670662560862807E-3</v>
      </c>
      <c r="AO2779" s="33">
        <v>2.6159920476825601E-4</v>
      </c>
    </row>
    <row r="2780" spans="39:41" x14ac:dyDescent="0.25">
      <c r="AM2780" s="2">
        <v>2777</v>
      </c>
      <c r="AN2780" s="33">
        <v>1.2306544758727353E-2</v>
      </c>
      <c r="AO2780" s="33">
        <v>6.8387123848788489E-4</v>
      </c>
    </row>
    <row r="2781" spans="39:41" x14ac:dyDescent="0.25">
      <c r="AM2781" s="2">
        <v>2778</v>
      </c>
      <c r="AN2781" s="33">
        <v>1.0623713017710588E-2</v>
      </c>
      <c r="AO2781" s="33">
        <v>5.6156062677771286E-4</v>
      </c>
    </row>
    <row r="2782" spans="39:41" x14ac:dyDescent="0.25">
      <c r="AM2782" s="2">
        <v>2779</v>
      </c>
      <c r="AN2782" s="33">
        <v>9.8282358914965409E-3</v>
      </c>
      <c r="AO2782" s="33">
        <v>7.7228056746380476E-4</v>
      </c>
    </row>
    <row r="2783" spans="39:41" x14ac:dyDescent="0.25">
      <c r="AM2783" s="2">
        <v>2780</v>
      </c>
      <c r="AN2783" s="33">
        <v>1.4126690167684131E-2</v>
      </c>
      <c r="AO2783" s="33">
        <v>9.5222382965120958E-4</v>
      </c>
    </row>
    <row r="2784" spans="39:41" x14ac:dyDescent="0.25">
      <c r="AM2784" s="2">
        <v>2781</v>
      </c>
      <c r="AN2784" s="33">
        <v>1.0851315447150782E-2</v>
      </c>
      <c r="AO2784" s="33">
        <v>6.5075498860020205E-4</v>
      </c>
    </row>
    <row r="2785" spans="39:41" x14ac:dyDescent="0.25">
      <c r="AM2785" s="2">
        <v>2782</v>
      </c>
      <c r="AN2785" s="33">
        <v>1.0618327959165922E-2</v>
      </c>
      <c r="AO2785" s="33">
        <v>3.7004366990753479E-4</v>
      </c>
    </row>
    <row r="2786" spans="39:41" x14ac:dyDescent="0.25">
      <c r="AM2786" s="2">
        <v>2783</v>
      </c>
      <c r="AN2786" s="33">
        <v>9.9235637958641938E-3</v>
      </c>
      <c r="AO2786" s="33">
        <v>5.6724072920732657E-4</v>
      </c>
    </row>
    <row r="2787" spans="39:41" x14ac:dyDescent="0.25">
      <c r="AM2787" s="2">
        <v>2784</v>
      </c>
      <c r="AN2787" s="33">
        <v>9.3788980738180195E-3</v>
      </c>
      <c r="AO2787" s="33">
        <v>6.4844538422363402E-4</v>
      </c>
    </row>
    <row r="2788" spans="39:41" x14ac:dyDescent="0.25">
      <c r="AM2788" s="2">
        <v>2785</v>
      </c>
      <c r="AN2788" s="33">
        <v>1.3309242961354096E-2</v>
      </c>
      <c r="AO2788" s="33">
        <v>1.1734570205673845E-3</v>
      </c>
    </row>
    <row r="2789" spans="39:41" x14ac:dyDescent="0.25">
      <c r="AM2789" s="2">
        <v>2786</v>
      </c>
      <c r="AN2789" s="33">
        <v>7.5073996426228556E-3</v>
      </c>
      <c r="AO2789" s="33">
        <v>2.8857859129754337E-4</v>
      </c>
    </row>
    <row r="2790" spans="39:41" x14ac:dyDescent="0.25">
      <c r="AM2790" s="2">
        <v>2787</v>
      </c>
      <c r="AN2790" s="33">
        <v>1.0561922195669064E-2</v>
      </c>
      <c r="AO2790" s="33">
        <v>5.4570874000903148E-4</v>
      </c>
    </row>
    <row r="2791" spans="39:41" x14ac:dyDescent="0.25">
      <c r="AM2791" s="2">
        <v>2788</v>
      </c>
      <c r="AN2791" s="33">
        <v>9.8089466331229679E-3</v>
      </c>
      <c r="AO2791" s="33">
        <v>6.7855119641291653E-4</v>
      </c>
    </row>
    <row r="2792" spans="39:41" x14ac:dyDescent="0.25">
      <c r="AM2792" s="2">
        <v>2789</v>
      </c>
      <c r="AN2792" s="33">
        <v>1.2136076476968535E-2</v>
      </c>
      <c r="AO2792" s="33">
        <v>1.0462377756075777E-3</v>
      </c>
    </row>
    <row r="2793" spans="39:41" x14ac:dyDescent="0.25">
      <c r="AM2793" s="2">
        <v>2790</v>
      </c>
      <c r="AN2793" s="33">
        <v>1.3232422810991346E-2</v>
      </c>
      <c r="AO2793" s="33">
        <v>9.0654661206715189E-4</v>
      </c>
    </row>
    <row r="2794" spans="39:41" x14ac:dyDescent="0.25">
      <c r="AM2794" s="2">
        <v>2791</v>
      </c>
      <c r="AN2794" s="33">
        <v>1.1390603475703474E-2</v>
      </c>
      <c r="AO2794" s="33">
        <v>9.3764407263243323E-4</v>
      </c>
    </row>
    <row r="2795" spans="39:41" x14ac:dyDescent="0.25">
      <c r="AM2795" s="2">
        <v>2792</v>
      </c>
      <c r="AN2795" s="33">
        <v>1.624752489692308E-2</v>
      </c>
      <c r="AO2795" s="33">
        <v>1.1180991006675607E-3</v>
      </c>
    </row>
    <row r="2796" spans="39:41" x14ac:dyDescent="0.25">
      <c r="AM2796" s="2">
        <v>2793</v>
      </c>
      <c r="AN2796" s="33">
        <v>9.8248129429038163E-3</v>
      </c>
      <c r="AO2796" s="33">
        <v>9.5878436409710106E-4</v>
      </c>
    </row>
    <row r="2797" spans="39:41" x14ac:dyDescent="0.25">
      <c r="AM2797" s="2">
        <v>2794</v>
      </c>
      <c r="AN2797" s="33">
        <v>8.7786863630210463E-3</v>
      </c>
      <c r="AO2797" s="33">
        <v>7.3220434460808087E-4</v>
      </c>
    </row>
    <row r="2798" spans="39:41" x14ac:dyDescent="0.25">
      <c r="AM2798" s="2">
        <v>2795</v>
      </c>
      <c r="AN2798" s="33">
        <v>1.3652234390713181E-2</v>
      </c>
      <c r="AO2798" s="33">
        <v>1.4771913279640557E-3</v>
      </c>
    </row>
    <row r="2799" spans="39:41" x14ac:dyDescent="0.25">
      <c r="AM2799" s="2">
        <v>2796</v>
      </c>
      <c r="AN2799" s="33">
        <v>8.8693169129864247E-3</v>
      </c>
      <c r="AO2799" s="33">
        <v>5.8225564080625046E-4</v>
      </c>
    </row>
    <row r="2800" spans="39:41" x14ac:dyDescent="0.25">
      <c r="AM2800" s="2">
        <v>2797</v>
      </c>
      <c r="AN2800" s="33">
        <v>1.3330639291464342E-2</v>
      </c>
      <c r="AO2800" s="33">
        <v>1.3218173929134089E-3</v>
      </c>
    </row>
    <row r="2801" spans="39:41" x14ac:dyDescent="0.25">
      <c r="AM2801" s="2">
        <v>2798</v>
      </c>
      <c r="AN2801" s="33">
        <v>1.3377036669661274E-2</v>
      </c>
      <c r="AO2801" s="33">
        <v>5.9708572117391683E-4</v>
      </c>
    </row>
    <row r="2802" spans="39:41" x14ac:dyDescent="0.25">
      <c r="AM2802" s="2">
        <v>2799</v>
      </c>
      <c r="AN2802" s="33">
        <v>1.1150055637708338E-2</v>
      </c>
      <c r="AO2802" s="33">
        <v>7.8226855108923027E-4</v>
      </c>
    </row>
    <row r="2803" spans="39:41" x14ac:dyDescent="0.25">
      <c r="AM2803" s="2">
        <v>2800</v>
      </c>
      <c r="AN2803" s="33">
        <v>1.2493962947082689E-2</v>
      </c>
      <c r="AO2803" s="33">
        <v>1.0086774331769426E-3</v>
      </c>
    </row>
    <row r="2804" spans="39:41" x14ac:dyDescent="0.25">
      <c r="AM2804" s="2">
        <v>2801</v>
      </c>
      <c r="AN2804" s="33">
        <v>1.1318600602398265E-2</v>
      </c>
      <c r="AO2804" s="33">
        <v>8.0741416689139795E-4</v>
      </c>
    </row>
    <row r="2805" spans="39:41" x14ac:dyDescent="0.25">
      <c r="AM2805" s="2">
        <v>2802</v>
      </c>
      <c r="AN2805" s="33">
        <v>9.7906092529653141E-3</v>
      </c>
      <c r="AO2805" s="33">
        <v>6.631184025306119E-4</v>
      </c>
    </row>
    <row r="2806" spans="39:41" x14ac:dyDescent="0.25">
      <c r="AM2806" s="2">
        <v>2803</v>
      </c>
      <c r="AN2806" s="33">
        <v>1.0409240685246204E-2</v>
      </c>
      <c r="AO2806" s="33">
        <v>6.9059549811701206E-4</v>
      </c>
    </row>
    <row r="2807" spans="39:41" x14ac:dyDescent="0.25">
      <c r="AM2807" s="2">
        <v>2804</v>
      </c>
      <c r="AN2807" s="33">
        <v>8.9830951232472128E-3</v>
      </c>
      <c r="AO2807" s="33">
        <v>7.745642790978678E-4</v>
      </c>
    </row>
    <row r="2808" spans="39:41" x14ac:dyDescent="0.25">
      <c r="AM2808" s="2">
        <v>2805</v>
      </c>
      <c r="AN2808" s="33">
        <v>1.0088000415797851E-2</v>
      </c>
      <c r="AO2808" s="33">
        <v>6.1605041086895348E-4</v>
      </c>
    </row>
    <row r="2809" spans="39:41" x14ac:dyDescent="0.25">
      <c r="AM2809" s="2">
        <v>2806</v>
      </c>
      <c r="AN2809" s="33">
        <v>9.5367002304943358E-3</v>
      </c>
      <c r="AO2809" s="33">
        <v>9.0432447718043121E-4</v>
      </c>
    </row>
    <row r="2810" spans="39:41" x14ac:dyDescent="0.25">
      <c r="AM2810" s="2">
        <v>2807</v>
      </c>
      <c r="AN2810" s="33">
        <v>8.5146096718939687E-3</v>
      </c>
      <c r="AO2810" s="33">
        <v>6.6640937963160618E-4</v>
      </c>
    </row>
    <row r="2811" spans="39:41" x14ac:dyDescent="0.25">
      <c r="AM2811" s="2">
        <v>2808</v>
      </c>
      <c r="AN2811" s="33">
        <v>1.2150830983409452E-2</v>
      </c>
      <c r="AO2811" s="33">
        <v>1.0105465445148037E-3</v>
      </c>
    </row>
    <row r="2812" spans="39:41" x14ac:dyDescent="0.25">
      <c r="AM2812" s="2">
        <v>2809</v>
      </c>
      <c r="AN2812" s="33">
        <v>8.2324224953066478E-3</v>
      </c>
      <c r="AO2812" s="33">
        <v>7.2145585967586974E-4</v>
      </c>
    </row>
    <row r="2813" spans="39:41" x14ac:dyDescent="0.25">
      <c r="AM2813" s="2">
        <v>2810</v>
      </c>
      <c r="AN2813" s="33">
        <v>1.1725846698297654E-2</v>
      </c>
      <c r="AO2813" s="33">
        <v>8.3194365835143958E-4</v>
      </c>
    </row>
    <row r="2814" spans="39:41" x14ac:dyDescent="0.25">
      <c r="AM2814" s="2">
        <v>2811</v>
      </c>
      <c r="AN2814" s="33">
        <v>1.2709704301480409E-2</v>
      </c>
      <c r="AO2814" s="33">
        <v>1.0187007596769953E-3</v>
      </c>
    </row>
    <row r="2815" spans="39:41" x14ac:dyDescent="0.25">
      <c r="AM2815" s="2">
        <v>2812</v>
      </c>
      <c r="AN2815" s="33">
        <v>1.2948258872109332E-2</v>
      </c>
      <c r="AO2815" s="33">
        <v>6.3428467908690329E-4</v>
      </c>
    </row>
    <row r="2816" spans="39:41" x14ac:dyDescent="0.25">
      <c r="AM2816" s="2">
        <v>2813</v>
      </c>
      <c r="AN2816" s="33">
        <v>1.3199448546767155E-2</v>
      </c>
      <c r="AO2816" s="33">
        <v>1.0150525462255876E-3</v>
      </c>
    </row>
    <row r="2817" spans="39:41" x14ac:dyDescent="0.25">
      <c r="AM2817" s="2">
        <v>2814</v>
      </c>
      <c r="AN2817" s="33">
        <v>1.0459262381441459E-2</v>
      </c>
      <c r="AO2817" s="33">
        <v>9.8425536838047506E-4</v>
      </c>
    </row>
    <row r="2818" spans="39:41" x14ac:dyDescent="0.25">
      <c r="AM2818" s="2">
        <v>2815</v>
      </c>
      <c r="AN2818" s="33">
        <v>1.1987111012673088E-2</v>
      </c>
      <c r="AO2818" s="33">
        <v>7.911603115413298E-4</v>
      </c>
    </row>
    <row r="2819" spans="39:41" x14ac:dyDescent="0.25">
      <c r="AM2819" s="2">
        <v>2816</v>
      </c>
      <c r="AN2819" s="33">
        <v>1.0004262573884292E-2</v>
      </c>
      <c r="AO2819" s="33">
        <v>8.7300419033319574E-4</v>
      </c>
    </row>
    <row r="2820" spans="39:41" x14ac:dyDescent="0.25">
      <c r="AM2820" s="2">
        <v>2817</v>
      </c>
      <c r="AN2820" s="33">
        <v>9.1073073099058547E-3</v>
      </c>
      <c r="AO2820" s="33">
        <v>8.2374039483763025E-4</v>
      </c>
    </row>
    <row r="2821" spans="39:41" x14ac:dyDescent="0.25">
      <c r="AM2821" s="2">
        <v>2818</v>
      </c>
      <c r="AN2821" s="33">
        <v>1.8846448644495611E-2</v>
      </c>
      <c r="AO2821" s="33">
        <v>1.6824053108041473E-3</v>
      </c>
    </row>
    <row r="2822" spans="39:41" x14ac:dyDescent="0.25">
      <c r="AM2822" s="2">
        <v>2819</v>
      </c>
      <c r="AN2822" s="33">
        <v>1.4742807689150601E-2</v>
      </c>
      <c r="AO2822" s="33">
        <v>1.2415147259026604E-3</v>
      </c>
    </row>
    <row r="2823" spans="39:41" x14ac:dyDescent="0.25">
      <c r="AM2823" s="2">
        <v>2820</v>
      </c>
      <c r="AN2823" s="33">
        <v>8.8579878475162285E-3</v>
      </c>
      <c r="AO2823" s="33">
        <v>6.7953582229365221E-4</v>
      </c>
    </row>
    <row r="2824" spans="39:41" x14ac:dyDescent="0.25">
      <c r="AM2824" s="2">
        <v>2821</v>
      </c>
      <c r="AN2824" s="33">
        <v>1.4780259663647967E-2</v>
      </c>
      <c r="AO2824" s="33">
        <v>1.3995103251017288E-3</v>
      </c>
    </row>
    <row r="2825" spans="39:41" x14ac:dyDescent="0.25">
      <c r="AM2825" s="2">
        <v>2822</v>
      </c>
      <c r="AN2825" s="33">
        <v>1.2650522720541445E-2</v>
      </c>
      <c r="AO2825" s="33">
        <v>6.3525127545083074E-4</v>
      </c>
    </row>
    <row r="2826" spans="39:41" x14ac:dyDescent="0.25">
      <c r="AM2826" s="2">
        <v>2823</v>
      </c>
      <c r="AN2826" s="33">
        <v>1.2774900879457389E-2</v>
      </c>
      <c r="AO2826" s="33">
        <v>1.0017636663452801E-3</v>
      </c>
    </row>
    <row r="2827" spans="39:41" x14ac:dyDescent="0.25">
      <c r="AM2827" s="2">
        <v>2824</v>
      </c>
      <c r="AN2827" s="33">
        <v>1.5977885860549917E-2</v>
      </c>
      <c r="AO2827" s="33">
        <v>1.0719435009614307E-3</v>
      </c>
    </row>
    <row r="2828" spans="39:41" x14ac:dyDescent="0.25">
      <c r="AM2828" s="2">
        <v>2825</v>
      </c>
      <c r="AN2828" s="33">
        <v>1.2631547115041022E-2</v>
      </c>
      <c r="AO2828" s="33">
        <v>8.0978975090779731E-4</v>
      </c>
    </row>
    <row r="2829" spans="39:41" x14ac:dyDescent="0.25">
      <c r="AM2829" s="2">
        <v>2826</v>
      </c>
      <c r="AN2829" s="33">
        <v>1.3349336442291995E-2</v>
      </c>
      <c r="AO2829" s="33">
        <v>8.6911270593806973E-4</v>
      </c>
    </row>
    <row r="2830" spans="39:41" x14ac:dyDescent="0.25">
      <c r="AM2830" s="2">
        <v>2827</v>
      </c>
      <c r="AN2830" s="33">
        <v>1.027986836810546E-2</v>
      </c>
      <c r="AO2830" s="33">
        <v>5.136000746573E-4</v>
      </c>
    </row>
    <row r="2831" spans="39:41" x14ac:dyDescent="0.25">
      <c r="AM2831" s="2">
        <v>2828</v>
      </c>
      <c r="AN2831" s="33">
        <v>1.0686029149925551E-2</v>
      </c>
      <c r="AO2831" s="33">
        <v>7.4580054475212613E-4</v>
      </c>
    </row>
    <row r="2832" spans="39:41" x14ac:dyDescent="0.25">
      <c r="AM2832" s="2">
        <v>2829</v>
      </c>
      <c r="AN2832" s="33">
        <v>9.2620470744312206E-3</v>
      </c>
      <c r="AO2832" s="33">
        <v>7.9074005102487341E-4</v>
      </c>
    </row>
    <row r="2833" spans="39:41" x14ac:dyDescent="0.25">
      <c r="AM2833" s="2">
        <v>2830</v>
      </c>
      <c r="AN2833" s="33">
        <v>8.1346904146195713E-3</v>
      </c>
      <c r="AO2833" s="33">
        <v>3.7024014612619305E-4</v>
      </c>
    </row>
    <row r="2834" spans="39:41" x14ac:dyDescent="0.25">
      <c r="AM2834" s="2">
        <v>2831</v>
      </c>
      <c r="AN2834" s="33">
        <v>1.2436650493035427E-2</v>
      </c>
      <c r="AO2834" s="33">
        <v>1.1391400374096104E-3</v>
      </c>
    </row>
    <row r="2835" spans="39:41" x14ac:dyDescent="0.25">
      <c r="AM2835" s="2">
        <v>2832</v>
      </c>
      <c r="AN2835" s="33">
        <v>1.3016691356527773E-2</v>
      </c>
      <c r="AO2835" s="33">
        <v>9.9071804572086006E-4</v>
      </c>
    </row>
    <row r="2836" spans="39:41" x14ac:dyDescent="0.25">
      <c r="AM2836" s="2">
        <v>2833</v>
      </c>
      <c r="AN2836" s="33">
        <v>1.4939535647187007E-2</v>
      </c>
      <c r="AO2836" s="33">
        <v>1.434018381334132E-3</v>
      </c>
    </row>
    <row r="2837" spans="39:41" x14ac:dyDescent="0.25">
      <c r="AM2837" s="2">
        <v>2834</v>
      </c>
      <c r="AN2837" s="33">
        <v>8.6612796498091223E-3</v>
      </c>
      <c r="AO2837" s="33">
        <v>7.6569822754317309E-4</v>
      </c>
    </row>
    <row r="2838" spans="39:41" x14ac:dyDescent="0.25">
      <c r="AM2838" s="2">
        <v>2835</v>
      </c>
      <c r="AN2838" s="33">
        <v>1.209130656444889E-2</v>
      </c>
      <c r="AO2838" s="33">
        <v>5.9032486047324955E-4</v>
      </c>
    </row>
    <row r="2839" spans="39:41" x14ac:dyDescent="0.25">
      <c r="AM2839" s="2">
        <v>2836</v>
      </c>
      <c r="AN2839" s="33">
        <v>9.6458967793234124E-3</v>
      </c>
      <c r="AO2839" s="33">
        <v>5.7186415168637011E-4</v>
      </c>
    </row>
    <row r="2840" spans="39:41" x14ac:dyDescent="0.25">
      <c r="AM2840" s="2">
        <v>2837</v>
      </c>
      <c r="AN2840" s="33">
        <v>1.4046576243160311E-2</v>
      </c>
      <c r="AO2840" s="33">
        <v>1.0237544942333899E-3</v>
      </c>
    </row>
    <row r="2841" spans="39:41" x14ac:dyDescent="0.25">
      <c r="AM2841" s="2">
        <v>2838</v>
      </c>
      <c r="AN2841" s="33">
        <v>1.1069094617860167E-2</v>
      </c>
      <c r="AO2841" s="33">
        <v>6.1016641742898785E-4</v>
      </c>
    </row>
    <row r="2842" spans="39:41" x14ac:dyDescent="0.25">
      <c r="AM2842" s="2">
        <v>2839</v>
      </c>
      <c r="AN2842" s="33">
        <v>8.415036353000194E-3</v>
      </c>
      <c r="AO2842" s="33">
        <v>5.0794239029213644E-4</v>
      </c>
    </row>
    <row r="2843" spans="39:41" x14ac:dyDescent="0.25">
      <c r="AM2843" s="2">
        <v>2840</v>
      </c>
      <c r="AN2843" s="33">
        <v>1.2428333831487599E-2</v>
      </c>
      <c r="AO2843" s="33">
        <v>1.0250169511855987E-3</v>
      </c>
    </row>
    <row r="2844" spans="39:41" x14ac:dyDescent="0.25">
      <c r="AM2844" s="2">
        <v>2841</v>
      </c>
      <c r="AN2844" s="33">
        <v>9.8133902059241804E-3</v>
      </c>
      <c r="AO2844" s="33">
        <v>6.4326305186135932E-4</v>
      </c>
    </row>
    <row r="2845" spans="39:41" x14ac:dyDescent="0.25">
      <c r="AM2845" s="2">
        <v>2842</v>
      </c>
      <c r="AN2845" s="33">
        <v>1.492396877825948E-2</v>
      </c>
      <c r="AO2845" s="33">
        <v>7.905562441671137E-4</v>
      </c>
    </row>
    <row r="2846" spans="39:41" x14ac:dyDescent="0.25">
      <c r="AM2846" s="2">
        <v>2843</v>
      </c>
      <c r="AN2846" s="33">
        <v>9.2089105879685634E-3</v>
      </c>
      <c r="AO2846" s="33">
        <v>8.7263176302195065E-4</v>
      </c>
    </row>
    <row r="2847" spans="39:41" x14ac:dyDescent="0.25">
      <c r="AM2847" s="2">
        <v>2844</v>
      </c>
      <c r="AN2847" s="33">
        <v>1.2586832423600697E-2</v>
      </c>
      <c r="AO2847" s="33">
        <v>7.7407626251818065E-4</v>
      </c>
    </row>
    <row r="2848" spans="39:41" x14ac:dyDescent="0.25">
      <c r="AM2848" s="2">
        <v>2845</v>
      </c>
      <c r="AN2848" s="33">
        <v>1.35852118827125E-2</v>
      </c>
      <c r="AO2848" s="33">
        <v>7.0449713837024387E-4</v>
      </c>
    </row>
    <row r="2849" spans="39:41" x14ac:dyDescent="0.25">
      <c r="AM2849" s="2">
        <v>2846</v>
      </c>
      <c r="AN2849" s="33">
        <v>1.3624659459243323E-2</v>
      </c>
      <c r="AO2849" s="33">
        <v>1.3999165863983842E-3</v>
      </c>
    </row>
    <row r="2850" spans="39:41" x14ac:dyDescent="0.25">
      <c r="AM2850" s="2">
        <v>2847</v>
      </c>
      <c r="AN2850" s="33">
        <v>9.7493919267661548E-3</v>
      </c>
      <c r="AO2850" s="33">
        <v>4.9900271577387216E-4</v>
      </c>
    </row>
    <row r="2851" spans="39:41" x14ac:dyDescent="0.25">
      <c r="AM2851" s="2">
        <v>2848</v>
      </c>
      <c r="AN2851" s="33">
        <v>1.0377508189943433E-2</v>
      </c>
      <c r="AO2851" s="33">
        <v>8.8381179293279817E-4</v>
      </c>
    </row>
    <row r="2852" spans="39:41" x14ac:dyDescent="0.25">
      <c r="AM2852" s="2">
        <v>2849</v>
      </c>
      <c r="AN2852" s="33">
        <v>1.0129687879839243E-2</v>
      </c>
      <c r="AO2852" s="33">
        <v>8.1564520165715217E-4</v>
      </c>
    </row>
    <row r="2853" spans="39:41" x14ac:dyDescent="0.25">
      <c r="AM2853" s="2">
        <v>2850</v>
      </c>
      <c r="AN2853" s="33">
        <v>1.0339535566273426E-2</v>
      </c>
      <c r="AO2853" s="33">
        <v>8.4096643466779358E-4</v>
      </c>
    </row>
    <row r="2854" spans="39:41" x14ac:dyDescent="0.25">
      <c r="AM2854" s="2">
        <v>2851</v>
      </c>
      <c r="AN2854" s="33">
        <v>1.4798828686017935E-2</v>
      </c>
      <c r="AO2854" s="33">
        <v>9.941759859665954E-4</v>
      </c>
    </row>
    <row r="2855" spans="39:41" x14ac:dyDescent="0.25">
      <c r="AM2855" s="2">
        <v>2852</v>
      </c>
      <c r="AN2855" s="33">
        <v>8.2827566114624853E-3</v>
      </c>
      <c r="AO2855" s="33">
        <v>3.2941560464820987E-4</v>
      </c>
    </row>
    <row r="2856" spans="39:41" x14ac:dyDescent="0.25">
      <c r="AM2856" s="2">
        <v>2853</v>
      </c>
      <c r="AN2856" s="33">
        <v>1.1024487762328823E-2</v>
      </c>
      <c r="AO2856" s="33">
        <v>7.519287747870827E-4</v>
      </c>
    </row>
    <row r="2857" spans="39:41" x14ac:dyDescent="0.25">
      <c r="AM2857" s="2">
        <v>2854</v>
      </c>
      <c r="AN2857" s="33">
        <v>1.2138081550596928E-2</v>
      </c>
      <c r="AO2857" s="33">
        <v>9.8813993539005975E-4</v>
      </c>
    </row>
    <row r="2858" spans="39:41" x14ac:dyDescent="0.25">
      <c r="AM2858" s="2">
        <v>2855</v>
      </c>
      <c r="AN2858" s="33">
        <v>8.8413261054264471E-3</v>
      </c>
      <c r="AO2858" s="33">
        <v>2.588268898372123E-4</v>
      </c>
    </row>
    <row r="2859" spans="39:41" x14ac:dyDescent="0.25">
      <c r="AM2859" s="2">
        <v>2856</v>
      </c>
      <c r="AN2859" s="33">
        <v>1.2038965629410325E-2</v>
      </c>
      <c r="AO2859" s="33">
        <v>9.054526641440676E-4</v>
      </c>
    </row>
    <row r="2860" spans="39:41" x14ac:dyDescent="0.25">
      <c r="AM2860" s="2">
        <v>2857</v>
      </c>
      <c r="AN2860" s="33">
        <v>1.0507127160329409E-2</v>
      </c>
      <c r="AO2860" s="33">
        <v>7.0882673087865411E-4</v>
      </c>
    </row>
    <row r="2861" spans="39:41" x14ac:dyDescent="0.25">
      <c r="AM2861" s="2">
        <v>2858</v>
      </c>
      <c r="AN2861" s="33">
        <v>1.399872253427948E-2</v>
      </c>
      <c r="AO2861" s="33">
        <v>8.6748206773222536E-4</v>
      </c>
    </row>
    <row r="2862" spans="39:41" x14ac:dyDescent="0.25">
      <c r="AM2862" s="2">
        <v>2859</v>
      </c>
      <c r="AN2862" s="33">
        <v>1.2653456933886729E-2</v>
      </c>
      <c r="AO2862" s="33">
        <v>1.0262107215735586E-3</v>
      </c>
    </row>
    <row r="2863" spans="39:41" x14ac:dyDescent="0.25">
      <c r="AM2863" s="2">
        <v>2860</v>
      </c>
      <c r="AN2863" s="33">
        <v>1.3492663463131533E-2</v>
      </c>
      <c r="AO2863" s="33">
        <v>8.3998842463254327E-4</v>
      </c>
    </row>
    <row r="2864" spans="39:41" x14ac:dyDescent="0.25">
      <c r="AM2864" s="2">
        <v>2861</v>
      </c>
      <c r="AN2864" s="33">
        <v>1.4652419928985605E-2</v>
      </c>
      <c r="AO2864" s="33">
        <v>1.3923842953425566E-3</v>
      </c>
    </row>
    <row r="2865" spans="39:41" x14ac:dyDescent="0.25">
      <c r="AM2865" s="2">
        <v>2862</v>
      </c>
      <c r="AN2865" s="33">
        <v>1.1077525241215396E-2</v>
      </c>
      <c r="AO2865" s="33">
        <v>9.4953165542504658E-4</v>
      </c>
    </row>
    <row r="2866" spans="39:41" x14ac:dyDescent="0.25">
      <c r="AM2866" s="2">
        <v>2863</v>
      </c>
      <c r="AN2866" s="33">
        <v>1.1956293552576538E-2</v>
      </c>
      <c r="AO2866" s="33">
        <v>6.2054573253392318E-4</v>
      </c>
    </row>
    <row r="2867" spans="39:41" x14ac:dyDescent="0.25">
      <c r="AM2867" s="2">
        <v>2864</v>
      </c>
      <c r="AN2867" s="33">
        <v>1.1516584209761571E-2</v>
      </c>
      <c r="AO2867" s="33">
        <v>7.6213961934564259E-4</v>
      </c>
    </row>
    <row r="2868" spans="39:41" x14ac:dyDescent="0.25">
      <c r="AM2868" s="2">
        <v>2865</v>
      </c>
      <c r="AN2868" s="33">
        <v>9.0129528162165382E-3</v>
      </c>
      <c r="AO2868" s="33">
        <v>6.4309738815888364E-4</v>
      </c>
    </row>
    <row r="2869" spans="39:41" x14ac:dyDescent="0.25">
      <c r="AM2869" s="2">
        <v>2866</v>
      </c>
      <c r="AN2869" s="33">
        <v>1.2505921267263099E-2</v>
      </c>
      <c r="AO2869" s="33">
        <v>8.629773282793512E-4</v>
      </c>
    </row>
    <row r="2870" spans="39:41" x14ac:dyDescent="0.25">
      <c r="AM2870" s="2">
        <v>2867</v>
      </c>
      <c r="AN2870" s="33">
        <v>1.2096888559605567E-2</v>
      </c>
      <c r="AO2870" s="33">
        <v>1.1937116391620205E-3</v>
      </c>
    </row>
    <row r="2871" spans="39:41" x14ac:dyDescent="0.25">
      <c r="AM2871" s="2">
        <v>2868</v>
      </c>
      <c r="AN2871" s="33">
        <v>1.1374695969966788E-2</v>
      </c>
      <c r="AO2871" s="33">
        <v>6.1461945402155208E-4</v>
      </c>
    </row>
    <row r="2872" spans="39:41" x14ac:dyDescent="0.25">
      <c r="AM2872" s="2">
        <v>2869</v>
      </c>
      <c r="AN2872" s="33">
        <v>1.2256179778999961E-2</v>
      </c>
      <c r="AO2872" s="33">
        <v>1.0608616858466761E-3</v>
      </c>
    </row>
    <row r="2873" spans="39:41" x14ac:dyDescent="0.25">
      <c r="AM2873" s="2">
        <v>2870</v>
      </c>
      <c r="AN2873" s="33">
        <v>9.2723404214609118E-3</v>
      </c>
      <c r="AO2873" s="33">
        <v>6.1572772820504612E-4</v>
      </c>
    </row>
    <row r="2874" spans="39:41" x14ac:dyDescent="0.25">
      <c r="AM2874" s="2">
        <v>2871</v>
      </c>
      <c r="AN2874" s="33">
        <v>1.2525548801789953E-2</v>
      </c>
      <c r="AO2874" s="33">
        <v>6.95145455476112E-4</v>
      </c>
    </row>
    <row r="2875" spans="39:41" x14ac:dyDescent="0.25">
      <c r="AM2875" s="2">
        <v>2872</v>
      </c>
      <c r="AN2875" s="33">
        <v>1.2054961115036577E-2</v>
      </c>
      <c r="AO2875" s="33">
        <v>9.4301095947245113E-4</v>
      </c>
    </row>
    <row r="2876" spans="39:41" x14ac:dyDescent="0.25">
      <c r="AM2876" s="2">
        <v>2873</v>
      </c>
      <c r="AN2876" s="33">
        <v>1.076678473115677E-2</v>
      </c>
      <c r="AO2876" s="33">
        <v>9.0744551370888305E-4</v>
      </c>
    </row>
    <row r="2877" spans="39:41" x14ac:dyDescent="0.25">
      <c r="AM2877" s="2">
        <v>2874</v>
      </c>
      <c r="AN2877" s="33">
        <v>1.1275363021787393E-2</v>
      </c>
      <c r="AO2877" s="33">
        <v>8.0968132230748488E-4</v>
      </c>
    </row>
    <row r="2878" spans="39:41" x14ac:dyDescent="0.25">
      <c r="AM2878" s="2">
        <v>2875</v>
      </c>
      <c r="AN2878" s="33">
        <v>1.0650939975377796E-2</v>
      </c>
      <c r="AO2878" s="33">
        <v>7.4498620275623541E-4</v>
      </c>
    </row>
    <row r="2879" spans="39:41" x14ac:dyDescent="0.25">
      <c r="AM2879" s="2">
        <v>2876</v>
      </c>
      <c r="AN2879" s="33">
        <v>1.4091321768284544E-2</v>
      </c>
      <c r="AO2879" s="33">
        <v>1.3826285267805785E-3</v>
      </c>
    </row>
    <row r="2880" spans="39:41" x14ac:dyDescent="0.25">
      <c r="AM2880" s="2">
        <v>2877</v>
      </c>
      <c r="AN2880" s="33">
        <v>1.1960782075049586E-2</v>
      </c>
      <c r="AO2880" s="33">
        <v>9.3648036327413132E-4</v>
      </c>
    </row>
    <row r="2881" spans="39:41" x14ac:dyDescent="0.25">
      <c r="AM2881" s="2">
        <v>2878</v>
      </c>
      <c r="AN2881" s="33">
        <v>1.0928113943948263E-2</v>
      </c>
      <c r="AO2881" s="33">
        <v>1.0034356859790459E-3</v>
      </c>
    </row>
    <row r="2882" spans="39:41" x14ac:dyDescent="0.25">
      <c r="AM2882" s="2">
        <v>2879</v>
      </c>
      <c r="AN2882" s="33">
        <v>1.1877075479022923E-2</v>
      </c>
      <c r="AO2882" s="33">
        <v>1.0513620381591743E-3</v>
      </c>
    </row>
    <row r="2883" spans="39:41" x14ac:dyDescent="0.25">
      <c r="AM2883" s="2">
        <v>2880</v>
      </c>
      <c r="AN2883" s="33">
        <v>1.0423134777533158E-2</v>
      </c>
      <c r="AO2883" s="33">
        <v>9.3379348368358281E-4</v>
      </c>
    </row>
    <row r="2884" spans="39:41" x14ac:dyDescent="0.25">
      <c r="AM2884" s="2">
        <v>2881</v>
      </c>
      <c r="AN2884" s="33">
        <v>1.0244745755003247E-2</v>
      </c>
      <c r="AO2884" s="33">
        <v>5.349264283174243E-4</v>
      </c>
    </row>
    <row r="2885" spans="39:41" x14ac:dyDescent="0.25">
      <c r="AM2885" s="2">
        <v>2882</v>
      </c>
      <c r="AN2885" s="33">
        <v>1.3923892864127608E-2</v>
      </c>
      <c r="AO2885" s="33">
        <v>1.007367921709113E-3</v>
      </c>
    </row>
    <row r="2886" spans="39:41" x14ac:dyDescent="0.25">
      <c r="AM2886" s="2">
        <v>2883</v>
      </c>
      <c r="AN2886" s="33">
        <v>1.2281917444029835E-2</v>
      </c>
      <c r="AO2886" s="33">
        <v>1.0306244914039177E-3</v>
      </c>
    </row>
    <row r="2887" spans="39:41" x14ac:dyDescent="0.25">
      <c r="AM2887" s="2">
        <v>2884</v>
      </c>
      <c r="AN2887" s="33">
        <v>1.2789540423248393E-2</v>
      </c>
      <c r="AO2887" s="33">
        <v>7.5353476413379827E-4</v>
      </c>
    </row>
    <row r="2888" spans="39:41" x14ac:dyDescent="0.25">
      <c r="AM2888" s="2">
        <v>2885</v>
      </c>
      <c r="AN2888" s="33">
        <v>1.3806127760252637E-2</v>
      </c>
      <c r="AO2888" s="33">
        <v>1.3966401161809036E-3</v>
      </c>
    </row>
    <row r="2889" spans="39:41" x14ac:dyDescent="0.25">
      <c r="AM2889" s="2">
        <v>2886</v>
      </c>
      <c r="AN2889" s="33">
        <v>1.3522438023759924E-2</v>
      </c>
      <c r="AO2889" s="33">
        <v>1.1519583655144098E-3</v>
      </c>
    </row>
    <row r="2890" spans="39:41" x14ac:dyDescent="0.25">
      <c r="AM2890" s="2">
        <v>2887</v>
      </c>
      <c r="AN2890" s="33">
        <v>1.3435899016212588E-2</v>
      </c>
      <c r="AO2890" s="33">
        <v>1.1432288240972354E-3</v>
      </c>
    </row>
    <row r="2891" spans="39:41" x14ac:dyDescent="0.25">
      <c r="AM2891" s="2">
        <v>2888</v>
      </c>
      <c r="AN2891" s="33">
        <v>1.1704237796550439E-2</v>
      </c>
      <c r="AO2891" s="33">
        <v>8.8883124542977067E-4</v>
      </c>
    </row>
    <row r="2892" spans="39:41" x14ac:dyDescent="0.25">
      <c r="AM2892" s="2">
        <v>2889</v>
      </c>
      <c r="AN2892" s="33">
        <v>1.3256806016703234E-2</v>
      </c>
      <c r="AO2892" s="33">
        <v>7.959852342512301E-4</v>
      </c>
    </row>
    <row r="2893" spans="39:41" x14ac:dyDescent="0.25">
      <c r="AM2893" s="2">
        <v>2890</v>
      </c>
      <c r="AN2893" s="33">
        <v>9.6806872715853899E-3</v>
      </c>
      <c r="AO2893" s="33">
        <v>4.1336910191237916E-4</v>
      </c>
    </row>
    <row r="2894" spans="39:41" x14ac:dyDescent="0.25">
      <c r="AM2894" s="2">
        <v>2891</v>
      </c>
      <c r="AN2894" s="33">
        <v>1.1065735916234202E-2</v>
      </c>
      <c r="AO2894" s="33">
        <v>1.0431121489157629E-3</v>
      </c>
    </row>
    <row r="2895" spans="39:41" x14ac:dyDescent="0.25">
      <c r="AM2895" s="2">
        <v>2892</v>
      </c>
      <c r="AN2895" s="33">
        <v>1.5461768862674093E-2</v>
      </c>
      <c r="AO2895" s="33">
        <v>7.1706550377794278E-4</v>
      </c>
    </row>
    <row r="2896" spans="39:41" x14ac:dyDescent="0.25">
      <c r="AM2896" s="2">
        <v>2893</v>
      </c>
      <c r="AN2896" s="33">
        <v>1.1219583399652804E-2</v>
      </c>
      <c r="AO2896" s="33">
        <v>1.0205849855863276E-3</v>
      </c>
    </row>
    <row r="2897" spans="39:41" x14ac:dyDescent="0.25">
      <c r="AM2897" s="2">
        <v>2894</v>
      </c>
      <c r="AN2897" s="33">
        <v>1.0378139458413992E-2</v>
      </c>
      <c r="AO2897" s="33">
        <v>3.3666198451277982E-4</v>
      </c>
    </row>
    <row r="2898" spans="39:41" x14ac:dyDescent="0.25">
      <c r="AM2898" s="2">
        <v>2895</v>
      </c>
      <c r="AN2898" s="33">
        <v>8.7929367424098327E-3</v>
      </c>
      <c r="AO2898" s="33">
        <v>2.2824415934115985E-4</v>
      </c>
    </row>
    <row r="2899" spans="39:41" x14ac:dyDescent="0.25">
      <c r="AM2899" s="2">
        <v>2896</v>
      </c>
      <c r="AN2899" s="33">
        <v>1.1715264600593073E-2</v>
      </c>
      <c r="AO2899" s="33">
        <v>7.5475643896958777E-4</v>
      </c>
    </row>
    <row r="2900" spans="39:41" x14ac:dyDescent="0.25">
      <c r="AM2900" s="2">
        <v>2897</v>
      </c>
      <c r="AN2900" s="33">
        <v>1.2202600712928644E-2</v>
      </c>
      <c r="AO2900" s="33">
        <v>2.7682879152848752E-4</v>
      </c>
    </row>
    <row r="2901" spans="39:41" x14ac:dyDescent="0.25">
      <c r="AM2901" s="2">
        <v>2898</v>
      </c>
      <c r="AN2901" s="33">
        <v>1.1264096758230284E-2</v>
      </c>
      <c r="AO2901" s="33">
        <v>6.024998707046265E-4</v>
      </c>
    </row>
    <row r="2902" spans="39:41" x14ac:dyDescent="0.25">
      <c r="AM2902" s="2">
        <v>2899</v>
      </c>
      <c r="AN2902" s="33">
        <v>1.1091695102200871E-2</v>
      </c>
      <c r="AO2902" s="33">
        <v>1.9500264303530705E-4</v>
      </c>
    </row>
    <row r="2903" spans="39:41" x14ac:dyDescent="0.25">
      <c r="AM2903" s="2">
        <v>2900</v>
      </c>
      <c r="AN2903" s="33">
        <v>1.1050752917176734E-2</v>
      </c>
      <c r="AO2903" s="33">
        <v>1.0308484776503318E-3</v>
      </c>
    </row>
    <row r="2904" spans="39:41" x14ac:dyDescent="0.25">
      <c r="AM2904" s="2">
        <v>2901</v>
      </c>
      <c r="AN2904" s="33">
        <v>1.1580467220456367E-2</v>
      </c>
      <c r="AO2904" s="33">
        <v>7.5472258931073019E-4</v>
      </c>
    </row>
    <row r="2905" spans="39:41" x14ac:dyDescent="0.25">
      <c r="AM2905" s="2">
        <v>2902</v>
      </c>
      <c r="AN2905" s="33">
        <v>1.3057831148561025E-2</v>
      </c>
      <c r="AO2905" s="33">
        <v>1.3418497697121933E-3</v>
      </c>
    </row>
    <row r="2906" spans="39:41" x14ac:dyDescent="0.25">
      <c r="AM2906" s="2">
        <v>2903</v>
      </c>
      <c r="AN2906" s="33">
        <v>1.2090856860450949E-2</v>
      </c>
      <c r="AO2906" s="33">
        <v>9.0852308204192962E-4</v>
      </c>
    </row>
    <row r="2907" spans="39:41" x14ac:dyDescent="0.25">
      <c r="AM2907" s="2">
        <v>2904</v>
      </c>
      <c r="AN2907" s="33">
        <v>1.1162913075300021E-2</v>
      </c>
      <c r="AO2907" s="33">
        <v>8.4950977739995759E-4</v>
      </c>
    </row>
    <row r="2908" spans="39:41" x14ac:dyDescent="0.25">
      <c r="AM2908" s="2">
        <v>2905</v>
      </c>
      <c r="AN2908" s="33">
        <v>1.1417166566596542E-2</v>
      </c>
      <c r="AO2908" s="33">
        <v>1.048899927182759E-3</v>
      </c>
    </row>
    <row r="2909" spans="39:41" x14ac:dyDescent="0.25">
      <c r="AM2909" s="2">
        <v>2906</v>
      </c>
      <c r="AN2909" s="33">
        <v>1.0349514331488051E-2</v>
      </c>
      <c r="AO2909" s="33">
        <v>7.4895236463723143E-4</v>
      </c>
    </row>
    <row r="2910" spans="39:41" x14ac:dyDescent="0.25">
      <c r="AM2910" s="2">
        <v>2907</v>
      </c>
      <c r="AN2910" s="33">
        <v>1.1617451197655303E-2</v>
      </c>
      <c r="AO2910" s="33">
        <v>9.5077409577539872E-4</v>
      </c>
    </row>
    <row r="2911" spans="39:41" x14ac:dyDescent="0.25">
      <c r="AM2911" s="2">
        <v>2908</v>
      </c>
      <c r="AN2911" s="33">
        <v>1.3231520089144336E-2</v>
      </c>
      <c r="AO2911" s="33">
        <v>9.9469928645429641E-4</v>
      </c>
    </row>
    <row r="2912" spans="39:41" x14ac:dyDescent="0.25">
      <c r="AM2912" s="2">
        <v>2909</v>
      </c>
      <c r="AN2912" s="33">
        <v>1.4649813427591824E-2</v>
      </c>
      <c r="AO2912" s="33">
        <v>1.3286509871035354E-3</v>
      </c>
    </row>
    <row r="2913" spans="39:41" x14ac:dyDescent="0.25">
      <c r="AM2913" s="2">
        <v>2910</v>
      </c>
      <c r="AN2913" s="33">
        <v>1.5743140196936605E-2</v>
      </c>
      <c r="AO2913" s="33">
        <v>8.3945099076178516E-4</v>
      </c>
    </row>
    <row r="2914" spans="39:41" x14ac:dyDescent="0.25">
      <c r="AM2914" s="2">
        <v>2911</v>
      </c>
      <c r="AN2914" s="33">
        <v>1.2337756874849155E-2</v>
      </c>
      <c r="AO2914" s="33">
        <v>8.4884477408146361E-4</v>
      </c>
    </row>
    <row r="2915" spans="39:41" x14ac:dyDescent="0.25">
      <c r="AM2915" s="2">
        <v>2912</v>
      </c>
      <c r="AN2915" s="33">
        <v>1.033750355806334E-2</v>
      </c>
      <c r="AO2915" s="33">
        <v>8.2788157247783438E-4</v>
      </c>
    </row>
    <row r="2916" spans="39:41" x14ac:dyDescent="0.25">
      <c r="AM2916" s="2">
        <v>2913</v>
      </c>
      <c r="AN2916" s="33">
        <v>1.0437603483789979E-2</v>
      </c>
      <c r="AO2916" s="33">
        <v>6.3772918431112113E-4</v>
      </c>
    </row>
    <row r="2917" spans="39:41" x14ac:dyDescent="0.25">
      <c r="AM2917" s="2">
        <v>2914</v>
      </c>
      <c r="AN2917" s="33">
        <v>1.3013969396178058E-2</v>
      </c>
      <c r="AO2917" s="33">
        <v>7.7267243173249531E-4</v>
      </c>
    </row>
    <row r="2918" spans="39:41" x14ac:dyDescent="0.25">
      <c r="AM2918" s="2">
        <v>2915</v>
      </c>
      <c r="AN2918" s="33">
        <v>1.0808139253989145E-2</v>
      </c>
      <c r="AO2918" s="33">
        <v>1.0000990688210738E-3</v>
      </c>
    </row>
    <row r="2919" spans="39:41" x14ac:dyDescent="0.25">
      <c r="AM2919" s="2">
        <v>2916</v>
      </c>
      <c r="AN2919" s="33">
        <v>8.7192004279684019E-3</v>
      </c>
      <c r="AO2919" s="33">
        <v>3.453887466208176E-4</v>
      </c>
    </row>
    <row r="2920" spans="39:41" x14ac:dyDescent="0.25">
      <c r="AM2920" s="2">
        <v>2917</v>
      </c>
      <c r="AN2920" s="33">
        <v>1.0399118162090507E-2</v>
      </c>
      <c r="AO2920" s="33">
        <v>6.42499678875304E-4</v>
      </c>
    </row>
    <row r="2921" spans="39:41" x14ac:dyDescent="0.25">
      <c r="AM2921" s="2">
        <v>2918</v>
      </c>
      <c r="AN2921" s="33">
        <v>1.1675405718061034E-2</v>
      </c>
      <c r="AO2921" s="33">
        <v>6.9583350713813485E-4</v>
      </c>
    </row>
    <row r="2922" spans="39:41" x14ac:dyDescent="0.25">
      <c r="AM2922" s="2">
        <v>2919</v>
      </c>
      <c r="AN2922" s="33">
        <v>9.7217646170979829E-3</v>
      </c>
      <c r="AO2922" s="33">
        <v>7.8147723828840782E-4</v>
      </c>
    </row>
    <row r="2923" spans="39:41" x14ac:dyDescent="0.25">
      <c r="AM2923" s="2">
        <v>2920</v>
      </c>
      <c r="AN2923" s="33">
        <v>1.1977597300173283E-2</v>
      </c>
      <c r="AO2923" s="33">
        <v>6.8142471048405269E-4</v>
      </c>
    </row>
    <row r="2924" spans="39:41" x14ac:dyDescent="0.25">
      <c r="AM2924" s="2">
        <v>2921</v>
      </c>
      <c r="AN2924" s="33">
        <v>1.4968648231269184E-2</v>
      </c>
      <c r="AO2924" s="33">
        <v>1.4639538004045066E-3</v>
      </c>
    </row>
    <row r="2925" spans="39:41" x14ac:dyDescent="0.25">
      <c r="AM2925" s="2">
        <v>2922</v>
      </c>
      <c r="AN2925" s="33">
        <v>1.0165687850228337E-2</v>
      </c>
      <c r="AO2925" s="33">
        <v>8.2145755725101805E-4</v>
      </c>
    </row>
    <row r="2926" spans="39:41" x14ac:dyDescent="0.25">
      <c r="AM2926" s="2">
        <v>2923</v>
      </c>
      <c r="AN2926" s="33">
        <v>1.43063437636359E-2</v>
      </c>
      <c r="AO2926" s="33">
        <v>1.323565399621853E-3</v>
      </c>
    </row>
    <row r="2927" spans="39:41" x14ac:dyDescent="0.25">
      <c r="AM2927" s="2">
        <v>2924</v>
      </c>
      <c r="AN2927" s="33">
        <v>8.2129293778620341E-3</v>
      </c>
      <c r="AO2927" s="33">
        <v>4.2671099560240094E-4</v>
      </c>
    </row>
    <row r="2928" spans="39:41" x14ac:dyDescent="0.25">
      <c r="AM2928" s="2">
        <v>2925</v>
      </c>
      <c r="AN2928" s="33">
        <v>1.0534978155501069E-2</v>
      </c>
      <c r="AO2928" s="33">
        <v>1.6449294256890975E-4</v>
      </c>
    </row>
    <row r="2929" spans="39:41" x14ac:dyDescent="0.25">
      <c r="AM2929" s="2">
        <v>2926</v>
      </c>
      <c r="AN2929" s="33">
        <v>1.0320746315243991E-2</v>
      </c>
      <c r="AO2929" s="33">
        <v>6.5071134074686703E-4</v>
      </c>
    </row>
    <row r="2930" spans="39:41" x14ac:dyDescent="0.25">
      <c r="AM2930" s="2">
        <v>2927</v>
      </c>
      <c r="AN2930" s="33">
        <v>1.2150109898254647E-2</v>
      </c>
      <c r="AO2930" s="33">
        <v>9.0764359769928771E-4</v>
      </c>
    </row>
    <row r="2931" spans="39:41" x14ac:dyDescent="0.25">
      <c r="AM2931" s="2">
        <v>2928</v>
      </c>
      <c r="AN2931" s="33">
        <v>1.3654754567593668E-2</v>
      </c>
      <c r="AO2931" s="33">
        <v>6.5714374070773615E-4</v>
      </c>
    </row>
    <row r="2932" spans="39:41" x14ac:dyDescent="0.25">
      <c r="AM2932" s="2">
        <v>2929</v>
      </c>
      <c r="AN2932" s="33">
        <v>1.2287164243125598E-2</v>
      </c>
      <c r="AO2932" s="33">
        <v>1.0911319515210503E-3</v>
      </c>
    </row>
    <row r="2933" spans="39:41" x14ac:dyDescent="0.25">
      <c r="AM2933" s="2">
        <v>2930</v>
      </c>
      <c r="AN2933" s="33">
        <v>1.0401350710966832E-2</v>
      </c>
      <c r="AO2933" s="33">
        <v>4.622396825045206E-4</v>
      </c>
    </row>
    <row r="2934" spans="39:41" x14ac:dyDescent="0.25">
      <c r="AM2934" s="2">
        <v>2931</v>
      </c>
      <c r="AN2934" s="33">
        <v>1.5185694237207302E-2</v>
      </c>
      <c r="AO2934" s="33">
        <v>1.12148610502077E-3</v>
      </c>
    </row>
    <row r="2935" spans="39:41" x14ac:dyDescent="0.25">
      <c r="AM2935" s="2">
        <v>2932</v>
      </c>
      <c r="AN2935" s="33">
        <v>9.3242982737867536E-3</v>
      </c>
      <c r="AO2935" s="33">
        <v>7.6631016545195604E-4</v>
      </c>
    </row>
    <row r="2936" spans="39:41" x14ac:dyDescent="0.25">
      <c r="AM2936" s="2">
        <v>2933</v>
      </c>
      <c r="AN2936" s="33">
        <v>1.2647895834708581E-2</v>
      </c>
      <c r="AO2936" s="33">
        <v>1.2467581081937655E-3</v>
      </c>
    </row>
    <row r="2937" spans="39:41" x14ac:dyDescent="0.25">
      <c r="AM2937" s="2">
        <v>2934</v>
      </c>
      <c r="AN2937" s="33">
        <v>9.7987830069758471E-3</v>
      </c>
      <c r="AO2937" s="33">
        <v>4.3250467582957026E-4</v>
      </c>
    </row>
    <row r="2938" spans="39:41" x14ac:dyDescent="0.25">
      <c r="AM2938" s="2">
        <v>2935</v>
      </c>
      <c r="AN2938" s="33">
        <v>1.0193855372596648E-2</v>
      </c>
      <c r="AO2938" s="33">
        <v>6.9638421728029844E-4</v>
      </c>
    </row>
    <row r="2939" spans="39:41" x14ac:dyDescent="0.25">
      <c r="AM2939" s="2">
        <v>2936</v>
      </c>
      <c r="AN2939" s="33">
        <v>1.2894302212746567E-2</v>
      </c>
      <c r="AO2939" s="33">
        <v>1.0338260752988382E-3</v>
      </c>
    </row>
    <row r="2940" spans="39:41" x14ac:dyDescent="0.25">
      <c r="AM2940" s="2">
        <v>2937</v>
      </c>
      <c r="AN2940" s="33">
        <v>9.6870432983984841E-3</v>
      </c>
      <c r="AO2940" s="33">
        <v>4.4715497298121362E-4</v>
      </c>
    </row>
    <row r="2941" spans="39:41" x14ac:dyDescent="0.25">
      <c r="AM2941" s="2">
        <v>2938</v>
      </c>
      <c r="AN2941" s="33">
        <v>1.684715694251411E-2</v>
      </c>
      <c r="AO2941" s="33">
        <v>1.4466004651687379E-3</v>
      </c>
    </row>
    <row r="2942" spans="39:41" x14ac:dyDescent="0.25">
      <c r="AM2942" s="2">
        <v>2939</v>
      </c>
      <c r="AN2942" s="33">
        <v>1.1506882665030312E-2</v>
      </c>
      <c r="AO2942" s="33">
        <v>1.067533336432255E-3</v>
      </c>
    </row>
    <row r="2943" spans="39:41" x14ac:dyDescent="0.25">
      <c r="AM2943" s="2">
        <v>2940</v>
      </c>
      <c r="AN2943" s="33">
        <v>1.1119964899504807E-2</v>
      </c>
      <c r="AO2943" s="33">
        <v>5.1460028682409327E-4</v>
      </c>
    </row>
    <row r="2944" spans="39:41" x14ac:dyDescent="0.25">
      <c r="AM2944" s="2">
        <v>2941</v>
      </c>
      <c r="AN2944" s="33">
        <v>1.2297835590589126E-2</v>
      </c>
      <c r="AO2944" s="33">
        <v>9.0683297920380061E-4</v>
      </c>
    </row>
    <row r="2945" spans="39:41" x14ac:dyDescent="0.25">
      <c r="AM2945" s="2">
        <v>2942</v>
      </c>
      <c r="AN2945" s="33">
        <v>1.6317083629272391E-2</v>
      </c>
      <c r="AO2945" s="33">
        <v>1.5870083111865869E-3</v>
      </c>
    </row>
    <row r="2946" spans="39:41" x14ac:dyDescent="0.25">
      <c r="AM2946" s="2">
        <v>2943</v>
      </c>
      <c r="AN2946" s="33">
        <v>1.3695696765984314E-2</v>
      </c>
      <c r="AO2946" s="33">
        <v>1.3075918924549846E-3</v>
      </c>
    </row>
    <row r="2947" spans="39:41" x14ac:dyDescent="0.25">
      <c r="AM2947" s="2">
        <v>2944</v>
      </c>
      <c r="AN2947" s="33">
        <v>1.0460160118616236E-2</v>
      </c>
      <c r="AO2947" s="33">
        <v>1.9226453310896272E-4</v>
      </c>
    </row>
    <row r="2948" spans="39:41" x14ac:dyDescent="0.25">
      <c r="AM2948" s="2">
        <v>2945</v>
      </c>
      <c r="AN2948" s="33">
        <v>1.2814932815827556E-2</v>
      </c>
      <c r="AO2948" s="33">
        <v>8.5361822933288059E-4</v>
      </c>
    </row>
    <row r="2949" spans="39:41" x14ac:dyDescent="0.25">
      <c r="AM2949" s="2">
        <v>2946</v>
      </c>
      <c r="AN2949" s="33">
        <v>1.2631378805236338E-2</v>
      </c>
      <c r="AO2949" s="33">
        <v>1.0274138837223939E-3</v>
      </c>
    </row>
    <row r="2950" spans="39:41" x14ac:dyDescent="0.25">
      <c r="AM2950" s="2">
        <v>2947</v>
      </c>
      <c r="AN2950" s="33">
        <v>8.7165864595068927E-3</v>
      </c>
      <c r="AO2950" s="33">
        <v>4.1354335743188215E-4</v>
      </c>
    </row>
    <row r="2951" spans="39:41" x14ac:dyDescent="0.25">
      <c r="AM2951" s="2">
        <v>2948</v>
      </c>
      <c r="AN2951" s="33">
        <v>1.3935516268337252E-2</v>
      </c>
      <c r="AO2951" s="33">
        <v>1.4390704434511217E-3</v>
      </c>
    </row>
    <row r="2952" spans="39:41" x14ac:dyDescent="0.25">
      <c r="AM2952" s="2">
        <v>2949</v>
      </c>
      <c r="AN2952" s="33">
        <v>1.1489097504082764E-2</v>
      </c>
      <c r="AO2952" s="33">
        <v>4.5653431736132123E-4</v>
      </c>
    </row>
    <row r="2953" spans="39:41" x14ac:dyDescent="0.25">
      <c r="AM2953" s="2">
        <v>2950</v>
      </c>
      <c r="AN2953" s="33">
        <v>1.0295614617485571E-2</v>
      </c>
      <c r="AO2953" s="33">
        <v>6.8817120741944632E-4</v>
      </c>
    </row>
    <row r="2954" spans="39:41" x14ac:dyDescent="0.25">
      <c r="AM2954" s="2">
        <v>2951</v>
      </c>
      <c r="AN2954" s="33">
        <v>1.3666247472708733E-2</v>
      </c>
      <c r="AO2954" s="33">
        <v>1.3696867821165191E-3</v>
      </c>
    </row>
    <row r="2955" spans="39:41" x14ac:dyDescent="0.25">
      <c r="AM2955" s="2">
        <v>2952</v>
      </c>
      <c r="AN2955" s="33">
        <v>1.2647286133305149E-2</v>
      </c>
      <c r="AO2955" s="33">
        <v>1.1158181388312592E-3</v>
      </c>
    </row>
    <row r="2956" spans="39:41" x14ac:dyDescent="0.25">
      <c r="AM2956" s="2">
        <v>2953</v>
      </c>
      <c r="AN2956" s="33">
        <v>1.1751729053482622E-2</v>
      </c>
      <c r="AO2956" s="33">
        <v>7.3279088092009228E-4</v>
      </c>
    </row>
    <row r="2957" spans="39:41" x14ac:dyDescent="0.25">
      <c r="AM2957" s="2">
        <v>2954</v>
      </c>
      <c r="AN2957" s="33">
        <v>1.3252970995733622E-2</v>
      </c>
      <c r="AO2957" s="33">
        <v>1.0814566859749389E-3</v>
      </c>
    </row>
    <row r="2958" spans="39:41" x14ac:dyDescent="0.25">
      <c r="AM2958" s="2">
        <v>2955</v>
      </c>
      <c r="AN2958" s="33">
        <v>1.1759026411264533E-2</v>
      </c>
      <c r="AO2958" s="33">
        <v>2.8528877842482175E-4</v>
      </c>
    </row>
    <row r="2959" spans="39:41" x14ac:dyDescent="0.25">
      <c r="AM2959" s="2">
        <v>2956</v>
      </c>
      <c r="AN2959" s="33">
        <v>1.2183768313455169E-2</v>
      </c>
      <c r="AO2959" s="33">
        <v>8.9539670329379865E-4</v>
      </c>
    </row>
    <row r="2960" spans="39:41" x14ac:dyDescent="0.25">
      <c r="AM2960" s="2">
        <v>2957</v>
      </c>
      <c r="AN2960" s="33">
        <v>1.1384185527731721E-2</v>
      </c>
      <c r="AO2960" s="33">
        <v>6.8208685305933816E-4</v>
      </c>
    </row>
    <row r="2961" spans="39:41" x14ac:dyDescent="0.25">
      <c r="AM2961" s="2">
        <v>2958</v>
      </c>
      <c r="AN2961" s="33">
        <v>9.7147229112796579E-3</v>
      </c>
      <c r="AO2961" s="33">
        <v>6.9640587767093841E-4</v>
      </c>
    </row>
    <row r="2962" spans="39:41" x14ac:dyDescent="0.25">
      <c r="AM2962" s="2">
        <v>2959</v>
      </c>
      <c r="AN2962" s="33">
        <v>1.2192175297555487E-2</v>
      </c>
      <c r="AO2962" s="33">
        <v>8.4835984742083958E-4</v>
      </c>
    </row>
    <row r="2963" spans="39:41" x14ac:dyDescent="0.25">
      <c r="AM2963" s="2">
        <v>2960</v>
      </c>
      <c r="AN2963" s="33">
        <v>1.1694100522634513E-2</v>
      </c>
      <c r="AO2963" s="33">
        <v>9.4095996435217613E-4</v>
      </c>
    </row>
    <row r="2964" spans="39:41" x14ac:dyDescent="0.25">
      <c r="AM2964" s="2">
        <v>2961</v>
      </c>
      <c r="AN2964" s="33">
        <v>1.4637252867947672E-2</v>
      </c>
      <c r="AO2964" s="33">
        <v>1.2123752561944705E-3</v>
      </c>
    </row>
    <row r="2965" spans="39:41" x14ac:dyDescent="0.25">
      <c r="AM2965" s="2">
        <v>2962</v>
      </c>
      <c r="AN2965" s="33">
        <v>1.3641818222674322E-2</v>
      </c>
      <c r="AO2965" s="33">
        <v>9.8110914703279802E-4</v>
      </c>
    </row>
    <row r="2966" spans="39:41" x14ac:dyDescent="0.25">
      <c r="AM2966" s="2">
        <v>2963</v>
      </c>
      <c r="AN2966" s="33">
        <v>1.0254580251872572E-2</v>
      </c>
      <c r="AO2966" s="33">
        <v>8.4964982452180799E-4</v>
      </c>
    </row>
    <row r="2967" spans="39:41" x14ac:dyDescent="0.25">
      <c r="AM2967" s="2">
        <v>2964</v>
      </c>
      <c r="AN2967" s="33">
        <v>1.0436535467441097E-2</v>
      </c>
      <c r="AO2967" s="33">
        <v>8.6345436051610681E-4</v>
      </c>
    </row>
    <row r="2968" spans="39:41" x14ac:dyDescent="0.25">
      <c r="AM2968" s="2">
        <v>2965</v>
      </c>
      <c r="AN2968" s="33">
        <v>9.2749126978200289E-3</v>
      </c>
      <c r="AO2968" s="33">
        <v>6.8979344060729486E-4</v>
      </c>
    </row>
    <row r="2969" spans="39:41" x14ac:dyDescent="0.25">
      <c r="AM2969" s="2">
        <v>2966</v>
      </c>
      <c r="AN2969" s="33">
        <v>1.2996508876202963E-2</v>
      </c>
      <c r="AO2969" s="33">
        <v>8.2976898563925624E-4</v>
      </c>
    </row>
    <row r="2970" spans="39:41" x14ac:dyDescent="0.25">
      <c r="AM2970" s="2">
        <v>2967</v>
      </c>
      <c r="AN2970" s="33">
        <v>9.6942754041032808E-3</v>
      </c>
      <c r="AO2970" s="33">
        <v>6.7222900168453477E-4</v>
      </c>
    </row>
    <row r="2971" spans="39:41" x14ac:dyDescent="0.25">
      <c r="AM2971" s="2">
        <v>2968</v>
      </c>
      <c r="AN2971" s="33">
        <v>1.143579031807186E-2</v>
      </c>
      <c r="AO2971" s="33">
        <v>9.3728141107471733E-4</v>
      </c>
    </row>
    <row r="2972" spans="39:41" x14ac:dyDescent="0.25">
      <c r="AM2972" s="2">
        <v>2969</v>
      </c>
      <c r="AN2972" s="33">
        <v>8.2476547752177269E-3</v>
      </c>
      <c r="AO2972" s="33">
        <v>6.0775497985243591E-4</v>
      </c>
    </row>
    <row r="2973" spans="39:41" x14ac:dyDescent="0.25">
      <c r="AM2973" s="2">
        <v>2970</v>
      </c>
      <c r="AN2973" s="33">
        <v>1.2919615865176341E-2</v>
      </c>
      <c r="AO2973" s="33">
        <v>4.5702406827135449E-4</v>
      </c>
    </row>
    <row r="2974" spans="39:41" x14ac:dyDescent="0.25">
      <c r="AM2974" s="2">
        <v>2971</v>
      </c>
      <c r="AN2974" s="33">
        <v>1.2314630348221065E-2</v>
      </c>
      <c r="AO2974" s="33">
        <v>4.778547420768372E-4</v>
      </c>
    </row>
    <row r="2975" spans="39:41" x14ac:dyDescent="0.25">
      <c r="AM2975" s="2">
        <v>2972</v>
      </c>
      <c r="AN2975" s="33">
        <v>9.8113623209837627E-3</v>
      </c>
      <c r="AO2975" s="33">
        <v>7.0931320854627339E-4</v>
      </c>
    </row>
    <row r="2976" spans="39:41" x14ac:dyDescent="0.25">
      <c r="AM2976" s="2">
        <v>2973</v>
      </c>
      <c r="AN2976" s="33">
        <v>1.2584441880840982E-2</v>
      </c>
      <c r="AO2976" s="33">
        <v>9.3414391833391089E-4</v>
      </c>
    </row>
    <row r="2977" spans="39:41" x14ac:dyDescent="0.25">
      <c r="AM2977" s="2">
        <v>2974</v>
      </c>
      <c r="AN2977" s="33">
        <v>9.2741521570274023E-3</v>
      </c>
      <c r="AO2977" s="33">
        <v>3.5972873824276474E-4</v>
      </c>
    </row>
    <row r="2978" spans="39:41" x14ac:dyDescent="0.25">
      <c r="AM2978" s="2">
        <v>2975</v>
      </c>
      <c r="AN2978" s="33">
        <v>1.03065404231918E-2</v>
      </c>
      <c r="AO2978" s="33">
        <v>5.91436211237971E-4</v>
      </c>
    </row>
    <row r="2979" spans="39:41" x14ac:dyDescent="0.25">
      <c r="AM2979" s="2">
        <v>2976</v>
      </c>
      <c r="AN2979" s="33">
        <v>1.0518388076786189E-2</v>
      </c>
      <c r="AO2979" s="33">
        <v>6.8241813578391868E-4</v>
      </c>
    </row>
    <row r="2980" spans="39:41" x14ac:dyDescent="0.25">
      <c r="AM2980" s="2">
        <v>2977</v>
      </c>
      <c r="AN2980" s="33">
        <v>1.3125642365274224E-2</v>
      </c>
      <c r="AO2980" s="33">
        <v>1.3112473783914776E-3</v>
      </c>
    </row>
    <row r="2981" spans="39:41" x14ac:dyDescent="0.25">
      <c r="AM2981" s="2">
        <v>2978</v>
      </c>
      <c r="AN2981" s="33">
        <v>1.254701748026618E-2</v>
      </c>
      <c r="AO2981" s="33">
        <v>9.6950032010957284E-4</v>
      </c>
    </row>
    <row r="2982" spans="39:41" x14ac:dyDescent="0.25">
      <c r="AM2982" s="2">
        <v>2979</v>
      </c>
      <c r="AN2982" s="33">
        <v>1.7014254705475802E-2</v>
      </c>
      <c r="AO2982" s="33">
        <v>1.5615309819318522E-3</v>
      </c>
    </row>
    <row r="2983" spans="39:41" x14ac:dyDescent="0.25">
      <c r="AM2983" s="2">
        <v>2980</v>
      </c>
      <c r="AN2983" s="33">
        <v>1.3474596258439615E-2</v>
      </c>
      <c r="AO2983" s="33">
        <v>1.1694304665745287E-3</v>
      </c>
    </row>
    <row r="2984" spans="39:41" x14ac:dyDescent="0.25">
      <c r="AM2984" s="2">
        <v>2981</v>
      </c>
      <c r="AN2984" s="33">
        <v>1.274986394238466E-2</v>
      </c>
      <c r="AO2984" s="33">
        <v>1.10476479091755E-3</v>
      </c>
    </row>
    <row r="2985" spans="39:41" x14ac:dyDescent="0.25">
      <c r="AM2985" s="2">
        <v>2982</v>
      </c>
      <c r="AN2985" s="33">
        <v>1.1988020059102182E-2</v>
      </c>
      <c r="AO2985" s="33">
        <v>8.2659062307863425E-4</v>
      </c>
    </row>
    <row r="2986" spans="39:41" x14ac:dyDescent="0.25">
      <c r="AM2986" s="2">
        <v>2983</v>
      </c>
      <c r="AN2986" s="33">
        <v>1.1922111896070548E-2</v>
      </c>
      <c r="AO2986" s="33">
        <v>6.6757123322734048E-4</v>
      </c>
    </row>
    <row r="2987" spans="39:41" x14ac:dyDescent="0.25">
      <c r="AM2987" s="2">
        <v>2984</v>
      </c>
      <c r="AN2987" s="33">
        <v>9.2319935183715514E-3</v>
      </c>
      <c r="AO2987" s="33">
        <v>8.3115162144453193E-4</v>
      </c>
    </row>
    <row r="2988" spans="39:41" x14ac:dyDescent="0.25">
      <c r="AM2988" s="2">
        <v>2985</v>
      </c>
      <c r="AN2988" s="33">
        <v>1.3765302682618101E-2</v>
      </c>
      <c r="AO2988" s="33">
        <v>1.2545746411539642E-3</v>
      </c>
    </row>
    <row r="2989" spans="39:41" x14ac:dyDescent="0.25">
      <c r="AM2989" s="2">
        <v>2986</v>
      </c>
      <c r="AN2989" s="33">
        <v>7.9065713256767107E-3</v>
      </c>
      <c r="AO2989" s="33">
        <v>5.2424734825591893E-4</v>
      </c>
    </row>
    <row r="2990" spans="39:41" x14ac:dyDescent="0.25">
      <c r="AM2990" s="2">
        <v>2987</v>
      </c>
      <c r="AN2990" s="33">
        <v>1.189669433459691E-2</v>
      </c>
      <c r="AO2990" s="33">
        <v>8.8971521878970468E-4</v>
      </c>
    </row>
    <row r="2991" spans="39:41" x14ac:dyDescent="0.25">
      <c r="AM2991" s="2">
        <v>2988</v>
      </c>
      <c r="AN2991" s="33">
        <v>1.0863664584261726E-2</v>
      </c>
      <c r="AO2991" s="33">
        <v>7.4833807333475329E-4</v>
      </c>
    </row>
    <row r="2992" spans="39:41" x14ac:dyDescent="0.25">
      <c r="AM2992" s="2">
        <v>2989</v>
      </c>
      <c r="AN2992" s="33">
        <v>1.5945937011721634E-2</v>
      </c>
      <c r="AO2992" s="33">
        <v>1.2485926584538554E-3</v>
      </c>
    </row>
    <row r="2993" spans="39:41" x14ac:dyDescent="0.25">
      <c r="AM2993" s="2">
        <v>2990</v>
      </c>
      <c r="AN2993" s="33">
        <v>1.4853291852562301E-2</v>
      </c>
      <c r="AO2993" s="33">
        <v>8.7905273875029137E-4</v>
      </c>
    </row>
    <row r="2994" spans="39:41" x14ac:dyDescent="0.25">
      <c r="AM2994" s="2">
        <v>2991</v>
      </c>
      <c r="AN2994" s="33">
        <v>1.3682732090486904E-2</v>
      </c>
      <c r="AO2994" s="33">
        <v>1.3220058095544326E-3</v>
      </c>
    </row>
    <row r="2995" spans="39:41" x14ac:dyDescent="0.25">
      <c r="AM2995" s="2">
        <v>2992</v>
      </c>
      <c r="AN2995" s="33">
        <v>1.5945646794995272E-2</v>
      </c>
      <c r="AO2995" s="33">
        <v>1.355677382098137E-3</v>
      </c>
    </row>
    <row r="2996" spans="39:41" x14ac:dyDescent="0.25">
      <c r="AM2996" s="2">
        <v>2993</v>
      </c>
      <c r="AN2996" s="33">
        <v>1.4275397047411773E-2</v>
      </c>
      <c r="AO2996" s="33">
        <v>1.2729797281867382E-3</v>
      </c>
    </row>
    <row r="2997" spans="39:41" x14ac:dyDescent="0.25">
      <c r="AM2997" s="2">
        <v>2994</v>
      </c>
      <c r="AN2997" s="33">
        <v>1.1602089689672412E-2</v>
      </c>
      <c r="AO2997" s="33">
        <v>4.4121725520963911E-4</v>
      </c>
    </row>
    <row r="2998" spans="39:41" x14ac:dyDescent="0.25">
      <c r="AM2998" s="2">
        <v>2995</v>
      </c>
      <c r="AN2998" s="33">
        <v>1.2382652020985247E-2</v>
      </c>
      <c r="AO2998" s="33">
        <v>7.6074339859342718E-4</v>
      </c>
    </row>
    <row r="2999" spans="39:41" x14ac:dyDescent="0.25">
      <c r="AM2999" s="2">
        <v>2996</v>
      </c>
      <c r="AN2999" s="33">
        <v>9.2493717803392439E-3</v>
      </c>
      <c r="AO2999" s="33">
        <v>6.994993562653187E-4</v>
      </c>
    </row>
    <row r="3000" spans="39:41" x14ac:dyDescent="0.25">
      <c r="AM3000" s="2">
        <v>2997</v>
      </c>
      <c r="AN3000" s="33">
        <v>1.2292304974062869E-2</v>
      </c>
      <c r="AO3000" s="33">
        <v>6.3525174568911981E-4</v>
      </c>
    </row>
    <row r="3001" spans="39:41" x14ac:dyDescent="0.25">
      <c r="AM3001" s="2">
        <v>2998</v>
      </c>
      <c r="AN3001" s="33">
        <v>1.4210344814605235E-2</v>
      </c>
      <c r="AO3001" s="33">
        <v>1.1801650132334048E-3</v>
      </c>
    </row>
    <row r="3002" spans="39:41" x14ac:dyDescent="0.25">
      <c r="AM3002" s="2">
        <v>2999</v>
      </c>
      <c r="AN3002" s="33">
        <v>9.810216662249148E-3</v>
      </c>
      <c r="AO3002" s="33">
        <v>4.3946263743040008E-4</v>
      </c>
    </row>
    <row r="3003" spans="39:41" x14ac:dyDescent="0.25">
      <c r="AM3003" s="2">
        <v>3000</v>
      </c>
      <c r="AN3003" s="33">
        <v>1.1945521544579226E-2</v>
      </c>
      <c r="AO3003" s="33">
        <v>1.014322310184564E-3</v>
      </c>
    </row>
    <row r="3004" spans="39:41" x14ac:dyDescent="0.25">
      <c r="AM3004" s="2">
        <v>3001</v>
      </c>
      <c r="AN3004" s="33">
        <v>1.2932120986114275E-2</v>
      </c>
      <c r="AO3004" s="33">
        <v>1.0020138463895285E-3</v>
      </c>
    </row>
    <row r="3005" spans="39:41" x14ac:dyDescent="0.25">
      <c r="AM3005" s="2">
        <v>3002</v>
      </c>
      <c r="AN3005" s="33">
        <v>1.2668142898711489E-2</v>
      </c>
      <c r="AO3005" s="33">
        <v>1.1862481021695098E-3</v>
      </c>
    </row>
    <row r="3006" spans="39:41" x14ac:dyDescent="0.25">
      <c r="AM3006" s="2">
        <v>3003</v>
      </c>
      <c r="AN3006" s="33">
        <v>1.0354974185929303E-2</v>
      </c>
      <c r="AO3006" s="33">
        <v>3.6831955490463725E-4</v>
      </c>
    </row>
    <row r="3007" spans="39:41" x14ac:dyDescent="0.25">
      <c r="AM3007" s="2">
        <v>3004</v>
      </c>
      <c r="AN3007" s="33">
        <v>9.8427700475960406E-3</v>
      </c>
      <c r="AO3007" s="33">
        <v>5.6976644927936456E-4</v>
      </c>
    </row>
    <row r="3008" spans="39:41" x14ac:dyDescent="0.25">
      <c r="AM3008" s="2">
        <v>3005</v>
      </c>
      <c r="AN3008" s="33">
        <v>9.3096663981432799E-3</v>
      </c>
      <c r="AO3008" s="33">
        <v>5.0187014297424363E-4</v>
      </c>
    </row>
    <row r="3009" spans="39:41" x14ac:dyDescent="0.25">
      <c r="AM3009" s="2">
        <v>3006</v>
      </c>
      <c r="AN3009" s="33">
        <v>1.0810616676516204E-2</v>
      </c>
      <c r="AO3009" s="33">
        <v>6.9109233807641856E-4</v>
      </c>
    </row>
    <row r="3010" spans="39:41" x14ac:dyDescent="0.25">
      <c r="AM3010" s="2">
        <v>3007</v>
      </c>
      <c r="AN3010" s="33">
        <v>9.6088139954558522E-3</v>
      </c>
      <c r="AO3010" s="33">
        <v>7.3240314874590672E-4</v>
      </c>
    </row>
    <row r="3011" spans="39:41" x14ac:dyDescent="0.25">
      <c r="AM3011" s="2">
        <v>3008</v>
      </c>
      <c r="AN3011" s="33">
        <v>1.5332916789942499E-2</v>
      </c>
      <c r="AO3011" s="33">
        <v>1.1702177621146794E-3</v>
      </c>
    </row>
    <row r="3012" spans="39:41" x14ac:dyDescent="0.25">
      <c r="AM3012" s="2">
        <v>3009</v>
      </c>
      <c r="AN3012" s="33">
        <v>1.3482631964689752E-2</v>
      </c>
      <c r="AO3012" s="33">
        <v>1.1634082178953119E-3</v>
      </c>
    </row>
    <row r="3013" spans="39:41" x14ac:dyDescent="0.25">
      <c r="AM3013" s="2">
        <v>3010</v>
      </c>
      <c r="AN3013" s="33">
        <v>1.0034629650370306E-2</v>
      </c>
      <c r="AO3013" s="33">
        <v>5.1618140916593767E-4</v>
      </c>
    </row>
    <row r="3014" spans="39:41" x14ac:dyDescent="0.25">
      <c r="AM3014" s="2">
        <v>3011</v>
      </c>
      <c r="AN3014" s="33">
        <v>1.1928592988217974E-2</v>
      </c>
      <c r="AO3014" s="33">
        <v>6.3965833994366976E-4</v>
      </c>
    </row>
    <row r="3015" spans="39:41" x14ac:dyDescent="0.25">
      <c r="AM3015" s="2">
        <v>3012</v>
      </c>
      <c r="AN3015" s="33">
        <v>1.347444853780148E-2</v>
      </c>
      <c r="AO3015" s="33">
        <v>1.2152776010391918E-3</v>
      </c>
    </row>
    <row r="3016" spans="39:41" x14ac:dyDescent="0.25">
      <c r="AM3016" s="2">
        <v>3013</v>
      </c>
      <c r="AN3016" s="33">
        <v>8.0428142773120749E-3</v>
      </c>
      <c r="AO3016" s="33">
        <v>4.2570852360694552E-4</v>
      </c>
    </row>
    <row r="3017" spans="39:41" x14ac:dyDescent="0.25">
      <c r="AM3017" s="2">
        <v>3014</v>
      </c>
      <c r="AN3017" s="33">
        <v>8.949697216321658E-3</v>
      </c>
      <c r="AO3017" s="33">
        <v>6.423819946558705E-4</v>
      </c>
    </row>
    <row r="3018" spans="39:41" x14ac:dyDescent="0.25">
      <c r="AM3018" s="2">
        <v>3015</v>
      </c>
      <c r="AN3018" s="33">
        <v>1.0280567338480694E-2</v>
      </c>
      <c r="AO3018" s="33">
        <v>2.9323206122683473E-4</v>
      </c>
    </row>
    <row r="3019" spans="39:41" x14ac:dyDescent="0.25">
      <c r="AM3019" s="2">
        <v>3016</v>
      </c>
      <c r="AN3019" s="33">
        <v>1.0594099628030295E-2</v>
      </c>
      <c r="AO3019" s="33">
        <v>7.1547379623233408E-4</v>
      </c>
    </row>
    <row r="3020" spans="39:41" x14ac:dyDescent="0.25">
      <c r="AM3020" s="2">
        <v>3017</v>
      </c>
      <c r="AN3020" s="33">
        <v>7.8565819826429337E-3</v>
      </c>
      <c r="AO3020" s="33">
        <v>4.8566895734069524E-4</v>
      </c>
    </row>
    <row r="3021" spans="39:41" x14ac:dyDescent="0.25">
      <c r="AM3021" s="2">
        <v>3018</v>
      </c>
      <c r="AN3021" s="33">
        <v>1.2333776818761534E-2</v>
      </c>
      <c r="AO3021" s="33">
        <v>1.2233222294612117E-3</v>
      </c>
    </row>
    <row r="3022" spans="39:41" x14ac:dyDescent="0.25">
      <c r="AM3022" s="2">
        <v>3019</v>
      </c>
      <c r="AN3022" s="33">
        <v>1.2411154653332679E-2</v>
      </c>
      <c r="AO3022" s="33">
        <v>1.0652211097397521E-3</v>
      </c>
    </row>
    <row r="3023" spans="39:41" x14ac:dyDescent="0.25">
      <c r="AM3023" s="2">
        <v>3020</v>
      </c>
      <c r="AN3023" s="33">
        <v>1.0417717198127443E-2</v>
      </c>
      <c r="AO3023" s="33">
        <v>5.0188308193992344E-4</v>
      </c>
    </row>
    <row r="3024" spans="39:41" x14ac:dyDescent="0.25">
      <c r="AM3024" s="2">
        <v>3021</v>
      </c>
      <c r="AN3024" s="33">
        <v>1.1107672179444979E-2</v>
      </c>
      <c r="AO3024" s="33">
        <v>5.6563290474389921E-4</v>
      </c>
    </row>
    <row r="3025" spans="39:41" x14ac:dyDescent="0.25">
      <c r="AM3025" s="2">
        <v>3022</v>
      </c>
      <c r="AN3025" s="33">
        <v>1.0886837972750666E-2</v>
      </c>
      <c r="AO3025" s="33">
        <v>7.9173365159177639E-4</v>
      </c>
    </row>
    <row r="3026" spans="39:41" x14ac:dyDescent="0.25">
      <c r="AM3026" s="2">
        <v>3023</v>
      </c>
      <c r="AN3026" s="33">
        <v>1.4214516572990618E-2</v>
      </c>
      <c r="AO3026" s="33">
        <v>1.0018329750802564E-3</v>
      </c>
    </row>
    <row r="3027" spans="39:41" x14ac:dyDescent="0.25">
      <c r="AM3027" s="2">
        <v>3024</v>
      </c>
      <c r="AN3027" s="33">
        <v>1.3955480557359356E-2</v>
      </c>
      <c r="AO3027" s="33">
        <v>1.2966466827187045E-3</v>
      </c>
    </row>
    <row r="3028" spans="39:41" x14ac:dyDescent="0.25">
      <c r="AM3028" s="2">
        <v>3025</v>
      </c>
      <c r="AN3028" s="33">
        <v>1.4567155854378972E-2</v>
      </c>
      <c r="AO3028" s="33">
        <v>1.1619464926363131E-3</v>
      </c>
    </row>
    <row r="3029" spans="39:41" x14ac:dyDescent="0.25">
      <c r="AM3029" s="2">
        <v>3026</v>
      </c>
      <c r="AN3029" s="33">
        <v>1.2788805375329872E-2</v>
      </c>
      <c r="AO3029" s="33">
        <v>1.3377095704562505E-3</v>
      </c>
    </row>
    <row r="3030" spans="39:41" x14ac:dyDescent="0.25">
      <c r="AM3030" s="2">
        <v>3027</v>
      </c>
      <c r="AN3030" s="33">
        <v>1.2565580946963299E-2</v>
      </c>
      <c r="AO3030" s="33">
        <v>7.4208117775930013E-4</v>
      </c>
    </row>
    <row r="3031" spans="39:41" x14ac:dyDescent="0.25">
      <c r="AM3031" s="2">
        <v>3028</v>
      </c>
      <c r="AN3031" s="33">
        <v>1.2349599426714725E-2</v>
      </c>
      <c r="AO3031" s="33">
        <v>5.7539293563962999E-4</v>
      </c>
    </row>
    <row r="3032" spans="39:41" x14ac:dyDescent="0.25">
      <c r="AM3032" s="2">
        <v>3029</v>
      </c>
      <c r="AN3032" s="33">
        <v>1.1883701788717973E-2</v>
      </c>
      <c r="AO3032" s="33">
        <v>8.0506215159818978E-4</v>
      </c>
    </row>
    <row r="3033" spans="39:41" x14ac:dyDescent="0.25">
      <c r="AM3033" s="2">
        <v>3030</v>
      </c>
      <c r="AN3033" s="33">
        <v>1.2393503816213484E-2</v>
      </c>
      <c r="AO3033" s="33">
        <v>1.1472654575754766E-3</v>
      </c>
    </row>
    <row r="3034" spans="39:41" x14ac:dyDescent="0.25">
      <c r="AM3034" s="2">
        <v>3031</v>
      </c>
      <c r="AN3034" s="33">
        <v>1.2803337959278082E-2</v>
      </c>
      <c r="AO3034" s="33">
        <v>1.1038479831571072E-3</v>
      </c>
    </row>
    <row r="3035" spans="39:41" x14ac:dyDescent="0.25">
      <c r="AM3035" s="2">
        <v>3032</v>
      </c>
      <c r="AN3035" s="33">
        <v>8.5467313867600078E-3</v>
      </c>
      <c r="AO3035" s="33">
        <v>1.8955574848349754E-4</v>
      </c>
    </row>
    <row r="3036" spans="39:41" x14ac:dyDescent="0.25">
      <c r="AM3036" s="2">
        <v>3033</v>
      </c>
      <c r="AN3036" s="33">
        <v>1.4547576453532891E-2</v>
      </c>
      <c r="AO3036" s="33">
        <v>1.1800386630007129E-3</v>
      </c>
    </row>
    <row r="3037" spans="39:41" x14ac:dyDescent="0.25">
      <c r="AM3037" s="2">
        <v>3034</v>
      </c>
      <c r="AN3037" s="33">
        <v>9.3652565251878123E-3</v>
      </c>
      <c r="AO3037" s="33">
        <v>4.4507540092640705E-4</v>
      </c>
    </row>
    <row r="3038" spans="39:41" x14ac:dyDescent="0.25">
      <c r="AM3038" s="2">
        <v>3035</v>
      </c>
      <c r="AN3038" s="33">
        <v>1.1208982439398373E-2</v>
      </c>
      <c r="AO3038" s="33">
        <v>9.9657082277878717E-4</v>
      </c>
    </row>
    <row r="3039" spans="39:41" x14ac:dyDescent="0.25">
      <c r="AM3039" s="2">
        <v>3036</v>
      </c>
      <c r="AN3039" s="33">
        <v>1.3293539266970227E-2</v>
      </c>
      <c r="AO3039" s="33">
        <v>9.7225282093757416E-4</v>
      </c>
    </row>
    <row r="3040" spans="39:41" x14ac:dyDescent="0.25">
      <c r="AM3040" s="2">
        <v>3037</v>
      </c>
      <c r="AN3040" s="33">
        <v>1.0611719885575376E-2</v>
      </c>
      <c r="AO3040" s="33">
        <v>4.416000213565153E-4</v>
      </c>
    </row>
    <row r="3041" spans="39:41" x14ac:dyDescent="0.25">
      <c r="AM3041" s="2">
        <v>3038</v>
      </c>
      <c r="AN3041" s="33">
        <v>1.1901316287826234E-2</v>
      </c>
      <c r="AO3041" s="33">
        <v>6.6704484492854487E-4</v>
      </c>
    </row>
    <row r="3042" spans="39:41" x14ac:dyDescent="0.25">
      <c r="AM3042" s="2">
        <v>3039</v>
      </c>
      <c r="AN3042" s="33">
        <v>8.8828101264400525E-3</v>
      </c>
      <c r="AO3042" s="33">
        <v>7.9003297602644562E-4</v>
      </c>
    </row>
    <row r="3043" spans="39:41" x14ac:dyDescent="0.25">
      <c r="AM3043" s="2">
        <v>3040</v>
      </c>
      <c r="AN3043" s="33">
        <v>1.0250718967566045E-2</v>
      </c>
      <c r="AO3043" s="33">
        <v>3.5038473512559606E-4</v>
      </c>
    </row>
    <row r="3044" spans="39:41" x14ac:dyDescent="0.25">
      <c r="AM3044" s="2">
        <v>3041</v>
      </c>
      <c r="AN3044" s="33">
        <v>1.2322987287123532E-2</v>
      </c>
      <c r="AO3044" s="33">
        <v>1.1036337911243441E-3</v>
      </c>
    </row>
    <row r="3045" spans="39:41" x14ac:dyDescent="0.25">
      <c r="AM3045" s="2">
        <v>3042</v>
      </c>
      <c r="AN3045" s="33">
        <v>1.1985205400795821E-2</v>
      </c>
      <c r="AO3045" s="33">
        <v>6.9503901644161863E-4</v>
      </c>
    </row>
    <row r="3046" spans="39:41" x14ac:dyDescent="0.25">
      <c r="AM3046" s="2">
        <v>3043</v>
      </c>
      <c r="AN3046" s="33">
        <v>7.461947986106051E-3</v>
      </c>
      <c r="AO3046" s="33">
        <v>4.1521149229645433E-4</v>
      </c>
    </row>
    <row r="3047" spans="39:41" x14ac:dyDescent="0.25">
      <c r="AM3047" s="2">
        <v>3044</v>
      </c>
      <c r="AN3047" s="33">
        <v>1.3471342112739843E-2</v>
      </c>
      <c r="AO3047" s="33">
        <v>6.0499863368748468E-4</v>
      </c>
    </row>
    <row r="3048" spans="39:41" x14ac:dyDescent="0.25">
      <c r="AM3048" s="2">
        <v>3045</v>
      </c>
      <c r="AN3048" s="33">
        <v>1.228960853646892E-2</v>
      </c>
      <c r="AO3048" s="33">
        <v>6.3826157574589594E-4</v>
      </c>
    </row>
    <row r="3049" spans="39:41" x14ac:dyDescent="0.25">
      <c r="AM3049" s="2">
        <v>3046</v>
      </c>
      <c r="AN3049" s="33">
        <v>1.2213541571977283E-2</v>
      </c>
      <c r="AO3049" s="33">
        <v>1.2493400214021995E-3</v>
      </c>
    </row>
    <row r="3050" spans="39:41" x14ac:dyDescent="0.25">
      <c r="AM3050" s="2">
        <v>3047</v>
      </c>
      <c r="AN3050" s="33">
        <v>1.122604442592133E-2</v>
      </c>
      <c r="AO3050" s="33">
        <v>8.9939831744509141E-4</v>
      </c>
    </row>
    <row r="3051" spans="39:41" x14ac:dyDescent="0.25">
      <c r="AM3051" s="2">
        <v>3048</v>
      </c>
      <c r="AN3051" s="33">
        <v>9.3564099157860021E-3</v>
      </c>
      <c r="AO3051" s="33">
        <v>6.2958775338615373E-4</v>
      </c>
    </row>
    <row r="3052" spans="39:41" x14ac:dyDescent="0.25">
      <c r="AM3052" s="2">
        <v>3049</v>
      </c>
      <c r="AN3052" s="33">
        <v>1.2922453500696995E-2</v>
      </c>
      <c r="AO3052" s="33">
        <v>1.0518575037882548E-3</v>
      </c>
    </row>
    <row r="3053" spans="39:41" x14ac:dyDescent="0.25">
      <c r="AM3053" s="2">
        <v>3050</v>
      </c>
      <c r="AN3053" s="33">
        <v>1.1204338334382278E-2</v>
      </c>
      <c r="AO3053" s="33">
        <v>8.8487343223775502E-4</v>
      </c>
    </row>
    <row r="3054" spans="39:41" x14ac:dyDescent="0.25">
      <c r="AM3054" s="2">
        <v>3051</v>
      </c>
      <c r="AN3054" s="33">
        <v>1.2632659292957829E-2</v>
      </c>
      <c r="AO3054" s="33">
        <v>8.2101251987150975E-4</v>
      </c>
    </row>
    <row r="3055" spans="39:41" x14ac:dyDescent="0.25">
      <c r="AM3055" s="2">
        <v>3052</v>
      </c>
      <c r="AN3055" s="33">
        <v>1.2193540057608383E-2</v>
      </c>
      <c r="AO3055" s="33">
        <v>7.4719038052578098E-5</v>
      </c>
    </row>
    <row r="3056" spans="39:41" x14ac:dyDescent="0.25">
      <c r="AM3056" s="2">
        <v>3053</v>
      </c>
      <c r="AN3056" s="33">
        <v>9.939796751399466E-3</v>
      </c>
      <c r="AO3056" s="33">
        <v>8.966514557758005E-4</v>
      </c>
    </row>
    <row r="3057" spans="39:41" x14ac:dyDescent="0.25">
      <c r="AM3057" s="2">
        <v>3054</v>
      </c>
      <c r="AN3057" s="33">
        <v>1.5826023045463818E-2</v>
      </c>
      <c r="AO3057" s="33">
        <v>1.3036879220593013E-3</v>
      </c>
    </row>
    <row r="3058" spans="39:41" x14ac:dyDescent="0.25">
      <c r="AM3058" s="2">
        <v>3055</v>
      </c>
      <c r="AN3058" s="33">
        <v>1.0987616585886298E-2</v>
      </c>
      <c r="AO3058" s="33">
        <v>1.8121123668728601E-4</v>
      </c>
    </row>
    <row r="3059" spans="39:41" x14ac:dyDescent="0.25">
      <c r="AM3059" s="2">
        <v>3056</v>
      </c>
      <c r="AN3059" s="33">
        <v>1.72355133728932E-2</v>
      </c>
      <c r="AO3059" s="33">
        <v>1.6552009087176937E-3</v>
      </c>
    </row>
    <row r="3060" spans="39:41" x14ac:dyDescent="0.25">
      <c r="AM3060" s="2">
        <v>3057</v>
      </c>
      <c r="AN3060" s="33">
        <v>9.4990735091977779E-3</v>
      </c>
      <c r="AO3060" s="33">
        <v>7.0032887313401968E-4</v>
      </c>
    </row>
    <row r="3061" spans="39:41" x14ac:dyDescent="0.25">
      <c r="AM3061" s="2">
        <v>3058</v>
      </c>
      <c r="AN3061" s="33">
        <v>1.0525968533644748E-2</v>
      </c>
      <c r="AO3061" s="33">
        <v>8.0648793891865815E-4</v>
      </c>
    </row>
    <row r="3062" spans="39:41" x14ac:dyDescent="0.25">
      <c r="AM3062" s="2">
        <v>3059</v>
      </c>
      <c r="AN3062" s="33">
        <v>1.1776175100247387E-2</v>
      </c>
      <c r="AO3062" s="33">
        <v>6.6543280051284577E-4</v>
      </c>
    </row>
    <row r="3063" spans="39:41" x14ac:dyDescent="0.25">
      <c r="AM3063" s="2">
        <v>3060</v>
      </c>
      <c r="AN3063" s="33">
        <v>1.3366055893229574E-2</v>
      </c>
      <c r="AO3063" s="33">
        <v>1.3196330337235703E-3</v>
      </c>
    </row>
    <row r="3064" spans="39:41" x14ac:dyDescent="0.25">
      <c r="AM3064" s="2">
        <v>3061</v>
      </c>
      <c r="AN3064" s="33">
        <v>1.1050815445536145E-2</v>
      </c>
      <c r="AO3064" s="33">
        <v>8.0881503379277798E-4</v>
      </c>
    </row>
    <row r="3065" spans="39:41" x14ac:dyDescent="0.25">
      <c r="AM3065" s="2">
        <v>3062</v>
      </c>
      <c r="AN3065" s="33">
        <v>1.5742608147654488E-2</v>
      </c>
      <c r="AO3065" s="33">
        <v>1.1124473003057357E-3</v>
      </c>
    </row>
    <row r="3066" spans="39:41" x14ac:dyDescent="0.25">
      <c r="AM3066" s="2">
        <v>3063</v>
      </c>
      <c r="AN3066" s="33">
        <v>1.0773789659560842E-2</v>
      </c>
      <c r="AO3066" s="33">
        <v>4.2872673425084929E-4</v>
      </c>
    </row>
    <row r="3067" spans="39:41" x14ac:dyDescent="0.25">
      <c r="AM3067" s="2">
        <v>3064</v>
      </c>
      <c r="AN3067" s="33">
        <v>1.1155936775035657E-2</v>
      </c>
      <c r="AO3067" s="33">
        <v>6.4269690206174724E-4</v>
      </c>
    </row>
    <row r="3068" spans="39:41" x14ac:dyDescent="0.25">
      <c r="AM3068" s="2">
        <v>3065</v>
      </c>
      <c r="AN3068" s="33">
        <v>1.254206841956213E-2</v>
      </c>
      <c r="AO3068" s="33">
        <v>9.9030227618557981E-4</v>
      </c>
    </row>
    <row r="3069" spans="39:41" x14ac:dyDescent="0.25">
      <c r="AM3069" s="2">
        <v>3066</v>
      </c>
      <c r="AN3069" s="33">
        <v>1.1029392857630837E-2</v>
      </c>
      <c r="AO3069" s="33">
        <v>8.2067176345404134E-4</v>
      </c>
    </row>
    <row r="3070" spans="39:41" x14ac:dyDescent="0.25">
      <c r="AM3070" s="2">
        <v>3067</v>
      </c>
      <c r="AN3070" s="33">
        <v>1.3581140571190807E-2</v>
      </c>
      <c r="AO3070" s="33">
        <v>1.3636477548037889E-3</v>
      </c>
    </row>
    <row r="3071" spans="39:41" x14ac:dyDescent="0.25">
      <c r="AM3071" s="2">
        <v>3068</v>
      </c>
      <c r="AN3071" s="33">
        <v>1.0652378477492076E-2</v>
      </c>
      <c r="AO3071" s="33">
        <v>8.9369831348061685E-4</v>
      </c>
    </row>
    <row r="3072" spans="39:41" x14ac:dyDescent="0.25">
      <c r="AM3072" s="2">
        <v>3069</v>
      </c>
      <c r="AN3072" s="33">
        <v>1.0193512671444794E-2</v>
      </c>
      <c r="AO3072" s="33">
        <v>2.4544420357227941E-4</v>
      </c>
    </row>
    <row r="3073" spans="39:41" x14ac:dyDescent="0.25">
      <c r="AM3073" s="2">
        <v>3070</v>
      </c>
      <c r="AN3073" s="33">
        <v>1.5684127497827313E-2</v>
      </c>
      <c r="AO3073" s="33">
        <v>1.2955308006809955E-3</v>
      </c>
    </row>
    <row r="3074" spans="39:41" x14ac:dyDescent="0.25">
      <c r="AM3074" s="2">
        <v>3071</v>
      </c>
      <c r="AN3074" s="33">
        <v>1.3489014388825911E-2</v>
      </c>
      <c r="AO3074" s="33">
        <v>9.5482824387455815E-4</v>
      </c>
    </row>
    <row r="3075" spans="39:41" x14ac:dyDescent="0.25">
      <c r="AM3075" s="2">
        <v>3072</v>
      </c>
      <c r="AN3075" s="33">
        <v>1.2099495170646171E-2</v>
      </c>
      <c r="AO3075" s="33">
        <v>1.2157630976050288E-3</v>
      </c>
    </row>
    <row r="3076" spans="39:41" x14ac:dyDescent="0.25">
      <c r="AM3076" s="2">
        <v>3073</v>
      </c>
      <c r="AN3076" s="33">
        <v>1.2398126371987053E-2</v>
      </c>
      <c r="AO3076" s="33">
        <v>9.7341809509080262E-4</v>
      </c>
    </row>
    <row r="3077" spans="39:41" x14ac:dyDescent="0.25">
      <c r="AM3077" s="2">
        <v>3074</v>
      </c>
      <c r="AN3077" s="33">
        <v>1.1506953493048189E-2</v>
      </c>
      <c r="AO3077" s="33">
        <v>9.2900983751888287E-4</v>
      </c>
    </row>
    <row r="3078" spans="39:41" x14ac:dyDescent="0.25">
      <c r="AM3078" s="2">
        <v>3075</v>
      </c>
      <c r="AN3078" s="33">
        <v>1.472940763642802E-2</v>
      </c>
      <c r="AO3078" s="33">
        <v>1.3636366684490503E-3</v>
      </c>
    </row>
    <row r="3079" spans="39:41" x14ac:dyDescent="0.25">
      <c r="AM3079" s="2">
        <v>3076</v>
      </c>
      <c r="AN3079" s="33">
        <v>1.127508085901203E-2</v>
      </c>
      <c r="AO3079" s="33">
        <v>6.0191841544461524E-4</v>
      </c>
    </row>
    <row r="3080" spans="39:41" x14ac:dyDescent="0.25">
      <c r="AM3080" s="2">
        <v>3077</v>
      </c>
      <c r="AN3080" s="33">
        <v>1.111837912730379E-2</v>
      </c>
      <c r="AO3080" s="33">
        <v>9.1925223711836071E-4</v>
      </c>
    </row>
    <row r="3081" spans="39:41" x14ac:dyDescent="0.25">
      <c r="AM3081" s="2">
        <v>3078</v>
      </c>
      <c r="AN3081" s="33">
        <v>9.0952681586969827E-3</v>
      </c>
      <c r="AO3081" s="33">
        <v>4.5930776928362611E-4</v>
      </c>
    </row>
    <row r="3082" spans="39:41" x14ac:dyDescent="0.25">
      <c r="AM3082" s="2">
        <v>3079</v>
      </c>
      <c r="AN3082" s="33">
        <v>1.1849364902859223E-2</v>
      </c>
      <c r="AO3082" s="33">
        <v>1.0406572178107466E-3</v>
      </c>
    </row>
    <row r="3083" spans="39:41" x14ac:dyDescent="0.25">
      <c r="AM3083" s="2">
        <v>3080</v>
      </c>
      <c r="AN3083" s="33">
        <v>1.0616227596691898E-2</v>
      </c>
      <c r="AO3083" s="33">
        <v>7.4246693668766591E-4</v>
      </c>
    </row>
    <row r="3084" spans="39:41" x14ac:dyDescent="0.25">
      <c r="AM3084" s="2">
        <v>3081</v>
      </c>
      <c r="AN3084" s="33">
        <v>1.2759793411990818E-2</v>
      </c>
      <c r="AO3084" s="33">
        <v>6.6344288434547769E-4</v>
      </c>
    </row>
    <row r="3085" spans="39:41" x14ac:dyDescent="0.25">
      <c r="AM3085" s="2">
        <v>3082</v>
      </c>
      <c r="AN3085" s="33">
        <v>1.0575980143360621E-2</v>
      </c>
      <c r="AO3085" s="33">
        <v>7.2898050015252069E-4</v>
      </c>
    </row>
    <row r="3086" spans="39:41" x14ac:dyDescent="0.25">
      <c r="AM3086" s="2">
        <v>3083</v>
      </c>
      <c r="AN3086" s="33">
        <v>1.1283810084260321E-2</v>
      </c>
      <c r="AO3086" s="33">
        <v>8.9846665502021255E-4</v>
      </c>
    </row>
    <row r="3087" spans="39:41" x14ac:dyDescent="0.25">
      <c r="AM3087" s="2">
        <v>3084</v>
      </c>
      <c r="AN3087" s="33">
        <v>8.8500818554594022E-3</v>
      </c>
      <c r="AO3087" s="33">
        <v>6.0702447028965721E-4</v>
      </c>
    </row>
    <row r="3088" spans="39:41" x14ac:dyDescent="0.25">
      <c r="AM3088" s="2">
        <v>3085</v>
      </c>
      <c r="AN3088" s="33">
        <v>1.1063711242917494E-2</v>
      </c>
      <c r="AO3088" s="33">
        <v>7.6221891715369831E-4</v>
      </c>
    </row>
    <row r="3089" spans="39:41" x14ac:dyDescent="0.25">
      <c r="AM3089" s="2">
        <v>3086</v>
      </c>
      <c r="AN3089" s="33">
        <v>1.0444755569027294E-2</v>
      </c>
      <c r="AO3089" s="33">
        <v>1.961334118270951E-4</v>
      </c>
    </row>
    <row r="3090" spans="39:41" x14ac:dyDescent="0.25">
      <c r="AM3090" s="2">
        <v>3087</v>
      </c>
      <c r="AN3090" s="33">
        <v>1.2177250618325733E-2</v>
      </c>
      <c r="AO3090" s="33">
        <v>5.2582259473440984E-4</v>
      </c>
    </row>
    <row r="3091" spans="39:41" x14ac:dyDescent="0.25">
      <c r="AM3091" s="2">
        <v>3088</v>
      </c>
      <c r="AN3091" s="33">
        <v>1.2256593092708146E-2</v>
      </c>
      <c r="AO3091" s="33">
        <v>4.594734749285609E-4</v>
      </c>
    </row>
    <row r="3092" spans="39:41" x14ac:dyDescent="0.25">
      <c r="AM3092" s="2">
        <v>3089</v>
      </c>
      <c r="AN3092" s="33">
        <v>7.9762051737621992E-3</v>
      </c>
      <c r="AO3092" s="33">
        <v>4.8151630200357051E-4</v>
      </c>
    </row>
    <row r="3093" spans="39:41" x14ac:dyDescent="0.25">
      <c r="AM3093" s="2">
        <v>3090</v>
      </c>
      <c r="AN3093" s="33">
        <v>1.0578279949686084E-2</v>
      </c>
      <c r="AO3093" s="33">
        <v>6.4095179480628064E-4</v>
      </c>
    </row>
    <row r="3094" spans="39:41" x14ac:dyDescent="0.25">
      <c r="AM3094" s="2">
        <v>3091</v>
      </c>
      <c r="AN3094" s="33">
        <v>8.6972570299961131E-3</v>
      </c>
      <c r="AO3094" s="33">
        <v>6.7644012850016325E-4</v>
      </c>
    </row>
    <row r="3095" spans="39:41" x14ac:dyDescent="0.25">
      <c r="AM3095" s="2">
        <v>3092</v>
      </c>
      <c r="AN3095" s="33">
        <v>1.1179608774186221E-2</v>
      </c>
      <c r="AO3095" s="33">
        <v>5.6458688137404835E-4</v>
      </c>
    </row>
    <row r="3096" spans="39:41" x14ac:dyDescent="0.25">
      <c r="AM3096" s="2">
        <v>3093</v>
      </c>
      <c r="AN3096" s="33">
        <v>1.2475084297328918E-2</v>
      </c>
      <c r="AO3096" s="33">
        <v>9.9251087717082929E-4</v>
      </c>
    </row>
    <row r="3097" spans="39:41" x14ac:dyDescent="0.25">
      <c r="AM3097" s="2">
        <v>3094</v>
      </c>
      <c r="AN3097" s="33">
        <v>1.0231407596891577E-2</v>
      </c>
      <c r="AO3097" s="33">
        <v>6.390977278708487E-4</v>
      </c>
    </row>
    <row r="3098" spans="39:41" x14ac:dyDescent="0.25">
      <c r="AM3098" s="2">
        <v>3095</v>
      </c>
      <c r="AN3098" s="33">
        <v>1.7344573424754012E-2</v>
      </c>
      <c r="AO3098" s="33">
        <v>1.4760216951671349E-3</v>
      </c>
    </row>
    <row r="3099" spans="39:41" x14ac:dyDescent="0.25">
      <c r="AM3099" s="2">
        <v>3096</v>
      </c>
      <c r="AN3099" s="33">
        <v>1.3326304109050644E-2</v>
      </c>
      <c r="AO3099" s="33">
        <v>1.3046226537823846E-3</v>
      </c>
    </row>
    <row r="3100" spans="39:41" x14ac:dyDescent="0.25">
      <c r="AM3100" s="2">
        <v>3097</v>
      </c>
      <c r="AN3100" s="33">
        <v>8.8257198256162846E-3</v>
      </c>
      <c r="AO3100" s="33">
        <v>4.6250594175579617E-4</v>
      </c>
    </row>
    <row r="3101" spans="39:41" x14ac:dyDescent="0.25">
      <c r="AM3101" s="2">
        <v>3098</v>
      </c>
      <c r="AN3101" s="33">
        <v>1.2408957003359452E-2</v>
      </c>
      <c r="AO3101" s="33">
        <v>7.5191061516679733E-4</v>
      </c>
    </row>
    <row r="3102" spans="39:41" x14ac:dyDescent="0.25">
      <c r="AM3102" s="2">
        <v>3099</v>
      </c>
      <c r="AN3102" s="33">
        <v>1.1292118263677703E-2</v>
      </c>
      <c r="AO3102" s="33">
        <v>1.0390023583749324E-3</v>
      </c>
    </row>
    <row r="3103" spans="39:41" x14ac:dyDescent="0.25">
      <c r="AM3103" s="2">
        <v>3100</v>
      </c>
      <c r="AN3103" s="33">
        <v>9.596031368176508E-3</v>
      </c>
      <c r="AO3103" s="33">
        <v>4.5220964730353648E-4</v>
      </c>
    </row>
    <row r="3104" spans="39:41" x14ac:dyDescent="0.25">
      <c r="AM3104" s="2">
        <v>3101</v>
      </c>
      <c r="AN3104" s="33">
        <v>1.0649085659959501E-2</v>
      </c>
      <c r="AO3104" s="33">
        <v>8.9344012241995548E-4</v>
      </c>
    </row>
    <row r="3105" spans="39:41" x14ac:dyDescent="0.25">
      <c r="AM3105" s="2">
        <v>3102</v>
      </c>
      <c r="AN3105" s="33">
        <v>1.3512987519180765E-2</v>
      </c>
      <c r="AO3105" s="33">
        <v>8.2650293989150665E-4</v>
      </c>
    </row>
    <row r="3106" spans="39:41" x14ac:dyDescent="0.25">
      <c r="AM3106" s="2">
        <v>3103</v>
      </c>
      <c r="AN3106" s="33">
        <v>9.8414889881543281E-3</v>
      </c>
      <c r="AO3106" s="33">
        <v>8.9522638105197583E-4</v>
      </c>
    </row>
    <row r="3107" spans="39:41" x14ac:dyDescent="0.25">
      <c r="AM3107" s="2">
        <v>3104</v>
      </c>
      <c r="AN3107" s="33">
        <v>1.0400634991298431E-2</v>
      </c>
      <c r="AO3107" s="33">
        <v>2.1836364135626138E-4</v>
      </c>
    </row>
    <row r="3108" spans="39:41" x14ac:dyDescent="0.25">
      <c r="AM3108" s="2">
        <v>3105</v>
      </c>
      <c r="AN3108" s="33">
        <v>1.3025233762689234E-2</v>
      </c>
      <c r="AO3108" s="33">
        <v>1.2179848551626968E-3</v>
      </c>
    </row>
    <row r="3109" spans="39:41" x14ac:dyDescent="0.25">
      <c r="AM3109" s="2">
        <v>3106</v>
      </c>
      <c r="AN3109" s="33">
        <v>1.3250445053120766E-2</v>
      </c>
      <c r="AO3109" s="33">
        <v>1.2919300844257472E-3</v>
      </c>
    </row>
    <row r="3110" spans="39:41" x14ac:dyDescent="0.25">
      <c r="AM3110" s="2">
        <v>3107</v>
      </c>
      <c r="AN3110" s="33">
        <v>1.5019262805026336E-2</v>
      </c>
      <c r="AO3110" s="33">
        <v>1.4175454230578777E-3</v>
      </c>
    </row>
    <row r="3111" spans="39:41" x14ac:dyDescent="0.25">
      <c r="AM3111" s="2">
        <v>3108</v>
      </c>
      <c r="AN3111" s="33">
        <v>8.6727178587749417E-3</v>
      </c>
      <c r="AO3111" s="33">
        <v>5.2048553127631862E-4</v>
      </c>
    </row>
    <row r="3112" spans="39:41" x14ac:dyDescent="0.25">
      <c r="AM3112" s="2">
        <v>3109</v>
      </c>
      <c r="AN3112" s="33">
        <v>1.1014009231675326E-2</v>
      </c>
      <c r="AO3112" s="33">
        <v>8.8109146906431362E-4</v>
      </c>
    </row>
    <row r="3113" spans="39:41" x14ac:dyDescent="0.25">
      <c r="AM3113" s="2">
        <v>3110</v>
      </c>
      <c r="AN3113" s="33">
        <v>1.2795443290641965E-2</v>
      </c>
      <c r="AO3113" s="33">
        <v>8.9678100191537317E-4</v>
      </c>
    </row>
    <row r="3114" spans="39:41" x14ac:dyDescent="0.25">
      <c r="AM3114" s="2">
        <v>3111</v>
      </c>
      <c r="AN3114" s="33">
        <v>1.6543718836828251E-2</v>
      </c>
      <c r="AO3114" s="33">
        <v>1.1194029792647177E-3</v>
      </c>
    </row>
    <row r="3115" spans="39:41" x14ac:dyDescent="0.25">
      <c r="AM3115" s="2">
        <v>3112</v>
      </c>
      <c r="AN3115" s="33">
        <v>1.2839945280727195E-2</v>
      </c>
      <c r="AO3115" s="33">
        <v>1.2497073026583475E-3</v>
      </c>
    </row>
    <row r="3116" spans="39:41" x14ac:dyDescent="0.25">
      <c r="AM3116" s="2">
        <v>3113</v>
      </c>
      <c r="AN3116" s="33">
        <v>1.2013763243569222E-2</v>
      </c>
      <c r="AO3116" s="33">
        <v>7.5726859076929889E-4</v>
      </c>
    </row>
    <row r="3117" spans="39:41" x14ac:dyDescent="0.25">
      <c r="AM3117" s="2">
        <v>3114</v>
      </c>
      <c r="AN3117" s="33">
        <v>1.233646514148831E-2</v>
      </c>
      <c r="AO3117" s="33">
        <v>6.930113083763712E-4</v>
      </c>
    </row>
    <row r="3118" spans="39:41" x14ac:dyDescent="0.25">
      <c r="AM3118" s="2">
        <v>3115</v>
      </c>
      <c r="AN3118" s="33">
        <v>9.8311490280672108E-3</v>
      </c>
      <c r="AO3118" s="33">
        <v>6.2475238905120565E-4</v>
      </c>
    </row>
    <row r="3119" spans="39:41" x14ac:dyDescent="0.25">
      <c r="AM3119" s="2">
        <v>3116</v>
      </c>
      <c r="AN3119" s="33">
        <v>7.8067353395373223E-3</v>
      </c>
      <c r="AO3119" s="33">
        <v>5.1599078617310136E-4</v>
      </c>
    </row>
    <row r="3120" spans="39:41" x14ac:dyDescent="0.25">
      <c r="AM3120" s="2">
        <v>3117</v>
      </c>
      <c r="AN3120" s="33">
        <v>1.3057580675887104E-2</v>
      </c>
      <c r="AO3120" s="33">
        <v>9.8435867959925823E-4</v>
      </c>
    </row>
    <row r="3121" spans="39:41" x14ac:dyDescent="0.25">
      <c r="AM3121" s="2">
        <v>3118</v>
      </c>
      <c r="AN3121" s="33">
        <v>1.6013917400815592E-2</v>
      </c>
      <c r="AO3121" s="33">
        <v>5.2656853730634215E-4</v>
      </c>
    </row>
    <row r="3122" spans="39:41" x14ac:dyDescent="0.25">
      <c r="AM3122" s="2">
        <v>3119</v>
      </c>
      <c r="AN3122" s="33">
        <v>9.6203881387967247E-3</v>
      </c>
      <c r="AO3122" s="33">
        <v>1.0865745980906333E-4</v>
      </c>
    </row>
    <row r="3123" spans="39:41" x14ac:dyDescent="0.25">
      <c r="AM3123" s="2">
        <v>3120</v>
      </c>
      <c r="AN3123" s="33">
        <v>1.1822310335408526E-2</v>
      </c>
      <c r="AO3123" s="33">
        <v>7.8757016045449422E-4</v>
      </c>
    </row>
    <row r="3124" spans="39:41" x14ac:dyDescent="0.25">
      <c r="AM3124" s="2">
        <v>3121</v>
      </c>
      <c r="AN3124" s="33">
        <v>1.3207691871953364E-2</v>
      </c>
      <c r="AO3124" s="33">
        <v>8.6247547808781784E-4</v>
      </c>
    </row>
    <row r="3125" spans="39:41" x14ac:dyDescent="0.25">
      <c r="AM3125" s="2">
        <v>3122</v>
      </c>
      <c r="AN3125" s="33">
        <v>1.3474129085036113E-2</v>
      </c>
      <c r="AO3125" s="33">
        <v>1.1251053110678522E-3</v>
      </c>
    </row>
    <row r="3126" spans="39:41" x14ac:dyDescent="0.25">
      <c r="AM3126" s="2">
        <v>3123</v>
      </c>
      <c r="AN3126" s="33">
        <v>9.5277136642760163E-3</v>
      </c>
      <c r="AO3126" s="33">
        <v>5.7574119507531078E-4</v>
      </c>
    </row>
    <row r="3127" spans="39:41" x14ac:dyDescent="0.25">
      <c r="AM3127" s="2">
        <v>3124</v>
      </c>
      <c r="AN3127" s="33">
        <v>1.1989334157623724E-2</v>
      </c>
      <c r="AO3127" s="33">
        <v>5.5879444216181686E-4</v>
      </c>
    </row>
    <row r="3128" spans="39:41" x14ac:dyDescent="0.25">
      <c r="AM3128" s="2">
        <v>3125</v>
      </c>
      <c r="AN3128" s="33">
        <v>1.1035252787556522E-2</v>
      </c>
      <c r="AO3128" s="33">
        <v>1.0000474918331571E-3</v>
      </c>
    </row>
    <row r="3129" spans="39:41" x14ac:dyDescent="0.25">
      <c r="AM3129" s="2">
        <v>3126</v>
      </c>
      <c r="AN3129" s="33">
        <v>1.0516819419793353E-2</v>
      </c>
      <c r="AO3129" s="33">
        <v>6.770001925907453E-4</v>
      </c>
    </row>
    <row r="3130" spans="39:41" x14ac:dyDescent="0.25">
      <c r="AM3130" s="2">
        <v>3127</v>
      </c>
      <c r="AN3130" s="33">
        <v>1.5874631997082736E-2</v>
      </c>
      <c r="AO3130" s="33">
        <v>1.5682843762129986E-3</v>
      </c>
    </row>
    <row r="3131" spans="39:41" x14ac:dyDescent="0.25">
      <c r="AM3131" s="2">
        <v>3128</v>
      </c>
      <c r="AN3131" s="33">
        <v>1.3127546017018961E-2</v>
      </c>
      <c r="AO3131" s="33">
        <v>1.070778753473618E-3</v>
      </c>
    </row>
    <row r="3132" spans="39:41" x14ac:dyDescent="0.25">
      <c r="AM3132" s="2">
        <v>3129</v>
      </c>
      <c r="AN3132" s="33">
        <v>1.2027726229417541E-2</v>
      </c>
      <c r="AO3132" s="33">
        <v>1.2295379197460486E-3</v>
      </c>
    </row>
    <row r="3133" spans="39:41" x14ac:dyDescent="0.25">
      <c r="AM3133" s="2">
        <v>3130</v>
      </c>
      <c r="AN3133" s="33">
        <v>1.0869245283970817E-2</v>
      </c>
      <c r="AO3133" s="33">
        <v>3.7514412268539879E-4</v>
      </c>
    </row>
    <row r="3134" spans="39:41" x14ac:dyDescent="0.25">
      <c r="AM3134" s="2">
        <v>3131</v>
      </c>
      <c r="AN3134" s="33">
        <v>9.9668055683511565E-3</v>
      </c>
      <c r="AO3134" s="33">
        <v>9.1954805519276362E-4</v>
      </c>
    </row>
    <row r="3135" spans="39:41" x14ac:dyDescent="0.25">
      <c r="AM3135" s="2">
        <v>3132</v>
      </c>
      <c r="AN3135" s="33">
        <v>1.2206945359070853E-2</v>
      </c>
      <c r="AO3135" s="33">
        <v>6.738591486788808E-4</v>
      </c>
    </row>
    <row r="3136" spans="39:41" x14ac:dyDescent="0.25">
      <c r="AM3136" s="2">
        <v>3133</v>
      </c>
      <c r="AN3136" s="33">
        <v>1.387201343586777E-2</v>
      </c>
      <c r="AO3136" s="33">
        <v>1.3116349405771328E-3</v>
      </c>
    </row>
    <row r="3137" spans="39:41" x14ac:dyDescent="0.25">
      <c r="AM3137" s="2">
        <v>3134</v>
      </c>
      <c r="AN3137" s="33">
        <v>1.2380988861757126E-2</v>
      </c>
      <c r="AO3137" s="33">
        <v>8.6400020208635565E-4</v>
      </c>
    </row>
    <row r="3138" spans="39:41" x14ac:dyDescent="0.25">
      <c r="AM3138" s="2">
        <v>3135</v>
      </c>
      <c r="AN3138" s="33">
        <v>7.9617569107821584E-3</v>
      </c>
      <c r="AO3138" s="33">
        <v>5.210531097746315E-4</v>
      </c>
    </row>
    <row r="3139" spans="39:41" x14ac:dyDescent="0.25">
      <c r="AM3139" s="2">
        <v>3136</v>
      </c>
      <c r="AN3139" s="33">
        <v>1.3283846274747255E-2</v>
      </c>
      <c r="AO3139" s="33">
        <v>4.8465874998899735E-4</v>
      </c>
    </row>
    <row r="3140" spans="39:41" x14ac:dyDescent="0.25">
      <c r="AM3140" s="2">
        <v>3137</v>
      </c>
      <c r="AN3140" s="33">
        <v>1.1819908976867209E-2</v>
      </c>
      <c r="AO3140" s="33">
        <v>6.6912143201264306E-4</v>
      </c>
    </row>
    <row r="3141" spans="39:41" x14ac:dyDescent="0.25">
      <c r="AM3141" s="2">
        <v>3138</v>
      </c>
      <c r="AN3141" s="33">
        <v>1.5685673919206659E-2</v>
      </c>
      <c r="AO3141" s="33">
        <v>1.3297259557734067E-3</v>
      </c>
    </row>
    <row r="3142" spans="39:41" x14ac:dyDescent="0.25">
      <c r="AM3142" s="2">
        <v>3139</v>
      </c>
      <c r="AN3142" s="33">
        <v>1.4957114690510457E-2</v>
      </c>
      <c r="AO3142" s="33">
        <v>1.0503308335736272E-3</v>
      </c>
    </row>
    <row r="3143" spans="39:41" x14ac:dyDescent="0.25">
      <c r="AM3143" s="2">
        <v>3140</v>
      </c>
      <c r="AN3143" s="33">
        <v>1.2537685341796442E-2</v>
      </c>
      <c r="AO3143" s="33">
        <v>9.2862257175465495E-4</v>
      </c>
    </row>
    <row r="3144" spans="39:41" x14ac:dyDescent="0.25">
      <c r="AM3144" s="2">
        <v>3141</v>
      </c>
      <c r="AN3144" s="33">
        <v>1.1891784875331508E-2</v>
      </c>
      <c r="AO3144" s="33">
        <v>1.1888861131251799E-3</v>
      </c>
    </row>
    <row r="3145" spans="39:41" x14ac:dyDescent="0.25">
      <c r="AM3145" s="2">
        <v>3142</v>
      </c>
      <c r="AN3145" s="33">
        <v>1.3136630623472319E-2</v>
      </c>
      <c r="AO3145" s="33">
        <v>1.0789770066224715E-3</v>
      </c>
    </row>
    <row r="3146" spans="39:41" x14ac:dyDescent="0.25">
      <c r="AM3146" s="2">
        <v>3143</v>
      </c>
      <c r="AN3146" s="33">
        <v>1.3367629331865591E-2</v>
      </c>
      <c r="AO3146" s="33">
        <v>7.7933930155459541E-4</v>
      </c>
    </row>
    <row r="3147" spans="39:41" x14ac:dyDescent="0.25">
      <c r="AM3147" s="2">
        <v>3144</v>
      </c>
      <c r="AN3147" s="33">
        <v>1.2884584274396255E-2</v>
      </c>
      <c r="AO3147" s="33">
        <v>8.750578753093345E-4</v>
      </c>
    </row>
    <row r="3148" spans="39:41" x14ac:dyDescent="0.25">
      <c r="AM3148" s="2">
        <v>3145</v>
      </c>
      <c r="AN3148" s="33">
        <v>1.2269621620863343E-2</v>
      </c>
      <c r="AO3148" s="33">
        <v>9.7355008912044778E-4</v>
      </c>
    </row>
    <row r="3149" spans="39:41" x14ac:dyDescent="0.25">
      <c r="AM3149" s="2">
        <v>3146</v>
      </c>
      <c r="AN3149" s="33">
        <v>1.1339936012967053E-2</v>
      </c>
      <c r="AO3149" s="33">
        <v>1.0668287601827201E-3</v>
      </c>
    </row>
    <row r="3150" spans="39:41" x14ac:dyDescent="0.25">
      <c r="AM3150" s="2">
        <v>3147</v>
      </c>
      <c r="AN3150" s="33">
        <v>8.5491780898330726E-3</v>
      </c>
      <c r="AO3150" s="33">
        <v>7.1586838896184248E-4</v>
      </c>
    </row>
    <row r="3151" spans="39:41" x14ac:dyDescent="0.25">
      <c r="AM3151" s="2">
        <v>3148</v>
      </c>
      <c r="AN3151" s="33">
        <v>1.471260659685285E-2</v>
      </c>
      <c r="AO3151" s="33">
        <v>1.4156338454958878E-3</v>
      </c>
    </row>
    <row r="3152" spans="39:41" x14ac:dyDescent="0.25">
      <c r="AM3152" s="2">
        <v>3149</v>
      </c>
      <c r="AN3152" s="33">
        <v>1.5916226049202897E-2</v>
      </c>
      <c r="AO3152" s="33">
        <v>1.3894881388949471E-3</v>
      </c>
    </row>
    <row r="3153" spans="39:41" x14ac:dyDescent="0.25">
      <c r="AM3153" s="2">
        <v>3150</v>
      </c>
      <c r="AN3153" s="33">
        <v>1.3112016938833017E-2</v>
      </c>
      <c r="AO3153" s="33">
        <v>7.8573015916118109E-4</v>
      </c>
    </row>
    <row r="3154" spans="39:41" x14ac:dyDescent="0.25">
      <c r="AM3154" s="2">
        <v>3151</v>
      </c>
      <c r="AN3154" s="33">
        <v>1.5718098993119389E-2</v>
      </c>
      <c r="AO3154" s="33">
        <v>1.2771728123888671E-3</v>
      </c>
    </row>
    <row r="3155" spans="39:41" x14ac:dyDescent="0.25">
      <c r="AM3155" s="2">
        <v>3152</v>
      </c>
      <c r="AN3155" s="33">
        <v>1.0254685098803158E-2</v>
      </c>
      <c r="AO3155" s="33">
        <v>9.5842638999177028E-4</v>
      </c>
    </row>
    <row r="3156" spans="39:41" x14ac:dyDescent="0.25">
      <c r="AM3156" s="2">
        <v>3153</v>
      </c>
      <c r="AN3156" s="33">
        <v>1.2340763282120431E-2</v>
      </c>
      <c r="AO3156" s="33">
        <v>6.7791109522335742E-4</v>
      </c>
    </row>
    <row r="3157" spans="39:41" x14ac:dyDescent="0.25">
      <c r="AM3157" s="2">
        <v>3154</v>
      </c>
      <c r="AN3157" s="33">
        <v>1.0352633276131524E-2</v>
      </c>
      <c r="AO3157" s="33">
        <v>6.4856195620522435E-4</v>
      </c>
    </row>
    <row r="3158" spans="39:41" x14ac:dyDescent="0.25">
      <c r="AM3158" s="2">
        <v>3155</v>
      </c>
      <c r="AN3158" s="33">
        <v>9.676629234424609E-3</v>
      </c>
      <c r="AO3158" s="33">
        <v>4.5644540148624755E-4</v>
      </c>
    </row>
    <row r="3159" spans="39:41" x14ac:dyDescent="0.25">
      <c r="AM3159" s="2">
        <v>3156</v>
      </c>
      <c r="AN3159" s="33">
        <v>1.0578599520508098E-2</v>
      </c>
      <c r="AO3159" s="33">
        <v>7.2863218839590131E-4</v>
      </c>
    </row>
    <row r="3160" spans="39:41" x14ac:dyDescent="0.25">
      <c r="AM3160" s="2">
        <v>3157</v>
      </c>
      <c r="AN3160" s="33">
        <v>1.6152850210040457E-2</v>
      </c>
      <c r="AO3160" s="33">
        <v>1.5928942315834834E-3</v>
      </c>
    </row>
    <row r="3161" spans="39:41" x14ac:dyDescent="0.25">
      <c r="AM3161" s="2">
        <v>3158</v>
      </c>
      <c r="AN3161" s="33">
        <v>1.013474449600745E-2</v>
      </c>
      <c r="AO3161" s="33">
        <v>6.4703807047987623E-4</v>
      </c>
    </row>
    <row r="3162" spans="39:41" x14ac:dyDescent="0.25">
      <c r="AM3162" s="2">
        <v>3159</v>
      </c>
      <c r="AN3162" s="33">
        <v>1.1200623352959372E-2</v>
      </c>
      <c r="AO3162" s="33">
        <v>6.5957731777519174E-4</v>
      </c>
    </row>
    <row r="3163" spans="39:41" x14ac:dyDescent="0.25">
      <c r="AM3163" s="2">
        <v>3160</v>
      </c>
      <c r="AN3163" s="33">
        <v>1.345736742255477E-2</v>
      </c>
      <c r="AO3163" s="33">
        <v>1.2782349298621201E-3</v>
      </c>
    </row>
    <row r="3164" spans="39:41" x14ac:dyDescent="0.25">
      <c r="AM3164" s="2">
        <v>3161</v>
      </c>
      <c r="AN3164" s="33">
        <v>1.1671862150341602E-2</v>
      </c>
      <c r="AO3164" s="33">
        <v>6.2909995119870752E-4</v>
      </c>
    </row>
    <row r="3165" spans="39:41" x14ac:dyDescent="0.25">
      <c r="AM3165" s="2">
        <v>3162</v>
      </c>
      <c r="AN3165" s="33">
        <v>1.034784383044771E-2</v>
      </c>
      <c r="AO3165" s="33">
        <v>1.7295866235572546E-4</v>
      </c>
    </row>
    <row r="3166" spans="39:41" x14ac:dyDescent="0.25">
      <c r="AM3166" s="2">
        <v>3163</v>
      </c>
      <c r="AN3166" s="33">
        <v>1.3161295607339139E-2</v>
      </c>
      <c r="AO3166" s="33">
        <v>9.7143505605835543E-4</v>
      </c>
    </row>
    <row r="3167" spans="39:41" x14ac:dyDescent="0.25">
      <c r="AM3167" s="2">
        <v>3164</v>
      </c>
      <c r="AN3167" s="33">
        <v>1.226359493942044E-2</v>
      </c>
      <c r="AO3167" s="33">
        <v>1.2045127084451815E-3</v>
      </c>
    </row>
    <row r="3168" spans="39:41" x14ac:dyDescent="0.25">
      <c r="AM3168" s="2">
        <v>3165</v>
      </c>
      <c r="AN3168" s="33">
        <v>1.3256670819282603E-2</v>
      </c>
      <c r="AO3168" s="33">
        <v>1.326328392672424E-3</v>
      </c>
    </row>
    <row r="3169" spans="39:41" x14ac:dyDescent="0.25">
      <c r="AM3169" s="2">
        <v>3166</v>
      </c>
      <c r="AN3169" s="33">
        <v>1.1986730939593064E-2</v>
      </c>
      <c r="AO3169" s="33">
        <v>9.967487400679197E-4</v>
      </c>
    </row>
    <row r="3170" spans="39:41" x14ac:dyDescent="0.25">
      <c r="AM3170" s="2">
        <v>3167</v>
      </c>
      <c r="AN3170" s="33">
        <v>1.1160097277973144E-2</v>
      </c>
      <c r="AO3170" s="33">
        <v>1.0259035657402117E-3</v>
      </c>
    </row>
    <row r="3171" spans="39:41" x14ac:dyDescent="0.25">
      <c r="AM3171" s="2">
        <v>3168</v>
      </c>
      <c r="AN3171" s="33">
        <v>1.3805665222736355E-2</v>
      </c>
      <c r="AO3171" s="33">
        <v>1.0989878483818349E-3</v>
      </c>
    </row>
    <row r="3172" spans="39:41" x14ac:dyDescent="0.25">
      <c r="AM3172" s="2">
        <v>3169</v>
      </c>
      <c r="AN3172" s="33">
        <v>1.007272938681558E-2</v>
      </c>
      <c r="AO3172" s="33">
        <v>6.9037655985722225E-4</v>
      </c>
    </row>
    <row r="3173" spans="39:41" x14ac:dyDescent="0.25">
      <c r="AM3173" s="2">
        <v>3170</v>
      </c>
      <c r="AN3173" s="33">
        <v>1.0899390309923608E-2</v>
      </c>
      <c r="AO3173" s="33">
        <v>4.9863523301223514E-4</v>
      </c>
    </row>
    <row r="3174" spans="39:41" x14ac:dyDescent="0.25">
      <c r="AM3174" s="2">
        <v>3171</v>
      </c>
      <c r="AN3174" s="33">
        <v>1.2623542043115743E-2</v>
      </c>
      <c r="AO3174" s="33">
        <v>9.8765178857402854E-4</v>
      </c>
    </row>
    <row r="3175" spans="39:41" x14ac:dyDescent="0.25">
      <c r="AM3175" s="2">
        <v>3172</v>
      </c>
      <c r="AN3175" s="33">
        <v>1.1497711396757645E-2</v>
      </c>
      <c r="AO3175" s="33">
        <v>8.8252279048601806E-4</v>
      </c>
    </row>
    <row r="3176" spans="39:41" x14ac:dyDescent="0.25">
      <c r="AM3176" s="2">
        <v>3173</v>
      </c>
      <c r="AN3176" s="33">
        <v>1.145602419366471E-2</v>
      </c>
      <c r="AO3176" s="33">
        <v>1.0408050393761687E-3</v>
      </c>
    </row>
    <row r="3177" spans="39:41" x14ac:dyDescent="0.25">
      <c r="AM3177" s="2">
        <v>3174</v>
      </c>
      <c r="AN3177" s="33">
        <v>1.0723044921415899E-2</v>
      </c>
      <c r="AO3177" s="33">
        <v>9.3210228188378528E-4</v>
      </c>
    </row>
    <row r="3178" spans="39:41" x14ac:dyDescent="0.25">
      <c r="AM3178" s="2">
        <v>3175</v>
      </c>
      <c r="AN3178" s="33">
        <v>1.4687320513111932E-2</v>
      </c>
      <c r="AO3178" s="33">
        <v>1.2930892144374841E-3</v>
      </c>
    </row>
    <row r="3179" spans="39:41" x14ac:dyDescent="0.25">
      <c r="AM3179" s="2">
        <v>3176</v>
      </c>
      <c r="AN3179" s="33">
        <v>1.3477599256382707E-2</v>
      </c>
      <c r="AO3179" s="33">
        <v>5.5321526727535085E-4</v>
      </c>
    </row>
    <row r="3180" spans="39:41" x14ac:dyDescent="0.25">
      <c r="AM3180" s="2">
        <v>3177</v>
      </c>
      <c r="AN3180" s="33">
        <v>1.2893203820242182E-2</v>
      </c>
      <c r="AO3180" s="33">
        <v>8.8570101557042204E-4</v>
      </c>
    </row>
    <row r="3181" spans="39:41" x14ac:dyDescent="0.25">
      <c r="AM3181" s="2">
        <v>3178</v>
      </c>
      <c r="AN3181" s="33">
        <v>1.4522608035334096E-2</v>
      </c>
      <c r="AO3181" s="33">
        <v>1.181832715106555E-3</v>
      </c>
    </row>
    <row r="3182" spans="39:41" x14ac:dyDescent="0.25">
      <c r="AM3182" s="2">
        <v>3179</v>
      </c>
      <c r="AN3182" s="33">
        <v>1.1613745937112408E-2</v>
      </c>
      <c r="AO3182" s="33">
        <v>8.6781639611665639E-4</v>
      </c>
    </row>
    <row r="3183" spans="39:41" x14ac:dyDescent="0.25">
      <c r="AM3183" s="2">
        <v>3180</v>
      </c>
      <c r="AN3183" s="33">
        <v>1.2572869669558416E-2</v>
      </c>
      <c r="AO3183" s="33">
        <v>1.1620949536267839E-3</v>
      </c>
    </row>
    <row r="3184" spans="39:41" x14ac:dyDescent="0.25">
      <c r="AM3184" s="2">
        <v>3181</v>
      </c>
      <c r="AN3184" s="33">
        <v>1.4661503312802504E-2</v>
      </c>
      <c r="AO3184" s="33">
        <v>1.1808085994827473E-3</v>
      </c>
    </row>
    <row r="3185" spans="39:41" x14ac:dyDescent="0.25">
      <c r="AM3185" s="2">
        <v>3182</v>
      </c>
      <c r="AN3185" s="33">
        <v>1.0639865014200873E-2</v>
      </c>
      <c r="AO3185" s="33">
        <v>1.0068282575331053E-3</v>
      </c>
    </row>
    <row r="3186" spans="39:41" x14ac:dyDescent="0.25">
      <c r="AM3186" s="2">
        <v>3183</v>
      </c>
      <c r="AN3186" s="33">
        <v>1.2003418566220499E-2</v>
      </c>
      <c r="AO3186" s="33">
        <v>1.0055893005951955E-3</v>
      </c>
    </row>
    <row r="3187" spans="39:41" x14ac:dyDescent="0.25">
      <c r="AM3187" s="2">
        <v>3184</v>
      </c>
      <c r="AN3187" s="33">
        <v>1.14510918716363E-2</v>
      </c>
      <c r="AO3187" s="33">
        <v>9.1864959456615207E-4</v>
      </c>
    </row>
    <row r="3188" spans="39:41" x14ac:dyDescent="0.25">
      <c r="AM3188" s="2">
        <v>3185</v>
      </c>
      <c r="AN3188" s="33">
        <v>1.0253860955564919E-2</v>
      </c>
      <c r="AO3188" s="33">
        <v>7.8391236148599034E-4</v>
      </c>
    </row>
    <row r="3189" spans="39:41" x14ac:dyDescent="0.25">
      <c r="AM3189" s="2">
        <v>3186</v>
      </c>
      <c r="AN3189" s="33">
        <v>8.9156311390017548E-3</v>
      </c>
      <c r="AO3189" s="33">
        <v>6.4027731795647199E-4</v>
      </c>
    </row>
    <row r="3190" spans="39:41" x14ac:dyDescent="0.25">
      <c r="AM3190" s="2">
        <v>3187</v>
      </c>
      <c r="AN3190" s="33">
        <v>1.310971539561712E-2</v>
      </c>
      <c r="AO3190" s="33">
        <v>8.2460835703408123E-4</v>
      </c>
    </row>
    <row r="3191" spans="39:41" x14ac:dyDescent="0.25">
      <c r="AM3191" s="2">
        <v>3188</v>
      </c>
      <c r="AN3191" s="33">
        <v>1.1465088767465574E-2</v>
      </c>
      <c r="AO3191" s="33">
        <v>6.8076831095683916E-4</v>
      </c>
    </row>
    <row r="3192" spans="39:41" x14ac:dyDescent="0.25">
      <c r="AM3192" s="2">
        <v>3189</v>
      </c>
      <c r="AN3192" s="33">
        <v>1.1317721173089802E-2</v>
      </c>
      <c r="AO3192" s="33">
        <v>7.7364379923400858E-4</v>
      </c>
    </row>
    <row r="3193" spans="39:41" x14ac:dyDescent="0.25">
      <c r="AM3193" s="2">
        <v>3190</v>
      </c>
      <c r="AN3193" s="33">
        <v>1.3220784197117875E-2</v>
      </c>
      <c r="AO3193" s="33">
        <v>9.670057000466714E-4</v>
      </c>
    </row>
    <row r="3194" spans="39:41" x14ac:dyDescent="0.25">
      <c r="AM3194" s="2">
        <v>3191</v>
      </c>
      <c r="AN3194" s="33">
        <v>1.1755107765444367E-2</v>
      </c>
      <c r="AO3194" s="33">
        <v>8.8114542891036258E-4</v>
      </c>
    </row>
    <row r="3195" spans="39:41" x14ac:dyDescent="0.25">
      <c r="AM3195" s="2">
        <v>3192</v>
      </c>
      <c r="AN3195" s="33">
        <v>1.4059529067254032E-2</v>
      </c>
      <c r="AO3195" s="33">
        <v>1.2895459316033886E-3</v>
      </c>
    </row>
    <row r="3196" spans="39:41" x14ac:dyDescent="0.25">
      <c r="AM3196" s="2">
        <v>3193</v>
      </c>
      <c r="AN3196" s="33">
        <v>1.4578237003087764E-2</v>
      </c>
      <c r="AO3196" s="33">
        <v>1.2659833086496786E-3</v>
      </c>
    </row>
    <row r="3197" spans="39:41" x14ac:dyDescent="0.25">
      <c r="AM3197" s="2">
        <v>3194</v>
      </c>
      <c r="AN3197" s="33">
        <v>1.1166367171080278E-2</v>
      </c>
      <c r="AO3197" s="33">
        <v>4.9629030445949953E-4</v>
      </c>
    </row>
    <row r="3198" spans="39:41" x14ac:dyDescent="0.25">
      <c r="AM3198" s="2">
        <v>3195</v>
      </c>
      <c r="AN3198" s="33">
        <v>1.1889241766735349E-2</v>
      </c>
      <c r="AO3198" s="33">
        <v>7.244453440155412E-4</v>
      </c>
    </row>
    <row r="3199" spans="39:41" x14ac:dyDescent="0.25">
      <c r="AM3199" s="2">
        <v>3196</v>
      </c>
      <c r="AN3199" s="33">
        <v>1.075340747539431E-2</v>
      </c>
      <c r="AO3199" s="33">
        <v>1.0834872512014528E-3</v>
      </c>
    </row>
    <row r="3200" spans="39:41" x14ac:dyDescent="0.25">
      <c r="AM3200" s="2">
        <v>3197</v>
      </c>
      <c r="AN3200" s="33">
        <v>8.9430269773096011E-3</v>
      </c>
      <c r="AO3200" s="33">
        <v>6.0976312326007222E-4</v>
      </c>
    </row>
    <row r="3201" spans="39:41" x14ac:dyDescent="0.25">
      <c r="AM3201" s="2">
        <v>3198</v>
      </c>
      <c r="AN3201" s="33">
        <v>1.3706908062542399E-2</v>
      </c>
      <c r="AO3201" s="33">
        <v>1.049533161289294E-3</v>
      </c>
    </row>
    <row r="3202" spans="39:41" x14ac:dyDescent="0.25">
      <c r="AM3202" s="2">
        <v>3199</v>
      </c>
      <c r="AN3202" s="33">
        <v>1.0506760310900289E-2</v>
      </c>
      <c r="AO3202" s="33">
        <v>8.4039430712900534E-4</v>
      </c>
    </row>
    <row r="3203" spans="39:41" x14ac:dyDescent="0.25">
      <c r="AM3203" s="2">
        <v>3200</v>
      </c>
      <c r="AN3203" s="33">
        <v>1.4918137649609781E-2</v>
      </c>
      <c r="AO3203" s="33">
        <v>1.460229844147687E-3</v>
      </c>
    </row>
    <row r="3204" spans="39:41" x14ac:dyDescent="0.25">
      <c r="AM3204" s="2">
        <v>3201</v>
      </c>
      <c r="AN3204" s="33">
        <v>1.2803037391493985E-2</v>
      </c>
      <c r="AO3204" s="33">
        <v>1.0301444769218696E-3</v>
      </c>
    </row>
    <row r="3205" spans="39:41" x14ac:dyDescent="0.25">
      <c r="AM3205" s="2">
        <v>3202</v>
      </c>
      <c r="AN3205" s="33">
        <v>1.0921724407638828E-2</v>
      </c>
      <c r="AO3205" s="33">
        <v>6.4495812801023333E-4</v>
      </c>
    </row>
    <row r="3206" spans="39:41" x14ac:dyDescent="0.25">
      <c r="AM3206" s="2">
        <v>3203</v>
      </c>
      <c r="AN3206" s="33">
        <v>1.2408566112118807E-2</v>
      </c>
      <c r="AO3206" s="33">
        <v>7.5324228045200591E-4</v>
      </c>
    </row>
    <row r="3207" spans="39:41" x14ac:dyDescent="0.25">
      <c r="AM3207" s="2">
        <v>3204</v>
      </c>
      <c r="AN3207" s="33">
        <v>7.780060203272327E-3</v>
      </c>
      <c r="AO3207" s="33">
        <v>5.5693387291717129E-4</v>
      </c>
    </row>
    <row r="3208" spans="39:41" x14ac:dyDescent="0.25">
      <c r="AM3208" s="2">
        <v>3205</v>
      </c>
      <c r="AN3208" s="33">
        <v>1.2536150291922038E-2</v>
      </c>
      <c r="AO3208" s="33">
        <v>1.1628861288631336E-3</v>
      </c>
    </row>
    <row r="3209" spans="39:41" x14ac:dyDescent="0.25">
      <c r="AM3209" s="2">
        <v>3206</v>
      </c>
      <c r="AN3209" s="33">
        <v>7.8166514859556377E-3</v>
      </c>
      <c r="AO3209" s="33">
        <v>7.2352849397981601E-4</v>
      </c>
    </row>
    <row r="3210" spans="39:41" x14ac:dyDescent="0.25">
      <c r="AM3210" s="2">
        <v>3207</v>
      </c>
      <c r="AN3210" s="33">
        <v>1.1025069069803894E-2</v>
      </c>
      <c r="AO3210" s="33">
        <v>6.9390294131251647E-4</v>
      </c>
    </row>
    <row r="3211" spans="39:41" x14ac:dyDescent="0.25">
      <c r="AM3211" s="2">
        <v>3208</v>
      </c>
      <c r="AN3211" s="33">
        <v>1.2423838580415885E-2</v>
      </c>
      <c r="AO3211" s="33">
        <v>8.4367803493755832E-4</v>
      </c>
    </row>
    <row r="3212" spans="39:41" x14ac:dyDescent="0.25">
      <c r="AM3212" s="2">
        <v>3209</v>
      </c>
      <c r="AN3212" s="33">
        <v>1.196399490454398E-2</v>
      </c>
      <c r="AO3212" s="33">
        <v>9.0508051236809375E-4</v>
      </c>
    </row>
    <row r="3213" spans="39:41" x14ac:dyDescent="0.25">
      <c r="AM3213" s="2">
        <v>3210</v>
      </c>
      <c r="AN3213" s="33">
        <v>1.3867974780010435E-2</v>
      </c>
      <c r="AO3213" s="33">
        <v>1.2558656249954721E-3</v>
      </c>
    </row>
    <row r="3214" spans="39:41" x14ac:dyDescent="0.25">
      <c r="AM3214" s="2">
        <v>3211</v>
      </c>
      <c r="AN3214" s="33">
        <v>8.8069336820742611E-3</v>
      </c>
      <c r="AO3214" s="33">
        <v>5.0566301955314768E-4</v>
      </c>
    </row>
    <row r="3215" spans="39:41" x14ac:dyDescent="0.25">
      <c r="AM3215" s="2">
        <v>3212</v>
      </c>
      <c r="AN3215" s="33">
        <v>1.0657829354350399E-2</v>
      </c>
      <c r="AO3215" s="33">
        <v>9.0948865468906378E-4</v>
      </c>
    </row>
    <row r="3216" spans="39:41" x14ac:dyDescent="0.25">
      <c r="AM3216" s="2">
        <v>3213</v>
      </c>
      <c r="AN3216" s="33">
        <v>1.11609110679281E-2</v>
      </c>
      <c r="AO3216" s="33">
        <v>7.0512836506802948E-4</v>
      </c>
    </row>
    <row r="3217" spans="39:41" x14ac:dyDescent="0.25">
      <c r="AM3217" s="2">
        <v>3214</v>
      </c>
      <c r="AN3217" s="33">
        <v>1.5083331646878044E-2</v>
      </c>
      <c r="AO3217" s="33">
        <v>1.2381468378520957E-3</v>
      </c>
    </row>
    <row r="3218" spans="39:41" x14ac:dyDescent="0.25">
      <c r="AM3218" s="2">
        <v>3215</v>
      </c>
      <c r="AN3218" s="33">
        <v>8.7285744741194392E-3</v>
      </c>
      <c r="AO3218" s="33">
        <v>7.1451297741161371E-4</v>
      </c>
    </row>
    <row r="3219" spans="39:41" x14ac:dyDescent="0.25">
      <c r="AM3219" s="2">
        <v>3216</v>
      </c>
      <c r="AN3219" s="33">
        <v>9.2957916319439515E-3</v>
      </c>
      <c r="AO3219" s="33">
        <v>5.6472870087674956E-4</v>
      </c>
    </row>
    <row r="3220" spans="39:41" x14ac:dyDescent="0.25">
      <c r="AM3220" s="2">
        <v>3217</v>
      </c>
      <c r="AN3220" s="33">
        <v>1.0969874183860725E-2</v>
      </c>
      <c r="AO3220" s="33">
        <v>6.4707103638740073E-4</v>
      </c>
    </row>
    <row r="3221" spans="39:41" x14ac:dyDescent="0.25">
      <c r="AM3221" s="2">
        <v>3218</v>
      </c>
      <c r="AN3221" s="33">
        <v>1.1701445741866601E-2</v>
      </c>
      <c r="AO3221" s="33">
        <v>1.0727351973436527E-3</v>
      </c>
    </row>
    <row r="3222" spans="39:41" x14ac:dyDescent="0.25">
      <c r="AM3222" s="2">
        <v>3219</v>
      </c>
      <c r="AN3222" s="33">
        <v>1.5102826690968121E-2</v>
      </c>
      <c r="AO3222" s="33">
        <v>1.3122732132333575E-3</v>
      </c>
    </row>
    <row r="3223" spans="39:41" x14ac:dyDescent="0.25">
      <c r="AM3223" s="2">
        <v>3220</v>
      </c>
      <c r="AN3223" s="33">
        <v>8.2714069914351252E-3</v>
      </c>
      <c r="AO3223" s="33">
        <v>2.3634120190354308E-4</v>
      </c>
    </row>
    <row r="3224" spans="39:41" x14ac:dyDescent="0.25">
      <c r="AM3224" s="2">
        <v>3221</v>
      </c>
      <c r="AN3224" s="33">
        <v>1.2057297765386337E-2</v>
      </c>
      <c r="AO3224" s="33">
        <v>8.1732756528890018E-4</v>
      </c>
    </row>
    <row r="3225" spans="39:41" x14ac:dyDescent="0.25">
      <c r="AM3225" s="2">
        <v>3222</v>
      </c>
      <c r="AN3225" s="33">
        <v>1.1502291542652764E-2</v>
      </c>
      <c r="AO3225" s="33">
        <v>7.4638097997674162E-4</v>
      </c>
    </row>
    <row r="3226" spans="39:41" x14ac:dyDescent="0.25">
      <c r="AM3226" s="2">
        <v>3223</v>
      </c>
      <c r="AN3226" s="33">
        <v>9.8645267066841576E-3</v>
      </c>
      <c r="AO3226" s="33">
        <v>6.4219503416851147E-4</v>
      </c>
    </row>
    <row r="3227" spans="39:41" x14ac:dyDescent="0.25">
      <c r="AM3227" s="2">
        <v>3224</v>
      </c>
      <c r="AN3227" s="33">
        <v>1.2100342464894172E-2</v>
      </c>
      <c r="AO3227" s="33">
        <v>5.4186891815898855E-4</v>
      </c>
    </row>
    <row r="3228" spans="39:41" x14ac:dyDescent="0.25">
      <c r="AM3228" s="2">
        <v>3225</v>
      </c>
      <c r="AN3228" s="33">
        <v>7.5859438596742133E-3</v>
      </c>
      <c r="AO3228" s="33">
        <v>3.0056042636018453E-4</v>
      </c>
    </row>
    <row r="3229" spans="39:41" x14ac:dyDescent="0.25">
      <c r="AM3229" s="2">
        <v>3226</v>
      </c>
      <c r="AN3229" s="33">
        <v>1.1055780505738416E-2</v>
      </c>
      <c r="AO3229" s="33">
        <v>1.1061354959625669E-3</v>
      </c>
    </row>
    <row r="3230" spans="39:41" x14ac:dyDescent="0.25">
      <c r="AM3230" s="2">
        <v>3227</v>
      </c>
      <c r="AN3230" s="33">
        <v>1.3639658917581622E-2</v>
      </c>
      <c r="AO3230" s="33">
        <v>1.3489624817406606E-3</v>
      </c>
    </row>
    <row r="3231" spans="39:41" x14ac:dyDescent="0.25">
      <c r="AM3231" s="2">
        <v>3228</v>
      </c>
      <c r="AN3231" s="33">
        <v>1.2930244776159085E-2</v>
      </c>
      <c r="AO3231" s="33">
        <v>1.1557492249193158E-3</v>
      </c>
    </row>
    <row r="3232" spans="39:41" x14ac:dyDescent="0.25">
      <c r="AM3232" s="2">
        <v>3229</v>
      </c>
      <c r="AN3232" s="33">
        <v>1.3654252821487585E-2</v>
      </c>
      <c r="AO3232" s="33">
        <v>1.2974440183327845E-3</v>
      </c>
    </row>
    <row r="3233" spans="39:41" x14ac:dyDescent="0.25">
      <c r="AM3233" s="2">
        <v>3230</v>
      </c>
      <c r="AN3233" s="33">
        <v>1.3775340056497472E-2</v>
      </c>
      <c r="AO3233" s="33">
        <v>1.3096116470446163E-3</v>
      </c>
    </row>
    <row r="3234" spans="39:41" x14ac:dyDescent="0.25">
      <c r="AM3234" s="2">
        <v>3231</v>
      </c>
      <c r="AN3234" s="33">
        <v>1.1805730182516147E-2</v>
      </c>
      <c r="AO3234" s="33">
        <v>3.6819584210106302E-4</v>
      </c>
    </row>
    <row r="3235" spans="39:41" x14ac:dyDescent="0.25">
      <c r="AM3235" s="2">
        <v>3232</v>
      </c>
      <c r="AN3235" s="33">
        <v>1.8277157768032182E-2</v>
      </c>
      <c r="AO3235" s="33">
        <v>1.5776847271251648E-3</v>
      </c>
    </row>
    <row r="3236" spans="39:41" x14ac:dyDescent="0.25">
      <c r="AM3236" s="2">
        <v>3233</v>
      </c>
      <c r="AN3236" s="33">
        <v>1.1449969500312468E-2</v>
      </c>
      <c r="AO3236" s="33">
        <v>1.1317753357113799E-3</v>
      </c>
    </row>
    <row r="3237" spans="39:41" x14ac:dyDescent="0.25">
      <c r="AM3237" s="2">
        <v>3234</v>
      </c>
      <c r="AN3237" s="33">
        <v>9.7815244858880986E-3</v>
      </c>
      <c r="AO3237" s="33">
        <v>9.1491004709219116E-4</v>
      </c>
    </row>
    <row r="3238" spans="39:41" x14ac:dyDescent="0.25">
      <c r="AM3238" s="2">
        <v>3235</v>
      </c>
      <c r="AN3238" s="33">
        <v>9.7051114039408068E-3</v>
      </c>
      <c r="AO3238" s="33">
        <v>2.5662741936842339E-4</v>
      </c>
    </row>
    <row r="3239" spans="39:41" x14ac:dyDescent="0.25">
      <c r="AM3239" s="2">
        <v>3236</v>
      </c>
      <c r="AN3239" s="33">
        <v>1.5283896870189675E-2</v>
      </c>
      <c r="AO3239" s="33">
        <v>1.2183908307618326E-3</v>
      </c>
    </row>
    <row r="3240" spans="39:41" x14ac:dyDescent="0.25">
      <c r="AM3240" s="2">
        <v>3237</v>
      </c>
      <c r="AN3240" s="33">
        <v>1.0583117855646352E-2</v>
      </c>
      <c r="AO3240" s="33">
        <v>6.6494347249776008E-4</v>
      </c>
    </row>
    <row r="3241" spans="39:41" x14ac:dyDescent="0.25">
      <c r="AM3241" s="2">
        <v>3238</v>
      </c>
      <c r="AN3241" s="33">
        <v>1.1905309656892116E-2</v>
      </c>
      <c r="AO3241" s="33">
        <v>6.3052532563621217E-4</v>
      </c>
    </row>
    <row r="3242" spans="39:41" x14ac:dyDescent="0.25">
      <c r="AM3242" s="2">
        <v>3239</v>
      </c>
      <c r="AN3242" s="33">
        <v>1.2026929926662969E-2</v>
      </c>
      <c r="AO3242" s="33">
        <v>1.0471013680370322E-3</v>
      </c>
    </row>
    <row r="3243" spans="39:41" x14ac:dyDescent="0.25">
      <c r="AM3243" s="2">
        <v>3240</v>
      </c>
      <c r="AN3243" s="33">
        <v>1.3034912119822993E-2</v>
      </c>
      <c r="AO3243" s="33">
        <v>8.3502458363532742E-4</v>
      </c>
    </row>
    <row r="3244" spans="39:41" x14ac:dyDescent="0.25">
      <c r="AM3244" s="2">
        <v>3241</v>
      </c>
      <c r="AN3244" s="33">
        <v>9.854917442883894E-3</v>
      </c>
      <c r="AO3244" s="33">
        <v>5.1502492060318775E-4</v>
      </c>
    </row>
    <row r="3245" spans="39:41" x14ac:dyDescent="0.25">
      <c r="AM3245" s="2">
        <v>3242</v>
      </c>
      <c r="AN3245" s="33">
        <v>1.2768620469521189E-2</v>
      </c>
      <c r="AO3245" s="33">
        <v>9.6987393089191575E-4</v>
      </c>
    </row>
    <row r="3246" spans="39:41" x14ac:dyDescent="0.25">
      <c r="AM3246" s="2">
        <v>3243</v>
      </c>
      <c r="AN3246" s="33">
        <v>9.9368086633143376E-3</v>
      </c>
      <c r="AO3246" s="33">
        <v>1.001977766112159E-3</v>
      </c>
    </row>
    <row r="3247" spans="39:41" x14ac:dyDescent="0.25">
      <c r="AM3247" s="2">
        <v>3244</v>
      </c>
      <c r="AN3247" s="33">
        <v>1.5188979975052162E-2</v>
      </c>
      <c r="AO3247" s="33">
        <v>1.5584036006024229E-3</v>
      </c>
    </row>
    <row r="3248" spans="39:41" x14ac:dyDescent="0.25">
      <c r="AM3248" s="2">
        <v>3245</v>
      </c>
      <c r="AN3248" s="33">
        <v>1.2517601479257958E-2</v>
      </c>
      <c r="AO3248" s="33">
        <v>1.0857431202879846E-3</v>
      </c>
    </row>
    <row r="3249" spans="39:41" x14ac:dyDescent="0.25">
      <c r="AM3249" s="2">
        <v>3246</v>
      </c>
      <c r="AN3249" s="33">
        <v>1.0243864740136695E-2</v>
      </c>
      <c r="AO3249" s="33">
        <v>5.3904531347392579E-4</v>
      </c>
    </row>
    <row r="3250" spans="39:41" x14ac:dyDescent="0.25">
      <c r="AM3250" s="2">
        <v>3247</v>
      </c>
      <c r="AN3250" s="33">
        <v>8.5855496849170099E-3</v>
      </c>
      <c r="AO3250" s="33">
        <v>7.9245250396756789E-4</v>
      </c>
    </row>
    <row r="3251" spans="39:41" x14ac:dyDescent="0.25">
      <c r="AM3251" s="2">
        <v>3248</v>
      </c>
      <c r="AN3251" s="33">
        <v>1.2365470023506037E-2</v>
      </c>
      <c r="AO3251" s="33">
        <v>1.0956511496054318E-3</v>
      </c>
    </row>
    <row r="3252" spans="39:41" x14ac:dyDescent="0.25">
      <c r="AM3252" s="2">
        <v>3249</v>
      </c>
      <c r="AN3252" s="33">
        <v>1.2662029968886157E-2</v>
      </c>
      <c r="AO3252" s="33">
        <v>1.0174146633030381E-3</v>
      </c>
    </row>
    <row r="3253" spans="39:41" x14ac:dyDescent="0.25">
      <c r="AM3253" s="2">
        <v>3250</v>
      </c>
      <c r="AN3253" s="33">
        <v>1.4126855729183473E-2</v>
      </c>
      <c r="AO3253" s="33">
        <v>1.1184514883284284E-3</v>
      </c>
    </row>
    <row r="3254" spans="39:41" x14ac:dyDescent="0.25">
      <c r="AM3254" s="2">
        <v>3251</v>
      </c>
      <c r="AN3254" s="33">
        <v>8.04386336103881E-3</v>
      </c>
      <c r="AO3254" s="33">
        <v>6.0771412464873543E-4</v>
      </c>
    </row>
    <row r="3255" spans="39:41" x14ac:dyDescent="0.25">
      <c r="AM3255" s="2">
        <v>3252</v>
      </c>
      <c r="AN3255" s="33">
        <v>7.7718038292518589E-3</v>
      </c>
      <c r="AO3255" s="33">
        <v>5.1451939260876902E-4</v>
      </c>
    </row>
    <row r="3256" spans="39:41" x14ac:dyDescent="0.25">
      <c r="AM3256" s="2">
        <v>3253</v>
      </c>
      <c r="AN3256" s="33">
        <v>8.4089580741325536E-3</v>
      </c>
      <c r="AO3256" s="33">
        <v>4.1670491831689854E-4</v>
      </c>
    </row>
    <row r="3257" spans="39:41" x14ac:dyDescent="0.25">
      <c r="AM3257" s="2">
        <v>3254</v>
      </c>
      <c r="AN3257" s="33">
        <v>1.0870725906467309E-2</v>
      </c>
      <c r="AO3257" s="33">
        <v>6.4238614726867566E-4</v>
      </c>
    </row>
    <row r="3258" spans="39:41" x14ac:dyDescent="0.25">
      <c r="AM3258" s="2">
        <v>3255</v>
      </c>
      <c r="AN3258" s="33">
        <v>1.2024703877058049E-2</v>
      </c>
      <c r="AO3258" s="33">
        <v>9.270924299573356E-4</v>
      </c>
    </row>
    <row r="3259" spans="39:41" x14ac:dyDescent="0.25">
      <c r="AM3259" s="2">
        <v>3256</v>
      </c>
      <c r="AN3259" s="33">
        <v>1.2775519010122473E-2</v>
      </c>
      <c r="AO3259" s="33">
        <v>1.1811625312235753E-3</v>
      </c>
    </row>
    <row r="3260" spans="39:41" x14ac:dyDescent="0.25">
      <c r="AM3260" s="2">
        <v>3257</v>
      </c>
      <c r="AN3260" s="33">
        <v>1.1752790059155879E-2</v>
      </c>
      <c r="AO3260" s="33">
        <v>1.0251047088898012E-3</v>
      </c>
    </row>
    <row r="3261" spans="39:41" x14ac:dyDescent="0.25">
      <c r="AM3261" s="2">
        <v>3258</v>
      </c>
      <c r="AN3261" s="33">
        <v>1.0577362210228191E-2</v>
      </c>
      <c r="AO3261" s="33">
        <v>6.4997564170383103E-4</v>
      </c>
    </row>
    <row r="3262" spans="39:41" x14ac:dyDescent="0.25">
      <c r="AM3262" s="2">
        <v>3259</v>
      </c>
      <c r="AN3262" s="33">
        <v>1.1505767844291677E-2</v>
      </c>
      <c r="AO3262" s="33">
        <v>1.1258143136455984E-3</v>
      </c>
    </row>
    <row r="3263" spans="39:41" x14ac:dyDescent="0.25">
      <c r="AM3263" s="2">
        <v>3260</v>
      </c>
      <c r="AN3263" s="33">
        <v>1.4795939282765099E-2</v>
      </c>
      <c r="AO3263" s="33">
        <v>1.3748806127843178E-3</v>
      </c>
    </row>
    <row r="3264" spans="39:41" x14ac:dyDescent="0.25">
      <c r="AM3264" s="2">
        <v>3261</v>
      </c>
      <c r="AN3264" s="33">
        <v>9.2167545325960182E-3</v>
      </c>
      <c r="AO3264" s="33">
        <v>4.5627543713608836E-4</v>
      </c>
    </row>
    <row r="3265" spans="39:41" x14ac:dyDescent="0.25">
      <c r="AM3265" s="2">
        <v>3262</v>
      </c>
      <c r="AN3265" s="33">
        <v>9.7930981130755421E-3</v>
      </c>
      <c r="AO3265" s="33">
        <v>5.9442599549631384E-4</v>
      </c>
    </row>
    <row r="3266" spans="39:41" x14ac:dyDescent="0.25">
      <c r="AM3266" s="2">
        <v>3263</v>
      </c>
      <c r="AN3266" s="33">
        <v>1.2227888463501795E-2</v>
      </c>
      <c r="AO3266" s="33">
        <v>8.5590194195572789E-4</v>
      </c>
    </row>
    <row r="3267" spans="39:41" x14ac:dyDescent="0.25">
      <c r="AM3267" s="2">
        <v>3264</v>
      </c>
      <c r="AN3267" s="33">
        <v>1.1213098266037072E-2</v>
      </c>
      <c r="AO3267" s="33">
        <v>8.6243841208253041E-4</v>
      </c>
    </row>
    <row r="3268" spans="39:41" x14ac:dyDescent="0.25">
      <c r="AM3268" s="2">
        <v>3265</v>
      </c>
      <c r="AN3268" s="33">
        <v>1.4377890105260107E-2</v>
      </c>
      <c r="AO3268" s="33">
        <v>9.8215155901281532E-4</v>
      </c>
    </row>
    <row r="3269" spans="39:41" x14ac:dyDescent="0.25">
      <c r="AM3269" s="2">
        <v>3266</v>
      </c>
      <c r="AN3269" s="33">
        <v>1.2220924290040557E-2</v>
      </c>
      <c r="AO3269" s="33">
        <v>8.9708277294964971E-4</v>
      </c>
    </row>
    <row r="3270" spans="39:41" x14ac:dyDescent="0.25">
      <c r="AM3270" s="2">
        <v>3267</v>
      </c>
      <c r="AN3270" s="33">
        <v>1.3234960054423138E-2</v>
      </c>
      <c r="AO3270" s="33">
        <v>1.9805193703007843E-4</v>
      </c>
    </row>
    <row r="3271" spans="39:41" x14ac:dyDescent="0.25">
      <c r="AM3271" s="2">
        <v>3268</v>
      </c>
      <c r="AN3271" s="33">
        <v>8.8680880625672254E-3</v>
      </c>
      <c r="AO3271" s="33">
        <v>6.7760202554818382E-4</v>
      </c>
    </row>
    <row r="3272" spans="39:41" x14ac:dyDescent="0.25">
      <c r="AM3272" s="2">
        <v>3269</v>
      </c>
      <c r="AN3272" s="33">
        <v>9.8723023492425892E-3</v>
      </c>
      <c r="AO3272" s="33">
        <v>2.5572908859935415E-4</v>
      </c>
    </row>
    <row r="3273" spans="39:41" x14ac:dyDescent="0.25">
      <c r="AM3273" s="2">
        <v>3270</v>
      </c>
      <c r="AN3273" s="33">
        <v>1.2119248716795927E-2</v>
      </c>
      <c r="AO3273" s="33">
        <v>9.4260244534958302E-4</v>
      </c>
    </row>
    <row r="3274" spans="39:41" x14ac:dyDescent="0.25">
      <c r="AM3274" s="2">
        <v>3271</v>
      </c>
      <c r="AN3274" s="33">
        <v>1.0853093918242745E-2</v>
      </c>
      <c r="AO3274" s="33">
        <v>9.4241274762614014E-4</v>
      </c>
    </row>
    <row r="3275" spans="39:41" x14ac:dyDescent="0.25">
      <c r="AM3275" s="2">
        <v>3272</v>
      </c>
      <c r="AN3275" s="33">
        <v>1.0931913145932112E-2</v>
      </c>
      <c r="AO3275" s="33">
        <v>9.3462608625264373E-4</v>
      </c>
    </row>
    <row r="3276" spans="39:41" x14ac:dyDescent="0.25">
      <c r="AM3276" s="2">
        <v>3273</v>
      </c>
      <c r="AN3276" s="33">
        <v>9.503702102296608E-3</v>
      </c>
      <c r="AO3276" s="33">
        <v>7.5728048575164218E-4</v>
      </c>
    </row>
    <row r="3277" spans="39:41" x14ac:dyDescent="0.25">
      <c r="AM3277" s="2">
        <v>3274</v>
      </c>
      <c r="AN3277" s="33">
        <v>1.542879293139825E-2</v>
      </c>
      <c r="AO3277" s="33">
        <v>1.1144529089984609E-3</v>
      </c>
    </row>
    <row r="3278" spans="39:41" x14ac:dyDescent="0.25">
      <c r="AM3278" s="2">
        <v>3275</v>
      </c>
      <c r="AN3278" s="33">
        <v>1.3496128862226038E-2</v>
      </c>
      <c r="AO3278" s="33">
        <v>1.3467268382970875E-3</v>
      </c>
    </row>
    <row r="3279" spans="39:41" x14ac:dyDescent="0.25">
      <c r="AM3279" s="2">
        <v>3276</v>
      </c>
      <c r="AN3279" s="33">
        <v>1.2423923370211002E-2</v>
      </c>
      <c r="AO3279" s="33">
        <v>8.2281079169455257E-4</v>
      </c>
    </row>
    <row r="3280" spans="39:41" x14ac:dyDescent="0.25">
      <c r="AM3280" s="2">
        <v>3277</v>
      </c>
      <c r="AN3280" s="33">
        <v>9.8363839615352167E-3</v>
      </c>
      <c r="AO3280" s="33">
        <v>9.2119511074591784E-4</v>
      </c>
    </row>
    <row r="3281" spans="39:41" x14ac:dyDescent="0.25">
      <c r="AM3281" s="2">
        <v>3278</v>
      </c>
      <c r="AN3281" s="33">
        <v>1.1273227163833797E-2</v>
      </c>
      <c r="AO3281" s="33">
        <v>7.4668008486247208E-4</v>
      </c>
    </row>
    <row r="3282" spans="39:41" x14ac:dyDescent="0.25">
      <c r="AM3282" s="2">
        <v>3279</v>
      </c>
      <c r="AN3282" s="33">
        <v>9.9024122278442272E-3</v>
      </c>
      <c r="AO3282" s="33">
        <v>6.7024360706926384E-4</v>
      </c>
    </row>
    <row r="3283" spans="39:41" x14ac:dyDescent="0.25">
      <c r="AM3283" s="2">
        <v>3280</v>
      </c>
      <c r="AN3283" s="33">
        <v>1.5303696265205564E-2</v>
      </c>
      <c r="AO3283" s="33">
        <v>1.2387970536129084E-3</v>
      </c>
    </row>
    <row r="3284" spans="39:41" x14ac:dyDescent="0.25">
      <c r="AM3284" s="2">
        <v>3281</v>
      </c>
      <c r="AN3284" s="33">
        <v>1.166306378785489E-2</v>
      </c>
      <c r="AO3284" s="33">
        <v>1.0804117252179515E-3</v>
      </c>
    </row>
    <row r="3285" spans="39:41" x14ac:dyDescent="0.25">
      <c r="AM3285" s="2">
        <v>3282</v>
      </c>
      <c r="AN3285" s="33">
        <v>1.2432569612701908E-2</v>
      </c>
      <c r="AO3285" s="33">
        <v>1.1287459368595789E-3</v>
      </c>
    </row>
    <row r="3286" spans="39:41" x14ac:dyDescent="0.25">
      <c r="AM3286" s="2">
        <v>3283</v>
      </c>
      <c r="AN3286" s="33">
        <v>1.3526421469563989E-2</v>
      </c>
      <c r="AO3286" s="33">
        <v>1.0093006023304469E-3</v>
      </c>
    </row>
    <row r="3287" spans="39:41" x14ac:dyDescent="0.25">
      <c r="AM3287" s="2">
        <v>3284</v>
      </c>
      <c r="AN3287" s="33">
        <v>1.3493255420082466E-2</v>
      </c>
      <c r="AO3287" s="33">
        <v>8.8107014573088598E-4</v>
      </c>
    </row>
    <row r="3288" spans="39:41" x14ac:dyDescent="0.25">
      <c r="AM3288" s="2">
        <v>3285</v>
      </c>
      <c r="AN3288" s="33">
        <v>1.7390957223739411E-2</v>
      </c>
      <c r="AO3288" s="33">
        <v>1.6298327435113884E-3</v>
      </c>
    </row>
    <row r="3289" spans="39:41" x14ac:dyDescent="0.25">
      <c r="AM3289" s="2">
        <v>3286</v>
      </c>
      <c r="AN3289" s="33">
        <v>1.5084749251204012E-2</v>
      </c>
      <c r="AO3289" s="33">
        <v>1.3576399741069799E-3</v>
      </c>
    </row>
    <row r="3290" spans="39:41" x14ac:dyDescent="0.25">
      <c r="AM3290" s="2">
        <v>3287</v>
      </c>
      <c r="AN3290" s="33">
        <v>1.4499981837737373E-2</v>
      </c>
      <c r="AO3290" s="33">
        <v>1.3010379568328264E-3</v>
      </c>
    </row>
    <row r="3291" spans="39:41" x14ac:dyDescent="0.25">
      <c r="AM3291" s="2">
        <v>3288</v>
      </c>
      <c r="AN3291" s="33">
        <v>1.7662566409664422E-2</v>
      </c>
      <c r="AO3291" s="33">
        <v>1.7308578525409492E-3</v>
      </c>
    </row>
    <row r="3292" spans="39:41" x14ac:dyDescent="0.25">
      <c r="AM3292" s="2">
        <v>3289</v>
      </c>
      <c r="AN3292" s="33">
        <v>1.5339092194032568E-2</v>
      </c>
      <c r="AO3292" s="33">
        <v>1.0794455020431536E-3</v>
      </c>
    </row>
    <row r="3293" spans="39:41" x14ac:dyDescent="0.25">
      <c r="AM3293" s="2">
        <v>3290</v>
      </c>
      <c r="AN3293" s="33">
        <v>1.2110994151936103E-2</v>
      </c>
      <c r="AO3293" s="33">
        <v>1.0429819284296065E-3</v>
      </c>
    </row>
    <row r="3294" spans="39:41" x14ac:dyDescent="0.25">
      <c r="AM3294" s="2">
        <v>3291</v>
      </c>
      <c r="AN3294" s="33">
        <v>9.842104885416177E-3</v>
      </c>
      <c r="AO3294" s="33">
        <v>5.3649612743512476E-4</v>
      </c>
    </row>
    <row r="3295" spans="39:41" x14ac:dyDescent="0.25">
      <c r="AM3295" s="2">
        <v>3292</v>
      </c>
      <c r="AN3295" s="33">
        <v>8.9682700904666884E-3</v>
      </c>
      <c r="AO3295" s="33">
        <v>4.2661785453006933E-4</v>
      </c>
    </row>
    <row r="3296" spans="39:41" x14ac:dyDescent="0.25">
      <c r="AM3296" s="2">
        <v>3293</v>
      </c>
      <c r="AN3296" s="33">
        <v>1.4275653950734331E-2</v>
      </c>
      <c r="AO3296" s="33">
        <v>1.1919140542084627E-3</v>
      </c>
    </row>
    <row r="3297" spans="39:41" x14ac:dyDescent="0.25">
      <c r="AM3297" s="2">
        <v>3294</v>
      </c>
      <c r="AN3297" s="33">
        <v>1.414056681042857E-2</v>
      </c>
      <c r="AO3297" s="33">
        <v>1.0937640635712922E-3</v>
      </c>
    </row>
    <row r="3298" spans="39:41" x14ac:dyDescent="0.25">
      <c r="AM3298" s="2">
        <v>3295</v>
      </c>
      <c r="AN3298" s="33">
        <v>1.3357520813881004E-2</v>
      </c>
      <c r="AO3298" s="33">
        <v>1.0803189916707557E-3</v>
      </c>
    </row>
    <row r="3299" spans="39:41" x14ac:dyDescent="0.25">
      <c r="AM3299" s="2">
        <v>3296</v>
      </c>
      <c r="AN3299" s="33">
        <v>1.1760404303435952E-2</v>
      </c>
      <c r="AO3299" s="33">
        <v>6.0553960065215366E-4</v>
      </c>
    </row>
    <row r="3300" spans="39:41" x14ac:dyDescent="0.25">
      <c r="AM3300" s="2">
        <v>3297</v>
      </c>
      <c r="AN3300" s="33">
        <v>1.1836514338312143E-2</v>
      </c>
      <c r="AO3300" s="33">
        <v>3.8806316177227961E-4</v>
      </c>
    </row>
    <row r="3301" spans="39:41" x14ac:dyDescent="0.25">
      <c r="AM3301" s="2">
        <v>3298</v>
      </c>
      <c r="AN3301" s="33">
        <v>1.3754682688387431E-2</v>
      </c>
      <c r="AO3301" s="33">
        <v>1.3577067164574806E-3</v>
      </c>
    </row>
    <row r="3302" spans="39:41" x14ac:dyDescent="0.25">
      <c r="AM3302" s="2">
        <v>3299</v>
      </c>
      <c r="AN3302" s="33">
        <v>1.0950809313572727E-2</v>
      </c>
      <c r="AO3302" s="33">
        <v>9.2699015737925734E-4</v>
      </c>
    </row>
    <row r="3303" spans="39:41" x14ac:dyDescent="0.25">
      <c r="AM3303" s="2">
        <v>3300</v>
      </c>
      <c r="AN3303" s="33">
        <v>9.2490317845297758E-3</v>
      </c>
      <c r="AO3303" s="33">
        <v>6.5668598562756812E-4</v>
      </c>
    </row>
    <row r="3304" spans="39:41" x14ac:dyDescent="0.25">
      <c r="AM3304" s="2">
        <v>3301</v>
      </c>
      <c r="AN3304" s="33">
        <v>1.2798346202857814E-2</v>
      </c>
      <c r="AO3304" s="33">
        <v>1.1915959736827372E-3</v>
      </c>
    </row>
    <row r="3305" spans="39:41" x14ac:dyDescent="0.25">
      <c r="AM3305" s="2">
        <v>3302</v>
      </c>
      <c r="AN3305" s="33">
        <v>1.4068833163158984E-2</v>
      </c>
      <c r="AO3305" s="33">
        <v>8.0023209855610913E-4</v>
      </c>
    </row>
    <row r="3306" spans="39:41" x14ac:dyDescent="0.25">
      <c r="AM3306" s="2">
        <v>3303</v>
      </c>
      <c r="AN3306" s="33">
        <v>1.130737382300637E-2</v>
      </c>
      <c r="AO3306" s="33">
        <v>7.2801632770261705E-4</v>
      </c>
    </row>
    <row r="3307" spans="39:41" x14ac:dyDescent="0.25">
      <c r="AM3307" s="2">
        <v>3304</v>
      </c>
      <c r="AN3307" s="33">
        <v>1.0915671481433867E-2</v>
      </c>
      <c r="AO3307" s="33">
        <v>1.0161222436136175E-3</v>
      </c>
    </row>
    <row r="3308" spans="39:41" x14ac:dyDescent="0.25">
      <c r="AM3308" s="2">
        <v>3305</v>
      </c>
      <c r="AN3308" s="33">
        <v>1.4364164792755197E-2</v>
      </c>
      <c r="AO3308" s="33">
        <v>8.2546129059077886E-4</v>
      </c>
    </row>
    <row r="3309" spans="39:41" x14ac:dyDescent="0.25">
      <c r="AM3309" s="2">
        <v>3306</v>
      </c>
      <c r="AN3309" s="33">
        <v>1.1767971294074442E-2</v>
      </c>
      <c r="AO3309" s="33">
        <v>1.1370161053508336E-3</v>
      </c>
    </row>
    <row r="3310" spans="39:41" x14ac:dyDescent="0.25">
      <c r="AM3310" s="2">
        <v>3307</v>
      </c>
      <c r="AN3310" s="33">
        <v>1.163558976342092E-2</v>
      </c>
      <c r="AO3310" s="33">
        <v>5.7032030790408008E-4</v>
      </c>
    </row>
    <row r="3311" spans="39:41" x14ac:dyDescent="0.25">
      <c r="AM3311" s="2">
        <v>3308</v>
      </c>
      <c r="AN3311" s="33">
        <v>1.2286000775048853E-2</v>
      </c>
      <c r="AO3311" s="33">
        <v>9.0006042648787231E-4</v>
      </c>
    </row>
    <row r="3312" spans="39:41" x14ac:dyDescent="0.25">
      <c r="AM3312" s="2">
        <v>3309</v>
      </c>
      <c r="AN3312" s="33">
        <v>8.5411789801037256E-3</v>
      </c>
      <c r="AO3312" s="33">
        <v>4.2932689303973987E-4</v>
      </c>
    </row>
    <row r="3313" spans="39:41" x14ac:dyDescent="0.25">
      <c r="AM3313" s="2">
        <v>3310</v>
      </c>
      <c r="AN3313" s="33">
        <v>1.2555265845815095E-2</v>
      </c>
      <c r="AO3313" s="33">
        <v>1.29402577026676E-3</v>
      </c>
    </row>
    <row r="3314" spans="39:41" x14ac:dyDescent="0.25">
      <c r="AM3314" s="2">
        <v>3311</v>
      </c>
      <c r="AN3314" s="33">
        <v>1.1635023322328849E-2</v>
      </c>
      <c r="AO3314" s="33">
        <v>8.9196586241622599E-4</v>
      </c>
    </row>
    <row r="3315" spans="39:41" x14ac:dyDescent="0.25">
      <c r="AM3315" s="2">
        <v>3312</v>
      </c>
      <c r="AN3315" s="33">
        <v>1.2074450387216088E-2</v>
      </c>
      <c r="AO3315" s="33">
        <v>5.4897545491975133E-4</v>
      </c>
    </row>
    <row r="3316" spans="39:41" x14ac:dyDescent="0.25">
      <c r="AM3316" s="2">
        <v>3313</v>
      </c>
      <c r="AN3316" s="33">
        <v>8.1047858929613557E-3</v>
      </c>
      <c r="AO3316" s="33">
        <v>5.9977451043339322E-4</v>
      </c>
    </row>
    <row r="3317" spans="39:41" x14ac:dyDescent="0.25">
      <c r="AM3317" s="2">
        <v>3314</v>
      </c>
      <c r="AN3317" s="33">
        <v>1.1679425847536345E-2</v>
      </c>
      <c r="AO3317" s="33">
        <v>3.9907603414059405E-4</v>
      </c>
    </row>
    <row r="3318" spans="39:41" x14ac:dyDescent="0.25">
      <c r="AM3318" s="2">
        <v>3315</v>
      </c>
      <c r="AN3318" s="33">
        <v>1.4143973475015262E-2</v>
      </c>
      <c r="AO3318" s="33">
        <v>1.0608486381957997E-3</v>
      </c>
    </row>
    <row r="3319" spans="39:41" x14ac:dyDescent="0.25">
      <c r="AM3319" s="2">
        <v>3316</v>
      </c>
      <c r="AN3319" s="33">
        <v>1.4146274833594059E-2</v>
      </c>
      <c r="AO3319" s="33">
        <v>1.1460371215520149E-3</v>
      </c>
    </row>
    <row r="3320" spans="39:41" x14ac:dyDescent="0.25">
      <c r="AM3320" s="2">
        <v>3317</v>
      </c>
      <c r="AN3320" s="33">
        <v>1.1787512285868856E-2</v>
      </c>
      <c r="AO3320" s="33">
        <v>7.7972318920277006E-4</v>
      </c>
    </row>
    <row r="3321" spans="39:41" x14ac:dyDescent="0.25">
      <c r="AM3321" s="2">
        <v>3318</v>
      </c>
      <c r="AN3321" s="33">
        <v>1.089726651501052E-2</v>
      </c>
      <c r="AO3321" s="33">
        <v>5.2277150873022917E-4</v>
      </c>
    </row>
    <row r="3322" spans="39:41" x14ac:dyDescent="0.25">
      <c r="AM3322" s="2">
        <v>3319</v>
      </c>
      <c r="AN3322" s="33">
        <v>1.3353236155386115E-2</v>
      </c>
      <c r="AO3322" s="33">
        <v>1.2479239905240809E-3</v>
      </c>
    </row>
    <row r="3323" spans="39:41" x14ac:dyDescent="0.25">
      <c r="AM3323" s="2">
        <v>3320</v>
      </c>
      <c r="AN3323" s="33">
        <v>1.4405843959242324E-2</v>
      </c>
      <c r="AO3323" s="33">
        <v>1.1500496268543228E-3</v>
      </c>
    </row>
    <row r="3324" spans="39:41" x14ac:dyDescent="0.25">
      <c r="AM3324" s="2">
        <v>3321</v>
      </c>
      <c r="AN3324" s="33">
        <v>9.1862665187844809E-3</v>
      </c>
      <c r="AO3324" s="33">
        <v>5.3304517101583648E-4</v>
      </c>
    </row>
    <row r="3325" spans="39:41" x14ac:dyDescent="0.25">
      <c r="AM3325" s="2">
        <v>3322</v>
      </c>
      <c r="AN3325" s="33">
        <v>1.0229126361481829E-2</v>
      </c>
      <c r="AO3325" s="33">
        <v>2.992306160559621E-4</v>
      </c>
    </row>
    <row r="3326" spans="39:41" x14ac:dyDescent="0.25">
      <c r="AM3326" s="2">
        <v>3323</v>
      </c>
      <c r="AN3326" s="33">
        <v>1.4201443634494564E-2</v>
      </c>
      <c r="AO3326" s="33">
        <v>1.2248958791160973E-3</v>
      </c>
    </row>
    <row r="3327" spans="39:41" x14ac:dyDescent="0.25">
      <c r="AM3327" s="2">
        <v>3324</v>
      </c>
      <c r="AN3327" s="33">
        <v>1.1851311495346241E-2</v>
      </c>
      <c r="AO3327" s="33">
        <v>7.6450541111478161E-4</v>
      </c>
    </row>
    <row r="3328" spans="39:41" x14ac:dyDescent="0.25">
      <c r="AM3328" s="2">
        <v>3325</v>
      </c>
      <c r="AN3328" s="33">
        <v>1.4788315823409868E-2</v>
      </c>
      <c r="AO3328" s="33">
        <v>7.0537375621712508E-4</v>
      </c>
    </row>
    <row r="3329" spans="39:41" x14ac:dyDescent="0.25">
      <c r="AM3329" s="2">
        <v>3326</v>
      </c>
      <c r="AN3329" s="33">
        <v>1.5093427112807027E-2</v>
      </c>
      <c r="AO3329" s="33">
        <v>9.8147002789074648E-4</v>
      </c>
    </row>
    <row r="3330" spans="39:41" x14ac:dyDescent="0.25">
      <c r="AM3330" s="2">
        <v>3327</v>
      </c>
      <c r="AN3330" s="33">
        <v>1.068292864888252E-2</v>
      </c>
      <c r="AO3330" s="33">
        <v>8.1880071262970368E-4</v>
      </c>
    </row>
    <row r="3331" spans="39:41" x14ac:dyDescent="0.25">
      <c r="AM3331" s="2">
        <v>3328</v>
      </c>
      <c r="AN3331" s="33">
        <v>1.1226456298457199E-2</v>
      </c>
      <c r="AO3331" s="33">
        <v>4.0352021724752703E-4</v>
      </c>
    </row>
    <row r="3332" spans="39:41" x14ac:dyDescent="0.25">
      <c r="AM3332" s="2">
        <v>3329</v>
      </c>
      <c r="AN3332" s="33">
        <v>1.219157570536041E-2</v>
      </c>
      <c r="AO3332" s="33">
        <v>1.1208873265551344E-3</v>
      </c>
    </row>
    <row r="3333" spans="39:41" x14ac:dyDescent="0.25">
      <c r="AM3333" s="2">
        <v>3330</v>
      </c>
      <c r="AN3333" s="33">
        <v>1.0092237366801746E-2</v>
      </c>
      <c r="AO3333" s="33">
        <v>5.7306850997119411E-4</v>
      </c>
    </row>
    <row r="3334" spans="39:41" x14ac:dyDescent="0.25">
      <c r="AM3334" s="2">
        <v>3331</v>
      </c>
      <c r="AN3334" s="33">
        <v>9.5118530626610714E-3</v>
      </c>
      <c r="AO3334" s="33">
        <v>7.8027777752599792E-4</v>
      </c>
    </row>
    <row r="3335" spans="39:41" x14ac:dyDescent="0.25">
      <c r="AM3335" s="2">
        <v>3332</v>
      </c>
      <c r="AN3335" s="33">
        <v>9.8273893726156039E-3</v>
      </c>
      <c r="AO3335" s="33">
        <v>8.9542457977828812E-4</v>
      </c>
    </row>
    <row r="3336" spans="39:41" x14ac:dyDescent="0.25">
      <c r="AM3336" s="2">
        <v>3333</v>
      </c>
      <c r="AN3336" s="33">
        <v>1.0762267223367502E-2</v>
      </c>
      <c r="AO3336" s="33">
        <v>7.3388089402409349E-4</v>
      </c>
    </row>
    <row r="3337" spans="39:41" x14ac:dyDescent="0.25">
      <c r="AM3337" s="2">
        <v>3334</v>
      </c>
      <c r="AN3337" s="33">
        <v>1.047413794645316E-2</v>
      </c>
      <c r="AO3337" s="33">
        <v>8.7664702692851685E-4</v>
      </c>
    </row>
    <row r="3338" spans="39:41" x14ac:dyDescent="0.25">
      <c r="AM3338" s="2">
        <v>3335</v>
      </c>
      <c r="AN3338" s="33">
        <v>1.2737394554346269E-2</v>
      </c>
      <c r="AO3338" s="33">
        <v>7.4759817809352688E-5</v>
      </c>
    </row>
    <row r="3339" spans="39:41" x14ac:dyDescent="0.25">
      <c r="AM3339" s="2">
        <v>3336</v>
      </c>
      <c r="AN3339" s="33">
        <v>8.6528250055476555E-3</v>
      </c>
      <c r="AO3339" s="33">
        <v>6.629387987449768E-4</v>
      </c>
    </row>
    <row r="3340" spans="39:41" x14ac:dyDescent="0.25">
      <c r="AM3340" s="2">
        <v>3337</v>
      </c>
      <c r="AN3340" s="33">
        <v>1.410118045959597E-2</v>
      </c>
      <c r="AO3340" s="33">
        <v>1.3165962028448702E-3</v>
      </c>
    </row>
    <row r="3341" spans="39:41" x14ac:dyDescent="0.25">
      <c r="AM3341" s="2">
        <v>3338</v>
      </c>
      <c r="AN3341" s="33">
        <v>1.09137967853096E-2</v>
      </c>
      <c r="AO3341" s="33">
        <v>8.5832365367417168E-4</v>
      </c>
    </row>
    <row r="3342" spans="39:41" x14ac:dyDescent="0.25">
      <c r="AM3342" s="2">
        <v>3339</v>
      </c>
      <c r="AN3342" s="33">
        <v>1.9142886003417164E-2</v>
      </c>
      <c r="AO3342" s="33">
        <v>1.6277082069888118E-3</v>
      </c>
    </row>
    <row r="3343" spans="39:41" x14ac:dyDescent="0.25">
      <c r="AM3343" s="2">
        <v>3340</v>
      </c>
      <c r="AN3343" s="33">
        <v>1.2565729316929022E-2</v>
      </c>
      <c r="AO3343" s="33">
        <v>4.3648742354214807E-4</v>
      </c>
    </row>
    <row r="3344" spans="39:41" x14ac:dyDescent="0.25">
      <c r="AM3344" s="2">
        <v>3341</v>
      </c>
      <c r="AN3344" s="33">
        <v>1.5865424195264145E-2</v>
      </c>
      <c r="AO3344" s="33">
        <v>1.5251848871511273E-3</v>
      </c>
    </row>
    <row r="3345" spans="39:41" x14ac:dyDescent="0.25">
      <c r="AM3345" s="2">
        <v>3342</v>
      </c>
      <c r="AN3345" s="33">
        <v>1.0789368686610165E-2</v>
      </c>
      <c r="AO3345" s="33">
        <v>5.5528034254616278E-4</v>
      </c>
    </row>
    <row r="3346" spans="39:41" x14ac:dyDescent="0.25">
      <c r="AM3346" s="2">
        <v>3343</v>
      </c>
      <c r="AN3346" s="33">
        <v>1.057677244180172E-2</v>
      </c>
      <c r="AO3346" s="33">
        <v>4.2466589619041974E-4</v>
      </c>
    </row>
    <row r="3347" spans="39:41" x14ac:dyDescent="0.25">
      <c r="AM3347" s="2">
        <v>3344</v>
      </c>
      <c r="AN3347" s="33">
        <v>9.398543818868425E-3</v>
      </c>
      <c r="AO3347" s="33">
        <v>7.6640262453321899E-4</v>
      </c>
    </row>
    <row r="3348" spans="39:41" x14ac:dyDescent="0.25">
      <c r="AM3348" s="2">
        <v>3345</v>
      </c>
      <c r="AN3348" s="33">
        <v>1.005407169049451E-2</v>
      </c>
      <c r="AO3348" s="33">
        <v>7.1748823816954557E-4</v>
      </c>
    </row>
    <row r="3349" spans="39:41" x14ac:dyDescent="0.25">
      <c r="AM3349" s="2">
        <v>3346</v>
      </c>
      <c r="AN3349" s="33">
        <v>1.1830440472507021E-2</v>
      </c>
      <c r="AO3349" s="33">
        <v>6.5585872648183372E-4</v>
      </c>
    </row>
    <row r="3350" spans="39:41" x14ac:dyDescent="0.25">
      <c r="AM3350" s="2">
        <v>3347</v>
      </c>
      <c r="AN3350" s="33">
        <v>1.5674952403966526E-2</v>
      </c>
      <c r="AO3350" s="33">
        <v>1.0835814952974948E-3</v>
      </c>
    </row>
    <row r="3351" spans="39:41" x14ac:dyDescent="0.25">
      <c r="AM3351" s="2">
        <v>3348</v>
      </c>
      <c r="AN3351" s="33">
        <v>1.2603279643614811E-2</v>
      </c>
      <c r="AO3351" s="33">
        <v>7.2893409113882195E-4</v>
      </c>
    </row>
    <row r="3352" spans="39:41" x14ac:dyDescent="0.25">
      <c r="AM3352" s="2">
        <v>3349</v>
      </c>
      <c r="AN3352" s="33">
        <v>1.4329898753995315E-2</v>
      </c>
      <c r="AO3352" s="33">
        <v>1.1565120214660977E-3</v>
      </c>
    </row>
    <row r="3353" spans="39:41" x14ac:dyDescent="0.25">
      <c r="AM3353" s="2">
        <v>3350</v>
      </c>
      <c r="AN3353" s="33">
        <v>1.0957924678079663E-2</v>
      </c>
      <c r="AO3353" s="33">
        <v>8.8275947688941717E-4</v>
      </c>
    </row>
    <row r="3354" spans="39:41" x14ac:dyDescent="0.25">
      <c r="AM3354" s="2">
        <v>3351</v>
      </c>
      <c r="AN3354" s="33">
        <v>1.3068034357549827E-2</v>
      </c>
      <c r="AO3354" s="33">
        <v>4.7276650545652712E-4</v>
      </c>
    </row>
    <row r="3355" spans="39:41" x14ac:dyDescent="0.25">
      <c r="AM3355" s="2">
        <v>3352</v>
      </c>
      <c r="AN3355" s="33">
        <v>1.0865176810654733E-2</v>
      </c>
      <c r="AO3355" s="33">
        <v>6.7780351595240628E-4</v>
      </c>
    </row>
    <row r="3356" spans="39:41" x14ac:dyDescent="0.25">
      <c r="AM3356" s="2">
        <v>3353</v>
      </c>
      <c r="AN3356" s="33">
        <v>1.1494394302476802E-2</v>
      </c>
      <c r="AO3356" s="33">
        <v>8.8526187864487738E-4</v>
      </c>
    </row>
    <row r="3357" spans="39:41" x14ac:dyDescent="0.25">
      <c r="AM3357" s="2">
        <v>3354</v>
      </c>
      <c r="AN3357" s="33">
        <v>1.4288732833775476E-2</v>
      </c>
      <c r="AO3357" s="33">
        <v>1.3389061842358644E-3</v>
      </c>
    </row>
    <row r="3358" spans="39:41" x14ac:dyDescent="0.25">
      <c r="AM3358" s="2">
        <v>3355</v>
      </c>
      <c r="AN3358" s="33">
        <v>1.5189444904771006E-2</v>
      </c>
      <c r="AO3358" s="33">
        <v>1.4450821431284408E-3</v>
      </c>
    </row>
    <row r="3359" spans="39:41" x14ac:dyDescent="0.25">
      <c r="AM3359" s="2">
        <v>3356</v>
      </c>
      <c r="AN3359" s="33">
        <v>1.0804918854445083E-2</v>
      </c>
      <c r="AO3359" s="33">
        <v>1.0586360858957213E-3</v>
      </c>
    </row>
    <row r="3360" spans="39:41" x14ac:dyDescent="0.25">
      <c r="AM3360" s="2">
        <v>3357</v>
      </c>
      <c r="AN3360" s="33">
        <v>1.199104634576237E-2</v>
      </c>
      <c r="AO3360" s="33">
        <v>8.5076195353425287E-4</v>
      </c>
    </row>
    <row r="3361" spans="39:41" x14ac:dyDescent="0.25">
      <c r="AM3361" s="2">
        <v>3358</v>
      </c>
      <c r="AN3361" s="33">
        <v>1.5551506245977224E-2</v>
      </c>
      <c r="AO3361" s="33">
        <v>1.3719244998012436E-3</v>
      </c>
    </row>
    <row r="3362" spans="39:41" x14ac:dyDescent="0.25">
      <c r="AM3362" s="2">
        <v>3359</v>
      </c>
      <c r="AN3362" s="33">
        <v>1.8051530768503715E-2</v>
      </c>
      <c r="AO3362" s="33">
        <v>1.1989158036510919E-3</v>
      </c>
    </row>
    <row r="3363" spans="39:41" x14ac:dyDescent="0.25">
      <c r="AM3363" s="2">
        <v>3360</v>
      </c>
      <c r="AN3363" s="33">
        <v>1.2805673947007474E-2</v>
      </c>
      <c r="AO3363" s="33">
        <v>1.2471149836301987E-3</v>
      </c>
    </row>
    <row r="3364" spans="39:41" x14ac:dyDescent="0.25">
      <c r="AM3364" s="2">
        <v>3361</v>
      </c>
      <c r="AN3364" s="33">
        <v>1.1054744144605349E-2</v>
      </c>
      <c r="AO3364" s="33">
        <v>6.8607354962883034E-4</v>
      </c>
    </row>
    <row r="3365" spans="39:41" x14ac:dyDescent="0.25">
      <c r="AM3365" s="2">
        <v>3362</v>
      </c>
      <c r="AN3365" s="33">
        <v>8.9596262806201799E-3</v>
      </c>
      <c r="AO3365" s="33">
        <v>4.8525035900618638E-4</v>
      </c>
    </row>
    <row r="3366" spans="39:41" x14ac:dyDescent="0.25">
      <c r="AM3366" s="2">
        <v>3363</v>
      </c>
      <c r="AN3366" s="33">
        <v>1.3545697970285518E-2</v>
      </c>
      <c r="AO3366" s="33">
        <v>8.0929863885391157E-4</v>
      </c>
    </row>
    <row r="3367" spans="39:41" x14ac:dyDescent="0.25">
      <c r="AM3367" s="2">
        <v>3364</v>
      </c>
      <c r="AN3367" s="33">
        <v>1.1781847723353086E-2</v>
      </c>
      <c r="AO3367" s="33">
        <v>1.7750357260357266E-4</v>
      </c>
    </row>
    <row r="3368" spans="39:41" x14ac:dyDescent="0.25">
      <c r="AM3368" s="2">
        <v>3365</v>
      </c>
      <c r="AN3368" s="33">
        <v>9.8811780757212947E-3</v>
      </c>
      <c r="AO3368" s="33">
        <v>9.4702532838415265E-4</v>
      </c>
    </row>
    <row r="3369" spans="39:41" x14ac:dyDescent="0.25">
      <c r="AM3369" s="2">
        <v>3366</v>
      </c>
      <c r="AN3369" s="33">
        <v>8.9496615674416087E-3</v>
      </c>
      <c r="AO3369" s="33">
        <v>5.6960346887924534E-4</v>
      </c>
    </row>
    <row r="3370" spans="39:41" x14ac:dyDescent="0.25">
      <c r="AM3370" s="2">
        <v>3367</v>
      </c>
      <c r="AN3370" s="33">
        <v>1.0838259143106743E-2</v>
      </c>
      <c r="AO3370" s="33">
        <v>6.8642254507672053E-4</v>
      </c>
    </row>
    <row r="3371" spans="39:41" x14ac:dyDescent="0.25">
      <c r="AM3371" s="2">
        <v>3368</v>
      </c>
      <c r="AN3371" s="33">
        <v>1.420233053073274E-2</v>
      </c>
      <c r="AO3371" s="33">
        <v>1.2646148436560221E-3</v>
      </c>
    </row>
    <row r="3372" spans="39:41" x14ac:dyDescent="0.25">
      <c r="AM3372" s="2">
        <v>3369</v>
      </c>
      <c r="AN3372" s="33">
        <v>7.5635524662175085E-3</v>
      </c>
      <c r="AO3372" s="33">
        <v>4.0564827109235396E-4</v>
      </c>
    </row>
    <row r="3373" spans="39:41" x14ac:dyDescent="0.25">
      <c r="AM3373" s="2">
        <v>3370</v>
      </c>
      <c r="AN3373" s="33">
        <v>1.5330746651407125E-2</v>
      </c>
      <c r="AO3373" s="33">
        <v>1.6153563790801903E-3</v>
      </c>
    </row>
    <row r="3374" spans="39:41" x14ac:dyDescent="0.25">
      <c r="AM3374" s="2">
        <v>3371</v>
      </c>
      <c r="AN3374" s="33">
        <v>1.1877720010826221E-2</v>
      </c>
      <c r="AO3374" s="33">
        <v>8.4318022865556845E-4</v>
      </c>
    </row>
    <row r="3375" spans="39:41" x14ac:dyDescent="0.25">
      <c r="AM3375" s="2">
        <v>3372</v>
      </c>
      <c r="AN3375" s="33">
        <v>1.5236203302018643E-2</v>
      </c>
      <c r="AO3375" s="33">
        <v>1.3366746963981576E-3</v>
      </c>
    </row>
    <row r="3376" spans="39:41" x14ac:dyDescent="0.25">
      <c r="AM3376" s="2">
        <v>3373</v>
      </c>
      <c r="AN3376" s="33">
        <v>1.1715536074685321E-2</v>
      </c>
      <c r="AO3376" s="33">
        <v>7.4637148247379194E-4</v>
      </c>
    </row>
    <row r="3377" spans="39:41" x14ac:dyDescent="0.25">
      <c r="AM3377" s="2">
        <v>3374</v>
      </c>
      <c r="AN3377" s="33">
        <v>1.2917191340148711E-2</v>
      </c>
      <c r="AO3377" s="33">
        <v>1.13176646847514E-3</v>
      </c>
    </row>
    <row r="3378" spans="39:41" x14ac:dyDescent="0.25">
      <c r="AM3378" s="2">
        <v>3375</v>
      </c>
      <c r="AN3378" s="33">
        <v>1.0638046016173032E-2</v>
      </c>
      <c r="AO3378" s="33">
        <v>6.9664095478625375E-4</v>
      </c>
    </row>
    <row r="3379" spans="39:41" x14ac:dyDescent="0.25">
      <c r="AM3379" s="2">
        <v>3376</v>
      </c>
      <c r="AN3379" s="33">
        <v>1.1469011728971742E-2</v>
      </c>
      <c r="AO3379" s="33">
        <v>7.7837589030381807E-4</v>
      </c>
    </row>
    <row r="3380" spans="39:41" x14ac:dyDescent="0.25">
      <c r="AM3380" s="2">
        <v>3377</v>
      </c>
      <c r="AN3380" s="33">
        <v>1.1490819953370243E-2</v>
      </c>
      <c r="AO3380" s="33">
        <v>8.1993945798716609E-4</v>
      </c>
    </row>
    <row r="3381" spans="39:41" x14ac:dyDescent="0.25">
      <c r="AM3381" s="2">
        <v>3378</v>
      </c>
      <c r="AN3381" s="33">
        <v>1.1538741734334629E-2</v>
      </c>
      <c r="AO3381" s="33">
        <v>8.4635378141876768E-4</v>
      </c>
    </row>
    <row r="3382" spans="39:41" x14ac:dyDescent="0.25">
      <c r="AM3382" s="2">
        <v>3379</v>
      </c>
      <c r="AN3382" s="33">
        <v>1.1492649249200609E-2</v>
      </c>
      <c r="AO3382" s="33">
        <v>9.6458751193843699E-4</v>
      </c>
    </row>
    <row r="3383" spans="39:41" x14ac:dyDescent="0.25">
      <c r="AM3383" s="2">
        <v>3380</v>
      </c>
      <c r="AN3383" s="33">
        <v>1.1530685507497338E-2</v>
      </c>
      <c r="AO3383" s="33">
        <v>1.2261050845532718E-3</v>
      </c>
    </row>
    <row r="3384" spans="39:41" x14ac:dyDescent="0.25">
      <c r="AM3384" s="2">
        <v>3381</v>
      </c>
      <c r="AN3384" s="33">
        <v>1.3156128323915382E-2</v>
      </c>
      <c r="AO3384" s="33">
        <v>1.2440905126715504E-3</v>
      </c>
    </row>
    <row r="3385" spans="39:41" x14ac:dyDescent="0.25">
      <c r="AM3385" s="2">
        <v>3382</v>
      </c>
      <c r="AN3385" s="33">
        <v>1.0488646447583815E-2</v>
      </c>
      <c r="AO3385" s="33">
        <v>8.0978994993990581E-4</v>
      </c>
    </row>
    <row r="3386" spans="39:41" x14ac:dyDescent="0.25">
      <c r="AM3386" s="2">
        <v>3383</v>
      </c>
      <c r="AN3386" s="33">
        <v>1.076766035476708E-2</v>
      </c>
      <c r="AO3386" s="33">
        <v>5.7275607936243189E-4</v>
      </c>
    </row>
    <row r="3387" spans="39:41" x14ac:dyDescent="0.25">
      <c r="AM3387" s="2">
        <v>3384</v>
      </c>
      <c r="AN3387" s="33">
        <v>7.568235353615795E-3</v>
      </c>
      <c r="AO3387" s="33">
        <v>7.2058330937608888E-4</v>
      </c>
    </row>
    <row r="3388" spans="39:41" x14ac:dyDescent="0.25">
      <c r="AM3388" s="2">
        <v>3385</v>
      </c>
      <c r="AN3388" s="33">
        <v>1.0923093998098538E-2</v>
      </c>
      <c r="AO3388" s="33">
        <v>4.4684974804743918E-4</v>
      </c>
    </row>
    <row r="3389" spans="39:41" x14ac:dyDescent="0.25">
      <c r="AM3389" s="2">
        <v>3386</v>
      </c>
      <c r="AN3389" s="33">
        <v>1.2863045897723002E-2</v>
      </c>
      <c r="AO3389" s="33">
        <v>8.8647746442323217E-4</v>
      </c>
    </row>
    <row r="3390" spans="39:41" x14ac:dyDescent="0.25">
      <c r="AM3390" s="2">
        <v>3387</v>
      </c>
      <c r="AN3390" s="33">
        <v>1.2200624438612247E-2</v>
      </c>
      <c r="AO3390" s="33">
        <v>5.844263599977395E-4</v>
      </c>
    </row>
    <row r="3391" spans="39:41" x14ac:dyDescent="0.25">
      <c r="AM3391" s="2">
        <v>3388</v>
      </c>
      <c r="AN3391" s="33">
        <v>1.3794807937083159E-2</v>
      </c>
      <c r="AO3391" s="33">
        <v>1.0807192454870252E-3</v>
      </c>
    </row>
    <row r="3392" spans="39:41" x14ac:dyDescent="0.25">
      <c r="AM3392" s="2">
        <v>3389</v>
      </c>
      <c r="AN3392" s="33">
        <v>1.0314272583425998E-2</v>
      </c>
      <c r="AO3392" s="33">
        <v>4.3298731501586574E-4</v>
      </c>
    </row>
    <row r="3393" spans="39:41" x14ac:dyDescent="0.25">
      <c r="AM3393" s="2">
        <v>3390</v>
      </c>
      <c r="AN3393" s="33">
        <v>1.0176036705204663E-2</v>
      </c>
      <c r="AO3393" s="33">
        <v>7.4576091857486845E-4</v>
      </c>
    </row>
    <row r="3394" spans="39:41" x14ac:dyDescent="0.25">
      <c r="AM3394" s="2">
        <v>3391</v>
      </c>
      <c r="AN3394" s="33">
        <v>1.1001359569690713E-2</v>
      </c>
      <c r="AO3394" s="33">
        <v>3.626369537969164E-4</v>
      </c>
    </row>
    <row r="3395" spans="39:41" x14ac:dyDescent="0.25">
      <c r="AM3395" s="2">
        <v>3392</v>
      </c>
      <c r="AN3395" s="33">
        <v>1.0277768281700187E-2</v>
      </c>
      <c r="AO3395" s="33">
        <v>5.7473266792721549E-4</v>
      </c>
    </row>
    <row r="3396" spans="39:41" x14ac:dyDescent="0.25">
      <c r="AM3396" s="2">
        <v>3393</v>
      </c>
      <c r="AN3396" s="33">
        <v>8.1021429103322051E-3</v>
      </c>
      <c r="AO3396" s="33">
        <v>4.4874042877245915E-4</v>
      </c>
    </row>
    <row r="3397" spans="39:41" x14ac:dyDescent="0.25">
      <c r="AM3397" s="2">
        <v>3394</v>
      </c>
      <c r="AN3397" s="33">
        <v>1.3388903239496236E-2</v>
      </c>
      <c r="AO3397" s="33">
        <v>3.3460344249142013E-4</v>
      </c>
    </row>
    <row r="3398" spans="39:41" x14ac:dyDescent="0.25">
      <c r="AM3398" s="2">
        <v>3395</v>
      </c>
      <c r="AN3398" s="33">
        <v>1.4122150184714945E-2</v>
      </c>
      <c r="AO3398" s="33">
        <v>1.0192007788320816E-3</v>
      </c>
    </row>
    <row r="3399" spans="39:41" x14ac:dyDescent="0.25">
      <c r="AM3399" s="2">
        <v>3396</v>
      </c>
      <c r="AN3399" s="33">
        <v>1.3945022475084461E-2</v>
      </c>
      <c r="AO3399" s="33">
        <v>9.2181367769829706E-4</v>
      </c>
    </row>
    <row r="3400" spans="39:41" x14ac:dyDescent="0.25">
      <c r="AM3400" s="2">
        <v>3397</v>
      </c>
      <c r="AN3400" s="33">
        <v>1.0056114246086104E-2</v>
      </c>
      <c r="AO3400" s="33">
        <v>4.639731083999687E-4</v>
      </c>
    </row>
    <row r="3401" spans="39:41" x14ac:dyDescent="0.25">
      <c r="AM3401" s="2">
        <v>3398</v>
      </c>
      <c r="AN3401" s="33">
        <v>1.0217618911894783E-2</v>
      </c>
      <c r="AO3401" s="33">
        <v>5.6673686873529201E-4</v>
      </c>
    </row>
    <row r="3402" spans="39:41" x14ac:dyDescent="0.25">
      <c r="AM3402" s="2">
        <v>3399</v>
      </c>
      <c r="AN3402" s="33">
        <v>1.023514225963619E-2</v>
      </c>
      <c r="AO3402" s="33">
        <v>4.1206221166102582E-4</v>
      </c>
    </row>
    <row r="3403" spans="39:41" x14ac:dyDescent="0.25">
      <c r="AM3403" s="2">
        <v>3400</v>
      </c>
      <c r="AN3403" s="33">
        <v>9.655946171853896E-3</v>
      </c>
      <c r="AO3403" s="33">
        <v>3.8189083000256745E-4</v>
      </c>
    </row>
    <row r="3404" spans="39:41" x14ac:dyDescent="0.25">
      <c r="AM3404" s="2">
        <v>3401</v>
      </c>
      <c r="AN3404" s="33">
        <v>2.0535935388704674E-2</v>
      </c>
      <c r="AO3404" s="33">
        <v>1.9158057360159986E-3</v>
      </c>
    </row>
    <row r="3405" spans="39:41" x14ac:dyDescent="0.25">
      <c r="AM3405" s="2">
        <v>3402</v>
      </c>
      <c r="AN3405" s="33">
        <v>1.0543614005099993E-2</v>
      </c>
      <c r="AO3405" s="33">
        <v>5.4164462264069257E-4</v>
      </c>
    </row>
    <row r="3406" spans="39:41" x14ac:dyDescent="0.25">
      <c r="AM3406" s="2">
        <v>3403</v>
      </c>
      <c r="AN3406" s="33">
        <v>1.1560828635483467E-2</v>
      </c>
      <c r="AO3406" s="33">
        <v>7.904194491172165E-4</v>
      </c>
    </row>
    <row r="3407" spans="39:41" x14ac:dyDescent="0.25">
      <c r="AM3407" s="2">
        <v>3404</v>
      </c>
      <c r="AN3407" s="33">
        <v>1.1529550011239943E-2</v>
      </c>
      <c r="AO3407" s="33">
        <v>1.1247881875253495E-3</v>
      </c>
    </row>
    <row r="3408" spans="39:41" x14ac:dyDescent="0.25">
      <c r="AM3408" s="2">
        <v>3405</v>
      </c>
      <c r="AN3408" s="33">
        <v>1.1266593635411893E-2</v>
      </c>
      <c r="AO3408" s="33">
        <v>1.0119240806928523E-3</v>
      </c>
    </row>
    <row r="3409" spans="39:41" x14ac:dyDescent="0.25">
      <c r="AM3409" s="2">
        <v>3406</v>
      </c>
      <c r="AN3409" s="33">
        <v>1.2039875239032811E-2</v>
      </c>
      <c r="AO3409" s="33">
        <v>8.9282095628234141E-4</v>
      </c>
    </row>
    <row r="3410" spans="39:41" x14ac:dyDescent="0.25">
      <c r="AM3410" s="2">
        <v>3407</v>
      </c>
      <c r="AN3410" s="33">
        <v>1.4307836411603287E-2</v>
      </c>
      <c r="AO3410" s="33">
        <v>1.10324214785001E-3</v>
      </c>
    </row>
    <row r="3411" spans="39:41" x14ac:dyDescent="0.25">
      <c r="AM3411" s="2">
        <v>3408</v>
      </c>
      <c r="AN3411" s="33">
        <v>1.2525252732689179E-2</v>
      </c>
      <c r="AO3411" s="33">
        <v>1.2471029424406276E-3</v>
      </c>
    </row>
    <row r="3412" spans="39:41" x14ac:dyDescent="0.25">
      <c r="AM3412" s="2">
        <v>3409</v>
      </c>
      <c r="AN3412" s="33">
        <v>1.1401590030705757E-2</v>
      </c>
      <c r="AO3412" s="33">
        <v>9.873656643942959E-4</v>
      </c>
    </row>
    <row r="3413" spans="39:41" x14ac:dyDescent="0.25">
      <c r="AM3413" s="2">
        <v>3410</v>
      </c>
      <c r="AN3413" s="33">
        <v>1.2446225431698779E-2</v>
      </c>
      <c r="AO3413" s="33">
        <v>1.2221323537660524E-3</v>
      </c>
    </row>
    <row r="3414" spans="39:41" x14ac:dyDescent="0.25">
      <c r="AM3414" s="2">
        <v>3411</v>
      </c>
      <c r="AN3414" s="33">
        <v>1.1665354982761285E-2</v>
      </c>
      <c r="AO3414" s="33">
        <v>8.2093360882714564E-4</v>
      </c>
    </row>
    <row r="3415" spans="39:41" x14ac:dyDescent="0.25">
      <c r="AM3415" s="2">
        <v>3412</v>
      </c>
      <c r="AN3415" s="33">
        <v>1.2584120268841729E-2</v>
      </c>
      <c r="AO3415" s="33">
        <v>1.0195953899922712E-3</v>
      </c>
    </row>
    <row r="3416" spans="39:41" x14ac:dyDescent="0.25">
      <c r="AM3416" s="2">
        <v>3413</v>
      </c>
      <c r="AN3416" s="33">
        <v>1.4506890515807247E-2</v>
      </c>
      <c r="AO3416" s="33">
        <v>1.4937129769498608E-3</v>
      </c>
    </row>
    <row r="3417" spans="39:41" x14ac:dyDescent="0.25">
      <c r="AM3417" s="2">
        <v>3414</v>
      </c>
      <c r="AN3417" s="33">
        <v>1.2736416620174482E-2</v>
      </c>
      <c r="AO3417" s="33">
        <v>1.1445835502745303E-4</v>
      </c>
    </row>
    <row r="3418" spans="39:41" x14ac:dyDescent="0.25">
      <c r="AM3418" s="2">
        <v>3415</v>
      </c>
      <c r="AN3418" s="33">
        <v>1.3902174262244299E-2</v>
      </c>
      <c r="AO3418" s="33">
        <v>9.9437111053841888E-4</v>
      </c>
    </row>
    <row r="3419" spans="39:41" x14ac:dyDescent="0.25">
      <c r="AM3419" s="2">
        <v>3416</v>
      </c>
      <c r="AN3419" s="33">
        <v>9.3783876691184934E-3</v>
      </c>
      <c r="AO3419" s="33">
        <v>5.2968584024079752E-4</v>
      </c>
    </row>
    <row r="3420" spans="39:41" x14ac:dyDescent="0.25">
      <c r="AM3420" s="2">
        <v>3417</v>
      </c>
      <c r="AN3420" s="33">
        <v>1.244731361945417E-2</v>
      </c>
      <c r="AO3420" s="33">
        <v>1.171516301040211E-3</v>
      </c>
    </row>
    <row r="3421" spans="39:41" x14ac:dyDescent="0.25">
      <c r="AM3421" s="2">
        <v>3418</v>
      </c>
      <c r="AN3421" s="33">
        <v>1.1046016985010475E-2</v>
      </c>
      <c r="AO3421" s="33">
        <v>1.9955270930955801E-4</v>
      </c>
    </row>
    <row r="3422" spans="39:41" x14ac:dyDescent="0.25">
      <c r="AM3422" s="2">
        <v>3419</v>
      </c>
      <c r="AN3422" s="33">
        <v>1.3704183609529977E-2</v>
      </c>
      <c r="AO3422" s="33">
        <v>7.4552946064525923E-4</v>
      </c>
    </row>
    <row r="3423" spans="39:41" x14ac:dyDescent="0.25">
      <c r="AM3423" s="2">
        <v>3420</v>
      </c>
      <c r="AN3423" s="33">
        <v>1.3173235230571855E-2</v>
      </c>
      <c r="AO3423" s="33">
        <v>1.1331776865015956E-3</v>
      </c>
    </row>
    <row r="3424" spans="39:41" x14ac:dyDescent="0.25">
      <c r="AM3424" s="2">
        <v>3421</v>
      </c>
      <c r="AN3424" s="33">
        <v>1.207488067757404E-2</v>
      </c>
      <c r="AO3424" s="33">
        <v>9.7809788930613571E-4</v>
      </c>
    </row>
    <row r="3425" spans="39:41" x14ac:dyDescent="0.25">
      <c r="AM3425" s="2">
        <v>3422</v>
      </c>
      <c r="AN3425" s="33">
        <v>1.4126812788590785E-2</v>
      </c>
      <c r="AO3425" s="33">
        <v>8.4571879984264575E-4</v>
      </c>
    </row>
    <row r="3426" spans="39:41" x14ac:dyDescent="0.25">
      <c r="AM3426" s="2">
        <v>3423</v>
      </c>
      <c r="AN3426" s="33">
        <v>1.0596177080357004E-2</v>
      </c>
      <c r="AO3426" s="33">
        <v>3.084783171172437E-4</v>
      </c>
    </row>
    <row r="3427" spans="39:41" x14ac:dyDescent="0.25">
      <c r="AM3427" s="2">
        <v>3424</v>
      </c>
      <c r="AN3427" s="33">
        <v>1.6706154866815426E-2</v>
      </c>
      <c r="AO3427" s="33">
        <v>1.2083253542360904E-3</v>
      </c>
    </row>
    <row r="3428" spans="39:41" x14ac:dyDescent="0.25">
      <c r="AM3428" s="2">
        <v>3425</v>
      </c>
      <c r="AN3428" s="33">
        <v>1.7487344687419522E-2</v>
      </c>
      <c r="AO3428" s="33">
        <v>1.5290834723327813E-3</v>
      </c>
    </row>
    <row r="3429" spans="39:41" x14ac:dyDescent="0.25">
      <c r="AM3429" s="2">
        <v>3426</v>
      </c>
      <c r="AN3429" s="33">
        <v>1.3740106267755637E-2</v>
      </c>
      <c r="AO3429" s="33">
        <v>9.7357656444111026E-4</v>
      </c>
    </row>
    <row r="3430" spans="39:41" x14ac:dyDescent="0.25">
      <c r="AM3430" s="2">
        <v>3427</v>
      </c>
      <c r="AN3430" s="33">
        <v>9.7966274159226579E-3</v>
      </c>
      <c r="AO3430" s="33">
        <v>5.7432928527087381E-4</v>
      </c>
    </row>
    <row r="3431" spans="39:41" x14ac:dyDescent="0.25">
      <c r="AM3431" s="2">
        <v>3428</v>
      </c>
      <c r="AN3431" s="33">
        <v>1.3964814379181319E-2</v>
      </c>
      <c r="AO3431" s="33">
        <v>1.1786557220942262E-3</v>
      </c>
    </row>
    <row r="3432" spans="39:41" x14ac:dyDescent="0.25">
      <c r="AM3432" s="2">
        <v>3429</v>
      </c>
      <c r="AN3432" s="33">
        <v>1.0182120254629877E-2</v>
      </c>
      <c r="AO3432" s="33">
        <v>3.6653377888792366E-4</v>
      </c>
    </row>
    <row r="3433" spans="39:41" x14ac:dyDescent="0.25">
      <c r="AM3433" s="2">
        <v>3430</v>
      </c>
      <c r="AN3433" s="33">
        <v>1.3579606116767099E-2</v>
      </c>
      <c r="AO3433" s="33">
        <v>1.1851469810095655E-3</v>
      </c>
    </row>
    <row r="3434" spans="39:41" x14ac:dyDescent="0.25">
      <c r="AM3434" s="2">
        <v>3431</v>
      </c>
      <c r="AN3434" s="33">
        <v>1.4038259309663686E-2</v>
      </c>
      <c r="AO3434" s="33">
        <v>1.3334496883484533E-3</v>
      </c>
    </row>
    <row r="3435" spans="39:41" x14ac:dyDescent="0.25">
      <c r="AM3435" s="2">
        <v>3432</v>
      </c>
      <c r="AN3435" s="33">
        <v>1.1948673075864209E-2</v>
      </c>
      <c r="AO3435" s="33">
        <v>9.261755497935308E-4</v>
      </c>
    </row>
    <row r="3436" spans="39:41" x14ac:dyDescent="0.25">
      <c r="AM3436" s="2">
        <v>3433</v>
      </c>
      <c r="AN3436" s="33">
        <v>9.6647963839641086E-3</v>
      </c>
      <c r="AO3436" s="33">
        <v>5.7739557114636726E-4</v>
      </c>
    </row>
    <row r="3437" spans="39:41" x14ac:dyDescent="0.25">
      <c r="AM3437" s="2">
        <v>3434</v>
      </c>
      <c r="AN3437" s="33">
        <v>1.04387260095302E-2</v>
      </c>
      <c r="AO3437" s="33">
        <v>8.2472501086009299E-4</v>
      </c>
    </row>
    <row r="3438" spans="39:41" x14ac:dyDescent="0.25">
      <c r="AM3438" s="2">
        <v>3435</v>
      </c>
      <c r="AN3438" s="33">
        <v>9.4732286934083951E-3</v>
      </c>
      <c r="AO3438" s="33">
        <v>7.9234580118866388E-4</v>
      </c>
    </row>
    <row r="3439" spans="39:41" x14ac:dyDescent="0.25">
      <c r="AM3439" s="2">
        <v>3436</v>
      </c>
      <c r="AN3439" s="33">
        <v>1.2138692851920254E-2</v>
      </c>
      <c r="AO3439" s="33">
        <v>1.1217708438234278E-3</v>
      </c>
    </row>
    <row r="3440" spans="39:41" x14ac:dyDescent="0.25">
      <c r="AM3440" s="2">
        <v>3437</v>
      </c>
      <c r="AN3440" s="33">
        <v>9.823017309178856E-3</v>
      </c>
      <c r="AO3440" s="33">
        <v>6.078542263307983E-4</v>
      </c>
    </row>
    <row r="3441" spans="39:41" x14ac:dyDescent="0.25">
      <c r="AM3441" s="2">
        <v>3438</v>
      </c>
      <c r="AN3441" s="33">
        <v>1.300543878241949E-2</v>
      </c>
      <c r="AO3441" s="33">
        <v>1.1571614753639685E-3</v>
      </c>
    </row>
    <row r="3442" spans="39:41" x14ac:dyDescent="0.25">
      <c r="AM3442" s="2">
        <v>3439</v>
      </c>
      <c r="AN3442" s="33">
        <v>1.3671101327876675E-2</v>
      </c>
      <c r="AO3442" s="33">
        <v>6.854285416068237E-4</v>
      </c>
    </row>
    <row r="3443" spans="39:41" x14ac:dyDescent="0.25">
      <c r="AM3443" s="2">
        <v>3440</v>
      </c>
      <c r="AN3443" s="33">
        <v>1.0561419984104948E-2</v>
      </c>
      <c r="AO3443" s="33">
        <v>2.0430048990754051E-4</v>
      </c>
    </row>
    <row r="3444" spans="39:41" x14ac:dyDescent="0.25">
      <c r="AM3444" s="2">
        <v>3441</v>
      </c>
      <c r="AN3444" s="33">
        <v>1.6548552888170188E-2</v>
      </c>
      <c r="AO3444" s="33">
        <v>9.7836463498610516E-4</v>
      </c>
    </row>
    <row r="3445" spans="39:41" x14ac:dyDescent="0.25">
      <c r="AM3445" s="2">
        <v>3442</v>
      </c>
      <c r="AN3445" s="33">
        <v>8.6736627218763698E-3</v>
      </c>
      <c r="AO3445" s="33">
        <v>5.9550826716158649E-4</v>
      </c>
    </row>
    <row r="3446" spans="39:41" x14ac:dyDescent="0.25">
      <c r="AM3446" s="2">
        <v>3443</v>
      </c>
      <c r="AN3446" s="33">
        <v>1.2750359989027916E-2</v>
      </c>
      <c r="AO3446" s="33">
        <v>1.2985037546611879E-4</v>
      </c>
    </row>
    <row r="3447" spans="39:41" x14ac:dyDescent="0.25">
      <c r="AM3447" s="2">
        <v>3444</v>
      </c>
      <c r="AN3447" s="33">
        <v>1.6624082416799902E-2</v>
      </c>
      <c r="AO3447" s="33">
        <v>9.4432220761062643E-4</v>
      </c>
    </row>
    <row r="3448" spans="39:41" x14ac:dyDescent="0.25">
      <c r="AM3448" s="2">
        <v>3445</v>
      </c>
      <c r="AN3448" s="33">
        <v>9.9420735607542079E-3</v>
      </c>
      <c r="AO3448" s="33">
        <v>9.3680601050048816E-4</v>
      </c>
    </row>
    <row r="3449" spans="39:41" x14ac:dyDescent="0.25">
      <c r="AM3449" s="2">
        <v>3446</v>
      </c>
      <c r="AN3449" s="33">
        <v>9.7352449328083415E-3</v>
      </c>
      <c r="AO3449" s="33">
        <v>7.0778707123983215E-4</v>
      </c>
    </row>
    <row r="3450" spans="39:41" x14ac:dyDescent="0.25">
      <c r="AM3450" s="2">
        <v>3447</v>
      </c>
      <c r="AN3450" s="33">
        <v>1.2722736321244609E-2</v>
      </c>
      <c r="AO3450" s="33">
        <v>1.023665918566351E-3</v>
      </c>
    </row>
    <row r="3451" spans="39:41" x14ac:dyDescent="0.25">
      <c r="AM3451" s="2">
        <v>3448</v>
      </c>
      <c r="AN3451" s="33">
        <v>9.7611091249190842E-3</v>
      </c>
      <c r="AO3451" s="33">
        <v>6.1302525267765582E-4</v>
      </c>
    </row>
    <row r="3452" spans="39:41" x14ac:dyDescent="0.25">
      <c r="AM3452" s="2">
        <v>3449</v>
      </c>
      <c r="AN3452" s="33">
        <v>1.1944106020162701E-2</v>
      </c>
      <c r="AO3452" s="33">
        <v>1.0447014867995283E-3</v>
      </c>
    </row>
    <row r="3453" spans="39:41" x14ac:dyDescent="0.25">
      <c r="AM3453" s="2">
        <v>3450</v>
      </c>
      <c r="AN3453" s="33">
        <v>1.340550155854891E-2</v>
      </c>
      <c r="AO3453" s="33">
        <v>1.1931624153807894E-3</v>
      </c>
    </row>
    <row r="3454" spans="39:41" x14ac:dyDescent="0.25">
      <c r="AM3454" s="2">
        <v>3451</v>
      </c>
      <c r="AN3454" s="33">
        <v>1.2682785397099057E-2</v>
      </c>
      <c r="AO3454" s="33">
        <v>6.5682533214387522E-4</v>
      </c>
    </row>
    <row r="3455" spans="39:41" x14ac:dyDescent="0.25">
      <c r="AM3455" s="2">
        <v>3452</v>
      </c>
      <c r="AN3455" s="33">
        <v>1.3802850689916185E-2</v>
      </c>
      <c r="AO3455" s="33">
        <v>9.7211696483795245E-4</v>
      </c>
    </row>
    <row r="3456" spans="39:41" x14ac:dyDescent="0.25">
      <c r="AM3456" s="2">
        <v>3453</v>
      </c>
      <c r="AN3456" s="33">
        <v>1.0545559256822013E-2</v>
      </c>
      <c r="AO3456" s="33">
        <v>5.7567787221830097E-4</v>
      </c>
    </row>
    <row r="3457" spans="39:41" x14ac:dyDescent="0.25">
      <c r="AM3457" s="2">
        <v>3454</v>
      </c>
      <c r="AN3457" s="33">
        <v>1.3849217675642442E-2</v>
      </c>
      <c r="AO3457" s="33">
        <v>4.8719399339523328E-4</v>
      </c>
    </row>
    <row r="3458" spans="39:41" x14ac:dyDescent="0.25">
      <c r="AM3458" s="2">
        <v>3455</v>
      </c>
      <c r="AN3458" s="33">
        <v>1.2681917637824643E-2</v>
      </c>
      <c r="AO3458" s="33">
        <v>7.5511261816406058E-4</v>
      </c>
    </row>
    <row r="3459" spans="39:41" x14ac:dyDescent="0.25">
      <c r="AM3459" s="2">
        <v>3456</v>
      </c>
      <c r="AN3459" s="33">
        <v>9.4060805883211755E-3</v>
      </c>
      <c r="AO3459" s="33">
        <v>7.8537459938173568E-4</v>
      </c>
    </row>
    <row r="3460" spans="39:41" x14ac:dyDescent="0.25">
      <c r="AM3460" s="2">
        <v>3457</v>
      </c>
      <c r="AN3460" s="33">
        <v>1.6153896757437267E-2</v>
      </c>
      <c r="AO3460" s="33">
        <v>1.4682905484533436E-3</v>
      </c>
    </row>
    <row r="3461" spans="39:41" x14ac:dyDescent="0.25">
      <c r="AM3461" s="2">
        <v>3458</v>
      </c>
      <c r="AN3461" s="33">
        <v>1.5065307652328306E-2</v>
      </c>
      <c r="AO3461" s="33">
        <v>1.0621934947713607E-3</v>
      </c>
    </row>
    <row r="3462" spans="39:41" x14ac:dyDescent="0.25">
      <c r="AM3462" s="2">
        <v>3459</v>
      </c>
      <c r="AN3462" s="33">
        <v>1.2693594845521034E-2</v>
      </c>
      <c r="AO3462" s="33">
        <v>7.8595248515222593E-4</v>
      </c>
    </row>
    <row r="3463" spans="39:41" x14ac:dyDescent="0.25">
      <c r="AM3463" s="2">
        <v>3460</v>
      </c>
      <c r="AN3463" s="33">
        <v>1.2150216264802637E-2</v>
      </c>
      <c r="AO3463" s="33">
        <v>4.9669973568149583E-4</v>
      </c>
    </row>
    <row r="3464" spans="39:41" x14ac:dyDescent="0.25">
      <c r="AM3464" s="2">
        <v>3461</v>
      </c>
      <c r="AN3464" s="33">
        <v>9.4887898305765772E-3</v>
      </c>
      <c r="AO3464" s="33">
        <v>7.270820648097049E-4</v>
      </c>
    </row>
    <row r="3465" spans="39:41" x14ac:dyDescent="0.25">
      <c r="AM3465" s="2">
        <v>3462</v>
      </c>
      <c r="AN3465" s="33">
        <v>1.3534252701913992E-2</v>
      </c>
      <c r="AO3465" s="33">
        <v>1.0922236242735565E-3</v>
      </c>
    </row>
    <row r="3466" spans="39:41" x14ac:dyDescent="0.25">
      <c r="AM3466" s="2">
        <v>3463</v>
      </c>
      <c r="AN3466" s="33">
        <v>1.0901667795363142E-2</v>
      </c>
      <c r="AO3466" s="33">
        <v>8.4159232677473038E-4</v>
      </c>
    </row>
    <row r="3467" spans="39:41" x14ac:dyDescent="0.25">
      <c r="AM3467" s="2">
        <v>3464</v>
      </c>
      <c r="AN3467" s="33">
        <v>1.2229890470027285E-2</v>
      </c>
      <c r="AO3467" s="33">
        <v>2.8316217585046114E-4</v>
      </c>
    </row>
    <row r="3468" spans="39:41" x14ac:dyDescent="0.25">
      <c r="AM3468" s="2">
        <v>3465</v>
      </c>
      <c r="AN3468" s="33">
        <v>1.1924566601931792E-2</v>
      </c>
      <c r="AO3468" s="33">
        <v>5.6363884780707843E-4</v>
      </c>
    </row>
    <row r="3469" spans="39:41" x14ac:dyDescent="0.25">
      <c r="AM3469" s="2">
        <v>3466</v>
      </c>
      <c r="AN3469" s="33">
        <v>1.1449146017016278E-2</v>
      </c>
      <c r="AO3469" s="33">
        <v>9.7613580114579634E-4</v>
      </c>
    </row>
    <row r="3470" spans="39:41" x14ac:dyDescent="0.25">
      <c r="AM3470" s="2">
        <v>3467</v>
      </c>
      <c r="AN3470" s="33">
        <v>1.2992757677863212E-2</v>
      </c>
      <c r="AO3470" s="33">
        <v>1.1019583936550017E-3</v>
      </c>
    </row>
    <row r="3471" spans="39:41" x14ac:dyDescent="0.25">
      <c r="AM3471" s="2">
        <v>3468</v>
      </c>
      <c r="AN3471" s="33">
        <v>1.1118186859268958E-2</v>
      </c>
      <c r="AO3471" s="33">
        <v>9.4789618589854324E-4</v>
      </c>
    </row>
    <row r="3472" spans="39:41" x14ac:dyDescent="0.25">
      <c r="AM3472" s="2">
        <v>3469</v>
      </c>
      <c r="AN3472" s="33">
        <v>1.0211241971030318E-2</v>
      </c>
      <c r="AO3472" s="33">
        <v>6.9511100411941249E-4</v>
      </c>
    </row>
    <row r="3473" spans="39:41" x14ac:dyDescent="0.25">
      <c r="AM3473" s="2">
        <v>3470</v>
      </c>
      <c r="AN3473" s="33">
        <v>1.165581560436749E-2</v>
      </c>
      <c r="AO3473" s="33">
        <v>1.1186977831437125E-3</v>
      </c>
    </row>
    <row r="3474" spans="39:41" x14ac:dyDescent="0.25">
      <c r="AM3474" s="2">
        <v>3471</v>
      </c>
      <c r="AN3474" s="33">
        <v>9.1729448608747228E-3</v>
      </c>
      <c r="AO3474" s="33">
        <v>4.5225701595416379E-4</v>
      </c>
    </row>
    <row r="3475" spans="39:41" x14ac:dyDescent="0.25">
      <c r="AM3475" s="2">
        <v>3472</v>
      </c>
      <c r="AN3475" s="33">
        <v>1.2066358421098149E-2</v>
      </c>
      <c r="AO3475" s="33">
        <v>8.3449257390399772E-4</v>
      </c>
    </row>
    <row r="3476" spans="39:41" x14ac:dyDescent="0.25">
      <c r="AM3476" s="2">
        <v>3473</v>
      </c>
      <c r="AN3476" s="33">
        <v>1.4401422849623041E-2</v>
      </c>
      <c r="AO3476" s="33">
        <v>1.4874360880298082E-3</v>
      </c>
    </row>
    <row r="3477" spans="39:41" x14ac:dyDescent="0.25">
      <c r="AM3477" s="2">
        <v>3474</v>
      </c>
      <c r="AN3477" s="33">
        <v>9.2182558348698623E-3</v>
      </c>
      <c r="AO3477" s="33">
        <v>7.6757028035286438E-4</v>
      </c>
    </row>
    <row r="3478" spans="39:41" x14ac:dyDescent="0.25">
      <c r="AM3478" s="2">
        <v>3475</v>
      </c>
      <c r="AN3478" s="33">
        <v>1.3330629879851496E-2</v>
      </c>
      <c r="AO3478" s="33">
        <v>1.3287446199231354E-3</v>
      </c>
    </row>
    <row r="3479" spans="39:41" x14ac:dyDescent="0.25">
      <c r="AM3479" s="2">
        <v>3476</v>
      </c>
      <c r="AN3479" s="33">
        <v>1.2970769155508271E-2</v>
      </c>
      <c r="AO3479" s="33">
        <v>1.0902575982296161E-3</v>
      </c>
    </row>
    <row r="3480" spans="39:41" x14ac:dyDescent="0.25">
      <c r="AM3480" s="2">
        <v>3477</v>
      </c>
      <c r="AN3480" s="33">
        <v>1.0356343941629624E-2</v>
      </c>
      <c r="AO3480" s="33">
        <v>4.9262038649377485E-4</v>
      </c>
    </row>
    <row r="3481" spans="39:41" x14ac:dyDescent="0.25">
      <c r="AM3481" s="2">
        <v>3478</v>
      </c>
      <c r="AN3481" s="33">
        <v>1.0017473656419232E-2</v>
      </c>
      <c r="AO3481" s="33">
        <v>6.4407130280138203E-4</v>
      </c>
    </row>
    <row r="3482" spans="39:41" x14ac:dyDescent="0.25">
      <c r="AM3482" s="2">
        <v>3479</v>
      </c>
      <c r="AN3482" s="33">
        <v>1.3704493429105725E-2</v>
      </c>
      <c r="AO3482" s="33">
        <v>1.2327481811956432E-3</v>
      </c>
    </row>
    <row r="3483" spans="39:41" x14ac:dyDescent="0.25">
      <c r="AM3483" s="2">
        <v>3480</v>
      </c>
      <c r="AN3483" s="33">
        <v>1.6437152598412136E-2</v>
      </c>
      <c r="AO3483" s="33">
        <v>1.44371358804891E-3</v>
      </c>
    </row>
    <row r="3484" spans="39:41" x14ac:dyDescent="0.25">
      <c r="AM3484" s="2">
        <v>3481</v>
      </c>
      <c r="AN3484" s="33">
        <v>8.6992916680666173E-3</v>
      </c>
      <c r="AO3484" s="33">
        <v>2.553362606947279E-4</v>
      </c>
    </row>
    <row r="3485" spans="39:41" x14ac:dyDescent="0.25">
      <c r="AM3485" s="2">
        <v>3482</v>
      </c>
      <c r="AN3485" s="33">
        <v>1.3922385476044428E-2</v>
      </c>
      <c r="AO3485" s="33">
        <v>9.4663608900838014E-4</v>
      </c>
    </row>
    <row r="3486" spans="39:41" x14ac:dyDescent="0.25">
      <c r="AM3486" s="2">
        <v>3483</v>
      </c>
      <c r="AN3486" s="33">
        <v>1.1403197692293221E-2</v>
      </c>
      <c r="AO3486" s="33">
        <v>1.139133322013359E-3</v>
      </c>
    </row>
    <row r="3487" spans="39:41" x14ac:dyDescent="0.25">
      <c r="AM3487" s="2">
        <v>3484</v>
      </c>
      <c r="AN3487" s="33">
        <v>1.2483390617374659E-2</v>
      </c>
      <c r="AO3487" s="33">
        <v>1.409724972019059E-4</v>
      </c>
    </row>
    <row r="3488" spans="39:41" x14ac:dyDescent="0.25">
      <c r="AM3488" s="2">
        <v>3485</v>
      </c>
      <c r="AN3488" s="33">
        <v>1.094606221724409E-2</v>
      </c>
      <c r="AO3488" s="33">
        <v>8.1876167232714122E-4</v>
      </c>
    </row>
    <row r="3489" spans="39:41" x14ac:dyDescent="0.25">
      <c r="AM3489" s="2">
        <v>3486</v>
      </c>
      <c r="AN3489" s="33">
        <v>1.0117291584700764E-2</v>
      </c>
      <c r="AO3489" s="33">
        <v>1.037777082897946E-3</v>
      </c>
    </row>
    <row r="3490" spans="39:41" x14ac:dyDescent="0.25">
      <c r="AM3490" s="2">
        <v>3487</v>
      </c>
      <c r="AN3490" s="33">
        <v>1.3630335721441771E-2</v>
      </c>
      <c r="AO3490" s="33">
        <v>1.2096769725476971E-3</v>
      </c>
    </row>
    <row r="3491" spans="39:41" x14ac:dyDescent="0.25">
      <c r="AM3491" s="2">
        <v>3488</v>
      </c>
      <c r="AN3491" s="33">
        <v>1.4799884244794873E-2</v>
      </c>
      <c r="AO3491" s="33">
        <v>9.7598511111962616E-4</v>
      </c>
    </row>
    <row r="3492" spans="39:41" x14ac:dyDescent="0.25">
      <c r="AM3492" s="2">
        <v>3489</v>
      </c>
      <c r="AN3492" s="33">
        <v>1.5000828135963479E-2</v>
      </c>
      <c r="AO3492" s="33">
        <v>1.0088491494314479E-3</v>
      </c>
    </row>
    <row r="3493" spans="39:41" x14ac:dyDescent="0.25">
      <c r="AM3493" s="2">
        <v>3490</v>
      </c>
      <c r="AN3493" s="33">
        <v>1.3192105310159833E-2</v>
      </c>
      <c r="AO3493" s="33">
        <v>1.0449832082750467E-3</v>
      </c>
    </row>
    <row r="3494" spans="39:41" x14ac:dyDescent="0.25">
      <c r="AM3494" s="2">
        <v>3491</v>
      </c>
      <c r="AN3494" s="33">
        <v>1.0070999268221447E-2</v>
      </c>
      <c r="AO3494" s="33">
        <v>5.5845739075359056E-4</v>
      </c>
    </row>
    <row r="3495" spans="39:41" x14ac:dyDescent="0.25">
      <c r="AM3495" s="2">
        <v>3492</v>
      </c>
      <c r="AN3495" s="33">
        <v>1.1961464554800837E-2</v>
      </c>
      <c r="AO3495" s="33">
        <v>9.5166658269565116E-4</v>
      </c>
    </row>
    <row r="3496" spans="39:41" x14ac:dyDescent="0.25">
      <c r="AM3496" s="2">
        <v>3493</v>
      </c>
      <c r="AN3496" s="33">
        <v>1.1815898756758517E-2</v>
      </c>
      <c r="AO3496" s="33">
        <v>7.2631237822312156E-4</v>
      </c>
    </row>
    <row r="3497" spans="39:41" x14ac:dyDescent="0.25">
      <c r="AM3497" s="2">
        <v>3494</v>
      </c>
      <c r="AN3497" s="33">
        <v>1.0235196049420999E-2</v>
      </c>
      <c r="AO3497" s="33">
        <v>6.3672117723144949E-4</v>
      </c>
    </row>
    <row r="3498" spans="39:41" x14ac:dyDescent="0.25">
      <c r="AM3498" s="2">
        <v>3495</v>
      </c>
      <c r="AN3498" s="33">
        <v>1.0116698934522784E-2</v>
      </c>
      <c r="AO3498" s="33">
        <v>9.5484568731941911E-4</v>
      </c>
    </row>
    <row r="3499" spans="39:41" x14ac:dyDescent="0.25">
      <c r="AM3499" s="2">
        <v>3496</v>
      </c>
      <c r="AN3499" s="33">
        <v>1.0557011122472539E-2</v>
      </c>
      <c r="AO3499" s="33">
        <v>5.576566882779982E-4</v>
      </c>
    </row>
    <row r="3500" spans="39:41" x14ac:dyDescent="0.25">
      <c r="AM3500" s="2">
        <v>3497</v>
      </c>
      <c r="AN3500" s="33">
        <v>1.4543337559092491E-2</v>
      </c>
      <c r="AO3500" s="33">
        <v>9.4239185342764984E-4</v>
      </c>
    </row>
    <row r="3501" spans="39:41" x14ac:dyDescent="0.25">
      <c r="AM3501" s="2">
        <v>3498</v>
      </c>
      <c r="AN3501" s="33">
        <v>1.1999745134349649E-2</v>
      </c>
      <c r="AO3501" s="33">
        <v>1.1289814076361445E-3</v>
      </c>
    </row>
    <row r="3502" spans="39:41" x14ac:dyDescent="0.25">
      <c r="AM3502" s="2">
        <v>3499</v>
      </c>
      <c r="AN3502" s="33">
        <v>1.2585996431081435E-2</v>
      </c>
      <c r="AO3502" s="33">
        <v>6.2087484547466922E-4</v>
      </c>
    </row>
    <row r="3503" spans="39:41" x14ac:dyDescent="0.25">
      <c r="AM3503" s="2">
        <v>3500</v>
      </c>
      <c r="AN3503" s="33">
        <v>1.1930760027973339E-2</v>
      </c>
      <c r="AO3503" s="33">
        <v>4.6968764495484804E-4</v>
      </c>
    </row>
    <row r="3504" spans="39:41" x14ac:dyDescent="0.25">
      <c r="AM3504" s="2">
        <v>3501</v>
      </c>
      <c r="AN3504" s="33">
        <v>1.1912127708284155E-2</v>
      </c>
      <c r="AO3504" s="33">
        <v>1.2354243598779206E-3</v>
      </c>
    </row>
    <row r="3505" spans="39:41" x14ac:dyDescent="0.25">
      <c r="AM3505" s="2">
        <v>3502</v>
      </c>
      <c r="AN3505" s="33">
        <v>1.3624244219443294E-2</v>
      </c>
      <c r="AO3505" s="33">
        <v>1.2342771581318154E-3</v>
      </c>
    </row>
    <row r="3506" spans="39:41" x14ac:dyDescent="0.25">
      <c r="AM3506" s="2">
        <v>3503</v>
      </c>
      <c r="AN3506" s="33">
        <v>1.4217065019954806E-2</v>
      </c>
      <c r="AO3506" s="33">
        <v>9.9841567398128951E-5</v>
      </c>
    </row>
    <row r="3507" spans="39:41" x14ac:dyDescent="0.25">
      <c r="AM3507" s="2">
        <v>3504</v>
      </c>
      <c r="AN3507" s="33">
        <v>1.4760271224907615E-2</v>
      </c>
      <c r="AO3507" s="33">
        <v>1.2971310920217496E-3</v>
      </c>
    </row>
    <row r="3508" spans="39:41" x14ac:dyDescent="0.25">
      <c r="AM3508" s="2">
        <v>3505</v>
      </c>
      <c r="AN3508" s="33">
        <v>1.2985089205985232E-2</v>
      </c>
      <c r="AO3508" s="33">
        <v>1.1160101007963406E-3</v>
      </c>
    </row>
    <row r="3509" spans="39:41" x14ac:dyDescent="0.25">
      <c r="AM3509" s="2">
        <v>3506</v>
      </c>
      <c r="AN3509" s="33">
        <v>1.2888496735740865E-2</v>
      </c>
      <c r="AO3509" s="33">
        <v>1.0242344961455538E-3</v>
      </c>
    </row>
    <row r="3510" spans="39:41" x14ac:dyDescent="0.25">
      <c r="AM3510" s="2">
        <v>3507</v>
      </c>
      <c r="AN3510" s="33">
        <v>1.2171200915772442E-2</v>
      </c>
      <c r="AO3510" s="33">
        <v>9.6590356758439967E-4</v>
      </c>
    </row>
    <row r="3511" spans="39:41" x14ac:dyDescent="0.25">
      <c r="AM3511" s="2">
        <v>3508</v>
      </c>
      <c r="AN3511" s="33">
        <v>9.3267346316546294E-3</v>
      </c>
      <c r="AO3511" s="33">
        <v>7.8338197484338493E-4</v>
      </c>
    </row>
    <row r="3512" spans="39:41" x14ac:dyDescent="0.25">
      <c r="AM3512" s="2">
        <v>3509</v>
      </c>
      <c r="AN3512" s="33">
        <v>8.0533091518299963E-3</v>
      </c>
      <c r="AO3512" s="33">
        <v>6.5106410330992434E-4</v>
      </c>
    </row>
    <row r="3513" spans="39:41" x14ac:dyDescent="0.25">
      <c r="AM3513" s="2">
        <v>3510</v>
      </c>
      <c r="AN3513" s="33">
        <v>1.2662265017773594E-2</v>
      </c>
      <c r="AO3513" s="33">
        <v>1.2368819110876767E-3</v>
      </c>
    </row>
    <row r="3514" spans="39:41" x14ac:dyDescent="0.25">
      <c r="AM3514" s="2">
        <v>3511</v>
      </c>
      <c r="AN3514" s="33">
        <v>1.3320723137761689E-2</v>
      </c>
      <c r="AO3514" s="33">
        <v>9.5942425808276464E-4</v>
      </c>
    </row>
    <row r="3515" spans="39:41" x14ac:dyDescent="0.25">
      <c r="AM3515" s="2">
        <v>3512</v>
      </c>
      <c r="AN3515" s="33">
        <v>1.3260599561245891E-2</v>
      </c>
      <c r="AO3515" s="33">
        <v>7.390532890416252E-4</v>
      </c>
    </row>
    <row r="3516" spans="39:41" x14ac:dyDescent="0.25">
      <c r="AM3516" s="2">
        <v>3513</v>
      </c>
      <c r="AN3516" s="33">
        <v>1.0183996755053756E-2</v>
      </c>
      <c r="AO3516" s="33">
        <v>6.0748149495677012E-4</v>
      </c>
    </row>
    <row r="3517" spans="39:41" x14ac:dyDescent="0.25">
      <c r="AM3517" s="2">
        <v>3514</v>
      </c>
      <c r="AN3517" s="33">
        <v>1.3749479957678678E-2</v>
      </c>
      <c r="AO3517" s="33">
        <v>1.217153667604471E-3</v>
      </c>
    </row>
    <row r="3518" spans="39:41" x14ac:dyDescent="0.25">
      <c r="AM3518" s="2">
        <v>3515</v>
      </c>
      <c r="AN3518" s="33">
        <v>1.1554055227889245E-2</v>
      </c>
      <c r="AO3518" s="33">
        <v>6.6409720454698124E-4</v>
      </c>
    </row>
    <row r="3519" spans="39:41" x14ac:dyDescent="0.25">
      <c r="AM3519" s="2">
        <v>3516</v>
      </c>
      <c r="AN3519" s="33">
        <v>8.4541160563867488E-3</v>
      </c>
      <c r="AO3519" s="33">
        <v>5.191631788840134E-4</v>
      </c>
    </row>
    <row r="3520" spans="39:41" x14ac:dyDescent="0.25">
      <c r="AM3520" s="2">
        <v>3517</v>
      </c>
      <c r="AN3520" s="33">
        <v>9.074149541181584E-3</v>
      </c>
      <c r="AO3520" s="33">
        <v>2.4977963656200899E-4</v>
      </c>
    </row>
    <row r="3521" spans="39:41" x14ac:dyDescent="0.25">
      <c r="AM3521" s="2">
        <v>3518</v>
      </c>
      <c r="AN3521" s="33">
        <v>1.1703042090656287E-2</v>
      </c>
      <c r="AO3521" s="33">
        <v>8.7590742928583235E-4</v>
      </c>
    </row>
    <row r="3522" spans="39:41" x14ac:dyDescent="0.25">
      <c r="AM3522" s="2">
        <v>3519</v>
      </c>
      <c r="AN3522" s="33">
        <v>1.3820694663784716E-2</v>
      </c>
      <c r="AO3522" s="33">
        <v>1.0820444199730508E-3</v>
      </c>
    </row>
    <row r="3523" spans="39:41" x14ac:dyDescent="0.25">
      <c r="AM3523" s="2">
        <v>3520</v>
      </c>
      <c r="AN3523" s="33">
        <v>1.133852843356822E-2</v>
      </c>
      <c r="AO3523" s="33">
        <v>7.9019367643031434E-4</v>
      </c>
    </row>
    <row r="3524" spans="39:41" x14ac:dyDescent="0.25">
      <c r="AM3524" s="2">
        <v>3521</v>
      </c>
      <c r="AN3524" s="33">
        <v>1.2483686228107509E-2</v>
      </c>
      <c r="AO3524" s="33">
        <v>1.1185055104257758E-3</v>
      </c>
    </row>
    <row r="3525" spans="39:41" x14ac:dyDescent="0.25">
      <c r="AM3525" s="2">
        <v>3522</v>
      </c>
      <c r="AN3525" s="33">
        <v>9.2549661348161425E-3</v>
      </c>
      <c r="AO3525" s="33">
        <v>6.8479492200773846E-4</v>
      </c>
    </row>
    <row r="3526" spans="39:41" x14ac:dyDescent="0.25">
      <c r="AM3526" s="2">
        <v>3523</v>
      </c>
      <c r="AN3526" s="33">
        <v>1.1879915494598778E-2</v>
      </c>
      <c r="AO3526" s="33">
        <v>8.3210188189880422E-4</v>
      </c>
    </row>
    <row r="3527" spans="39:41" x14ac:dyDescent="0.25">
      <c r="AM3527" s="2">
        <v>3524</v>
      </c>
      <c r="AN3527" s="33">
        <v>1.0033521875305661E-2</v>
      </c>
      <c r="AO3527" s="33">
        <v>9.0506987928246259E-4</v>
      </c>
    </row>
    <row r="3528" spans="39:41" x14ac:dyDescent="0.25">
      <c r="AM3528" s="2">
        <v>3525</v>
      </c>
      <c r="AN3528" s="33">
        <v>1.3653781217944244E-2</v>
      </c>
      <c r="AO3528" s="33">
        <v>1.3699920129640313E-3</v>
      </c>
    </row>
    <row r="3529" spans="39:41" x14ac:dyDescent="0.25">
      <c r="AM3529" s="2">
        <v>3526</v>
      </c>
      <c r="AN3529" s="33">
        <v>8.280236939605631E-3</v>
      </c>
      <c r="AO3529" s="33">
        <v>5.3838810937274458E-4</v>
      </c>
    </row>
    <row r="3530" spans="39:41" x14ac:dyDescent="0.25">
      <c r="AM3530" s="2">
        <v>3527</v>
      </c>
      <c r="AN3530" s="33">
        <v>1.0004729771885611E-2</v>
      </c>
      <c r="AO3530" s="33">
        <v>5.5594591223194598E-4</v>
      </c>
    </row>
    <row r="3531" spans="39:41" x14ac:dyDescent="0.25">
      <c r="AM3531" s="2">
        <v>3528</v>
      </c>
      <c r="AN3531" s="33">
        <v>1.3267971505388072E-2</v>
      </c>
      <c r="AO3531" s="33">
        <v>6.5759991426263232E-4</v>
      </c>
    </row>
    <row r="3532" spans="39:41" x14ac:dyDescent="0.25">
      <c r="AM3532" s="2">
        <v>3529</v>
      </c>
      <c r="AN3532" s="33">
        <v>1.7564824961614548E-2</v>
      </c>
      <c r="AO3532" s="33">
        <v>1.7674116778468847E-3</v>
      </c>
    </row>
    <row r="3533" spans="39:41" x14ac:dyDescent="0.25">
      <c r="AM3533" s="2">
        <v>3530</v>
      </c>
      <c r="AN3533" s="33">
        <v>1.2060732107390691E-2</v>
      </c>
      <c r="AO3533" s="33">
        <v>1.1915508663169765E-3</v>
      </c>
    </row>
    <row r="3534" spans="39:41" x14ac:dyDescent="0.25">
      <c r="AM3534" s="2">
        <v>3531</v>
      </c>
      <c r="AN3534" s="33">
        <v>9.7414510875026214E-3</v>
      </c>
      <c r="AO3534" s="33">
        <v>7.6726913812170852E-4</v>
      </c>
    </row>
    <row r="3535" spans="39:41" x14ac:dyDescent="0.25">
      <c r="AM3535" s="2">
        <v>3532</v>
      </c>
      <c r="AN3535" s="33">
        <v>1.214770693308247E-2</v>
      </c>
      <c r="AO3535" s="33">
        <v>1.072692183237212E-3</v>
      </c>
    </row>
    <row r="3536" spans="39:41" x14ac:dyDescent="0.25">
      <c r="AM3536" s="2">
        <v>3533</v>
      </c>
      <c r="AN3536" s="33">
        <v>9.4272505452373777E-3</v>
      </c>
      <c r="AO3536" s="33">
        <v>4.2887088932318696E-4</v>
      </c>
    </row>
    <row r="3537" spans="39:41" x14ac:dyDescent="0.25">
      <c r="AM3537" s="2">
        <v>3534</v>
      </c>
      <c r="AN3537" s="33">
        <v>1.3152768380744464E-2</v>
      </c>
      <c r="AO3537" s="33">
        <v>9.2902366374976409E-4</v>
      </c>
    </row>
    <row r="3538" spans="39:41" x14ac:dyDescent="0.25">
      <c r="AM3538" s="2">
        <v>3535</v>
      </c>
      <c r="AN3538" s="33">
        <v>1.0317563569427188E-2</v>
      </c>
      <c r="AO3538" s="33">
        <v>7.3433056367431442E-4</v>
      </c>
    </row>
    <row r="3539" spans="39:41" x14ac:dyDescent="0.25">
      <c r="AM3539" s="2">
        <v>3536</v>
      </c>
      <c r="AN3539" s="33">
        <v>1.2186531959016141E-2</v>
      </c>
      <c r="AO3539" s="33">
        <v>1.0786220882784022E-3</v>
      </c>
    </row>
    <row r="3540" spans="39:41" x14ac:dyDescent="0.25">
      <c r="AM3540" s="2">
        <v>3537</v>
      </c>
      <c r="AN3540" s="33">
        <v>1.2810656213391072E-2</v>
      </c>
      <c r="AO3540" s="33">
        <v>1.0305813440018422E-3</v>
      </c>
    </row>
    <row r="3541" spans="39:41" x14ac:dyDescent="0.25">
      <c r="AM3541" s="2">
        <v>3538</v>
      </c>
      <c r="AN3541" s="33">
        <v>1.3050520506300081E-2</v>
      </c>
      <c r="AO3541" s="33">
        <v>4.3990360950497672E-4</v>
      </c>
    </row>
    <row r="3542" spans="39:41" x14ac:dyDescent="0.25">
      <c r="AM3542" s="2">
        <v>3539</v>
      </c>
      <c r="AN3542" s="33">
        <v>1.4238782208603994E-2</v>
      </c>
      <c r="AO3542" s="33">
        <v>1.3522375578186076E-3</v>
      </c>
    </row>
    <row r="3543" spans="39:41" x14ac:dyDescent="0.25">
      <c r="AM3543" s="2">
        <v>3540</v>
      </c>
      <c r="AN3543" s="33">
        <v>1.2177817383585133E-2</v>
      </c>
      <c r="AO3543" s="33">
        <v>6.4074712721201945E-4</v>
      </c>
    </row>
    <row r="3544" spans="39:41" x14ac:dyDescent="0.25">
      <c r="AM3544" s="2">
        <v>3541</v>
      </c>
      <c r="AN3544" s="33">
        <v>1.0138528346637711E-2</v>
      </c>
      <c r="AO3544" s="33">
        <v>4.5838331722987538E-4</v>
      </c>
    </row>
    <row r="3545" spans="39:41" x14ac:dyDescent="0.25">
      <c r="AM3545" s="2">
        <v>3542</v>
      </c>
      <c r="AN3545" s="33">
        <v>1.2548533071450688E-2</v>
      </c>
      <c r="AO3545" s="33">
        <v>1.1663183433004661E-3</v>
      </c>
    </row>
    <row r="3546" spans="39:41" x14ac:dyDescent="0.25">
      <c r="AM3546" s="2">
        <v>3543</v>
      </c>
      <c r="AN3546" s="33">
        <v>1.3736937775516534E-2</v>
      </c>
      <c r="AO3546" s="33">
        <v>1.2359503042099363E-3</v>
      </c>
    </row>
    <row r="3547" spans="39:41" x14ac:dyDescent="0.25">
      <c r="AM3547" s="2">
        <v>3544</v>
      </c>
      <c r="AN3547" s="33">
        <v>1.2814468534511554E-2</v>
      </c>
      <c r="AO3547" s="33">
        <v>9.8830769662420592E-4</v>
      </c>
    </row>
    <row r="3548" spans="39:41" x14ac:dyDescent="0.25">
      <c r="AM3548" s="2">
        <v>3545</v>
      </c>
      <c r="AN3548" s="33">
        <v>1.4024448571498458E-2</v>
      </c>
      <c r="AO3548" s="33">
        <v>1.194565247395433E-3</v>
      </c>
    </row>
    <row r="3549" spans="39:41" x14ac:dyDescent="0.25">
      <c r="AM3549" s="2">
        <v>3546</v>
      </c>
      <c r="AN3549" s="33">
        <v>7.8423580624934989E-3</v>
      </c>
      <c r="AO3549" s="33">
        <v>6.8582758007493261E-4</v>
      </c>
    </row>
    <row r="3550" spans="39:41" x14ac:dyDescent="0.25">
      <c r="AM3550" s="2">
        <v>3547</v>
      </c>
      <c r="AN3550" s="33">
        <v>1.4355071807294093E-2</v>
      </c>
      <c r="AO3550" s="33">
        <v>6.1538155435052764E-4</v>
      </c>
    </row>
    <row r="3551" spans="39:41" x14ac:dyDescent="0.25">
      <c r="AM3551" s="2">
        <v>3548</v>
      </c>
      <c r="AN3551" s="33">
        <v>8.839483056830048E-3</v>
      </c>
      <c r="AO3551" s="33">
        <v>7.8243547331410162E-4</v>
      </c>
    </row>
    <row r="3552" spans="39:41" x14ac:dyDescent="0.25">
      <c r="AM3552" s="2">
        <v>3549</v>
      </c>
      <c r="AN3552" s="33">
        <v>1.0192136396545995E-2</v>
      </c>
      <c r="AO3552" s="33">
        <v>1.0003188766383605E-3</v>
      </c>
    </row>
    <row r="3553" spans="39:41" x14ac:dyDescent="0.25">
      <c r="AM3553" s="2">
        <v>3550</v>
      </c>
      <c r="AN3553" s="33">
        <v>1.1271002774003011E-2</v>
      </c>
      <c r="AO3553" s="33">
        <v>1.0064450065491882E-3</v>
      </c>
    </row>
    <row r="3554" spans="39:41" x14ac:dyDescent="0.25">
      <c r="AM3554" s="2">
        <v>3551</v>
      </c>
      <c r="AN3554" s="33">
        <v>1.1080367233242612E-2</v>
      </c>
      <c r="AO3554" s="33">
        <v>5.3493643114357892E-4</v>
      </c>
    </row>
    <row r="3555" spans="39:41" x14ac:dyDescent="0.25">
      <c r="AM3555" s="2">
        <v>3552</v>
      </c>
      <c r="AN3555" s="33">
        <v>1.1023362940357806E-2</v>
      </c>
      <c r="AO3555" s="33">
        <v>9.7257386864352312E-4</v>
      </c>
    </row>
    <row r="3556" spans="39:41" x14ac:dyDescent="0.25">
      <c r="AM3556" s="2">
        <v>3553</v>
      </c>
      <c r="AN3556" s="33">
        <v>1.5023287560614175E-2</v>
      </c>
      <c r="AO3556" s="33">
        <v>1.0729364161379971E-3</v>
      </c>
    </row>
    <row r="3557" spans="39:41" x14ac:dyDescent="0.25">
      <c r="AM3557" s="2">
        <v>3554</v>
      </c>
      <c r="AN3557" s="33">
        <v>9.0752348251422494E-3</v>
      </c>
      <c r="AO3557" s="33">
        <v>4.8960561296969003E-4</v>
      </c>
    </row>
    <row r="3558" spans="39:41" x14ac:dyDescent="0.25">
      <c r="AM3558" s="2">
        <v>3555</v>
      </c>
      <c r="AN3558" s="33">
        <v>1.3014431127117459E-2</v>
      </c>
      <c r="AO3558" s="33">
        <v>1.0036842500377049E-3</v>
      </c>
    </row>
    <row r="3559" spans="39:41" x14ac:dyDescent="0.25">
      <c r="AM3559" s="2">
        <v>3556</v>
      </c>
      <c r="AN3559" s="33">
        <v>1.640161712207993E-2</v>
      </c>
      <c r="AO3559" s="33">
        <v>1.6298154036024296E-3</v>
      </c>
    </row>
    <row r="3560" spans="39:41" x14ac:dyDescent="0.25">
      <c r="AM3560" s="2">
        <v>3557</v>
      </c>
      <c r="AN3560" s="33">
        <v>1.0962911345685769E-2</v>
      </c>
      <c r="AO3560" s="33">
        <v>4.8532651864078609E-4</v>
      </c>
    </row>
    <row r="3561" spans="39:41" x14ac:dyDescent="0.25">
      <c r="AM3561" s="2">
        <v>3558</v>
      </c>
      <c r="AN3561" s="33">
        <v>1.4094821082014203E-2</v>
      </c>
      <c r="AO3561" s="33">
        <v>1.448841224777016E-3</v>
      </c>
    </row>
    <row r="3562" spans="39:41" x14ac:dyDescent="0.25">
      <c r="AM3562" s="2">
        <v>3559</v>
      </c>
      <c r="AN3562" s="33">
        <v>1.2747124448752324E-2</v>
      </c>
      <c r="AO3562" s="33">
        <v>8.9455963216033261E-4</v>
      </c>
    </row>
    <row r="3563" spans="39:41" x14ac:dyDescent="0.25">
      <c r="AM3563" s="2">
        <v>3560</v>
      </c>
      <c r="AN3563" s="33">
        <v>1.5745029113046753E-2</v>
      </c>
      <c r="AO3563" s="33">
        <v>9.9846518284996502E-4</v>
      </c>
    </row>
    <row r="3564" spans="39:41" x14ac:dyDescent="0.25">
      <c r="AM3564" s="2">
        <v>3561</v>
      </c>
      <c r="AN3564" s="33">
        <v>1.0174313632132453E-2</v>
      </c>
      <c r="AO3564" s="33">
        <v>5.0862319966818448E-4</v>
      </c>
    </row>
    <row r="3565" spans="39:41" x14ac:dyDescent="0.25">
      <c r="AM3565" s="2">
        <v>3562</v>
      </c>
      <c r="AN3565" s="33">
        <v>1.0212331789056254E-2</v>
      </c>
      <c r="AO3565" s="33">
        <v>5.2136439794542874E-4</v>
      </c>
    </row>
    <row r="3566" spans="39:41" x14ac:dyDescent="0.25">
      <c r="AM3566" s="2">
        <v>3563</v>
      </c>
      <c r="AN3566" s="33">
        <v>8.4241524428364696E-3</v>
      </c>
      <c r="AO3566" s="33">
        <v>6.8041615408970962E-4</v>
      </c>
    </row>
    <row r="3567" spans="39:41" x14ac:dyDescent="0.25">
      <c r="AM3567" s="2">
        <v>3564</v>
      </c>
      <c r="AN3567" s="33">
        <v>1.1935632160197995E-2</v>
      </c>
      <c r="AO3567" s="33">
        <v>6.9954470844280753E-4</v>
      </c>
    </row>
    <row r="3568" spans="39:41" x14ac:dyDescent="0.25">
      <c r="AM3568" s="2">
        <v>3565</v>
      </c>
      <c r="AN3568" s="33">
        <v>1.085534492797699E-2</v>
      </c>
      <c r="AO3568" s="33">
        <v>1.0981141470383388E-3</v>
      </c>
    </row>
    <row r="3569" spans="39:41" x14ac:dyDescent="0.25">
      <c r="AM3569" s="2">
        <v>3566</v>
      </c>
      <c r="AN3569" s="33">
        <v>1.1195226830323021E-2</v>
      </c>
      <c r="AO3569" s="33">
        <v>8.2911168182474358E-4</v>
      </c>
    </row>
    <row r="3570" spans="39:41" x14ac:dyDescent="0.25">
      <c r="AM3570" s="2">
        <v>3567</v>
      </c>
      <c r="AN3570" s="33">
        <v>1.2571710830983724E-2</v>
      </c>
      <c r="AO3570" s="33">
        <v>7.9578600161833582E-4</v>
      </c>
    </row>
    <row r="3571" spans="39:41" x14ac:dyDescent="0.25">
      <c r="AM3571" s="2">
        <v>3568</v>
      </c>
      <c r="AN3571" s="33">
        <v>1.3354915298086651E-2</v>
      </c>
      <c r="AO3571" s="33">
        <v>1.0945165447360794E-3</v>
      </c>
    </row>
    <row r="3572" spans="39:41" x14ac:dyDescent="0.25">
      <c r="AM3572" s="2">
        <v>3569</v>
      </c>
      <c r="AN3572" s="33">
        <v>1.1634210513188645E-2</v>
      </c>
      <c r="AO3572" s="33">
        <v>1.0633629352030357E-3</v>
      </c>
    </row>
    <row r="3573" spans="39:41" x14ac:dyDescent="0.25">
      <c r="AM3573" s="2">
        <v>3570</v>
      </c>
      <c r="AN3573" s="33">
        <v>1.150737466549507E-2</v>
      </c>
      <c r="AO3573" s="33">
        <v>8.9563317976555147E-4</v>
      </c>
    </row>
    <row r="3574" spans="39:41" x14ac:dyDescent="0.25">
      <c r="AM3574" s="2">
        <v>3571</v>
      </c>
      <c r="AN3574" s="33">
        <v>1.1133873647797995E-2</v>
      </c>
      <c r="AO3574" s="33">
        <v>9.1188680731653848E-4</v>
      </c>
    </row>
    <row r="3575" spans="39:41" x14ac:dyDescent="0.25">
      <c r="AM3575" s="2">
        <v>3572</v>
      </c>
      <c r="AN3575" s="33">
        <v>1.3289397619511045E-2</v>
      </c>
      <c r="AO3575" s="33">
        <v>9.4654634944913102E-4</v>
      </c>
    </row>
    <row r="3576" spans="39:41" x14ac:dyDescent="0.25">
      <c r="AM3576" s="2">
        <v>3573</v>
      </c>
      <c r="AN3576" s="33">
        <v>1.0501687443963041E-2</v>
      </c>
      <c r="AO3576" s="33">
        <v>2.839760464408411E-4</v>
      </c>
    </row>
    <row r="3577" spans="39:41" x14ac:dyDescent="0.25">
      <c r="AM3577" s="2">
        <v>3574</v>
      </c>
      <c r="AN3577" s="33">
        <v>1.5012554207038217E-2</v>
      </c>
      <c r="AO3577" s="33">
        <v>1.0709658152226018E-3</v>
      </c>
    </row>
    <row r="3578" spans="39:41" x14ac:dyDescent="0.25">
      <c r="AM3578" s="2">
        <v>3575</v>
      </c>
      <c r="AN3578" s="33">
        <v>9.0822009559614926E-3</v>
      </c>
      <c r="AO3578" s="33">
        <v>4.3281244891738897E-4</v>
      </c>
    </row>
    <row r="3579" spans="39:41" x14ac:dyDescent="0.25">
      <c r="AM3579" s="2">
        <v>3576</v>
      </c>
      <c r="AN3579" s="33">
        <v>1.0358909330850877E-2</v>
      </c>
      <c r="AO3579" s="33">
        <v>9.1704314892217774E-4</v>
      </c>
    </row>
    <row r="3580" spans="39:41" x14ac:dyDescent="0.25">
      <c r="AM3580" s="2">
        <v>3577</v>
      </c>
      <c r="AN3580" s="33">
        <v>9.0691274255819583E-3</v>
      </c>
      <c r="AO3580" s="33">
        <v>5.7349816645503333E-4</v>
      </c>
    </row>
    <row r="3581" spans="39:41" x14ac:dyDescent="0.25">
      <c r="AM3581" s="2">
        <v>3578</v>
      </c>
      <c r="AN3581" s="33">
        <v>8.9291819772791183E-3</v>
      </c>
      <c r="AO3581" s="33">
        <v>5.806845193090189E-4</v>
      </c>
    </row>
    <row r="3582" spans="39:41" x14ac:dyDescent="0.25">
      <c r="AM3582" s="2">
        <v>3579</v>
      </c>
      <c r="AN3582" s="33">
        <v>1.4869583497454516E-2</v>
      </c>
      <c r="AO3582" s="33">
        <v>1.5092087139841517E-3</v>
      </c>
    </row>
    <row r="3583" spans="39:41" x14ac:dyDescent="0.25">
      <c r="AM3583" s="2">
        <v>3580</v>
      </c>
      <c r="AN3583" s="33">
        <v>1.4753781660253795E-2</v>
      </c>
      <c r="AO3583" s="33">
        <v>1.4274751863933095E-3</v>
      </c>
    </row>
    <row r="3584" spans="39:41" x14ac:dyDescent="0.25">
      <c r="AM3584" s="2">
        <v>3581</v>
      </c>
      <c r="AN3584" s="33">
        <v>1.0787173890476802E-2</v>
      </c>
      <c r="AO3584" s="33">
        <v>9.5037853468129304E-4</v>
      </c>
    </row>
    <row r="3585" spans="39:41" x14ac:dyDescent="0.25">
      <c r="AM3585" s="2">
        <v>3582</v>
      </c>
      <c r="AN3585" s="33">
        <v>1.242364541330486E-2</v>
      </c>
      <c r="AO3585" s="33">
        <v>2.4310183156304229E-4</v>
      </c>
    </row>
    <row r="3586" spans="39:41" x14ac:dyDescent="0.25">
      <c r="AM3586" s="2">
        <v>3583</v>
      </c>
      <c r="AN3586" s="33">
        <v>9.4042151734182299E-3</v>
      </c>
      <c r="AO3586" s="33">
        <v>7.9269594816598989E-4</v>
      </c>
    </row>
    <row r="3587" spans="39:41" x14ac:dyDescent="0.25">
      <c r="AM3587" s="2">
        <v>3584</v>
      </c>
      <c r="AN3587" s="33">
        <v>1.0598448188314489E-2</v>
      </c>
      <c r="AO3587" s="33">
        <v>7.663889479071806E-4</v>
      </c>
    </row>
    <row r="3588" spans="39:41" x14ac:dyDescent="0.25">
      <c r="AM3588" s="2">
        <v>3585</v>
      </c>
      <c r="AN3588" s="33">
        <v>9.7931995188379993E-3</v>
      </c>
      <c r="AO3588" s="33">
        <v>1.0020090862842455E-3</v>
      </c>
    </row>
    <row r="3589" spans="39:41" x14ac:dyDescent="0.25">
      <c r="AM3589" s="2">
        <v>3586</v>
      </c>
      <c r="AN3589" s="33">
        <v>1.166693899797666E-2</v>
      </c>
      <c r="AO3589" s="33">
        <v>8.0930129002397663E-4</v>
      </c>
    </row>
    <row r="3590" spans="39:41" x14ac:dyDescent="0.25">
      <c r="AM3590" s="2">
        <v>3587</v>
      </c>
      <c r="AN3590" s="33">
        <v>1.2296612904634689E-2</v>
      </c>
      <c r="AO3590" s="33">
        <v>9.5484648746086982E-4</v>
      </c>
    </row>
    <row r="3591" spans="39:41" x14ac:dyDescent="0.25">
      <c r="AM3591" s="2">
        <v>3588</v>
      </c>
      <c r="AN3591" s="33">
        <v>9.3091334037511894E-3</v>
      </c>
      <c r="AO3591" s="33">
        <v>8.0942366668873924E-4</v>
      </c>
    </row>
    <row r="3592" spans="39:41" x14ac:dyDescent="0.25">
      <c r="AM3592" s="2">
        <v>3589</v>
      </c>
      <c r="AN3592" s="33">
        <v>8.9885313477604672E-3</v>
      </c>
      <c r="AO3592" s="33">
        <v>8.7032859974162135E-4</v>
      </c>
    </row>
    <row r="3593" spans="39:41" x14ac:dyDescent="0.25">
      <c r="AM3593" s="2">
        <v>3590</v>
      </c>
      <c r="AN3593" s="33">
        <v>1.686323484712289E-2</v>
      </c>
      <c r="AO3593" s="33">
        <v>1.4659947618223808E-3</v>
      </c>
    </row>
    <row r="3594" spans="39:41" x14ac:dyDescent="0.25">
      <c r="AM3594" s="2">
        <v>3591</v>
      </c>
      <c r="AN3594" s="33">
        <v>1.0189108742986471E-2</v>
      </c>
      <c r="AO3594" s="33">
        <v>6.2252833931493912E-4</v>
      </c>
    </row>
    <row r="3595" spans="39:41" x14ac:dyDescent="0.25">
      <c r="AM3595" s="2">
        <v>3592</v>
      </c>
      <c r="AN3595" s="33">
        <v>1.4006381758285702E-2</v>
      </c>
      <c r="AO3595" s="33">
        <v>1.2789589027017564E-3</v>
      </c>
    </row>
    <row r="3596" spans="39:41" x14ac:dyDescent="0.25">
      <c r="AM3596" s="2">
        <v>3593</v>
      </c>
      <c r="AN3596" s="33">
        <v>1.0348539355729845E-2</v>
      </c>
      <c r="AO3596" s="33">
        <v>6.147200086764166E-4</v>
      </c>
    </row>
    <row r="3597" spans="39:41" x14ac:dyDescent="0.25">
      <c r="AM3597" s="2">
        <v>3594</v>
      </c>
      <c r="AN3597" s="33">
        <v>1.0659086133169005E-2</v>
      </c>
      <c r="AO3597" s="33">
        <v>3.68069225023753E-4</v>
      </c>
    </row>
    <row r="3598" spans="39:41" x14ac:dyDescent="0.25">
      <c r="AM3598" s="2">
        <v>3595</v>
      </c>
      <c r="AN3598" s="33">
        <v>1.2841846481517333E-2</v>
      </c>
      <c r="AO3598" s="33">
        <v>7.3792313853365051E-4</v>
      </c>
    </row>
    <row r="3599" spans="39:41" x14ac:dyDescent="0.25">
      <c r="AM3599" s="2">
        <v>3596</v>
      </c>
      <c r="AN3599" s="33">
        <v>1.0085006929630136E-2</v>
      </c>
      <c r="AO3599" s="33">
        <v>7.504285380405349E-4</v>
      </c>
    </row>
    <row r="3600" spans="39:41" x14ac:dyDescent="0.25">
      <c r="AM3600" s="2">
        <v>3597</v>
      </c>
      <c r="AN3600" s="33">
        <v>1.2516153919208819E-2</v>
      </c>
      <c r="AO3600" s="33">
        <v>1.193255625831874E-3</v>
      </c>
    </row>
    <row r="3601" spans="39:41" x14ac:dyDescent="0.25">
      <c r="AM3601" s="2">
        <v>3598</v>
      </c>
      <c r="AN3601" s="33">
        <v>1.0217010776365743E-2</v>
      </c>
      <c r="AO3601" s="33">
        <v>2.9689639745655253E-4</v>
      </c>
    </row>
    <row r="3602" spans="39:41" x14ac:dyDescent="0.25">
      <c r="AM3602" s="2">
        <v>3599</v>
      </c>
      <c r="AN3602" s="33">
        <v>1.2349412897387982E-2</v>
      </c>
      <c r="AO3602" s="33">
        <v>1.2161486185906245E-3</v>
      </c>
    </row>
    <row r="3603" spans="39:41" x14ac:dyDescent="0.25">
      <c r="AM3603" s="2">
        <v>3600</v>
      </c>
      <c r="AN3603" s="33">
        <v>1.0825396267135639E-2</v>
      </c>
      <c r="AO3603" s="33">
        <v>9.300970001086227E-4</v>
      </c>
    </row>
    <row r="3604" spans="39:41" x14ac:dyDescent="0.25">
      <c r="AM3604" s="2">
        <v>3601</v>
      </c>
      <c r="AN3604" s="33">
        <v>1.2681020671198483E-2</v>
      </c>
      <c r="AO3604" s="33">
        <v>6.1962506155893141E-4</v>
      </c>
    </row>
    <row r="3605" spans="39:41" x14ac:dyDescent="0.25">
      <c r="AM3605" s="2">
        <v>3602</v>
      </c>
      <c r="AN3605" s="33">
        <v>1.409737457761054E-2</v>
      </c>
      <c r="AO3605" s="33">
        <v>8.9787951677431244E-4</v>
      </c>
    </row>
    <row r="3606" spans="39:41" x14ac:dyDescent="0.25">
      <c r="AM3606" s="2">
        <v>3603</v>
      </c>
      <c r="AN3606" s="33">
        <v>1.3834945121768829E-2</v>
      </c>
      <c r="AO3606" s="33">
        <v>1.1576417894668743E-3</v>
      </c>
    </row>
    <row r="3607" spans="39:41" x14ac:dyDescent="0.25">
      <c r="AM3607" s="2">
        <v>3604</v>
      </c>
      <c r="AN3607" s="33">
        <v>1.1640007857617356E-2</v>
      </c>
      <c r="AO3607" s="33">
        <v>8.2561190232147E-4</v>
      </c>
    </row>
    <row r="3608" spans="39:41" x14ac:dyDescent="0.25">
      <c r="AM3608" s="2">
        <v>3605</v>
      </c>
      <c r="AN3608" s="33">
        <v>1.0550790977014923E-2</v>
      </c>
      <c r="AO3608" s="33">
        <v>2.7789761253496875E-4</v>
      </c>
    </row>
    <row r="3609" spans="39:41" x14ac:dyDescent="0.25">
      <c r="AM3609" s="2">
        <v>3606</v>
      </c>
      <c r="AN3609" s="33">
        <v>1.1251866609809846E-2</v>
      </c>
      <c r="AO3609" s="33">
        <v>9.3384240151831702E-4</v>
      </c>
    </row>
    <row r="3610" spans="39:41" x14ac:dyDescent="0.25">
      <c r="AM3610" s="2">
        <v>3607</v>
      </c>
      <c r="AN3610" s="33">
        <v>1.3126533465061851E-2</v>
      </c>
      <c r="AO3610" s="33">
        <v>8.5366850300525347E-4</v>
      </c>
    </row>
    <row r="3611" spans="39:41" x14ac:dyDescent="0.25">
      <c r="AM3611" s="2">
        <v>3608</v>
      </c>
      <c r="AN3611" s="33">
        <v>1.257777135848963E-2</v>
      </c>
      <c r="AO3611" s="33">
        <v>8.8135433826318633E-4</v>
      </c>
    </row>
    <row r="3612" spans="39:41" x14ac:dyDescent="0.25">
      <c r="AM3612" s="2">
        <v>3609</v>
      </c>
      <c r="AN3612" s="33">
        <v>1.1325513150730082E-2</v>
      </c>
      <c r="AO3612" s="33">
        <v>6.0852317013726357E-4</v>
      </c>
    </row>
    <row r="3613" spans="39:41" x14ac:dyDescent="0.25">
      <c r="AM3613" s="2">
        <v>3610</v>
      </c>
      <c r="AN3613" s="33">
        <v>1.2295840441222127E-2</v>
      </c>
      <c r="AO3613" s="33">
        <v>1.1241491614483871E-3</v>
      </c>
    </row>
    <row r="3614" spans="39:41" x14ac:dyDescent="0.25">
      <c r="AM3614" s="2">
        <v>3611</v>
      </c>
      <c r="AN3614" s="33">
        <v>1.2350081319942727E-2</v>
      </c>
      <c r="AO3614" s="33">
        <v>1.0351579733519352E-3</v>
      </c>
    </row>
    <row r="3615" spans="39:41" x14ac:dyDescent="0.25">
      <c r="AM3615" s="2">
        <v>3612</v>
      </c>
      <c r="AN3615" s="33">
        <v>1.0429511197417833E-2</v>
      </c>
      <c r="AO3615" s="33">
        <v>4.61154732501624E-4</v>
      </c>
    </row>
    <row r="3616" spans="39:41" x14ac:dyDescent="0.25">
      <c r="AM3616" s="2">
        <v>3613</v>
      </c>
      <c r="AN3616" s="33">
        <v>1.2709413823989456E-2</v>
      </c>
      <c r="AO3616" s="33">
        <v>7.5348506669580581E-4</v>
      </c>
    </row>
    <row r="3617" spans="39:41" x14ac:dyDescent="0.25">
      <c r="AM3617" s="2">
        <v>3614</v>
      </c>
      <c r="AN3617" s="33">
        <v>1.1166166414383482E-2</v>
      </c>
      <c r="AO3617" s="33">
        <v>3.6898711497432052E-4</v>
      </c>
    </row>
    <row r="3618" spans="39:41" x14ac:dyDescent="0.25">
      <c r="AM3618" s="2">
        <v>3615</v>
      </c>
      <c r="AN3618" s="33">
        <v>1.278764562525996E-2</v>
      </c>
      <c r="AO3618" s="33">
        <v>1.2359806069102194E-3</v>
      </c>
    </row>
    <row r="3619" spans="39:41" x14ac:dyDescent="0.25">
      <c r="AM3619" s="2">
        <v>3616</v>
      </c>
      <c r="AN3619" s="33">
        <v>1.0321925011342601E-2</v>
      </c>
      <c r="AO3619" s="33">
        <v>5.3679735614851204E-4</v>
      </c>
    </row>
    <row r="3620" spans="39:41" x14ac:dyDescent="0.25">
      <c r="AM3620" s="2">
        <v>3617</v>
      </c>
      <c r="AN3620" s="33">
        <v>1.3264924458157452E-2</v>
      </c>
      <c r="AO3620" s="33">
        <v>1.1346362207418457E-3</v>
      </c>
    </row>
    <row r="3621" spans="39:41" x14ac:dyDescent="0.25">
      <c r="AM3621" s="2">
        <v>3618</v>
      </c>
      <c r="AN3621" s="33">
        <v>1.2131124626147297E-2</v>
      </c>
      <c r="AO3621" s="33">
        <v>8.2932704849841702E-4</v>
      </c>
    </row>
    <row r="3622" spans="39:41" x14ac:dyDescent="0.25">
      <c r="AM3622" s="2">
        <v>3619</v>
      </c>
      <c r="AN3622" s="33">
        <v>1.168938424088037E-2</v>
      </c>
      <c r="AO3622" s="33">
        <v>9.523689998007939E-4</v>
      </c>
    </row>
    <row r="3623" spans="39:41" x14ac:dyDescent="0.25">
      <c r="AM3623" s="2">
        <v>3620</v>
      </c>
      <c r="AN3623" s="33">
        <v>1.4531852467548389E-2</v>
      </c>
      <c r="AO3623" s="33">
        <v>1.4720537943825795E-3</v>
      </c>
    </row>
    <row r="3624" spans="39:41" x14ac:dyDescent="0.25">
      <c r="AM3624" s="2">
        <v>3621</v>
      </c>
      <c r="AN3624" s="33">
        <v>1.0247652813638526E-2</v>
      </c>
      <c r="AO3624" s="33">
        <v>1.4257979383266867E-4</v>
      </c>
    </row>
    <row r="3625" spans="39:41" x14ac:dyDescent="0.25">
      <c r="AM3625" s="2">
        <v>3622</v>
      </c>
      <c r="AN3625" s="33">
        <v>1.0337572657253921E-2</v>
      </c>
      <c r="AO3625" s="33">
        <v>4.8886054085886684E-4</v>
      </c>
    </row>
    <row r="3626" spans="39:41" x14ac:dyDescent="0.25">
      <c r="AM3626" s="2">
        <v>3623</v>
      </c>
      <c r="AN3626" s="33">
        <v>1.5011326183609565E-2</v>
      </c>
      <c r="AO3626" s="33">
        <v>1.3072777704328925E-3</v>
      </c>
    </row>
    <row r="3627" spans="39:41" x14ac:dyDescent="0.25">
      <c r="AM3627" s="2">
        <v>3624</v>
      </c>
      <c r="AN3627" s="33">
        <v>9.3396956179275722E-3</v>
      </c>
      <c r="AO3627" s="33">
        <v>7.1070275164046538E-4</v>
      </c>
    </row>
    <row r="3628" spans="39:41" x14ac:dyDescent="0.25">
      <c r="AM3628" s="2">
        <v>3625</v>
      </c>
      <c r="AN3628" s="33">
        <v>1.383097213491395E-2</v>
      </c>
      <c r="AO3628" s="33">
        <v>1.2830416070495692E-3</v>
      </c>
    </row>
    <row r="3629" spans="39:41" x14ac:dyDescent="0.25">
      <c r="AM3629" s="2">
        <v>3626</v>
      </c>
      <c r="AN3629" s="33">
        <v>9.7562811523217961E-3</v>
      </c>
      <c r="AO3629" s="33">
        <v>4.6045145883349476E-4</v>
      </c>
    </row>
    <row r="3630" spans="39:41" x14ac:dyDescent="0.25">
      <c r="AM3630" s="2">
        <v>3627</v>
      </c>
      <c r="AN3630" s="33">
        <v>9.381429765500434E-3</v>
      </c>
      <c r="AO3630" s="33">
        <v>6.191173148658171E-4</v>
      </c>
    </row>
    <row r="3631" spans="39:41" x14ac:dyDescent="0.25">
      <c r="AM3631" s="2">
        <v>3628</v>
      </c>
      <c r="AN3631" s="33">
        <v>1.3494045140045551E-2</v>
      </c>
      <c r="AO3631" s="33">
        <v>1.0797337558216757E-3</v>
      </c>
    </row>
    <row r="3632" spans="39:41" x14ac:dyDescent="0.25">
      <c r="AM3632" s="2">
        <v>3629</v>
      </c>
      <c r="AN3632" s="33">
        <v>1.2206091224150614E-2</v>
      </c>
      <c r="AO3632" s="33">
        <v>1.0548020124067708E-3</v>
      </c>
    </row>
    <row r="3633" spans="39:41" x14ac:dyDescent="0.25">
      <c r="AM3633" s="2">
        <v>3630</v>
      </c>
      <c r="AN3633" s="33">
        <v>1.1978722069877127E-2</v>
      </c>
      <c r="AO3633" s="33">
        <v>1.1447515845614184E-3</v>
      </c>
    </row>
    <row r="3634" spans="39:41" x14ac:dyDescent="0.25">
      <c r="AM3634" s="2">
        <v>3631</v>
      </c>
      <c r="AN3634" s="33">
        <v>1.3123419257783613E-2</v>
      </c>
      <c r="AO3634" s="33">
        <v>1.3783755506832408E-3</v>
      </c>
    </row>
    <row r="3635" spans="39:41" x14ac:dyDescent="0.25">
      <c r="AM3635" s="2">
        <v>3632</v>
      </c>
      <c r="AN3635" s="33">
        <v>1.2370715966667889E-2</v>
      </c>
      <c r="AO3635" s="33">
        <v>1.1255793425529643E-3</v>
      </c>
    </row>
    <row r="3636" spans="39:41" x14ac:dyDescent="0.25">
      <c r="AM3636" s="2">
        <v>3633</v>
      </c>
      <c r="AN3636" s="33">
        <v>1.3361077063626228E-2</v>
      </c>
      <c r="AO3636" s="33">
        <v>1.088398860956579E-3</v>
      </c>
    </row>
    <row r="3637" spans="39:41" x14ac:dyDescent="0.25">
      <c r="AM3637" s="2">
        <v>3634</v>
      </c>
      <c r="AN3637" s="33">
        <v>1.3772638441915307E-2</v>
      </c>
      <c r="AO3637" s="33">
        <v>7.9124585716512912E-4</v>
      </c>
    </row>
    <row r="3638" spans="39:41" x14ac:dyDescent="0.25">
      <c r="AM3638" s="2">
        <v>3635</v>
      </c>
      <c r="AN3638" s="33">
        <v>1.2638460545832834E-2</v>
      </c>
      <c r="AO3638" s="33">
        <v>1.0768611932152916E-3</v>
      </c>
    </row>
    <row r="3639" spans="39:41" x14ac:dyDescent="0.25">
      <c r="AM3639" s="2">
        <v>3636</v>
      </c>
      <c r="AN3639" s="33">
        <v>9.1174795558134625E-3</v>
      </c>
      <c r="AO3639" s="33">
        <v>4.7098153539189053E-4</v>
      </c>
    </row>
    <row r="3640" spans="39:41" x14ac:dyDescent="0.25">
      <c r="AM3640" s="2">
        <v>3637</v>
      </c>
      <c r="AN3640" s="33">
        <v>1.023972212050908E-2</v>
      </c>
      <c r="AO3640" s="33">
        <v>8.6079618986009297E-4</v>
      </c>
    </row>
    <row r="3641" spans="39:41" x14ac:dyDescent="0.25">
      <c r="AM3641" s="2">
        <v>3638</v>
      </c>
      <c r="AN3641" s="33">
        <v>1.4766496138178285E-2</v>
      </c>
      <c r="AO3641" s="33">
        <v>1.24339032319009E-3</v>
      </c>
    </row>
    <row r="3642" spans="39:41" x14ac:dyDescent="0.25">
      <c r="AM3642" s="2">
        <v>3639</v>
      </c>
      <c r="AN3642" s="33">
        <v>1.3818249118409296E-2</v>
      </c>
      <c r="AO3642" s="33">
        <v>1.086724224935255E-3</v>
      </c>
    </row>
    <row r="3643" spans="39:41" x14ac:dyDescent="0.25">
      <c r="AM3643" s="2">
        <v>3640</v>
      </c>
      <c r="AN3643" s="33">
        <v>1.0474413762604967E-2</v>
      </c>
      <c r="AO3643" s="33">
        <v>9.641943365989909E-4</v>
      </c>
    </row>
    <row r="3644" spans="39:41" x14ac:dyDescent="0.25">
      <c r="AM3644" s="2">
        <v>3641</v>
      </c>
      <c r="AN3644" s="33">
        <v>1.4146091159549668E-2</v>
      </c>
      <c r="AO3644" s="33">
        <v>1.2450243673475176E-3</v>
      </c>
    </row>
    <row r="3645" spans="39:41" x14ac:dyDescent="0.25">
      <c r="AM3645" s="2">
        <v>3642</v>
      </c>
      <c r="AN3645" s="33">
        <v>1.511826801734709E-2</v>
      </c>
      <c r="AO3645" s="33">
        <v>1.4536303017081494E-3</v>
      </c>
    </row>
    <row r="3646" spans="39:41" x14ac:dyDescent="0.25">
      <c r="AM3646" s="2">
        <v>3643</v>
      </c>
      <c r="AN3646" s="33">
        <v>9.2380988344083342E-3</v>
      </c>
      <c r="AO3646" s="33">
        <v>4.8101192433759647E-4</v>
      </c>
    </row>
    <row r="3647" spans="39:41" x14ac:dyDescent="0.25">
      <c r="AM3647" s="2">
        <v>3644</v>
      </c>
      <c r="AN3647" s="33">
        <v>1.5987533160778819E-2</v>
      </c>
      <c r="AO3647" s="33">
        <v>1.2591233369369586E-3</v>
      </c>
    </row>
    <row r="3648" spans="39:41" x14ac:dyDescent="0.25">
      <c r="AM3648" s="2">
        <v>3645</v>
      </c>
      <c r="AN3648" s="33">
        <v>8.6560559288704104E-3</v>
      </c>
      <c r="AO3648" s="33">
        <v>8.6333758902983103E-4</v>
      </c>
    </row>
    <row r="3649" spans="39:41" x14ac:dyDescent="0.25">
      <c r="AM3649" s="2">
        <v>3646</v>
      </c>
      <c r="AN3649" s="33">
        <v>9.0958294811181832E-3</v>
      </c>
      <c r="AO3649" s="33">
        <v>6.3099715412453454E-4</v>
      </c>
    </row>
    <row r="3650" spans="39:41" x14ac:dyDescent="0.25">
      <c r="AM3650" s="2">
        <v>3647</v>
      </c>
      <c r="AN3650" s="33">
        <v>1.4910637959877052E-2</v>
      </c>
      <c r="AO3650" s="33">
        <v>1.3343835534613047E-3</v>
      </c>
    </row>
    <row r="3651" spans="39:41" x14ac:dyDescent="0.25">
      <c r="AM3651" s="2">
        <v>3648</v>
      </c>
      <c r="AN3651" s="33">
        <v>1.1593062822657475E-2</v>
      </c>
      <c r="AO3651" s="33">
        <v>1.0779039013186879E-3</v>
      </c>
    </row>
    <row r="3652" spans="39:41" x14ac:dyDescent="0.25">
      <c r="AM3652" s="2">
        <v>3649</v>
      </c>
      <c r="AN3652" s="33">
        <v>1.1904652726400225E-2</v>
      </c>
      <c r="AO3652" s="33">
        <v>1.0714000944327881E-3</v>
      </c>
    </row>
    <row r="3653" spans="39:41" x14ac:dyDescent="0.25">
      <c r="AM3653" s="2">
        <v>3650</v>
      </c>
      <c r="AN3653" s="33">
        <v>1.0132823897211294E-2</v>
      </c>
      <c r="AO3653" s="33">
        <v>5.4452350214317718E-4</v>
      </c>
    </row>
    <row r="3654" spans="39:41" x14ac:dyDescent="0.25">
      <c r="AM3654" s="2">
        <v>3651</v>
      </c>
      <c r="AN3654" s="33">
        <v>9.4333092784616678E-3</v>
      </c>
      <c r="AO3654" s="33">
        <v>4.2551916431008568E-4</v>
      </c>
    </row>
    <row r="3655" spans="39:41" x14ac:dyDescent="0.25">
      <c r="AM3655" s="2">
        <v>3652</v>
      </c>
      <c r="AN3655" s="33">
        <v>1.5501853204588524E-2</v>
      </c>
      <c r="AO3655" s="33">
        <v>1.4756998817490154E-3</v>
      </c>
    </row>
    <row r="3656" spans="39:41" x14ac:dyDescent="0.25">
      <c r="AM3656" s="2">
        <v>3653</v>
      </c>
      <c r="AN3656" s="33">
        <v>1.3015927680253789E-2</v>
      </c>
      <c r="AO3656" s="33">
        <v>1.072359914830609E-3</v>
      </c>
    </row>
    <row r="3657" spans="39:41" x14ac:dyDescent="0.25">
      <c r="AM3657" s="2">
        <v>3654</v>
      </c>
      <c r="AN3657" s="33">
        <v>1.1868719021870262E-2</v>
      </c>
      <c r="AO3657" s="33">
        <v>8.8696995474694506E-4</v>
      </c>
    </row>
    <row r="3658" spans="39:41" x14ac:dyDescent="0.25">
      <c r="AM3658" s="2">
        <v>3655</v>
      </c>
      <c r="AN3658" s="33">
        <v>7.6504823252012107E-3</v>
      </c>
      <c r="AO3658" s="33">
        <v>4.6793633437189108E-4</v>
      </c>
    </row>
    <row r="3659" spans="39:41" x14ac:dyDescent="0.25">
      <c r="AM3659" s="2">
        <v>3656</v>
      </c>
      <c r="AN3659" s="33">
        <v>1.2835784888426448E-2</v>
      </c>
      <c r="AO3659" s="33">
        <v>7.7902902106464448E-4</v>
      </c>
    </row>
    <row r="3660" spans="39:41" x14ac:dyDescent="0.25">
      <c r="AM3660" s="2">
        <v>3657</v>
      </c>
      <c r="AN3660" s="33">
        <v>1.2859002004916673E-2</v>
      </c>
      <c r="AO3660" s="33">
        <v>1.1650995009653002E-3</v>
      </c>
    </row>
    <row r="3661" spans="39:41" x14ac:dyDescent="0.25">
      <c r="AM3661" s="2">
        <v>3658</v>
      </c>
      <c r="AN3661" s="33">
        <v>1.435035432966893E-2</v>
      </c>
      <c r="AO3661" s="33">
        <v>1.1959319797131595E-3</v>
      </c>
    </row>
    <row r="3662" spans="39:41" x14ac:dyDescent="0.25">
      <c r="AM3662" s="2">
        <v>3659</v>
      </c>
      <c r="AN3662" s="33">
        <v>1.4756844721055285E-2</v>
      </c>
      <c r="AO3662" s="33">
        <v>1.1552023093165773E-3</v>
      </c>
    </row>
    <row r="3663" spans="39:41" x14ac:dyDescent="0.25">
      <c r="AM3663" s="2">
        <v>3660</v>
      </c>
      <c r="AN3663" s="33">
        <v>1.4111683402373554E-2</v>
      </c>
      <c r="AO3663" s="33">
        <v>1.1856479971268331E-3</v>
      </c>
    </row>
    <row r="3664" spans="39:41" x14ac:dyDescent="0.25">
      <c r="AM3664" s="2">
        <v>3661</v>
      </c>
      <c r="AN3664" s="33">
        <v>1.1653026844365977E-2</v>
      </c>
      <c r="AO3664" s="33">
        <v>1.0876259852436439E-3</v>
      </c>
    </row>
    <row r="3665" spans="39:41" x14ac:dyDescent="0.25">
      <c r="AM3665" s="2">
        <v>3662</v>
      </c>
      <c r="AN3665" s="33">
        <v>1.0528400491980616E-2</v>
      </c>
      <c r="AO3665" s="33">
        <v>7.8385677917190678E-4</v>
      </c>
    </row>
    <row r="3666" spans="39:41" x14ac:dyDescent="0.25">
      <c r="AM3666" s="2">
        <v>3663</v>
      </c>
      <c r="AN3666" s="33">
        <v>1.095425903423872E-2</v>
      </c>
      <c r="AO3666" s="33">
        <v>9.9542761700138803E-4</v>
      </c>
    </row>
    <row r="3667" spans="39:41" x14ac:dyDescent="0.25">
      <c r="AM3667" s="2">
        <v>3664</v>
      </c>
      <c r="AN3667" s="33">
        <v>1.4230266950870577E-2</v>
      </c>
      <c r="AO3667" s="33">
        <v>1.3319402895100292E-3</v>
      </c>
    </row>
    <row r="3668" spans="39:41" x14ac:dyDescent="0.25">
      <c r="AM3668" s="2">
        <v>3665</v>
      </c>
      <c r="AN3668" s="33">
        <v>8.3079729277623065E-3</v>
      </c>
      <c r="AO3668" s="33">
        <v>6.6244921102351253E-4</v>
      </c>
    </row>
    <row r="3669" spans="39:41" x14ac:dyDescent="0.25">
      <c r="AM3669" s="2">
        <v>3666</v>
      </c>
      <c r="AN3669" s="33">
        <v>9.9103948886997729E-3</v>
      </c>
      <c r="AO3669" s="33">
        <v>8.1690871658732841E-4</v>
      </c>
    </row>
    <row r="3670" spans="39:41" x14ac:dyDescent="0.25">
      <c r="AM3670" s="2">
        <v>3667</v>
      </c>
      <c r="AN3670" s="33">
        <v>1.5198215309046449E-2</v>
      </c>
      <c r="AO3670" s="33">
        <v>1.2306578853146072E-3</v>
      </c>
    </row>
    <row r="3671" spans="39:41" x14ac:dyDescent="0.25">
      <c r="AM3671" s="2">
        <v>3668</v>
      </c>
      <c r="AN3671" s="33">
        <v>1.033389556101816E-2</v>
      </c>
      <c r="AO3671" s="33">
        <v>6.916330416137606E-4</v>
      </c>
    </row>
    <row r="3672" spans="39:41" x14ac:dyDescent="0.25">
      <c r="AM3672" s="2">
        <v>3669</v>
      </c>
      <c r="AN3672" s="33">
        <v>9.4719631493166423E-3</v>
      </c>
      <c r="AO3672" s="33">
        <v>8.2833718574954168E-4</v>
      </c>
    </row>
    <row r="3673" spans="39:41" x14ac:dyDescent="0.25">
      <c r="AM3673" s="2">
        <v>3670</v>
      </c>
      <c r="AN3673" s="33">
        <v>1.1850189343755375E-2</v>
      </c>
      <c r="AO3673" s="33">
        <v>8.400696984881312E-4</v>
      </c>
    </row>
    <row r="3674" spans="39:41" x14ac:dyDescent="0.25">
      <c r="AM3674" s="2">
        <v>3671</v>
      </c>
      <c r="AN3674" s="33">
        <v>1.2388535517309071E-2</v>
      </c>
      <c r="AO3674" s="33">
        <v>5.8563206957741695E-4</v>
      </c>
    </row>
    <row r="3675" spans="39:41" x14ac:dyDescent="0.25">
      <c r="AM3675" s="2">
        <v>3672</v>
      </c>
      <c r="AN3675" s="33">
        <v>1.4942372838175882E-2</v>
      </c>
      <c r="AO3675" s="33">
        <v>1.0329240846144528E-3</v>
      </c>
    </row>
    <row r="3676" spans="39:41" x14ac:dyDescent="0.25">
      <c r="AM3676" s="2">
        <v>3673</v>
      </c>
      <c r="AN3676" s="33">
        <v>1.2242113058144068E-2</v>
      </c>
      <c r="AO3676" s="33">
        <v>6.933131512909704E-4</v>
      </c>
    </row>
    <row r="3677" spans="39:41" x14ac:dyDescent="0.25">
      <c r="AM3677" s="2">
        <v>3674</v>
      </c>
      <c r="AN3677" s="33">
        <v>1.3204925460194403E-2</v>
      </c>
      <c r="AO3677" s="33">
        <v>1.0579848857269682E-3</v>
      </c>
    </row>
    <row r="3678" spans="39:41" x14ac:dyDescent="0.25">
      <c r="AM3678" s="2">
        <v>3675</v>
      </c>
      <c r="AN3678" s="33">
        <v>1.0793059792604615E-2</v>
      </c>
      <c r="AO3678" s="33">
        <v>1.0389466634777454E-3</v>
      </c>
    </row>
    <row r="3679" spans="39:41" x14ac:dyDescent="0.25">
      <c r="AM3679" s="2">
        <v>3676</v>
      </c>
      <c r="AN3679" s="33">
        <v>1.2511212452147622E-2</v>
      </c>
      <c r="AO3679" s="33">
        <v>1.1637409275963295E-3</v>
      </c>
    </row>
    <row r="3680" spans="39:41" x14ac:dyDescent="0.25">
      <c r="AM3680" s="2">
        <v>3677</v>
      </c>
      <c r="AN3680" s="33">
        <v>1.0978180473140284E-2</v>
      </c>
      <c r="AO3680" s="33">
        <v>1.0754495457218698E-3</v>
      </c>
    </row>
    <row r="3681" spans="39:41" x14ac:dyDescent="0.25">
      <c r="AM3681" s="2">
        <v>3678</v>
      </c>
      <c r="AN3681" s="33">
        <v>1.1446523524795572E-2</v>
      </c>
      <c r="AO3681" s="33">
        <v>9.7440593613867799E-4</v>
      </c>
    </row>
    <row r="3682" spans="39:41" x14ac:dyDescent="0.25">
      <c r="AM3682" s="2">
        <v>3679</v>
      </c>
      <c r="AN3682" s="33">
        <v>9.1209903010808589E-3</v>
      </c>
      <c r="AO3682" s="33">
        <v>8.0009886092903602E-4</v>
      </c>
    </row>
    <row r="3683" spans="39:41" x14ac:dyDescent="0.25">
      <c r="AM3683" s="2">
        <v>3680</v>
      </c>
      <c r="AN3683" s="33">
        <v>1.0890819035395799E-2</v>
      </c>
      <c r="AO3683" s="33">
        <v>1.014631512871312E-3</v>
      </c>
    </row>
    <row r="3684" spans="39:41" x14ac:dyDescent="0.25">
      <c r="AM3684" s="2">
        <v>3681</v>
      </c>
      <c r="AN3684" s="33">
        <v>1.1774600876663393E-2</v>
      </c>
      <c r="AO3684" s="33">
        <v>1.0536591560970508E-3</v>
      </c>
    </row>
    <row r="3685" spans="39:41" x14ac:dyDescent="0.25">
      <c r="AM3685" s="2">
        <v>3682</v>
      </c>
      <c r="AN3685" s="33">
        <v>1.1262805240175736E-2</v>
      </c>
      <c r="AO3685" s="33">
        <v>9.6988990468708386E-4</v>
      </c>
    </row>
    <row r="3686" spans="39:41" x14ac:dyDescent="0.25">
      <c r="AM3686" s="2">
        <v>3683</v>
      </c>
      <c r="AN3686" s="33">
        <v>1.0485641929740254E-2</v>
      </c>
      <c r="AO3686" s="33">
        <v>8.6308689567840861E-4</v>
      </c>
    </row>
    <row r="3687" spans="39:41" x14ac:dyDescent="0.25">
      <c r="AM3687" s="2">
        <v>3684</v>
      </c>
      <c r="AN3687" s="33">
        <v>1.0379473991585939E-2</v>
      </c>
      <c r="AO3687" s="33">
        <v>4.4397442129353969E-4</v>
      </c>
    </row>
    <row r="3688" spans="39:41" x14ac:dyDescent="0.25">
      <c r="AM3688" s="2">
        <v>3685</v>
      </c>
      <c r="AN3688" s="33">
        <v>1.2785293619003065E-2</v>
      </c>
      <c r="AO3688" s="33">
        <v>1.3501867822750342E-3</v>
      </c>
    </row>
    <row r="3689" spans="39:41" x14ac:dyDescent="0.25">
      <c r="AM3689" s="2">
        <v>3686</v>
      </c>
      <c r="AN3689" s="33">
        <v>1.1287514727632947E-2</v>
      </c>
      <c r="AO3689" s="33">
        <v>7.5494615638750217E-4</v>
      </c>
    </row>
    <row r="3690" spans="39:41" x14ac:dyDescent="0.25">
      <c r="AM3690" s="2">
        <v>3687</v>
      </c>
      <c r="AN3690" s="33">
        <v>1.065732500697082E-2</v>
      </c>
      <c r="AO3690" s="33">
        <v>9.6406937993881892E-4</v>
      </c>
    </row>
    <row r="3691" spans="39:41" x14ac:dyDescent="0.25">
      <c r="AM3691" s="2">
        <v>3688</v>
      </c>
      <c r="AN3691" s="33">
        <v>1.0808819791143648E-2</v>
      </c>
      <c r="AO3691" s="33">
        <v>4.0081431434897913E-4</v>
      </c>
    </row>
    <row r="3692" spans="39:41" x14ac:dyDescent="0.25">
      <c r="AM3692" s="2">
        <v>3689</v>
      </c>
      <c r="AN3692" s="33">
        <v>1.3087078708606245E-2</v>
      </c>
      <c r="AO3692" s="33">
        <v>1.0523261450988441E-3</v>
      </c>
    </row>
    <row r="3693" spans="39:41" x14ac:dyDescent="0.25">
      <c r="AM3693" s="2">
        <v>3690</v>
      </c>
      <c r="AN3693" s="33">
        <v>1.0671811153011289E-2</v>
      </c>
      <c r="AO3693" s="33">
        <v>7.4658570714252219E-4</v>
      </c>
    </row>
    <row r="3694" spans="39:41" x14ac:dyDescent="0.25">
      <c r="AM3694" s="2">
        <v>3691</v>
      </c>
      <c r="AN3694" s="33">
        <v>9.066433943547907E-3</v>
      </c>
      <c r="AO3694" s="33">
        <v>8.0344292071134291E-4</v>
      </c>
    </row>
    <row r="3695" spans="39:41" x14ac:dyDescent="0.25">
      <c r="AM3695" s="2">
        <v>3692</v>
      </c>
      <c r="AN3695" s="33">
        <v>1.1780156290823535E-2</v>
      </c>
      <c r="AO3695" s="33">
        <v>1.0263764025721931E-3</v>
      </c>
    </row>
    <row r="3696" spans="39:41" x14ac:dyDescent="0.25">
      <c r="AM3696" s="2">
        <v>3693</v>
      </c>
      <c r="AN3696" s="33">
        <v>1.1010269076725181E-2</v>
      </c>
      <c r="AO3696" s="33">
        <v>3.2223534361991804E-4</v>
      </c>
    </row>
    <row r="3697" spans="39:41" x14ac:dyDescent="0.25">
      <c r="AM3697" s="2">
        <v>3694</v>
      </c>
      <c r="AN3697" s="33">
        <v>1.093831474506444E-2</v>
      </c>
      <c r="AO3697" s="33">
        <v>7.8889728314336367E-4</v>
      </c>
    </row>
    <row r="3698" spans="39:41" x14ac:dyDescent="0.25">
      <c r="AM3698" s="2">
        <v>3695</v>
      </c>
      <c r="AN3698" s="33">
        <v>1.426986107879879E-2</v>
      </c>
      <c r="AO3698" s="33">
        <v>1.3114815869181269E-3</v>
      </c>
    </row>
    <row r="3699" spans="39:41" x14ac:dyDescent="0.25">
      <c r="AM3699" s="2">
        <v>3696</v>
      </c>
      <c r="AN3699" s="33">
        <v>1.3052834047862227E-2</v>
      </c>
      <c r="AO3699" s="33">
        <v>1.0769835470982733E-3</v>
      </c>
    </row>
    <row r="3700" spans="39:41" x14ac:dyDescent="0.25">
      <c r="AM3700" s="2">
        <v>3697</v>
      </c>
      <c r="AN3700" s="33">
        <v>1.2470442755249594E-2</v>
      </c>
      <c r="AO3700" s="33">
        <v>2.7952349106908411E-4</v>
      </c>
    </row>
    <row r="3701" spans="39:41" x14ac:dyDescent="0.25">
      <c r="AM3701" s="2">
        <v>3698</v>
      </c>
      <c r="AN3701" s="33">
        <v>1.3187975453149406E-2</v>
      </c>
      <c r="AO3701" s="33">
        <v>1.1728109973908993E-3</v>
      </c>
    </row>
    <row r="3702" spans="39:41" x14ac:dyDescent="0.25">
      <c r="AM3702" s="2">
        <v>3699</v>
      </c>
      <c r="AN3702" s="33">
        <v>1.1026174645556197E-2</v>
      </c>
      <c r="AO3702" s="33">
        <v>5.8949075147442373E-4</v>
      </c>
    </row>
    <row r="3703" spans="39:41" x14ac:dyDescent="0.25">
      <c r="AM3703" s="2">
        <v>3700</v>
      </c>
      <c r="AN3703" s="33">
        <v>1.1989372985004531E-2</v>
      </c>
      <c r="AO3703" s="33">
        <v>1.0429926089306648E-3</v>
      </c>
    </row>
    <row r="3704" spans="39:41" x14ac:dyDescent="0.25">
      <c r="AM3704" s="2">
        <v>3701</v>
      </c>
      <c r="AN3704" s="33">
        <v>1.11344091631802E-2</v>
      </c>
      <c r="AO3704" s="33">
        <v>7.120030418567326E-4</v>
      </c>
    </row>
    <row r="3705" spans="39:41" x14ac:dyDescent="0.25">
      <c r="AM3705" s="2">
        <v>3702</v>
      </c>
      <c r="AN3705" s="33">
        <v>1.1474881171134158E-2</v>
      </c>
      <c r="AO3705" s="33">
        <v>1.0337443705433701E-3</v>
      </c>
    </row>
    <row r="3706" spans="39:41" x14ac:dyDescent="0.25">
      <c r="AM3706" s="2">
        <v>3703</v>
      </c>
      <c r="AN3706" s="33">
        <v>1.2446698401924885E-2</v>
      </c>
      <c r="AO3706" s="33">
        <v>9.0788650069372812E-4</v>
      </c>
    </row>
    <row r="3707" spans="39:41" x14ac:dyDescent="0.25">
      <c r="AM3707" s="2">
        <v>3704</v>
      </c>
      <c r="AN3707" s="33">
        <v>1.0543775233748585E-2</v>
      </c>
      <c r="AO3707" s="33">
        <v>1.1094826198934894E-3</v>
      </c>
    </row>
    <row r="3708" spans="39:41" x14ac:dyDescent="0.25">
      <c r="AM3708" s="2">
        <v>3705</v>
      </c>
      <c r="AN3708" s="33">
        <v>9.8462623780126001E-3</v>
      </c>
      <c r="AO3708" s="33">
        <v>7.7559702928344941E-4</v>
      </c>
    </row>
    <row r="3709" spans="39:41" x14ac:dyDescent="0.25">
      <c r="AM3709" s="2">
        <v>3706</v>
      </c>
      <c r="AN3709" s="33">
        <v>1.0454620159889259E-2</v>
      </c>
      <c r="AO3709" s="33">
        <v>3.2487509100443817E-4</v>
      </c>
    </row>
    <row r="3710" spans="39:41" x14ac:dyDescent="0.25">
      <c r="AM3710" s="2">
        <v>3707</v>
      </c>
      <c r="AN3710" s="33">
        <v>1.3137125646621672E-2</v>
      </c>
      <c r="AO3710" s="33">
        <v>1.0192408348331159E-3</v>
      </c>
    </row>
    <row r="3711" spans="39:41" x14ac:dyDescent="0.25">
      <c r="AM3711" s="2">
        <v>3708</v>
      </c>
      <c r="AN3711" s="33">
        <v>1.6995598755381838E-2</v>
      </c>
      <c r="AO3711" s="33">
        <v>1.7029365674300621E-3</v>
      </c>
    </row>
    <row r="3712" spans="39:41" x14ac:dyDescent="0.25">
      <c r="AM3712" s="2">
        <v>3709</v>
      </c>
      <c r="AN3712" s="33">
        <v>1.0308885261652153E-2</v>
      </c>
      <c r="AO3712" s="33">
        <v>8.51920375060422E-4</v>
      </c>
    </row>
    <row r="3713" spans="39:41" x14ac:dyDescent="0.25">
      <c r="AM3713" s="2">
        <v>3710</v>
      </c>
      <c r="AN3713" s="33">
        <v>8.9822447752000625E-3</v>
      </c>
      <c r="AO3713" s="33">
        <v>8.7167395715844376E-4</v>
      </c>
    </row>
    <row r="3714" spans="39:41" x14ac:dyDescent="0.25">
      <c r="AM3714" s="2">
        <v>3711</v>
      </c>
      <c r="AN3714" s="33">
        <v>1.5050270799387006E-2</v>
      </c>
      <c r="AO3714" s="33">
        <v>1.1169058465096012E-3</v>
      </c>
    </row>
    <row r="3715" spans="39:41" x14ac:dyDescent="0.25">
      <c r="AM3715" s="2">
        <v>3712</v>
      </c>
      <c r="AN3715" s="33">
        <v>1.2188677762252173E-2</v>
      </c>
      <c r="AO3715" s="33">
        <v>4.7955083367881736E-4</v>
      </c>
    </row>
    <row r="3716" spans="39:41" x14ac:dyDescent="0.25">
      <c r="AM3716" s="2">
        <v>3713</v>
      </c>
      <c r="AN3716" s="33">
        <v>1.0853556648276969E-2</v>
      </c>
      <c r="AO3716" s="33">
        <v>1.00727176320131E-3</v>
      </c>
    </row>
    <row r="3717" spans="39:41" x14ac:dyDescent="0.25">
      <c r="AM3717" s="2">
        <v>3714</v>
      </c>
      <c r="AN3717" s="33">
        <v>1.3737173957044336E-2</v>
      </c>
      <c r="AO3717" s="33">
        <v>9.307310277723702E-4</v>
      </c>
    </row>
    <row r="3718" spans="39:41" x14ac:dyDescent="0.25">
      <c r="AM3718" s="2">
        <v>3715</v>
      </c>
      <c r="AN3718" s="33">
        <v>1.0207302915681254E-2</v>
      </c>
      <c r="AO3718" s="33">
        <v>7.2004895111505741E-4</v>
      </c>
    </row>
    <row r="3719" spans="39:41" x14ac:dyDescent="0.25">
      <c r="AM3719" s="2">
        <v>3716</v>
      </c>
      <c r="AN3719" s="33">
        <v>1.1071742701856017E-2</v>
      </c>
      <c r="AO3719" s="33">
        <v>9.534127363282249E-4</v>
      </c>
    </row>
    <row r="3720" spans="39:41" x14ac:dyDescent="0.25">
      <c r="AM3720" s="2">
        <v>3717</v>
      </c>
      <c r="AN3720" s="33">
        <v>1.3672187431926957E-2</v>
      </c>
      <c r="AO3720" s="33">
        <v>1.2569303373332228E-3</v>
      </c>
    </row>
    <row r="3721" spans="39:41" x14ac:dyDescent="0.25">
      <c r="AM3721" s="2">
        <v>3718</v>
      </c>
      <c r="AN3721" s="33">
        <v>1.4585728690755967E-2</v>
      </c>
      <c r="AO3721" s="33">
        <v>1.244989238640228E-3</v>
      </c>
    </row>
    <row r="3722" spans="39:41" x14ac:dyDescent="0.25">
      <c r="AM3722" s="2">
        <v>3719</v>
      </c>
      <c r="AN3722" s="33">
        <v>1.0864261544559281E-2</v>
      </c>
      <c r="AO3722" s="33">
        <v>7.7957381479391776E-4</v>
      </c>
    </row>
    <row r="3723" spans="39:41" x14ac:dyDescent="0.25">
      <c r="AM3723" s="2">
        <v>3720</v>
      </c>
      <c r="AN3723" s="33">
        <v>1.2357284430914207E-2</v>
      </c>
      <c r="AO3723" s="33">
        <v>1.0700235300997061E-3</v>
      </c>
    </row>
    <row r="3724" spans="39:41" x14ac:dyDescent="0.25">
      <c r="AM3724" s="2">
        <v>3721</v>
      </c>
      <c r="AN3724" s="33">
        <v>1.1648257273889417E-2</v>
      </c>
      <c r="AO3724" s="33">
        <v>1.1086378555105543E-3</v>
      </c>
    </row>
    <row r="3725" spans="39:41" x14ac:dyDescent="0.25">
      <c r="AM3725" s="2">
        <v>3722</v>
      </c>
      <c r="AN3725" s="33">
        <v>1.0510640571640098E-2</v>
      </c>
      <c r="AO3725" s="33">
        <v>3.9417754707195106E-4</v>
      </c>
    </row>
    <row r="3726" spans="39:41" x14ac:dyDescent="0.25">
      <c r="AM3726" s="2">
        <v>3723</v>
      </c>
      <c r="AN3726" s="33">
        <v>9.9576781203361726E-3</v>
      </c>
      <c r="AO3726" s="33">
        <v>3.6555752782892875E-4</v>
      </c>
    </row>
    <row r="3727" spans="39:41" x14ac:dyDescent="0.25">
      <c r="AM3727" s="2">
        <v>3724</v>
      </c>
      <c r="AN3727" s="33">
        <v>1.2864807013793641E-2</v>
      </c>
      <c r="AO3727" s="33">
        <v>1.2599879864179367E-3</v>
      </c>
    </row>
    <row r="3728" spans="39:41" x14ac:dyDescent="0.25">
      <c r="AM3728" s="2">
        <v>3725</v>
      </c>
      <c r="AN3728" s="33">
        <v>1.2839894715546448E-2</v>
      </c>
      <c r="AO3728" s="33">
        <v>9.6826181512667188E-4</v>
      </c>
    </row>
    <row r="3729" spans="39:41" x14ac:dyDescent="0.25">
      <c r="AM3729" s="2">
        <v>3726</v>
      </c>
      <c r="AN3729" s="33">
        <v>1.3729907309448914E-2</v>
      </c>
      <c r="AO3729" s="33">
        <v>1.0142603019949767E-3</v>
      </c>
    </row>
    <row r="3730" spans="39:41" x14ac:dyDescent="0.25">
      <c r="AM3730" s="2">
        <v>3727</v>
      </c>
      <c r="AN3730" s="33">
        <v>1.161768714882043E-2</v>
      </c>
      <c r="AO3730" s="33">
        <v>7.0801286803645765E-4</v>
      </c>
    </row>
    <row r="3731" spans="39:41" x14ac:dyDescent="0.25">
      <c r="AM3731" s="2">
        <v>3728</v>
      </c>
      <c r="AN3731" s="33">
        <v>1.2427953977548827E-2</v>
      </c>
      <c r="AO3731" s="33">
        <v>1.1176339130738546E-3</v>
      </c>
    </row>
    <row r="3732" spans="39:41" x14ac:dyDescent="0.25">
      <c r="AM3732" s="2">
        <v>3729</v>
      </c>
      <c r="AN3732" s="33">
        <v>1.0755993390748248E-2</v>
      </c>
      <c r="AO3732" s="33">
        <v>4.6447627305021066E-4</v>
      </c>
    </row>
    <row r="3733" spans="39:41" x14ac:dyDescent="0.25">
      <c r="AM3733" s="2">
        <v>3730</v>
      </c>
      <c r="AN3733" s="33">
        <v>1.1266438390067047E-2</v>
      </c>
      <c r="AO3733" s="33">
        <v>3.5372125651937896E-4</v>
      </c>
    </row>
    <row r="3734" spans="39:41" x14ac:dyDescent="0.25">
      <c r="AM3734" s="2">
        <v>3731</v>
      </c>
      <c r="AN3734" s="33">
        <v>1.2530968048319885E-2</v>
      </c>
      <c r="AO3734" s="33">
        <v>7.0933389916363171E-4</v>
      </c>
    </row>
    <row r="3735" spans="39:41" x14ac:dyDescent="0.25">
      <c r="AM3735" s="2">
        <v>3732</v>
      </c>
      <c r="AN3735" s="33">
        <v>1.4534119878581747E-2</v>
      </c>
      <c r="AO3735" s="33">
        <v>1.3441452052169809E-3</v>
      </c>
    </row>
    <row r="3736" spans="39:41" x14ac:dyDescent="0.25">
      <c r="AM3736" s="2">
        <v>3733</v>
      </c>
      <c r="AN3736" s="33">
        <v>9.5771384825410859E-3</v>
      </c>
      <c r="AO3736" s="33">
        <v>5.6629636097365666E-4</v>
      </c>
    </row>
    <row r="3737" spans="39:41" x14ac:dyDescent="0.25">
      <c r="AM3737" s="2">
        <v>3734</v>
      </c>
      <c r="AN3737" s="33">
        <v>1.2745045180888172E-2</v>
      </c>
      <c r="AO3737" s="33">
        <v>1.088315166655732E-3</v>
      </c>
    </row>
    <row r="3738" spans="39:41" x14ac:dyDescent="0.25">
      <c r="AM3738" s="2">
        <v>3735</v>
      </c>
      <c r="AN3738" s="33">
        <v>1.2530121113051747E-2</v>
      </c>
      <c r="AO3738" s="33">
        <v>1.0912726600320992E-3</v>
      </c>
    </row>
    <row r="3739" spans="39:41" x14ac:dyDescent="0.25">
      <c r="AM3739" s="2">
        <v>3736</v>
      </c>
      <c r="AN3739" s="33">
        <v>1.2605856017563621E-2</v>
      </c>
      <c r="AO3739" s="33">
        <v>6.3692516789594074E-4</v>
      </c>
    </row>
    <row r="3740" spans="39:41" x14ac:dyDescent="0.25">
      <c r="AM3740" s="2">
        <v>3737</v>
      </c>
      <c r="AN3740" s="33">
        <v>1.3563107048256908E-2</v>
      </c>
      <c r="AO3740" s="33">
        <v>1.4121220083062188E-3</v>
      </c>
    </row>
    <row r="3741" spans="39:41" x14ac:dyDescent="0.25">
      <c r="AM3741" s="2">
        <v>3738</v>
      </c>
      <c r="AN3741" s="33">
        <v>9.7153004584158154E-3</v>
      </c>
      <c r="AO3741" s="33">
        <v>8.0023541708264961E-4</v>
      </c>
    </row>
    <row r="3742" spans="39:41" x14ac:dyDescent="0.25">
      <c r="AM3742" s="2">
        <v>3739</v>
      </c>
      <c r="AN3742" s="33">
        <v>1.0108456086793616E-2</v>
      </c>
      <c r="AO3742" s="33">
        <v>8.8115384160782843E-4</v>
      </c>
    </row>
    <row r="3743" spans="39:41" x14ac:dyDescent="0.25">
      <c r="AM3743" s="2">
        <v>3740</v>
      </c>
      <c r="AN3743" s="33">
        <v>9.4457900652319335E-3</v>
      </c>
      <c r="AO3743" s="33">
        <v>7.4070631910075064E-4</v>
      </c>
    </row>
    <row r="3744" spans="39:41" x14ac:dyDescent="0.25">
      <c r="AM3744" s="2">
        <v>3741</v>
      </c>
      <c r="AN3744" s="33">
        <v>9.2347504069964191E-3</v>
      </c>
      <c r="AO3744" s="33">
        <v>6.6602292476829065E-4</v>
      </c>
    </row>
    <row r="3745" spans="39:41" x14ac:dyDescent="0.25">
      <c r="AM3745" s="2">
        <v>3742</v>
      </c>
      <c r="AN3745" s="33">
        <v>1.0314313444664755E-2</v>
      </c>
      <c r="AO3745" s="33">
        <v>9.1201456007346737E-4</v>
      </c>
    </row>
    <row r="3746" spans="39:41" x14ac:dyDescent="0.25">
      <c r="AM3746" s="2">
        <v>3743</v>
      </c>
      <c r="AN3746" s="33">
        <v>9.0330589907554274E-3</v>
      </c>
      <c r="AO3746" s="33">
        <v>7.5411664983638619E-4</v>
      </c>
    </row>
    <row r="3747" spans="39:41" x14ac:dyDescent="0.25">
      <c r="AM3747" s="2">
        <v>3744</v>
      </c>
      <c r="AN3747" s="33">
        <v>8.1286735953391004E-3</v>
      </c>
      <c r="AO3747" s="33">
        <v>5.922237975467048E-4</v>
      </c>
    </row>
    <row r="3748" spans="39:41" x14ac:dyDescent="0.25">
      <c r="AM3748" s="2">
        <v>3745</v>
      </c>
      <c r="AN3748" s="33">
        <v>8.8417791762944106E-3</v>
      </c>
      <c r="AO3748" s="33">
        <v>3.6196119566943714E-4</v>
      </c>
    </row>
    <row r="3749" spans="39:41" x14ac:dyDescent="0.25">
      <c r="AM3749" s="2">
        <v>3746</v>
      </c>
      <c r="AN3749" s="33">
        <v>1.0708147666753131E-2</v>
      </c>
      <c r="AO3749" s="33">
        <v>3.227376066557665E-4</v>
      </c>
    </row>
    <row r="3750" spans="39:41" x14ac:dyDescent="0.25">
      <c r="AM3750" s="2">
        <v>3747</v>
      </c>
      <c r="AN3750" s="33">
        <v>1.2904844222165602E-2</v>
      </c>
      <c r="AO3750" s="33">
        <v>9.9555097301403305E-4</v>
      </c>
    </row>
    <row r="3751" spans="39:41" x14ac:dyDescent="0.25">
      <c r="AM3751" s="2">
        <v>3748</v>
      </c>
      <c r="AN3751" s="33">
        <v>1.1650083765983943E-2</v>
      </c>
      <c r="AO3751" s="33">
        <v>8.0440768898411459E-4</v>
      </c>
    </row>
    <row r="3752" spans="39:41" x14ac:dyDescent="0.25">
      <c r="AM3752" s="2">
        <v>3749</v>
      </c>
      <c r="AN3752" s="33">
        <v>1.1884155803599706E-2</v>
      </c>
      <c r="AO3752" s="33">
        <v>1.1230094172633769E-4</v>
      </c>
    </row>
    <row r="3753" spans="39:41" x14ac:dyDescent="0.25">
      <c r="AM3753" s="2">
        <v>3750</v>
      </c>
      <c r="AN3753" s="33">
        <v>1.2561583031481796E-2</v>
      </c>
      <c r="AO3753" s="33">
        <v>8.3743266495383216E-4</v>
      </c>
    </row>
    <row r="3754" spans="39:41" x14ac:dyDescent="0.25">
      <c r="AM3754" s="2">
        <v>3751</v>
      </c>
      <c r="AN3754" s="33">
        <v>1.0597486127829228E-2</v>
      </c>
      <c r="AO3754" s="33">
        <v>6.4293356496235299E-4</v>
      </c>
    </row>
    <row r="3755" spans="39:41" x14ac:dyDescent="0.25">
      <c r="AM3755" s="2">
        <v>3752</v>
      </c>
      <c r="AN3755" s="33">
        <v>9.0005110704947412E-3</v>
      </c>
      <c r="AO3755" s="33">
        <v>3.7827616491809576E-4</v>
      </c>
    </row>
    <row r="3756" spans="39:41" x14ac:dyDescent="0.25">
      <c r="AM3756" s="2">
        <v>3753</v>
      </c>
      <c r="AN3756" s="33">
        <v>1.4907270114628673E-2</v>
      </c>
      <c r="AO3756" s="33">
        <v>1.0784012685223666E-3</v>
      </c>
    </row>
    <row r="3757" spans="39:41" x14ac:dyDescent="0.25">
      <c r="AM3757" s="2">
        <v>3754</v>
      </c>
      <c r="AN3757" s="33">
        <v>8.8572918475863602E-3</v>
      </c>
      <c r="AO3757" s="33">
        <v>5.2913376569084644E-4</v>
      </c>
    </row>
    <row r="3758" spans="39:41" x14ac:dyDescent="0.25">
      <c r="AM3758" s="2">
        <v>3755</v>
      </c>
      <c r="AN3758" s="33">
        <v>1.0996741580367097E-2</v>
      </c>
      <c r="AO3758" s="33">
        <v>5.15962457461747E-4</v>
      </c>
    </row>
    <row r="3759" spans="39:41" x14ac:dyDescent="0.25">
      <c r="AM3759" s="2">
        <v>3756</v>
      </c>
      <c r="AN3759" s="33">
        <v>1.0304304478912518E-2</v>
      </c>
      <c r="AO3759" s="33">
        <v>7.0466793937159426E-4</v>
      </c>
    </row>
    <row r="3760" spans="39:41" x14ac:dyDescent="0.25">
      <c r="AM3760" s="2">
        <v>3757</v>
      </c>
      <c r="AN3760" s="33">
        <v>1.8784024784712156E-2</v>
      </c>
      <c r="AO3760" s="33">
        <v>1.4510258051635913E-3</v>
      </c>
    </row>
    <row r="3761" spans="39:41" x14ac:dyDescent="0.25">
      <c r="AM3761" s="2">
        <v>3758</v>
      </c>
      <c r="AN3761" s="33">
        <v>1.0514477201988996E-2</v>
      </c>
      <c r="AO3761" s="33">
        <v>8.1897597738379358E-4</v>
      </c>
    </row>
    <row r="3762" spans="39:41" x14ac:dyDescent="0.25">
      <c r="AM3762" s="2">
        <v>3759</v>
      </c>
      <c r="AN3762" s="33">
        <v>1.2998979724025776E-2</v>
      </c>
      <c r="AO3762" s="33">
        <v>6.7138343924322632E-4</v>
      </c>
    </row>
    <row r="3763" spans="39:41" x14ac:dyDescent="0.25">
      <c r="AM3763" s="2">
        <v>3760</v>
      </c>
      <c r="AN3763" s="33">
        <v>1.0088302673967027E-2</v>
      </c>
      <c r="AO3763" s="33">
        <v>4.0205641852009166E-4</v>
      </c>
    </row>
    <row r="3764" spans="39:41" x14ac:dyDescent="0.25">
      <c r="AM3764" s="2">
        <v>3761</v>
      </c>
      <c r="AN3764" s="33">
        <v>1.2171387816402323E-2</v>
      </c>
      <c r="AO3764" s="33">
        <v>1.1342056904023658E-3</v>
      </c>
    </row>
    <row r="3765" spans="39:41" x14ac:dyDescent="0.25">
      <c r="AM3765" s="2">
        <v>3762</v>
      </c>
      <c r="AN3765" s="33">
        <v>9.7625080188730225E-3</v>
      </c>
      <c r="AO3765" s="33">
        <v>7.6020958092140156E-4</v>
      </c>
    </row>
    <row r="3766" spans="39:41" x14ac:dyDescent="0.25">
      <c r="AM3766" s="2">
        <v>3763</v>
      </c>
      <c r="AN3766" s="33">
        <v>1.1517475811761012E-2</v>
      </c>
      <c r="AO3766" s="33">
        <v>6.7102417397236081E-4</v>
      </c>
    </row>
    <row r="3767" spans="39:41" x14ac:dyDescent="0.25">
      <c r="AM3767" s="2">
        <v>3764</v>
      </c>
      <c r="AN3767" s="33">
        <v>8.304814643550382E-3</v>
      </c>
      <c r="AO3767" s="33">
        <v>4.4845491626409643E-4</v>
      </c>
    </row>
    <row r="3768" spans="39:41" x14ac:dyDescent="0.25">
      <c r="AM3768" s="2">
        <v>3765</v>
      </c>
      <c r="AN3768" s="33">
        <v>1.2650761476761514E-2</v>
      </c>
      <c r="AO3768" s="33">
        <v>8.3561640375414206E-4</v>
      </c>
    </row>
    <row r="3769" spans="39:41" x14ac:dyDescent="0.25">
      <c r="AM3769" s="2">
        <v>3766</v>
      </c>
      <c r="AN3769" s="33">
        <v>1.064367429992309E-2</v>
      </c>
      <c r="AO3769" s="33">
        <v>9.0040612588518538E-4</v>
      </c>
    </row>
    <row r="3770" spans="39:41" x14ac:dyDescent="0.25">
      <c r="AM3770" s="2">
        <v>3767</v>
      </c>
      <c r="AN3770" s="33">
        <v>9.9124477862041933E-3</v>
      </c>
      <c r="AO3770" s="33">
        <v>4.3064269155421311E-4</v>
      </c>
    </row>
    <row r="3771" spans="39:41" x14ac:dyDescent="0.25">
      <c r="AM3771" s="2">
        <v>3768</v>
      </c>
      <c r="AN3771" s="33">
        <v>1.3875541045487836E-2</v>
      </c>
      <c r="AO3771" s="33">
        <v>1.056978341333743E-3</v>
      </c>
    </row>
    <row r="3772" spans="39:41" x14ac:dyDescent="0.25">
      <c r="AM3772" s="2">
        <v>3769</v>
      </c>
      <c r="AN3772" s="33">
        <v>1.1040716873276053E-2</v>
      </c>
      <c r="AO3772" s="33">
        <v>4.4630689560715538E-4</v>
      </c>
    </row>
    <row r="3773" spans="39:41" x14ac:dyDescent="0.25">
      <c r="AM3773" s="2">
        <v>3770</v>
      </c>
      <c r="AN3773" s="33">
        <v>1.3862462226991942E-2</v>
      </c>
      <c r="AO3773" s="33">
        <v>1.0282934596360393E-3</v>
      </c>
    </row>
    <row r="3774" spans="39:41" x14ac:dyDescent="0.25">
      <c r="AM3774" s="2">
        <v>3771</v>
      </c>
      <c r="AN3774" s="33">
        <v>1.240001998433087E-2</v>
      </c>
      <c r="AO3774" s="33">
        <v>9.1959873161565672E-4</v>
      </c>
    </row>
    <row r="3775" spans="39:41" x14ac:dyDescent="0.25">
      <c r="AM3775" s="2">
        <v>3772</v>
      </c>
      <c r="AN3775" s="33">
        <v>1.0184592077992865E-2</v>
      </c>
      <c r="AO3775" s="33">
        <v>6.6402977664183007E-4</v>
      </c>
    </row>
    <row r="3776" spans="39:41" x14ac:dyDescent="0.25">
      <c r="AM3776" s="2">
        <v>3773</v>
      </c>
      <c r="AN3776" s="33">
        <v>1.3605438312237319E-2</v>
      </c>
      <c r="AO3776" s="33">
        <v>1.2889841232816093E-3</v>
      </c>
    </row>
    <row r="3777" spans="39:41" x14ac:dyDescent="0.25">
      <c r="AM3777" s="2">
        <v>3774</v>
      </c>
      <c r="AN3777" s="33">
        <v>1.5048692977687076E-2</v>
      </c>
      <c r="AO3777" s="33">
        <v>1.4318726948298283E-3</v>
      </c>
    </row>
    <row r="3778" spans="39:41" x14ac:dyDescent="0.25">
      <c r="AM3778" s="2">
        <v>3775</v>
      </c>
      <c r="AN3778" s="33">
        <v>1.1180220659496448E-2</v>
      </c>
      <c r="AO3778" s="33">
        <v>7.6372249096040936E-4</v>
      </c>
    </row>
    <row r="3779" spans="39:41" x14ac:dyDescent="0.25">
      <c r="AM3779" s="2">
        <v>3776</v>
      </c>
      <c r="AN3779" s="33">
        <v>1.1384224727796053E-2</v>
      </c>
      <c r="AO3779" s="33">
        <v>6.0980555187264073E-4</v>
      </c>
    </row>
    <row r="3780" spans="39:41" x14ac:dyDescent="0.25">
      <c r="AM3780" s="2">
        <v>3777</v>
      </c>
      <c r="AN3780" s="33">
        <v>1.4010657283119655E-2</v>
      </c>
      <c r="AO3780" s="33">
        <v>1.2899386892680073E-3</v>
      </c>
    </row>
    <row r="3781" spans="39:41" x14ac:dyDescent="0.25">
      <c r="AM3781" s="2">
        <v>3778</v>
      </c>
      <c r="AN3781" s="33">
        <v>1.1334835335012609E-2</v>
      </c>
      <c r="AO3781" s="33">
        <v>7.8427474632057756E-4</v>
      </c>
    </row>
    <row r="3782" spans="39:41" x14ac:dyDescent="0.25">
      <c r="AM3782" s="2">
        <v>3779</v>
      </c>
      <c r="AN3782" s="33">
        <v>1.224806248427957E-2</v>
      </c>
      <c r="AO3782" s="33">
        <v>8.0736417706661016E-4</v>
      </c>
    </row>
    <row r="3783" spans="39:41" x14ac:dyDescent="0.25">
      <c r="AM3783" s="2">
        <v>3780</v>
      </c>
      <c r="AN3783" s="33">
        <v>1.416742942478914E-2</v>
      </c>
      <c r="AO3783" s="33">
        <v>1.3335039139828237E-3</v>
      </c>
    </row>
    <row r="3784" spans="39:41" x14ac:dyDescent="0.25">
      <c r="AM3784" s="2">
        <v>3781</v>
      </c>
      <c r="AN3784" s="33">
        <v>1.3589881322611354E-2</v>
      </c>
      <c r="AO3784" s="33">
        <v>1.2111987280245438E-3</v>
      </c>
    </row>
    <row r="3785" spans="39:41" x14ac:dyDescent="0.25">
      <c r="AM3785" s="2">
        <v>3782</v>
      </c>
      <c r="AN3785" s="33">
        <v>1.3198315811218842E-2</v>
      </c>
      <c r="AO3785" s="33">
        <v>1.211247038346053E-3</v>
      </c>
    </row>
    <row r="3786" spans="39:41" x14ac:dyDescent="0.25">
      <c r="AM3786" s="2">
        <v>3783</v>
      </c>
      <c r="AN3786" s="33">
        <v>1.1525821205389987E-2</v>
      </c>
      <c r="AO3786" s="33">
        <v>8.11488024127128E-4</v>
      </c>
    </row>
    <row r="3787" spans="39:41" x14ac:dyDescent="0.25">
      <c r="AM3787" s="2">
        <v>3784</v>
      </c>
      <c r="AN3787" s="33">
        <v>1.1931752423721432E-2</v>
      </c>
      <c r="AO3787" s="33">
        <v>6.4501108013482751E-4</v>
      </c>
    </row>
    <row r="3788" spans="39:41" x14ac:dyDescent="0.25">
      <c r="AM3788" s="2">
        <v>3785</v>
      </c>
      <c r="AN3788" s="33">
        <v>1.1709977119322921E-2</v>
      </c>
      <c r="AO3788" s="33">
        <v>1.0956482432952818E-3</v>
      </c>
    </row>
    <row r="3789" spans="39:41" x14ac:dyDescent="0.25">
      <c r="AM3789" s="2">
        <v>3786</v>
      </c>
      <c r="AN3789" s="33">
        <v>1.019265653213716E-2</v>
      </c>
      <c r="AO3789" s="33">
        <v>9.2072835801783846E-4</v>
      </c>
    </row>
    <row r="3790" spans="39:41" x14ac:dyDescent="0.25">
      <c r="AM3790" s="2">
        <v>3787</v>
      </c>
      <c r="AN3790" s="33">
        <v>1.5404402595475417E-2</v>
      </c>
      <c r="AO3790" s="33">
        <v>1.6008331013198263E-3</v>
      </c>
    </row>
    <row r="3791" spans="39:41" x14ac:dyDescent="0.25">
      <c r="AM3791" s="2">
        <v>3788</v>
      </c>
      <c r="AN3791" s="33">
        <v>1.2372039766010286E-2</v>
      </c>
      <c r="AO3791" s="33">
        <v>9.7945537012242008E-4</v>
      </c>
    </row>
    <row r="3792" spans="39:41" x14ac:dyDescent="0.25">
      <c r="AM3792" s="2">
        <v>3789</v>
      </c>
      <c r="AN3792" s="33">
        <v>1.0614270435005872E-2</v>
      </c>
      <c r="AO3792" s="33">
        <v>9.1164215394014042E-4</v>
      </c>
    </row>
    <row r="3793" spans="39:41" x14ac:dyDescent="0.25">
      <c r="AM3793" s="2">
        <v>3790</v>
      </c>
      <c r="AN3793" s="33">
        <v>9.9010385507880098E-3</v>
      </c>
      <c r="AO3793" s="33">
        <v>3.0004569183699425E-4</v>
      </c>
    </row>
    <row r="3794" spans="39:41" x14ac:dyDescent="0.25">
      <c r="AM3794" s="2">
        <v>3791</v>
      </c>
      <c r="AN3794" s="33">
        <v>1.1570728832082251E-2</v>
      </c>
      <c r="AO3794" s="33">
        <v>8.051535875171587E-4</v>
      </c>
    </row>
    <row r="3795" spans="39:41" x14ac:dyDescent="0.25">
      <c r="AM3795" s="2">
        <v>3792</v>
      </c>
      <c r="AN3795" s="33">
        <v>1.6960256446617392E-2</v>
      </c>
      <c r="AO3795" s="33">
        <v>1.572863796572357E-3</v>
      </c>
    </row>
    <row r="3796" spans="39:41" x14ac:dyDescent="0.25">
      <c r="AM3796" s="2">
        <v>3793</v>
      </c>
      <c r="AN3796" s="33">
        <v>1.0751435103525562E-2</v>
      </c>
      <c r="AO3796" s="33">
        <v>6.7314965468839633E-4</v>
      </c>
    </row>
    <row r="3797" spans="39:41" x14ac:dyDescent="0.25">
      <c r="AM3797" s="2">
        <v>3794</v>
      </c>
      <c r="AN3797" s="33">
        <v>9.4458869108515493E-3</v>
      </c>
      <c r="AO3797" s="33">
        <v>5.2740267865903777E-4</v>
      </c>
    </row>
    <row r="3798" spans="39:41" x14ac:dyDescent="0.25">
      <c r="AM3798" s="2">
        <v>3795</v>
      </c>
      <c r="AN3798" s="33">
        <v>1.3529512233978856E-2</v>
      </c>
      <c r="AO3798" s="33">
        <v>8.0456996043997081E-4</v>
      </c>
    </row>
    <row r="3799" spans="39:41" x14ac:dyDescent="0.25">
      <c r="AM3799" s="2">
        <v>3796</v>
      </c>
      <c r="AN3799" s="33">
        <v>7.9273508881839462E-3</v>
      </c>
      <c r="AO3799" s="33">
        <v>5.4015979105263368E-4</v>
      </c>
    </row>
    <row r="3800" spans="39:41" x14ac:dyDescent="0.25">
      <c r="AM3800" s="2">
        <v>3797</v>
      </c>
      <c r="AN3800" s="33">
        <v>1.3730938998540452E-2</v>
      </c>
      <c r="AO3800" s="33">
        <v>7.1402411158735812E-4</v>
      </c>
    </row>
    <row r="3801" spans="39:41" x14ac:dyDescent="0.25">
      <c r="AM3801" s="2">
        <v>3798</v>
      </c>
      <c r="AN3801" s="33">
        <v>1.292067313896636E-2</v>
      </c>
      <c r="AO3801" s="33">
        <v>1.2396381171481282E-3</v>
      </c>
    </row>
    <row r="3802" spans="39:41" x14ac:dyDescent="0.25">
      <c r="AM3802" s="2">
        <v>3799</v>
      </c>
      <c r="AN3802" s="33">
        <v>1.3063084015904333E-2</v>
      </c>
      <c r="AO3802" s="33">
        <v>1.0275905297297261E-3</v>
      </c>
    </row>
    <row r="3803" spans="39:41" x14ac:dyDescent="0.25">
      <c r="AM3803" s="2">
        <v>3800</v>
      </c>
      <c r="AN3803" s="33">
        <v>1.6507063515993618E-2</v>
      </c>
      <c r="AO3803" s="33">
        <v>1.6499953142672154E-3</v>
      </c>
    </row>
    <row r="3804" spans="39:41" x14ac:dyDescent="0.25">
      <c r="AM3804" s="2">
        <v>3801</v>
      </c>
      <c r="AN3804" s="33">
        <v>1.3277934862732569E-2</v>
      </c>
      <c r="AO3804" s="33">
        <v>1.3179775121641012E-3</v>
      </c>
    </row>
    <row r="3805" spans="39:41" x14ac:dyDescent="0.25">
      <c r="AM3805" s="2">
        <v>3802</v>
      </c>
      <c r="AN3805" s="33">
        <v>1.2957345501797519E-2</v>
      </c>
      <c r="AO3805" s="33">
        <v>1.1091483287796796E-3</v>
      </c>
    </row>
    <row r="3806" spans="39:41" x14ac:dyDescent="0.25">
      <c r="AM3806" s="2">
        <v>3803</v>
      </c>
      <c r="AN3806" s="33">
        <v>1.425865023756683E-2</v>
      </c>
      <c r="AO3806" s="33">
        <v>1.181875907009409E-3</v>
      </c>
    </row>
    <row r="3807" spans="39:41" x14ac:dyDescent="0.25">
      <c r="AM3807" s="2">
        <v>3804</v>
      </c>
      <c r="AN3807" s="33">
        <v>1.1527746321123805E-2</v>
      </c>
      <c r="AO3807" s="33">
        <v>7.5663603644081541E-4</v>
      </c>
    </row>
    <row r="3808" spans="39:41" x14ac:dyDescent="0.25">
      <c r="AM3808" s="2">
        <v>3805</v>
      </c>
      <c r="AN3808" s="33">
        <v>1.1509624634201498E-2</v>
      </c>
      <c r="AO3808" s="33">
        <v>7.0604248245006887E-4</v>
      </c>
    </row>
    <row r="3809" spans="39:41" x14ac:dyDescent="0.25">
      <c r="AM3809" s="2">
        <v>3806</v>
      </c>
      <c r="AN3809" s="33">
        <v>1.1151451151707696E-2</v>
      </c>
      <c r="AO3809" s="33">
        <v>3.8068290988662836E-4</v>
      </c>
    </row>
    <row r="3810" spans="39:41" x14ac:dyDescent="0.25">
      <c r="AM3810" s="2">
        <v>3807</v>
      </c>
      <c r="AN3810" s="33">
        <v>1.3936678942102678E-2</v>
      </c>
      <c r="AO3810" s="33">
        <v>9.6205591963155718E-4</v>
      </c>
    </row>
    <row r="3811" spans="39:41" x14ac:dyDescent="0.25">
      <c r="AM3811" s="2">
        <v>3808</v>
      </c>
      <c r="AN3811" s="33">
        <v>1.2146542419700097E-2</v>
      </c>
      <c r="AO3811" s="33">
        <v>9.2245166907495692E-4</v>
      </c>
    </row>
    <row r="3812" spans="39:41" x14ac:dyDescent="0.25">
      <c r="AM3812" s="2">
        <v>3809</v>
      </c>
      <c r="AN3812" s="33">
        <v>8.4295030727316745E-3</v>
      </c>
      <c r="AO3812" s="33">
        <v>7.0205163822499518E-4</v>
      </c>
    </row>
    <row r="3813" spans="39:41" x14ac:dyDescent="0.25">
      <c r="AM3813" s="2">
        <v>3810</v>
      </c>
      <c r="AN3813" s="33">
        <v>1.0919056694004618E-2</v>
      </c>
      <c r="AO3813" s="33">
        <v>1.0638367560829769E-3</v>
      </c>
    </row>
    <row r="3814" spans="39:41" x14ac:dyDescent="0.25">
      <c r="AM3814" s="2">
        <v>3811</v>
      </c>
      <c r="AN3814" s="33">
        <v>1.2101370052275229E-2</v>
      </c>
      <c r="AO3814" s="33">
        <v>1.1952030938257548E-3</v>
      </c>
    </row>
    <row r="3815" spans="39:41" x14ac:dyDescent="0.25">
      <c r="AM3815" s="2">
        <v>3812</v>
      </c>
      <c r="AN3815" s="33">
        <v>1.498071208835609E-2</v>
      </c>
      <c r="AO3815" s="33">
        <v>1.5374569474691682E-3</v>
      </c>
    </row>
    <row r="3816" spans="39:41" x14ac:dyDescent="0.25">
      <c r="AM3816" s="2">
        <v>3813</v>
      </c>
      <c r="AN3816" s="33">
        <v>9.8323586352562983E-3</v>
      </c>
      <c r="AO3816" s="33">
        <v>7.451516851409855E-4</v>
      </c>
    </row>
    <row r="3817" spans="39:41" x14ac:dyDescent="0.25">
      <c r="AM3817" s="2">
        <v>3814</v>
      </c>
      <c r="AN3817" s="33">
        <v>1.4782552677582651E-2</v>
      </c>
      <c r="AO3817" s="33">
        <v>1.5508997092773221E-3</v>
      </c>
    </row>
    <row r="3818" spans="39:41" x14ac:dyDescent="0.25">
      <c r="AM3818" s="2">
        <v>3815</v>
      </c>
      <c r="AN3818" s="33">
        <v>1.0364877128654205E-2</v>
      </c>
      <c r="AO3818" s="33">
        <v>8.5119449869179673E-4</v>
      </c>
    </row>
    <row r="3819" spans="39:41" x14ac:dyDescent="0.25">
      <c r="AM3819" s="2">
        <v>3816</v>
      </c>
      <c r="AN3819" s="33">
        <v>1.3610067337845819E-2</v>
      </c>
      <c r="AO3819" s="33">
        <v>1.22180421916324E-3</v>
      </c>
    </row>
    <row r="3820" spans="39:41" x14ac:dyDescent="0.25">
      <c r="AM3820" s="2">
        <v>3817</v>
      </c>
      <c r="AN3820" s="33">
        <v>1.3420523941816736E-2</v>
      </c>
      <c r="AO3820" s="33">
        <v>1.0857894497724504E-3</v>
      </c>
    </row>
    <row r="3821" spans="39:41" x14ac:dyDescent="0.25">
      <c r="AM3821" s="2">
        <v>3818</v>
      </c>
      <c r="AN3821" s="33">
        <v>1.2611404852331214E-2</v>
      </c>
      <c r="AO3821" s="33">
        <v>7.1664962903378294E-4</v>
      </c>
    </row>
    <row r="3822" spans="39:41" x14ac:dyDescent="0.25">
      <c r="AM3822" s="2">
        <v>3819</v>
      </c>
      <c r="AN3822" s="33">
        <v>7.5211714080841013E-3</v>
      </c>
      <c r="AO3822" s="33">
        <v>5.4970019367936505E-4</v>
      </c>
    </row>
    <row r="3823" spans="39:41" x14ac:dyDescent="0.25">
      <c r="AM3823" s="2">
        <v>3820</v>
      </c>
      <c r="AN3823" s="33">
        <v>1.0706290051291673E-2</v>
      </c>
      <c r="AO3823" s="33">
        <v>7.0368902640059879E-4</v>
      </c>
    </row>
    <row r="3824" spans="39:41" x14ac:dyDescent="0.25">
      <c r="AM3824" s="2">
        <v>3821</v>
      </c>
      <c r="AN3824" s="33">
        <v>9.5201082254768987E-3</v>
      </c>
      <c r="AO3824" s="33">
        <v>5.6552679321838714E-4</v>
      </c>
    </row>
    <row r="3825" spans="39:41" x14ac:dyDescent="0.25">
      <c r="AM3825" s="2">
        <v>3822</v>
      </c>
      <c r="AN3825" s="33">
        <v>9.6621819303230189E-3</v>
      </c>
      <c r="AO3825" s="33">
        <v>2.9269438991038547E-4</v>
      </c>
    </row>
    <row r="3826" spans="39:41" x14ac:dyDescent="0.25">
      <c r="AM3826" s="2">
        <v>3823</v>
      </c>
      <c r="AN3826" s="33">
        <v>1.4583535370617389E-2</v>
      </c>
      <c r="AO3826" s="33">
        <v>1.1896917126736262E-3</v>
      </c>
    </row>
    <row r="3827" spans="39:41" x14ac:dyDescent="0.25">
      <c r="AM3827" s="2">
        <v>3824</v>
      </c>
      <c r="AN3827" s="33">
        <v>1.3051014447742103E-2</v>
      </c>
      <c r="AO3827" s="33">
        <v>5.9803572741509172E-4</v>
      </c>
    </row>
    <row r="3828" spans="39:41" x14ac:dyDescent="0.25">
      <c r="AM3828" s="2">
        <v>3825</v>
      </c>
      <c r="AN3828" s="33">
        <v>1.2480672575563125E-2</v>
      </c>
      <c r="AO3828" s="33">
        <v>1.0978543131486133E-3</v>
      </c>
    </row>
    <row r="3829" spans="39:41" x14ac:dyDescent="0.25">
      <c r="AM3829" s="2">
        <v>3826</v>
      </c>
      <c r="AN3829" s="33">
        <v>1.5888590528877252E-2</v>
      </c>
      <c r="AO3829" s="33">
        <v>1.269465561850568E-3</v>
      </c>
    </row>
    <row r="3830" spans="39:41" x14ac:dyDescent="0.25">
      <c r="AM3830" s="2">
        <v>3827</v>
      </c>
      <c r="AN3830" s="33">
        <v>1.0101627686103124E-2</v>
      </c>
      <c r="AO3830" s="33">
        <v>9.3132963797633035E-4</v>
      </c>
    </row>
    <row r="3831" spans="39:41" x14ac:dyDescent="0.25">
      <c r="AM3831" s="2">
        <v>3828</v>
      </c>
      <c r="AN3831" s="33">
        <v>1.0769689154363547E-2</v>
      </c>
      <c r="AO3831" s="33">
        <v>8.8698838646547032E-4</v>
      </c>
    </row>
    <row r="3832" spans="39:41" x14ac:dyDescent="0.25">
      <c r="AM3832" s="2">
        <v>3829</v>
      </c>
      <c r="AN3832" s="33">
        <v>1.3665204837310067E-2</v>
      </c>
      <c r="AO3832" s="33">
        <v>9.0869722774898566E-4</v>
      </c>
    </row>
    <row r="3833" spans="39:41" x14ac:dyDescent="0.25">
      <c r="AM3833" s="2">
        <v>3830</v>
      </c>
      <c r="AN3833" s="33">
        <v>9.6337698025977195E-3</v>
      </c>
      <c r="AO3833" s="33">
        <v>5.9602762550550661E-4</v>
      </c>
    </row>
    <row r="3834" spans="39:41" x14ac:dyDescent="0.25">
      <c r="AM3834" s="2">
        <v>3831</v>
      </c>
      <c r="AN3834" s="33">
        <v>1.0280588675964661E-2</v>
      </c>
      <c r="AO3834" s="33">
        <v>7.8447848358286583E-4</v>
      </c>
    </row>
    <row r="3835" spans="39:41" x14ac:dyDescent="0.25">
      <c r="AM3835" s="2">
        <v>3832</v>
      </c>
      <c r="AN3835" s="33">
        <v>9.2851375206892111E-3</v>
      </c>
      <c r="AO3835" s="33">
        <v>7.8408816756954814E-4</v>
      </c>
    </row>
    <row r="3836" spans="39:41" x14ac:dyDescent="0.25">
      <c r="AM3836" s="2">
        <v>3833</v>
      </c>
      <c r="AN3836" s="33">
        <v>9.3974299230427071E-3</v>
      </c>
      <c r="AO3836" s="33">
        <v>7.7599800633012747E-4</v>
      </c>
    </row>
    <row r="3837" spans="39:41" x14ac:dyDescent="0.25">
      <c r="AM3837" s="2">
        <v>3834</v>
      </c>
      <c r="AN3837" s="33">
        <v>1.1094651244246828E-2</v>
      </c>
      <c r="AO3837" s="33">
        <v>1.0372979773906827E-3</v>
      </c>
    </row>
    <row r="3838" spans="39:41" x14ac:dyDescent="0.25">
      <c r="AM3838" s="2">
        <v>3835</v>
      </c>
      <c r="AN3838" s="33">
        <v>9.1635041832703931E-3</v>
      </c>
      <c r="AO3838" s="33">
        <v>7.6476730516213836E-4</v>
      </c>
    </row>
    <row r="3839" spans="39:41" x14ac:dyDescent="0.25">
      <c r="AM3839" s="2">
        <v>3836</v>
      </c>
      <c r="AN3839" s="33">
        <v>1.0639006839873016E-2</v>
      </c>
      <c r="AO3839" s="33">
        <v>6.5659987509270154E-4</v>
      </c>
    </row>
    <row r="3840" spans="39:41" x14ac:dyDescent="0.25">
      <c r="AM3840" s="2">
        <v>3837</v>
      </c>
      <c r="AN3840" s="33">
        <v>9.6708810215302664E-3</v>
      </c>
      <c r="AO3840" s="33">
        <v>7.5905132223507462E-4</v>
      </c>
    </row>
    <row r="3841" spans="39:41" x14ac:dyDescent="0.25">
      <c r="AM3841" s="2">
        <v>3838</v>
      </c>
      <c r="AN3841" s="33">
        <v>1.1599025884974102E-2</v>
      </c>
      <c r="AO3841" s="33">
        <v>1.2463647041966947E-3</v>
      </c>
    </row>
    <row r="3842" spans="39:41" x14ac:dyDescent="0.25">
      <c r="AM3842" s="2">
        <v>3839</v>
      </c>
      <c r="AN3842" s="33">
        <v>1.2226631146983072E-2</v>
      </c>
      <c r="AO3842" s="33">
        <v>5.8561415736344533E-4</v>
      </c>
    </row>
    <row r="3843" spans="39:41" x14ac:dyDescent="0.25">
      <c r="AM3843" s="2">
        <v>3840</v>
      </c>
      <c r="AN3843" s="33">
        <v>1.4366319581188034E-2</v>
      </c>
      <c r="AO3843" s="33">
        <v>9.2629630806580459E-4</v>
      </c>
    </row>
    <row r="3844" spans="39:41" x14ac:dyDescent="0.25">
      <c r="AM3844" s="2">
        <v>3841</v>
      </c>
      <c r="AN3844" s="33">
        <v>1.1907116064154916E-2</v>
      </c>
      <c r="AO3844" s="33">
        <v>7.3151051894166947E-4</v>
      </c>
    </row>
    <row r="3845" spans="39:41" x14ac:dyDescent="0.25">
      <c r="AM3845" s="2">
        <v>3842</v>
      </c>
      <c r="AN3845" s="33">
        <v>1.0585170521487042E-2</v>
      </c>
      <c r="AO3845" s="33">
        <v>5.1512524365593664E-4</v>
      </c>
    </row>
    <row r="3846" spans="39:41" x14ac:dyDescent="0.25">
      <c r="AM3846" s="2">
        <v>3843</v>
      </c>
      <c r="AN3846" s="33">
        <v>1.2220004430483567E-2</v>
      </c>
      <c r="AO3846" s="33">
        <v>9.1669542519624359E-4</v>
      </c>
    </row>
    <row r="3847" spans="39:41" x14ac:dyDescent="0.25">
      <c r="AM3847" s="2">
        <v>3844</v>
      </c>
      <c r="AN3847" s="33">
        <v>1.4145217914542017E-2</v>
      </c>
      <c r="AO3847" s="33">
        <v>1.1078671398048654E-3</v>
      </c>
    </row>
    <row r="3848" spans="39:41" x14ac:dyDescent="0.25">
      <c r="AM3848" s="2">
        <v>3845</v>
      </c>
      <c r="AN3848" s="33">
        <v>9.6580373175776391E-3</v>
      </c>
      <c r="AO3848" s="33">
        <v>6.5727908304196705E-4</v>
      </c>
    </row>
    <row r="3849" spans="39:41" x14ac:dyDescent="0.25">
      <c r="AM3849" s="2">
        <v>3846</v>
      </c>
      <c r="AN3849" s="33">
        <v>1.0530142023903429E-2</v>
      </c>
      <c r="AO3849" s="33">
        <v>4.650188678875145E-4</v>
      </c>
    </row>
    <row r="3850" spans="39:41" x14ac:dyDescent="0.25">
      <c r="AM3850" s="2">
        <v>3847</v>
      </c>
      <c r="AN3850" s="33">
        <v>1.2217082789542387E-2</v>
      </c>
      <c r="AO3850" s="33">
        <v>9.8794125405876317E-4</v>
      </c>
    </row>
    <row r="3851" spans="39:41" x14ac:dyDescent="0.25">
      <c r="AM3851" s="2">
        <v>3848</v>
      </c>
      <c r="AN3851" s="33">
        <v>1.2239414574432004E-2</v>
      </c>
      <c r="AO3851" s="33">
        <v>9.6997654112997633E-4</v>
      </c>
    </row>
    <row r="3852" spans="39:41" x14ac:dyDescent="0.25">
      <c r="AM3852" s="2">
        <v>3849</v>
      </c>
      <c r="AN3852" s="33">
        <v>1.162050869693579E-2</v>
      </c>
      <c r="AO3852" s="33">
        <v>1.1568094490572265E-3</v>
      </c>
    </row>
    <row r="3853" spans="39:41" x14ac:dyDescent="0.25">
      <c r="AM3853" s="2">
        <v>3850</v>
      </c>
      <c r="AN3853" s="33">
        <v>9.1838879659262903E-3</v>
      </c>
      <c r="AO3853" s="33">
        <v>8.7358662779866807E-4</v>
      </c>
    </row>
    <row r="3854" spans="39:41" x14ac:dyDescent="0.25">
      <c r="AM3854" s="2">
        <v>3851</v>
      </c>
      <c r="AN3854" s="33">
        <v>1.2742801422059677E-2</v>
      </c>
      <c r="AO3854" s="33">
        <v>1.0807350277917574E-3</v>
      </c>
    </row>
    <row r="3855" spans="39:41" x14ac:dyDescent="0.25">
      <c r="AM3855" s="2">
        <v>3852</v>
      </c>
      <c r="AN3855" s="33">
        <v>1.2664689621408926E-2</v>
      </c>
      <c r="AO3855" s="33">
        <v>1.1996312088175217E-3</v>
      </c>
    </row>
    <row r="3856" spans="39:41" x14ac:dyDescent="0.25">
      <c r="AM3856" s="2">
        <v>3853</v>
      </c>
      <c r="AN3856" s="33">
        <v>1.1823979115992518E-2</v>
      </c>
      <c r="AO3856" s="33">
        <v>1.0734773677367026E-3</v>
      </c>
    </row>
    <row r="3857" spans="39:41" x14ac:dyDescent="0.25">
      <c r="AM3857" s="2">
        <v>3854</v>
      </c>
      <c r="AN3857" s="33">
        <v>1.1420035133729018E-2</v>
      </c>
      <c r="AO3857" s="33">
        <v>8.5447041815655503E-4</v>
      </c>
    </row>
    <row r="3858" spans="39:41" x14ac:dyDescent="0.25">
      <c r="AM3858" s="2">
        <v>3855</v>
      </c>
      <c r="AN3858" s="33">
        <v>1.1394082475997132E-2</v>
      </c>
      <c r="AO3858" s="33">
        <v>6.3659917956059475E-4</v>
      </c>
    </row>
    <row r="3859" spans="39:41" x14ac:dyDescent="0.25">
      <c r="AM3859" s="2">
        <v>3856</v>
      </c>
      <c r="AN3859" s="33">
        <v>1.4200320437773898E-2</v>
      </c>
      <c r="AO3859" s="33">
        <v>8.4874086373420401E-4</v>
      </c>
    </row>
    <row r="3860" spans="39:41" x14ac:dyDescent="0.25">
      <c r="AM3860" s="2">
        <v>3857</v>
      </c>
      <c r="AN3860" s="33">
        <v>1.307000803537863E-2</v>
      </c>
      <c r="AO3860" s="33">
        <v>1.188273394435789E-3</v>
      </c>
    </row>
    <row r="3861" spans="39:41" x14ac:dyDescent="0.25">
      <c r="AM3861" s="2">
        <v>3858</v>
      </c>
      <c r="AN3861" s="33">
        <v>1.2465461833239612E-2</v>
      </c>
      <c r="AO3861" s="33">
        <v>1.232260826242768E-3</v>
      </c>
    </row>
    <row r="3862" spans="39:41" x14ac:dyDescent="0.25">
      <c r="AM3862" s="2">
        <v>3859</v>
      </c>
      <c r="AN3862" s="33">
        <v>1.0511669196296623E-2</v>
      </c>
      <c r="AO3862" s="33">
        <v>5.0077744152557337E-4</v>
      </c>
    </row>
    <row r="3863" spans="39:41" x14ac:dyDescent="0.25">
      <c r="AM3863" s="2">
        <v>3860</v>
      </c>
      <c r="AN3863" s="33">
        <v>1.0870523240936243E-2</v>
      </c>
      <c r="AO3863" s="33">
        <v>7.5923849898687631E-4</v>
      </c>
    </row>
    <row r="3864" spans="39:41" x14ac:dyDescent="0.25">
      <c r="AM3864" s="2">
        <v>3861</v>
      </c>
      <c r="AN3864" s="33">
        <v>1.1678249332900714E-2</v>
      </c>
      <c r="AO3864" s="33">
        <v>1.0666293828667723E-3</v>
      </c>
    </row>
    <row r="3865" spans="39:41" x14ac:dyDescent="0.25">
      <c r="AM3865" s="2">
        <v>3862</v>
      </c>
      <c r="AN3865" s="33">
        <v>1.3034602620499243E-2</v>
      </c>
      <c r="AO3865" s="33">
        <v>6.922320675974168E-4</v>
      </c>
    </row>
    <row r="3866" spans="39:41" x14ac:dyDescent="0.25">
      <c r="AM3866" s="2">
        <v>3863</v>
      </c>
      <c r="AN3866" s="33">
        <v>1.1977193023411593E-2</v>
      </c>
      <c r="AO3866" s="33">
        <v>7.9961664161827821E-4</v>
      </c>
    </row>
    <row r="3867" spans="39:41" x14ac:dyDescent="0.25">
      <c r="AM3867" s="2">
        <v>3864</v>
      </c>
      <c r="AN3867" s="33">
        <v>9.9223763840905563E-3</v>
      </c>
      <c r="AO3867" s="33">
        <v>5.2630977517123393E-4</v>
      </c>
    </row>
    <row r="3868" spans="39:41" x14ac:dyDescent="0.25">
      <c r="AM3868" s="2">
        <v>3865</v>
      </c>
      <c r="AN3868" s="33">
        <v>1.0811547922399339E-2</v>
      </c>
      <c r="AO3868" s="33">
        <v>6.363349423354883E-4</v>
      </c>
    </row>
    <row r="3869" spans="39:41" x14ac:dyDescent="0.25">
      <c r="AM3869" s="2">
        <v>3866</v>
      </c>
      <c r="AN3869" s="33">
        <v>1.3249639112916621E-2</v>
      </c>
      <c r="AO3869" s="33">
        <v>7.073294906123302E-4</v>
      </c>
    </row>
    <row r="3870" spans="39:41" x14ac:dyDescent="0.25">
      <c r="AM3870" s="2">
        <v>3867</v>
      </c>
      <c r="AN3870" s="33">
        <v>1.1058817442895896E-2</v>
      </c>
      <c r="AO3870" s="33">
        <v>9.216924830934886E-4</v>
      </c>
    </row>
    <row r="3871" spans="39:41" x14ac:dyDescent="0.25">
      <c r="AM3871" s="2">
        <v>3868</v>
      </c>
      <c r="AN3871" s="33">
        <v>1.2315446303017523E-2</v>
      </c>
      <c r="AO3871" s="33">
        <v>1.1541950717716789E-3</v>
      </c>
    </row>
    <row r="3872" spans="39:41" x14ac:dyDescent="0.25">
      <c r="AM3872" s="2">
        <v>3869</v>
      </c>
      <c r="AN3872" s="33">
        <v>9.9911139407470456E-3</v>
      </c>
      <c r="AO3872" s="33">
        <v>7.9679705260488586E-4</v>
      </c>
    </row>
    <row r="3873" spans="39:41" x14ac:dyDescent="0.25">
      <c r="AM3873" s="2">
        <v>3870</v>
      </c>
      <c r="AN3873" s="33">
        <v>9.9435500386644577E-3</v>
      </c>
      <c r="AO3873" s="33">
        <v>3.9744716091002363E-4</v>
      </c>
    </row>
    <row r="3874" spans="39:41" x14ac:dyDescent="0.25">
      <c r="AM3874" s="2">
        <v>3871</v>
      </c>
      <c r="AN3874" s="33">
        <v>1.1249973779165718E-2</v>
      </c>
      <c r="AO3874" s="33">
        <v>8.9142553766298374E-4</v>
      </c>
    </row>
    <row r="3875" spans="39:41" x14ac:dyDescent="0.25">
      <c r="AM3875" s="2">
        <v>3872</v>
      </c>
      <c r="AN3875" s="33">
        <v>9.5313887030432989E-3</v>
      </c>
      <c r="AO3875" s="33">
        <v>2.981342937199232E-4</v>
      </c>
    </row>
    <row r="3876" spans="39:41" x14ac:dyDescent="0.25">
      <c r="AM3876" s="2">
        <v>3873</v>
      </c>
      <c r="AN3876" s="33">
        <v>9.9747220087037028E-3</v>
      </c>
      <c r="AO3876" s="33">
        <v>5.2277308664986527E-4</v>
      </c>
    </row>
    <row r="3877" spans="39:41" x14ac:dyDescent="0.25">
      <c r="AM3877" s="2">
        <v>3874</v>
      </c>
      <c r="AN3877" s="33">
        <v>1.0080937762950871E-2</v>
      </c>
      <c r="AO3877" s="33">
        <v>4.9537109088263441E-4</v>
      </c>
    </row>
    <row r="3878" spans="39:41" x14ac:dyDescent="0.25">
      <c r="AM3878" s="2">
        <v>3875</v>
      </c>
      <c r="AN3878" s="33">
        <v>9.6220506585702366E-3</v>
      </c>
      <c r="AO3878" s="33">
        <v>7.4841281130323711E-4</v>
      </c>
    </row>
    <row r="3879" spans="39:41" x14ac:dyDescent="0.25">
      <c r="AM3879" s="2">
        <v>3876</v>
      </c>
      <c r="AN3879" s="33">
        <v>1.0295915354342237E-2</v>
      </c>
      <c r="AO3879" s="33">
        <v>7.4469914242747892E-4</v>
      </c>
    </row>
    <row r="3880" spans="39:41" x14ac:dyDescent="0.25">
      <c r="AM3880" s="2">
        <v>3877</v>
      </c>
      <c r="AN3880" s="33">
        <v>1.0472175200289398E-2</v>
      </c>
      <c r="AO3880" s="33">
        <v>5.6461121298088024E-4</v>
      </c>
    </row>
    <row r="3881" spans="39:41" x14ac:dyDescent="0.25">
      <c r="AM3881" s="2">
        <v>3878</v>
      </c>
      <c r="AN3881" s="33">
        <v>1.2618575992011742E-2</v>
      </c>
      <c r="AO3881" s="33">
        <v>5.9118051725279416E-4</v>
      </c>
    </row>
    <row r="3882" spans="39:41" x14ac:dyDescent="0.25">
      <c r="AM3882" s="2">
        <v>3879</v>
      </c>
      <c r="AN3882" s="33">
        <v>1.1441854338597747E-2</v>
      </c>
      <c r="AO3882" s="33">
        <v>1.062759426513629E-3</v>
      </c>
    </row>
    <row r="3883" spans="39:41" x14ac:dyDescent="0.25">
      <c r="AM3883" s="2">
        <v>3880</v>
      </c>
      <c r="AN3883" s="33">
        <v>1.1249854968009206E-2</v>
      </c>
      <c r="AO3883" s="33">
        <v>8.5639928083334604E-4</v>
      </c>
    </row>
    <row r="3884" spans="39:41" x14ac:dyDescent="0.25">
      <c r="AM3884" s="2">
        <v>3881</v>
      </c>
      <c r="AN3884" s="33">
        <v>1.4435361531426738E-2</v>
      </c>
      <c r="AO3884" s="33">
        <v>1.3031312494872268E-3</v>
      </c>
    </row>
    <row r="3885" spans="39:41" x14ac:dyDescent="0.25">
      <c r="AM3885" s="2">
        <v>3882</v>
      </c>
      <c r="AN3885" s="33">
        <v>1.0649809807701386E-2</v>
      </c>
      <c r="AO3885" s="33">
        <v>8.7644350844341776E-4</v>
      </c>
    </row>
    <row r="3886" spans="39:41" x14ac:dyDescent="0.25">
      <c r="AM3886" s="2">
        <v>3883</v>
      </c>
      <c r="AN3886" s="33">
        <v>1.116087001169141E-2</v>
      </c>
      <c r="AO3886" s="33">
        <v>1.0326771401884193E-3</v>
      </c>
    </row>
    <row r="3887" spans="39:41" x14ac:dyDescent="0.25">
      <c r="AM3887" s="2">
        <v>3884</v>
      </c>
      <c r="AN3887" s="33">
        <v>1.001909193684869E-2</v>
      </c>
      <c r="AO3887" s="33">
        <v>5.4308596312906338E-4</v>
      </c>
    </row>
    <row r="3888" spans="39:41" x14ac:dyDescent="0.25">
      <c r="AM3888" s="2">
        <v>3885</v>
      </c>
      <c r="AN3888" s="33">
        <v>1.1873286097769362E-2</v>
      </c>
      <c r="AO3888" s="33">
        <v>1.0559877587767053E-3</v>
      </c>
    </row>
    <row r="3889" spans="39:41" x14ac:dyDescent="0.25">
      <c r="AM3889" s="2">
        <v>3886</v>
      </c>
      <c r="AN3889" s="33">
        <v>1.4516930094527843E-2</v>
      </c>
      <c r="AO3889" s="33">
        <v>1.1447246599942907E-3</v>
      </c>
    </row>
    <row r="3890" spans="39:41" x14ac:dyDescent="0.25">
      <c r="AM3890" s="2">
        <v>3887</v>
      </c>
      <c r="AN3890" s="33">
        <v>1.3010429865295098E-2</v>
      </c>
      <c r="AO3890" s="33">
        <v>1.1721186164353856E-3</v>
      </c>
    </row>
    <row r="3891" spans="39:41" x14ac:dyDescent="0.25">
      <c r="AM3891" s="2">
        <v>3888</v>
      </c>
      <c r="AN3891" s="33">
        <v>7.9736732946190467E-3</v>
      </c>
      <c r="AO3891" s="33">
        <v>4.9887271328036015E-4</v>
      </c>
    </row>
    <row r="3892" spans="39:41" x14ac:dyDescent="0.25">
      <c r="AM3892" s="2">
        <v>3889</v>
      </c>
      <c r="AN3892" s="33">
        <v>1.4916802997516684E-2</v>
      </c>
      <c r="AO3892" s="33">
        <v>1.2999461486327584E-3</v>
      </c>
    </row>
    <row r="3893" spans="39:41" x14ac:dyDescent="0.25">
      <c r="AM3893" s="2">
        <v>3890</v>
      </c>
      <c r="AN3893" s="33">
        <v>9.4316180045332237E-3</v>
      </c>
      <c r="AO3893" s="33">
        <v>3.6412636038512657E-4</v>
      </c>
    </row>
    <row r="3894" spans="39:41" x14ac:dyDescent="0.25">
      <c r="AM3894" s="2">
        <v>3891</v>
      </c>
      <c r="AN3894" s="33">
        <v>1.1424558806858486E-2</v>
      </c>
      <c r="AO3894" s="33">
        <v>7.3825048539130698E-4</v>
      </c>
    </row>
    <row r="3895" spans="39:41" x14ac:dyDescent="0.25">
      <c r="AM3895" s="2">
        <v>3892</v>
      </c>
      <c r="AN3895" s="33">
        <v>1.1492725454976463E-2</v>
      </c>
      <c r="AO3895" s="33">
        <v>4.8523057659409345E-4</v>
      </c>
    </row>
    <row r="3896" spans="39:41" x14ac:dyDescent="0.25">
      <c r="AM3896" s="2">
        <v>3893</v>
      </c>
      <c r="AN3896" s="33">
        <v>8.6288452747622316E-3</v>
      </c>
      <c r="AO3896" s="33">
        <v>5.4306467746978665E-4</v>
      </c>
    </row>
    <row r="3897" spans="39:41" x14ac:dyDescent="0.25">
      <c r="AM3897" s="2">
        <v>3894</v>
      </c>
      <c r="AN3897" s="33">
        <v>9.5930961657087529E-3</v>
      </c>
      <c r="AO3897" s="33">
        <v>7.3991511433308473E-4</v>
      </c>
    </row>
    <row r="3898" spans="39:41" x14ac:dyDescent="0.25">
      <c r="AM3898" s="2">
        <v>3895</v>
      </c>
      <c r="AN3898" s="33">
        <v>1.5035473818094591E-2</v>
      </c>
      <c r="AO3898" s="33">
        <v>1.0139795012092095E-3</v>
      </c>
    </row>
    <row r="3899" spans="39:41" x14ac:dyDescent="0.25">
      <c r="AM3899" s="2">
        <v>3896</v>
      </c>
      <c r="AN3899" s="33">
        <v>9.4536678128125176E-3</v>
      </c>
      <c r="AO3899" s="33">
        <v>5.5226281428638472E-4</v>
      </c>
    </row>
    <row r="3900" spans="39:41" x14ac:dyDescent="0.25">
      <c r="AM3900" s="2">
        <v>3897</v>
      </c>
      <c r="AN3900" s="33">
        <v>1.0781785066234534E-2</v>
      </c>
      <c r="AO3900" s="33">
        <v>1.9685112254546407E-4</v>
      </c>
    </row>
    <row r="3901" spans="39:41" x14ac:dyDescent="0.25">
      <c r="AM3901" s="2">
        <v>3898</v>
      </c>
      <c r="AN3901" s="33">
        <v>1.4581553061626088E-2</v>
      </c>
      <c r="AO3901" s="33">
        <v>1.4159118264407528E-3</v>
      </c>
    </row>
    <row r="3902" spans="39:41" x14ac:dyDescent="0.25">
      <c r="AM3902" s="2">
        <v>3899</v>
      </c>
      <c r="AN3902" s="33">
        <v>1.4372135703405417E-2</v>
      </c>
      <c r="AO3902" s="33">
        <v>1.3791609129068961E-3</v>
      </c>
    </row>
    <row r="3903" spans="39:41" x14ac:dyDescent="0.25">
      <c r="AM3903" s="2">
        <v>3900</v>
      </c>
      <c r="AN3903" s="33">
        <v>9.6113913283658349E-3</v>
      </c>
      <c r="AO3903" s="33">
        <v>5.7563258682657493E-4</v>
      </c>
    </row>
    <row r="3904" spans="39:41" x14ac:dyDescent="0.25">
      <c r="AM3904" s="2">
        <v>3901</v>
      </c>
      <c r="AN3904" s="33">
        <v>1.2032410477079871E-2</v>
      </c>
      <c r="AO3904" s="33">
        <v>6.7847517885809261E-4</v>
      </c>
    </row>
    <row r="3905" spans="39:41" x14ac:dyDescent="0.25">
      <c r="AM3905" s="2">
        <v>3902</v>
      </c>
      <c r="AN3905" s="33">
        <v>1.11743396524298E-2</v>
      </c>
      <c r="AO3905" s="33">
        <v>7.3860944205009975E-4</v>
      </c>
    </row>
    <row r="3906" spans="39:41" x14ac:dyDescent="0.25">
      <c r="AM3906" s="2">
        <v>3903</v>
      </c>
      <c r="AN3906" s="33">
        <v>9.4440245951935009E-3</v>
      </c>
      <c r="AO3906" s="33">
        <v>7.6301420519677104E-4</v>
      </c>
    </row>
    <row r="3907" spans="39:41" x14ac:dyDescent="0.25">
      <c r="AM3907" s="2">
        <v>3904</v>
      </c>
      <c r="AN3907" s="33">
        <v>9.4215239347156428E-3</v>
      </c>
      <c r="AO3907" s="33">
        <v>8.0345137935970614E-4</v>
      </c>
    </row>
    <row r="3908" spans="39:41" x14ac:dyDescent="0.25">
      <c r="AM3908" s="2">
        <v>3905</v>
      </c>
      <c r="AN3908" s="33">
        <v>1.1968594407553384E-2</v>
      </c>
      <c r="AO3908" s="33">
        <v>5.833349305414511E-4</v>
      </c>
    </row>
    <row r="3909" spans="39:41" x14ac:dyDescent="0.25">
      <c r="AM3909" s="2">
        <v>3906</v>
      </c>
      <c r="AN3909" s="33">
        <v>1.1295544214709435E-2</v>
      </c>
      <c r="AO3909" s="33">
        <v>7.6303678595074668E-4</v>
      </c>
    </row>
    <row r="3910" spans="39:41" x14ac:dyDescent="0.25">
      <c r="AM3910" s="2">
        <v>3907</v>
      </c>
      <c r="AN3910" s="33">
        <v>1.1828802556720497E-2</v>
      </c>
      <c r="AO3910" s="33">
        <v>8.9030205071772086E-4</v>
      </c>
    </row>
    <row r="3911" spans="39:41" x14ac:dyDescent="0.25">
      <c r="AM3911" s="2">
        <v>3908</v>
      </c>
      <c r="AN3911" s="33">
        <v>1.3271742950868413E-2</v>
      </c>
      <c r="AO3911" s="33">
        <v>7.5947624827337791E-4</v>
      </c>
    </row>
    <row r="3912" spans="39:41" x14ac:dyDescent="0.25">
      <c r="AM3912" s="2">
        <v>3909</v>
      </c>
      <c r="AN3912" s="33">
        <v>1.1833688841888896E-2</v>
      </c>
      <c r="AO3912" s="33">
        <v>7.8191425162297114E-4</v>
      </c>
    </row>
    <row r="3913" spans="39:41" x14ac:dyDescent="0.25">
      <c r="AM3913" s="2">
        <v>3910</v>
      </c>
      <c r="AN3913" s="33">
        <v>1.2269379007273928E-2</v>
      </c>
      <c r="AO3913" s="33">
        <v>1.0867422121450864E-3</v>
      </c>
    </row>
    <row r="3914" spans="39:41" x14ac:dyDescent="0.25">
      <c r="AM3914" s="2">
        <v>3911</v>
      </c>
      <c r="AN3914" s="33">
        <v>1.2283078032485439E-2</v>
      </c>
      <c r="AO3914" s="33">
        <v>8.4947843037309868E-4</v>
      </c>
    </row>
    <row r="3915" spans="39:41" x14ac:dyDescent="0.25">
      <c r="AM3915" s="2">
        <v>3912</v>
      </c>
      <c r="AN3915" s="33">
        <v>1.0482804210893889E-2</v>
      </c>
      <c r="AO3915" s="33">
        <v>8.0234350762743375E-4</v>
      </c>
    </row>
    <row r="3916" spans="39:41" x14ac:dyDescent="0.25">
      <c r="AM3916" s="2">
        <v>3913</v>
      </c>
      <c r="AN3916" s="33">
        <v>1.0224211629343952E-2</v>
      </c>
      <c r="AO3916" s="33">
        <v>7.1104224296633808E-4</v>
      </c>
    </row>
    <row r="3917" spans="39:41" x14ac:dyDescent="0.25">
      <c r="AM3917" s="2">
        <v>3914</v>
      </c>
      <c r="AN3917" s="33">
        <v>1.1726875921074707E-2</v>
      </c>
      <c r="AO3917" s="33">
        <v>9.9745919462715946E-4</v>
      </c>
    </row>
    <row r="3918" spans="39:41" x14ac:dyDescent="0.25">
      <c r="AM3918" s="2">
        <v>3915</v>
      </c>
      <c r="AN3918" s="33">
        <v>1.3796957477854603E-2</v>
      </c>
      <c r="AO3918" s="33">
        <v>1.1792166569690426E-3</v>
      </c>
    </row>
    <row r="3919" spans="39:41" x14ac:dyDescent="0.25">
      <c r="AM3919" s="2">
        <v>3916</v>
      </c>
      <c r="AN3919" s="33">
        <v>1.2729930009689458E-2</v>
      </c>
      <c r="AO3919" s="33">
        <v>1.196936736484954E-3</v>
      </c>
    </row>
    <row r="3920" spans="39:41" x14ac:dyDescent="0.25">
      <c r="AM3920" s="2">
        <v>3917</v>
      </c>
      <c r="AN3920" s="33">
        <v>1.2675226603505022E-2</v>
      </c>
      <c r="AO3920" s="33">
        <v>9.2118973153253311E-4</v>
      </c>
    </row>
    <row r="3921" spans="39:41" x14ac:dyDescent="0.25">
      <c r="AM3921" s="2">
        <v>3918</v>
      </c>
      <c r="AN3921" s="33">
        <v>1.6541456605320047E-2</v>
      </c>
      <c r="AO3921" s="33">
        <v>1.5531641272384764E-3</v>
      </c>
    </row>
    <row r="3922" spans="39:41" x14ac:dyDescent="0.25">
      <c r="AM3922" s="2">
        <v>3919</v>
      </c>
      <c r="AN3922" s="33">
        <v>1.0886217298547834E-2</v>
      </c>
      <c r="AO3922" s="33">
        <v>1.1056928735106871E-3</v>
      </c>
    </row>
    <row r="3923" spans="39:41" x14ac:dyDescent="0.25">
      <c r="AM3923" s="2">
        <v>3920</v>
      </c>
      <c r="AN3923" s="33">
        <v>1.1046257799946018E-2</v>
      </c>
      <c r="AO3923" s="33">
        <v>3.2122762411053245E-4</v>
      </c>
    </row>
    <row r="3924" spans="39:41" x14ac:dyDescent="0.25">
      <c r="AM3924" s="2">
        <v>3921</v>
      </c>
      <c r="AN3924" s="33">
        <v>8.5965269893080957E-3</v>
      </c>
      <c r="AO3924" s="33">
        <v>5.3874266702506651E-4</v>
      </c>
    </row>
    <row r="3925" spans="39:41" x14ac:dyDescent="0.25">
      <c r="AM3925" s="2">
        <v>3922</v>
      </c>
      <c r="AN3925" s="33">
        <v>1.375410091325322E-2</v>
      </c>
      <c r="AO3925" s="33">
        <v>8.2560591105028023E-4</v>
      </c>
    </row>
    <row r="3926" spans="39:41" x14ac:dyDescent="0.25">
      <c r="AM3926" s="2">
        <v>3923</v>
      </c>
      <c r="AN3926" s="33">
        <v>1.1965629247967789E-2</v>
      </c>
      <c r="AO3926" s="33">
        <v>7.775918636154707E-4</v>
      </c>
    </row>
    <row r="3927" spans="39:41" x14ac:dyDescent="0.25">
      <c r="AM3927" s="2">
        <v>3924</v>
      </c>
      <c r="AN3927" s="33">
        <v>1.0448139207325126E-2</v>
      </c>
      <c r="AO3927" s="33">
        <v>7.0574596251725549E-4</v>
      </c>
    </row>
    <row r="3928" spans="39:41" x14ac:dyDescent="0.25">
      <c r="AM3928" s="2">
        <v>3925</v>
      </c>
      <c r="AN3928" s="33">
        <v>1.2699539986638067E-2</v>
      </c>
      <c r="AO3928" s="33">
        <v>1.2804229028833066E-3</v>
      </c>
    </row>
    <row r="3929" spans="39:41" x14ac:dyDescent="0.25">
      <c r="AM3929" s="2">
        <v>3926</v>
      </c>
      <c r="AN3929" s="33">
        <v>1.1501148299337308E-2</v>
      </c>
      <c r="AO3929" s="33">
        <v>9.4378057170831607E-4</v>
      </c>
    </row>
    <row r="3930" spans="39:41" x14ac:dyDescent="0.25">
      <c r="AM3930" s="2">
        <v>3927</v>
      </c>
      <c r="AN3930" s="33">
        <v>1.3683131486988818E-2</v>
      </c>
      <c r="AO3930" s="33">
        <v>1.2386787803825643E-3</v>
      </c>
    </row>
    <row r="3931" spans="39:41" x14ac:dyDescent="0.25">
      <c r="AM3931" s="2">
        <v>3928</v>
      </c>
      <c r="AN3931" s="33">
        <v>1.1570326079805704E-2</v>
      </c>
      <c r="AO3931" s="33">
        <v>1.4825316803675497E-4</v>
      </c>
    </row>
    <row r="3932" spans="39:41" x14ac:dyDescent="0.25">
      <c r="AM3932" s="2">
        <v>3929</v>
      </c>
      <c r="AN3932" s="33">
        <v>1.1178216732768385E-2</v>
      </c>
      <c r="AO3932" s="33">
        <v>9.3221412500452171E-4</v>
      </c>
    </row>
    <row r="3933" spans="39:41" x14ac:dyDescent="0.25">
      <c r="AM3933" s="2">
        <v>3930</v>
      </c>
      <c r="AN3933" s="33">
        <v>9.1050583231638074E-3</v>
      </c>
      <c r="AO3933" s="33">
        <v>7.0341570836827234E-4</v>
      </c>
    </row>
    <row r="3934" spans="39:41" x14ac:dyDescent="0.25">
      <c r="AM3934" s="2">
        <v>3931</v>
      </c>
      <c r="AN3934" s="33">
        <v>1.3731554507716119E-2</v>
      </c>
      <c r="AO3934" s="33">
        <v>1.2892277269875864E-3</v>
      </c>
    </row>
    <row r="3935" spans="39:41" x14ac:dyDescent="0.25">
      <c r="AM3935" s="2">
        <v>3932</v>
      </c>
      <c r="AN3935" s="33">
        <v>1.2532240968100634E-2</v>
      </c>
      <c r="AO3935" s="33">
        <v>8.7209557091066535E-4</v>
      </c>
    </row>
    <row r="3936" spans="39:41" x14ac:dyDescent="0.25">
      <c r="AM3936" s="2">
        <v>3933</v>
      </c>
      <c r="AN3936" s="33">
        <v>9.3730405210510782E-3</v>
      </c>
      <c r="AO3936" s="33">
        <v>4.5035702346947801E-4</v>
      </c>
    </row>
    <row r="3937" spans="39:41" x14ac:dyDescent="0.25">
      <c r="AM3937" s="2">
        <v>3934</v>
      </c>
      <c r="AN3937" s="33">
        <v>1.0199216991567027E-2</v>
      </c>
      <c r="AO3937" s="33">
        <v>6.6441719673204303E-4</v>
      </c>
    </row>
    <row r="3938" spans="39:41" x14ac:dyDescent="0.25">
      <c r="AM3938" s="2">
        <v>3935</v>
      </c>
      <c r="AN3938" s="33">
        <v>8.9296321088001614E-3</v>
      </c>
      <c r="AO3938" s="33">
        <v>3.4595797393379275E-4</v>
      </c>
    </row>
    <row r="3939" spans="39:41" x14ac:dyDescent="0.25">
      <c r="AM3939" s="2">
        <v>3936</v>
      </c>
      <c r="AN3939" s="33">
        <v>9.9397101338770198E-3</v>
      </c>
      <c r="AO3939" s="33">
        <v>6.2563719449605963E-4</v>
      </c>
    </row>
    <row r="3940" spans="39:41" x14ac:dyDescent="0.25">
      <c r="AM3940" s="2">
        <v>3937</v>
      </c>
      <c r="AN3940" s="33">
        <v>1.546175441249369E-2</v>
      </c>
      <c r="AO3940" s="33">
        <v>1.1846551553650309E-3</v>
      </c>
    </row>
    <row r="3941" spans="39:41" x14ac:dyDescent="0.25">
      <c r="AM3941" s="2">
        <v>3938</v>
      </c>
      <c r="AN3941" s="33">
        <v>1.3110471675970839E-2</v>
      </c>
      <c r="AO3941" s="33">
        <v>1.2268903008225585E-3</v>
      </c>
    </row>
    <row r="3942" spans="39:41" x14ac:dyDescent="0.25">
      <c r="AM3942" s="2">
        <v>3939</v>
      </c>
      <c r="AN3942" s="33">
        <v>1.3889401087449172E-2</v>
      </c>
      <c r="AO3942" s="33">
        <v>1.3712105648331194E-3</v>
      </c>
    </row>
    <row r="3943" spans="39:41" x14ac:dyDescent="0.25">
      <c r="AM3943" s="2">
        <v>3940</v>
      </c>
      <c r="AN3943" s="33">
        <v>1.2607188395432229E-2</v>
      </c>
      <c r="AO3943" s="33">
        <v>8.4776284543435279E-4</v>
      </c>
    </row>
    <row r="3944" spans="39:41" x14ac:dyDescent="0.25">
      <c r="AM3944" s="2">
        <v>3941</v>
      </c>
      <c r="AN3944" s="33">
        <v>1.149426078743588E-2</v>
      </c>
      <c r="AO3944" s="33">
        <v>9.6141749656291427E-4</v>
      </c>
    </row>
    <row r="3945" spans="39:41" x14ac:dyDescent="0.25">
      <c r="AM3945" s="2">
        <v>3942</v>
      </c>
      <c r="AN3945" s="33">
        <v>1.1105179263395047E-2</v>
      </c>
      <c r="AO3945" s="33">
        <v>7.2616856483438794E-4</v>
      </c>
    </row>
    <row r="3946" spans="39:41" x14ac:dyDescent="0.25">
      <c r="AM3946" s="2">
        <v>3943</v>
      </c>
      <c r="AN3946" s="33">
        <v>9.3935648910811846E-3</v>
      </c>
      <c r="AO3946" s="33">
        <v>3.3547423061087978E-4</v>
      </c>
    </row>
    <row r="3947" spans="39:41" x14ac:dyDescent="0.25">
      <c r="AM3947" s="2">
        <v>3944</v>
      </c>
      <c r="AN3947" s="33">
        <v>1.3152973851107041E-2</v>
      </c>
      <c r="AO3947" s="33">
        <v>8.463878196711699E-4</v>
      </c>
    </row>
    <row r="3948" spans="39:41" x14ac:dyDescent="0.25">
      <c r="AM3948" s="2">
        <v>3945</v>
      </c>
      <c r="AN3948" s="33">
        <v>1.0577816872628367E-2</v>
      </c>
      <c r="AO3948" s="33">
        <v>9.0652094908910295E-4</v>
      </c>
    </row>
    <row r="3949" spans="39:41" x14ac:dyDescent="0.25">
      <c r="AM3949" s="2">
        <v>3946</v>
      </c>
      <c r="AN3949" s="33">
        <v>1.4700148201669243E-2</v>
      </c>
      <c r="AO3949" s="33">
        <v>1.0216272135299656E-3</v>
      </c>
    </row>
    <row r="3950" spans="39:41" x14ac:dyDescent="0.25">
      <c r="AM3950" s="2">
        <v>3947</v>
      </c>
      <c r="AN3950" s="33">
        <v>1.1405710309510837E-2</v>
      </c>
      <c r="AO3950" s="33">
        <v>1.022324947228363E-3</v>
      </c>
    </row>
    <row r="3951" spans="39:41" x14ac:dyDescent="0.25">
      <c r="AM3951" s="2">
        <v>3948</v>
      </c>
      <c r="AN3951" s="33">
        <v>1.5851476639318327E-2</v>
      </c>
      <c r="AO3951" s="33">
        <v>1.2267028163875195E-3</v>
      </c>
    </row>
    <row r="3952" spans="39:41" x14ac:dyDescent="0.25">
      <c r="AM3952" s="2">
        <v>3949</v>
      </c>
      <c r="AN3952" s="33">
        <v>1.365527606955003E-2</v>
      </c>
      <c r="AO3952" s="33">
        <v>1.2968016360651506E-3</v>
      </c>
    </row>
    <row r="3953" spans="39:41" x14ac:dyDescent="0.25">
      <c r="AM3953" s="2">
        <v>3950</v>
      </c>
      <c r="AN3953" s="33">
        <v>1.1225180804037145E-2</v>
      </c>
      <c r="AO3953" s="33">
        <v>3.567031849603606E-4</v>
      </c>
    </row>
    <row r="3954" spans="39:41" x14ac:dyDescent="0.25">
      <c r="AM3954" s="2">
        <v>3951</v>
      </c>
      <c r="AN3954" s="33">
        <v>1.1778650127043664E-2</v>
      </c>
      <c r="AO3954" s="33">
        <v>6.8336211138422332E-4</v>
      </c>
    </row>
    <row r="3955" spans="39:41" x14ac:dyDescent="0.25">
      <c r="AM3955" s="2">
        <v>3952</v>
      </c>
      <c r="AN3955" s="33">
        <v>9.7213826630891276E-3</v>
      </c>
      <c r="AO3955" s="33">
        <v>6.2943483394551844E-4</v>
      </c>
    </row>
    <row r="3956" spans="39:41" x14ac:dyDescent="0.25">
      <c r="AM3956" s="2">
        <v>3953</v>
      </c>
      <c r="AN3956" s="33">
        <v>1.4025070488991889E-2</v>
      </c>
      <c r="AO3956" s="33">
        <v>1.1719757013948532E-3</v>
      </c>
    </row>
    <row r="3957" spans="39:41" x14ac:dyDescent="0.25">
      <c r="AM3957" s="2">
        <v>3954</v>
      </c>
      <c r="AN3957" s="33">
        <v>1.1854534573481956E-2</v>
      </c>
      <c r="AO3957" s="33">
        <v>3.183677910258541E-4</v>
      </c>
    </row>
    <row r="3958" spans="39:41" x14ac:dyDescent="0.25">
      <c r="AM3958" s="2">
        <v>3955</v>
      </c>
      <c r="AN3958" s="33">
        <v>1.2278721921012441E-2</v>
      </c>
      <c r="AO3958" s="33">
        <v>9.9187656368011998E-4</v>
      </c>
    </row>
    <row r="3959" spans="39:41" x14ac:dyDescent="0.25">
      <c r="AM3959" s="2">
        <v>3956</v>
      </c>
      <c r="AN3959" s="33">
        <v>1.2052343804623618E-2</v>
      </c>
      <c r="AO3959" s="33">
        <v>8.2002912595769285E-4</v>
      </c>
    </row>
    <row r="3960" spans="39:41" x14ac:dyDescent="0.25">
      <c r="AM3960" s="2">
        <v>3957</v>
      </c>
      <c r="AN3960" s="33">
        <v>1.1083811506134021E-2</v>
      </c>
      <c r="AO3960" s="33">
        <v>9.9741439727589845E-4</v>
      </c>
    </row>
    <row r="3961" spans="39:41" x14ac:dyDescent="0.25">
      <c r="AM3961" s="2">
        <v>3958</v>
      </c>
      <c r="AN3961" s="33">
        <v>1.0433857988774249E-2</v>
      </c>
      <c r="AO3961" s="33">
        <v>6.4332753783004565E-4</v>
      </c>
    </row>
    <row r="3962" spans="39:41" x14ac:dyDescent="0.25">
      <c r="AM3962" s="2">
        <v>3959</v>
      </c>
      <c r="AN3962" s="33">
        <v>1.5516977106759916E-2</v>
      </c>
      <c r="AO3962" s="33">
        <v>1.3606601719183974E-3</v>
      </c>
    </row>
    <row r="3963" spans="39:41" x14ac:dyDescent="0.25">
      <c r="AM3963" s="2">
        <v>3960</v>
      </c>
      <c r="AN3963" s="33">
        <v>1.4105979148355778E-2</v>
      </c>
      <c r="AO3963" s="33">
        <v>1.2689699483723475E-3</v>
      </c>
    </row>
    <row r="3964" spans="39:41" x14ac:dyDescent="0.25">
      <c r="AM3964" s="2">
        <v>3961</v>
      </c>
      <c r="AN3964" s="33">
        <v>1.4356623950213324E-2</v>
      </c>
      <c r="AO3964" s="33">
        <v>9.4091360085923935E-4</v>
      </c>
    </row>
    <row r="3965" spans="39:41" x14ac:dyDescent="0.25">
      <c r="AM3965" s="2">
        <v>3962</v>
      </c>
      <c r="AN3965" s="33">
        <v>9.7114553371388124E-3</v>
      </c>
      <c r="AO3965" s="33">
        <v>5.1623729132790842E-4</v>
      </c>
    </row>
    <row r="3966" spans="39:41" x14ac:dyDescent="0.25">
      <c r="AM3966" s="2">
        <v>3963</v>
      </c>
      <c r="AN3966" s="33">
        <v>1.2058856377694237E-2</v>
      </c>
      <c r="AO3966" s="33">
        <v>6.3431823299582156E-4</v>
      </c>
    </row>
    <row r="3967" spans="39:41" x14ac:dyDescent="0.25">
      <c r="AM3967" s="2">
        <v>3964</v>
      </c>
      <c r="AN3967" s="33">
        <v>1.4166105160445138E-2</v>
      </c>
      <c r="AO3967" s="33">
        <v>1.2570541943629076E-3</v>
      </c>
    </row>
    <row r="3968" spans="39:41" x14ac:dyDescent="0.25">
      <c r="AM3968" s="2">
        <v>3965</v>
      </c>
      <c r="AN3968" s="33">
        <v>1.071279301116008E-2</v>
      </c>
      <c r="AO3968" s="33">
        <v>2.8174574183407764E-4</v>
      </c>
    </row>
    <row r="3969" spans="39:41" x14ac:dyDescent="0.25">
      <c r="AM3969" s="2">
        <v>3966</v>
      </c>
      <c r="AN3969" s="33">
        <v>1.1415306140578365E-2</v>
      </c>
      <c r="AO3969" s="33">
        <v>7.0827289589115144E-4</v>
      </c>
    </row>
    <row r="3970" spans="39:41" x14ac:dyDescent="0.25">
      <c r="AM3970" s="2">
        <v>3967</v>
      </c>
      <c r="AN3970" s="33">
        <v>1.0468804209193447E-2</v>
      </c>
      <c r="AO3970" s="33">
        <v>9.4006116486207306E-4</v>
      </c>
    </row>
    <row r="3971" spans="39:41" x14ac:dyDescent="0.25">
      <c r="AM3971" s="2">
        <v>3968</v>
      </c>
      <c r="AN3971" s="33">
        <v>1.3147984313094318E-2</v>
      </c>
      <c r="AO3971" s="33">
        <v>1.0254028344521631E-3</v>
      </c>
    </row>
    <row r="3972" spans="39:41" x14ac:dyDescent="0.25">
      <c r="AM3972" s="2">
        <v>3969</v>
      </c>
      <c r="AN3972" s="33">
        <v>9.7613464955910757E-3</v>
      </c>
      <c r="AO3972" s="33">
        <v>8.0154664523998513E-4</v>
      </c>
    </row>
    <row r="3973" spans="39:41" x14ac:dyDescent="0.25">
      <c r="AM3973" s="2">
        <v>3970</v>
      </c>
      <c r="AN3973" s="33">
        <v>1.3540169142586555E-2</v>
      </c>
      <c r="AO3973" s="33">
        <v>1.2710404489215624E-3</v>
      </c>
    </row>
    <row r="3974" spans="39:41" x14ac:dyDescent="0.25">
      <c r="AM3974" s="2">
        <v>3971</v>
      </c>
      <c r="AN3974" s="33">
        <v>1.4477403144701171E-2</v>
      </c>
      <c r="AO3974" s="33">
        <v>1.3737323402121149E-3</v>
      </c>
    </row>
    <row r="3975" spans="39:41" x14ac:dyDescent="0.25">
      <c r="AM3975" s="2">
        <v>3972</v>
      </c>
      <c r="AN3975" s="33">
        <v>9.9574095248940332E-3</v>
      </c>
      <c r="AO3975" s="33">
        <v>5.16096899204119E-4</v>
      </c>
    </row>
    <row r="3976" spans="39:41" x14ac:dyDescent="0.25">
      <c r="AM3976" s="2">
        <v>3973</v>
      </c>
      <c r="AN3976" s="33">
        <v>1.328035315599342E-2</v>
      </c>
      <c r="AO3976" s="33">
        <v>7.7130454600352158E-4</v>
      </c>
    </row>
    <row r="3977" spans="39:41" x14ac:dyDescent="0.25">
      <c r="AM3977" s="2">
        <v>3974</v>
      </c>
      <c r="AN3977" s="33">
        <v>1.2454501075676914E-2</v>
      </c>
      <c r="AO3977" s="33">
        <v>1.1377794463036791E-3</v>
      </c>
    </row>
    <row r="3978" spans="39:41" x14ac:dyDescent="0.25">
      <c r="AM3978" s="2">
        <v>3975</v>
      </c>
      <c r="AN3978" s="33">
        <v>8.7201081066270447E-3</v>
      </c>
      <c r="AO3978" s="33">
        <v>6.9987391762642325E-4</v>
      </c>
    </row>
    <row r="3979" spans="39:41" x14ac:dyDescent="0.25">
      <c r="AM3979" s="2">
        <v>3976</v>
      </c>
      <c r="AN3979" s="33">
        <v>1.3212980005568734E-2</v>
      </c>
      <c r="AO3979" s="33">
        <v>9.6718650263089576E-4</v>
      </c>
    </row>
    <row r="3980" spans="39:41" x14ac:dyDescent="0.25">
      <c r="AM3980" s="2">
        <v>3977</v>
      </c>
      <c r="AN3980" s="33">
        <v>1.1501475341336487E-2</v>
      </c>
      <c r="AO3980" s="33">
        <v>8.870330769667488E-4</v>
      </c>
    </row>
    <row r="3981" spans="39:41" x14ac:dyDescent="0.25">
      <c r="AM3981" s="2">
        <v>3978</v>
      </c>
      <c r="AN3981" s="33">
        <v>9.9901249185285618E-3</v>
      </c>
      <c r="AO3981" s="33">
        <v>8.5654192006089579E-4</v>
      </c>
    </row>
    <row r="3982" spans="39:41" x14ac:dyDescent="0.25">
      <c r="AM3982" s="2">
        <v>3979</v>
      </c>
      <c r="AN3982" s="33">
        <v>1.3489427356373132E-2</v>
      </c>
      <c r="AO3982" s="33">
        <v>2.6169521172275683E-4</v>
      </c>
    </row>
    <row r="3983" spans="39:41" x14ac:dyDescent="0.25">
      <c r="AM3983" s="2">
        <v>3980</v>
      </c>
      <c r="AN3983" s="33">
        <v>9.574925986580959E-3</v>
      </c>
      <c r="AO3983" s="33">
        <v>5.9136387671170076E-4</v>
      </c>
    </row>
    <row r="3984" spans="39:41" x14ac:dyDescent="0.25">
      <c r="AM3984" s="2">
        <v>3981</v>
      </c>
      <c r="AN3984" s="33">
        <v>1.0519561486744418E-2</v>
      </c>
      <c r="AO3984" s="33">
        <v>9.0169267485485987E-4</v>
      </c>
    </row>
    <row r="3985" spans="39:41" x14ac:dyDescent="0.25">
      <c r="AM3985" s="2">
        <v>3982</v>
      </c>
      <c r="AN3985" s="33">
        <v>1.2071392737809062E-2</v>
      </c>
      <c r="AO3985" s="33">
        <v>9.8833718659003069E-4</v>
      </c>
    </row>
    <row r="3986" spans="39:41" x14ac:dyDescent="0.25">
      <c r="AM3986" s="2">
        <v>3983</v>
      </c>
      <c r="AN3986" s="33">
        <v>1.1543132381772743E-2</v>
      </c>
      <c r="AO3986" s="33">
        <v>5.5628133477095634E-4</v>
      </c>
    </row>
    <row r="3987" spans="39:41" x14ac:dyDescent="0.25">
      <c r="AM3987" s="2">
        <v>3984</v>
      </c>
      <c r="AN3987" s="33">
        <v>1.6301380490320393E-2</v>
      </c>
      <c r="AO3987" s="33">
        <v>1.4019326251450807E-3</v>
      </c>
    </row>
    <row r="3988" spans="39:41" x14ac:dyDescent="0.25">
      <c r="AM3988" s="2">
        <v>3985</v>
      </c>
      <c r="AN3988" s="33">
        <v>1.4509278164344547E-2</v>
      </c>
      <c r="AO3988" s="33">
        <v>1.1836728269143252E-3</v>
      </c>
    </row>
    <row r="3989" spans="39:41" x14ac:dyDescent="0.25">
      <c r="AM3989" s="2">
        <v>3986</v>
      </c>
      <c r="AN3989" s="33">
        <v>1.1973988705802088E-2</v>
      </c>
      <c r="AO3989" s="33">
        <v>1.1583997939111032E-3</v>
      </c>
    </row>
    <row r="3990" spans="39:41" x14ac:dyDescent="0.25">
      <c r="AM3990" s="2">
        <v>3987</v>
      </c>
      <c r="AN3990" s="33">
        <v>1.369708205574984E-2</v>
      </c>
      <c r="AO3990" s="33">
        <v>1.2841795419070337E-3</v>
      </c>
    </row>
    <row r="3991" spans="39:41" x14ac:dyDescent="0.25">
      <c r="AM3991" s="2">
        <v>3988</v>
      </c>
      <c r="AN3991" s="33">
        <v>1.6354462833100724E-2</v>
      </c>
      <c r="AO3991" s="33">
        <v>1.5500209629455231E-3</v>
      </c>
    </row>
    <row r="3992" spans="39:41" x14ac:dyDescent="0.25">
      <c r="AM3992" s="2">
        <v>3989</v>
      </c>
      <c r="AN3992" s="33">
        <v>1.1692929445482354E-2</v>
      </c>
      <c r="AO3992" s="33">
        <v>1.040245437102824E-3</v>
      </c>
    </row>
    <row r="3993" spans="39:41" x14ac:dyDescent="0.25">
      <c r="AM3993" s="2">
        <v>3990</v>
      </c>
      <c r="AN3993" s="33">
        <v>1.2605054923785617E-2</v>
      </c>
      <c r="AO3993" s="33">
        <v>8.1962783020051431E-4</v>
      </c>
    </row>
    <row r="3994" spans="39:41" x14ac:dyDescent="0.25">
      <c r="AM3994" s="2">
        <v>3991</v>
      </c>
      <c r="AN3994" s="33">
        <v>9.6559137797142605E-3</v>
      </c>
      <c r="AO3994" s="33">
        <v>7.2185194619738804E-4</v>
      </c>
    </row>
    <row r="3995" spans="39:41" x14ac:dyDescent="0.25">
      <c r="AM3995" s="2">
        <v>3992</v>
      </c>
      <c r="AN3995" s="33">
        <v>1.1474352290292996E-2</v>
      </c>
      <c r="AO3995" s="33">
        <v>8.4327888198317544E-4</v>
      </c>
    </row>
    <row r="3996" spans="39:41" x14ac:dyDescent="0.25">
      <c r="AM3996" s="2">
        <v>3993</v>
      </c>
      <c r="AN3996" s="33">
        <v>1.2264374969235665E-2</v>
      </c>
      <c r="AO3996" s="33">
        <v>1.1449175603977617E-3</v>
      </c>
    </row>
    <row r="3997" spans="39:41" x14ac:dyDescent="0.25">
      <c r="AM3997" s="2">
        <v>3994</v>
      </c>
      <c r="AN3997" s="33">
        <v>1.469614285485025E-2</v>
      </c>
      <c r="AO3997" s="33">
        <v>8.8932540379689029E-4</v>
      </c>
    </row>
    <row r="3998" spans="39:41" x14ac:dyDescent="0.25">
      <c r="AM3998" s="2">
        <v>3995</v>
      </c>
      <c r="AN3998" s="33">
        <v>1.1138717942462222E-2</v>
      </c>
      <c r="AO3998" s="33">
        <v>9.4269336323969959E-4</v>
      </c>
    </row>
    <row r="3999" spans="39:41" x14ac:dyDescent="0.25">
      <c r="AM3999" s="2">
        <v>3996</v>
      </c>
      <c r="AN3999" s="33">
        <v>1.1151794734270398E-2</v>
      </c>
      <c r="AO3999" s="33">
        <v>7.6268636357548249E-4</v>
      </c>
    </row>
    <row r="4000" spans="39:41" x14ac:dyDescent="0.25">
      <c r="AM4000" s="2">
        <v>3997</v>
      </c>
      <c r="AN4000" s="33">
        <v>1.3695315759344667E-2</v>
      </c>
      <c r="AO4000" s="33">
        <v>6.8291652624043653E-4</v>
      </c>
    </row>
    <row r="4001" spans="39:41" x14ac:dyDescent="0.25">
      <c r="AM4001" s="2">
        <v>3998</v>
      </c>
      <c r="AN4001" s="33">
        <v>1.10864036423397E-2</v>
      </c>
      <c r="AO4001" s="33">
        <v>6.1422240162344402E-4</v>
      </c>
    </row>
    <row r="4002" spans="39:41" x14ac:dyDescent="0.25">
      <c r="AM4002" s="2">
        <v>3999</v>
      </c>
      <c r="AN4002" s="33">
        <v>1.2357393532601136E-2</v>
      </c>
      <c r="AO4002" s="33">
        <v>1.177484261721424E-3</v>
      </c>
    </row>
    <row r="4003" spans="39:41" x14ac:dyDescent="0.25">
      <c r="AM4003" s="2">
        <v>4000</v>
      </c>
      <c r="AN4003" s="33">
        <v>1.0923563632729566E-2</v>
      </c>
      <c r="AO4003" s="33">
        <v>4.9445861982754197E-4</v>
      </c>
    </row>
    <row r="4004" spans="39:41" x14ac:dyDescent="0.25">
      <c r="AM4004" s="2">
        <v>4001</v>
      </c>
      <c r="AN4004" s="33">
        <v>1.0591438359862093E-2</v>
      </c>
      <c r="AO4004" s="33">
        <v>1.0918141529259406E-3</v>
      </c>
    </row>
    <row r="4005" spans="39:41" x14ac:dyDescent="0.25">
      <c r="AM4005" s="2">
        <v>4002</v>
      </c>
      <c r="AN4005" s="33">
        <v>1.2270341233872962E-2</v>
      </c>
      <c r="AO4005" s="33">
        <v>1.6475388477073011E-4</v>
      </c>
    </row>
    <row r="4006" spans="39:41" x14ac:dyDescent="0.25">
      <c r="AM4006" s="2">
        <v>4003</v>
      </c>
      <c r="AN4006" s="33">
        <v>1.2132459821027262E-2</v>
      </c>
      <c r="AO4006" s="33">
        <v>1.2149810180049285E-3</v>
      </c>
    </row>
    <row r="4007" spans="39:41" x14ac:dyDescent="0.25">
      <c r="AM4007" s="2">
        <v>4004</v>
      </c>
      <c r="AN4007" s="33">
        <v>1.3874324345213707E-2</v>
      </c>
      <c r="AO4007" s="33">
        <v>1.1464888962246962E-3</v>
      </c>
    </row>
    <row r="4008" spans="39:41" x14ac:dyDescent="0.25">
      <c r="AM4008" s="2">
        <v>4005</v>
      </c>
      <c r="AN4008" s="33">
        <v>1.5434278878856162E-2</v>
      </c>
      <c r="AO4008" s="33">
        <v>1.0341031961523402E-3</v>
      </c>
    </row>
    <row r="4009" spans="39:41" x14ac:dyDescent="0.25">
      <c r="AM4009" s="2">
        <v>4006</v>
      </c>
      <c r="AN4009" s="33">
        <v>1.3689278517861723E-2</v>
      </c>
      <c r="AO4009" s="33">
        <v>1.2066391172975857E-3</v>
      </c>
    </row>
    <row r="4010" spans="39:41" x14ac:dyDescent="0.25">
      <c r="AM4010" s="2">
        <v>4007</v>
      </c>
      <c r="AN4010" s="33">
        <v>1.415542478344402E-2</v>
      </c>
      <c r="AO4010" s="33">
        <v>9.4004905958791163E-4</v>
      </c>
    </row>
    <row r="4011" spans="39:41" x14ac:dyDescent="0.25">
      <c r="AM4011" s="2">
        <v>4008</v>
      </c>
      <c r="AN4011" s="33">
        <v>1.388564921799083E-2</v>
      </c>
      <c r="AO4011" s="33">
        <v>1.2594860686708001E-3</v>
      </c>
    </row>
    <row r="4012" spans="39:41" x14ac:dyDescent="0.25">
      <c r="AM4012" s="2">
        <v>4009</v>
      </c>
      <c r="AN4012" s="33">
        <v>9.1597796507603638E-3</v>
      </c>
      <c r="AO4012" s="33">
        <v>5.0958360918093733E-4</v>
      </c>
    </row>
    <row r="4013" spans="39:41" x14ac:dyDescent="0.25">
      <c r="AM4013" s="2">
        <v>4010</v>
      </c>
      <c r="AN4013" s="33">
        <v>1.2091771338635987E-2</v>
      </c>
      <c r="AO4013" s="33">
        <v>1.1177054577218818E-3</v>
      </c>
    </row>
    <row r="4014" spans="39:41" x14ac:dyDescent="0.25">
      <c r="AM4014" s="2">
        <v>4011</v>
      </c>
      <c r="AN4014" s="33">
        <v>1.1493079507215722E-2</v>
      </c>
      <c r="AO4014" s="33">
        <v>1.0134751813098699E-3</v>
      </c>
    </row>
    <row r="4015" spans="39:41" x14ac:dyDescent="0.25">
      <c r="AM4015" s="2">
        <v>4012</v>
      </c>
      <c r="AN4015" s="33">
        <v>7.7596914894441467E-3</v>
      </c>
      <c r="AO4015" s="33">
        <v>4.6934532988895147E-4</v>
      </c>
    </row>
    <row r="4016" spans="39:41" x14ac:dyDescent="0.25">
      <c r="AM4016" s="2">
        <v>4013</v>
      </c>
      <c r="AN4016" s="33">
        <v>1.1328208513579864E-2</v>
      </c>
      <c r="AO4016" s="33">
        <v>8.8949526679797783E-4</v>
      </c>
    </row>
    <row r="4017" spans="39:41" x14ac:dyDescent="0.25">
      <c r="AM4017" s="2">
        <v>4014</v>
      </c>
      <c r="AN4017" s="33">
        <v>1.3849427967397016E-2</v>
      </c>
      <c r="AO4017" s="33">
        <v>9.2553634102825123E-4</v>
      </c>
    </row>
    <row r="4018" spans="39:41" x14ac:dyDescent="0.25">
      <c r="AM4018" s="2">
        <v>4015</v>
      </c>
      <c r="AN4018" s="33">
        <v>9.594508719724143E-3</v>
      </c>
      <c r="AO4018" s="33">
        <v>3.7475201200588121E-4</v>
      </c>
    </row>
    <row r="4019" spans="39:41" x14ac:dyDescent="0.25">
      <c r="AM4019" s="2">
        <v>4016</v>
      </c>
      <c r="AN4019" s="33">
        <v>1.3605892317735926E-2</v>
      </c>
      <c r="AO4019" s="33">
        <v>1.3513580787801478E-3</v>
      </c>
    </row>
    <row r="4020" spans="39:41" x14ac:dyDescent="0.25">
      <c r="AM4020" s="2">
        <v>4017</v>
      </c>
      <c r="AN4020" s="33">
        <v>1.5318368887462009E-2</v>
      </c>
      <c r="AO4020" s="33">
        <v>1.4685381881091109E-3</v>
      </c>
    </row>
    <row r="4021" spans="39:41" x14ac:dyDescent="0.25">
      <c r="AM4021" s="2">
        <v>4018</v>
      </c>
      <c r="AN4021" s="33">
        <v>1.356003014588161E-2</v>
      </c>
      <c r="AO4021" s="33">
        <v>6.9958431836502147E-4</v>
      </c>
    </row>
    <row r="4022" spans="39:41" x14ac:dyDescent="0.25">
      <c r="AM4022" s="2">
        <v>4019</v>
      </c>
      <c r="AN4022" s="33">
        <v>8.8813042785562974E-3</v>
      </c>
      <c r="AO4022" s="33">
        <v>3.1256133155142422E-4</v>
      </c>
    </row>
    <row r="4023" spans="39:41" x14ac:dyDescent="0.25">
      <c r="AM4023" s="2">
        <v>4020</v>
      </c>
      <c r="AN4023" s="33">
        <v>1.0904268680592589E-2</v>
      </c>
      <c r="AO4023" s="33">
        <v>3.1493459401584146E-4</v>
      </c>
    </row>
    <row r="4024" spans="39:41" x14ac:dyDescent="0.25">
      <c r="AM4024" s="2">
        <v>4021</v>
      </c>
      <c r="AN4024" s="33">
        <v>1.4516438530744091E-2</v>
      </c>
      <c r="AO4024" s="33">
        <v>9.8793404867522443E-4</v>
      </c>
    </row>
    <row r="4025" spans="39:41" x14ac:dyDescent="0.25">
      <c r="AM4025" s="2">
        <v>4022</v>
      </c>
      <c r="AN4025" s="33">
        <v>8.6713178617445139E-3</v>
      </c>
      <c r="AO4025" s="33">
        <v>5.5174548633725483E-4</v>
      </c>
    </row>
    <row r="4026" spans="39:41" x14ac:dyDescent="0.25">
      <c r="AM4026" s="2">
        <v>4023</v>
      </c>
      <c r="AN4026" s="33">
        <v>1.2444421227094786E-2</v>
      </c>
      <c r="AO4026" s="33">
        <v>1.0088278983842929E-3</v>
      </c>
    </row>
    <row r="4027" spans="39:41" x14ac:dyDescent="0.25">
      <c r="AM4027" s="2">
        <v>4024</v>
      </c>
      <c r="AN4027" s="33">
        <v>1.2572498258787757E-2</v>
      </c>
      <c r="AO4027" s="33">
        <v>1.2165028635944292E-3</v>
      </c>
    </row>
    <row r="4028" spans="39:41" x14ac:dyDescent="0.25">
      <c r="AM4028" s="2">
        <v>4025</v>
      </c>
      <c r="AN4028" s="33">
        <v>9.6934135491102899E-3</v>
      </c>
      <c r="AO4028" s="33">
        <v>4.9951153129327219E-4</v>
      </c>
    </row>
    <row r="4029" spans="39:41" x14ac:dyDescent="0.25">
      <c r="AM4029" s="2">
        <v>4026</v>
      </c>
      <c r="AN4029" s="33">
        <v>2.0879319833416603E-2</v>
      </c>
      <c r="AO4029" s="33">
        <v>1.9261275651341816E-3</v>
      </c>
    </row>
    <row r="4030" spans="39:41" x14ac:dyDescent="0.25">
      <c r="AM4030" s="2">
        <v>4027</v>
      </c>
      <c r="AN4030" s="33">
        <v>1.3224877048434856E-2</v>
      </c>
      <c r="AO4030" s="33">
        <v>7.2744863027413681E-4</v>
      </c>
    </row>
    <row r="4031" spans="39:41" x14ac:dyDescent="0.25">
      <c r="AM4031" s="2">
        <v>4028</v>
      </c>
      <c r="AN4031" s="33">
        <v>1.3691014858103452E-2</v>
      </c>
      <c r="AO4031" s="33">
        <v>1.2225021908432254E-3</v>
      </c>
    </row>
    <row r="4032" spans="39:41" x14ac:dyDescent="0.25">
      <c r="AM4032" s="2">
        <v>4029</v>
      </c>
      <c r="AN4032" s="33">
        <v>8.9901382694035584E-3</v>
      </c>
      <c r="AO4032" s="33">
        <v>6.0164733732647748E-4</v>
      </c>
    </row>
    <row r="4033" spans="39:41" x14ac:dyDescent="0.25">
      <c r="AM4033" s="2">
        <v>4030</v>
      </c>
      <c r="AN4033" s="33">
        <v>1.0107413927487024E-2</v>
      </c>
      <c r="AO4033" s="33">
        <v>7.9541987640581609E-4</v>
      </c>
    </row>
    <row r="4034" spans="39:41" x14ac:dyDescent="0.25">
      <c r="AM4034" s="2">
        <v>4031</v>
      </c>
      <c r="AN4034" s="33">
        <v>1.1591449237432138E-2</v>
      </c>
      <c r="AO4034" s="33">
        <v>4.3837157447823626E-4</v>
      </c>
    </row>
    <row r="4035" spans="39:41" x14ac:dyDescent="0.25">
      <c r="AM4035" s="2">
        <v>4032</v>
      </c>
      <c r="AN4035" s="33">
        <v>1.2682275140827618E-2</v>
      </c>
      <c r="AO4035" s="33">
        <v>8.418424249773892E-4</v>
      </c>
    </row>
    <row r="4036" spans="39:41" x14ac:dyDescent="0.25">
      <c r="AM4036" s="2">
        <v>4033</v>
      </c>
      <c r="AN4036" s="33">
        <v>1.1797069224634442E-2</v>
      </c>
      <c r="AO4036" s="33">
        <v>1.2060281491763989E-3</v>
      </c>
    </row>
    <row r="4037" spans="39:41" x14ac:dyDescent="0.25">
      <c r="AM4037" s="2">
        <v>4034</v>
      </c>
      <c r="AN4037" s="33">
        <v>1.5091906475806011E-2</v>
      </c>
      <c r="AO4037" s="33">
        <v>1.2714238627108355E-3</v>
      </c>
    </row>
    <row r="4038" spans="39:41" x14ac:dyDescent="0.25">
      <c r="AM4038" s="2">
        <v>4035</v>
      </c>
      <c r="AN4038" s="33">
        <v>1.1781449251665225E-2</v>
      </c>
      <c r="AO4038" s="33">
        <v>8.7971803283705993E-4</v>
      </c>
    </row>
    <row r="4039" spans="39:41" x14ac:dyDescent="0.25">
      <c r="AM4039" s="2">
        <v>4036</v>
      </c>
      <c r="AN4039" s="33">
        <v>1.1824454422927471E-2</v>
      </c>
      <c r="AO4039" s="33">
        <v>1.0909942178167036E-3</v>
      </c>
    </row>
    <row r="4040" spans="39:41" x14ac:dyDescent="0.25">
      <c r="AM4040" s="2">
        <v>4037</v>
      </c>
      <c r="AN4040" s="33">
        <v>1.3863087119139989E-2</v>
      </c>
      <c r="AO4040" s="33">
        <v>1.4121481171451658E-3</v>
      </c>
    </row>
    <row r="4041" spans="39:41" x14ac:dyDescent="0.25">
      <c r="AM4041" s="2">
        <v>4038</v>
      </c>
      <c r="AN4041" s="33">
        <v>9.1783161295778196E-3</v>
      </c>
      <c r="AO4041" s="33">
        <v>3.0374240179822562E-4</v>
      </c>
    </row>
    <row r="4042" spans="39:41" x14ac:dyDescent="0.25">
      <c r="AM4042" s="2">
        <v>4039</v>
      </c>
      <c r="AN4042" s="33">
        <v>1.0796939905832866E-2</v>
      </c>
      <c r="AO4042" s="33">
        <v>5.6797934358843963E-4</v>
      </c>
    </row>
    <row r="4043" spans="39:41" x14ac:dyDescent="0.25">
      <c r="AM4043" s="2">
        <v>4040</v>
      </c>
      <c r="AN4043" s="33">
        <v>1.2676512894841976E-2</v>
      </c>
      <c r="AO4043" s="33">
        <v>9.3254742970719359E-4</v>
      </c>
    </row>
    <row r="4044" spans="39:41" x14ac:dyDescent="0.25">
      <c r="AM4044" s="2">
        <v>4041</v>
      </c>
      <c r="AN4044" s="33">
        <v>1.2507670743511829E-2</v>
      </c>
      <c r="AO4044" s="33">
        <v>1.1015206184179971E-3</v>
      </c>
    </row>
    <row r="4045" spans="39:41" x14ac:dyDescent="0.25">
      <c r="AM4045" s="2">
        <v>4042</v>
      </c>
      <c r="AN4045" s="33">
        <v>9.5218567416043027E-3</v>
      </c>
      <c r="AO4045" s="33">
        <v>8.2921670005199838E-4</v>
      </c>
    </row>
    <row r="4046" spans="39:41" x14ac:dyDescent="0.25">
      <c r="AM4046" s="2">
        <v>4043</v>
      </c>
      <c r="AN4046" s="33">
        <v>1.4224881109413175E-2</v>
      </c>
      <c r="AO4046" s="33">
        <v>1.4415567990941438E-3</v>
      </c>
    </row>
    <row r="4047" spans="39:41" x14ac:dyDescent="0.25">
      <c r="AM4047" s="2">
        <v>4044</v>
      </c>
      <c r="AN4047" s="33">
        <v>1.1910557234335942E-2</v>
      </c>
      <c r="AO4047" s="33">
        <v>9.8162944643536299E-4</v>
      </c>
    </row>
    <row r="4048" spans="39:41" x14ac:dyDescent="0.25">
      <c r="AM4048" s="2">
        <v>4045</v>
      </c>
      <c r="AN4048" s="33">
        <v>1.4341249605426883E-2</v>
      </c>
      <c r="AO4048" s="33">
        <v>1.1182529668313742E-3</v>
      </c>
    </row>
    <row r="4049" spans="39:41" x14ac:dyDescent="0.25">
      <c r="AM4049" s="2">
        <v>4046</v>
      </c>
      <c r="AN4049" s="33">
        <v>1.2799915308910313E-2</v>
      </c>
      <c r="AO4049" s="33">
        <v>9.4890268177447818E-4</v>
      </c>
    </row>
    <row r="4050" spans="39:41" x14ac:dyDescent="0.25">
      <c r="AM4050" s="2">
        <v>4047</v>
      </c>
      <c r="AN4050" s="33">
        <v>1.2668236859333064E-2</v>
      </c>
      <c r="AO4050" s="33">
        <v>8.9926861005244264E-4</v>
      </c>
    </row>
    <row r="4051" spans="39:41" x14ac:dyDescent="0.25">
      <c r="AM4051" s="2">
        <v>4048</v>
      </c>
      <c r="AN4051" s="33">
        <v>1.0295660254756225E-2</v>
      </c>
      <c r="AO4051" s="33">
        <v>6.7208819131193824E-4</v>
      </c>
    </row>
    <row r="4052" spans="39:41" x14ac:dyDescent="0.25">
      <c r="AM4052" s="2">
        <v>4049</v>
      </c>
      <c r="AN4052" s="33">
        <v>8.783287985226873E-3</v>
      </c>
      <c r="AO4052" s="33">
        <v>6.1138339432964474E-4</v>
      </c>
    </row>
    <row r="4053" spans="39:41" x14ac:dyDescent="0.25">
      <c r="AM4053" s="2">
        <v>4050</v>
      </c>
      <c r="AN4053" s="33">
        <v>1.4075507071268966E-2</v>
      </c>
      <c r="AO4053" s="33">
        <v>1.009391765797998E-3</v>
      </c>
    </row>
    <row r="4054" spans="39:41" x14ac:dyDescent="0.25">
      <c r="AM4054" s="2">
        <v>4051</v>
      </c>
      <c r="AN4054" s="33">
        <v>1.4442409005208623E-2</v>
      </c>
      <c r="AO4054" s="33">
        <v>8.919589446215639E-4</v>
      </c>
    </row>
    <row r="4055" spans="39:41" x14ac:dyDescent="0.25">
      <c r="AM4055" s="2">
        <v>4052</v>
      </c>
      <c r="AN4055" s="33">
        <v>1.4280521517307678E-2</v>
      </c>
      <c r="AO4055" s="33">
        <v>1.0828528405042372E-3</v>
      </c>
    </row>
    <row r="4056" spans="39:41" x14ac:dyDescent="0.25">
      <c r="AM4056" s="2">
        <v>4053</v>
      </c>
      <c r="AN4056" s="33">
        <v>1.0307691217788954E-2</v>
      </c>
      <c r="AO4056" s="33">
        <v>7.9969789252321488E-4</v>
      </c>
    </row>
    <row r="4057" spans="39:41" x14ac:dyDescent="0.25">
      <c r="AM4057" s="2">
        <v>4054</v>
      </c>
      <c r="AN4057" s="33">
        <v>1.1508794816742737E-2</v>
      </c>
      <c r="AO4057" s="33">
        <v>1.0663375048706031E-3</v>
      </c>
    </row>
    <row r="4058" spans="39:41" x14ac:dyDescent="0.25">
      <c r="AM4058" s="2">
        <v>4055</v>
      </c>
      <c r="AN4058" s="33">
        <v>1.3362450117424396E-2</v>
      </c>
      <c r="AO4058" s="33">
        <v>1.3089013543160948E-3</v>
      </c>
    </row>
    <row r="4059" spans="39:41" x14ac:dyDescent="0.25">
      <c r="AM4059" s="2">
        <v>4056</v>
      </c>
      <c r="AN4059" s="33">
        <v>9.9810948420176425E-3</v>
      </c>
      <c r="AO4059" s="33">
        <v>7.868160113832642E-4</v>
      </c>
    </row>
    <row r="4060" spans="39:41" x14ac:dyDescent="0.25">
      <c r="AM4060" s="2">
        <v>4057</v>
      </c>
      <c r="AN4060" s="33">
        <v>1.1388812034889971E-2</v>
      </c>
      <c r="AO4060" s="33">
        <v>7.3006073722679419E-4</v>
      </c>
    </row>
    <row r="4061" spans="39:41" x14ac:dyDescent="0.25">
      <c r="AM4061" s="2">
        <v>4058</v>
      </c>
      <c r="AN4061" s="33">
        <v>8.9742299862051993E-3</v>
      </c>
      <c r="AO4061" s="33">
        <v>3.6921422683186479E-4</v>
      </c>
    </row>
    <row r="4062" spans="39:41" x14ac:dyDescent="0.25">
      <c r="AM4062" s="2">
        <v>4059</v>
      </c>
      <c r="AN4062" s="33">
        <v>8.3319732277212649E-3</v>
      </c>
      <c r="AO4062" s="33">
        <v>4.7796397543824464E-4</v>
      </c>
    </row>
    <row r="4063" spans="39:41" x14ac:dyDescent="0.25">
      <c r="AM4063" s="2">
        <v>4060</v>
      </c>
      <c r="AN4063" s="33">
        <v>9.9428638365756626E-3</v>
      </c>
      <c r="AO4063" s="33">
        <v>9.2118795074664815E-4</v>
      </c>
    </row>
    <row r="4064" spans="39:41" x14ac:dyDescent="0.25">
      <c r="AM4064" s="2">
        <v>4061</v>
      </c>
      <c r="AN4064" s="33">
        <v>1.0108738036525887E-2</v>
      </c>
      <c r="AO4064" s="33">
        <v>1.0128666778524908E-3</v>
      </c>
    </row>
    <row r="4065" spans="39:41" x14ac:dyDescent="0.25">
      <c r="AM4065" s="2">
        <v>4062</v>
      </c>
      <c r="AN4065" s="33">
        <v>9.8417464332227287E-3</v>
      </c>
      <c r="AO4065" s="33">
        <v>8.7629767249722984E-4</v>
      </c>
    </row>
    <row r="4066" spans="39:41" x14ac:dyDescent="0.25">
      <c r="AM4066" s="2">
        <v>4063</v>
      </c>
      <c r="AN4066" s="33">
        <v>1.1852674625180941E-2</v>
      </c>
      <c r="AO4066" s="33">
        <v>1.0439814467330304E-3</v>
      </c>
    </row>
    <row r="4067" spans="39:41" x14ac:dyDescent="0.25">
      <c r="AM4067" s="2">
        <v>4064</v>
      </c>
      <c r="AN4067" s="33">
        <v>9.8410797380444701E-3</v>
      </c>
      <c r="AO4067" s="33">
        <v>5.0686842234109737E-4</v>
      </c>
    </row>
    <row r="4068" spans="39:41" x14ac:dyDescent="0.25">
      <c r="AM4068" s="2">
        <v>4065</v>
      </c>
      <c r="AN4068" s="33">
        <v>1.0439381207574929E-2</v>
      </c>
      <c r="AO4068" s="33">
        <v>5.2025924658492568E-4</v>
      </c>
    </row>
    <row r="4069" spans="39:41" x14ac:dyDescent="0.25">
      <c r="AM4069" s="2">
        <v>4066</v>
      </c>
      <c r="AN4069" s="33">
        <v>9.2306539628615267E-3</v>
      </c>
      <c r="AO4069" s="33">
        <v>5.7510077031872032E-4</v>
      </c>
    </row>
    <row r="4070" spans="39:41" x14ac:dyDescent="0.25">
      <c r="AM4070" s="2">
        <v>4067</v>
      </c>
      <c r="AN4070" s="33">
        <v>9.2208851341722912E-3</v>
      </c>
      <c r="AO4070" s="33">
        <v>6.0318593589087565E-4</v>
      </c>
    </row>
    <row r="4071" spans="39:41" x14ac:dyDescent="0.25">
      <c r="AM4071" s="2">
        <v>4068</v>
      </c>
      <c r="AN4071" s="33">
        <v>1.0044519579666599E-2</v>
      </c>
      <c r="AO4071" s="33">
        <v>9.2741074350576752E-4</v>
      </c>
    </row>
    <row r="4072" spans="39:41" x14ac:dyDescent="0.25">
      <c r="AM4072" s="2">
        <v>4069</v>
      </c>
      <c r="AN4072" s="33">
        <v>1.0097000027719032E-2</v>
      </c>
      <c r="AO4072" s="33">
        <v>8.6360666974713725E-4</v>
      </c>
    </row>
    <row r="4073" spans="39:41" x14ac:dyDescent="0.25">
      <c r="AM4073" s="2">
        <v>4070</v>
      </c>
      <c r="AN4073" s="33">
        <v>1.6366646103516458E-2</v>
      </c>
      <c r="AO4073" s="33">
        <v>1.7815484553848873E-3</v>
      </c>
    </row>
    <row r="4074" spans="39:41" x14ac:dyDescent="0.25">
      <c r="AM4074" s="2">
        <v>4071</v>
      </c>
      <c r="AN4074" s="33">
        <v>8.0729185529634633E-3</v>
      </c>
      <c r="AO4074" s="33">
        <v>5.8312578519206847E-4</v>
      </c>
    </row>
    <row r="4075" spans="39:41" x14ac:dyDescent="0.25">
      <c r="AM4075" s="2">
        <v>4072</v>
      </c>
      <c r="AN4075" s="33">
        <v>9.9878375803172329E-3</v>
      </c>
      <c r="AO4075" s="33">
        <v>4.9888157194807501E-4</v>
      </c>
    </row>
    <row r="4076" spans="39:41" x14ac:dyDescent="0.25">
      <c r="AM4076" s="2">
        <v>4073</v>
      </c>
      <c r="AN4076" s="33">
        <v>1.382253281049908E-2</v>
      </c>
      <c r="AO4076" s="33">
        <v>7.5250536111761128E-4</v>
      </c>
    </row>
    <row r="4077" spans="39:41" x14ac:dyDescent="0.25">
      <c r="AM4077" s="2">
        <v>4074</v>
      </c>
      <c r="AN4077" s="33">
        <v>1.4949155829187677E-2</v>
      </c>
      <c r="AO4077" s="33">
        <v>1.4126157641861082E-3</v>
      </c>
    </row>
    <row r="4078" spans="39:41" x14ac:dyDescent="0.25">
      <c r="AM4078" s="2">
        <v>4075</v>
      </c>
      <c r="AN4078" s="33">
        <v>1.0307136972101257E-2</v>
      </c>
      <c r="AO4078" s="33">
        <v>3.5930075536182155E-4</v>
      </c>
    </row>
    <row r="4079" spans="39:41" x14ac:dyDescent="0.25">
      <c r="AM4079" s="2">
        <v>4076</v>
      </c>
      <c r="AN4079" s="33">
        <v>9.9276319977640356E-3</v>
      </c>
      <c r="AO4079" s="33">
        <v>8.4333704668791546E-4</v>
      </c>
    </row>
    <row r="4080" spans="39:41" x14ac:dyDescent="0.25">
      <c r="AM4080" s="2">
        <v>4077</v>
      </c>
      <c r="AN4080" s="33">
        <v>1.1879817869296294E-2</v>
      </c>
      <c r="AO4080" s="33">
        <v>1.0822833208343819E-3</v>
      </c>
    </row>
    <row r="4081" spans="39:41" x14ac:dyDescent="0.25">
      <c r="AM4081" s="2">
        <v>4078</v>
      </c>
      <c r="AN4081" s="33">
        <v>1.504879711516159E-2</v>
      </c>
      <c r="AO4081" s="33">
        <v>1.3247623033347366E-3</v>
      </c>
    </row>
    <row r="4082" spans="39:41" x14ac:dyDescent="0.25">
      <c r="AM4082" s="2">
        <v>4079</v>
      </c>
      <c r="AN4082" s="33">
        <v>1.0526028783623378E-2</v>
      </c>
      <c r="AO4082" s="33">
        <v>5.8120722146258604E-4</v>
      </c>
    </row>
    <row r="4083" spans="39:41" x14ac:dyDescent="0.25">
      <c r="AM4083" s="2">
        <v>4080</v>
      </c>
      <c r="AN4083" s="33">
        <v>1.0907218303559597E-2</v>
      </c>
      <c r="AO4083" s="33">
        <v>5.6553046861993644E-4</v>
      </c>
    </row>
    <row r="4084" spans="39:41" x14ac:dyDescent="0.25">
      <c r="AM4084" s="2">
        <v>4081</v>
      </c>
      <c r="AN4084" s="33">
        <v>1.1534275274682319E-2</v>
      </c>
      <c r="AO4084" s="33">
        <v>6.876597676929992E-4</v>
      </c>
    </row>
    <row r="4085" spans="39:41" x14ac:dyDescent="0.25">
      <c r="AM4085" s="2">
        <v>4082</v>
      </c>
      <c r="AN4085" s="33">
        <v>1.2268080053583938E-2</v>
      </c>
      <c r="AO4085" s="33">
        <v>1.0047050637283874E-3</v>
      </c>
    </row>
    <row r="4086" spans="39:41" x14ac:dyDescent="0.25">
      <c r="AM4086" s="2">
        <v>4083</v>
      </c>
      <c r="AN4086" s="33">
        <v>9.1512283924334425E-3</v>
      </c>
      <c r="AO4086" s="33">
        <v>6.9458821750967607E-4</v>
      </c>
    </row>
    <row r="4087" spans="39:41" x14ac:dyDescent="0.25">
      <c r="AM4087" s="2">
        <v>4084</v>
      </c>
      <c r="AN4087" s="33">
        <v>1.1419493329250472E-2</v>
      </c>
      <c r="AO4087" s="33">
        <v>1.0087778830733061E-3</v>
      </c>
    </row>
    <row r="4088" spans="39:41" x14ac:dyDescent="0.25">
      <c r="AM4088" s="2">
        <v>4085</v>
      </c>
      <c r="AN4088" s="33">
        <v>1.1234030257613804E-2</v>
      </c>
      <c r="AO4088" s="33">
        <v>5.3925164848380098E-4</v>
      </c>
    </row>
    <row r="4089" spans="39:41" x14ac:dyDescent="0.25">
      <c r="AM4089" s="2">
        <v>4086</v>
      </c>
      <c r="AN4089" s="33">
        <v>1.3208151118141024E-2</v>
      </c>
      <c r="AO4089" s="33">
        <v>1.1448472987195364E-3</v>
      </c>
    </row>
    <row r="4090" spans="39:41" x14ac:dyDescent="0.25">
      <c r="AM4090" s="2">
        <v>4087</v>
      </c>
      <c r="AN4090" s="33">
        <v>1.2069849700478542E-2</v>
      </c>
      <c r="AO4090" s="33">
        <v>9.4664425542280971E-4</v>
      </c>
    </row>
    <row r="4091" spans="39:41" x14ac:dyDescent="0.25">
      <c r="AM4091" s="2">
        <v>4088</v>
      </c>
      <c r="AN4091" s="33">
        <v>1.1208671361751337E-2</v>
      </c>
      <c r="AO4091" s="33">
        <v>9.0963306928079808E-4</v>
      </c>
    </row>
    <row r="4092" spans="39:41" x14ac:dyDescent="0.25">
      <c r="AM4092" s="2">
        <v>4089</v>
      </c>
      <c r="AN4092" s="33">
        <v>1.2495633820641916E-2</v>
      </c>
      <c r="AO4092" s="33">
        <v>7.2309899839211164E-4</v>
      </c>
    </row>
    <row r="4093" spans="39:41" x14ac:dyDescent="0.25">
      <c r="AM4093" s="2">
        <v>4090</v>
      </c>
      <c r="AN4093" s="33">
        <v>1.0173626143643724E-2</v>
      </c>
      <c r="AO4093" s="33">
        <v>4.9672690435510237E-4</v>
      </c>
    </row>
    <row r="4094" spans="39:41" x14ac:dyDescent="0.25">
      <c r="AM4094" s="2">
        <v>4091</v>
      </c>
      <c r="AN4094" s="33">
        <v>1.1821764625379328E-2</v>
      </c>
      <c r="AO4094" s="33">
        <v>6.0499142814174475E-4</v>
      </c>
    </row>
    <row r="4095" spans="39:41" x14ac:dyDescent="0.25">
      <c r="AM4095" s="2">
        <v>4092</v>
      </c>
      <c r="AN4095" s="33">
        <v>1.0359119167193951E-2</v>
      </c>
      <c r="AO4095" s="33">
        <v>1.0238467413653278E-3</v>
      </c>
    </row>
    <row r="4096" spans="39:41" x14ac:dyDescent="0.25">
      <c r="AM4096" s="2">
        <v>4093</v>
      </c>
      <c r="AN4096" s="33">
        <v>1.1634629186198826E-2</v>
      </c>
      <c r="AO4096" s="33">
        <v>6.7937897168881471E-4</v>
      </c>
    </row>
    <row r="4097" spans="39:41" x14ac:dyDescent="0.25">
      <c r="AM4097" s="2">
        <v>4094</v>
      </c>
      <c r="AN4097" s="33">
        <v>1.0873127993431425E-2</v>
      </c>
      <c r="AO4097" s="33">
        <v>9.5330698834571864E-4</v>
      </c>
    </row>
    <row r="4098" spans="39:41" x14ac:dyDescent="0.25">
      <c r="AM4098" s="2">
        <v>4095</v>
      </c>
      <c r="AN4098" s="33">
        <v>9.1217941227275806E-3</v>
      </c>
      <c r="AO4098" s="33">
        <v>2.5030600255293047E-4</v>
      </c>
    </row>
    <row r="4099" spans="39:41" x14ac:dyDescent="0.25">
      <c r="AM4099" s="2">
        <v>4096</v>
      </c>
      <c r="AN4099" s="33">
        <v>7.4067941376693147E-3</v>
      </c>
      <c r="AO4099" s="33">
        <v>4.91239302927702E-4</v>
      </c>
    </row>
    <row r="4100" spans="39:41" x14ac:dyDescent="0.25">
      <c r="AM4100" s="2">
        <v>4097</v>
      </c>
      <c r="AN4100" s="33">
        <v>1.4136458759277805E-2</v>
      </c>
      <c r="AO4100" s="33">
        <v>1.1489266206186693E-3</v>
      </c>
    </row>
    <row r="4101" spans="39:41" x14ac:dyDescent="0.25">
      <c r="AM4101" s="2">
        <v>4098</v>
      </c>
      <c r="AN4101" s="33">
        <v>1.0070568890139403E-2</v>
      </c>
      <c r="AO4101" s="33">
        <v>3.5084022945376458E-4</v>
      </c>
    </row>
    <row r="4102" spans="39:41" x14ac:dyDescent="0.25">
      <c r="AM4102" s="2">
        <v>4099</v>
      </c>
      <c r="AN4102" s="33">
        <v>1.5709287746381861E-2</v>
      </c>
      <c r="AO4102" s="33">
        <v>1.4651637706461725E-3</v>
      </c>
    </row>
    <row r="4103" spans="39:41" x14ac:dyDescent="0.25">
      <c r="AM4103" s="2">
        <v>4100</v>
      </c>
      <c r="AN4103" s="33">
        <v>9.9559818600199919E-3</v>
      </c>
      <c r="AO4103" s="33">
        <v>8.2438076439572173E-4</v>
      </c>
    </row>
    <row r="4104" spans="39:41" x14ac:dyDescent="0.25">
      <c r="AM4104" s="2">
        <v>4101</v>
      </c>
      <c r="AN4104" s="33">
        <v>1.0739148278622369E-2</v>
      </c>
      <c r="AO4104" s="33">
        <v>5.4932735748245527E-4</v>
      </c>
    </row>
    <row r="4105" spans="39:41" x14ac:dyDescent="0.25">
      <c r="AM4105" s="2">
        <v>4102</v>
      </c>
      <c r="AN4105" s="33">
        <v>1.345280033144919E-2</v>
      </c>
      <c r="AO4105" s="33">
        <v>8.6135451202396863E-4</v>
      </c>
    </row>
    <row r="4106" spans="39:41" x14ac:dyDescent="0.25">
      <c r="AM4106" s="2">
        <v>4103</v>
      </c>
      <c r="AN4106" s="33">
        <v>1.1731445309849022E-2</v>
      </c>
      <c r="AO4106" s="33">
        <v>1.1353921659436517E-3</v>
      </c>
    </row>
    <row r="4107" spans="39:41" x14ac:dyDescent="0.25">
      <c r="AM4107" s="2">
        <v>4104</v>
      </c>
      <c r="AN4107" s="33">
        <v>9.9962907904566946E-3</v>
      </c>
      <c r="AO4107" s="33">
        <v>7.4590074422307485E-4</v>
      </c>
    </row>
    <row r="4108" spans="39:41" x14ac:dyDescent="0.25">
      <c r="AM4108" s="2">
        <v>4105</v>
      </c>
      <c r="AN4108" s="33">
        <v>1.3737295768608781E-2</v>
      </c>
      <c r="AO4108" s="33">
        <v>9.6487241653408086E-4</v>
      </c>
    </row>
    <row r="4109" spans="39:41" x14ac:dyDescent="0.25">
      <c r="AM4109" s="2">
        <v>4106</v>
      </c>
      <c r="AN4109" s="33">
        <v>1.2882304227097151E-2</v>
      </c>
      <c r="AO4109" s="33">
        <v>1.0677229277197887E-3</v>
      </c>
    </row>
    <row r="4110" spans="39:41" x14ac:dyDescent="0.25">
      <c r="AM4110" s="2">
        <v>4107</v>
      </c>
      <c r="AN4110" s="33">
        <v>8.3335087827058358E-3</v>
      </c>
      <c r="AO4110" s="33">
        <v>2.3207654239001463E-4</v>
      </c>
    </row>
    <row r="4111" spans="39:41" x14ac:dyDescent="0.25">
      <c r="AM4111" s="2">
        <v>4108</v>
      </c>
      <c r="AN4111" s="33">
        <v>9.330012464674178E-3</v>
      </c>
      <c r="AO4111" s="33">
        <v>8.1055416005406159E-4</v>
      </c>
    </row>
    <row r="4112" spans="39:41" x14ac:dyDescent="0.25">
      <c r="AM4112" s="2">
        <v>4109</v>
      </c>
      <c r="AN4112" s="33">
        <v>1.2302354293352743E-2</v>
      </c>
      <c r="AO4112" s="33">
        <v>3.5905722114422883E-4</v>
      </c>
    </row>
    <row r="4113" spans="39:41" x14ac:dyDescent="0.25">
      <c r="AM4113" s="2">
        <v>4110</v>
      </c>
      <c r="AN4113" s="33">
        <v>1.1326708056620602E-2</v>
      </c>
      <c r="AO4113" s="33">
        <v>1.032638860353337E-3</v>
      </c>
    </row>
    <row r="4114" spans="39:41" x14ac:dyDescent="0.25">
      <c r="AM4114" s="2">
        <v>4111</v>
      </c>
      <c r="AN4114" s="33">
        <v>1.2496529464788311E-2</v>
      </c>
      <c r="AO4114" s="33">
        <v>9.1466410684511103E-4</v>
      </c>
    </row>
    <row r="4115" spans="39:41" x14ac:dyDescent="0.25">
      <c r="AM4115" s="2">
        <v>4112</v>
      </c>
      <c r="AN4115" s="33">
        <v>1.5069200779030211E-2</v>
      </c>
      <c r="AO4115" s="33">
        <v>1.0147877158074991E-3</v>
      </c>
    </row>
    <row r="4116" spans="39:41" x14ac:dyDescent="0.25">
      <c r="AM4116" s="2">
        <v>4113</v>
      </c>
      <c r="AN4116" s="33">
        <v>1.1900407646188287E-2</v>
      </c>
      <c r="AO4116" s="33">
        <v>8.1144859817685157E-4</v>
      </c>
    </row>
    <row r="4117" spans="39:41" x14ac:dyDescent="0.25">
      <c r="AM4117" s="2">
        <v>4114</v>
      </c>
      <c r="AN4117" s="33">
        <v>9.200133049259469E-3</v>
      </c>
      <c r="AO4117" s="33">
        <v>4.7258801950163779E-4</v>
      </c>
    </row>
    <row r="4118" spans="39:41" x14ac:dyDescent="0.25">
      <c r="AM4118" s="2">
        <v>4115</v>
      </c>
      <c r="AN4118" s="33">
        <v>1.2310983099114577E-2</v>
      </c>
      <c r="AO4118" s="33">
        <v>8.0028997093582114E-4</v>
      </c>
    </row>
    <row r="4119" spans="39:41" x14ac:dyDescent="0.25">
      <c r="AM4119" s="2">
        <v>4116</v>
      </c>
      <c r="AN4119" s="33">
        <v>1.0731345475470397E-2</v>
      </c>
      <c r="AO4119" s="33">
        <v>5.048925797674264E-4</v>
      </c>
    </row>
    <row r="4120" spans="39:41" x14ac:dyDescent="0.25">
      <c r="AM4120" s="2">
        <v>4117</v>
      </c>
      <c r="AN4120" s="33">
        <v>1.3090401651537815E-2</v>
      </c>
      <c r="AO4120" s="33">
        <v>8.5223230582913228E-4</v>
      </c>
    </row>
    <row r="4121" spans="39:41" x14ac:dyDescent="0.25">
      <c r="AM4121" s="2">
        <v>4118</v>
      </c>
      <c r="AN4121" s="33">
        <v>1.0038830183798359E-2</v>
      </c>
      <c r="AO4121" s="33">
        <v>4.6140398035277171E-4</v>
      </c>
    </row>
    <row r="4122" spans="39:41" x14ac:dyDescent="0.25">
      <c r="AM4122" s="2">
        <v>4119</v>
      </c>
      <c r="AN4122" s="33">
        <v>1.0846583135609754E-2</v>
      </c>
      <c r="AO4122" s="33">
        <v>4.9882802397559027E-4</v>
      </c>
    </row>
    <row r="4123" spans="39:41" x14ac:dyDescent="0.25">
      <c r="AM4123" s="2">
        <v>4120</v>
      </c>
      <c r="AN4123" s="33">
        <v>9.2037306302100771E-3</v>
      </c>
      <c r="AO4123" s="33">
        <v>7.426707609297957E-4</v>
      </c>
    </row>
    <row r="4124" spans="39:41" x14ac:dyDescent="0.25">
      <c r="AM4124" s="2">
        <v>4121</v>
      </c>
      <c r="AN4124" s="33">
        <v>1.256132399906997E-2</v>
      </c>
      <c r="AO4124" s="33">
        <v>1.2517127473324126E-3</v>
      </c>
    </row>
    <row r="4125" spans="39:41" x14ac:dyDescent="0.25">
      <c r="AM4125" s="2">
        <v>4122</v>
      </c>
      <c r="AN4125" s="33">
        <v>1.4103838874295871E-2</v>
      </c>
      <c r="AO4125" s="33">
        <v>1.1878657610735143E-3</v>
      </c>
    </row>
    <row r="4126" spans="39:41" x14ac:dyDescent="0.25">
      <c r="AM4126" s="2">
        <v>4123</v>
      </c>
      <c r="AN4126" s="33">
        <v>9.5135913082351701E-3</v>
      </c>
      <c r="AO4126" s="33">
        <v>5.8828795655227278E-4</v>
      </c>
    </row>
    <row r="4127" spans="39:41" x14ac:dyDescent="0.25">
      <c r="AM4127" s="2">
        <v>4124</v>
      </c>
      <c r="AN4127" s="33">
        <v>1.1401169382798768E-2</v>
      </c>
      <c r="AO4127" s="33">
        <v>6.7818090776097274E-4</v>
      </c>
    </row>
    <row r="4128" spans="39:41" x14ac:dyDescent="0.25">
      <c r="AM4128" s="2">
        <v>4125</v>
      </c>
      <c r="AN4128" s="33">
        <v>1.1850121698510825E-2</v>
      </c>
      <c r="AO4128" s="33">
        <v>4.8276280020088773E-4</v>
      </c>
    </row>
    <row r="4129" spans="39:41" x14ac:dyDescent="0.25">
      <c r="AM4129" s="2">
        <v>4126</v>
      </c>
      <c r="AN4129" s="33">
        <v>1.2430230338151089E-2</v>
      </c>
      <c r="AO4129" s="33">
        <v>2.3593152895971049E-4</v>
      </c>
    </row>
    <row r="4130" spans="39:41" x14ac:dyDescent="0.25">
      <c r="AM4130" s="2">
        <v>4127</v>
      </c>
      <c r="AN4130" s="33">
        <v>1.063409622606125E-2</v>
      </c>
      <c r="AO4130" s="33">
        <v>8.5158669073720104E-4</v>
      </c>
    </row>
    <row r="4131" spans="39:41" x14ac:dyDescent="0.25">
      <c r="AM4131" s="2">
        <v>4128</v>
      </c>
      <c r="AN4131" s="33">
        <v>1.0617284076303276E-2</v>
      </c>
      <c r="AO4131" s="33">
        <v>6.5316278714231779E-4</v>
      </c>
    </row>
    <row r="4132" spans="39:41" x14ac:dyDescent="0.25">
      <c r="AM4132" s="2">
        <v>4129</v>
      </c>
      <c r="AN4132" s="33">
        <v>1.1473804152548497E-2</v>
      </c>
      <c r="AO4132" s="33">
        <v>5.0924269521368689E-4</v>
      </c>
    </row>
    <row r="4133" spans="39:41" x14ac:dyDescent="0.25">
      <c r="AM4133" s="2">
        <v>4130</v>
      </c>
      <c r="AN4133" s="33">
        <v>1.251464415013271E-2</v>
      </c>
      <c r="AO4133" s="33">
        <v>6.9987514958832716E-4</v>
      </c>
    </row>
    <row r="4134" spans="39:41" x14ac:dyDescent="0.25">
      <c r="AM4134" s="2">
        <v>4131</v>
      </c>
      <c r="AN4134" s="33">
        <v>1.2529943530434984E-2</v>
      </c>
      <c r="AO4134" s="33">
        <v>1.0046557161381394E-3</v>
      </c>
    </row>
    <row r="4135" spans="39:41" x14ac:dyDescent="0.25">
      <c r="AM4135" s="2">
        <v>4132</v>
      </c>
      <c r="AN4135" s="33">
        <v>1.1069902210703727E-2</v>
      </c>
      <c r="AO4135" s="33">
        <v>6.5021481774683637E-4</v>
      </c>
    </row>
    <row r="4136" spans="39:41" x14ac:dyDescent="0.25">
      <c r="AM4136" s="2">
        <v>4133</v>
      </c>
      <c r="AN4136" s="33">
        <v>1.1048539363054053E-2</v>
      </c>
      <c r="AO4136" s="33">
        <v>6.5988527129446511E-4</v>
      </c>
    </row>
    <row r="4137" spans="39:41" x14ac:dyDescent="0.25">
      <c r="AM4137" s="2">
        <v>4134</v>
      </c>
      <c r="AN4137" s="33">
        <v>1.4013662498692991E-2</v>
      </c>
      <c r="AO4137" s="33">
        <v>8.250907572902856E-4</v>
      </c>
    </row>
    <row r="4138" spans="39:41" x14ac:dyDescent="0.25">
      <c r="AM4138" s="2">
        <v>4135</v>
      </c>
      <c r="AN4138" s="33">
        <v>1.3402200706179673E-2</v>
      </c>
      <c r="AO4138" s="33">
        <v>1.1455777617987283E-3</v>
      </c>
    </row>
    <row r="4139" spans="39:41" x14ac:dyDescent="0.25">
      <c r="AM4139" s="2">
        <v>4136</v>
      </c>
      <c r="AN4139" s="33">
        <v>8.832565359388006E-3</v>
      </c>
      <c r="AO4139" s="33">
        <v>8.9904160051944206E-4</v>
      </c>
    </row>
    <row r="4140" spans="39:41" x14ac:dyDescent="0.25">
      <c r="AM4140" s="2">
        <v>4137</v>
      </c>
      <c r="AN4140" s="33">
        <v>1.2517823759655879E-2</v>
      </c>
      <c r="AO4140" s="33">
        <v>1.1194436959960511E-3</v>
      </c>
    </row>
    <row r="4141" spans="39:41" x14ac:dyDescent="0.25">
      <c r="AM4141" s="2">
        <v>4138</v>
      </c>
      <c r="AN4141" s="33">
        <v>1.571168751290334E-2</v>
      </c>
      <c r="AO4141" s="33">
        <v>1.1790672150338104E-3</v>
      </c>
    </row>
    <row r="4142" spans="39:41" x14ac:dyDescent="0.25">
      <c r="AM4142" s="2">
        <v>4139</v>
      </c>
      <c r="AN4142" s="33">
        <v>1.5195778264227208E-2</v>
      </c>
      <c r="AO4142" s="33">
        <v>1.1288169720473956E-3</v>
      </c>
    </row>
    <row r="4143" spans="39:41" x14ac:dyDescent="0.25">
      <c r="AM4143" s="2">
        <v>4140</v>
      </c>
      <c r="AN4143" s="33">
        <v>1.3958123128213328E-2</v>
      </c>
      <c r="AO4143" s="33">
        <v>6.9459122396905363E-4</v>
      </c>
    </row>
    <row r="4144" spans="39:41" x14ac:dyDescent="0.25">
      <c r="AM4144" s="2">
        <v>4141</v>
      </c>
      <c r="AN4144" s="33">
        <v>1.8427485361610225E-2</v>
      </c>
      <c r="AO4144" s="33">
        <v>1.8377929346120863E-3</v>
      </c>
    </row>
    <row r="4145" spans="39:41" x14ac:dyDescent="0.25">
      <c r="AM4145" s="2">
        <v>4142</v>
      </c>
      <c r="AN4145" s="33">
        <v>9.2959239774222831E-3</v>
      </c>
      <c r="AO4145" s="33">
        <v>1.7043309575575364E-4</v>
      </c>
    </row>
    <row r="4146" spans="39:41" x14ac:dyDescent="0.25">
      <c r="AM4146" s="2">
        <v>4143</v>
      </c>
      <c r="AN4146" s="33">
        <v>1.6848852785876989E-2</v>
      </c>
      <c r="AO4146" s="33">
        <v>1.7376546936505113E-3</v>
      </c>
    </row>
    <row r="4147" spans="39:41" x14ac:dyDescent="0.25">
      <c r="AM4147" s="2">
        <v>4144</v>
      </c>
      <c r="AN4147" s="33">
        <v>1.0441451471995938E-2</v>
      </c>
      <c r="AO4147" s="33">
        <v>3.7197364156716896E-4</v>
      </c>
    </row>
    <row r="4148" spans="39:41" x14ac:dyDescent="0.25">
      <c r="AM4148" s="2">
        <v>4145</v>
      </c>
      <c r="AN4148" s="33">
        <v>1.1551939279092966E-2</v>
      </c>
      <c r="AO4148" s="33">
        <v>9.1604419984537785E-4</v>
      </c>
    </row>
    <row r="4149" spans="39:41" x14ac:dyDescent="0.25">
      <c r="AM4149" s="2">
        <v>4146</v>
      </c>
      <c r="AN4149" s="33">
        <v>1.0703069489073106E-2</v>
      </c>
      <c r="AO4149" s="33">
        <v>4.7096577911837523E-4</v>
      </c>
    </row>
    <row r="4150" spans="39:41" x14ac:dyDescent="0.25">
      <c r="AM4150" s="2">
        <v>4147</v>
      </c>
      <c r="AN4150" s="33">
        <v>1.1044718565484661E-2</v>
      </c>
      <c r="AO4150" s="33">
        <v>9.3265464546516102E-4</v>
      </c>
    </row>
    <row r="4151" spans="39:41" x14ac:dyDescent="0.25">
      <c r="AM4151" s="2">
        <v>4148</v>
      </c>
      <c r="AN4151" s="33">
        <v>1.0157342710537415E-2</v>
      </c>
      <c r="AO4151" s="33">
        <v>6.8206249700996572E-4</v>
      </c>
    </row>
    <row r="4152" spans="39:41" x14ac:dyDescent="0.25">
      <c r="AM4152" s="2">
        <v>4149</v>
      </c>
      <c r="AN4152" s="33">
        <v>1.2141120788471156E-2</v>
      </c>
      <c r="AO4152" s="33">
        <v>8.7584464121523518E-4</v>
      </c>
    </row>
    <row r="4153" spans="39:41" x14ac:dyDescent="0.25">
      <c r="AM4153" s="2">
        <v>4150</v>
      </c>
      <c r="AN4153" s="33">
        <v>1.2449277357057026E-2</v>
      </c>
      <c r="AO4153" s="33">
        <v>1.0561293358962772E-3</v>
      </c>
    </row>
    <row r="4154" spans="39:41" x14ac:dyDescent="0.25">
      <c r="AM4154" s="2">
        <v>4151</v>
      </c>
      <c r="AN4154" s="33">
        <v>1.0499303748900717E-2</v>
      </c>
      <c r="AO4154" s="33">
        <v>6.6912188238238608E-4</v>
      </c>
    </row>
    <row r="4155" spans="39:41" x14ac:dyDescent="0.25">
      <c r="AM4155" s="2">
        <v>4152</v>
      </c>
      <c r="AN4155" s="33">
        <v>1.4670414334518078E-2</v>
      </c>
      <c r="AO4155" s="33">
        <v>1.0295561011236917E-3</v>
      </c>
    </row>
    <row r="4156" spans="39:41" x14ac:dyDescent="0.25">
      <c r="AM4156" s="2">
        <v>4153</v>
      </c>
      <c r="AN4156" s="33">
        <v>1.1420429079048569E-2</v>
      </c>
      <c r="AO4156" s="33">
        <v>9.0812013351622737E-4</v>
      </c>
    </row>
    <row r="4157" spans="39:41" x14ac:dyDescent="0.25">
      <c r="AM4157" s="2">
        <v>4154</v>
      </c>
      <c r="AN4157" s="33">
        <v>1.1898624148137193E-2</v>
      </c>
      <c r="AO4157" s="33">
        <v>1.223594781090254E-3</v>
      </c>
    </row>
    <row r="4158" spans="39:41" x14ac:dyDescent="0.25">
      <c r="AM4158" s="2">
        <v>4155</v>
      </c>
      <c r="AN4158" s="33">
        <v>1.1928372860289745E-2</v>
      </c>
      <c r="AO4158" s="33">
        <v>7.944637735547808E-4</v>
      </c>
    </row>
    <row r="4159" spans="39:41" x14ac:dyDescent="0.25">
      <c r="AM4159" s="2">
        <v>4156</v>
      </c>
      <c r="AN4159" s="33">
        <v>8.9516174383314547E-3</v>
      </c>
      <c r="AO4159" s="33">
        <v>3.7457109445019878E-4</v>
      </c>
    </row>
    <row r="4160" spans="39:41" x14ac:dyDescent="0.25">
      <c r="AM4160" s="2">
        <v>4157</v>
      </c>
      <c r="AN4160" s="33">
        <v>8.8252455315405882E-3</v>
      </c>
      <c r="AO4160" s="33">
        <v>4.5370480382590398E-4</v>
      </c>
    </row>
    <row r="4161" spans="39:41" x14ac:dyDescent="0.25">
      <c r="AM4161" s="2">
        <v>4158</v>
      </c>
      <c r="AN4161" s="33">
        <v>1.149025789815844E-2</v>
      </c>
      <c r="AO4161" s="33">
        <v>4.2481047038532002E-4</v>
      </c>
    </row>
    <row r="4162" spans="39:41" x14ac:dyDescent="0.25">
      <c r="AM4162" s="2">
        <v>4159</v>
      </c>
      <c r="AN4162" s="33">
        <v>1.1732569117570335E-2</v>
      </c>
      <c r="AO4162" s="33">
        <v>5.3190331120212399E-4</v>
      </c>
    </row>
    <row r="4163" spans="39:41" x14ac:dyDescent="0.25">
      <c r="AM4163" s="2">
        <v>4160</v>
      </c>
      <c r="AN4163" s="33">
        <v>1.3670125966901075E-2</v>
      </c>
      <c r="AO4163" s="33">
        <v>1.045078686241656E-3</v>
      </c>
    </row>
    <row r="4164" spans="39:41" x14ac:dyDescent="0.25">
      <c r="AM4164" s="2">
        <v>4161</v>
      </c>
      <c r="AN4164" s="33">
        <v>9.6955348547056071E-3</v>
      </c>
      <c r="AO4164" s="33">
        <v>8.2947921837754689E-4</v>
      </c>
    </row>
    <row r="4165" spans="39:41" x14ac:dyDescent="0.25">
      <c r="AM4165" s="2">
        <v>4162</v>
      </c>
      <c r="AN4165" s="33">
        <v>7.6407654846147692E-3</v>
      </c>
      <c r="AO4165" s="33">
        <v>5.5370348097267359E-4</v>
      </c>
    </row>
    <row r="4166" spans="39:41" x14ac:dyDescent="0.25">
      <c r="AM4166" s="2">
        <v>4163</v>
      </c>
      <c r="AN4166" s="33">
        <v>1.3525961770364416E-2</v>
      </c>
      <c r="AO4166" s="33">
        <v>1.000169230618727E-3</v>
      </c>
    </row>
    <row r="4167" spans="39:41" x14ac:dyDescent="0.25">
      <c r="AM4167" s="2">
        <v>4164</v>
      </c>
      <c r="AN4167" s="33">
        <v>9.7127716780057161E-3</v>
      </c>
      <c r="AO4167" s="33">
        <v>6.5278820784229043E-4</v>
      </c>
    </row>
    <row r="4168" spans="39:41" x14ac:dyDescent="0.25">
      <c r="AM4168" s="2">
        <v>4165</v>
      </c>
      <c r="AN4168" s="33">
        <v>1.2410555492828323E-2</v>
      </c>
      <c r="AO4168" s="33">
        <v>1.2664788872147664E-3</v>
      </c>
    </row>
    <row r="4169" spans="39:41" x14ac:dyDescent="0.25">
      <c r="AM4169" s="2">
        <v>4166</v>
      </c>
      <c r="AN4169" s="33">
        <v>1.2285260029523406E-2</v>
      </c>
      <c r="AO4169" s="33">
        <v>5.7460448029767039E-4</v>
      </c>
    </row>
    <row r="4170" spans="39:41" x14ac:dyDescent="0.25">
      <c r="AM4170" s="2">
        <v>4167</v>
      </c>
      <c r="AN4170" s="33">
        <v>1.6880427213899256E-2</v>
      </c>
      <c r="AO4170" s="33">
        <v>1.3461237276445207E-3</v>
      </c>
    </row>
    <row r="4171" spans="39:41" x14ac:dyDescent="0.25">
      <c r="AM4171" s="2">
        <v>4168</v>
      </c>
      <c r="AN4171" s="33">
        <v>1.1200719043164433E-2</v>
      </c>
      <c r="AO4171" s="33">
        <v>6.5741124481127715E-4</v>
      </c>
    </row>
    <row r="4172" spans="39:41" x14ac:dyDescent="0.25">
      <c r="AM4172" s="2">
        <v>4169</v>
      </c>
      <c r="AN4172" s="33">
        <v>1.4337710102807469E-2</v>
      </c>
      <c r="AO4172" s="33">
        <v>1.1165885746411603E-3</v>
      </c>
    </row>
    <row r="4173" spans="39:41" x14ac:dyDescent="0.25">
      <c r="AM4173" s="2">
        <v>4170</v>
      </c>
      <c r="AN4173" s="33">
        <v>1.0290619470021616E-2</v>
      </c>
      <c r="AO4173" s="33">
        <v>7.812437055054126E-4</v>
      </c>
    </row>
    <row r="4174" spans="39:41" x14ac:dyDescent="0.25">
      <c r="AM4174" s="2">
        <v>4171</v>
      </c>
      <c r="AN4174" s="33">
        <v>9.8173695823738777E-3</v>
      </c>
      <c r="AO4174" s="33">
        <v>6.7271506461716367E-4</v>
      </c>
    </row>
    <row r="4175" spans="39:41" x14ac:dyDescent="0.25">
      <c r="AM4175" s="2">
        <v>4172</v>
      </c>
      <c r="AN4175" s="33">
        <v>1.2091952426634522E-2</v>
      </c>
      <c r="AO4175" s="33">
        <v>1.0363672231409275E-3</v>
      </c>
    </row>
    <row r="4176" spans="39:41" x14ac:dyDescent="0.25">
      <c r="AM4176" s="2">
        <v>4173</v>
      </c>
      <c r="AN4176" s="33">
        <v>1.3495017009693834E-2</v>
      </c>
      <c r="AO4176" s="33">
        <v>1.1729062837356153E-3</v>
      </c>
    </row>
    <row r="4177" spans="39:41" x14ac:dyDescent="0.25">
      <c r="AM4177" s="2">
        <v>4174</v>
      </c>
      <c r="AN4177" s="33">
        <v>1.709418940819667E-2</v>
      </c>
      <c r="AO4177" s="33">
        <v>1.3814047582534103E-3</v>
      </c>
    </row>
    <row r="4178" spans="39:41" x14ac:dyDescent="0.25">
      <c r="AM4178" s="2">
        <v>4175</v>
      </c>
      <c r="AN4178" s="33">
        <v>1.1995251686744333E-2</v>
      </c>
      <c r="AO4178" s="33">
        <v>1.1445737025241381E-3</v>
      </c>
    </row>
    <row r="4179" spans="39:41" x14ac:dyDescent="0.25">
      <c r="AM4179" s="2">
        <v>4176</v>
      </c>
      <c r="AN4179" s="33">
        <v>1.1651351978335103E-2</v>
      </c>
      <c r="AO4179" s="33">
        <v>7.0979398254142128E-4</v>
      </c>
    </row>
    <row r="4180" spans="39:41" x14ac:dyDescent="0.25">
      <c r="AM4180" s="2">
        <v>4177</v>
      </c>
      <c r="AN4180" s="33">
        <v>8.6320944986051657E-3</v>
      </c>
      <c r="AO4180" s="33">
        <v>3.2891932325385185E-4</v>
      </c>
    </row>
    <row r="4181" spans="39:41" x14ac:dyDescent="0.25">
      <c r="AM4181" s="2">
        <v>4178</v>
      </c>
      <c r="AN4181" s="33">
        <v>1.0201976070998358E-2</v>
      </c>
      <c r="AO4181" s="33">
        <v>3.8071069223332256E-4</v>
      </c>
    </row>
    <row r="4182" spans="39:41" x14ac:dyDescent="0.25">
      <c r="AM4182" s="2">
        <v>4179</v>
      </c>
      <c r="AN4182" s="33">
        <v>8.7213560298576472E-3</v>
      </c>
      <c r="AO4182" s="33">
        <v>3.862972200765321E-4</v>
      </c>
    </row>
    <row r="4183" spans="39:41" x14ac:dyDescent="0.25">
      <c r="AM4183" s="2">
        <v>4180</v>
      </c>
      <c r="AN4183" s="33">
        <v>1.2026980921336061E-2</v>
      </c>
      <c r="AO4183" s="33">
        <v>1.0368092270041944E-3</v>
      </c>
    </row>
    <row r="4184" spans="39:41" x14ac:dyDescent="0.25">
      <c r="AM4184" s="2">
        <v>4181</v>
      </c>
      <c r="AN4184" s="33">
        <v>1.3105847279420355E-2</v>
      </c>
      <c r="AO4184" s="33">
        <v>1.3969130475352158E-3</v>
      </c>
    </row>
    <row r="4185" spans="39:41" x14ac:dyDescent="0.25">
      <c r="AM4185" s="2">
        <v>4182</v>
      </c>
      <c r="AN4185" s="33">
        <v>1.1960943506611898E-2</v>
      </c>
      <c r="AO4185" s="33">
        <v>1.1188033652273451E-3</v>
      </c>
    </row>
    <row r="4186" spans="39:41" x14ac:dyDescent="0.25">
      <c r="AM4186" s="2">
        <v>4183</v>
      </c>
      <c r="AN4186" s="33">
        <v>1.0475536118131649E-2</v>
      </c>
      <c r="AO4186" s="33">
        <v>7.750702007867428E-4</v>
      </c>
    </row>
    <row r="4187" spans="39:41" x14ac:dyDescent="0.25">
      <c r="AM4187" s="2">
        <v>4184</v>
      </c>
      <c r="AN4187" s="33">
        <v>1.6271197773777141E-2</v>
      </c>
      <c r="AO4187" s="33">
        <v>4.134834577211807E-4</v>
      </c>
    </row>
    <row r="4188" spans="39:41" x14ac:dyDescent="0.25">
      <c r="AM4188" s="2">
        <v>4185</v>
      </c>
      <c r="AN4188" s="33">
        <v>1.0352858492255486E-2</v>
      </c>
      <c r="AO4188" s="33">
        <v>7.7215750448233415E-4</v>
      </c>
    </row>
    <row r="4189" spans="39:41" x14ac:dyDescent="0.25">
      <c r="AM4189" s="2">
        <v>4186</v>
      </c>
      <c r="AN4189" s="33">
        <v>1.5160430839020874E-2</v>
      </c>
      <c r="AO4189" s="33">
        <v>1.244245010995502E-3</v>
      </c>
    </row>
    <row r="4190" spans="39:41" x14ac:dyDescent="0.25">
      <c r="AM4190" s="2">
        <v>4187</v>
      </c>
      <c r="AN4190" s="33">
        <v>1.2858609181709628E-2</v>
      </c>
      <c r="AO4190" s="33">
        <v>8.1404526254829778E-4</v>
      </c>
    </row>
    <row r="4191" spans="39:41" x14ac:dyDescent="0.25">
      <c r="AM4191" s="2">
        <v>4188</v>
      </c>
      <c r="AN4191" s="33">
        <v>1.3749338671137338E-2</v>
      </c>
      <c r="AO4191" s="33">
        <v>1.2856357228979889E-3</v>
      </c>
    </row>
    <row r="4192" spans="39:41" x14ac:dyDescent="0.25">
      <c r="AM4192" s="2">
        <v>4189</v>
      </c>
      <c r="AN4192" s="33">
        <v>1.0143845042366147E-2</v>
      </c>
      <c r="AO4192" s="33">
        <v>3.4184059645812811E-4</v>
      </c>
    </row>
    <row r="4193" spans="39:41" x14ac:dyDescent="0.25">
      <c r="AM4193" s="2">
        <v>4190</v>
      </c>
      <c r="AN4193" s="33">
        <v>9.7485623473846112E-3</v>
      </c>
      <c r="AO4193" s="33">
        <v>7.6322817340765436E-4</v>
      </c>
    </row>
    <row r="4194" spans="39:41" x14ac:dyDescent="0.25">
      <c r="AM4194" s="2">
        <v>4191</v>
      </c>
      <c r="AN4194" s="33">
        <v>8.7324678572642655E-3</v>
      </c>
      <c r="AO4194" s="33">
        <v>8.8225531970344338E-4</v>
      </c>
    </row>
    <row r="4195" spans="39:41" x14ac:dyDescent="0.25">
      <c r="AM4195" s="2">
        <v>4192</v>
      </c>
      <c r="AN4195" s="33">
        <v>1.2968295048533956E-2</v>
      </c>
      <c r="AO4195" s="33">
        <v>8.323366444961428E-4</v>
      </c>
    </row>
    <row r="4196" spans="39:41" x14ac:dyDescent="0.25">
      <c r="AM4196" s="2">
        <v>4193</v>
      </c>
      <c r="AN4196" s="33">
        <v>1.3216865380479564E-2</v>
      </c>
      <c r="AO4196" s="33">
        <v>1.0386749424747164E-3</v>
      </c>
    </row>
    <row r="4197" spans="39:41" x14ac:dyDescent="0.25">
      <c r="AM4197" s="2">
        <v>4194</v>
      </c>
      <c r="AN4197" s="33">
        <v>8.6816930774170492E-3</v>
      </c>
      <c r="AO4197" s="33">
        <v>6.5026302276230906E-4</v>
      </c>
    </row>
    <row r="4198" spans="39:41" x14ac:dyDescent="0.25">
      <c r="AM4198" s="2">
        <v>4195</v>
      </c>
      <c r="AN4198" s="33">
        <v>8.0051762697091414E-3</v>
      </c>
      <c r="AO4198" s="33">
        <v>1.4621003811938639E-4</v>
      </c>
    </row>
    <row r="4199" spans="39:41" x14ac:dyDescent="0.25">
      <c r="AM4199" s="2">
        <v>4196</v>
      </c>
      <c r="AN4199" s="33">
        <v>1.0177543527902145E-2</v>
      </c>
      <c r="AO4199" s="33">
        <v>1.0255785336862322E-3</v>
      </c>
    </row>
    <row r="4200" spans="39:41" x14ac:dyDescent="0.25">
      <c r="AM4200" s="2">
        <v>4197</v>
      </c>
      <c r="AN4200" s="33">
        <v>1.0331264287611346E-2</v>
      </c>
      <c r="AO4200" s="33">
        <v>9.4896860636362263E-4</v>
      </c>
    </row>
    <row r="4201" spans="39:41" x14ac:dyDescent="0.25">
      <c r="AM4201" s="2">
        <v>4198</v>
      </c>
      <c r="AN4201" s="33">
        <v>1.0640472779452214E-2</v>
      </c>
      <c r="AO4201" s="33">
        <v>5.9261517748625627E-4</v>
      </c>
    </row>
    <row r="4202" spans="39:41" x14ac:dyDescent="0.25">
      <c r="AM4202" s="2">
        <v>4199</v>
      </c>
      <c r="AN4202" s="33">
        <v>1.0087047381338643E-2</v>
      </c>
      <c r="AO4202" s="33">
        <v>8.459931675217743E-4</v>
      </c>
    </row>
    <row r="4203" spans="39:41" x14ac:dyDescent="0.25">
      <c r="AM4203" s="2">
        <v>4200</v>
      </c>
      <c r="AN4203" s="33">
        <v>1.5399172343799701E-2</v>
      </c>
      <c r="AO4203" s="33">
        <v>1.1851464293775392E-3</v>
      </c>
    </row>
    <row r="4204" spans="39:41" x14ac:dyDescent="0.25">
      <c r="AM4204" s="2">
        <v>4201</v>
      </c>
      <c r="AN4204" s="33">
        <v>1.4019961878918481E-2</v>
      </c>
      <c r="AO4204" s="33">
        <v>8.5614371582054375E-4</v>
      </c>
    </row>
    <row r="4205" spans="39:41" x14ac:dyDescent="0.25">
      <c r="AM4205" s="2">
        <v>4202</v>
      </c>
      <c r="AN4205" s="33">
        <v>1.1937441438324165E-2</v>
      </c>
      <c r="AO4205" s="33">
        <v>3.650047581731093E-4</v>
      </c>
    </row>
    <row r="4206" spans="39:41" x14ac:dyDescent="0.25">
      <c r="AM4206" s="2">
        <v>4203</v>
      </c>
      <c r="AN4206" s="33">
        <v>2.0064742656799729E-2</v>
      </c>
      <c r="AO4206" s="33">
        <v>1.8422697975295067E-3</v>
      </c>
    </row>
    <row r="4207" spans="39:41" x14ac:dyDescent="0.25">
      <c r="AM4207" s="2">
        <v>4204</v>
      </c>
      <c r="AN4207" s="33">
        <v>1.1308020702148844E-2</v>
      </c>
      <c r="AO4207" s="33">
        <v>6.8871923411084428E-4</v>
      </c>
    </row>
    <row r="4208" spans="39:41" x14ac:dyDescent="0.25">
      <c r="AM4208" s="2">
        <v>4205</v>
      </c>
      <c r="AN4208" s="33">
        <v>1.2560592409530618E-2</v>
      </c>
      <c r="AO4208" s="33">
        <v>1.177041894413275E-3</v>
      </c>
    </row>
    <row r="4209" spans="39:41" x14ac:dyDescent="0.25">
      <c r="AM4209" s="2">
        <v>4206</v>
      </c>
      <c r="AN4209" s="33">
        <v>9.8846664502143956E-3</v>
      </c>
      <c r="AO4209" s="33">
        <v>6.4789020571546802E-4</v>
      </c>
    </row>
    <row r="4210" spans="39:41" x14ac:dyDescent="0.25">
      <c r="AM4210" s="2">
        <v>4207</v>
      </c>
      <c r="AN4210" s="33">
        <v>1.2405865643366758E-2</v>
      </c>
      <c r="AO4210" s="33">
        <v>6.0302799762110824E-4</v>
      </c>
    </row>
    <row r="4211" spans="39:41" x14ac:dyDescent="0.25">
      <c r="AM4211" s="2">
        <v>4208</v>
      </c>
      <c r="AN4211" s="33">
        <v>1.0854293438225202E-2</v>
      </c>
      <c r="AO4211" s="33">
        <v>7.6586758144858442E-4</v>
      </c>
    </row>
    <row r="4212" spans="39:41" x14ac:dyDescent="0.25">
      <c r="AM4212" s="2">
        <v>4209</v>
      </c>
      <c r="AN4212" s="33">
        <v>1.003845502263317E-2</v>
      </c>
      <c r="AO4212" s="33">
        <v>6.5818162959255971E-4</v>
      </c>
    </row>
    <row r="4213" spans="39:41" x14ac:dyDescent="0.25">
      <c r="AM4213" s="2">
        <v>4210</v>
      </c>
      <c r="AN4213" s="33">
        <v>1.3169662069716214E-2</v>
      </c>
      <c r="AO4213" s="33">
        <v>7.5785721273025758E-4</v>
      </c>
    </row>
    <row r="4214" spans="39:41" x14ac:dyDescent="0.25">
      <c r="AM4214" s="2">
        <v>4211</v>
      </c>
      <c r="AN4214" s="33">
        <v>1.2345272928566848E-2</v>
      </c>
      <c r="AO4214" s="33">
        <v>1.1616690908976839E-3</v>
      </c>
    </row>
    <row r="4215" spans="39:41" x14ac:dyDescent="0.25">
      <c r="AM4215" s="2">
        <v>4212</v>
      </c>
      <c r="AN4215" s="33">
        <v>1.0394228575226101E-2</v>
      </c>
      <c r="AO4215" s="33">
        <v>4.9360404405150737E-4</v>
      </c>
    </row>
    <row r="4216" spans="39:41" x14ac:dyDescent="0.25">
      <c r="AM4216" s="2">
        <v>4213</v>
      </c>
      <c r="AN4216" s="33">
        <v>1.3982842424020675E-2</v>
      </c>
      <c r="AO4216" s="33">
        <v>1.2659979127017031E-3</v>
      </c>
    </row>
    <row r="4217" spans="39:41" x14ac:dyDescent="0.25">
      <c r="AM4217" s="2">
        <v>4214</v>
      </c>
      <c r="AN4217" s="33">
        <v>1.2658771491240743E-2</v>
      </c>
      <c r="AO4217" s="33">
        <v>4.3994137290403264E-4</v>
      </c>
    </row>
    <row r="4218" spans="39:41" x14ac:dyDescent="0.25">
      <c r="AM4218" s="2">
        <v>4215</v>
      </c>
      <c r="AN4218" s="33">
        <v>9.1550299862476342E-3</v>
      </c>
      <c r="AO4218" s="33">
        <v>6.5875757348347874E-4</v>
      </c>
    </row>
    <row r="4219" spans="39:41" x14ac:dyDescent="0.25">
      <c r="AM4219" s="2">
        <v>4216</v>
      </c>
      <c r="AN4219" s="33">
        <v>1.5034836600119025E-2</v>
      </c>
      <c r="AO4219" s="33">
        <v>1.2762330636728841E-3</v>
      </c>
    </row>
    <row r="4220" spans="39:41" x14ac:dyDescent="0.25">
      <c r="AM4220" s="2">
        <v>4217</v>
      </c>
      <c r="AN4220" s="33">
        <v>1.2290740990212271E-2</v>
      </c>
      <c r="AO4220" s="33">
        <v>3.0851679368796756E-4</v>
      </c>
    </row>
    <row r="4221" spans="39:41" x14ac:dyDescent="0.25">
      <c r="AM4221" s="2">
        <v>4218</v>
      </c>
      <c r="AN4221" s="33">
        <v>1.2296785355744815E-2</v>
      </c>
      <c r="AO4221" s="33">
        <v>5.7653358697774479E-4</v>
      </c>
    </row>
    <row r="4222" spans="39:41" x14ac:dyDescent="0.25">
      <c r="AM4222" s="2">
        <v>4219</v>
      </c>
      <c r="AN4222" s="33">
        <v>8.8067379745234604E-3</v>
      </c>
      <c r="AO4222" s="33">
        <v>7.6738402984292031E-4</v>
      </c>
    </row>
    <row r="4223" spans="39:41" x14ac:dyDescent="0.25">
      <c r="AM4223" s="2">
        <v>4220</v>
      </c>
      <c r="AN4223" s="33">
        <v>1.0205832184218866E-2</v>
      </c>
      <c r="AO4223" s="33">
        <v>4.9372072884912451E-4</v>
      </c>
    </row>
    <row r="4224" spans="39:41" x14ac:dyDescent="0.25">
      <c r="AM4224" s="2">
        <v>4221</v>
      </c>
      <c r="AN4224" s="33">
        <v>1.1487833613261132E-2</v>
      </c>
      <c r="AO4224" s="33">
        <v>6.6002399316959705E-4</v>
      </c>
    </row>
    <row r="4225" spans="39:41" x14ac:dyDescent="0.25">
      <c r="AM4225" s="2">
        <v>4222</v>
      </c>
      <c r="AN4225" s="33">
        <v>1.1619647426539547E-2</v>
      </c>
      <c r="AO4225" s="33">
        <v>1.0696400705764544E-3</v>
      </c>
    </row>
    <row r="4226" spans="39:41" x14ac:dyDescent="0.25">
      <c r="AM4226" s="2">
        <v>4223</v>
      </c>
      <c r="AN4226" s="33">
        <v>1.3593335303266018E-2</v>
      </c>
      <c r="AO4226" s="33">
        <v>9.7169244882225239E-4</v>
      </c>
    </row>
    <row r="4227" spans="39:41" x14ac:dyDescent="0.25">
      <c r="AM4227" s="2">
        <v>4224</v>
      </c>
      <c r="AN4227" s="33">
        <v>1.0668438983885592E-2</v>
      </c>
      <c r="AO4227" s="33">
        <v>4.3605443989476965E-4</v>
      </c>
    </row>
    <row r="4228" spans="39:41" x14ac:dyDescent="0.25">
      <c r="AM4228" s="2">
        <v>4225</v>
      </c>
      <c r="AN4228" s="33">
        <v>1.3349608488174637E-2</v>
      </c>
      <c r="AO4228" s="33">
        <v>1.2712024290677261E-3</v>
      </c>
    </row>
    <row r="4229" spans="39:41" x14ac:dyDescent="0.25">
      <c r="AM4229" s="2">
        <v>4226</v>
      </c>
      <c r="AN4229" s="33">
        <v>1.1582138958824015E-2</v>
      </c>
      <c r="AO4229" s="33">
        <v>5.6736380036482615E-4</v>
      </c>
    </row>
    <row r="4230" spans="39:41" x14ac:dyDescent="0.25">
      <c r="AM4230" s="2">
        <v>4227</v>
      </c>
      <c r="AN4230" s="33">
        <v>1.1967833840703261E-2</v>
      </c>
      <c r="AO4230" s="33">
        <v>6.4766573469693205E-4</v>
      </c>
    </row>
    <row r="4231" spans="39:41" x14ac:dyDescent="0.25">
      <c r="AM4231" s="2">
        <v>4228</v>
      </c>
      <c r="AN4231" s="33">
        <v>1.4039170388979836E-2</v>
      </c>
      <c r="AO4231" s="33">
        <v>1.3360660977897766E-3</v>
      </c>
    </row>
    <row r="4232" spans="39:41" x14ac:dyDescent="0.25">
      <c r="AM4232" s="2">
        <v>4229</v>
      </c>
      <c r="AN4232" s="33">
        <v>1.0759902729454816E-2</v>
      </c>
      <c r="AO4232" s="33">
        <v>6.9173866717717289E-4</v>
      </c>
    </row>
    <row r="4233" spans="39:41" x14ac:dyDescent="0.25">
      <c r="AM4233" s="2">
        <v>4230</v>
      </c>
      <c r="AN4233" s="33">
        <v>1.0229475788853918E-2</v>
      </c>
      <c r="AO4233" s="33">
        <v>1.0557083481561697E-3</v>
      </c>
    </row>
    <row r="4234" spans="39:41" x14ac:dyDescent="0.25">
      <c r="AM4234" s="2">
        <v>4231</v>
      </c>
      <c r="AN4234" s="33">
        <v>1.0331541026738836E-2</v>
      </c>
      <c r="AO4234" s="33">
        <v>4.7286748831691986E-4</v>
      </c>
    </row>
    <row r="4235" spans="39:41" x14ac:dyDescent="0.25">
      <c r="AM4235" s="2">
        <v>4232</v>
      </c>
      <c r="AN4235" s="33">
        <v>1.0845241230970528E-2</v>
      </c>
      <c r="AO4235" s="33">
        <v>7.8559460899755283E-4</v>
      </c>
    </row>
    <row r="4236" spans="39:41" x14ac:dyDescent="0.25">
      <c r="AM4236" s="2">
        <v>4233</v>
      </c>
      <c r="AN4236" s="33">
        <v>1.3522752974975414E-2</v>
      </c>
      <c r="AO4236" s="33">
        <v>1.2870060507458698E-3</v>
      </c>
    </row>
    <row r="4237" spans="39:41" x14ac:dyDescent="0.25">
      <c r="AM4237" s="2">
        <v>4234</v>
      </c>
      <c r="AN4237" s="33">
        <v>1.1520669194482473E-2</v>
      </c>
      <c r="AO4237" s="33">
        <v>9.0168453447585879E-4</v>
      </c>
    </row>
    <row r="4238" spans="39:41" x14ac:dyDescent="0.25">
      <c r="AM4238" s="2">
        <v>4235</v>
      </c>
      <c r="AN4238" s="33">
        <v>1.0979211144640481E-2</v>
      </c>
      <c r="AO4238" s="33">
        <v>4.4788900272215229E-4</v>
      </c>
    </row>
    <row r="4239" spans="39:41" x14ac:dyDescent="0.25">
      <c r="AM4239" s="2">
        <v>4236</v>
      </c>
      <c r="AN4239" s="33">
        <v>9.7226964106871486E-3</v>
      </c>
      <c r="AO4239" s="33">
        <v>8.4139254015719116E-4</v>
      </c>
    </row>
    <row r="4240" spans="39:41" x14ac:dyDescent="0.25">
      <c r="AM4240" s="2">
        <v>4237</v>
      </c>
      <c r="AN4240" s="33">
        <v>1.1182216184880111E-2</v>
      </c>
      <c r="AO4240" s="33">
        <v>1.0738509895049054E-3</v>
      </c>
    </row>
    <row r="4241" spans="39:41" x14ac:dyDescent="0.25">
      <c r="AM4241" s="2">
        <v>4238</v>
      </c>
      <c r="AN4241" s="33">
        <v>1.3664585827194332E-2</v>
      </c>
      <c r="AO4241" s="33">
        <v>8.5124768418035903E-4</v>
      </c>
    </row>
    <row r="4242" spans="39:41" x14ac:dyDescent="0.25">
      <c r="AM4242" s="2">
        <v>4239</v>
      </c>
      <c r="AN4242" s="33">
        <v>1.0119558026521477E-2</v>
      </c>
      <c r="AO4242" s="33">
        <v>8.4672770326043754E-4</v>
      </c>
    </row>
    <row r="4243" spans="39:41" x14ac:dyDescent="0.25">
      <c r="AM4243" s="2">
        <v>4240</v>
      </c>
      <c r="AN4243" s="33">
        <v>1.0799321608840702E-2</v>
      </c>
      <c r="AO4243" s="33">
        <v>9.9305282419657765E-4</v>
      </c>
    </row>
    <row r="4244" spans="39:41" x14ac:dyDescent="0.25">
      <c r="AM4244" s="2">
        <v>4241</v>
      </c>
      <c r="AN4244" s="33">
        <v>1.3312044293966789E-2</v>
      </c>
      <c r="AO4244" s="33">
        <v>1.3304306770172674E-3</v>
      </c>
    </row>
    <row r="4245" spans="39:41" x14ac:dyDescent="0.25">
      <c r="AM4245" s="2">
        <v>4242</v>
      </c>
      <c r="AN4245" s="33">
        <v>1.2258068771532552E-2</v>
      </c>
      <c r="AO4245" s="33">
        <v>7.5327477718306515E-4</v>
      </c>
    </row>
    <row r="4246" spans="39:41" x14ac:dyDescent="0.25">
      <c r="AM4246" s="2">
        <v>4243</v>
      </c>
      <c r="AN4246" s="33">
        <v>1.495615294506138E-2</v>
      </c>
      <c r="AO4246" s="33">
        <v>1.4153643315746086E-3</v>
      </c>
    </row>
    <row r="4247" spans="39:41" x14ac:dyDescent="0.25">
      <c r="AM4247" s="2">
        <v>4244</v>
      </c>
      <c r="AN4247" s="33">
        <v>1.1221710926110904E-2</v>
      </c>
      <c r="AO4247" s="33">
        <v>3.4870394765468168E-4</v>
      </c>
    </row>
    <row r="4248" spans="39:41" x14ac:dyDescent="0.25">
      <c r="AM4248" s="2">
        <v>4245</v>
      </c>
      <c r="AN4248" s="33">
        <v>1.2657317767995578E-2</v>
      </c>
      <c r="AO4248" s="33">
        <v>9.4030411416899044E-4</v>
      </c>
    </row>
    <row r="4249" spans="39:41" x14ac:dyDescent="0.25">
      <c r="AM4249" s="2">
        <v>4246</v>
      </c>
      <c r="AN4249" s="33">
        <v>1.6064836069852217E-2</v>
      </c>
      <c r="AO4249" s="33">
        <v>1.4285574539016159E-3</v>
      </c>
    </row>
    <row r="4250" spans="39:41" x14ac:dyDescent="0.25">
      <c r="AM4250" s="2">
        <v>4247</v>
      </c>
      <c r="AN4250" s="33">
        <v>1.0204528586788669E-2</v>
      </c>
      <c r="AO4250" s="33">
        <v>7.9111433397823969E-4</v>
      </c>
    </row>
    <row r="4251" spans="39:41" x14ac:dyDescent="0.25">
      <c r="AM4251" s="2">
        <v>4248</v>
      </c>
      <c r="AN4251" s="33">
        <v>1.2667871470739264E-2</v>
      </c>
      <c r="AO4251" s="33">
        <v>4.6082330077277741E-4</v>
      </c>
    </row>
    <row r="4252" spans="39:41" x14ac:dyDescent="0.25">
      <c r="AM4252" s="2">
        <v>4249</v>
      </c>
      <c r="AN4252" s="33">
        <v>1.2200923048311711E-2</v>
      </c>
      <c r="AO4252" s="33">
        <v>7.7207914829348877E-4</v>
      </c>
    </row>
    <row r="4253" spans="39:41" x14ac:dyDescent="0.25">
      <c r="AM4253" s="2">
        <v>4250</v>
      </c>
      <c r="AN4253" s="33">
        <v>1.2915720310272532E-2</v>
      </c>
      <c r="AO4253" s="33">
        <v>8.5795816951098969E-4</v>
      </c>
    </row>
    <row r="4254" spans="39:41" x14ac:dyDescent="0.25">
      <c r="AM4254" s="2">
        <v>4251</v>
      </c>
      <c r="AN4254" s="33">
        <v>1.4423425509857691E-2</v>
      </c>
      <c r="AO4254" s="33">
        <v>1.433137786108062E-3</v>
      </c>
    </row>
    <row r="4255" spans="39:41" x14ac:dyDescent="0.25">
      <c r="AM4255" s="2">
        <v>4252</v>
      </c>
      <c r="AN4255" s="33">
        <v>1.515889276722745E-2</v>
      </c>
      <c r="AO4255" s="33">
        <v>1.3632437391682909E-3</v>
      </c>
    </row>
    <row r="4256" spans="39:41" x14ac:dyDescent="0.25">
      <c r="AM4256" s="2">
        <v>4253</v>
      </c>
      <c r="AN4256" s="33">
        <v>8.9568880029875769E-3</v>
      </c>
      <c r="AO4256" s="33">
        <v>4.4658739541385408E-4</v>
      </c>
    </row>
    <row r="4257" spans="39:41" x14ac:dyDescent="0.25">
      <c r="AM4257" s="2">
        <v>4254</v>
      </c>
      <c r="AN4257" s="33">
        <v>1.3142549686104066E-2</v>
      </c>
      <c r="AO4257" s="33">
        <v>1.2623990012027931E-3</v>
      </c>
    </row>
    <row r="4258" spans="39:41" x14ac:dyDescent="0.25">
      <c r="AM4258" s="2">
        <v>4255</v>
      </c>
      <c r="AN4258" s="33">
        <v>1.0376799919108049E-2</v>
      </c>
      <c r="AO4258" s="33">
        <v>5.9420330479756302E-4</v>
      </c>
    </row>
    <row r="4259" spans="39:41" x14ac:dyDescent="0.25">
      <c r="AM4259" s="2">
        <v>4256</v>
      </c>
      <c r="AN4259" s="33">
        <v>1.0521320903132486E-2</v>
      </c>
      <c r="AO4259" s="33">
        <v>2.2391137340277672E-4</v>
      </c>
    </row>
    <row r="4260" spans="39:41" x14ac:dyDescent="0.25">
      <c r="AM4260" s="2">
        <v>4257</v>
      </c>
      <c r="AN4260" s="33">
        <v>9.8984666016042975E-3</v>
      </c>
      <c r="AO4260" s="33">
        <v>8.5657233926678871E-4</v>
      </c>
    </row>
    <row r="4261" spans="39:41" x14ac:dyDescent="0.25">
      <c r="AM4261" s="2">
        <v>4258</v>
      </c>
      <c r="AN4261" s="33">
        <v>1.345379318109431E-2</v>
      </c>
      <c r="AO4261" s="33">
        <v>1.3208633293228149E-3</v>
      </c>
    </row>
    <row r="4262" spans="39:41" x14ac:dyDescent="0.25">
      <c r="AM4262" s="2">
        <v>4259</v>
      </c>
      <c r="AN4262" s="33">
        <v>1.4092699393461161E-2</v>
      </c>
      <c r="AO4262" s="33">
        <v>1.2152442519491938E-3</v>
      </c>
    </row>
    <row r="4263" spans="39:41" x14ac:dyDescent="0.25">
      <c r="AM4263" s="2">
        <v>4260</v>
      </c>
      <c r="AN4263" s="33">
        <v>1.0426259247993798E-2</v>
      </c>
      <c r="AO4263" s="33">
        <v>8.5580964224129359E-4</v>
      </c>
    </row>
    <row r="4264" spans="39:41" x14ac:dyDescent="0.25">
      <c r="AM4264" s="2">
        <v>4261</v>
      </c>
      <c r="AN4264" s="33">
        <v>8.988661017187172E-3</v>
      </c>
      <c r="AO4264" s="33">
        <v>6.618448338533944E-4</v>
      </c>
    </row>
    <row r="4265" spans="39:41" x14ac:dyDescent="0.25">
      <c r="AM4265" s="2">
        <v>4262</v>
      </c>
      <c r="AN4265" s="33">
        <v>1.2485132141107677E-2</v>
      </c>
      <c r="AO4265" s="33">
        <v>1.0642452786157621E-3</v>
      </c>
    </row>
    <row r="4266" spans="39:41" x14ac:dyDescent="0.25">
      <c r="AM4266" s="2">
        <v>4263</v>
      </c>
      <c r="AN4266" s="33">
        <v>1.0287793254898214E-2</v>
      </c>
      <c r="AO4266" s="33">
        <v>5.5037739908845153E-4</v>
      </c>
    </row>
    <row r="4267" spans="39:41" x14ac:dyDescent="0.25">
      <c r="AM4267" s="2">
        <v>4264</v>
      </c>
      <c r="AN4267" s="33">
        <v>1.2966785531100099E-2</v>
      </c>
      <c r="AO4267" s="33">
        <v>8.5323474383554776E-4</v>
      </c>
    </row>
    <row r="4268" spans="39:41" x14ac:dyDescent="0.25">
      <c r="AM4268" s="2">
        <v>4265</v>
      </c>
      <c r="AN4268" s="33">
        <v>9.7309509866989885E-3</v>
      </c>
      <c r="AO4268" s="33">
        <v>7.7998974428343201E-4</v>
      </c>
    </row>
    <row r="4269" spans="39:41" x14ac:dyDescent="0.25">
      <c r="AM4269" s="2">
        <v>4266</v>
      </c>
      <c r="AN4269" s="33">
        <v>1.3215931342940574E-2</v>
      </c>
      <c r="AO4269" s="33">
        <v>9.6538930716205435E-4</v>
      </c>
    </row>
    <row r="4270" spans="39:41" x14ac:dyDescent="0.25">
      <c r="AM4270" s="2">
        <v>4267</v>
      </c>
      <c r="AN4270" s="33">
        <v>8.5349309345026988E-3</v>
      </c>
      <c r="AO4270" s="33">
        <v>7.1751079763641187E-4</v>
      </c>
    </row>
    <row r="4271" spans="39:41" x14ac:dyDescent="0.25">
      <c r="AM4271" s="2">
        <v>4268</v>
      </c>
      <c r="AN4271" s="33">
        <v>1.1866017237106207E-2</v>
      </c>
      <c r="AO4271" s="33">
        <v>9.4582941876235533E-4</v>
      </c>
    </row>
    <row r="4272" spans="39:41" x14ac:dyDescent="0.25">
      <c r="AM4272" s="2">
        <v>4269</v>
      </c>
      <c r="AN4272" s="33">
        <v>1.0701969654101225E-2</v>
      </c>
      <c r="AO4272" s="33">
        <v>9.0462737366166809E-4</v>
      </c>
    </row>
    <row r="4273" spans="39:41" x14ac:dyDescent="0.25">
      <c r="AM4273" s="2">
        <v>4270</v>
      </c>
      <c r="AN4273" s="33">
        <v>1.176666290784135E-2</v>
      </c>
      <c r="AO4273" s="33">
        <v>6.692288656903805E-4</v>
      </c>
    </row>
    <row r="4274" spans="39:41" x14ac:dyDescent="0.25">
      <c r="AM4274" s="2">
        <v>4271</v>
      </c>
      <c r="AN4274" s="33">
        <v>9.6419688803025573E-3</v>
      </c>
      <c r="AO4274" s="33">
        <v>1.2068087992966216E-4</v>
      </c>
    </row>
    <row r="4275" spans="39:41" x14ac:dyDescent="0.25">
      <c r="AM4275" s="2">
        <v>4272</v>
      </c>
      <c r="AN4275" s="33">
        <v>1.5563829287748146E-2</v>
      </c>
      <c r="AO4275" s="33">
        <v>1.508497443465972E-3</v>
      </c>
    </row>
    <row r="4276" spans="39:41" x14ac:dyDescent="0.25">
      <c r="AM4276" s="2">
        <v>4273</v>
      </c>
      <c r="AN4276" s="33">
        <v>1.1944379265942461E-2</v>
      </c>
      <c r="AO4276" s="33">
        <v>1.0623836037118445E-3</v>
      </c>
    </row>
    <row r="4277" spans="39:41" x14ac:dyDescent="0.25">
      <c r="AM4277" s="2">
        <v>4274</v>
      </c>
      <c r="AN4277" s="33">
        <v>1.2045087929040112E-2</v>
      </c>
      <c r="AO4277" s="33">
        <v>5.0352133665808156E-4</v>
      </c>
    </row>
    <row r="4278" spans="39:41" x14ac:dyDescent="0.25">
      <c r="AM4278" s="2">
        <v>4275</v>
      </c>
      <c r="AN4278" s="33">
        <v>1.561713748151008E-2</v>
      </c>
      <c r="AO4278" s="33">
        <v>1.4971676897157856E-3</v>
      </c>
    </row>
    <row r="4279" spans="39:41" x14ac:dyDescent="0.25">
      <c r="AM4279" s="2">
        <v>4276</v>
      </c>
      <c r="AN4279" s="33">
        <v>8.3380169618711315E-3</v>
      </c>
      <c r="AO4279" s="33">
        <v>6.8473259608451873E-4</v>
      </c>
    </row>
    <row r="4280" spans="39:41" x14ac:dyDescent="0.25">
      <c r="AM4280" s="2">
        <v>4277</v>
      </c>
      <c r="AN4280" s="33">
        <v>1.1150725818648925E-2</v>
      </c>
      <c r="AO4280" s="33">
        <v>5.5853675403142182E-4</v>
      </c>
    </row>
    <row r="4281" spans="39:41" x14ac:dyDescent="0.25">
      <c r="AM4281" s="2">
        <v>4278</v>
      </c>
      <c r="AN4281" s="33">
        <v>1.1333072356569291E-2</v>
      </c>
      <c r="AO4281" s="33">
        <v>4.0983716196024337E-4</v>
      </c>
    </row>
    <row r="4282" spans="39:41" x14ac:dyDescent="0.25">
      <c r="AM4282" s="2">
        <v>4279</v>
      </c>
      <c r="AN4282" s="33">
        <v>1.0178623271476867E-2</v>
      </c>
      <c r="AO4282" s="33">
        <v>8.6599398328044818E-4</v>
      </c>
    </row>
    <row r="4283" spans="39:41" x14ac:dyDescent="0.25">
      <c r="AM4283" s="2">
        <v>4280</v>
      </c>
      <c r="AN4283" s="33">
        <v>1.1213998423606234E-2</v>
      </c>
      <c r="AO4283" s="33">
        <v>9.8004346776109884E-4</v>
      </c>
    </row>
    <row r="4284" spans="39:41" x14ac:dyDescent="0.25">
      <c r="AM4284" s="2">
        <v>4281</v>
      </c>
      <c r="AN4284" s="33">
        <v>8.2421534637019522E-3</v>
      </c>
      <c r="AO4284" s="33">
        <v>2.3318890649155516E-4</v>
      </c>
    </row>
    <row r="4285" spans="39:41" x14ac:dyDescent="0.25">
      <c r="AM4285" s="2">
        <v>4282</v>
      </c>
      <c r="AN4285" s="33">
        <v>9.9446986471412677E-3</v>
      </c>
      <c r="AO4285" s="33">
        <v>5.1334127464958547E-4</v>
      </c>
    </row>
    <row r="4286" spans="39:41" x14ac:dyDescent="0.25">
      <c r="AM4286" s="2">
        <v>4283</v>
      </c>
      <c r="AN4286" s="33">
        <v>1.6091290448194052E-2</v>
      </c>
      <c r="AO4286" s="33">
        <v>6.844255876372672E-4</v>
      </c>
    </row>
    <row r="4287" spans="39:41" x14ac:dyDescent="0.25">
      <c r="AM4287" s="2">
        <v>4284</v>
      </c>
      <c r="AN4287" s="33">
        <v>1.0962977445832056E-2</v>
      </c>
      <c r="AO4287" s="33">
        <v>7.5872611632270769E-4</v>
      </c>
    </row>
    <row r="4288" spans="39:41" x14ac:dyDescent="0.25">
      <c r="AM4288" s="2">
        <v>4285</v>
      </c>
      <c r="AN4288" s="33">
        <v>9.6764770241656722E-3</v>
      </c>
      <c r="AO4288" s="33">
        <v>9.4709360629600362E-4</v>
      </c>
    </row>
    <row r="4289" spans="39:41" x14ac:dyDescent="0.25">
      <c r="AM4289" s="2">
        <v>4286</v>
      </c>
      <c r="AN4289" s="33">
        <v>1.057288017042133E-2</v>
      </c>
      <c r="AO4289" s="33">
        <v>8.1207115967666185E-5</v>
      </c>
    </row>
    <row r="4290" spans="39:41" x14ac:dyDescent="0.25">
      <c r="AM4290" s="2">
        <v>4287</v>
      </c>
      <c r="AN4290" s="33">
        <v>1.2460973738620042E-2</v>
      </c>
      <c r="AO4290" s="33">
        <v>7.3032532837523552E-4</v>
      </c>
    </row>
    <row r="4291" spans="39:41" x14ac:dyDescent="0.25">
      <c r="AM4291" s="2">
        <v>4288</v>
      </c>
      <c r="AN4291" s="33">
        <v>1.3140937251991834E-2</v>
      </c>
      <c r="AO4291" s="33">
        <v>8.6788697941207532E-4</v>
      </c>
    </row>
    <row r="4292" spans="39:41" x14ac:dyDescent="0.25">
      <c r="AM4292" s="2">
        <v>4289</v>
      </c>
      <c r="AN4292" s="33">
        <v>9.8296776809168995E-3</v>
      </c>
      <c r="AO4292" s="33">
        <v>8.0987575771678791E-4</v>
      </c>
    </row>
    <row r="4293" spans="39:41" x14ac:dyDescent="0.25">
      <c r="AM4293" s="2">
        <v>4290</v>
      </c>
      <c r="AN4293" s="33">
        <v>1.1501988147824637E-2</v>
      </c>
      <c r="AO4293" s="33">
        <v>1.0783688437014023E-3</v>
      </c>
    </row>
    <row r="4294" spans="39:41" x14ac:dyDescent="0.25">
      <c r="AM4294" s="2">
        <v>4291</v>
      </c>
      <c r="AN4294" s="33">
        <v>1.2503460804175312E-2</v>
      </c>
      <c r="AO4294" s="33">
        <v>1.1334654493963517E-3</v>
      </c>
    </row>
    <row r="4295" spans="39:41" x14ac:dyDescent="0.25">
      <c r="AM4295" s="2">
        <v>4292</v>
      </c>
      <c r="AN4295" s="33">
        <v>1.0479319339336135E-2</v>
      </c>
      <c r="AO4295" s="33">
        <v>2.8102460528212233E-4</v>
      </c>
    </row>
    <row r="4296" spans="39:41" x14ac:dyDescent="0.25">
      <c r="AM4296" s="2">
        <v>4293</v>
      </c>
      <c r="AN4296" s="33">
        <v>1.2270361653125932E-2</v>
      </c>
      <c r="AO4296" s="33">
        <v>8.4335062336798406E-4</v>
      </c>
    </row>
    <row r="4297" spans="39:41" x14ac:dyDescent="0.25">
      <c r="AM4297" s="2">
        <v>4294</v>
      </c>
      <c r="AN4297" s="33">
        <v>1.3147613570453175E-2</v>
      </c>
      <c r="AO4297" s="33">
        <v>1.1957424196683782E-3</v>
      </c>
    </row>
    <row r="4298" spans="39:41" x14ac:dyDescent="0.25">
      <c r="AM4298" s="2">
        <v>4295</v>
      </c>
      <c r="AN4298" s="33">
        <v>1.0782518096276957E-2</v>
      </c>
      <c r="AO4298" s="33">
        <v>3.6498422513938348E-4</v>
      </c>
    </row>
    <row r="4299" spans="39:41" x14ac:dyDescent="0.25">
      <c r="AM4299" s="2">
        <v>4296</v>
      </c>
      <c r="AN4299" s="33">
        <v>1.2947355168164776E-2</v>
      </c>
      <c r="AO4299" s="33">
        <v>1.0799290672562148E-3</v>
      </c>
    </row>
    <row r="4300" spans="39:41" x14ac:dyDescent="0.25">
      <c r="AM4300" s="2">
        <v>4297</v>
      </c>
      <c r="AN4300" s="33">
        <v>1.110086343272822E-2</v>
      </c>
      <c r="AO4300" s="33">
        <v>8.8079924525828041E-4</v>
      </c>
    </row>
    <row r="4301" spans="39:41" x14ac:dyDescent="0.25">
      <c r="AM4301" s="2">
        <v>4298</v>
      </c>
      <c r="AN4301" s="33">
        <v>1.1952485168385166E-2</v>
      </c>
      <c r="AO4301" s="33">
        <v>7.9828613494641639E-4</v>
      </c>
    </row>
    <row r="4302" spans="39:41" x14ac:dyDescent="0.25">
      <c r="AM4302" s="2">
        <v>4299</v>
      </c>
      <c r="AN4302" s="33">
        <v>1.1568459884253281E-2</v>
      </c>
      <c r="AO4302" s="33">
        <v>1.0024499162814419E-3</v>
      </c>
    </row>
    <row r="4303" spans="39:41" x14ac:dyDescent="0.25">
      <c r="AM4303" s="2">
        <v>4300</v>
      </c>
      <c r="AN4303" s="33">
        <v>1.3024501689058084E-2</v>
      </c>
      <c r="AO4303" s="33">
        <v>1.0354404076890187E-3</v>
      </c>
    </row>
    <row r="4304" spans="39:41" x14ac:dyDescent="0.25">
      <c r="AM4304" s="2">
        <v>4301</v>
      </c>
      <c r="AN4304" s="33">
        <v>1.2792981628941711E-2</v>
      </c>
      <c r="AO4304" s="33">
        <v>9.5655222921223887E-4</v>
      </c>
    </row>
    <row r="4305" spans="39:41" x14ac:dyDescent="0.25">
      <c r="AM4305" s="2">
        <v>4302</v>
      </c>
      <c r="AN4305" s="33">
        <v>1.5628986955349752E-2</v>
      </c>
      <c r="AO4305" s="33">
        <v>1.0850732080130939E-3</v>
      </c>
    </row>
    <row r="4306" spans="39:41" x14ac:dyDescent="0.25">
      <c r="AM4306" s="2">
        <v>4303</v>
      </c>
      <c r="AN4306" s="33">
        <v>1.1300627884959927E-2</v>
      </c>
      <c r="AO4306" s="33">
        <v>2.6169690034089034E-4</v>
      </c>
    </row>
    <row r="4307" spans="39:41" x14ac:dyDescent="0.25">
      <c r="AM4307" s="2">
        <v>4304</v>
      </c>
      <c r="AN4307" s="33">
        <v>9.5251487568062988E-3</v>
      </c>
      <c r="AO4307" s="33">
        <v>6.4537571962988466E-4</v>
      </c>
    </row>
    <row r="4308" spans="39:41" x14ac:dyDescent="0.25">
      <c r="AM4308" s="2">
        <v>4305</v>
      </c>
      <c r="AN4308" s="33">
        <v>1.3833196575978103E-2</v>
      </c>
      <c r="AO4308" s="33">
        <v>1.3093902672465826E-3</v>
      </c>
    </row>
    <row r="4309" spans="39:41" x14ac:dyDescent="0.25">
      <c r="AM4309" s="2">
        <v>4306</v>
      </c>
      <c r="AN4309" s="33">
        <v>1.0990058070623978E-2</v>
      </c>
      <c r="AO4309" s="33">
        <v>8.6624136280246398E-4</v>
      </c>
    </row>
    <row r="4310" spans="39:41" x14ac:dyDescent="0.25">
      <c r="AM4310" s="2">
        <v>4307</v>
      </c>
      <c r="AN4310" s="33">
        <v>1.2260165113077127E-2</v>
      </c>
      <c r="AO4310" s="33">
        <v>1.033104191933115E-3</v>
      </c>
    </row>
    <row r="4311" spans="39:41" x14ac:dyDescent="0.25">
      <c r="AM4311" s="2">
        <v>4308</v>
      </c>
      <c r="AN4311" s="33">
        <v>1.040463184867306E-2</v>
      </c>
      <c r="AO4311" s="33">
        <v>5.0163169798830007E-4</v>
      </c>
    </row>
    <row r="4312" spans="39:41" x14ac:dyDescent="0.25">
      <c r="AM4312" s="2">
        <v>4309</v>
      </c>
      <c r="AN4312" s="33">
        <v>1.0953762216882155E-2</v>
      </c>
      <c r="AO4312" s="33">
        <v>6.8940923420692597E-4</v>
      </c>
    </row>
    <row r="4313" spans="39:41" x14ac:dyDescent="0.25">
      <c r="AM4313" s="2">
        <v>4310</v>
      </c>
      <c r="AN4313" s="33">
        <v>1.0242368200921217E-2</v>
      </c>
      <c r="AO4313" s="33">
        <v>9.0436359766884219E-4</v>
      </c>
    </row>
    <row r="4314" spans="39:41" x14ac:dyDescent="0.25">
      <c r="AM4314" s="2">
        <v>4311</v>
      </c>
      <c r="AN4314" s="33">
        <v>9.6100540306883094E-3</v>
      </c>
      <c r="AO4314" s="33">
        <v>9.1092520055304123E-4</v>
      </c>
    </row>
    <row r="4315" spans="39:41" x14ac:dyDescent="0.25">
      <c r="AM4315" s="2">
        <v>4312</v>
      </c>
      <c r="AN4315" s="33">
        <v>1.0530300025060809E-2</v>
      </c>
      <c r="AO4315" s="33">
        <v>9.5772902483775343E-4</v>
      </c>
    </row>
    <row r="4316" spans="39:41" x14ac:dyDescent="0.25">
      <c r="AM4316" s="2">
        <v>4313</v>
      </c>
      <c r="AN4316" s="33">
        <v>9.943047388338613E-3</v>
      </c>
      <c r="AO4316" s="33">
        <v>3.5227771232530477E-4</v>
      </c>
    </row>
    <row r="4317" spans="39:41" x14ac:dyDescent="0.25">
      <c r="AM4317" s="2">
        <v>4314</v>
      </c>
      <c r="AN4317" s="33">
        <v>1.0499365708604401E-2</v>
      </c>
      <c r="AO4317" s="33">
        <v>6.5633764752481936E-4</v>
      </c>
    </row>
    <row r="4318" spans="39:41" x14ac:dyDescent="0.25">
      <c r="AM4318" s="2">
        <v>4315</v>
      </c>
      <c r="AN4318" s="33">
        <v>1.2445588782003907E-2</v>
      </c>
      <c r="AO4318" s="33">
        <v>1.3314934811305349E-3</v>
      </c>
    </row>
    <row r="4319" spans="39:41" x14ac:dyDescent="0.25">
      <c r="AM4319" s="2">
        <v>4316</v>
      </c>
      <c r="AN4319" s="33">
        <v>9.5512702879270751E-3</v>
      </c>
      <c r="AO4319" s="33">
        <v>4.1611521602964962E-4</v>
      </c>
    </row>
    <row r="4320" spans="39:41" x14ac:dyDescent="0.25">
      <c r="AM4320" s="2">
        <v>4317</v>
      </c>
      <c r="AN4320" s="33">
        <v>1.0754482027261085E-2</v>
      </c>
      <c r="AO4320" s="33">
        <v>6.3810262269960584E-4</v>
      </c>
    </row>
    <row r="4321" spans="39:41" x14ac:dyDescent="0.25">
      <c r="AM4321" s="2">
        <v>4318</v>
      </c>
      <c r="AN4321" s="33">
        <v>1.0755355935190466E-2</v>
      </c>
      <c r="AO4321" s="33">
        <v>8.5756844210702402E-4</v>
      </c>
    </row>
    <row r="4322" spans="39:41" x14ac:dyDescent="0.25">
      <c r="AM4322" s="2">
        <v>4319</v>
      </c>
      <c r="AN4322" s="33">
        <v>1.2972099582588164E-2</v>
      </c>
      <c r="AO4322" s="33">
        <v>6.0623491267406413E-4</v>
      </c>
    </row>
    <row r="4323" spans="39:41" x14ac:dyDescent="0.25">
      <c r="AM4323" s="2">
        <v>4320</v>
      </c>
      <c r="AN4323" s="33">
        <v>1.4133628102612305E-2</v>
      </c>
      <c r="AO4323" s="33">
        <v>1.5130823348148156E-3</v>
      </c>
    </row>
    <row r="4324" spans="39:41" x14ac:dyDescent="0.25">
      <c r="AM4324" s="2">
        <v>4321</v>
      </c>
      <c r="AN4324" s="33">
        <v>1.313613293515758E-2</v>
      </c>
      <c r="AO4324" s="33">
        <v>1.0266997509519578E-3</v>
      </c>
    </row>
    <row r="4325" spans="39:41" x14ac:dyDescent="0.25">
      <c r="AM4325" s="2">
        <v>4322</v>
      </c>
      <c r="AN4325" s="33">
        <v>1.1263146297591922E-2</v>
      </c>
      <c r="AO4325" s="33">
        <v>1.3990363010019503E-4</v>
      </c>
    </row>
    <row r="4326" spans="39:41" x14ac:dyDescent="0.25">
      <c r="AM4326" s="2">
        <v>4323</v>
      </c>
      <c r="AN4326" s="33">
        <v>1.1826201378433451E-2</v>
      </c>
      <c r="AO4326" s="33">
        <v>7.0040996403423323E-4</v>
      </c>
    </row>
    <row r="4327" spans="39:41" x14ac:dyDescent="0.25">
      <c r="AM4327" s="2">
        <v>4324</v>
      </c>
      <c r="AN4327" s="33">
        <v>1.1043877149973003E-2</v>
      </c>
      <c r="AO4327" s="33">
        <v>4.6429595347362643E-4</v>
      </c>
    </row>
    <row r="4328" spans="39:41" x14ac:dyDescent="0.25">
      <c r="AM4328" s="2">
        <v>4325</v>
      </c>
      <c r="AN4328" s="33">
        <v>9.8071466959318825E-3</v>
      </c>
      <c r="AO4328" s="33">
        <v>5.1233762287959152E-4</v>
      </c>
    </row>
    <row r="4329" spans="39:41" x14ac:dyDescent="0.25">
      <c r="AM4329" s="2">
        <v>4326</v>
      </c>
      <c r="AN4329" s="33">
        <v>1.4236448092748497E-2</v>
      </c>
      <c r="AO4329" s="33">
        <v>1.1716422868073265E-3</v>
      </c>
    </row>
    <row r="4330" spans="39:41" x14ac:dyDescent="0.25">
      <c r="AM4330" s="2">
        <v>4327</v>
      </c>
      <c r="AN4330" s="33">
        <v>9.1866119866513361E-3</v>
      </c>
      <c r="AO4330" s="33">
        <v>7.4433376832666153E-4</v>
      </c>
    </row>
    <row r="4331" spans="39:41" x14ac:dyDescent="0.25">
      <c r="AM4331" s="2">
        <v>4328</v>
      </c>
      <c r="AN4331" s="33">
        <v>9.3867520651496183E-3</v>
      </c>
      <c r="AO4331" s="33">
        <v>5.2110848636339547E-4</v>
      </c>
    </row>
    <row r="4332" spans="39:41" x14ac:dyDescent="0.25">
      <c r="AM4332" s="2">
        <v>4329</v>
      </c>
      <c r="AN4332" s="33">
        <v>1.208740271359557E-2</v>
      </c>
      <c r="AO4332" s="33">
        <v>9.9296945215765226E-4</v>
      </c>
    </row>
    <row r="4333" spans="39:41" x14ac:dyDescent="0.25">
      <c r="AM4333" s="2">
        <v>4330</v>
      </c>
      <c r="AN4333" s="33">
        <v>9.7370169653974905E-3</v>
      </c>
      <c r="AO4333" s="33">
        <v>7.2762933699406192E-4</v>
      </c>
    </row>
    <row r="4334" spans="39:41" x14ac:dyDescent="0.25">
      <c r="AM4334" s="2">
        <v>4331</v>
      </c>
      <c r="AN4334" s="33">
        <v>1.0213955927015544E-2</v>
      </c>
      <c r="AO4334" s="33">
        <v>8.9921919822637795E-4</v>
      </c>
    </row>
    <row r="4335" spans="39:41" x14ac:dyDescent="0.25">
      <c r="AM4335" s="2">
        <v>4332</v>
      </c>
      <c r="AN4335" s="33">
        <v>1.806701211878118E-2</v>
      </c>
      <c r="AO4335" s="33">
        <v>1.7776670634985785E-3</v>
      </c>
    </row>
    <row r="4336" spans="39:41" x14ac:dyDescent="0.25">
      <c r="AM4336" s="2">
        <v>4333</v>
      </c>
      <c r="AN4336" s="33">
        <v>8.6214817060002152E-3</v>
      </c>
      <c r="AO4336" s="33">
        <v>6.0250072584761526E-4</v>
      </c>
    </row>
    <row r="4337" spans="39:41" x14ac:dyDescent="0.25">
      <c r="AM4337" s="2">
        <v>4334</v>
      </c>
      <c r="AN4337" s="33">
        <v>1.1092836000101872E-2</v>
      </c>
      <c r="AO4337" s="33">
        <v>9.5181415620341331E-4</v>
      </c>
    </row>
    <row r="4338" spans="39:41" x14ac:dyDescent="0.25">
      <c r="AM4338" s="2">
        <v>4335</v>
      </c>
      <c r="AN4338" s="33">
        <v>1.1993695242248198E-2</v>
      </c>
      <c r="AO4338" s="33">
        <v>8.1461111745710917E-4</v>
      </c>
    </row>
    <row r="4339" spans="39:41" x14ac:dyDescent="0.25">
      <c r="AM4339" s="2">
        <v>4336</v>
      </c>
      <c r="AN4339" s="33">
        <v>1.3073899967493051E-2</v>
      </c>
      <c r="AO4339" s="33">
        <v>1.2642074104039372E-3</v>
      </c>
    </row>
    <row r="4340" spans="39:41" x14ac:dyDescent="0.25">
      <c r="AM4340" s="2">
        <v>4337</v>
      </c>
      <c r="AN4340" s="33">
        <v>1.2971309187993829E-2</v>
      </c>
      <c r="AO4340" s="33">
        <v>1.3187054448993369E-3</v>
      </c>
    </row>
    <row r="4341" spans="39:41" x14ac:dyDescent="0.25">
      <c r="AM4341" s="2">
        <v>4338</v>
      </c>
      <c r="AN4341" s="33">
        <v>1.256244180983199E-2</v>
      </c>
      <c r="AO4341" s="33">
        <v>9.5029636996031108E-4</v>
      </c>
    </row>
    <row r="4342" spans="39:41" x14ac:dyDescent="0.25">
      <c r="AM4342" s="2">
        <v>4339</v>
      </c>
      <c r="AN4342" s="33">
        <v>1.1969620340198826E-2</v>
      </c>
      <c r="AO4342" s="33">
        <v>1.0287663310954384E-3</v>
      </c>
    </row>
    <row r="4343" spans="39:41" x14ac:dyDescent="0.25">
      <c r="AM4343" s="2">
        <v>4340</v>
      </c>
      <c r="AN4343" s="33">
        <v>1.3407101663946156E-2</v>
      </c>
      <c r="AO4343" s="33">
        <v>9.4287576165951641E-4</v>
      </c>
    </row>
    <row r="4344" spans="39:41" x14ac:dyDescent="0.25">
      <c r="AM4344" s="2">
        <v>4341</v>
      </c>
      <c r="AN4344" s="33">
        <v>1.2780672511218921E-2</v>
      </c>
      <c r="AO4344" s="33">
        <v>7.9380048452167625E-4</v>
      </c>
    </row>
    <row r="4345" spans="39:41" x14ac:dyDescent="0.25">
      <c r="AM4345" s="2">
        <v>4342</v>
      </c>
      <c r="AN4345" s="33">
        <v>1.3302185695692057E-2</v>
      </c>
      <c r="AO4345" s="33">
        <v>8.9865722965976882E-4</v>
      </c>
    </row>
    <row r="4346" spans="39:41" x14ac:dyDescent="0.25">
      <c r="AM4346" s="2">
        <v>4343</v>
      </c>
      <c r="AN4346" s="33">
        <v>1.2500572670397643E-2</v>
      </c>
      <c r="AO4346" s="33">
        <v>1.1032572977594402E-3</v>
      </c>
    </row>
    <row r="4347" spans="39:41" x14ac:dyDescent="0.25">
      <c r="AM4347" s="2">
        <v>4344</v>
      </c>
      <c r="AN4347" s="33">
        <v>1.2312698831246175E-2</v>
      </c>
      <c r="AO4347" s="33">
        <v>7.2073502550188285E-4</v>
      </c>
    </row>
    <row r="4348" spans="39:41" x14ac:dyDescent="0.25">
      <c r="AM4348" s="2">
        <v>4345</v>
      </c>
      <c r="AN4348" s="33">
        <v>1.3850626101316897E-2</v>
      </c>
      <c r="AO4348" s="33">
        <v>1.277748245411231E-3</v>
      </c>
    </row>
    <row r="4349" spans="39:41" x14ac:dyDescent="0.25">
      <c r="AM4349" s="2">
        <v>4346</v>
      </c>
      <c r="AN4349" s="33">
        <v>1.3660416409777505E-2</v>
      </c>
      <c r="AO4349" s="33">
        <v>8.24344575960261E-4</v>
      </c>
    </row>
    <row r="4350" spans="39:41" x14ac:dyDescent="0.25">
      <c r="AM4350" s="2">
        <v>4347</v>
      </c>
      <c r="AN4350" s="33">
        <v>1.0856352923380212E-2</v>
      </c>
      <c r="AO4350" s="33">
        <v>7.9096340133260777E-4</v>
      </c>
    </row>
    <row r="4351" spans="39:41" x14ac:dyDescent="0.25">
      <c r="AM4351" s="2">
        <v>4348</v>
      </c>
      <c r="AN4351" s="33">
        <v>1.0471046191435972E-2</v>
      </c>
      <c r="AO4351" s="33">
        <v>4.4715502608703409E-4</v>
      </c>
    </row>
    <row r="4352" spans="39:41" x14ac:dyDescent="0.25">
      <c r="AM4352" s="2">
        <v>4349</v>
      </c>
      <c r="AN4352" s="33">
        <v>8.4276143173592083E-3</v>
      </c>
      <c r="AO4352" s="33">
        <v>7.3813456592466574E-4</v>
      </c>
    </row>
    <row r="4353" spans="39:41" x14ac:dyDescent="0.25">
      <c r="AM4353" s="2">
        <v>4350</v>
      </c>
      <c r="AN4353" s="33">
        <v>1.4007378845169283E-2</v>
      </c>
      <c r="AO4353" s="33">
        <v>8.9610605607718394E-4</v>
      </c>
    </row>
    <row r="4354" spans="39:41" x14ac:dyDescent="0.25">
      <c r="AM4354" s="2">
        <v>4351</v>
      </c>
      <c r="AN4354" s="33">
        <v>1.1546724991041934E-2</v>
      </c>
      <c r="AO4354" s="33">
        <v>9.116657339364306E-4</v>
      </c>
    </row>
    <row r="4355" spans="39:41" x14ac:dyDescent="0.25">
      <c r="AM4355" s="2">
        <v>4352</v>
      </c>
      <c r="AN4355" s="33">
        <v>9.9476164953659855E-3</v>
      </c>
      <c r="AO4355" s="33">
        <v>7.2769199615514886E-4</v>
      </c>
    </row>
    <row r="4356" spans="39:41" x14ac:dyDescent="0.25">
      <c r="AM4356" s="2">
        <v>4353</v>
      </c>
      <c r="AN4356" s="33">
        <v>8.3283325914114206E-3</v>
      </c>
      <c r="AO4356" s="33">
        <v>6.1386497341524662E-4</v>
      </c>
    </row>
    <row r="4357" spans="39:41" x14ac:dyDescent="0.25">
      <c r="AM4357" s="2">
        <v>4354</v>
      </c>
      <c r="AN4357" s="33">
        <v>9.540923937323793E-3</v>
      </c>
      <c r="AO4357" s="33">
        <v>3.3289198888774424E-4</v>
      </c>
    </row>
    <row r="4358" spans="39:41" x14ac:dyDescent="0.25">
      <c r="AM4358" s="2">
        <v>4355</v>
      </c>
      <c r="AN4358" s="33">
        <v>1.2788816501532544E-2</v>
      </c>
      <c r="AO4358" s="33">
        <v>1.0545454976242066E-3</v>
      </c>
    </row>
    <row r="4359" spans="39:41" x14ac:dyDescent="0.25">
      <c r="AM4359" s="2">
        <v>4356</v>
      </c>
      <c r="AN4359" s="33">
        <v>1.166483188450753E-2</v>
      </c>
      <c r="AO4359" s="33">
        <v>9.6988836065753554E-4</v>
      </c>
    </row>
    <row r="4360" spans="39:41" x14ac:dyDescent="0.25">
      <c r="AM4360" s="2">
        <v>4357</v>
      </c>
      <c r="AN4360" s="33">
        <v>1.1804605359901214E-2</v>
      </c>
      <c r="AO4360" s="33">
        <v>7.8166762053577836E-4</v>
      </c>
    </row>
    <row r="4361" spans="39:41" x14ac:dyDescent="0.25">
      <c r="AM4361" s="2">
        <v>4358</v>
      </c>
      <c r="AN4361" s="33">
        <v>9.9854448715031227E-3</v>
      </c>
      <c r="AO4361" s="33">
        <v>6.8809733547788693E-4</v>
      </c>
    </row>
    <row r="4362" spans="39:41" x14ac:dyDescent="0.25">
      <c r="AM4362" s="2">
        <v>4359</v>
      </c>
      <c r="AN4362" s="33">
        <v>1.6797381125683224E-2</v>
      </c>
      <c r="AO4362" s="33">
        <v>1.6307942104185425E-3</v>
      </c>
    </row>
    <row r="4363" spans="39:41" x14ac:dyDescent="0.25">
      <c r="AM4363" s="2">
        <v>4360</v>
      </c>
      <c r="AN4363" s="33">
        <v>1.0802358194369944E-2</v>
      </c>
      <c r="AO4363" s="33">
        <v>9.1949368195716984E-4</v>
      </c>
    </row>
    <row r="4364" spans="39:41" x14ac:dyDescent="0.25">
      <c r="AM4364" s="2">
        <v>4361</v>
      </c>
      <c r="AN4364" s="33">
        <v>1.1592485039802035E-2</v>
      </c>
      <c r="AO4364" s="33">
        <v>7.1096125032195487E-4</v>
      </c>
    </row>
    <row r="4365" spans="39:41" x14ac:dyDescent="0.25">
      <c r="AM4365" s="2">
        <v>4362</v>
      </c>
      <c r="AN4365" s="33">
        <v>1.1284744021037333E-2</v>
      </c>
      <c r="AO4365" s="33">
        <v>7.7558527304480928E-4</v>
      </c>
    </row>
    <row r="4366" spans="39:41" x14ac:dyDescent="0.25">
      <c r="AM4366" s="2">
        <v>4363</v>
      </c>
      <c r="AN4366" s="33">
        <v>1.2501487051730133E-2</v>
      </c>
      <c r="AO4366" s="33">
        <v>6.5579565744703424E-4</v>
      </c>
    </row>
    <row r="4367" spans="39:41" x14ac:dyDescent="0.25">
      <c r="AM4367" s="2">
        <v>4364</v>
      </c>
      <c r="AN4367" s="33">
        <v>1.3089716143469394E-2</v>
      </c>
      <c r="AO4367" s="33">
        <v>1.2001754205268839E-3</v>
      </c>
    </row>
    <row r="4368" spans="39:41" x14ac:dyDescent="0.25">
      <c r="AM4368" s="2">
        <v>4365</v>
      </c>
      <c r="AN4368" s="33">
        <v>1.1417583838289695E-2</v>
      </c>
      <c r="AO4368" s="33">
        <v>9.2737290881456298E-4</v>
      </c>
    </row>
    <row r="4369" spans="39:41" x14ac:dyDescent="0.25">
      <c r="AM4369" s="2">
        <v>4366</v>
      </c>
      <c r="AN4369" s="33">
        <v>1.1349355845919203E-2</v>
      </c>
      <c r="AO4369" s="33">
        <v>7.678919966270253E-4</v>
      </c>
    </row>
    <row r="4370" spans="39:41" x14ac:dyDescent="0.25">
      <c r="AM4370" s="2">
        <v>4367</v>
      </c>
      <c r="AN4370" s="33">
        <v>1.2920252593469728E-2</v>
      </c>
      <c r="AO4370" s="33">
        <v>8.0995101843705879E-4</v>
      </c>
    </row>
    <row r="4371" spans="39:41" x14ac:dyDescent="0.25">
      <c r="AM4371" s="2">
        <v>4368</v>
      </c>
      <c r="AN4371" s="33">
        <v>1.3157716147295108E-2</v>
      </c>
      <c r="AO4371" s="33">
        <v>9.0183407770637542E-4</v>
      </c>
    </row>
    <row r="4372" spans="39:41" x14ac:dyDescent="0.25">
      <c r="AM4372" s="2">
        <v>4369</v>
      </c>
      <c r="AN4372" s="33">
        <v>7.9967864931287554E-3</v>
      </c>
      <c r="AO4372" s="33">
        <v>3.399519837972693E-4</v>
      </c>
    </row>
    <row r="4373" spans="39:41" x14ac:dyDescent="0.25">
      <c r="AM4373" s="2">
        <v>4370</v>
      </c>
      <c r="AN4373" s="33">
        <v>9.3515847036506547E-3</v>
      </c>
      <c r="AO4373" s="33">
        <v>6.5209323018449784E-4</v>
      </c>
    </row>
    <row r="4374" spans="39:41" x14ac:dyDescent="0.25">
      <c r="AM4374" s="2">
        <v>4371</v>
      </c>
      <c r="AN4374" s="33">
        <v>1.3196407657114315E-2</v>
      </c>
      <c r="AO4374" s="33">
        <v>1.1736333695231116E-3</v>
      </c>
    </row>
    <row r="4375" spans="39:41" x14ac:dyDescent="0.25">
      <c r="AM4375" s="2">
        <v>4372</v>
      </c>
      <c r="AN4375" s="33">
        <v>1.0592892443162224E-2</v>
      </c>
      <c r="AO4375" s="33">
        <v>6.3660704835443078E-4</v>
      </c>
    </row>
    <row r="4376" spans="39:41" x14ac:dyDescent="0.25">
      <c r="AM4376" s="2">
        <v>4373</v>
      </c>
      <c r="AN4376" s="33">
        <v>7.9379450152637521E-3</v>
      </c>
      <c r="AO4376" s="33">
        <v>2.8354939785402606E-4</v>
      </c>
    </row>
    <row r="4377" spans="39:41" x14ac:dyDescent="0.25">
      <c r="AM4377" s="2">
        <v>4374</v>
      </c>
      <c r="AN4377" s="33">
        <v>1.0507376556665868E-2</v>
      </c>
      <c r="AO4377" s="33">
        <v>7.3596080635633546E-4</v>
      </c>
    </row>
    <row r="4378" spans="39:41" x14ac:dyDescent="0.25">
      <c r="AM4378" s="2">
        <v>4375</v>
      </c>
      <c r="AN4378" s="33">
        <v>1.1648367591900582E-2</v>
      </c>
      <c r="AO4378" s="33">
        <v>1.0106793488065906E-3</v>
      </c>
    </row>
    <row r="4379" spans="39:41" x14ac:dyDescent="0.25">
      <c r="AM4379" s="2">
        <v>4376</v>
      </c>
      <c r="AN4379" s="33">
        <v>8.6093242608248771E-3</v>
      </c>
      <c r="AO4379" s="33">
        <v>6.9368378031604394E-4</v>
      </c>
    </row>
    <row r="4380" spans="39:41" x14ac:dyDescent="0.25">
      <c r="AM4380" s="2">
        <v>4377</v>
      </c>
      <c r="AN4380" s="33">
        <v>1.4506557109665323E-2</v>
      </c>
      <c r="AO4380" s="33">
        <v>1.3150315167781371E-3</v>
      </c>
    </row>
    <row r="4381" spans="39:41" x14ac:dyDescent="0.25">
      <c r="AM4381" s="2">
        <v>4378</v>
      </c>
      <c r="AN4381" s="33">
        <v>1.3683471706187125E-2</v>
      </c>
      <c r="AO4381" s="33">
        <v>7.1560945878259674E-4</v>
      </c>
    </row>
    <row r="4382" spans="39:41" x14ac:dyDescent="0.25">
      <c r="AM4382" s="2">
        <v>4379</v>
      </c>
      <c r="AN4382" s="33">
        <v>1.0194453149467625E-2</v>
      </c>
      <c r="AO4382" s="33">
        <v>9.3462851745491785E-4</v>
      </c>
    </row>
    <row r="4383" spans="39:41" x14ac:dyDescent="0.25">
      <c r="AM4383" s="2">
        <v>4380</v>
      </c>
      <c r="AN4383" s="33">
        <v>8.9571153167160179E-3</v>
      </c>
      <c r="AO4383" s="33">
        <v>8.1402890231935384E-4</v>
      </c>
    </row>
    <row r="4384" spans="39:41" x14ac:dyDescent="0.25">
      <c r="AM4384" s="2">
        <v>4381</v>
      </c>
      <c r="AN4384" s="33">
        <v>1.284763300702001E-2</v>
      </c>
      <c r="AO4384" s="33">
        <v>1.1753136925503047E-3</v>
      </c>
    </row>
    <row r="4385" spans="39:41" x14ac:dyDescent="0.25">
      <c r="AM4385" s="2">
        <v>4382</v>
      </c>
      <c r="AN4385" s="33">
        <v>1.2251565575305151E-2</v>
      </c>
      <c r="AO4385" s="33">
        <v>6.7100346852584061E-4</v>
      </c>
    </row>
    <row r="4386" spans="39:41" x14ac:dyDescent="0.25">
      <c r="AM4386" s="2">
        <v>4383</v>
      </c>
      <c r="AN4386" s="33">
        <v>1.2265059556974517E-2</v>
      </c>
      <c r="AO4386" s="33">
        <v>1.2317029375788398E-3</v>
      </c>
    </row>
    <row r="4387" spans="39:41" x14ac:dyDescent="0.25">
      <c r="AM4387" s="2">
        <v>4384</v>
      </c>
      <c r="AN4387" s="33">
        <v>1.1753851270925566E-2</v>
      </c>
      <c r="AO4387" s="33">
        <v>4.3307185365952571E-4</v>
      </c>
    </row>
    <row r="4388" spans="39:41" x14ac:dyDescent="0.25">
      <c r="AM4388" s="2">
        <v>4385</v>
      </c>
      <c r="AN4388" s="33">
        <v>1.2483380355305574E-2</v>
      </c>
      <c r="AO4388" s="33">
        <v>1.1938426121010483E-3</v>
      </c>
    </row>
    <row r="4389" spans="39:41" x14ac:dyDescent="0.25">
      <c r="AM4389" s="2">
        <v>4386</v>
      </c>
      <c r="AN4389" s="33">
        <v>1.1429367438332646E-2</v>
      </c>
      <c r="AO4389" s="33">
        <v>1.0472968150525125E-3</v>
      </c>
    </row>
    <row r="4390" spans="39:41" x14ac:dyDescent="0.25">
      <c r="AM4390" s="2">
        <v>4387</v>
      </c>
      <c r="AN4390" s="33">
        <v>9.9389544156925237E-3</v>
      </c>
      <c r="AO4390" s="33">
        <v>5.2399645909955556E-4</v>
      </c>
    </row>
    <row r="4391" spans="39:41" x14ac:dyDescent="0.25">
      <c r="AM4391" s="2">
        <v>4388</v>
      </c>
      <c r="AN4391" s="33">
        <v>1.10705844229137E-2</v>
      </c>
      <c r="AO4391" s="33">
        <v>5.4990337527018865E-4</v>
      </c>
    </row>
    <row r="4392" spans="39:41" x14ac:dyDescent="0.25">
      <c r="AM4392" s="2">
        <v>4389</v>
      </c>
      <c r="AN4392" s="33">
        <v>1.1323916292614084E-2</v>
      </c>
      <c r="AO4392" s="33">
        <v>1.0119386907507921E-3</v>
      </c>
    </row>
    <row r="4393" spans="39:41" x14ac:dyDescent="0.25">
      <c r="AM4393" s="2">
        <v>4390</v>
      </c>
      <c r="AN4393" s="33">
        <v>9.0122852481522298E-3</v>
      </c>
      <c r="AO4393" s="33">
        <v>4.0552044098059214E-4</v>
      </c>
    </row>
    <row r="4394" spans="39:41" x14ac:dyDescent="0.25">
      <c r="AM4394" s="2">
        <v>4391</v>
      </c>
      <c r="AN4394" s="33">
        <v>1.1245613285716822E-2</v>
      </c>
      <c r="AO4394" s="33">
        <v>9.1034263115478465E-4</v>
      </c>
    </row>
    <row r="4395" spans="39:41" x14ac:dyDescent="0.25">
      <c r="AM4395" s="2">
        <v>4392</v>
      </c>
      <c r="AN4395" s="33">
        <v>1.3609829464934999E-2</v>
      </c>
      <c r="AO4395" s="33">
        <v>1.150786174006912E-3</v>
      </c>
    </row>
    <row r="4396" spans="39:41" x14ac:dyDescent="0.25">
      <c r="AM4396" s="2">
        <v>4393</v>
      </c>
      <c r="AN4396" s="33">
        <v>1.0493541389873944E-2</v>
      </c>
      <c r="AO4396" s="33">
        <v>5.6780741572997359E-4</v>
      </c>
    </row>
    <row r="4397" spans="39:41" x14ac:dyDescent="0.25">
      <c r="AM4397" s="2">
        <v>4394</v>
      </c>
      <c r="AN4397" s="33">
        <v>1.1704012146264759E-2</v>
      </c>
      <c r="AO4397" s="33">
        <v>6.5104888174856337E-4</v>
      </c>
    </row>
    <row r="4398" spans="39:41" x14ac:dyDescent="0.25">
      <c r="AM4398" s="2">
        <v>4395</v>
      </c>
      <c r="AN4398" s="33">
        <v>8.79608683521769E-3</v>
      </c>
      <c r="AO4398" s="33">
        <v>5.42800308534809E-4</v>
      </c>
    </row>
    <row r="4399" spans="39:41" x14ac:dyDescent="0.25">
      <c r="AM4399" s="2">
        <v>4396</v>
      </c>
      <c r="AN4399" s="33">
        <v>9.5206641928161691E-3</v>
      </c>
      <c r="AO4399" s="33">
        <v>9.658600856252941E-4</v>
      </c>
    </row>
    <row r="4400" spans="39:41" x14ac:dyDescent="0.25">
      <c r="AM4400" s="2">
        <v>4397</v>
      </c>
      <c r="AN4400" s="33">
        <v>8.586451180378778E-3</v>
      </c>
      <c r="AO4400" s="33">
        <v>5.4425327875988049E-4</v>
      </c>
    </row>
    <row r="4401" spans="39:41" x14ac:dyDescent="0.25">
      <c r="AM4401" s="2">
        <v>4398</v>
      </c>
      <c r="AN4401" s="33">
        <v>1.2953076045582025E-2</v>
      </c>
      <c r="AO4401" s="33">
        <v>1.0549312571037348E-3</v>
      </c>
    </row>
    <row r="4402" spans="39:41" x14ac:dyDescent="0.25">
      <c r="AM4402" s="2">
        <v>4399</v>
      </c>
      <c r="AN4402" s="33">
        <v>1.1564275191736126E-2</v>
      </c>
      <c r="AO4402" s="33">
        <v>7.7062383087846858E-4</v>
      </c>
    </row>
    <row r="4403" spans="39:41" x14ac:dyDescent="0.25">
      <c r="AM4403" s="2">
        <v>4400</v>
      </c>
      <c r="AN4403" s="33">
        <v>1.20365697262941E-2</v>
      </c>
      <c r="AO4403" s="33">
        <v>8.8310217247036604E-5</v>
      </c>
    </row>
    <row r="4404" spans="39:41" x14ac:dyDescent="0.25">
      <c r="AM4404" s="2">
        <v>4401</v>
      </c>
      <c r="AN4404" s="33">
        <v>1.4040690902267368E-2</v>
      </c>
      <c r="AO4404" s="33">
        <v>8.59412635274278E-4</v>
      </c>
    </row>
    <row r="4405" spans="39:41" x14ac:dyDescent="0.25">
      <c r="AM4405" s="2">
        <v>4402</v>
      </c>
      <c r="AN4405" s="33">
        <v>1.3734769581178639E-2</v>
      </c>
      <c r="AO4405" s="33">
        <v>1.342199262122351E-3</v>
      </c>
    </row>
    <row r="4406" spans="39:41" x14ac:dyDescent="0.25">
      <c r="AM4406" s="2">
        <v>4403</v>
      </c>
      <c r="AN4406" s="33">
        <v>1.0896541634968119E-2</v>
      </c>
      <c r="AO4406" s="33">
        <v>9.0453634220036348E-4</v>
      </c>
    </row>
    <row r="4407" spans="39:41" x14ac:dyDescent="0.25">
      <c r="AM4407" s="2">
        <v>4404</v>
      </c>
      <c r="AN4407" s="33">
        <v>1.2383311543968937E-2</v>
      </c>
      <c r="AO4407" s="33">
        <v>1.1685124267672624E-3</v>
      </c>
    </row>
    <row r="4408" spans="39:41" x14ac:dyDescent="0.25">
      <c r="AM4408" s="2">
        <v>4405</v>
      </c>
      <c r="AN4408" s="33">
        <v>1.1121901338167064E-2</v>
      </c>
      <c r="AO4408" s="33">
        <v>8.8856147893178698E-4</v>
      </c>
    </row>
    <row r="4409" spans="39:41" x14ac:dyDescent="0.25">
      <c r="AM4409" s="2">
        <v>4406</v>
      </c>
      <c r="AN4409" s="33">
        <v>9.1715920659601428E-3</v>
      </c>
      <c r="AO4409" s="33">
        <v>6.2675712418605633E-4</v>
      </c>
    </row>
    <row r="4410" spans="39:41" x14ac:dyDescent="0.25">
      <c r="AM4410" s="2">
        <v>4407</v>
      </c>
      <c r="AN4410" s="33">
        <v>1.113116474943719E-2</v>
      </c>
      <c r="AO4410" s="33">
        <v>1.053127595204419E-3</v>
      </c>
    </row>
    <row r="4411" spans="39:41" x14ac:dyDescent="0.25">
      <c r="AM4411" s="2">
        <v>4408</v>
      </c>
      <c r="AN4411" s="33">
        <v>7.6204857738871989E-3</v>
      </c>
      <c r="AO4411" s="33">
        <v>2.7903010673874137E-4</v>
      </c>
    </row>
    <row r="4412" spans="39:41" x14ac:dyDescent="0.25">
      <c r="AM4412" s="2">
        <v>4409</v>
      </c>
      <c r="AN4412" s="33">
        <v>1.3913710309392117E-2</v>
      </c>
      <c r="AO4412" s="33">
        <v>8.8631393471003269E-4</v>
      </c>
    </row>
    <row r="4413" spans="39:41" x14ac:dyDescent="0.25">
      <c r="AM4413" s="2">
        <v>4410</v>
      </c>
      <c r="AN4413" s="33">
        <v>1.1561418577740463E-2</v>
      </c>
      <c r="AO4413" s="33">
        <v>5.5586837698778663E-4</v>
      </c>
    </row>
    <row r="4414" spans="39:41" x14ac:dyDescent="0.25">
      <c r="AM4414" s="2">
        <v>4411</v>
      </c>
      <c r="AN4414" s="33">
        <v>1.0719231217049813E-2</v>
      </c>
      <c r="AO4414" s="33">
        <v>8.1368882559270034E-4</v>
      </c>
    </row>
    <row r="4415" spans="39:41" x14ac:dyDescent="0.25">
      <c r="AM4415" s="2">
        <v>4412</v>
      </c>
      <c r="AN4415" s="33">
        <v>1.0225941538326263E-2</v>
      </c>
      <c r="AO4415" s="33">
        <v>5.3396162587134098E-4</v>
      </c>
    </row>
    <row r="4416" spans="39:41" x14ac:dyDescent="0.25">
      <c r="AM4416" s="2">
        <v>4413</v>
      </c>
      <c r="AN4416" s="33">
        <v>8.9285303271479429E-3</v>
      </c>
      <c r="AO4416" s="33">
        <v>7.042246813346322E-4</v>
      </c>
    </row>
    <row r="4417" spans="39:41" x14ac:dyDescent="0.25">
      <c r="AM4417" s="2">
        <v>4414</v>
      </c>
      <c r="AN4417" s="33">
        <v>1.037183584880913E-2</v>
      </c>
      <c r="AO4417" s="33">
        <v>8.4314117419178767E-4</v>
      </c>
    </row>
    <row r="4418" spans="39:41" x14ac:dyDescent="0.25">
      <c r="AM4418" s="2">
        <v>4415</v>
      </c>
      <c r="AN4418" s="33">
        <v>1.1288624719557185E-2</v>
      </c>
      <c r="AO4418" s="33">
        <v>9.2359472404461411E-4</v>
      </c>
    </row>
    <row r="4419" spans="39:41" x14ac:dyDescent="0.25">
      <c r="AM4419" s="2">
        <v>4416</v>
      </c>
      <c r="AN4419" s="33">
        <v>7.4952026304943714E-3</v>
      </c>
      <c r="AO4419" s="33">
        <v>5.6313288938964075E-4</v>
      </c>
    </row>
    <row r="4420" spans="39:41" x14ac:dyDescent="0.25">
      <c r="AM4420" s="2">
        <v>4417</v>
      </c>
      <c r="AN4420" s="33">
        <v>1.6114712465218624E-2</v>
      </c>
      <c r="AO4420" s="33">
        <v>1.5960483400988381E-3</v>
      </c>
    </row>
    <row r="4421" spans="39:41" x14ac:dyDescent="0.25">
      <c r="AM4421" s="2">
        <v>4418</v>
      </c>
      <c r="AN4421" s="33">
        <v>1.055424309207147E-2</v>
      </c>
      <c r="AO4421" s="33">
        <v>1.0713071920683249E-3</v>
      </c>
    </row>
    <row r="4422" spans="39:41" x14ac:dyDescent="0.25">
      <c r="AM4422" s="2">
        <v>4419</v>
      </c>
      <c r="AN4422" s="33">
        <v>8.9537272158085653E-3</v>
      </c>
      <c r="AO4422" s="33">
        <v>6.5608183582970675E-4</v>
      </c>
    </row>
    <row r="4423" spans="39:41" x14ac:dyDescent="0.25">
      <c r="AM4423" s="2">
        <v>4420</v>
      </c>
      <c r="AN4423" s="33">
        <v>1.1424482589603522E-2</v>
      </c>
      <c r="AO4423" s="33">
        <v>1.0975183143146926E-3</v>
      </c>
    </row>
    <row r="4424" spans="39:41" x14ac:dyDescent="0.25">
      <c r="AM4424" s="2">
        <v>4421</v>
      </c>
      <c r="AN4424" s="33">
        <v>1.1366920822165253E-2</v>
      </c>
      <c r="AO4424" s="33">
        <v>8.1059701232744227E-4</v>
      </c>
    </row>
    <row r="4425" spans="39:41" x14ac:dyDescent="0.25">
      <c r="AM4425" s="2">
        <v>4422</v>
      </c>
      <c r="AN4425" s="33">
        <v>1.6861140804482474E-2</v>
      </c>
      <c r="AO4425" s="33">
        <v>1.4196604989098536E-3</v>
      </c>
    </row>
    <row r="4426" spans="39:41" x14ac:dyDescent="0.25">
      <c r="AM4426" s="2">
        <v>4423</v>
      </c>
      <c r="AN4426" s="33">
        <v>1.1274977799860263E-2</v>
      </c>
      <c r="AO4426" s="33">
        <v>5.5467389370521258E-4</v>
      </c>
    </row>
    <row r="4427" spans="39:41" x14ac:dyDescent="0.25">
      <c r="AM4427" s="2">
        <v>4424</v>
      </c>
      <c r="AN4427" s="33">
        <v>1.3087258660543276E-2</v>
      </c>
      <c r="AO4427" s="33">
        <v>1.0978556250671198E-3</v>
      </c>
    </row>
    <row r="4428" spans="39:41" x14ac:dyDescent="0.25">
      <c r="AM4428" s="2">
        <v>4425</v>
      </c>
      <c r="AN4428" s="33">
        <v>1.2634020021454256E-2</v>
      </c>
      <c r="AO4428" s="33">
        <v>8.226410832800063E-4</v>
      </c>
    </row>
    <row r="4429" spans="39:41" x14ac:dyDescent="0.25">
      <c r="AM4429" s="2">
        <v>4426</v>
      </c>
      <c r="AN4429" s="33">
        <v>1.3456910479296215E-2</v>
      </c>
      <c r="AO4429" s="33">
        <v>9.2846493535638593E-4</v>
      </c>
    </row>
    <row r="4430" spans="39:41" x14ac:dyDescent="0.25">
      <c r="AM4430" s="2">
        <v>4427</v>
      </c>
      <c r="AN4430" s="33">
        <v>1.4393231024696407E-2</v>
      </c>
      <c r="AO4430" s="33">
        <v>1.3238303277172069E-3</v>
      </c>
    </row>
    <row r="4431" spans="39:41" x14ac:dyDescent="0.25">
      <c r="AM4431" s="2">
        <v>4428</v>
      </c>
      <c r="AN4431" s="33">
        <v>1.0595993185010515E-2</v>
      </c>
      <c r="AO4431" s="33">
        <v>1.0703222591096483E-3</v>
      </c>
    </row>
    <row r="4432" spans="39:41" x14ac:dyDescent="0.25">
      <c r="AM4432" s="2">
        <v>4429</v>
      </c>
      <c r="AN4432" s="33">
        <v>1.5841561720982108E-2</v>
      </c>
      <c r="AO4432" s="33">
        <v>1.5971925075693374E-3</v>
      </c>
    </row>
    <row r="4433" spans="39:41" x14ac:dyDescent="0.25">
      <c r="AM4433" s="2">
        <v>4430</v>
      </c>
      <c r="AN4433" s="33">
        <v>1.3847945895618045E-2</v>
      </c>
      <c r="AO4433" s="33">
        <v>9.6566034521897832E-4</v>
      </c>
    </row>
    <row r="4434" spans="39:41" x14ac:dyDescent="0.25">
      <c r="AM4434" s="2">
        <v>4431</v>
      </c>
      <c r="AN4434" s="33">
        <v>8.5096125911347381E-3</v>
      </c>
      <c r="AO4434" s="33">
        <v>2.6264033985195926E-4</v>
      </c>
    </row>
    <row r="4435" spans="39:41" x14ac:dyDescent="0.25">
      <c r="AM4435" s="2">
        <v>4432</v>
      </c>
      <c r="AN4435" s="33">
        <v>1.0189044223604563E-2</v>
      </c>
      <c r="AO4435" s="33">
        <v>7.4684268033558317E-4</v>
      </c>
    </row>
    <row r="4436" spans="39:41" x14ac:dyDescent="0.25">
      <c r="AM4436" s="2">
        <v>4433</v>
      </c>
      <c r="AN4436" s="33">
        <v>9.4634114157033065E-3</v>
      </c>
      <c r="AO4436" s="33">
        <v>9.0442730013534829E-4</v>
      </c>
    </row>
    <row r="4437" spans="39:41" x14ac:dyDescent="0.25">
      <c r="AM4437" s="2">
        <v>4434</v>
      </c>
      <c r="AN4437" s="33">
        <v>1.4861089074292216E-2</v>
      </c>
      <c r="AO4437" s="33">
        <v>1.0659021941837568E-3</v>
      </c>
    </row>
    <row r="4438" spans="39:41" x14ac:dyDescent="0.25">
      <c r="AM4438" s="2">
        <v>4435</v>
      </c>
      <c r="AN4438" s="33">
        <v>1.5817425236589893E-2</v>
      </c>
      <c r="AO4438" s="33">
        <v>1.0504658747787137E-3</v>
      </c>
    </row>
    <row r="4439" spans="39:41" x14ac:dyDescent="0.25">
      <c r="AM4439" s="2">
        <v>4436</v>
      </c>
      <c r="AN4439" s="33">
        <v>9.1469973989418991E-3</v>
      </c>
      <c r="AO4439" s="33">
        <v>6.652014956035245E-4</v>
      </c>
    </row>
    <row r="4440" spans="39:41" x14ac:dyDescent="0.25">
      <c r="AM4440" s="2">
        <v>4437</v>
      </c>
      <c r="AN4440" s="33">
        <v>1.005658437146033E-2</v>
      </c>
      <c r="AO4440" s="33">
        <v>2.8259344412534743E-4</v>
      </c>
    </row>
    <row r="4441" spans="39:41" x14ac:dyDescent="0.25">
      <c r="AM4441" s="2">
        <v>4438</v>
      </c>
      <c r="AN4441" s="33">
        <v>1.0901890935922474E-2</v>
      </c>
      <c r="AO4441" s="33">
        <v>7.0633989426753627E-4</v>
      </c>
    </row>
    <row r="4442" spans="39:41" x14ac:dyDescent="0.25">
      <c r="AM4442" s="2">
        <v>4439</v>
      </c>
      <c r="AN4442" s="33">
        <v>1.1229214231118915E-2</v>
      </c>
      <c r="AO4442" s="33">
        <v>5.0580366468939682E-4</v>
      </c>
    </row>
    <row r="4443" spans="39:41" x14ac:dyDescent="0.25">
      <c r="AM4443" s="2">
        <v>4440</v>
      </c>
      <c r="AN4443" s="33">
        <v>1.066659245412477E-2</v>
      </c>
      <c r="AO4443" s="33">
        <v>6.4206617132485204E-4</v>
      </c>
    </row>
    <row r="4444" spans="39:41" x14ac:dyDescent="0.25">
      <c r="AM4444" s="2">
        <v>4441</v>
      </c>
      <c r="AN4444" s="33">
        <v>1.2863410190150885E-2</v>
      </c>
      <c r="AO4444" s="33">
        <v>1.2564394699263247E-3</v>
      </c>
    </row>
    <row r="4445" spans="39:41" x14ac:dyDescent="0.25">
      <c r="AM4445" s="2">
        <v>4442</v>
      </c>
      <c r="AN4445" s="33">
        <v>1.0073180527327438E-2</v>
      </c>
      <c r="AO4445" s="33">
        <v>3.7955155633307287E-4</v>
      </c>
    </row>
    <row r="4446" spans="39:41" x14ac:dyDescent="0.25">
      <c r="AM4446" s="2">
        <v>4443</v>
      </c>
      <c r="AN4446" s="33">
        <v>1.0133469614343343E-2</v>
      </c>
      <c r="AO4446" s="33">
        <v>6.1333728761034552E-4</v>
      </c>
    </row>
    <row r="4447" spans="39:41" x14ac:dyDescent="0.25">
      <c r="AM4447" s="2">
        <v>4444</v>
      </c>
      <c r="AN4447" s="33">
        <v>8.9811226853966589E-3</v>
      </c>
      <c r="AO4447" s="33">
        <v>4.487913145508162E-4</v>
      </c>
    </row>
    <row r="4448" spans="39:41" x14ac:dyDescent="0.25">
      <c r="AM4448" s="2">
        <v>4445</v>
      </c>
      <c r="AN4448" s="33">
        <v>1.4132015250597861E-2</v>
      </c>
      <c r="AO4448" s="33">
        <v>5.7963846816071294E-4</v>
      </c>
    </row>
    <row r="4449" spans="39:41" x14ac:dyDescent="0.25">
      <c r="AM4449" s="2">
        <v>4446</v>
      </c>
      <c r="AN4449" s="33">
        <v>9.3160912726434949E-3</v>
      </c>
      <c r="AO4449" s="33">
        <v>7.3678866496476928E-4</v>
      </c>
    </row>
    <row r="4450" spans="39:41" x14ac:dyDescent="0.25">
      <c r="AM4450" s="2">
        <v>4447</v>
      </c>
      <c r="AN4450" s="33">
        <v>1.093250371571856E-2</v>
      </c>
      <c r="AO4450" s="33">
        <v>8.7268847692359463E-4</v>
      </c>
    </row>
    <row r="4451" spans="39:41" x14ac:dyDescent="0.25">
      <c r="AM4451" s="2">
        <v>4448</v>
      </c>
      <c r="AN4451" s="33">
        <v>1.1923823680605341E-2</v>
      </c>
      <c r="AO4451" s="33">
        <v>1.016922296165422E-3</v>
      </c>
    </row>
    <row r="4452" spans="39:41" x14ac:dyDescent="0.25">
      <c r="AM4452" s="2">
        <v>4449</v>
      </c>
      <c r="AN4452" s="33">
        <v>1.1216299761762326E-2</v>
      </c>
      <c r="AO4452" s="33">
        <v>5.61371746488737E-4</v>
      </c>
    </row>
    <row r="4453" spans="39:41" x14ac:dyDescent="0.25">
      <c r="AM4453" s="2">
        <v>4450</v>
      </c>
      <c r="AN4453" s="33">
        <v>1.1083780635937582E-2</v>
      </c>
      <c r="AO4453" s="33">
        <v>7.9035079860183331E-4</v>
      </c>
    </row>
    <row r="4454" spans="39:41" x14ac:dyDescent="0.25">
      <c r="AM4454" s="2">
        <v>4451</v>
      </c>
      <c r="AN4454" s="33">
        <v>1.0587718677502909E-2</v>
      </c>
      <c r="AO4454" s="33">
        <v>5.7659682729120252E-4</v>
      </c>
    </row>
    <row r="4455" spans="39:41" x14ac:dyDescent="0.25">
      <c r="AM4455" s="2">
        <v>4452</v>
      </c>
      <c r="AN4455" s="33">
        <v>1.0312910472835324E-2</v>
      </c>
      <c r="AO4455" s="33">
        <v>5.823783399218032E-4</v>
      </c>
    </row>
    <row r="4456" spans="39:41" x14ac:dyDescent="0.25">
      <c r="AM4456" s="2">
        <v>4453</v>
      </c>
      <c r="AN4456" s="33">
        <v>8.7957598012414727E-3</v>
      </c>
      <c r="AO4456" s="33">
        <v>5.4817907399406954E-4</v>
      </c>
    </row>
    <row r="4457" spans="39:41" x14ac:dyDescent="0.25">
      <c r="AM4457" s="2">
        <v>4454</v>
      </c>
      <c r="AN4457" s="33">
        <v>8.4237558135800382E-3</v>
      </c>
      <c r="AO4457" s="33">
        <v>4.2853722914265146E-4</v>
      </c>
    </row>
    <row r="4458" spans="39:41" x14ac:dyDescent="0.25">
      <c r="AM4458" s="2">
        <v>4455</v>
      </c>
      <c r="AN4458" s="33">
        <v>1.038314592842483E-2</v>
      </c>
      <c r="AO4458" s="33">
        <v>6.07730113600151E-4</v>
      </c>
    </row>
    <row r="4459" spans="39:41" x14ac:dyDescent="0.25">
      <c r="AM4459" s="2">
        <v>4456</v>
      </c>
      <c r="AN4459" s="33">
        <v>9.8683005153568804E-3</v>
      </c>
      <c r="AO4459" s="33">
        <v>6.6093731507579554E-4</v>
      </c>
    </row>
    <row r="4460" spans="39:41" x14ac:dyDescent="0.25">
      <c r="AM4460" s="2">
        <v>4457</v>
      </c>
      <c r="AN4460" s="33">
        <v>1.2357559588699881E-2</v>
      </c>
      <c r="AO4460" s="33">
        <v>1.1185147508268876E-3</v>
      </c>
    </row>
    <row r="4461" spans="39:41" x14ac:dyDescent="0.25">
      <c r="AM4461" s="2">
        <v>4458</v>
      </c>
      <c r="AN4461" s="33">
        <v>8.9693684340534183E-3</v>
      </c>
      <c r="AO4461" s="33">
        <v>4.5929333730926157E-4</v>
      </c>
    </row>
    <row r="4462" spans="39:41" x14ac:dyDescent="0.25">
      <c r="AM4462" s="2">
        <v>4459</v>
      </c>
      <c r="AN4462" s="33">
        <v>1.5851722651702881E-2</v>
      </c>
      <c r="AO4462" s="33">
        <v>1.3114868290090191E-3</v>
      </c>
    </row>
    <row r="4463" spans="39:41" x14ac:dyDescent="0.25">
      <c r="AM4463" s="2">
        <v>4460</v>
      </c>
      <c r="AN4463" s="33">
        <v>1.4179213364869932E-2</v>
      </c>
      <c r="AO4463" s="33">
        <v>1.1366762534080494E-3</v>
      </c>
    </row>
    <row r="4464" spans="39:41" x14ac:dyDescent="0.25">
      <c r="AM4464" s="2">
        <v>4461</v>
      </c>
      <c r="AN4464" s="33">
        <v>1.1357649230508285E-2</v>
      </c>
      <c r="AO4464" s="33">
        <v>9.8658011368856955E-4</v>
      </c>
    </row>
    <row r="4465" spans="39:41" x14ac:dyDescent="0.25">
      <c r="AM4465" s="2">
        <v>4462</v>
      </c>
      <c r="AN4465" s="33">
        <v>1.3223720033090159E-2</v>
      </c>
      <c r="AO4465" s="33">
        <v>1.1823001104483703E-3</v>
      </c>
    </row>
    <row r="4466" spans="39:41" x14ac:dyDescent="0.25">
      <c r="AM4466" s="2">
        <v>4463</v>
      </c>
      <c r="AN4466" s="33">
        <v>1.2297502364530729E-2</v>
      </c>
      <c r="AO4466" s="33">
        <v>8.4084902103742989E-4</v>
      </c>
    </row>
    <row r="4467" spans="39:41" x14ac:dyDescent="0.25">
      <c r="AM4467" s="2">
        <v>4464</v>
      </c>
      <c r="AN4467" s="33">
        <v>1.4059180543783353E-2</v>
      </c>
      <c r="AO4467" s="33">
        <v>1.2185345121514548E-3</v>
      </c>
    </row>
    <row r="4468" spans="39:41" x14ac:dyDescent="0.25">
      <c r="AM4468" s="2">
        <v>4465</v>
      </c>
      <c r="AN4468" s="33">
        <v>1.0599170000908738E-2</v>
      </c>
      <c r="AO4468" s="33">
        <v>9.9384772957271123E-4</v>
      </c>
    </row>
    <row r="4469" spans="39:41" x14ac:dyDescent="0.25">
      <c r="AM4469" s="2">
        <v>4466</v>
      </c>
      <c r="AN4469" s="33">
        <v>1.1085974453484741E-2</v>
      </c>
      <c r="AO4469" s="33">
        <v>6.8359288687744975E-4</v>
      </c>
    </row>
    <row r="4470" spans="39:41" x14ac:dyDescent="0.25">
      <c r="AM4470" s="2">
        <v>4467</v>
      </c>
      <c r="AN4470" s="33">
        <v>1.381215423129672E-2</v>
      </c>
      <c r="AO4470" s="33">
        <v>1.3172127607993071E-3</v>
      </c>
    </row>
    <row r="4471" spans="39:41" x14ac:dyDescent="0.25">
      <c r="AM4471" s="2">
        <v>4468</v>
      </c>
      <c r="AN4471" s="33">
        <v>1.1863641190083771E-2</v>
      </c>
      <c r="AO4471" s="33">
        <v>8.2052394781827848E-4</v>
      </c>
    </row>
    <row r="4472" spans="39:41" x14ac:dyDescent="0.25">
      <c r="AM4472" s="2">
        <v>4469</v>
      </c>
      <c r="AN4472" s="33">
        <v>1.3430298096255002E-2</v>
      </c>
      <c r="AO4472" s="33">
        <v>9.5928994647296434E-4</v>
      </c>
    </row>
    <row r="4473" spans="39:41" x14ac:dyDescent="0.25">
      <c r="AM4473" s="2">
        <v>4470</v>
      </c>
      <c r="AN4473" s="33">
        <v>8.7086366366689125E-3</v>
      </c>
      <c r="AO4473" s="33">
        <v>4.3547654658515487E-4</v>
      </c>
    </row>
    <row r="4474" spans="39:41" x14ac:dyDescent="0.25">
      <c r="AM4474" s="2">
        <v>4471</v>
      </c>
      <c r="AN4474" s="33">
        <v>1.1688367501803583E-2</v>
      </c>
      <c r="AO4474" s="33">
        <v>8.5864604583615097E-4</v>
      </c>
    </row>
    <row r="4475" spans="39:41" x14ac:dyDescent="0.25">
      <c r="AM4475" s="2">
        <v>4472</v>
      </c>
      <c r="AN4475" s="33">
        <v>9.8933100249228127E-3</v>
      </c>
      <c r="AO4475" s="33">
        <v>6.7653685072436112E-4</v>
      </c>
    </row>
    <row r="4476" spans="39:41" x14ac:dyDescent="0.25">
      <c r="AM4476" s="2">
        <v>4473</v>
      </c>
      <c r="AN4476" s="33">
        <v>1.2024736242708126E-2</v>
      </c>
      <c r="AO4476" s="33">
        <v>3.3938340998056638E-4</v>
      </c>
    </row>
    <row r="4477" spans="39:41" x14ac:dyDescent="0.25">
      <c r="AM4477" s="2">
        <v>4474</v>
      </c>
      <c r="AN4477" s="33">
        <v>1.6655301945989239E-2</v>
      </c>
      <c r="AO4477" s="33">
        <v>1.6761917654263179E-3</v>
      </c>
    </row>
    <row r="4478" spans="39:41" x14ac:dyDescent="0.25">
      <c r="AM4478" s="2">
        <v>4475</v>
      </c>
      <c r="AN4478" s="33">
        <v>1.0015818671043916E-2</v>
      </c>
      <c r="AO4478" s="33">
        <v>1.0916918685329748E-3</v>
      </c>
    </row>
    <row r="4479" spans="39:41" x14ac:dyDescent="0.25">
      <c r="AM4479" s="2">
        <v>4476</v>
      </c>
      <c r="AN4479" s="33">
        <v>8.9178941379111053E-3</v>
      </c>
      <c r="AO4479" s="33">
        <v>2.7897827466704268E-4</v>
      </c>
    </row>
    <row r="4480" spans="39:41" x14ac:dyDescent="0.25">
      <c r="AM4480" s="2">
        <v>4477</v>
      </c>
      <c r="AN4480" s="33">
        <v>1.4336484931638504E-2</v>
      </c>
      <c r="AO4480" s="33">
        <v>1.0324332649148654E-3</v>
      </c>
    </row>
    <row r="4481" spans="39:41" x14ac:dyDescent="0.25">
      <c r="AM4481" s="2">
        <v>4478</v>
      </c>
      <c r="AN4481" s="33">
        <v>1.3235091736567473E-2</v>
      </c>
      <c r="AO4481" s="33">
        <v>1.2686150909401474E-3</v>
      </c>
    </row>
    <row r="4482" spans="39:41" x14ac:dyDescent="0.25">
      <c r="AM4482" s="2">
        <v>4479</v>
      </c>
      <c r="AN4482" s="33">
        <v>1.0183719828049472E-2</v>
      </c>
      <c r="AO4482" s="33">
        <v>9.1496165880035948E-4</v>
      </c>
    </row>
    <row r="4483" spans="39:41" x14ac:dyDescent="0.25">
      <c r="AM4483" s="2">
        <v>4480</v>
      </c>
      <c r="AN4483" s="33">
        <v>1.0356960427963082E-2</v>
      </c>
      <c r="AO4483" s="33">
        <v>8.9768176512831422E-4</v>
      </c>
    </row>
    <row r="4484" spans="39:41" x14ac:dyDescent="0.25">
      <c r="AM4484" s="2">
        <v>4481</v>
      </c>
      <c r="AN4484" s="33">
        <v>1.0783714658701043E-2</v>
      </c>
      <c r="AO4484" s="33">
        <v>1.9301103415977281E-4</v>
      </c>
    </row>
    <row r="4485" spans="39:41" x14ac:dyDescent="0.25">
      <c r="AM4485" s="2">
        <v>4482</v>
      </c>
      <c r="AN4485" s="33">
        <v>1.3063749856353165E-2</v>
      </c>
      <c r="AO4485" s="33">
        <v>9.815073752780575E-4</v>
      </c>
    </row>
    <row r="4486" spans="39:41" x14ac:dyDescent="0.25">
      <c r="AM4486" s="2">
        <v>4483</v>
      </c>
      <c r="AN4486" s="33">
        <v>1.115540617483585E-2</v>
      </c>
      <c r="AO4486" s="33">
        <v>9.9919225324109182E-4</v>
      </c>
    </row>
    <row r="4487" spans="39:41" x14ac:dyDescent="0.25">
      <c r="AM4487" s="2">
        <v>4484</v>
      </c>
      <c r="AN4487" s="33">
        <v>8.1402483452217098E-3</v>
      </c>
      <c r="AO4487" s="33">
        <v>4.3548493401733524E-4</v>
      </c>
    </row>
    <row r="4488" spans="39:41" x14ac:dyDescent="0.25">
      <c r="AM4488" s="2">
        <v>4485</v>
      </c>
      <c r="AN4488" s="33">
        <v>1.0370496477933712E-2</v>
      </c>
      <c r="AO4488" s="33">
        <v>4.5572375263651615E-4</v>
      </c>
    </row>
    <row r="4489" spans="39:41" x14ac:dyDescent="0.25">
      <c r="AM4489" s="2">
        <v>4486</v>
      </c>
      <c r="AN4489" s="33">
        <v>1.1931561924034729E-2</v>
      </c>
      <c r="AO4489" s="33">
        <v>8.3044911815871548E-4</v>
      </c>
    </row>
    <row r="4490" spans="39:41" x14ac:dyDescent="0.25">
      <c r="AM4490" s="2">
        <v>4487</v>
      </c>
      <c r="AN4490" s="33">
        <v>1.0951583786248874E-2</v>
      </c>
      <c r="AO4490" s="33">
        <v>8.4780125364182209E-4</v>
      </c>
    </row>
    <row r="4491" spans="39:41" x14ac:dyDescent="0.25">
      <c r="AM4491" s="2">
        <v>4488</v>
      </c>
      <c r="AN4491" s="33">
        <v>1.2670394770979431E-2</v>
      </c>
      <c r="AO4491" s="33">
        <v>1.1823207959710787E-3</v>
      </c>
    </row>
    <row r="4492" spans="39:41" x14ac:dyDescent="0.25">
      <c r="AM4492" s="2">
        <v>4489</v>
      </c>
      <c r="AN4492" s="33">
        <v>9.5265227411960359E-3</v>
      </c>
      <c r="AO4492" s="33">
        <v>8.4562215192858872E-4</v>
      </c>
    </row>
    <row r="4493" spans="39:41" x14ac:dyDescent="0.25">
      <c r="AM4493" s="2">
        <v>4490</v>
      </c>
      <c r="AN4493" s="33">
        <v>1.145445732258569E-2</v>
      </c>
      <c r="AO4493" s="33">
        <v>1.1475460089290423E-3</v>
      </c>
    </row>
    <row r="4494" spans="39:41" x14ac:dyDescent="0.25">
      <c r="AM4494" s="2">
        <v>4491</v>
      </c>
      <c r="AN4494" s="33">
        <v>8.4973757372840374E-3</v>
      </c>
      <c r="AO4494" s="33">
        <v>5.4665320863570856E-4</v>
      </c>
    </row>
    <row r="4495" spans="39:41" x14ac:dyDescent="0.25">
      <c r="AM4495" s="2">
        <v>4492</v>
      </c>
      <c r="AN4495" s="33">
        <v>1.0138527518213007E-2</v>
      </c>
      <c r="AO4495" s="33">
        <v>5.3047415419916273E-4</v>
      </c>
    </row>
    <row r="4496" spans="39:41" x14ac:dyDescent="0.25">
      <c r="AM4496" s="2">
        <v>4493</v>
      </c>
      <c r="AN4496" s="33">
        <v>1.2158865767354348E-2</v>
      </c>
      <c r="AO4496" s="33">
        <v>1.0107655556381404E-3</v>
      </c>
    </row>
    <row r="4497" spans="39:41" x14ac:dyDescent="0.25">
      <c r="AM4497" s="2">
        <v>4494</v>
      </c>
      <c r="AN4497" s="33">
        <v>1.091296697391881E-2</v>
      </c>
      <c r="AO4497" s="33">
        <v>6.0246447538049976E-4</v>
      </c>
    </row>
    <row r="4498" spans="39:41" x14ac:dyDescent="0.25">
      <c r="AM4498" s="2">
        <v>4495</v>
      </c>
      <c r="AN4498" s="33">
        <v>1.1528209414890096E-2</v>
      </c>
      <c r="AO4498" s="33">
        <v>8.2221016720518229E-4</v>
      </c>
    </row>
    <row r="4499" spans="39:41" x14ac:dyDescent="0.25">
      <c r="AM4499" s="2">
        <v>4496</v>
      </c>
      <c r="AN4499" s="33">
        <v>1.1904024910023809E-2</v>
      </c>
      <c r="AO4499" s="33">
        <v>8.3531567605337853E-4</v>
      </c>
    </row>
    <row r="4500" spans="39:41" x14ac:dyDescent="0.25">
      <c r="AM4500" s="2">
        <v>4497</v>
      </c>
      <c r="AN4500" s="33">
        <v>1.0619432751854016E-2</v>
      </c>
      <c r="AO4500" s="33">
        <v>6.4273819398902939E-4</v>
      </c>
    </row>
    <row r="4501" spans="39:41" x14ac:dyDescent="0.25">
      <c r="AM4501" s="2">
        <v>4498</v>
      </c>
      <c r="AN4501" s="33">
        <v>1.2389249928086968E-2</v>
      </c>
      <c r="AO4501" s="33">
        <v>8.6338023897638942E-4</v>
      </c>
    </row>
    <row r="4502" spans="39:41" x14ac:dyDescent="0.25">
      <c r="AM4502" s="2">
        <v>4499</v>
      </c>
      <c r="AN4502" s="33">
        <v>9.8717943914561259E-3</v>
      </c>
      <c r="AO4502" s="33">
        <v>5.5625855899760516E-4</v>
      </c>
    </row>
    <row r="4503" spans="39:41" x14ac:dyDescent="0.25">
      <c r="AM4503" s="2">
        <v>4500</v>
      </c>
      <c r="AN4503" s="33">
        <v>1.2393590303938613E-2</v>
      </c>
      <c r="AO4503" s="33">
        <v>1.081358608701686E-3</v>
      </c>
    </row>
    <row r="4504" spans="39:41" x14ac:dyDescent="0.25">
      <c r="AM4504" s="2">
        <v>4501</v>
      </c>
      <c r="AN4504" s="33">
        <v>1.4046539031631207E-2</v>
      </c>
      <c r="AO4504" s="33">
        <v>1.1639381001948999E-3</v>
      </c>
    </row>
    <row r="4505" spans="39:41" x14ac:dyDescent="0.25">
      <c r="AM4505" s="2">
        <v>4502</v>
      </c>
      <c r="AN4505" s="33">
        <v>8.6440773469879089E-3</v>
      </c>
      <c r="AO4505" s="33">
        <v>4.2139446327405791E-4</v>
      </c>
    </row>
    <row r="4506" spans="39:41" x14ac:dyDescent="0.25">
      <c r="AM4506" s="2">
        <v>4503</v>
      </c>
      <c r="AN4506" s="33">
        <v>1.4271763992045198E-2</v>
      </c>
      <c r="AO4506" s="33">
        <v>1.047021371294184E-3</v>
      </c>
    </row>
    <row r="4507" spans="39:41" x14ac:dyDescent="0.25">
      <c r="AM4507" s="2">
        <v>4504</v>
      </c>
      <c r="AN4507" s="33">
        <v>1.0249775141540018E-2</v>
      </c>
      <c r="AO4507" s="33">
        <v>6.9301618991471792E-4</v>
      </c>
    </row>
    <row r="4508" spans="39:41" x14ac:dyDescent="0.25">
      <c r="AM4508" s="2">
        <v>4505</v>
      </c>
      <c r="AN4508" s="33">
        <v>8.4971860714132628E-3</v>
      </c>
      <c r="AO4508" s="33">
        <v>3.4969299630663038E-4</v>
      </c>
    </row>
    <row r="4509" spans="39:41" x14ac:dyDescent="0.25">
      <c r="AM4509" s="2">
        <v>4506</v>
      </c>
      <c r="AN4509" s="33">
        <v>1.1147103844156367E-2</v>
      </c>
      <c r="AO4509" s="33">
        <v>9.3310214224062151E-4</v>
      </c>
    </row>
    <row r="4510" spans="39:41" x14ac:dyDescent="0.25">
      <c r="AM4510" s="2">
        <v>4507</v>
      </c>
      <c r="AN4510" s="33">
        <v>1.3466574975682155E-2</v>
      </c>
      <c r="AO4510" s="33">
        <v>1.3135697313226436E-3</v>
      </c>
    </row>
    <row r="4511" spans="39:41" x14ac:dyDescent="0.25">
      <c r="AM4511" s="2">
        <v>4508</v>
      </c>
      <c r="AN4511" s="33">
        <v>1.0030599919879851E-2</v>
      </c>
      <c r="AO4511" s="33">
        <v>8.2180020402608056E-4</v>
      </c>
    </row>
    <row r="4512" spans="39:41" x14ac:dyDescent="0.25">
      <c r="AM4512" s="2">
        <v>4509</v>
      </c>
      <c r="AN4512" s="33">
        <v>1.681974565463059E-2</v>
      </c>
      <c r="AO4512" s="33">
        <v>1.4681551391059998E-3</v>
      </c>
    </row>
    <row r="4513" spans="39:41" x14ac:dyDescent="0.25">
      <c r="AM4513" s="2">
        <v>4510</v>
      </c>
      <c r="AN4513" s="33">
        <v>8.7718029682906477E-3</v>
      </c>
      <c r="AO4513" s="33">
        <v>6.7588870757926778E-4</v>
      </c>
    </row>
    <row r="4514" spans="39:41" x14ac:dyDescent="0.25">
      <c r="AM4514" s="2">
        <v>4511</v>
      </c>
      <c r="AN4514" s="33">
        <v>8.7002566743072315E-3</v>
      </c>
      <c r="AO4514" s="33">
        <v>6.3747073658125888E-4</v>
      </c>
    </row>
    <row r="4515" spans="39:41" x14ac:dyDescent="0.25">
      <c r="AM4515" s="2">
        <v>4512</v>
      </c>
      <c r="AN4515" s="33">
        <v>1.2259496539721595E-2</v>
      </c>
      <c r="AO4515" s="33">
        <v>7.6809588704119961E-4</v>
      </c>
    </row>
    <row r="4516" spans="39:41" x14ac:dyDescent="0.25">
      <c r="AM4516" s="2">
        <v>4513</v>
      </c>
      <c r="AN4516" s="33">
        <v>1.4925223280153671E-2</v>
      </c>
      <c r="AO4516" s="33">
        <v>1.4223074834559695E-3</v>
      </c>
    </row>
    <row r="4517" spans="39:41" x14ac:dyDescent="0.25">
      <c r="AM4517" s="2">
        <v>4514</v>
      </c>
      <c r="AN4517" s="33">
        <v>1.5715308584454059E-2</v>
      </c>
      <c r="AO4517" s="33">
        <v>1.5785407983430976E-3</v>
      </c>
    </row>
    <row r="4518" spans="39:41" x14ac:dyDescent="0.25">
      <c r="AM4518" s="2">
        <v>4515</v>
      </c>
      <c r="AN4518" s="33">
        <v>9.1389885338664153E-3</v>
      </c>
      <c r="AO4518" s="33">
        <v>8.7707538791037575E-4</v>
      </c>
    </row>
    <row r="4519" spans="39:41" x14ac:dyDescent="0.25">
      <c r="AM4519" s="2">
        <v>4516</v>
      </c>
      <c r="AN4519" s="33">
        <v>1.0154659177558305E-2</v>
      </c>
      <c r="AO4519" s="33">
        <v>8.5321747891042886E-4</v>
      </c>
    </row>
    <row r="4520" spans="39:41" x14ac:dyDescent="0.25">
      <c r="AM4520" s="2">
        <v>4517</v>
      </c>
      <c r="AN4520" s="33">
        <v>1.3642524421742377E-2</v>
      </c>
      <c r="AO4520" s="33">
        <v>1.0584623706664002E-3</v>
      </c>
    </row>
    <row r="4521" spans="39:41" x14ac:dyDescent="0.25">
      <c r="AM4521" s="2">
        <v>4518</v>
      </c>
      <c r="AN4521" s="33">
        <v>1.0218290292593949E-2</v>
      </c>
      <c r="AO4521" s="33">
        <v>5.2382606042645032E-4</v>
      </c>
    </row>
    <row r="4522" spans="39:41" x14ac:dyDescent="0.25">
      <c r="AM4522" s="2">
        <v>4519</v>
      </c>
      <c r="AN4522" s="33">
        <v>1.3397148634766333E-2</v>
      </c>
      <c r="AO4522" s="33">
        <v>7.9079398783177366E-4</v>
      </c>
    </row>
    <row r="4523" spans="39:41" x14ac:dyDescent="0.25">
      <c r="AM4523" s="2">
        <v>4520</v>
      </c>
      <c r="AN4523" s="33">
        <v>1.1466335298016083E-2</v>
      </c>
      <c r="AO4523" s="33">
        <v>8.6896314459963874E-4</v>
      </c>
    </row>
    <row r="4524" spans="39:41" x14ac:dyDescent="0.25">
      <c r="AM4524" s="2">
        <v>4521</v>
      </c>
      <c r="AN4524" s="33">
        <v>1.0790185955563846E-2</v>
      </c>
      <c r="AO4524" s="33">
        <v>7.2907899374800302E-4</v>
      </c>
    </row>
    <row r="4525" spans="39:41" x14ac:dyDescent="0.25">
      <c r="AM4525" s="2">
        <v>4522</v>
      </c>
      <c r="AN4525" s="33">
        <v>1.03824964669936E-2</v>
      </c>
      <c r="AO4525" s="33">
        <v>8.2480496059721684E-4</v>
      </c>
    </row>
    <row r="4526" spans="39:41" x14ac:dyDescent="0.25">
      <c r="AM4526" s="2">
        <v>4523</v>
      </c>
      <c r="AN4526" s="33">
        <v>1.5538171257656394E-2</v>
      </c>
      <c r="AO4526" s="33">
        <v>1.2198444605234851E-3</v>
      </c>
    </row>
    <row r="4527" spans="39:41" x14ac:dyDescent="0.25">
      <c r="AM4527" s="2">
        <v>4524</v>
      </c>
      <c r="AN4527" s="33">
        <v>1.0035949221334451E-2</v>
      </c>
      <c r="AO4527" s="33">
        <v>6.1060385913368762E-4</v>
      </c>
    </row>
    <row r="4528" spans="39:41" x14ac:dyDescent="0.25">
      <c r="AM4528" s="2">
        <v>4525</v>
      </c>
      <c r="AN4528" s="33">
        <v>1.5342297375852987E-2</v>
      </c>
      <c r="AO4528" s="33">
        <v>1.2097348923042559E-3</v>
      </c>
    </row>
    <row r="4529" spans="39:41" x14ac:dyDescent="0.25">
      <c r="AM4529" s="2">
        <v>4526</v>
      </c>
      <c r="AN4529" s="33">
        <v>1.0411634042933122E-2</v>
      </c>
      <c r="AO4529" s="33">
        <v>5.6916659639596817E-4</v>
      </c>
    </row>
    <row r="4530" spans="39:41" x14ac:dyDescent="0.25">
      <c r="AM4530" s="2">
        <v>4527</v>
      </c>
      <c r="AN4530" s="33">
        <v>9.5052532892241099E-3</v>
      </c>
      <c r="AO4530" s="33">
        <v>7.4162164717141328E-4</v>
      </c>
    </row>
    <row r="4531" spans="39:41" x14ac:dyDescent="0.25">
      <c r="AM4531" s="2">
        <v>4528</v>
      </c>
      <c r="AN4531" s="33">
        <v>9.0386119533445233E-3</v>
      </c>
      <c r="AO4531" s="33">
        <v>3.9841871319097892E-4</v>
      </c>
    </row>
    <row r="4532" spans="39:41" x14ac:dyDescent="0.25">
      <c r="AM4532" s="2">
        <v>4529</v>
      </c>
      <c r="AN4532" s="33">
        <v>1.178073992611379E-2</v>
      </c>
      <c r="AO4532" s="33">
        <v>1.011637698500433E-3</v>
      </c>
    </row>
    <row r="4533" spans="39:41" x14ac:dyDescent="0.25">
      <c r="AM4533" s="2">
        <v>4530</v>
      </c>
      <c r="AN4533" s="33">
        <v>1.2508100170519006E-2</v>
      </c>
      <c r="AO4533" s="33">
        <v>1.1075445767650177E-3</v>
      </c>
    </row>
    <row r="4534" spans="39:41" x14ac:dyDescent="0.25">
      <c r="AM4534" s="2">
        <v>4531</v>
      </c>
      <c r="AN4534" s="33">
        <v>1.1268470316120388E-2</v>
      </c>
      <c r="AO4534" s="33">
        <v>9.9859636299168817E-4</v>
      </c>
    </row>
    <row r="4535" spans="39:41" x14ac:dyDescent="0.25">
      <c r="AM4535" s="2">
        <v>4532</v>
      </c>
      <c r="AN4535" s="33">
        <v>1.2805220685086615E-2</v>
      </c>
      <c r="AO4535" s="33">
        <v>1.0409496765507258E-3</v>
      </c>
    </row>
    <row r="4536" spans="39:41" x14ac:dyDescent="0.25">
      <c r="AM4536" s="2">
        <v>4533</v>
      </c>
      <c r="AN4536" s="33">
        <v>8.9162493389215881E-3</v>
      </c>
      <c r="AO4536" s="33">
        <v>8.9847796035061908E-4</v>
      </c>
    </row>
    <row r="4537" spans="39:41" x14ac:dyDescent="0.25">
      <c r="AM4537" s="2">
        <v>4534</v>
      </c>
      <c r="AN4537" s="33">
        <v>1.3418441339268793E-2</v>
      </c>
      <c r="AO4537" s="33">
        <v>8.134144303679245E-4</v>
      </c>
    </row>
    <row r="4538" spans="39:41" x14ac:dyDescent="0.25">
      <c r="AM4538" s="2">
        <v>4535</v>
      </c>
      <c r="AN4538" s="33">
        <v>1.1138602193704189E-2</v>
      </c>
      <c r="AO4538" s="33">
        <v>6.4785745895298158E-4</v>
      </c>
    </row>
    <row r="4539" spans="39:41" x14ac:dyDescent="0.25">
      <c r="AM4539" s="2">
        <v>4536</v>
      </c>
      <c r="AN4539" s="33">
        <v>1.1160996339284704E-2</v>
      </c>
      <c r="AO4539" s="33">
        <v>1.1799850705594478E-3</v>
      </c>
    </row>
    <row r="4540" spans="39:41" x14ac:dyDescent="0.25">
      <c r="AM4540" s="2">
        <v>4537</v>
      </c>
      <c r="AN4540" s="33">
        <v>9.4627085798328296E-3</v>
      </c>
      <c r="AO4540" s="33">
        <v>5.6330390342884153E-4</v>
      </c>
    </row>
    <row r="4541" spans="39:41" x14ac:dyDescent="0.25">
      <c r="AM4541" s="2">
        <v>4538</v>
      </c>
      <c r="AN4541" s="33">
        <v>8.1100177880356634E-3</v>
      </c>
      <c r="AO4541" s="33">
        <v>3.0061678399252506E-4</v>
      </c>
    </row>
    <row r="4542" spans="39:41" x14ac:dyDescent="0.25">
      <c r="AM4542" s="2">
        <v>4539</v>
      </c>
      <c r="AN4542" s="33">
        <v>1.0335113011814128E-2</v>
      </c>
      <c r="AO4542" s="33">
        <v>6.078882777910624E-4</v>
      </c>
    </row>
    <row r="4543" spans="39:41" x14ac:dyDescent="0.25">
      <c r="AM4543" s="2">
        <v>4540</v>
      </c>
      <c r="AN4543" s="33">
        <v>1.1229648810062486E-2</v>
      </c>
      <c r="AO4543" s="33">
        <v>1.0021860693652086E-3</v>
      </c>
    </row>
    <row r="4544" spans="39:41" x14ac:dyDescent="0.25">
      <c r="AM4544" s="2">
        <v>4541</v>
      </c>
      <c r="AN4544" s="33">
        <v>1.7947687796481801E-2</v>
      </c>
      <c r="AO4544" s="33">
        <v>1.7495564710874941E-3</v>
      </c>
    </row>
    <row r="4545" spans="39:41" x14ac:dyDescent="0.25">
      <c r="AM4545" s="2">
        <v>4542</v>
      </c>
      <c r="AN4545" s="33">
        <v>1.125935706214575E-2</v>
      </c>
      <c r="AO4545" s="33">
        <v>4.5939243477085092E-4</v>
      </c>
    </row>
    <row r="4546" spans="39:41" x14ac:dyDescent="0.25">
      <c r="AM4546" s="2">
        <v>4543</v>
      </c>
      <c r="AN4546" s="33">
        <v>1.2865310022308308E-2</v>
      </c>
      <c r="AO4546" s="33">
        <v>9.6092970434004572E-4</v>
      </c>
    </row>
    <row r="4547" spans="39:41" x14ac:dyDescent="0.25">
      <c r="AM4547" s="2">
        <v>4544</v>
      </c>
      <c r="AN4547" s="33">
        <v>1.0657964659608821E-2</v>
      </c>
      <c r="AO4547" s="33">
        <v>4.2757190369238927E-4</v>
      </c>
    </row>
    <row r="4548" spans="39:41" x14ac:dyDescent="0.25">
      <c r="AM4548" s="2">
        <v>4545</v>
      </c>
      <c r="AN4548" s="33">
        <v>1.2994309518045383E-2</v>
      </c>
      <c r="AO4548" s="33">
        <v>1.2207240839074262E-3</v>
      </c>
    </row>
    <row r="4549" spans="39:41" x14ac:dyDescent="0.25">
      <c r="AM4549" s="2">
        <v>4546</v>
      </c>
      <c r="AN4549" s="33">
        <v>9.5882512603068376E-3</v>
      </c>
      <c r="AO4549" s="33">
        <v>6.7063725544208184E-4</v>
      </c>
    </row>
    <row r="4550" spans="39:41" x14ac:dyDescent="0.25">
      <c r="AM4550" s="2">
        <v>4547</v>
      </c>
      <c r="AN4550" s="33">
        <v>1.32948057889496E-2</v>
      </c>
      <c r="AO4550" s="33">
        <v>4.9208275840358128E-4</v>
      </c>
    </row>
    <row r="4551" spans="39:41" x14ac:dyDescent="0.25">
      <c r="AM4551" s="2">
        <v>4548</v>
      </c>
      <c r="AN4551" s="33">
        <v>1.5071483096806353E-2</v>
      </c>
      <c r="AO4551" s="33">
        <v>1.416505344609827E-3</v>
      </c>
    </row>
    <row r="4552" spans="39:41" x14ac:dyDescent="0.25">
      <c r="AM4552" s="2">
        <v>4549</v>
      </c>
      <c r="AN4552" s="33">
        <v>1.2543524467099458E-2</v>
      </c>
      <c r="AO4552" s="33">
        <v>1.1895854896940507E-3</v>
      </c>
    </row>
    <row r="4553" spans="39:41" x14ac:dyDescent="0.25">
      <c r="AM4553" s="2">
        <v>4550</v>
      </c>
      <c r="AN4553" s="33">
        <v>1.1232433707722294E-2</v>
      </c>
      <c r="AO4553" s="33">
        <v>7.5882505882410062E-4</v>
      </c>
    </row>
    <row r="4554" spans="39:41" x14ac:dyDescent="0.25">
      <c r="AM4554" s="2">
        <v>4551</v>
      </c>
      <c r="AN4554" s="33">
        <v>1.085719555913091E-2</v>
      </c>
      <c r="AO4554" s="33">
        <v>3.9992614761995938E-4</v>
      </c>
    </row>
    <row r="4555" spans="39:41" x14ac:dyDescent="0.25">
      <c r="AM4555" s="2">
        <v>4552</v>
      </c>
      <c r="AN4555" s="33">
        <v>1.3219399258157813E-2</v>
      </c>
      <c r="AO4555" s="33">
        <v>6.812080857489999E-4</v>
      </c>
    </row>
    <row r="4556" spans="39:41" x14ac:dyDescent="0.25">
      <c r="AM4556" s="2">
        <v>4553</v>
      </c>
      <c r="AN4556" s="33">
        <v>1.1748631790216991E-2</v>
      </c>
      <c r="AO4556" s="33">
        <v>9.370012062962505E-4</v>
      </c>
    </row>
    <row r="4557" spans="39:41" x14ac:dyDescent="0.25">
      <c r="AM4557" s="2">
        <v>4554</v>
      </c>
      <c r="AN4557" s="33">
        <v>1.0468561834338008E-2</v>
      </c>
      <c r="AO4557" s="33">
        <v>6.4844697424686786E-4</v>
      </c>
    </row>
    <row r="4558" spans="39:41" x14ac:dyDescent="0.25">
      <c r="AM4558" s="2">
        <v>4555</v>
      </c>
      <c r="AN4558" s="33">
        <v>8.4269329221064119E-3</v>
      </c>
      <c r="AO4558" s="33">
        <v>6.4343541970951403E-4</v>
      </c>
    </row>
    <row r="4559" spans="39:41" x14ac:dyDescent="0.25">
      <c r="AM4559" s="2">
        <v>4556</v>
      </c>
      <c r="AN4559" s="33">
        <v>1.3332548009341166E-2</v>
      </c>
      <c r="AO4559" s="33">
        <v>7.306792503998581E-4</v>
      </c>
    </row>
    <row r="4560" spans="39:41" x14ac:dyDescent="0.25">
      <c r="AM4560" s="2">
        <v>4557</v>
      </c>
      <c r="AN4560" s="33">
        <v>1.2020002760401527E-2</v>
      </c>
      <c r="AO4560" s="33">
        <v>6.3330869857810212E-4</v>
      </c>
    </row>
    <row r="4561" spans="39:41" x14ac:dyDescent="0.25">
      <c r="AM4561" s="2">
        <v>4558</v>
      </c>
      <c r="AN4561" s="33">
        <v>1.1421636416302942E-2</v>
      </c>
      <c r="AO4561" s="33">
        <v>1.0017444825948085E-3</v>
      </c>
    </row>
    <row r="4562" spans="39:41" x14ac:dyDescent="0.25">
      <c r="AM4562" s="2">
        <v>4559</v>
      </c>
      <c r="AN4562" s="33">
        <v>1.3717709736869917E-2</v>
      </c>
      <c r="AO4562" s="33">
        <v>1.3680880618262398E-3</v>
      </c>
    </row>
    <row r="4563" spans="39:41" x14ac:dyDescent="0.25">
      <c r="AM4563" s="2">
        <v>4560</v>
      </c>
      <c r="AN4563" s="33">
        <v>1.0370315758070946E-2</v>
      </c>
      <c r="AO4563" s="33">
        <v>9.4352918498249051E-4</v>
      </c>
    </row>
    <row r="4564" spans="39:41" x14ac:dyDescent="0.25">
      <c r="AM4564" s="2">
        <v>4561</v>
      </c>
      <c r="AN4564" s="33">
        <v>1.4373877008988676E-2</v>
      </c>
      <c r="AO4564" s="33">
        <v>1.2722083790629884E-3</v>
      </c>
    </row>
    <row r="4565" spans="39:41" x14ac:dyDescent="0.25">
      <c r="AM4565" s="2">
        <v>4562</v>
      </c>
      <c r="AN4565" s="33">
        <v>1.1062921829875106E-2</v>
      </c>
      <c r="AO4565" s="33">
        <v>3.9100191826573735E-4</v>
      </c>
    </row>
    <row r="4566" spans="39:41" x14ac:dyDescent="0.25">
      <c r="AM4566" s="2">
        <v>4563</v>
      </c>
      <c r="AN4566" s="33">
        <v>1.0561202506903419E-2</v>
      </c>
      <c r="AO4566" s="33">
        <v>6.3976595866505233E-4</v>
      </c>
    </row>
    <row r="4567" spans="39:41" x14ac:dyDescent="0.25">
      <c r="AM4567" s="2">
        <v>4564</v>
      </c>
      <c r="AN4567" s="33">
        <v>1.4051804588270539E-2</v>
      </c>
      <c r="AO4567" s="33">
        <v>1.0416060944696227E-3</v>
      </c>
    </row>
    <row r="4568" spans="39:41" x14ac:dyDescent="0.25">
      <c r="AM4568" s="2">
        <v>4565</v>
      </c>
      <c r="AN4568" s="33">
        <v>1.4696665562079001E-2</v>
      </c>
      <c r="AO4568" s="33">
        <v>1.391414227204512E-3</v>
      </c>
    </row>
    <row r="4569" spans="39:41" x14ac:dyDescent="0.25">
      <c r="AM4569" s="2">
        <v>4566</v>
      </c>
      <c r="AN4569" s="33">
        <v>1.064980755002487E-2</v>
      </c>
      <c r="AO4569" s="33">
        <v>8.7581704082500254E-4</v>
      </c>
    </row>
    <row r="4570" spans="39:41" x14ac:dyDescent="0.25">
      <c r="AM4570" s="2">
        <v>4567</v>
      </c>
      <c r="AN4570" s="33">
        <v>1.246171316792485E-2</v>
      </c>
      <c r="AO4570" s="33">
        <v>6.0614187532181713E-4</v>
      </c>
    </row>
    <row r="4571" spans="39:41" x14ac:dyDescent="0.25">
      <c r="AM4571" s="2">
        <v>4568</v>
      </c>
      <c r="AN4571" s="33">
        <v>1.0373101018825114E-2</v>
      </c>
      <c r="AO4571" s="33">
        <v>5.8551530278513886E-4</v>
      </c>
    </row>
    <row r="4572" spans="39:41" x14ac:dyDescent="0.25">
      <c r="AM4572" s="2">
        <v>4569</v>
      </c>
      <c r="AN4572" s="33">
        <v>1.1620049475556142E-2</v>
      </c>
      <c r="AO4572" s="33">
        <v>1.7915428133343341E-4</v>
      </c>
    </row>
    <row r="4573" spans="39:41" x14ac:dyDescent="0.25">
      <c r="AM4573" s="2">
        <v>4570</v>
      </c>
      <c r="AN4573" s="33">
        <v>8.9201491056266954E-3</v>
      </c>
      <c r="AO4573" s="33">
        <v>5.17955882364755E-4</v>
      </c>
    </row>
    <row r="4574" spans="39:41" x14ac:dyDescent="0.25">
      <c r="AM4574" s="2">
        <v>4571</v>
      </c>
      <c r="AN4574" s="33">
        <v>1.0288371135390474E-2</v>
      </c>
      <c r="AO4574" s="33">
        <v>9.0603242585680878E-4</v>
      </c>
    </row>
    <row r="4575" spans="39:41" x14ac:dyDescent="0.25">
      <c r="AM4575" s="2">
        <v>4572</v>
      </c>
      <c r="AN4575" s="33">
        <v>9.4067205700154762E-3</v>
      </c>
      <c r="AO4575" s="33">
        <v>3.7014231770676076E-4</v>
      </c>
    </row>
    <row r="4576" spans="39:41" x14ac:dyDescent="0.25">
      <c r="AM4576" s="2">
        <v>4573</v>
      </c>
      <c r="AN4576" s="33">
        <v>9.2916729121532756E-3</v>
      </c>
      <c r="AO4576" s="33">
        <v>8.2060508962132823E-4</v>
      </c>
    </row>
    <row r="4577" spans="39:41" x14ac:dyDescent="0.25">
      <c r="AM4577" s="2">
        <v>4574</v>
      </c>
      <c r="AN4577" s="33">
        <v>1.0944201620640321E-2</v>
      </c>
      <c r="AO4577" s="33">
        <v>7.6276896951614872E-4</v>
      </c>
    </row>
    <row r="4578" spans="39:41" x14ac:dyDescent="0.25">
      <c r="AM4578" s="2">
        <v>4575</v>
      </c>
      <c r="AN4578" s="33">
        <v>1.538880460766491E-2</v>
      </c>
      <c r="AO4578" s="33">
        <v>1.4937281758309392E-3</v>
      </c>
    </row>
    <row r="4579" spans="39:41" x14ac:dyDescent="0.25">
      <c r="AM4579" s="2">
        <v>4576</v>
      </c>
      <c r="AN4579" s="33">
        <v>1.0172215302020287E-2</v>
      </c>
      <c r="AO4579" s="33">
        <v>5.5575524866454675E-4</v>
      </c>
    </row>
    <row r="4580" spans="39:41" x14ac:dyDescent="0.25">
      <c r="AM4580" s="2">
        <v>4577</v>
      </c>
      <c r="AN4580" s="33">
        <v>1.0609063479897859E-2</v>
      </c>
      <c r="AO4580" s="33">
        <v>5.4395968606282276E-4</v>
      </c>
    </row>
    <row r="4581" spans="39:41" x14ac:dyDescent="0.25">
      <c r="AM4581" s="2">
        <v>4578</v>
      </c>
      <c r="AN4581" s="33">
        <v>9.6040307790808428E-3</v>
      </c>
      <c r="AO4581" s="33">
        <v>6.0949325159363645E-4</v>
      </c>
    </row>
    <row r="4582" spans="39:41" x14ac:dyDescent="0.25">
      <c r="AM4582" s="2">
        <v>4579</v>
      </c>
      <c r="AN4582" s="33">
        <v>8.5542666907263958E-3</v>
      </c>
      <c r="AO4582" s="33">
        <v>5.0795792557962408E-4</v>
      </c>
    </row>
    <row r="4583" spans="39:41" x14ac:dyDescent="0.25">
      <c r="AM4583" s="2">
        <v>4580</v>
      </c>
      <c r="AN4583" s="33">
        <v>1.0720780582666381E-2</v>
      </c>
      <c r="AO4583" s="33">
        <v>7.1199557969135784E-4</v>
      </c>
    </row>
    <row r="4584" spans="39:41" x14ac:dyDescent="0.25">
      <c r="AM4584" s="2">
        <v>4581</v>
      </c>
      <c r="AN4584" s="33">
        <v>1.4168488863222889E-2</v>
      </c>
      <c r="AO4584" s="33">
        <v>1.2085538249495564E-3</v>
      </c>
    </row>
    <row r="4585" spans="39:41" x14ac:dyDescent="0.25">
      <c r="AM4585" s="2">
        <v>4582</v>
      </c>
      <c r="AN4585" s="33">
        <v>1.1331384938658725E-2</v>
      </c>
      <c r="AO4585" s="33">
        <v>9.9604595053313992E-4</v>
      </c>
    </row>
    <row r="4586" spans="39:41" x14ac:dyDescent="0.25">
      <c r="AM4586" s="2">
        <v>4583</v>
      </c>
      <c r="AN4586" s="33">
        <v>9.4417435811366759E-3</v>
      </c>
      <c r="AO4586" s="33">
        <v>6.5274614298869917E-4</v>
      </c>
    </row>
    <row r="4587" spans="39:41" x14ac:dyDescent="0.25">
      <c r="AM4587" s="2">
        <v>4584</v>
      </c>
      <c r="AN4587" s="33">
        <v>1.0942423346394852E-2</v>
      </c>
      <c r="AO4587" s="33">
        <v>4.1307098818547049E-4</v>
      </c>
    </row>
    <row r="4588" spans="39:41" x14ac:dyDescent="0.25">
      <c r="AM4588" s="2">
        <v>4585</v>
      </c>
      <c r="AN4588" s="33">
        <v>1.1413092468701695E-2</v>
      </c>
      <c r="AO4588" s="33">
        <v>2.8587847458914418E-4</v>
      </c>
    </row>
    <row r="4589" spans="39:41" x14ac:dyDescent="0.25">
      <c r="AM4589" s="2">
        <v>4586</v>
      </c>
      <c r="AN4589" s="33">
        <v>1.0430741587133042E-2</v>
      </c>
      <c r="AO4589" s="33">
        <v>5.1511938732274622E-4</v>
      </c>
    </row>
    <row r="4590" spans="39:41" x14ac:dyDescent="0.25">
      <c r="AM4590" s="2">
        <v>4587</v>
      </c>
      <c r="AN4590" s="33">
        <v>1.1985062639695227E-2</v>
      </c>
      <c r="AO4590" s="33">
        <v>9.5415968586223343E-4</v>
      </c>
    </row>
    <row r="4591" spans="39:41" x14ac:dyDescent="0.25">
      <c r="AM4591" s="2">
        <v>4588</v>
      </c>
      <c r="AN4591" s="33">
        <v>9.5652151677408873E-3</v>
      </c>
      <c r="AO4591" s="33">
        <v>4.1485776365343755E-4</v>
      </c>
    </row>
    <row r="4592" spans="39:41" x14ac:dyDescent="0.25">
      <c r="AM4592" s="2">
        <v>4589</v>
      </c>
      <c r="AN4592" s="33">
        <v>1.1051748475584241E-2</v>
      </c>
      <c r="AO4592" s="33">
        <v>8.6187599432419949E-4</v>
      </c>
    </row>
    <row r="4593" spans="39:41" x14ac:dyDescent="0.25">
      <c r="AM4593" s="2">
        <v>4590</v>
      </c>
      <c r="AN4593" s="33">
        <v>9.4527124320509127E-3</v>
      </c>
      <c r="AO4593" s="33">
        <v>7.9448020834093735E-4</v>
      </c>
    </row>
    <row r="4594" spans="39:41" x14ac:dyDescent="0.25">
      <c r="AM4594" s="2">
        <v>4591</v>
      </c>
      <c r="AN4594" s="33">
        <v>1.41465894432797E-2</v>
      </c>
      <c r="AO4594" s="33">
        <v>9.9337866256612724E-4</v>
      </c>
    </row>
    <row r="4595" spans="39:41" x14ac:dyDescent="0.25">
      <c r="AM4595" s="2">
        <v>4592</v>
      </c>
      <c r="AN4595" s="33">
        <v>1.2886516625282514E-2</v>
      </c>
      <c r="AO4595" s="33">
        <v>1.2607571387552698E-3</v>
      </c>
    </row>
    <row r="4596" spans="39:41" x14ac:dyDescent="0.25">
      <c r="AM4596" s="2">
        <v>4593</v>
      </c>
      <c r="AN4596" s="33">
        <v>1.2355863805762191E-2</v>
      </c>
      <c r="AO4596" s="33">
        <v>1.2672039759272294E-3</v>
      </c>
    </row>
    <row r="4597" spans="39:41" x14ac:dyDescent="0.25">
      <c r="AM4597" s="2">
        <v>4594</v>
      </c>
      <c r="AN4597" s="33">
        <v>1.0782348502559496E-2</v>
      </c>
      <c r="AO4597" s="33">
        <v>1.0440295060900994E-3</v>
      </c>
    </row>
    <row r="4598" spans="39:41" x14ac:dyDescent="0.25">
      <c r="AM4598" s="2">
        <v>4595</v>
      </c>
      <c r="AN4598" s="33">
        <v>9.5225808465001505E-3</v>
      </c>
      <c r="AO4598" s="33">
        <v>8.6860022119551012E-4</v>
      </c>
    </row>
    <row r="4599" spans="39:41" x14ac:dyDescent="0.25">
      <c r="AM4599" s="2">
        <v>4596</v>
      </c>
      <c r="AN4599" s="33">
        <v>1.3023539823032622E-2</v>
      </c>
      <c r="AO4599" s="33">
        <v>1.1000646495809305E-3</v>
      </c>
    </row>
    <row r="4600" spans="39:41" x14ac:dyDescent="0.25">
      <c r="AM4600" s="2">
        <v>4597</v>
      </c>
      <c r="AN4600" s="33">
        <v>1.3207937823007783E-2</v>
      </c>
      <c r="AO4600" s="33">
        <v>1.312013974367704E-3</v>
      </c>
    </row>
    <row r="4601" spans="39:41" x14ac:dyDescent="0.25">
      <c r="AM4601" s="2">
        <v>4598</v>
      </c>
      <c r="AN4601" s="33">
        <v>9.2460660272454323E-3</v>
      </c>
      <c r="AO4601" s="33">
        <v>5.5197036151818511E-4</v>
      </c>
    </row>
    <row r="4602" spans="39:41" x14ac:dyDescent="0.25">
      <c r="AM4602" s="2">
        <v>4599</v>
      </c>
      <c r="AN4602" s="33">
        <v>1.314251433804698E-2</v>
      </c>
      <c r="AO4602" s="33">
        <v>1.3056054854204892E-3</v>
      </c>
    </row>
    <row r="4603" spans="39:41" x14ac:dyDescent="0.25">
      <c r="AM4603" s="2">
        <v>4600</v>
      </c>
      <c r="AN4603" s="33">
        <v>1.2091278234848783E-2</v>
      </c>
      <c r="AO4603" s="33">
        <v>8.9362302110897846E-4</v>
      </c>
    </row>
    <row r="4604" spans="39:41" x14ac:dyDescent="0.25">
      <c r="AM4604" s="2">
        <v>4601</v>
      </c>
      <c r="AN4604" s="33">
        <v>1.1729379292679743E-2</v>
      </c>
      <c r="AO4604" s="33">
        <v>6.8423415820998389E-4</v>
      </c>
    </row>
    <row r="4605" spans="39:41" x14ac:dyDescent="0.25">
      <c r="AM4605" s="2">
        <v>4602</v>
      </c>
      <c r="AN4605" s="33">
        <v>9.2906986090062274E-3</v>
      </c>
      <c r="AO4605" s="33">
        <v>6.2386598751535067E-4</v>
      </c>
    </row>
    <row r="4606" spans="39:41" x14ac:dyDescent="0.25">
      <c r="AM4606" s="2">
        <v>4603</v>
      </c>
      <c r="AN4606" s="33">
        <v>9.3116443711922375E-3</v>
      </c>
      <c r="AO4606" s="33">
        <v>2.5011316939125303E-4</v>
      </c>
    </row>
    <row r="4607" spans="39:41" x14ac:dyDescent="0.25">
      <c r="AM4607" s="2">
        <v>4604</v>
      </c>
      <c r="AN4607" s="33">
        <v>1.3034055748566106E-2</v>
      </c>
      <c r="AO4607" s="33">
        <v>1.0027338890821981E-3</v>
      </c>
    </row>
    <row r="4608" spans="39:41" x14ac:dyDescent="0.25">
      <c r="AM4608" s="2">
        <v>4605</v>
      </c>
      <c r="AN4608" s="33">
        <v>9.1658051679133663E-3</v>
      </c>
      <c r="AO4608" s="33">
        <v>4.4886229691430034E-4</v>
      </c>
    </row>
    <row r="4609" spans="39:41" x14ac:dyDescent="0.25">
      <c r="AM4609" s="2">
        <v>4606</v>
      </c>
      <c r="AN4609" s="33">
        <v>1.1369562231287022E-2</v>
      </c>
      <c r="AO4609" s="33">
        <v>9.4665535487810848E-4</v>
      </c>
    </row>
    <row r="4610" spans="39:41" x14ac:dyDescent="0.25">
      <c r="AM4610" s="2">
        <v>4607</v>
      </c>
      <c r="AN4610" s="33">
        <v>1.1604511274021366E-2</v>
      </c>
      <c r="AO4610" s="33">
        <v>8.120439980162851E-4</v>
      </c>
    </row>
    <row r="4611" spans="39:41" x14ac:dyDescent="0.25">
      <c r="AM4611" s="2">
        <v>4608</v>
      </c>
      <c r="AN4611" s="33">
        <v>9.75747448081969E-3</v>
      </c>
      <c r="AO4611" s="33">
        <v>2.9326627022355272E-4</v>
      </c>
    </row>
    <row r="4612" spans="39:41" x14ac:dyDescent="0.25">
      <c r="AM4612" s="2">
        <v>4609</v>
      </c>
      <c r="AN4612" s="33">
        <v>1.1998197816306518E-2</v>
      </c>
      <c r="AO4612" s="33">
        <v>1.0082363831036873E-3</v>
      </c>
    </row>
    <row r="4613" spans="39:41" x14ac:dyDescent="0.25">
      <c r="AM4613" s="2">
        <v>4610</v>
      </c>
      <c r="AN4613" s="33">
        <v>1.0262772158178734E-2</v>
      </c>
      <c r="AO4613" s="33">
        <v>6.8239554250354418E-4</v>
      </c>
    </row>
    <row r="4614" spans="39:41" x14ac:dyDescent="0.25">
      <c r="AM4614" s="2">
        <v>4611</v>
      </c>
      <c r="AN4614" s="33">
        <v>1.7750594799322651E-2</v>
      </c>
      <c r="AO4614" s="33">
        <v>1.755934870156662E-3</v>
      </c>
    </row>
    <row r="4615" spans="39:41" x14ac:dyDescent="0.25">
      <c r="AM4615" s="2">
        <v>4612</v>
      </c>
      <c r="AN4615" s="33">
        <v>1.5892039747731155E-2</v>
      </c>
      <c r="AO4615" s="33">
        <v>1.4653912325566557E-3</v>
      </c>
    </row>
    <row r="4616" spans="39:41" x14ac:dyDescent="0.25">
      <c r="AM4616" s="2">
        <v>4613</v>
      </c>
      <c r="AN4616" s="33">
        <v>1.06856481421425E-2</v>
      </c>
      <c r="AO4616" s="33">
        <v>7.0621081953204127E-4</v>
      </c>
    </row>
    <row r="4617" spans="39:41" x14ac:dyDescent="0.25">
      <c r="AM4617" s="2">
        <v>4614</v>
      </c>
      <c r="AN4617" s="33">
        <v>9.0145074854211266E-3</v>
      </c>
      <c r="AO4617" s="33">
        <v>5.4770614862975609E-4</v>
      </c>
    </row>
    <row r="4618" spans="39:41" x14ac:dyDescent="0.25">
      <c r="AM4618" s="2">
        <v>4615</v>
      </c>
      <c r="AN4618" s="33">
        <v>1.0828032573084767E-2</v>
      </c>
      <c r="AO4618" s="33">
        <v>4.4101090239723607E-4</v>
      </c>
    </row>
    <row r="4619" spans="39:41" x14ac:dyDescent="0.25">
      <c r="AM4619" s="2">
        <v>4616</v>
      </c>
      <c r="AN4619" s="33">
        <v>1.1543096841813561E-2</v>
      </c>
      <c r="AO4619" s="33">
        <v>1.099801802551751E-3</v>
      </c>
    </row>
    <row r="4620" spans="39:41" x14ac:dyDescent="0.25">
      <c r="AM4620" s="2">
        <v>4617</v>
      </c>
      <c r="AN4620" s="33">
        <v>9.8284374305581713E-3</v>
      </c>
      <c r="AO4620" s="33">
        <v>4.1284940939773963E-4</v>
      </c>
    </row>
    <row r="4621" spans="39:41" x14ac:dyDescent="0.25">
      <c r="AM4621" s="2">
        <v>4618</v>
      </c>
      <c r="AN4621" s="33">
        <v>1.2127530984669522E-2</v>
      </c>
      <c r="AO4621" s="33">
        <v>1.0007057476956545E-3</v>
      </c>
    </row>
    <row r="4622" spans="39:41" x14ac:dyDescent="0.25">
      <c r="AM4622" s="2">
        <v>4619</v>
      </c>
      <c r="AN4622" s="33">
        <v>1.4184272623240238E-2</v>
      </c>
      <c r="AO4622" s="33">
        <v>6.2386342240611779E-4</v>
      </c>
    </row>
    <row r="4623" spans="39:41" x14ac:dyDescent="0.25">
      <c r="AM4623" s="2">
        <v>4620</v>
      </c>
      <c r="AN4623" s="33">
        <v>1.3433487859580965E-2</v>
      </c>
      <c r="AO4623" s="33">
        <v>1.1775221027638147E-3</v>
      </c>
    </row>
    <row r="4624" spans="39:41" x14ac:dyDescent="0.25">
      <c r="AM4624" s="2">
        <v>4621</v>
      </c>
      <c r="AN4624" s="33">
        <v>1.1855316810301737E-2</v>
      </c>
      <c r="AO4624" s="33">
        <v>4.8862796620171667E-4</v>
      </c>
    </row>
    <row r="4625" spans="39:41" x14ac:dyDescent="0.25">
      <c r="AM4625" s="2">
        <v>4622</v>
      </c>
      <c r="AN4625" s="33">
        <v>1.3866784163711173E-2</v>
      </c>
      <c r="AO4625" s="33">
        <v>1.1351744544411898E-3</v>
      </c>
    </row>
    <row r="4626" spans="39:41" x14ac:dyDescent="0.25">
      <c r="AM4626" s="2">
        <v>4623</v>
      </c>
      <c r="AN4626" s="33">
        <v>1.206605616126861E-2</v>
      </c>
      <c r="AO4626" s="33">
        <v>8.7320469070386773E-4</v>
      </c>
    </row>
    <row r="4627" spans="39:41" x14ac:dyDescent="0.25">
      <c r="AM4627" s="2">
        <v>4624</v>
      </c>
      <c r="AN4627" s="33">
        <v>1.3415645947505418E-2</v>
      </c>
      <c r="AO4627" s="33">
        <v>1.2393469195335653E-3</v>
      </c>
    </row>
    <row r="4628" spans="39:41" x14ac:dyDescent="0.25">
      <c r="AM4628" s="2">
        <v>4625</v>
      </c>
      <c r="AN4628" s="33">
        <v>1.1397266048230699E-2</v>
      </c>
      <c r="AO4628" s="33">
        <v>6.2772773289958186E-4</v>
      </c>
    </row>
    <row r="4629" spans="39:41" x14ac:dyDescent="0.25">
      <c r="AM4629" s="2">
        <v>4626</v>
      </c>
      <c r="AN4629" s="33">
        <v>9.5827485040075704E-3</v>
      </c>
      <c r="AO4629" s="33">
        <v>4.5453078809166666E-4</v>
      </c>
    </row>
    <row r="4630" spans="39:41" x14ac:dyDescent="0.25">
      <c r="AM4630" s="2">
        <v>4627</v>
      </c>
      <c r="AN4630" s="33">
        <v>1.0194642111227264E-2</v>
      </c>
      <c r="AO4630" s="33">
        <v>2.5906833874035125E-4</v>
      </c>
    </row>
    <row r="4631" spans="39:41" x14ac:dyDescent="0.25">
      <c r="AM4631" s="2">
        <v>4628</v>
      </c>
      <c r="AN4631" s="33">
        <v>1.750724601666619E-2</v>
      </c>
      <c r="AO4631" s="33">
        <v>1.7363359839823809E-3</v>
      </c>
    </row>
    <row r="4632" spans="39:41" x14ac:dyDescent="0.25">
      <c r="AM4632" s="2">
        <v>4629</v>
      </c>
      <c r="AN4632" s="33">
        <v>1.1963438099774409E-2</v>
      </c>
      <c r="AO4632" s="33">
        <v>7.7627446388332929E-4</v>
      </c>
    </row>
    <row r="4633" spans="39:41" x14ac:dyDescent="0.25">
      <c r="AM4633" s="2">
        <v>4630</v>
      </c>
      <c r="AN4633" s="33">
        <v>8.6682518440769178E-3</v>
      </c>
      <c r="AO4633" s="33">
        <v>7.709517180641732E-4</v>
      </c>
    </row>
    <row r="4634" spans="39:41" x14ac:dyDescent="0.25">
      <c r="AM4634" s="2">
        <v>4631</v>
      </c>
      <c r="AN4634" s="33">
        <v>1.227255097355593E-2</v>
      </c>
      <c r="AO4634" s="33">
        <v>6.8448064078709256E-4</v>
      </c>
    </row>
    <row r="4635" spans="39:41" x14ac:dyDescent="0.25">
      <c r="AM4635" s="2">
        <v>4632</v>
      </c>
      <c r="AN4635" s="33">
        <v>1.249386838026403E-2</v>
      </c>
      <c r="AO4635" s="33">
        <v>8.7134221848974712E-4</v>
      </c>
    </row>
    <row r="4636" spans="39:41" x14ac:dyDescent="0.25">
      <c r="AM4636" s="2">
        <v>4633</v>
      </c>
      <c r="AN4636" s="33">
        <v>1.3332488020744422E-2</v>
      </c>
      <c r="AO4636" s="33">
        <v>1.2429961236583445E-3</v>
      </c>
    </row>
    <row r="4637" spans="39:41" x14ac:dyDescent="0.25">
      <c r="AM4637" s="2">
        <v>4634</v>
      </c>
      <c r="AN4637" s="33">
        <v>1.0183007371545596E-2</v>
      </c>
      <c r="AO4637" s="33">
        <v>5.3922842158952338E-4</v>
      </c>
    </row>
    <row r="4638" spans="39:41" x14ac:dyDescent="0.25">
      <c r="AM4638" s="2">
        <v>4635</v>
      </c>
      <c r="AN4638" s="33">
        <v>1.182381593951826E-2</v>
      </c>
      <c r="AO4638" s="33">
        <v>1.0228130802328833E-3</v>
      </c>
    </row>
    <row r="4639" spans="39:41" x14ac:dyDescent="0.25">
      <c r="AM4639" s="2">
        <v>4636</v>
      </c>
      <c r="AN4639" s="33">
        <v>1.2640685802750701E-2</v>
      </c>
      <c r="AO4639" s="33">
        <v>9.1400833020251519E-4</v>
      </c>
    </row>
    <row r="4640" spans="39:41" x14ac:dyDescent="0.25">
      <c r="AM4640" s="2">
        <v>4637</v>
      </c>
      <c r="AN4640" s="33">
        <v>1.2287185068782614E-2</v>
      </c>
      <c r="AO4640" s="33">
        <v>1.1783822102714718E-3</v>
      </c>
    </row>
    <row r="4641" spans="39:41" x14ac:dyDescent="0.25">
      <c r="AM4641" s="2">
        <v>4638</v>
      </c>
      <c r="AN4641" s="33">
        <v>1.2544099462128625E-2</v>
      </c>
      <c r="AO4641" s="33">
        <v>6.6727723587902993E-4</v>
      </c>
    </row>
    <row r="4642" spans="39:41" x14ac:dyDescent="0.25">
      <c r="AM4642" s="2">
        <v>4639</v>
      </c>
      <c r="AN4642" s="33">
        <v>1.356797511222183E-2</v>
      </c>
      <c r="AO4642" s="33">
        <v>1.2302886722309137E-3</v>
      </c>
    </row>
    <row r="4643" spans="39:41" x14ac:dyDescent="0.25">
      <c r="AM4643" s="2">
        <v>4640</v>
      </c>
      <c r="AN4643" s="33">
        <v>8.2002076677214122E-3</v>
      </c>
      <c r="AO4643" s="33">
        <v>5.0347349329772477E-4</v>
      </c>
    </row>
    <row r="4644" spans="39:41" x14ac:dyDescent="0.25">
      <c r="AM4644" s="2">
        <v>4641</v>
      </c>
      <c r="AN4644" s="33">
        <v>1.2959238078065542E-2</v>
      </c>
      <c r="AO4644" s="33">
        <v>1.0942007838500131E-3</v>
      </c>
    </row>
    <row r="4645" spans="39:41" x14ac:dyDescent="0.25">
      <c r="AM4645" s="2">
        <v>4642</v>
      </c>
      <c r="AN4645" s="33">
        <v>1.1178370278173481E-2</v>
      </c>
      <c r="AO4645" s="33">
        <v>1.2188880291082393E-3</v>
      </c>
    </row>
    <row r="4646" spans="39:41" x14ac:dyDescent="0.25">
      <c r="AM4646" s="2">
        <v>4643</v>
      </c>
      <c r="AN4646" s="33">
        <v>1.2736667835078489E-2</v>
      </c>
      <c r="AO4646" s="33">
        <v>1.1961298528696943E-3</v>
      </c>
    </row>
    <row r="4647" spans="39:41" x14ac:dyDescent="0.25">
      <c r="AM4647" s="2">
        <v>4644</v>
      </c>
      <c r="AN4647" s="33">
        <v>1.2701706654285059E-2</v>
      </c>
      <c r="AO4647" s="33">
        <v>7.7772230394879225E-4</v>
      </c>
    </row>
    <row r="4648" spans="39:41" x14ac:dyDescent="0.25">
      <c r="AM4648" s="2">
        <v>4645</v>
      </c>
      <c r="AN4648" s="33">
        <v>1.3915086897949114E-2</v>
      </c>
      <c r="AO4648" s="33">
        <v>1.1534560882314475E-3</v>
      </c>
    </row>
    <row r="4649" spans="39:41" x14ac:dyDescent="0.25">
      <c r="AM4649" s="2">
        <v>4646</v>
      </c>
      <c r="AN4649" s="33">
        <v>1.1779354299155045E-2</v>
      </c>
      <c r="AO4649" s="33">
        <v>1.0429589883266888E-3</v>
      </c>
    </row>
    <row r="4650" spans="39:41" x14ac:dyDescent="0.25">
      <c r="AM4650" s="2">
        <v>4647</v>
      </c>
      <c r="AN4650" s="33">
        <v>1.5419193430331593E-2</v>
      </c>
      <c r="AO4650" s="33">
        <v>1.5374786877925797E-3</v>
      </c>
    </row>
    <row r="4651" spans="39:41" x14ac:dyDescent="0.25">
      <c r="AM4651" s="2">
        <v>4648</v>
      </c>
      <c r="AN4651" s="33">
        <v>1.3101002879537331E-2</v>
      </c>
      <c r="AO4651" s="33">
        <v>1.3711860807203457E-3</v>
      </c>
    </row>
    <row r="4652" spans="39:41" x14ac:dyDescent="0.25">
      <c r="AM4652" s="2">
        <v>4649</v>
      </c>
      <c r="AN4652" s="33">
        <v>1.2341674514394248E-2</v>
      </c>
      <c r="AO4652" s="33">
        <v>1.0113554356871038E-3</v>
      </c>
    </row>
    <row r="4653" spans="39:41" x14ac:dyDescent="0.25">
      <c r="AM4653" s="2">
        <v>4650</v>
      </c>
      <c r="AN4653" s="33">
        <v>1.4971268554602389E-2</v>
      </c>
      <c r="AO4653" s="33">
        <v>1.1425675419511796E-3</v>
      </c>
    </row>
    <row r="4654" spans="39:41" x14ac:dyDescent="0.25">
      <c r="AM4654" s="2">
        <v>4651</v>
      </c>
      <c r="AN4654" s="33">
        <v>1.0981930529557754E-2</v>
      </c>
      <c r="AO4654" s="33">
        <v>4.9401742375287163E-5</v>
      </c>
    </row>
    <row r="4655" spans="39:41" x14ac:dyDescent="0.25">
      <c r="AM4655" s="2">
        <v>4652</v>
      </c>
      <c r="AN4655" s="33">
        <v>1.4203439774604844E-2</v>
      </c>
      <c r="AO4655" s="33">
        <v>7.3226695169342348E-4</v>
      </c>
    </row>
    <row r="4656" spans="39:41" x14ac:dyDescent="0.25">
      <c r="AM4656" s="2">
        <v>4653</v>
      </c>
      <c r="AN4656" s="33">
        <v>1.4903792146975372E-2</v>
      </c>
      <c r="AO4656" s="33">
        <v>1.2246850900535572E-3</v>
      </c>
    </row>
    <row r="4657" spans="39:41" x14ac:dyDescent="0.25">
      <c r="AM4657" s="2">
        <v>4654</v>
      </c>
      <c r="AN4657" s="33">
        <v>1.3009093182358961E-2</v>
      </c>
      <c r="AO4657" s="33">
        <v>1.0324654707530999E-3</v>
      </c>
    </row>
    <row r="4658" spans="39:41" x14ac:dyDescent="0.25">
      <c r="AM4658" s="2">
        <v>4655</v>
      </c>
      <c r="AN4658" s="33">
        <v>1.0905109381239906E-2</v>
      </c>
      <c r="AO4658" s="33">
        <v>1.0425372091388597E-3</v>
      </c>
    </row>
    <row r="4659" spans="39:41" x14ac:dyDescent="0.25">
      <c r="AM4659" s="2">
        <v>4656</v>
      </c>
      <c r="AN4659" s="33">
        <v>9.1608607995401995E-3</v>
      </c>
      <c r="AO4659" s="33">
        <v>3.3571639605322798E-4</v>
      </c>
    </row>
    <row r="4660" spans="39:41" x14ac:dyDescent="0.25">
      <c r="AM4660" s="2">
        <v>4657</v>
      </c>
      <c r="AN4660" s="33">
        <v>1.4112633761297946E-2</v>
      </c>
      <c r="AO4660" s="33">
        <v>9.3197106579820074E-4</v>
      </c>
    </row>
    <row r="4661" spans="39:41" x14ac:dyDescent="0.25">
      <c r="AM4661" s="2">
        <v>4658</v>
      </c>
      <c r="AN4661" s="33">
        <v>8.5572824704000863E-3</v>
      </c>
      <c r="AO4661" s="33">
        <v>5.2048061697190188E-4</v>
      </c>
    </row>
    <row r="4662" spans="39:41" x14ac:dyDescent="0.25">
      <c r="AM4662" s="2">
        <v>4659</v>
      </c>
      <c r="AN4662" s="33">
        <v>1.3828459983210407E-2</v>
      </c>
      <c r="AO4662" s="33">
        <v>1.1091146602830882E-3</v>
      </c>
    </row>
    <row r="4663" spans="39:41" x14ac:dyDescent="0.25">
      <c r="AM4663" s="2">
        <v>4660</v>
      </c>
      <c r="AN4663" s="33">
        <v>1.4249233646307719E-2</v>
      </c>
      <c r="AO4663" s="33">
        <v>1.3755776517638135E-3</v>
      </c>
    </row>
    <row r="4664" spans="39:41" x14ac:dyDescent="0.25">
      <c r="AM4664" s="2">
        <v>4661</v>
      </c>
      <c r="AN4664" s="33">
        <v>9.5540465266555456E-3</v>
      </c>
      <c r="AO4664" s="33">
        <v>8.4398245766162307E-4</v>
      </c>
    </row>
    <row r="4665" spans="39:41" x14ac:dyDescent="0.25">
      <c r="AM4665" s="2">
        <v>4662</v>
      </c>
      <c r="AN4665" s="33">
        <v>1.6452329512708926E-2</v>
      </c>
      <c r="AO4665" s="33">
        <v>1.5144441026324544E-3</v>
      </c>
    </row>
    <row r="4666" spans="39:41" x14ac:dyDescent="0.25">
      <c r="AM4666" s="2">
        <v>4663</v>
      </c>
      <c r="AN4666" s="33">
        <v>1.0875753544820066E-2</v>
      </c>
      <c r="AO4666" s="33">
        <v>7.7506417854575262E-4</v>
      </c>
    </row>
    <row r="4667" spans="39:41" x14ac:dyDescent="0.25">
      <c r="AM4667" s="2">
        <v>4664</v>
      </c>
      <c r="AN4667" s="33">
        <v>1.0127636887084622E-2</v>
      </c>
      <c r="AO4667" s="33">
        <v>9.0999376071982448E-4</v>
      </c>
    </row>
    <row r="4668" spans="39:41" x14ac:dyDescent="0.25">
      <c r="AM4668" s="2">
        <v>4665</v>
      </c>
      <c r="AN4668" s="33">
        <v>1.1275720902943218E-2</v>
      </c>
      <c r="AO4668" s="33">
        <v>7.2856742428123911E-4</v>
      </c>
    </row>
    <row r="4669" spans="39:41" x14ac:dyDescent="0.25">
      <c r="AM4669" s="2">
        <v>4666</v>
      </c>
      <c r="AN4669" s="33">
        <v>1.08949686433987E-2</v>
      </c>
      <c r="AO4669" s="33">
        <v>7.7858555539002069E-4</v>
      </c>
    </row>
    <row r="4670" spans="39:41" x14ac:dyDescent="0.25">
      <c r="AM4670" s="2">
        <v>4667</v>
      </c>
      <c r="AN4670" s="33">
        <v>1.1908472002328098E-2</v>
      </c>
      <c r="AO4670" s="33">
        <v>8.4291942688356986E-4</v>
      </c>
    </row>
    <row r="4671" spans="39:41" x14ac:dyDescent="0.25">
      <c r="AM4671" s="2">
        <v>4668</v>
      </c>
      <c r="AN4671" s="33">
        <v>1.204336437098808E-2</v>
      </c>
      <c r="AO4671" s="33">
        <v>1.0611744913735842E-3</v>
      </c>
    </row>
    <row r="4672" spans="39:41" x14ac:dyDescent="0.25">
      <c r="AM4672" s="2">
        <v>4669</v>
      </c>
      <c r="AN4672" s="33">
        <v>1.2250294737886325E-2</v>
      </c>
      <c r="AO4672" s="33">
        <v>7.9775178382438124E-4</v>
      </c>
    </row>
    <row r="4673" spans="39:41" x14ac:dyDescent="0.25">
      <c r="AM4673" s="2">
        <v>4670</v>
      </c>
      <c r="AN4673" s="33">
        <v>1.3312693183869562E-2</v>
      </c>
      <c r="AO4673" s="33">
        <v>1.1747411282888214E-3</v>
      </c>
    </row>
    <row r="4674" spans="39:41" x14ac:dyDescent="0.25">
      <c r="AM4674" s="2">
        <v>4671</v>
      </c>
      <c r="AN4674" s="33">
        <v>1.2449113414144414E-2</v>
      </c>
      <c r="AO4674" s="33">
        <v>1.2092323942009325E-3</v>
      </c>
    </row>
    <row r="4675" spans="39:41" x14ac:dyDescent="0.25">
      <c r="AM4675" s="2">
        <v>4672</v>
      </c>
      <c r="AN4675" s="33">
        <v>9.028357123962211E-3</v>
      </c>
      <c r="AO4675" s="33">
        <v>9.01865014666852E-4</v>
      </c>
    </row>
    <row r="4676" spans="39:41" x14ac:dyDescent="0.25">
      <c r="AM4676" s="2">
        <v>4673</v>
      </c>
      <c r="AN4676" s="33">
        <v>1.0755312588326576E-2</v>
      </c>
      <c r="AO4676" s="33">
        <v>7.0408434737140573E-4</v>
      </c>
    </row>
    <row r="4677" spans="39:41" x14ac:dyDescent="0.25">
      <c r="AM4677" s="2">
        <v>4674</v>
      </c>
      <c r="AN4677" s="33">
        <v>1.0124977965874211E-2</v>
      </c>
      <c r="AO4677" s="33">
        <v>5.0259079447303578E-4</v>
      </c>
    </row>
    <row r="4678" spans="39:41" x14ac:dyDescent="0.25">
      <c r="AM4678" s="2">
        <v>4675</v>
      </c>
      <c r="AN4678" s="33">
        <v>1.0012955890890494E-2</v>
      </c>
      <c r="AO4678" s="33">
        <v>9.0648395779315742E-4</v>
      </c>
    </row>
    <row r="4679" spans="39:41" x14ac:dyDescent="0.25">
      <c r="AM4679" s="2">
        <v>4676</v>
      </c>
      <c r="AN4679" s="33">
        <v>9.3147625111785724E-3</v>
      </c>
      <c r="AO4679" s="33">
        <v>3.0750344988118492E-4</v>
      </c>
    </row>
    <row r="4680" spans="39:41" x14ac:dyDescent="0.25">
      <c r="AM4680" s="2">
        <v>4677</v>
      </c>
      <c r="AN4680" s="33">
        <v>1.202124431744696E-2</v>
      </c>
      <c r="AO4680" s="33">
        <v>1.026629655382221E-3</v>
      </c>
    </row>
    <row r="4681" spans="39:41" x14ac:dyDescent="0.25">
      <c r="AM4681" s="2">
        <v>4678</v>
      </c>
      <c r="AN4681" s="33">
        <v>1.2859858521828466E-2</v>
      </c>
      <c r="AO4681" s="33">
        <v>1.2251174314391749E-3</v>
      </c>
    </row>
    <row r="4682" spans="39:41" x14ac:dyDescent="0.25">
      <c r="AM4682" s="2">
        <v>4679</v>
      </c>
      <c r="AN4682" s="33">
        <v>9.6196265135171533E-3</v>
      </c>
      <c r="AO4682" s="33">
        <v>3.0836307076191843E-4</v>
      </c>
    </row>
    <row r="4683" spans="39:41" x14ac:dyDescent="0.25">
      <c r="AM4683" s="2">
        <v>4680</v>
      </c>
      <c r="AN4683" s="33">
        <v>1.1762563601530805E-2</v>
      </c>
      <c r="AO4683" s="33">
        <v>7.8973700988422667E-4</v>
      </c>
    </row>
    <row r="4684" spans="39:41" x14ac:dyDescent="0.25">
      <c r="AM4684" s="2">
        <v>4681</v>
      </c>
      <c r="AN4684" s="33">
        <v>1.276213024571232E-2</v>
      </c>
      <c r="AO4684" s="33">
        <v>1.3124965814087148E-3</v>
      </c>
    </row>
    <row r="4685" spans="39:41" x14ac:dyDescent="0.25">
      <c r="AM4685" s="2">
        <v>4682</v>
      </c>
      <c r="AN4685" s="33">
        <v>1.146062958370539E-2</v>
      </c>
      <c r="AO4685" s="33">
        <v>4.1560253502157196E-4</v>
      </c>
    </row>
    <row r="4686" spans="39:41" x14ac:dyDescent="0.25">
      <c r="AM4686" s="2">
        <v>4683</v>
      </c>
      <c r="AN4686" s="33">
        <v>1.0222502538637194E-2</v>
      </c>
      <c r="AO4686" s="33">
        <v>7.5152868393270789E-4</v>
      </c>
    </row>
    <row r="4687" spans="39:41" x14ac:dyDescent="0.25">
      <c r="AM4687" s="2">
        <v>4684</v>
      </c>
      <c r="AN4687" s="33">
        <v>9.8865616599319237E-3</v>
      </c>
      <c r="AO4687" s="33">
        <v>1.6115693108057156E-4</v>
      </c>
    </row>
    <row r="4688" spans="39:41" x14ac:dyDescent="0.25">
      <c r="AM4688" s="2">
        <v>4685</v>
      </c>
      <c r="AN4688" s="33">
        <v>1.2368322588589534E-2</v>
      </c>
      <c r="AO4688" s="33">
        <v>7.8609103144350041E-4</v>
      </c>
    </row>
    <row r="4689" spans="39:41" x14ac:dyDescent="0.25">
      <c r="AM4689" s="2">
        <v>4686</v>
      </c>
      <c r="AN4689" s="33">
        <v>1.2579916956099276E-2</v>
      </c>
      <c r="AO4689" s="33">
        <v>1.1623727495177166E-3</v>
      </c>
    </row>
    <row r="4690" spans="39:41" x14ac:dyDescent="0.25">
      <c r="AM4690" s="2">
        <v>4687</v>
      </c>
      <c r="AN4690" s="33">
        <v>1.2795719892361663E-2</v>
      </c>
      <c r="AO4690" s="33">
        <v>1.2263886596546132E-3</v>
      </c>
    </row>
    <row r="4691" spans="39:41" x14ac:dyDescent="0.25">
      <c r="AM4691" s="2">
        <v>4688</v>
      </c>
      <c r="AN4691" s="33">
        <v>1.0700211758711577E-2</v>
      </c>
      <c r="AO4691" s="33">
        <v>9.4385495966466722E-4</v>
      </c>
    </row>
    <row r="4692" spans="39:41" x14ac:dyDescent="0.25">
      <c r="AM4692" s="2">
        <v>4689</v>
      </c>
      <c r="AN4692" s="33">
        <v>1.1298634233313343E-2</v>
      </c>
      <c r="AO4692" s="33">
        <v>4.7441428195987113E-4</v>
      </c>
    </row>
    <row r="4693" spans="39:41" x14ac:dyDescent="0.25">
      <c r="AM4693" s="2">
        <v>4690</v>
      </c>
      <c r="AN4693" s="33">
        <v>1.0889661250632081E-2</v>
      </c>
      <c r="AO4693" s="33">
        <v>8.7766582767071833E-4</v>
      </c>
    </row>
    <row r="4694" spans="39:41" x14ac:dyDescent="0.25">
      <c r="AM4694" s="2">
        <v>4691</v>
      </c>
      <c r="AN4694" s="33">
        <v>8.3831680084963753E-3</v>
      </c>
      <c r="AO4694" s="33">
        <v>6.9714458773786111E-4</v>
      </c>
    </row>
    <row r="4695" spans="39:41" x14ac:dyDescent="0.25">
      <c r="AM4695" s="2">
        <v>4692</v>
      </c>
      <c r="AN4695" s="33">
        <v>1.0130068760005355E-2</v>
      </c>
      <c r="AO4695" s="33">
        <v>1.0021129182107209E-3</v>
      </c>
    </row>
    <row r="4696" spans="39:41" x14ac:dyDescent="0.25">
      <c r="AM4696" s="2">
        <v>4693</v>
      </c>
      <c r="AN4696" s="33">
        <v>1.0864227415201263E-2</v>
      </c>
      <c r="AO4696" s="33">
        <v>5.3699943739092461E-4</v>
      </c>
    </row>
    <row r="4697" spans="39:41" x14ac:dyDescent="0.25">
      <c r="AM4697" s="2">
        <v>4694</v>
      </c>
      <c r="AN4697" s="33">
        <v>1.2570704934270578E-2</v>
      </c>
      <c r="AO4697" s="33">
        <v>3.0531760829232823E-4</v>
      </c>
    </row>
    <row r="4698" spans="39:41" x14ac:dyDescent="0.25">
      <c r="AM4698" s="2">
        <v>4695</v>
      </c>
      <c r="AN4698" s="33">
        <v>1.2986085309312667E-2</v>
      </c>
      <c r="AO4698" s="33">
        <v>8.1507409172889591E-4</v>
      </c>
    </row>
    <row r="4699" spans="39:41" x14ac:dyDescent="0.25">
      <c r="AM4699" s="2">
        <v>4696</v>
      </c>
      <c r="AN4699" s="33">
        <v>1.2715291369219282E-2</v>
      </c>
      <c r="AO4699" s="33">
        <v>7.2760899555016068E-4</v>
      </c>
    </row>
    <row r="4700" spans="39:41" x14ac:dyDescent="0.25">
      <c r="AM4700" s="2">
        <v>4697</v>
      </c>
      <c r="AN4700" s="33">
        <v>1.4859929901941342E-2</v>
      </c>
      <c r="AO4700" s="33">
        <v>1.1031523285978744E-3</v>
      </c>
    </row>
    <row r="4701" spans="39:41" x14ac:dyDescent="0.25">
      <c r="AM4701" s="2">
        <v>4698</v>
      </c>
      <c r="AN4701" s="33">
        <v>1.1362588055569171E-2</v>
      </c>
      <c r="AO4701" s="33">
        <v>6.9895468749025798E-4</v>
      </c>
    </row>
    <row r="4702" spans="39:41" x14ac:dyDescent="0.25">
      <c r="AM4702" s="2">
        <v>4699</v>
      </c>
      <c r="AN4702" s="33">
        <v>1.5069723389149336E-2</v>
      </c>
      <c r="AO4702" s="33">
        <v>1.247561629004134E-3</v>
      </c>
    </row>
    <row r="4703" spans="39:41" x14ac:dyDescent="0.25">
      <c r="AM4703" s="2">
        <v>4700</v>
      </c>
      <c r="AN4703" s="33">
        <v>8.548298990953886E-3</v>
      </c>
      <c r="AO4703" s="33">
        <v>6.3402534019953291E-4</v>
      </c>
    </row>
    <row r="4704" spans="39:41" x14ac:dyDescent="0.25">
      <c r="AM4704" s="2">
        <v>4701</v>
      </c>
      <c r="AN4704" s="33">
        <v>1.3737340295365899E-2</v>
      </c>
      <c r="AO4704" s="33">
        <v>4.8250609741151956E-4</v>
      </c>
    </row>
    <row r="4705" spans="39:41" x14ac:dyDescent="0.25">
      <c r="AM4705" s="2">
        <v>4702</v>
      </c>
      <c r="AN4705" s="33">
        <v>1.1412361653063762E-2</v>
      </c>
      <c r="AO4705" s="33">
        <v>7.3665208532862488E-4</v>
      </c>
    </row>
    <row r="4706" spans="39:41" x14ac:dyDescent="0.25">
      <c r="AM4706" s="2">
        <v>4703</v>
      </c>
      <c r="AN4706" s="33">
        <v>1.0824382673422899E-2</v>
      </c>
      <c r="AO4706" s="33">
        <v>5.2753942947169068E-4</v>
      </c>
    </row>
    <row r="4707" spans="39:41" x14ac:dyDescent="0.25">
      <c r="AM4707" s="2">
        <v>4704</v>
      </c>
      <c r="AN4707" s="33">
        <v>1.0943853590894533E-2</v>
      </c>
      <c r="AO4707" s="33">
        <v>8.3081216276155261E-4</v>
      </c>
    </row>
    <row r="4708" spans="39:41" x14ac:dyDescent="0.25">
      <c r="AM4708" s="2">
        <v>4705</v>
      </c>
      <c r="AN4708" s="33">
        <v>1.0761723475686541E-2</v>
      </c>
      <c r="AO4708" s="33">
        <v>8.3858028017256832E-4</v>
      </c>
    </row>
    <row r="4709" spans="39:41" x14ac:dyDescent="0.25">
      <c r="AM4709" s="2">
        <v>4706</v>
      </c>
      <c r="AN4709" s="33">
        <v>1.2072049462688132E-2</v>
      </c>
      <c r="AO4709" s="33">
        <v>4.7303038705247692E-4</v>
      </c>
    </row>
    <row r="4710" spans="39:41" x14ac:dyDescent="0.25">
      <c r="AM4710" s="2">
        <v>4707</v>
      </c>
      <c r="AN4710" s="33">
        <v>7.6958883106898286E-3</v>
      </c>
      <c r="AO4710" s="33">
        <v>5.4347203935777011E-4</v>
      </c>
    </row>
    <row r="4711" spans="39:41" x14ac:dyDescent="0.25">
      <c r="AM4711" s="2">
        <v>4708</v>
      </c>
      <c r="AN4711" s="33">
        <v>1.2300039904171575E-2</v>
      </c>
      <c r="AO4711" s="33">
        <v>9.8737496451501068E-4</v>
      </c>
    </row>
    <row r="4712" spans="39:41" x14ac:dyDescent="0.25">
      <c r="AM4712" s="2">
        <v>4709</v>
      </c>
      <c r="AN4712" s="33">
        <v>1.3833060602933147E-2</v>
      </c>
      <c r="AO4712" s="33">
        <v>1.2992507003186675E-3</v>
      </c>
    </row>
    <row r="4713" spans="39:41" x14ac:dyDescent="0.25">
      <c r="AM4713" s="2">
        <v>4710</v>
      </c>
      <c r="AN4713" s="33">
        <v>1.313302306177678E-2</v>
      </c>
      <c r="AO4713" s="33">
        <v>1.0193154482059125E-3</v>
      </c>
    </row>
    <row r="4714" spans="39:41" x14ac:dyDescent="0.25">
      <c r="AM4714" s="2">
        <v>4711</v>
      </c>
      <c r="AN4714" s="33">
        <v>1.4292642662738721E-2</v>
      </c>
      <c r="AO4714" s="33">
        <v>1.3418368552831779E-3</v>
      </c>
    </row>
    <row r="4715" spans="39:41" x14ac:dyDescent="0.25">
      <c r="AM4715" s="2">
        <v>4712</v>
      </c>
      <c r="AN4715" s="33">
        <v>1.3781718874121777E-2</v>
      </c>
      <c r="AO4715" s="33">
        <v>1.4105143155342418E-3</v>
      </c>
    </row>
    <row r="4716" spans="39:41" x14ac:dyDescent="0.25">
      <c r="AM4716" s="2">
        <v>4713</v>
      </c>
      <c r="AN4716" s="33">
        <v>9.9133407073468908E-3</v>
      </c>
      <c r="AO4716" s="33">
        <v>4.2129072375194873E-4</v>
      </c>
    </row>
    <row r="4717" spans="39:41" x14ac:dyDescent="0.25">
      <c r="AM4717" s="2">
        <v>4714</v>
      </c>
      <c r="AN4717" s="33">
        <v>9.6481305759468835E-3</v>
      </c>
      <c r="AO4717" s="33">
        <v>5.6411564669390558E-4</v>
      </c>
    </row>
    <row r="4718" spans="39:41" x14ac:dyDescent="0.25">
      <c r="AM4718" s="2">
        <v>4715</v>
      </c>
      <c r="AN4718" s="33">
        <v>1.2077152684485453E-2</v>
      </c>
      <c r="AO4718" s="33">
        <v>6.6574573328892809E-4</v>
      </c>
    </row>
    <row r="4719" spans="39:41" x14ac:dyDescent="0.25">
      <c r="AM4719" s="2">
        <v>4716</v>
      </c>
      <c r="AN4719" s="33">
        <v>1.1733250702353653E-2</v>
      </c>
      <c r="AO4719" s="33">
        <v>6.543730175656336E-4</v>
      </c>
    </row>
    <row r="4720" spans="39:41" x14ac:dyDescent="0.25">
      <c r="AM4720" s="2">
        <v>4717</v>
      </c>
      <c r="AN4720" s="33">
        <v>9.5746296196634086E-3</v>
      </c>
      <c r="AO4720" s="33">
        <v>4.0546169304448158E-4</v>
      </c>
    </row>
    <row r="4721" spans="39:41" x14ac:dyDescent="0.25">
      <c r="AM4721" s="2">
        <v>4718</v>
      </c>
      <c r="AN4721" s="33">
        <v>1.4425198016543395E-2</v>
      </c>
      <c r="AO4721" s="33">
        <v>1.3326619439373284E-3</v>
      </c>
    </row>
    <row r="4722" spans="39:41" x14ac:dyDescent="0.25">
      <c r="AM4722" s="2">
        <v>4719</v>
      </c>
      <c r="AN4722" s="33">
        <v>1.3842273335588106E-2</v>
      </c>
      <c r="AO4722" s="33">
        <v>1.3977722818886691E-3</v>
      </c>
    </row>
    <row r="4723" spans="39:41" x14ac:dyDescent="0.25">
      <c r="AM4723" s="2">
        <v>4720</v>
      </c>
      <c r="AN4723" s="33">
        <v>8.8792115381156594E-3</v>
      </c>
      <c r="AO4723" s="33">
        <v>4.1549932689004059E-4</v>
      </c>
    </row>
    <row r="4724" spans="39:41" x14ac:dyDescent="0.25">
      <c r="AM4724" s="2">
        <v>4721</v>
      </c>
      <c r="AN4724" s="33">
        <v>1.0987061727030185E-2</v>
      </c>
      <c r="AO4724" s="33">
        <v>7.1868444405624602E-4</v>
      </c>
    </row>
    <row r="4725" spans="39:41" x14ac:dyDescent="0.25">
      <c r="AM4725" s="2">
        <v>4722</v>
      </c>
      <c r="AN4725" s="33">
        <v>1.1039353006152837E-2</v>
      </c>
      <c r="AO4725" s="33">
        <v>5.8105121001785333E-4</v>
      </c>
    </row>
    <row r="4726" spans="39:41" x14ac:dyDescent="0.25">
      <c r="AM4726" s="2">
        <v>4723</v>
      </c>
      <c r="AN4726" s="33">
        <v>1.1736042396124989E-2</v>
      </c>
      <c r="AO4726" s="33">
        <v>1.0921030118697407E-3</v>
      </c>
    </row>
    <row r="4727" spans="39:41" x14ac:dyDescent="0.25">
      <c r="AM4727" s="2">
        <v>4724</v>
      </c>
      <c r="AN4727" s="33">
        <v>1.2166764750034342E-2</v>
      </c>
      <c r="AO4727" s="33">
        <v>1.192639045948821E-3</v>
      </c>
    </row>
    <row r="4728" spans="39:41" x14ac:dyDescent="0.25">
      <c r="AM4728" s="2">
        <v>4725</v>
      </c>
      <c r="AN4728" s="33">
        <v>1.4529165218464915E-2</v>
      </c>
      <c r="AO4728" s="33">
        <v>1.4206716095474233E-3</v>
      </c>
    </row>
    <row r="4729" spans="39:41" x14ac:dyDescent="0.25">
      <c r="AM4729" s="2">
        <v>4726</v>
      </c>
      <c r="AN4729" s="33">
        <v>9.8207974772508057E-3</v>
      </c>
      <c r="AO4729" s="33">
        <v>5.6978419611162482E-4</v>
      </c>
    </row>
    <row r="4730" spans="39:41" x14ac:dyDescent="0.25">
      <c r="AM4730" s="2">
        <v>4727</v>
      </c>
      <c r="AN4730" s="33">
        <v>1.4697837833168777E-2</v>
      </c>
      <c r="AO4730" s="33">
        <v>1.0142138184682421E-3</v>
      </c>
    </row>
    <row r="4731" spans="39:41" x14ac:dyDescent="0.25">
      <c r="AM4731" s="2">
        <v>4728</v>
      </c>
      <c r="AN4731" s="33">
        <v>1.6307967917136464E-2</v>
      </c>
      <c r="AO4731" s="33">
        <v>1.3466234167661454E-3</v>
      </c>
    </row>
    <row r="4732" spans="39:41" x14ac:dyDescent="0.25">
      <c r="AM4732" s="2">
        <v>4729</v>
      </c>
      <c r="AN4732" s="33">
        <v>1.1747471625179043E-2</v>
      </c>
      <c r="AO4732" s="33">
        <v>1.2275287854092776E-3</v>
      </c>
    </row>
    <row r="4733" spans="39:41" x14ac:dyDescent="0.25">
      <c r="AM4733" s="2">
        <v>4730</v>
      </c>
      <c r="AN4733" s="33">
        <v>9.600106602555154E-3</v>
      </c>
      <c r="AO4733" s="33">
        <v>2.3736626406265188E-4</v>
      </c>
    </row>
    <row r="4734" spans="39:41" x14ac:dyDescent="0.25">
      <c r="AM4734" s="2">
        <v>4731</v>
      </c>
      <c r="AN4734" s="33">
        <v>1.529725242661099E-2</v>
      </c>
      <c r="AO4734" s="33">
        <v>1.1342370642541757E-3</v>
      </c>
    </row>
    <row r="4735" spans="39:41" x14ac:dyDescent="0.25">
      <c r="AM4735" s="2">
        <v>4732</v>
      </c>
      <c r="AN4735" s="33">
        <v>1.2893638653120015E-2</v>
      </c>
      <c r="AO4735" s="33">
        <v>9.8603325436062619E-4</v>
      </c>
    </row>
    <row r="4736" spans="39:41" x14ac:dyDescent="0.25">
      <c r="AM4736" s="2">
        <v>4733</v>
      </c>
      <c r="AN4736" s="33">
        <v>9.8829692882618902E-3</v>
      </c>
      <c r="AO4736" s="33">
        <v>9.6983018983442658E-4</v>
      </c>
    </row>
    <row r="4737" spans="39:41" x14ac:dyDescent="0.25">
      <c r="AM4737" s="2">
        <v>4734</v>
      </c>
      <c r="AN4737" s="33">
        <v>1.1074030990419138E-2</v>
      </c>
      <c r="AO4737" s="33">
        <v>8.1101631825036401E-4</v>
      </c>
    </row>
    <row r="4738" spans="39:41" x14ac:dyDescent="0.25">
      <c r="AM4738" s="2">
        <v>4735</v>
      </c>
      <c r="AN4738" s="33">
        <v>1.4711101263659957E-2</v>
      </c>
      <c r="AO4738" s="33">
        <v>1.4960949672009564E-3</v>
      </c>
    </row>
    <row r="4739" spans="39:41" x14ac:dyDescent="0.25">
      <c r="AM4739" s="2">
        <v>4736</v>
      </c>
      <c r="AN4739" s="33">
        <v>1.3655460583679732E-2</v>
      </c>
      <c r="AO4739" s="33">
        <v>9.5946894344261168E-4</v>
      </c>
    </row>
    <row r="4740" spans="39:41" x14ac:dyDescent="0.25">
      <c r="AM4740" s="2">
        <v>4737</v>
      </c>
      <c r="AN4740" s="33">
        <v>1.4067429717276069E-2</v>
      </c>
      <c r="AO4740" s="33">
        <v>1.1591787038341399E-3</v>
      </c>
    </row>
    <row r="4741" spans="39:41" x14ac:dyDescent="0.25">
      <c r="AM4741" s="2">
        <v>4738</v>
      </c>
      <c r="AN4741" s="33">
        <v>1.3875095751058537E-2</v>
      </c>
      <c r="AO4741" s="33">
        <v>1.2764354364251558E-3</v>
      </c>
    </row>
    <row r="4742" spans="39:41" x14ac:dyDescent="0.25">
      <c r="AM4742" s="2">
        <v>4739</v>
      </c>
      <c r="AN4742" s="33">
        <v>8.2633935788124901E-3</v>
      </c>
      <c r="AO4742" s="33">
        <v>4.6981229702187683E-4</v>
      </c>
    </row>
    <row r="4743" spans="39:41" x14ac:dyDescent="0.25">
      <c r="AM4743" s="2">
        <v>4740</v>
      </c>
      <c r="AN4743" s="33">
        <v>1.3222111077675153E-2</v>
      </c>
      <c r="AO4743" s="33">
        <v>8.9359865964812302E-4</v>
      </c>
    </row>
    <row r="4744" spans="39:41" x14ac:dyDescent="0.25">
      <c r="AM4744" s="2">
        <v>4741</v>
      </c>
      <c r="AN4744" s="33">
        <v>1.2551572521918228E-2</v>
      </c>
      <c r="AO4744" s="33">
        <v>4.9579269674146552E-4</v>
      </c>
    </row>
    <row r="4745" spans="39:41" x14ac:dyDescent="0.25">
      <c r="AM4745" s="2">
        <v>4742</v>
      </c>
      <c r="AN4745" s="33">
        <v>1.5606405434636844E-2</v>
      </c>
      <c r="AO4745" s="33">
        <v>1.6340085703581862E-3</v>
      </c>
    </row>
    <row r="4746" spans="39:41" x14ac:dyDescent="0.25">
      <c r="AM4746" s="2">
        <v>4743</v>
      </c>
      <c r="AN4746" s="33">
        <v>1.0871351406982595E-2</v>
      </c>
      <c r="AO4746" s="33">
        <v>8.6633019126150892E-4</v>
      </c>
    </row>
    <row r="4747" spans="39:41" x14ac:dyDescent="0.25">
      <c r="AM4747" s="2">
        <v>4744</v>
      </c>
      <c r="AN4747" s="33">
        <v>1.3902546923983957E-2</v>
      </c>
      <c r="AO4747" s="33">
        <v>9.476803051907556E-4</v>
      </c>
    </row>
    <row r="4748" spans="39:41" x14ac:dyDescent="0.25">
      <c r="AM4748" s="2">
        <v>4745</v>
      </c>
      <c r="AN4748" s="33">
        <v>9.2106162584998062E-3</v>
      </c>
      <c r="AO4748" s="33">
        <v>6.695864433590474E-4</v>
      </c>
    </row>
    <row r="4749" spans="39:41" x14ac:dyDescent="0.25">
      <c r="AM4749" s="2">
        <v>4746</v>
      </c>
      <c r="AN4749" s="33">
        <v>1.2446636152604933E-2</v>
      </c>
      <c r="AO4749" s="33">
        <v>1.1250260855957001E-3</v>
      </c>
    </row>
    <row r="4750" spans="39:41" x14ac:dyDescent="0.25">
      <c r="AM4750" s="2">
        <v>4747</v>
      </c>
      <c r="AN4750" s="33">
        <v>1.2119150732487746E-2</v>
      </c>
      <c r="AO4750" s="33">
        <v>5.8298484253822521E-4</v>
      </c>
    </row>
    <row r="4751" spans="39:41" x14ac:dyDescent="0.25">
      <c r="AM4751" s="2">
        <v>4748</v>
      </c>
      <c r="AN4751" s="33">
        <v>1.0355177754651147E-2</v>
      </c>
      <c r="AO4751" s="33">
        <v>5.3957684423888556E-4</v>
      </c>
    </row>
    <row r="4752" spans="39:41" x14ac:dyDescent="0.25">
      <c r="AM4752" s="2">
        <v>4749</v>
      </c>
      <c r="AN4752" s="33">
        <v>1.0870993534638697E-2</v>
      </c>
      <c r="AO4752" s="33">
        <v>8.297098776356203E-4</v>
      </c>
    </row>
    <row r="4753" spans="39:41" x14ac:dyDescent="0.25">
      <c r="AM4753" s="2">
        <v>4750</v>
      </c>
      <c r="AN4753" s="33">
        <v>1.2304819941362144E-2</v>
      </c>
      <c r="AO4753" s="33">
        <v>7.2801243159983193E-4</v>
      </c>
    </row>
    <row r="4754" spans="39:41" x14ac:dyDescent="0.25">
      <c r="AM4754" s="2">
        <v>4751</v>
      </c>
      <c r="AN4754" s="33">
        <v>9.5926335605513915E-3</v>
      </c>
      <c r="AO4754" s="33">
        <v>7.6737854794851109E-4</v>
      </c>
    </row>
    <row r="4755" spans="39:41" x14ac:dyDescent="0.25">
      <c r="AM4755" s="2">
        <v>4752</v>
      </c>
      <c r="AN4755" s="33">
        <v>1.0573806117365346E-2</v>
      </c>
      <c r="AO4755" s="33">
        <v>9.7213730682707295E-4</v>
      </c>
    </row>
    <row r="4756" spans="39:41" x14ac:dyDescent="0.25">
      <c r="AM4756" s="2">
        <v>4753</v>
      </c>
      <c r="AN4756" s="33">
        <v>1.2741488813379855E-2</v>
      </c>
      <c r="AO4756" s="33">
        <v>9.0625116036958703E-4</v>
      </c>
    </row>
    <row r="4757" spans="39:41" x14ac:dyDescent="0.25">
      <c r="AM4757" s="2">
        <v>4754</v>
      </c>
      <c r="AN4757" s="33">
        <v>8.0188644673541247E-3</v>
      </c>
      <c r="AO4757" s="33">
        <v>4.6850603350330456E-4</v>
      </c>
    </row>
    <row r="4758" spans="39:41" x14ac:dyDescent="0.25">
      <c r="AM4758" s="2">
        <v>4755</v>
      </c>
      <c r="AN4758" s="33">
        <v>1.2987272239444963E-2</v>
      </c>
      <c r="AO4758" s="33">
        <v>1.180782578250397E-3</v>
      </c>
    </row>
    <row r="4759" spans="39:41" x14ac:dyDescent="0.25">
      <c r="AM4759" s="2">
        <v>4756</v>
      </c>
      <c r="AN4759" s="33">
        <v>1.2499447085290539E-2</v>
      </c>
      <c r="AO4759" s="33">
        <v>1.1979448596357723E-3</v>
      </c>
    </row>
    <row r="4760" spans="39:41" x14ac:dyDescent="0.25">
      <c r="AM4760" s="2">
        <v>4757</v>
      </c>
      <c r="AN4760" s="33">
        <v>1.1103081171602124E-2</v>
      </c>
      <c r="AO4760" s="33">
        <v>7.9880355807726306E-4</v>
      </c>
    </row>
    <row r="4761" spans="39:41" x14ac:dyDescent="0.25">
      <c r="AM4761" s="2">
        <v>4758</v>
      </c>
      <c r="AN4761" s="33">
        <v>9.7819763058180405E-3</v>
      </c>
      <c r="AO4761" s="33">
        <v>6.0968643667678188E-4</v>
      </c>
    </row>
    <row r="4762" spans="39:41" x14ac:dyDescent="0.25">
      <c r="AM4762" s="2">
        <v>4759</v>
      </c>
      <c r="AN4762" s="33">
        <v>1.2571599293884551E-2</v>
      </c>
      <c r="AO4762" s="33">
        <v>1.0808735215877376E-3</v>
      </c>
    </row>
    <row r="4763" spans="39:41" x14ac:dyDescent="0.25">
      <c r="AM4763" s="2">
        <v>4760</v>
      </c>
      <c r="AN4763" s="33">
        <v>1.1068836570091342E-2</v>
      </c>
      <c r="AO4763" s="33">
        <v>3.0962870184190973E-4</v>
      </c>
    </row>
    <row r="4764" spans="39:41" x14ac:dyDescent="0.25">
      <c r="AM4764" s="2">
        <v>4761</v>
      </c>
      <c r="AN4764" s="33">
        <v>1.4553397755994612E-2</v>
      </c>
      <c r="AO4764" s="33">
        <v>1.2945912260600055E-3</v>
      </c>
    </row>
    <row r="4765" spans="39:41" x14ac:dyDescent="0.25">
      <c r="AM4765" s="2">
        <v>4762</v>
      </c>
      <c r="AN4765" s="33">
        <v>1.290352949290487E-2</v>
      </c>
      <c r="AO4765" s="33">
        <v>1.1161480687024751E-3</v>
      </c>
    </row>
    <row r="4766" spans="39:41" x14ac:dyDescent="0.25">
      <c r="AM4766" s="2">
        <v>4763</v>
      </c>
      <c r="AN4766" s="33">
        <v>1.0712896559792748E-2</v>
      </c>
      <c r="AO4766" s="33">
        <v>2.7411227262609181E-4</v>
      </c>
    </row>
    <row r="4767" spans="39:41" x14ac:dyDescent="0.25">
      <c r="AM4767" s="2">
        <v>4764</v>
      </c>
      <c r="AN4767" s="33">
        <v>1.2645590350571353E-2</v>
      </c>
      <c r="AO4767" s="33">
        <v>1.2582367370130754E-3</v>
      </c>
    </row>
    <row r="4768" spans="39:41" x14ac:dyDescent="0.25">
      <c r="AM4768" s="2">
        <v>4765</v>
      </c>
      <c r="AN4768" s="33">
        <v>1.2623888709535203E-2</v>
      </c>
      <c r="AO4768" s="33">
        <v>1.240657752337463E-3</v>
      </c>
    </row>
    <row r="4769" spans="39:41" x14ac:dyDescent="0.25">
      <c r="AM4769" s="2">
        <v>4766</v>
      </c>
      <c r="AN4769" s="33">
        <v>1.4159842612333461E-2</v>
      </c>
      <c r="AO4769" s="33">
        <v>1.2525274514740834E-3</v>
      </c>
    </row>
    <row r="4770" spans="39:41" x14ac:dyDescent="0.25">
      <c r="AM4770" s="2">
        <v>4767</v>
      </c>
      <c r="AN4770" s="33">
        <v>9.1833064846875145E-3</v>
      </c>
      <c r="AO4770" s="33">
        <v>7.9969271636403045E-4</v>
      </c>
    </row>
    <row r="4771" spans="39:41" x14ac:dyDescent="0.25">
      <c r="AM4771" s="2">
        <v>4768</v>
      </c>
      <c r="AN4771" s="33">
        <v>1.0661197860675077E-2</v>
      </c>
      <c r="AO4771" s="33">
        <v>7.5054776167242821E-4</v>
      </c>
    </row>
    <row r="4772" spans="39:41" x14ac:dyDescent="0.25">
      <c r="AM4772" s="2">
        <v>4769</v>
      </c>
      <c r="AN4772" s="33">
        <v>1.0556497457128212E-2</v>
      </c>
      <c r="AO4772" s="33">
        <v>4.6440373043913242E-4</v>
      </c>
    </row>
    <row r="4773" spans="39:41" x14ac:dyDescent="0.25">
      <c r="AM4773" s="2">
        <v>4770</v>
      </c>
      <c r="AN4773" s="33">
        <v>1.1377935834402487E-2</v>
      </c>
      <c r="AO4773" s="33">
        <v>6.5740186095861728E-4</v>
      </c>
    </row>
    <row r="4774" spans="39:41" x14ac:dyDescent="0.25">
      <c r="AM4774" s="2">
        <v>4771</v>
      </c>
      <c r="AN4774" s="33">
        <v>1.2672756024303004E-2</v>
      </c>
      <c r="AO4774" s="33">
        <v>1.0122124135676332E-3</v>
      </c>
    </row>
    <row r="4775" spans="39:41" x14ac:dyDescent="0.25">
      <c r="AM4775" s="2">
        <v>4772</v>
      </c>
      <c r="AN4775" s="33">
        <v>1.3947788372646657E-2</v>
      </c>
      <c r="AO4775" s="33">
        <v>1.0861378782518229E-3</v>
      </c>
    </row>
    <row r="4776" spans="39:41" x14ac:dyDescent="0.25">
      <c r="AM4776" s="2">
        <v>4773</v>
      </c>
      <c r="AN4776" s="33">
        <v>8.3111341619506469E-3</v>
      </c>
      <c r="AO4776" s="33">
        <v>6.5758026112387323E-4</v>
      </c>
    </row>
    <row r="4777" spans="39:41" x14ac:dyDescent="0.25">
      <c r="AM4777" s="2">
        <v>4774</v>
      </c>
      <c r="AN4777" s="33">
        <v>1.2111823066524733E-2</v>
      </c>
      <c r="AO4777" s="33">
        <v>1.1625783098388038E-3</v>
      </c>
    </row>
    <row r="4778" spans="39:41" x14ac:dyDescent="0.25">
      <c r="AM4778" s="2">
        <v>4775</v>
      </c>
      <c r="AN4778" s="33">
        <v>1.3912059998779166E-2</v>
      </c>
      <c r="AO4778" s="33">
        <v>7.9202368403771383E-4</v>
      </c>
    </row>
    <row r="4779" spans="39:41" x14ac:dyDescent="0.25">
      <c r="AM4779" s="2">
        <v>4776</v>
      </c>
      <c r="AN4779" s="33">
        <v>9.2819968054260234E-3</v>
      </c>
      <c r="AO4779" s="33">
        <v>5.7618135970852712E-4</v>
      </c>
    </row>
    <row r="4780" spans="39:41" x14ac:dyDescent="0.25">
      <c r="AM4780" s="2">
        <v>4777</v>
      </c>
      <c r="AN4780" s="33">
        <v>1.3640835578731681E-2</v>
      </c>
      <c r="AO4780" s="33">
        <v>1.4537866973050354E-3</v>
      </c>
    </row>
    <row r="4781" spans="39:41" x14ac:dyDescent="0.25">
      <c r="AM4781" s="2">
        <v>4778</v>
      </c>
      <c r="AN4781" s="33">
        <v>1.4223615907968473E-2</v>
      </c>
      <c r="AO4781" s="33">
        <v>1.2255082454303387E-3</v>
      </c>
    </row>
    <row r="4782" spans="39:41" x14ac:dyDescent="0.25">
      <c r="AM4782" s="2">
        <v>4779</v>
      </c>
      <c r="AN4782" s="33">
        <v>1.2049367919053795E-2</v>
      </c>
      <c r="AO4782" s="33">
        <v>2.7610728346744374E-4</v>
      </c>
    </row>
    <row r="4783" spans="39:41" x14ac:dyDescent="0.25">
      <c r="AM4783" s="2">
        <v>4780</v>
      </c>
      <c r="AN4783" s="33">
        <v>1.0605757497663109E-2</v>
      </c>
      <c r="AO4783" s="33">
        <v>6.4863076173864165E-4</v>
      </c>
    </row>
    <row r="4784" spans="39:41" x14ac:dyDescent="0.25">
      <c r="AM4784" s="2">
        <v>4781</v>
      </c>
      <c r="AN4784" s="33">
        <v>1.0192844931770797E-2</v>
      </c>
      <c r="AO4784" s="33">
        <v>6.0602819406194565E-4</v>
      </c>
    </row>
    <row r="4785" spans="39:41" x14ac:dyDescent="0.25">
      <c r="AM4785" s="2">
        <v>4782</v>
      </c>
      <c r="AN4785" s="33">
        <v>1.6631954869750287E-2</v>
      </c>
      <c r="AO4785" s="33">
        <v>1.2941265798400449E-3</v>
      </c>
    </row>
    <row r="4786" spans="39:41" x14ac:dyDescent="0.25">
      <c r="AM4786" s="2">
        <v>4783</v>
      </c>
      <c r="AN4786" s="33">
        <v>1.171737859827736E-2</v>
      </c>
      <c r="AO4786" s="33">
        <v>3.6321865650687372E-4</v>
      </c>
    </row>
    <row r="4787" spans="39:41" x14ac:dyDescent="0.25">
      <c r="AM4787" s="2">
        <v>4784</v>
      </c>
      <c r="AN4787" s="33">
        <v>1.258803646720015E-2</v>
      </c>
      <c r="AO4787" s="33">
        <v>6.3033251728695551E-4</v>
      </c>
    </row>
    <row r="4788" spans="39:41" x14ac:dyDescent="0.25">
      <c r="AM4788" s="2">
        <v>4785</v>
      </c>
      <c r="AN4788" s="33">
        <v>1.1730324149943513E-2</v>
      </c>
      <c r="AO4788" s="33">
        <v>1.1102836510388132E-3</v>
      </c>
    </row>
    <row r="4789" spans="39:41" x14ac:dyDescent="0.25">
      <c r="AM4789" s="2">
        <v>4786</v>
      </c>
      <c r="AN4789" s="33">
        <v>1.1407654241747384E-2</v>
      </c>
      <c r="AO4789" s="33">
        <v>9.0282049646900049E-4</v>
      </c>
    </row>
    <row r="4790" spans="39:41" x14ac:dyDescent="0.25">
      <c r="AM4790" s="2">
        <v>4787</v>
      </c>
      <c r="AN4790" s="33">
        <v>9.6462545156374025E-3</v>
      </c>
      <c r="AO4790" s="33">
        <v>8.5545230658692038E-4</v>
      </c>
    </row>
    <row r="4791" spans="39:41" x14ac:dyDescent="0.25">
      <c r="AM4791" s="2">
        <v>4788</v>
      </c>
      <c r="AN4791" s="33">
        <v>1.1969208602444267E-2</v>
      </c>
      <c r="AO4791" s="33">
        <v>9.9894340106791366E-4</v>
      </c>
    </row>
    <row r="4792" spans="39:41" x14ac:dyDescent="0.25">
      <c r="AM4792" s="2">
        <v>4789</v>
      </c>
      <c r="AN4792" s="33">
        <v>1.0343884863178816E-2</v>
      </c>
      <c r="AO4792" s="33">
        <v>5.3251276210327823E-4</v>
      </c>
    </row>
    <row r="4793" spans="39:41" x14ac:dyDescent="0.25">
      <c r="AM4793" s="2">
        <v>4790</v>
      </c>
      <c r="AN4793" s="33">
        <v>1.0062552137655622E-2</v>
      </c>
      <c r="AO4793" s="33">
        <v>5.9782020398159463E-4</v>
      </c>
    </row>
    <row r="4794" spans="39:41" x14ac:dyDescent="0.25">
      <c r="AM4794" s="2">
        <v>4791</v>
      </c>
      <c r="AN4794" s="33">
        <v>8.0811808660166094E-3</v>
      </c>
      <c r="AO4794" s="33">
        <v>2.9001782881079766E-4</v>
      </c>
    </row>
    <row r="4795" spans="39:41" x14ac:dyDescent="0.25">
      <c r="AM4795" s="2">
        <v>4792</v>
      </c>
      <c r="AN4795" s="33">
        <v>1.2573689347848251E-2</v>
      </c>
      <c r="AO4795" s="33">
        <v>1.2687766820446936E-3</v>
      </c>
    </row>
    <row r="4796" spans="39:41" x14ac:dyDescent="0.25">
      <c r="AM4796" s="2">
        <v>4793</v>
      </c>
      <c r="AN4796" s="33">
        <v>8.0465001304813859E-3</v>
      </c>
      <c r="AO4796" s="33">
        <v>5.3089405106403306E-4</v>
      </c>
    </row>
    <row r="4797" spans="39:41" x14ac:dyDescent="0.25">
      <c r="AM4797" s="2">
        <v>4794</v>
      </c>
      <c r="AN4797" s="33">
        <v>9.3433182658541874E-3</v>
      </c>
      <c r="AO4797" s="33">
        <v>8.9573848144503085E-4</v>
      </c>
    </row>
    <row r="4798" spans="39:41" x14ac:dyDescent="0.25">
      <c r="AM4798" s="2">
        <v>4795</v>
      </c>
      <c r="AN4798" s="33">
        <v>9.037322911549189E-3</v>
      </c>
      <c r="AO4798" s="33">
        <v>6.2041289362308241E-4</v>
      </c>
    </row>
    <row r="4799" spans="39:41" x14ac:dyDescent="0.25">
      <c r="AM4799" s="2">
        <v>4796</v>
      </c>
      <c r="AN4799" s="33">
        <v>1.2715920715914389E-2</v>
      </c>
      <c r="AO4799" s="33">
        <v>1.0787654204810063E-3</v>
      </c>
    </row>
    <row r="4800" spans="39:41" x14ac:dyDescent="0.25">
      <c r="AM4800" s="2">
        <v>4797</v>
      </c>
      <c r="AN4800" s="33">
        <v>1.084477170632844E-2</v>
      </c>
      <c r="AO4800" s="33">
        <v>9.5145456014776987E-4</v>
      </c>
    </row>
    <row r="4801" spans="39:41" x14ac:dyDescent="0.25">
      <c r="AM4801" s="2">
        <v>4798</v>
      </c>
      <c r="AN4801" s="33">
        <v>1.2497890387967989E-2</v>
      </c>
      <c r="AO4801" s="33">
        <v>9.0260081116103183E-4</v>
      </c>
    </row>
    <row r="4802" spans="39:41" x14ac:dyDescent="0.25">
      <c r="AM4802" s="2">
        <v>4799</v>
      </c>
      <c r="AN4802" s="33">
        <v>9.8773884169780207E-3</v>
      </c>
      <c r="AO4802" s="33">
        <v>7.3895964855626335E-4</v>
      </c>
    </row>
    <row r="4803" spans="39:41" x14ac:dyDescent="0.25">
      <c r="AM4803" s="2">
        <v>4800</v>
      </c>
      <c r="AN4803" s="33">
        <v>9.5172586696837258E-3</v>
      </c>
      <c r="AO4803" s="33">
        <v>2.5093268580005953E-4</v>
      </c>
    </row>
    <row r="4804" spans="39:41" x14ac:dyDescent="0.25">
      <c r="AM4804" s="2">
        <v>4801</v>
      </c>
      <c r="AN4804" s="33">
        <v>1.1136242239673372E-2</v>
      </c>
      <c r="AO4804" s="33">
        <v>6.292447689385946E-4</v>
      </c>
    </row>
    <row r="4805" spans="39:41" x14ac:dyDescent="0.25">
      <c r="AM4805" s="2">
        <v>4802</v>
      </c>
      <c r="AN4805" s="33">
        <v>9.4610350227168211E-3</v>
      </c>
      <c r="AO4805" s="33">
        <v>4.0131076429940902E-4</v>
      </c>
    </row>
    <row r="4806" spans="39:41" x14ac:dyDescent="0.25">
      <c r="AM4806" s="2">
        <v>4803</v>
      </c>
      <c r="AN4806" s="33">
        <v>9.9502132226915434E-3</v>
      </c>
      <c r="AO4806" s="33">
        <v>4.303966815380185E-4</v>
      </c>
    </row>
    <row r="4807" spans="39:41" x14ac:dyDescent="0.25">
      <c r="AM4807" s="2">
        <v>4804</v>
      </c>
      <c r="AN4807" s="33">
        <v>1.649538935843969E-2</v>
      </c>
      <c r="AO4807" s="33">
        <v>1.7283502106573694E-3</v>
      </c>
    </row>
    <row r="4808" spans="39:41" x14ac:dyDescent="0.25">
      <c r="AM4808" s="2">
        <v>4805</v>
      </c>
      <c r="AN4808" s="33">
        <v>1.0478545876655147E-2</v>
      </c>
      <c r="AO4808" s="33">
        <v>9.4382771925062266E-4</v>
      </c>
    </row>
    <row r="4809" spans="39:41" x14ac:dyDescent="0.25">
      <c r="AM4809" s="2">
        <v>4806</v>
      </c>
      <c r="AN4809" s="33">
        <v>1.1499415004993893E-2</v>
      </c>
      <c r="AO4809" s="33">
        <v>3.5908717327251549E-4</v>
      </c>
    </row>
    <row r="4810" spans="39:41" x14ac:dyDescent="0.25">
      <c r="AM4810" s="2">
        <v>4807</v>
      </c>
      <c r="AN4810" s="33">
        <v>1.700211078577319E-2</v>
      </c>
      <c r="AO4810" s="33">
        <v>1.2108799656602278E-3</v>
      </c>
    </row>
    <row r="4811" spans="39:41" x14ac:dyDescent="0.25">
      <c r="AM4811" s="2">
        <v>4808</v>
      </c>
      <c r="AN4811" s="33">
        <v>1.0562378191793908E-2</v>
      </c>
      <c r="AO4811" s="33">
        <v>6.6955193515797504E-4</v>
      </c>
    </row>
    <row r="4812" spans="39:41" x14ac:dyDescent="0.25">
      <c r="AM4812" s="2">
        <v>4809</v>
      </c>
      <c r="AN4812" s="33">
        <v>8.0327059387079822E-3</v>
      </c>
      <c r="AO4812" s="33">
        <v>6.0919776576987927E-4</v>
      </c>
    </row>
    <row r="4813" spans="39:41" x14ac:dyDescent="0.25">
      <c r="AM4813" s="2">
        <v>4810</v>
      </c>
      <c r="AN4813" s="33">
        <v>8.7026474069954226E-3</v>
      </c>
      <c r="AO4813" s="33">
        <v>7.0307518995635365E-4</v>
      </c>
    </row>
    <row r="4814" spans="39:41" x14ac:dyDescent="0.25">
      <c r="AM4814" s="2">
        <v>4811</v>
      </c>
      <c r="AN4814" s="33">
        <v>1.0364667633439737E-2</v>
      </c>
      <c r="AO4814" s="33">
        <v>8.9630287460431678E-4</v>
      </c>
    </row>
    <row r="4815" spans="39:41" x14ac:dyDescent="0.25">
      <c r="AM4815" s="2">
        <v>4812</v>
      </c>
      <c r="AN4815" s="33">
        <v>1.486615286269464E-2</v>
      </c>
      <c r="AO4815" s="33">
        <v>1.0362847289099079E-3</v>
      </c>
    </row>
    <row r="4816" spans="39:41" x14ac:dyDescent="0.25">
      <c r="AM4816" s="2">
        <v>4813</v>
      </c>
      <c r="AN4816" s="33">
        <v>1.455979948576896E-2</v>
      </c>
      <c r="AO4816" s="33">
        <v>9.3702604406010754E-4</v>
      </c>
    </row>
    <row r="4817" spans="39:41" x14ac:dyDescent="0.25">
      <c r="AM4817" s="2">
        <v>4814</v>
      </c>
      <c r="AN4817" s="33">
        <v>1.5102870271973221E-2</v>
      </c>
      <c r="AO4817" s="33">
        <v>6.8697453086874645E-4</v>
      </c>
    </row>
    <row r="4818" spans="39:41" x14ac:dyDescent="0.25">
      <c r="AM4818" s="2">
        <v>4815</v>
      </c>
      <c r="AN4818" s="33">
        <v>1.4106812162966621E-2</v>
      </c>
      <c r="AO4818" s="33">
        <v>1.3279916768796085E-3</v>
      </c>
    </row>
    <row r="4819" spans="39:41" x14ac:dyDescent="0.25">
      <c r="AM4819" s="2">
        <v>4816</v>
      </c>
      <c r="AN4819" s="33">
        <v>1.3033986050857907E-2</v>
      </c>
      <c r="AO4819" s="33">
        <v>8.9159929500037545E-4</v>
      </c>
    </row>
    <row r="4820" spans="39:41" x14ac:dyDescent="0.25">
      <c r="AM4820" s="2">
        <v>4817</v>
      </c>
      <c r="AN4820" s="33">
        <v>1.2177183312637497E-2</v>
      </c>
      <c r="AO4820" s="33">
        <v>9.4313829714329277E-4</v>
      </c>
    </row>
    <row r="4821" spans="39:41" x14ac:dyDescent="0.25">
      <c r="AM4821" s="2">
        <v>4818</v>
      </c>
      <c r="AN4821" s="33">
        <v>1.064828187122584E-2</v>
      </c>
      <c r="AO4821" s="33">
        <v>5.0924655535523531E-4</v>
      </c>
    </row>
    <row r="4822" spans="39:41" x14ac:dyDescent="0.25">
      <c r="AM4822" s="2">
        <v>4819</v>
      </c>
      <c r="AN4822" s="33">
        <v>1.364892068148409E-2</v>
      </c>
      <c r="AO4822" s="33">
        <v>1.0383576905506895E-3</v>
      </c>
    </row>
    <row r="4823" spans="39:41" x14ac:dyDescent="0.25">
      <c r="AM4823" s="2">
        <v>4820</v>
      </c>
      <c r="AN4823" s="33">
        <v>1.1394046730053568E-2</v>
      </c>
      <c r="AO4823" s="33">
        <v>6.0802720110241047E-4</v>
      </c>
    </row>
    <row r="4824" spans="39:41" x14ac:dyDescent="0.25">
      <c r="AM4824" s="2">
        <v>4821</v>
      </c>
      <c r="AN4824" s="33">
        <v>1.261599908489866E-2</v>
      </c>
      <c r="AO4824" s="33">
        <v>1.0266777246846889E-3</v>
      </c>
    </row>
    <row r="4825" spans="39:41" x14ac:dyDescent="0.25">
      <c r="AM4825" s="2">
        <v>4822</v>
      </c>
      <c r="AN4825" s="33">
        <v>1.0973935933038385E-2</v>
      </c>
      <c r="AO4825" s="33">
        <v>6.0470816231398444E-4</v>
      </c>
    </row>
    <row r="4826" spans="39:41" x14ac:dyDescent="0.25">
      <c r="AM4826" s="2">
        <v>4823</v>
      </c>
      <c r="AN4826" s="33">
        <v>1.2266211111435601E-2</v>
      </c>
      <c r="AO4826" s="33">
        <v>8.8354102176503558E-4</v>
      </c>
    </row>
    <row r="4827" spans="39:41" x14ac:dyDescent="0.25">
      <c r="AM4827" s="2">
        <v>4824</v>
      </c>
      <c r="AN4827" s="33">
        <v>9.189839933367543E-3</v>
      </c>
      <c r="AO4827" s="33">
        <v>5.8369466697058092E-4</v>
      </c>
    </row>
    <row r="4828" spans="39:41" x14ac:dyDescent="0.25">
      <c r="AM4828" s="2">
        <v>4825</v>
      </c>
      <c r="AN4828" s="33">
        <v>1.1954422026069443E-2</v>
      </c>
      <c r="AO4828" s="33">
        <v>1.0380088812388141E-3</v>
      </c>
    </row>
    <row r="4829" spans="39:41" x14ac:dyDescent="0.25">
      <c r="AM4829" s="2">
        <v>4826</v>
      </c>
      <c r="AN4829" s="33">
        <v>1.1046952661152257E-2</v>
      </c>
      <c r="AO4829" s="33">
        <v>5.5206953903939524E-4</v>
      </c>
    </row>
    <row r="4830" spans="39:41" x14ac:dyDescent="0.25">
      <c r="AM4830" s="2">
        <v>4827</v>
      </c>
      <c r="AN4830" s="33">
        <v>1.1275760095099461E-2</v>
      </c>
      <c r="AO4830" s="33">
        <v>7.1425538814554621E-4</v>
      </c>
    </row>
    <row r="4831" spans="39:41" x14ac:dyDescent="0.25">
      <c r="AM4831" s="2">
        <v>4828</v>
      </c>
      <c r="AN4831" s="33">
        <v>9.5775576134799444E-3</v>
      </c>
      <c r="AO4831" s="33">
        <v>5.1563713728741841E-4</v>
      </c>
    </row>
    <row r="4832" spans="39:41" x14ac:dyDescent="0.25">
      <c r="AM4832" s="2">
        <v>4829</v>
      </c>
      <c r="AN4832" s="33">
        <v>1.3235101573909674E-2</v>
      </c>
      <c r="AO4832" s="33">
        <v>1.2196171365685875E-3</v>
      </c>
    </row>
    <row r="4833" spans="39:41" x14ac:dyDescent="0.25">
      <c r="AM4833" s="2">
        <v>4830</v>
      </c>
      <c r="AN4833" s="33">
        <v>1.0252904671920865E-2</v>
      </c>
      <c r="AO4833" s="33">
        <v>5.1535989479541675E-4</v>
      </c>
    </row>
    <row r="4834" spans="39:41" x14ac:dyDescent="0.25">
      <c r="AM4834" s="2">
        <v>4831</v>
      </c>
      <c r="AN4834" s="33">
        <v>1.0586014647032075E-2</v>
      </c>
      <c r="AO4834" s="33">
        <v>1.0133474917171038E-3</v>
      </c>
    </row>
    <row r="4835" spans="39:41" x14ac:dyDescent="0.25">
      <c r="AM4835" s="2">
        <v>4832</v>
      </c>
      <c r="AN4835" s="33">
        <v>8.9467136043713067E-3</v>
      </c>
      <c r="AO4835" s="33">
        <v>8.1756231666448053E-4</v>
      </c>
    </row>
    <row r="4836" spans="39:41" x14ac:dyDescent="0.25">
      <c r="AM4836" s="2">
        <v>4833</v>
      </c>
      <c r="AN4836" s="33">
        <v>1.0355905552436883E-2</v>
      </c>
      <c r="AO4836" s="33">
        <v>7.1347982821142516E-4</v>
      </c>
    </row>
    <row r="4837" spans="39:41" x14ac:dyDescent="0.25">
      <c r="AM4837" s="2">
        <v>4834</v>
      </c>
      <c r="AN4837" s="33">
        <v>1.7510473439356466E-2</v>
      </c>
      <c r="AO4837" s="33">
        <v>1.3957484856898551E-3</v>
      </c>
    </row>
    <row r="4838" spans="39:41" x14ac:dyDescent="0.25">
      <c r="AM4838" s="2">
        <v>4835</v>
      </c>
      <c r="AN4838" s="33">
        <v>1.1179927036371601E-2</v>
      </c>
      <c r="AO4838" s="33">
        <v>6.5980848968872773E-4</v>
      </c>
    </row>
    <row r="4839" spans="39:41" x14ac:dyDescent="0.25">
      <c r="AM4839" s="2">
        <v>4836</v>
      </c>
      <c r="AN4839" s="33">
        <v>1.250442910540306E-2</v>
      </c>
      <c r="AO4839" s="33">
        <v>1.2935295786364544E-3</v>
      </c>
    </row>
    <row r="4840" spans="39:41" x14ac:dyDescent="0.25">
      <c r="AM4840" s="2">
        <v>4837</v>
      </c>
      <c r="AN4840" s="33">
        <v>1.2076568066727526E-2</v>
      </c>
      <c r="AO4840" s="33">
        <v>1.1615570711151855E-3</v>
      </c>
    </row>
    <row r="4841" spans="39:41" x14ac:dyDescent="0.25">
      <c r="AM4841" s="2">
        <v>4838</v>
      </c>
      <c r="AN4841" s="33">
        <v>1.2060148397858902E-2</v>
      </c>
      <c r="AO4841" s="33">
        <v>1.2350077423406445E-3</v>
      </c>
    </row>
    <row r="4842" spans="39:41" x14ac:dyDescent="0.25">
      <c r="AM4842" s="2">
        <v>4839</v>
      </c>
      <c r="AN4842" s="33">
        <v>1.4233576141497164E-2</v>
      </c>
      <c r="AO4842" s="33">
        <v>1.1664093321809969E-3</v>
      </c>
    </row>
    <row r="4843" spans="39:41" x14ac:dyDescent="0.25">
      <c r="AM4843" s="2">
        <v>4840</v>
      </c>
      <c r="AN4843" s="33">
        <v>1.045644882422677E-2</v>
      </c>
      <c r="AO4843" s="33">
        <v>6.5106301971622855E-4</v>
      </c>
    </row>
    <row r="4844" spans="39:41" x14ac:dyDescent="0.25">
      <c r="AM4844" s="2">
        <v>4841</v>
      </c>
      <c r="AN4844" s="33">
        <v>1.3665375324547724E-2</v>
      </c>
      <c r="AO4844" s="33">
        <v>1.2531242690107594E-3</v>
      </c>
    </row>
    <row r="4845" spans="39:41" x14ac:dyDescent="0.25">
      <c r="AM4845" s="2">
        <v>4842</v>
      </c>
      <c r="AN4845" s="33">
        <v>1.1903703850205104E-2</v>
      </c>
      <c r="AO4845" s="33">
        <v>1.0582944714101993E-3</v>
      </c>
    </row>
    <row r="4846" spans="39:41" x14ac:dyDescent="0.25">
      <c r="AM4846" s="2">
        <v>4843</v>
      </c>
      <c r="AN4846" s="33">
        <v>1.0065433718900993E-2</v>
      </c>
      <c r="AO4846" s="33">
        <v>3.9884511108790916E-4</v>
      </c>
    </row>
    <row r="4847" spans="39:41" x14ac:dyDescent="0.25">
      <c r="AM4847" s="2">
        <v>4844</v>
      </c>
      <c r="AN4847" s="33">
        <v>1.141929066941948E-2</v>
      </c>
      <c r="AO4847" s="33">
        <v>8.4125578342033366E-4</v>
      </c>
    </row>
    <row r="4848" spans="39:41" x14ac:dyDescent="0.25">
      <c r="AM4848" s="2">
        <v>4845</v>
      </c>
      <c r="AN4848" s="33">
        <v>1.2047103666323679E-2</v>
      </c>
      <c r="AO4848" s="33">
        <v>8.4049478838238271E-4</v>
      </c>
    </row>
    <row r="4849" spans="39:41" x14ac:dyDescent="0.25">
      <c r="AM4849" s="2">
        <v>4846</v>
      </c>
      <c r="AN4849" s="33">
        <v>1.531056276134444E-2</v>
      </c>
      <c r="AO4849" s="33">
        <v>1.5167997420384625E-3</v>
      </c>
    </row>
    <row r="4850" spans="39:41" x14ac:dyDescent="0.25">
      <c r="AM4850" s="2">
        <v>4847</v>
      </c>
      <c r="AN4850" s="33">
        <v>1.5100839028059549E-2</v>
      </c>
      <c r="AO4850" s="33">
        <v>1.6067090145938817E-3</v>
      </c>
    </row>
    <row r="4851" spans="39:41" x14ac:dyDescent="0.25">
      <c r="AM4851" s="2">
        <v>4848</v>
      </c>
      <c r="AN4851" s="33">
        <v>1.3574618806766987E-2</v>
      </c>
      <c r="AO4851" s="33">
        <v>1.2296254856372958E-3</v>
      </c>
    </row>
    <row r="4852" spans="39:41" x14ac:dyDescent="0.25">
      <c r="AM4852" s="2">
        <v>4849</v>
      </c>
      <c r="AN4852" s="33">
        <v>1.2017298473806646E-2</v>
      </c>
      <c r="AO4852" s="33">
        <v>1.0693397818958695E-3</v>
      </c>
    </row>
    <row r="4853" spans="39:41" x14ac:dyDescent="0.25">
      <c r="AM4853" s="2">
        <v>4850</v>
      </c>
      <c r="AN4853" s="33">
        <v>1.0743331515455749E-2</v>
      </c>
      <c r="AO4853" s="33">
        <v>9.5871085100096489E-4</v>
      </c>
    </row>
    <row r="4854" spans="39:41" x14ac:dyDescent="0.25">
      <c r="AM4854" s="2">
        <v>4851</v>
      </c>
      <c r="AN4854" s="33">
        <v>1.1605114098001777E-2</v>
      </c>
      <c r="AO4854" s="33">
        <v>7.9325079690168907E-4</v>
      </c>
    </row>
    <row r="4855" spans="39:41" x14ac:dyDescent="0.25">
      <c r="AM4855" s="2">
        <v>4852</v>
      </c>
      <c r="AN4855" s="33">
        <v>1.42896167439917E-2</v>
      </c>
      <c r="AO4855" s="33">
        <v>1.1182631584746819E-3</v>
      </c>
    </row>
    <row r="4856" spans="39:41" x14ac:dyDescent="0.25">
      <c r="AM4856" s="2">
        <v>4853</v>
      </c>
      <c r="AN4856" s="33">
        <v>1.8632816319041266E-2</v>
      </c>
      <c r="AO4856" s="33">
        <v>1.6741166577090697E-3</v>
      </c>
    </row>
    <row r="4857" spans="39:41" x14ac:dyDescent="0.25">
      <c r="AM4857" s="2">
        <v>4854</v>
      </c>
      <c r="AN4857" s="33">
        <v>1.4527917218624247E-2</v>
      </c>
      <c r="AO4857" s="33">
        <v>1.3912214238761436E-3</v>
      </c>
    </row>
    <row r="4858" spans="39:41" x14ac:dyDescent="0.25">
      <c r="AM4858" s="2">
        <v>4855</v>
      </c>
      <c r="AN4858" s="33">
        <v>1.0354442937436955E-2</v>
      </c>
      <c r="AO4858" s="33">
        <v>9.2038160758545467E-4</v>
      </c>
    </row>
    <row r="4859" spans="39:41" x14ac:dyDescent="0.25">
      <c r="AM4859" s="2">
        <v>4856</v>
      </c>
      <c r="AN4859" s="33">
        <v>1.2727228856096289E-2</v>
      </c>
      <c r="AO4859" s="33">
        <v>1.0476035562046045E-3</v>
      </c>
    </row>
    <row r="4860" spans="39:41" x14ac:dyDescent="0.25">
      <c r="AM4860" s="2">
        <v>4857</v>
      </c>
      <c r="AN4860" s="33">
        <v>1.0688908269339562E-2</v>
      </c>
      <c r="AO4860" s="33">
        <v>8.2955968118371914E-4</v>
      </c>
    </row>
    <row r="4861" spans="39:41" x14ac:dyDescent="0.25">
      <c r="AM4861" s="2">
        <v>4858</v>
      </c>
      <c r="AN4861" s="33">
        <v>8.4544784446440556E-3</v>
      </c>
      <c r="AO4861" s="33">
        <v>6.631024808918778E-4</v>
      </c>
    </row>
    <row r="4862" spans="39:41" x14ac:dyDescent="0.25">
      <c r="AM4862" s="2">
        <v>4859</v>
      </c>
      <c r="AN4862" s="33">
        <v>1.3385377906099566E-2</v>
      </c>
      <c r="AO4862" s="33">
        <v>1.1587905570116092E-3</v>
      </c>
    </row>
    <row r="4863" spans="39:41" x14ac:dyDescent="0.25">
      <c r="AM4863" s="2">
        <v>4860</v>
      </c>
      <c r="AN4863" s="33">
        <v>1.0564304131102207E-2</v>
      </c>
      <c r="AO4863" s="33">
        <v>6.0792308133023922E-4</v>
      </c>
    </row>
    <row r="4864" spans="39:41" x14ac:dyDescent="0.25">
      <c r="AM4864" s="2">
        <v>4861</v>
      </c>
      <c r="AN4864" s="33">
        <v>7.8715467147005835E-3</v>
      </c>
      <c r="AO4864" s="33">
        <v>5.117359568368665E-4</v>
      </c>
    </row>
    <row r="4865" spans="39:41" x14ac:dyDescent="0.25">
      <c r="AM4865" s="2">
        <v>4862</v>
      </c>
      <c r="AN4865" s="33">
        <v>1.095112747569274E-2</v>
      </c>
      <c r="AO4865" s="33">
        <v>7.34174387141408E-4</v>
      </c>
    </row>
    <row r="4866" spans="39:41" x14ac:dyDescent="0.25">
      <c r="AM4866" s="2">
        <v>4863</v>
      </c>
      <c r="AN4866" s="33">
        <v>1.0177492174877496E-2</v>
      </c>
      <c r="AO4866" s="33">
        <v>5.9337721797870797E-4</v>
      </c>
    </row>
    <row r="4867" spans="39:41" x14ac:dyDescent="0.25">
      <c r="AM4867" s="2">
        <v>4864</v>
      </c>
      <c r="AN4867" s="33">
        <v>9.5581933910934645E-3</v>
      </c>
      <c r="AO4867" s="33">
        <v>3.9221528316979464E-4</v>
      </c>
    </row>
    <row r="4868" spans="39:41" x14ac:dyDescent="0.25">
      <c r="AM4868" s="2">
        <v>4865</v>
      </c>
      <c r="AN4868" s="33">
        <v>8.7244914648570253E-3</v>
      </c>
      <c r="AO4868" s="33">
        <v>5.4100944729677954E-4</v>
      </c>
    </row>
    <row r="4869" spans="39:41" x14ac:dyDescent="0.25">
      <c r="AM4869" s="2">
        <v>4866</v>
      </c>
      <c r="AN4869" s="33">
        <v>1.0940770481461849E-2</v>
      </c>
      <c r="AO4869" s="33">
        <v>8.8783694331345244E-4</v>
      </c>
    </row>
    <row r="4870" spans="39:41" x14ac:dyDescent="0.25">
      <c r="AM4870" s="2">
        <v>4867</v>
      </c>
      <c r="AN4870" s="33">
        <v>9.5608769754964296E-3</v>
      </c>
      <c r="AO4870" s="33">
        <v>2.3035608669546849E-4</v>
      </c>
    </row>
    <row r="4871" spans="39:41" x14ac:dyDescent="0.25">
      <c r="AM4871" s="2">
        <v>4868</v>
      </c>
      <c r="AN4871" s="33">
        <v>9.8303710126290012E-3</v>
      </c>
      <c r="AO4871" s="33">
        <v>1.9683282229675624E-4</v>
      </c>
    </row>
    <row r="4872" spans="39:41" x14ac:dyDescent="0.25">
      <c r="AM4872" s="2">
        <v>4869</v>
      </c>
      <c r="AN4872" s="33">
        <v>1.1426830598472345E-2</v>
      </c>
      <c r="AO4872" s="33">
        <v>5.1380823370950025E-4</v>
      </c>
    </row>
    <row r="4873" spans="39:41" x14ac:dyDescent="0.25">
      <c r="AM4873" s="2">
        <v>4870</v>
      </c>
      <c r="AN4873" s="33">
        <v>1.6104151801444786E-2</v>
      </c>
      <c r="AO4873" s="33">
        <v>1.0458022451449915E-3</v>
      </c>
    </row>
    <row r="4874" spans="39:41" x14ac:dyDescent="0.25">
      <c r="AM4874" s="2">
        <v>4871</v>
      </c>
      <c r="AN4874" s="33">
        <v>1.2751756811853424E-2</v>
      </c>
      <c r="AO4874" s="33">
        <v>1.2699903208768216E-3</v>
      </c>
    </row>
    <row r="4875" spans="39:41" x14ac:dyDescent="0.25">
      <c r="AM4875" s="2">
        <v>4872</v>
      </c>
      <c r="AN4875" s="33">
        <v>1.4920177949114707E-2</v>
      </c>
      <c r="AO4875" s="33">
        <v>1.1264282199308561E-3</v>
      </c>
    </row>
    <row r="4876" spans="39:41" x14ac:dyDescent="0.25">
      <c r="AM4876" s="2">
        <v>4873</v>
      </c>
      <c r="AN4876" s="33">
        <v>1.1810553703896838E-2</v>
      </c>
      <c r="AO4876" s="33">
        <v>9.7249166429057765E-4</v>
      </c>
    </row>
    <row r="4877" spans="39:41" x14ac:dyDescent="0.25">
      <c r="AM4877" s="2">
        <v>4874</v>
      </c>
      <c r="AN4877" s="33">
        <v>1.4866780971727009E-2</v>
      </c>
      <c r="AO4877" s="33">
        <v>1.3468248136595056E-3</v>
      </c>
    </row>
    <row r="4878" spans="39:41" x14ac:dyDescent="0.25">
      <c r="AM4878" s="2">
        <v>4875</v>
      </c>
      <c r="AN4878" s="33">
        <v>8.217368965527402E-3</v>
      </c>
      <c r="AO4878" s="33">
        <v>6.2386134049484258E-4</v>
      </c>
    </row>
    <row r="4879" spans="39:41" x14ac:dyDescent="0.25">
      <c r="AM4879" s="2">
        <v>4876</v>
      </c>
      <c r="AN4879" s="33">
        <v>1.7048298163367403E-2</v>
      </c>
      <c r="AO4879" s="33">
        <v>1.7223490358534146E-3</v>
      </c>
    </row>
    <row r="4880" spans="39:41" x14ac:dyDescent="0.25">
      <c r="AM4880" s="2">
        <v>4877</v>
      </c>
      <c r="AN4880" s="33">
        <v>9.6921001153115402E-3</v>
      </c>
      <c r="AO4880" s="33">
        <v>7.2119763701503211E-4</v>
      </c>
    </row>
    <row r="4881" spans="39:41" x14ac:dyDescent="0.25">
      <c r="AM4881" s="2">
        <v>4878</v>
      </c>
      <c r="AN4881" s="33">
        <v>1.0689297361678488E-2</v>
      </c>
      <c r="AO4881" s="33">
        <v>1.0794718647564015E-3</v>
      </c>
    </row>
    <row r="4882" spans="39:41" x14ac:dyDescent="0.25">
      <c r="AM4882" s="2">
        <v>4879</v>
      </c>
      <c r="AN4882" s="33">
        <v>1.2078879731767413E-2</v>
      </c>
      <c r="AO4882" s="33">
        <v>9.5255317397197655E-4</v>
      </c>
    </row>
    <row r="4883" spans="39:41" x14ac:dyDescent="0.25">
      <c r="AM4883" s="2">
        <v>4880</v>
      </c>
      <c r="AN4883" s="33">
        <v>1.3419214055905765E-2</v>
      </c>
      <c r="AO4883" s="33">
        <v>9.9991192828171167E-5</v>
      </c>
    </row>
    <row r="4884" spans="39:41" x14ac:dyDescent="0.25">
      <c r="AM4884" s="2">
        <v>4881</v>
      </c>
      <c r="AN4884" s="33">
        <v>8.9164830691905138E-3</v>
      </c>
      <c r="AO4884" s="33">
        <v>5.730121782908154E-4</v>
      </c>
    </row>
    <row r="4885" spans="39:41" x14ac:dyDescent="0.25">
      <c r="AM4885" s="2">
        <v>4882</v>
      </c>
      <c r="AN4885" s="33">
        <v>1.543673056052273E-2</v>
      </c>
      <c r="AO4885" s="33">
        <v>1.5599464935230241E-3</v>
      </c>
    </row>
    <row r="4886" spans="39:41" x14ac:dyDescent="0.25">
      <c r="AM4886" s="2">
        <v>4883</v>
      </c>
      <c r="AN4886" s="33">
        <v>1.4437620865881592E-2</v>
      </c>
      <c r="AO4886" s="33">
        <v>1.3306128792734886E-3</v>
      </c>
    </row>
    <row r="4887" spans="39:41" x14ac:dyDescent="0.25">
      <c r="AM4887" s="2">
        <v>4884</v>
      </c>
      <c r="AN4887" s="33">
        <v>1.1259143811721672E-2</v>
      </c>
      <c r="AO4887" s="33">
        <v>7.7080043288861816E-4</v>
      </c>
    </row>
    <row r="4888" spans="39:41" x14ac:dyDescent="0.25">
      <c r="AM4888" s="2">
        <v>4885</v>
      </c>
      <c r="AN4888" s="33">
        <v>7.1995981764287143E-3</v>
      </c>
      <c r="AO4888" s="33">
        <v>4.2751488822708036E-4</v>
      </c>
    </row>
    <row r="4889" spans="39:41" x14ac:dyDescent="0.25">
      <c r="AM4889" s="2">
        <v>4886</v>
      </c>
      <c r="AN4889" s="33">
        <v>1.1566946791553534E-2</v>
      </c>
      <c r="AO4889" s="33">
        <v>8.0490895191631141E-4</v>
      </c>
    </row>
    <row r="4890" spans="39:41" x14ac:dyDescent="0.25">
      <c r="AM4890" s="2">
        <v>4887</v>
      </c>
      <c r="AN4890" s="33">
        <v>1.1878574293795423E-2</v>
      </c>
      <c r="AO4890" s="33">
        <v>1.2054056934461784E-3</v>
      </c>
    </row>
    <row r="4891" spans="39:41" x14ac:dyDescent="0.25">
      <c r="AM4891" s="2">
        <v>4888</v>
      </c>
      <c r="AN4891" s="33">
        <v>1.2038517634107782E-2</v>
      </c>
      <c r="AO4891" s="33">
        <v>6.6878446312357048E-4</v>
      </c>
    </row>
    <row r="4892" spans="39:41" x14ac:dyDescent="0.25">
      <c r="AM4892" s="2">
        <v>4889</v>
      </c>
      <c r="AN4892" s="33">
        <v>1.4491834634004143E-2</v>
      </c>
      <c r="AO4892" s="33">
        <v>1.203772673010968E-3</v>
      </c>
    </row>
    <row r="4893" spans="39:41" x14ac:dyDescent="0.25">
      <c r="AM4893" s="2">
        <v>4890</v>
      </c>
      <c r="AN4893" s="33">
        <v>9.5384525395558195E-3</v>
      </c>
      <c r="AO4893" s="33">
        <v>5.3619443165829888E-4</v>
      </c>
    </row>
    <row r="4894" spans="39:41" x14ac:dyDescent="0.25">
      <c r="AM4894" s="2">
        <v>4891</v>
      </c>
      <c r="AN4894" s="33">
        <v>1.1584591583770419E-2</v>
      </c>
      <c r="AO4894" s="33">
        <v>6.8455858382025303E-4</v>
      </c>
    </row>
    <row r="4895" spans="39:41" x14ac:dyDescent="0.25">
      <c r="AM4895" s="2">
        <v>4892</v>
      </c>
      <c r="AN4895" s="33">
        <v>1.4954738586532406E-2</v>
      </c>
      <c r="AO4895" s="33">
        <v>1.1737088625956757E-3</v>
      </c>
    </row>
    <row r="4896" spans="39:41" x14ac:dyDescent="0.25">
      <c r="AM4896" s="2">
        <v>4893</v>
      </c>
      <c r="AN4896" s="33">
        <v>9.6329353238027177E-3</v>
      </c>
      <c r="AO4896" s="33">
        <v>8.5666631780152518E-4</v>
      </c>
    </row>
    <row r="4897" spans="39:41" x14ac:dyDescent="0.25">
      <c r="AM4897" s="2">
        <v>4894</v>
      </c>
      <c r="AN4897" s="33">
        <v>1.3289896053169168E-2</v>
      </c>
      <c r="AO4897" s="33">
        <v>1.1484384416098929E-3</v>
      </c>
    </row>
    <row r="4898" spans="39:41" x14ac:dyDescent="0.25">
      <c r="AM4898" s="2">
        <v>4895</v>
      </c>
      <c r="AN4898" s="33">
        <v>1.2161453094912743E-2</v>
      </c>
      <c r="AO4898" s="33">
        <v>1.1370570277818976E-3</v>
      </c>
    </row>
    <row r="4899" spans="39:41" x14ac:dyDescent="0.25">
      <c r="AM4899" s="2">
        <v>4896</v>
      </c>
      <c r="AN4899" s="33">
        <v>1.0351527291318843E-2</v>
      </c>
      <c r="AO4899" s="33">
        <v>5.0668138143117206E-4</v>
      </c>
    </row>
    <row r="4900" spans="39:41" x14ac:dyDescent="0.25">
      <c r="AM4900" s="2">
        <v>4897</v>
      </c>
      <c r="AN4900" s="33">
        <v>9.5086330867362977E-3</v>
      </c>
      <c r="AO4900" s="33">
        <v>5.0128189919263855E-4</v>
      </c>
    </row>
    <row r="4901" spans="39:41" x14ac:dyDescent="0.25">
      <c r="AM4901" s="2">
        <v>4898</v>
      </c>
      <c r="AN4901" s="33">
        <v>1.3423456724859633E-2</v>
      </c>
      <c r="AO4901" s="33">
        <v>9.2603181302696022E-4</v>
      </c>
    </row>
    <row r="4902" spans="39:41" x14ac:dyDescent="0.25">
      <c r="AM4902" s="2">
        <v>4899</v>
      </c>
      <c r="AN4902" s="33">
        <v>1.3264296359643194E-2</v>
      </c>
      <c r="AO4902" s="33">
        <v>1.234956864397684E-3</v>
      </c>
    </row>
    <row r="4903" spans="39:41" x14ac:dyDescent="0.25">
      <c r="AM4903" s="2">
        <v>4900</v>
      </c>
      <c r="AN4903" s="33">
        <v>1.3112645285827042E-2</v>
      </c>
      <c r="AO4903" s="33">
        <v>8.1694431164898418E-4</v>
      </c>
    </row>
    <row r="4904" spans="39:41" x14ac:dyDescent="0.25">
      <c r="AM4904" s="2">
        <v>4901</v>
      </c>
      <c r="AN4904" s="33">
        <v>1.2682145627328558E-2</v>
      </c>
      <c r="AO4904" s="33">
        <v>1.0746293355589679E-3</v>
      </c>
    </row>
    <row r="4905" spans="39:41" x14ac:dyDescent="0.25">
      <c r="AM4905" s="2">
        <v>4902</v>
      </c>
      <c r="AN4905" s="33">
        <v>1.1581907877881109E-2</v>
      </c>
      <c r="AO4905" s="33">
        <v>9.2455110209598501E-4</v>
      </c>
    </row>
    <row r="4906" spans="39:41" x14ac:dyDescent="0.25">
      <c r="AM4906" s="2">
        <v>4903</v>
      </c>
      <c r="AN4906" s="33">
        <v>1.2570148383626537E-2</v>
      </c>
      <c r="AO4906" s="33">
        <v>6.276951170410825E-4</v>
      </c>
    </row>
    <row r="4907" spans="39:41" x14ac:dyDescent="0.25">
      <c r="AM4907" s="2">
        <v>4904</v>
      </c>
      <c r="AN4907" s="33">
        <v>1.3988823926128383E-2</v>
      </c>
      <c r="AO4907" s="33">
        <v>9.722331613421718E-4</v>
      </c>
    </row>
    <row r="4908" spans="39:41" x14ac:dyDescent="0.25">
      <c r="AM4908" s="2">
        <v>4905</v>
      </c>
      <c r="AN4908" s="33">
        <v>1.4043692715271394E-2</v>
      </c>
      <c r="AO4908" s="33">
        <v>1.0414345054328583E-3</v>
      </c>
    </row>
    <row r="4909" spans="39:41" x14ac:dyDescent="0.25">
      <c r="AM4909" s="2">
        <v>4906</v>
      </c>
      <c r="AN4909" s="33">
        <v>1.2205879919369748E-2</v>
      </c>
      <c r="AO4909" s="33">
        <v>9.2726518784255535E-4</v>
      </c>
    </row>
    <row r="4910" spans="39:41" x14ac:dyDescent="0.25">
      <c r="AM4910" s="2">
        <v>4907</v>
      </c>
      <c r="AN4910" s="33">
        <v>1.2072318550286398E-2</v>
      </c>
      <c r="AO4910" s="33">
        <v>8.7232716998357474E-4</v>
      </c>
    </row>
    <row r="4911" spans="39:41" x14ac:dyDescent="0.25">
      <c r="AM4911" s="2">
        <v>4908</v>
      </c>
      <c r="AN4911" s="33">
        <v>9.7925775021546237E-3</v>
      </c>
      <c r="AO4911" s="33">
        <v>4.3702903482972539E-4</v>
      </c>
    </row>
    <row r="4912" spans="39:41" x14ac:dyDescent="0.25">
      <c r="AM4912" s="2">
        <v>4909</v>
      </c>
      <c r="AN4912" s="33">
        <v>1.2688312055805756E-2</v>
      </c>
      <c r="AO4912" s="33">
        <v>1.1468111396915654E-3</v>
      </c>
    </row>
    <row r="4913" spans="39:41" x14ac:dyDescent="0.25">
      <c r="AM4913" s="2">
        <v>4910</v>
      </c>
      <c r="AN4913" s="33">
        <v>1.4238892875717562E-2</v>
      </c>
      <c r="AO4913" s="33">
        <v>1.024153716460174E-3</v>
      </c>
    </row>
    <row r="4914" spans="39:41" x14ac:dyDescent="0.25">
      <c r="AM4914" s="2">
        <v>4911</v>
      </c>
      <c r="AN4914" s="33">
        <v>1.3175427178670115E-2</v>
      </c>
      <c r="AO4914" s="33">
        <v>1.2826311626191959E-3</v>
      </c>
    </row>
    <row r="4915" spans="39:41" x14ac:dyDescent="0.25">
      <c r="AM4915" s="2">
        <v>4912</v>
      </c>
      <c r="AN4915" s="33">
        <v>1.2608016611870916E-2</v>
      </c>
      <c r="AO4915" s="33">
        <v>1.1137447090526918E-3</v>
      </c>
    </row>
    <row r="4916" spans="39:41" x14ac:dyDescent="0.25">
      <c r="AM4916" s="2">
        <v>4913</v>
      </c>
      <c r="AN4916" s="33">
        <v>1.1014963439322598E-2</v>
      </c>
      <c r="AO4916" s="33">
        <v>4.9241907129865135E-4</v>
      </c>
    </row>
    <row r="4917" spans="39:41" x14ac:dyDescent="0.25">
      <c r="AM4917" s="2">
        <v>4914</v>
      </c>
      <c r="AN4917" s="33">
        <v>1.2808584783120164E-2</v>
      </c>
      <c r="AO4917" s="33">
        <v>9.1228234827389339E-4</v>
      </c>
    </row>
    <row r="4918" spans="39:41" x14ac:dyDescent="0.25">
      <c r="AM4918" s="2">
        <v>4915</v>
      </c>
      <c r="AN4918" s="33">
        <v>1.1826457288229566E-2</v>
      </c>
      <c r="AO4918" s="33">
        <v>8.7236330979192911E-4</v>
      </c>
    </row>
    <row r="4919" spans="39:41" x14ac:dyDescent="0.25">
      <c r="AM4919" s="2">
        <v>4916</v>
      </c>
      <c r="AN4919" s="33">
        <v>1.1069415254556229E-2</v>
      </c>
      <c r="AO4919" s="33">
        <v>8.2912154550695292E-4</v>
      </c>
    </row>
    <row r="4920" spans="39:41" x14ac:dyDescent="0.25">
      <c r="AM4920" s="2">
        <v>4917</v>
      </c>
      <c r="AN4920" s="33">
        <v>1.1803648309854045E-2</v>
      </c>
      <c r="AO4920" s="33">
        <v>9.9101998880398215E-4</v>
      </c>
    </row>
    <row r="4921" spans="39:41" x14ac:dyDescent="0.25">
      <c r="AM4921" s="2">
        <v>4918</v>
      </c>
      <c r="AN4921" s="33">
        <v>9.3897863896010049E-3</v>
      </c>
      <c r="AO4921" s="33">
        <v>7.3338899896601762E-4</v>
      </c>
    </row>
    <row r="4922" spans="39:41" x14ac:dyDescent="0.25">
      <c r="AM4922" s="2">
        <v>4919</v>
      </c>
      <c r="AN4922" s="33">
        <v>1.1578753071946139E-2</v>
      </c>
      <c r="AO4922" s="33">
        <v>5.9243502906623053E-4</v>
      </c>
    </row>
    <row r="4923" spans="39:41" x14ac:dyDescent="0.25">
      <c r="AM4923" s="2">
        <v>4920</v>
      </c>
      <c r="AN4923" s="33">
        <v>1.1154488329982783E-2</v>
      </c>
      <c r="AO4923" s="33">
        <v>1.0105595463110843E-3</v>
      </c>
    </row>
    <row r="4924" spans="39:41" x14ac:dyDescent="0.25">
      <c r="AM4924" s="2">
        <v>4921</v>
      </c>
      <c r="AN4924" s="33">
        <v>1.385147572973856E-2</v>
      </c>
      <c r="AO4924" s="33">
        <v>1.0752123129333943E-3</v>
      </c>
    </row>
    <row r="4925" spans="39:41" x14ac:dyDescent="0.25">
      <c r="AM4925" s="2">
        <v>4922</v>
      </c>
      <c r="AN4925" s="33">
        <v>9.3519515438821865E-3</v>
      </c>
      <c r="AO4925" s="33">
        <v>5.2638575941255691E-4</v>
      </c>
    </row>
    <row r="4926" spans="39:41" x14ac:dyDescent="0.25">
      <c r="AM4926" s="2">
        <v>4923</v>
      </c>
      <c r="AN4926" s="33">
        <v>9.7016288610306325E-3</v>
      </c>
      <c r="AO4926" s="33">
        <v>2.5378010942083036E-4</v>
      </c>
    </row>
    <row r="4927" spans="39:41" x14ac:dyDescent="0.25">
      <c r="AM4927" s="2">
        <v>4924</v>
      </c>
      <c r="AN4927" s="33">
        <v>1.4741092200619182E-2</v>
      </c>
      <c r="AO4927" s="33">
        <v>1.2280185390990859E-3</v>
      </c>
    </row>
    <row r="4928" spans="39:41" x14ac:dyDescent="0.25">
      <c r="AM4928" s="2">
        <v>4925</v>
      </c>
      <c r="AN4928" s="33">
        <v>9.4437560441294789E-3</v>
      </c>
      <c r="AO4928" s="33">
        <v>8.1891876819170238E-4</v>
      </c>
    </row>
    <row r="4929" spans="39:41" x14ac:dyDescent="0.25">
      <c r="AM4929" s="2">
        <v>4926</v>
      </c>
      <c r="AN4929" s="33">
        <v>9.5089508917749234E-3</v>
      </c>
      <c r="AO4929" s="33">
        <v>8.0377482461530458E-4</v>
      </c>
    </row>
    <row r="4930" spans="39:41" x14ac:dyDescent="0.25">
      <c r="AM4930" s="2">
        <v>4927</v>
      </c>
      <c r="AN4930" s="33">
        <v>1.2868042506159852E-2</v>
      </c>
      <c r="AO4930" s="33">
        <v>1.1463774920080689E-3</v>
      </c>
    </row>
    <row r="4931" spans="39:41" x14ac:dyDescent="0.25">
      <c r="AM4931" s="2">
        <v>4928</v>
      </c>
      <c r="AN4931" s="33">
        <v>1.5118907106445157E-2</v>
      </c>
      <c r="AO4931" s="33">
        <v>1.3497997896437072E-3</v>
      </c>
    </row>
    <row r="4932" spans="39:41" x14ac:dyDescent="0.25">
      <c r="AM4932" s="2">
        <v>4929</v>
      </c>
      <c r="AN4932" s="33">
        <v>1.2530848813485146E-2</v>
      </c>
      <c r="AO4932" s="33">
        <v>8.3990813560324889E-4</v>
      </c>
    </row>
    <row r="4933" spans="39:41" x14ac:dyDescent="0.25">
      <c r="AM4933" s="2">
        <v>4930</v>
      </c>
      <c r="AN4933" s="33">
        <v>1.2147938149501401E-2</v>
      </c>
      <c r="AO4933" s="33">
        <v>1.0070388687297071E-3</v>
      </c>
    </row>
    <row r="4934" spans="39:41" x14ac:dyDescent="0.25">
      <c r="AM4934" s="2">
        <v>4931</v>
      </c>
      <c r="AN4934" s="33">
        <v>1.3953123572033264E-2</v>
      </c>
      <c r="AO4934" s="33">
        <v>1.0565000537358735E-3</v>
      </c>
    </row>
    <row r="4935" spans="39:41" x14ac:dyDescent="0.25">
      <c r="AM4935" s="2">
        <v>4932</v>
      </c>
      <c r="AN4935" s="33">
        <v>1.1299262495364094E-2</v>
      </c>
      <c r="AO4935" s="33">
        <v>1.0117487543636412E-3</v>
      </c>
    </row>
    <row r="4936" spans="39:41" x14ac:dyDescent="0.25">
      <c r="AM4936" s="2">
        <v>4933</v>
      </c>
      <c r="AN4936" s="33">
        <v>1.1230524886323435E-2</v>
      </c>
      <c r="AO4936" s="33">
        <v>2.9147033890273677E-4</v>
      </c>
    </row>
    <row r="4937" spans="39:41" x14ac:dyDescent="0.25">
      <c r="AM4937" s="2">
        <v>4934</v>
      </c>
      <c r="AN4937" s="33">
        <v>1.3254766386501872E-2</v>
      </c>
      <c r="AO4937" s="33">
        <v>8.0930943195328632E-4</v>
      </c>
    </row>
    <row r="4938" spans="39:41" x14ac:dyDescent="0.25">
      <c r="AM4938" s="2">
        <v>4935</v>
      </c>
      <c r="AN4938" s="33">
        <v>1.2907530144145361E-2</v>
      </c>
      <c r="AO4938" s="33">
        <v>1.0320833516691869E-3</v>
      </c>
    </row>
    <row r="4939" spans="39:41" x14ac:dyDescent="0.25">
      <c r="AM4939" s="2">
        <v>4936</v>
      </c>
      <c r="AN4939" s="33">
        <v>1.3019404262111733E-2</v>
      </c>
      <c r="AO4939" s="33">
        <v>6.595767945049289E-4</v>
      </c>
    </row>
    <row r="4940" spans="39:41" x14ac:dyDescent="0.25">
      <c r="AM4940" s="2">
        <v>4937</v>
      </c>
      <c r="AN4940" s="33">
        <v>1.0901065394649382E-2</v>
      </c>
      <c r="AO4940" s="33">
        <v>9.9084144799292673E-4</v>
      </c>
    </row>
    <row r="4941" spans="39:41" x14ac:dyDescent="0.25">
      <c r="AM4941" s="2">
        <v>4938</v>
      </c>
      <c r="AN4941" s="33">
        <v>1.0745935173348689E-2</v>
      </c>
      <c r="AO4941" s="33">
        <v>9.5626159234252152E-4</v>
      </c>
    </row>
    <row r="4942" spans="39:41" x14ac:dyDescent="0.25">
      <c r="AM4942" s="2">
        <v>4939</v>
      </c>
      <c r="AN4942" s="33">
        <v>1.6363939830737875E-2</v>
      </c>
      <c r="AO4942" s="33">
        <v>1.7167596988703984E-3</v>
      </c>
    </row>
    <row r="4943" spans="39:41" x14ac:dyDescent="0.25">
      <c r="AM4943" s="2">
        <v>4940</v>
      </c>
      <c r="AN4943" s="33">
        <v>1.3848128992084725E-2</v>
      </c>
      <c r="AO4943" s="33">
        <v>8.9655137739884198E-4</v>
      </c>
    </row>
    <row r="4944" spans="39:41" x14ac:dyDescent="0.25">
      <c r="AM4944" s="2">
        <v>4941</v>
      </c>
      <c r="AN4944" s="33">
        <v>1.280998446596055E-2</v>
      </c>
      <c r="AO4944" s="33">
        <v>1.0601598408959728E-3</v>
      </c>
    </row>
    <row r="4945" spans="39:41" x14ac:dyDescent="0.25">
      <c r="AM4945" s="2">
        <v>4942</v>
      </c>
      <c r="AN4945" s="33">
        <v>1.1712070488590274E-2</v>
      </c>
      <c r="AO4945" s="33">
        <v>4.3313666440288588E-4</v>
      </c>
    </row>
    <row r="4946" spans="39:41" x14ac:dyDescent="0.25">
      <c r="AM4946" s="2">
        <v>4943</v>
      </c>
      <c r="AN4946" s="33">
        <v>1.8355142029133541E-2</v>
      </c>
      <c r="AO4946" s="33">
        <v>1.8234778211708379E-3</v>
      </c>
    </row>
    <row r="4947" spans="39:41" x14ac:dyDescent="0.25">
      <c r="AM4947" s="2">
        <v>4944</v>
      </c>
      <c r="AN4947" s="33">
        <v>1.6302644816629845E-2</v>
      </c>
      <c r="AO4947" s="33">
        <v>1.5199302484921213E-3</v>
      </c>
    </row>
    <row r="4948" spans="39:41" x14ac:dyDescent="0.25">
      <c r="AM4948" s="2">
        <v>4945</v>
      </c>
      <c r="AN4948" s="33">
        <v>9.3128777462594351E-3</v>
      </c>
      <c r="AO4948" s="33">
        <v>5.365587671371558E-4</v>
      </c>
    </row>
    <row r="4949" spans="39:41" x14ac:dyDescent="0.25">
      <c r="AM4949" s="2">
        <v>4946</v>
      </c>
      <c r="AN4949" s="33">
        <v>1.2232407937675658E-2</v>
      </c>
      <c r="AO4949" s="33">
        <v>1.2100422001410105E-3</v>
      </c>
    </row>
    <row r="4950" spans="39:41" x14ac:dyDescent="0.25">
      <c r="AM4950" s="2">
        <v>4947</v>
      </c>
      <c r="AN4950" s="33">
        <v>1.4685281819670463E-2</v>
      </c>
      <c r="AO4950" s="33">
        <v>1.1238445433217647E-3</v>
      </c>
    </row>
    <row r="4951" spans="39:41" x14ac:dyDescent="0.25">
      <c r="AM4951" s="2">
        <v>4948</v>
      </c>
      <c r="AN4951" s="33">
        <v>1.170817195118648E-2</v>
      </c>
      <c r="AO4951" s="33">
        <v>8.1048577484819993E-4</v>
      </c>
    </row>
    <row r="4952" spans="39:41" x14ac:dyDescent="0.25">
      <c r="AM4952" s="2">
        <v>4949</v>
      </c>
      <c r="AN4952" s="33">
        <v>1.4013600401221901E-2</v>
      </c>
      <c r="AO4952" s="33">
        <v>1.2165547422897827E-3</v>
      </c>
    </row>
    <row r="4953" spans="39:41" x14ac:dyDescent="0.25">
      <c r="AM4953" s="2">
        <v>4950</v>
      </c>
      <c r="AN4953" s="33">
        <v>1.0912157059929074E-2</v>
      </c>
      <c r="AO4953" s="33">
        <v>2.7747255787584E-4</v>
      </c>
    </row>
    <row r="4954" spans="39:41" x14ac:dyDescent="0.25">
      <c r="AM4954" s="2">
        <v>4951</v>
      </c>
      <c r="AN4954" s="33">
        <v>9.8277175148242073E-3</v>
      </c>
      <c r="AO4954" s="33">
        <v>3.3910043377472274E-4</v>
      </c>
    </row>
    <row r="4955" spans="39:41" x14ac:dyDescent="0.25">
      <c r="AM4955" s="2">
        <v>4952</v>
      </c>
      <c r="AN4955" s="33">
        <v>1.4231774677867771E-2</v>
      </c>
      <c r="AO4955" s="33">
        <v>1.1433918516908757E-3</v>
      </c>
    </row>
    <row r="4956" spans="39:41" x14ac:dyDescent="0.25">
      <c r="AM4956" s="2">
        <v>4953</v>
      </c>
      <c r="AN4956" s="33">
        <v>1.1245036279678735E-2</v>
      </c>
      <c r="AO4956" s="33">
        <v>9.6212853338319094E-4</v>
      </c>
    </row>
    <row r="4957" spans="39:41" x14ac:dyDescent="0.25">
      <c r="AM4957" s="2">
        <v>4954</v>
      </c>
      <c r="AN4957" s="33">
        <v>1.2433669813423131E-2</v>
      </c>
      <c r="AO4957" s="33">
        <v>9.2524933806483107E-4</v>
      </c>
    </row>
    <row r="4958" spans="39:41" x14ac:dyDescent="0.25">
      <c r="AM4958" s="2">
        <v>4955</v>
      </c>
      <c r="AN4958" s="33">
        <v>1.0292018563362445E-2</v>
      </c>
      <c r="AO4958" s="33">
        <v>5.1509274624608845E-4</v>
      </c>
    </row>
    <row r="4959" spans="39:41" x14ac:dyDescent="0.25">
      <c r="AM4959" s="2">
        <v>4956</v>
      </c>
      <c r="AN4959" s="33">
        <v>1.1217583445115002E-2</v>
      </c>
      <c r="AO4959" s="33">
        <v>8.2240337731518147E-4</v>
      </c>
    </row>
    <row r="4960" spans="39:41" x14ac:dyDescent="0.25">
      <c r="AM4960" s="2">
        <v>4957</v>
      </c>
      <c r="AN4960" s="33">
        <v>1.163143211242801E-2</v>
      </c>
      <c r="AO4960" s="33">
        <v>9.6616104881080533E-4</v>
      </c>
    </row>
    <row r="4961" spans="39:41" x14ac:dyDescent="0.25">
      <c r="AM4961" s="2">
        <v>4958</v>
      </c>
      <c r="AN4961" s="33">
        <v>1.5225753314779206E-2</v>
      </c>
      <c r="AO4961" s="33">
        <v>1.1444128149561187E-3</v>
      </c>
    </row>
    <row r="4962" spans="39:41" x14ac:dyDescent="0.25">
      <c r="AM4962" s="2">
        <v>4959</v>
      </c>
      <c r="AN4962" s="33">
        <v>8.1748708476900595E-3</v>
      </c>
      <c r="AO4962" s="33">
        <v>7.8169585955250079E-4</v>
      </c>
    </row>
    <row r="4963" spans="39:41" x14ac:dyDescent="0.25">
      <c r="AM4963" s="2">
        <v>4960</v>
      </c>
      <c r="AN4963" s="33">
        <v>1.1048860208107943E-2</v>
      </c>
      <c r="AO4963" s="33">
        <v>6.0082332026689818E-4</v>
      </c>
    </row>
    <row r="4964" spans="39:41" x14ac:dyDescent="0.25">
      <c r="AM4964" s="2">
        <v>4961</v>
      </c>
      <c r="AN4964" s="33">
        <v>1.4043515527303246E-2</v>
      </c>
      <c r="AO4964" s="33">
        <v>1.2228677566057033E-3</v>
      </c>
    </row>
    <row r="4965" spans="39:41" x14ac:dyDescent="0.25">
      <c r="AM4965" s="2">
        <v>4962</v>
      </c>
      <c r="AN4965" s="33">
        <v>1.3445765033333806E-2</v>
      </c>
      <c r="AO4965" s="33">
        <v>1.0966410234428251E-3</v>
      </c>
    </row>
    <row r="4966" spans="39:41" x14ac:dyDescent="0.25">
      <c r="AM4966" s="2">
        <v>4963</v>
      </c>
      <c r="AN4966" s="33">
        <v>1.3283839717977287E-2</v>
      </c>
      <c r="AO4966" s="33">
        <v>1.0767306285769224E-3</v>
      </c>
    </row>
    <row r="4967" spans="39:41" x14ac:dyDescent="0.25">
      <c r="AM4967" s="2">
        <v>4964</v>
      </c>
      <c r="AN4967" s="33">
        <v>1.2311965680652948E-2</v>
      </c>
      <c r="AO4967" s="33">
        <v>6.359881019254945E-4</v>
      </c>
    </row>
    <row r="4968" spans="39:41" x14ac:dyDescent="0.25">
      <c r="AM4968" s="2">
        <v>4965</v>
      </c>
      <c r="AN4968" s="33">
        <v>1.2654159337510358E-2</v>
      </c>
      <c r="AO4968" s="33">
        <v>9.6543641456590999E-4</v>
      </c>
    </row>
    <row r="4969" spans="39:41" x14ac:dyDescent="0.25">
      <c r="AM4969" s="2">
        <v>4966</v>
      </c>
      <c r="AN4969" s="33">
        <v>1.1146891266936789E-2</v>
      </c>
      <c r="AO4969" s="33">
        <v>1.0671485730612566E-3</v>
      </c>
    </row>
    <row r="4970" spans="39:41" x14ac:dyDescent="0.25">
      <c r="AM4970" s="2">
        <v>4967</v>
      </c>
      <c r="AN4970" s="33">
        <v>8.921263736606325E-3</v>
      </c>
      <c r="AO4970" s="33">
        <v>7.1464104452255233E-4</v>
      </c>
    </row>
    <row r="4971" spans="39:41" x14ac:dyDescent="0.25">
      <c r="AM4971" s="2">
        <v>4968</v>
      </c>
      <c r="AN4971" s="33">
        <v>1.2971606261352813E-2</v>
      </c>
      <c r="AO4971" s="33">
        <v>1.1575786972930957E-3</v>
      </c>
    </row>
    <row r="4972" spans="39:41" x14ac:dyDescent="0.25">
      <c r="AM4972" s="2">
        <v>4969</v>
      </c>
      <c r="AN4972" s="33">
        <v>9.7051568582961802E-3</v>
      </c>
      <c r="AO4972" s="33">
        <v>4.9902059900597707E-4</v>
      </c>
    </row>
    <row r="4973" spans="39:41" x14ac:dyDescent="0.25">
      <c r="AM4973" s="2">
        <v>4970</v>
      </c>
      <c r="AN4973" s="33">
        <v>8.0811877137593989E-3</v>
      </c>
      <c r="AO4973" s="33">
        <v>5.0006646989403803E-4</v>
      </c>
    </row>
    <row r="4974" spans="39:41" x14ac:dyDescent="0.25">
      <c r="AM4974" s="2">
        <v>4971</v>
      </c>
      <c r="AN4974" s="33">
        <v>1.0363216403924187E-2</v>
      </c>
      <c r="AO4974" s="33">
        <v>8.3863411138519783E-4</v>
      </c>
    </row>
    <row r="4975" spans="39:41" x14ac:dyDescent="0.25">
      <c r="AM4975" s="2">
        <v>4972</v>
      </c>
      <c r="AN4975" s="33">
        <v>1.1686983953750795E-2</v>
      </c>
      <c r="AO4975" s="33">
        <v>4.8055984520224151E-4</v>
      </c>
    </row>
    <row r="4976" spans="39:41" x14ac:dyDescent="0.25">
      <c r="AM4976" s="2">
        <v>4973</v>
      </c>
      <c r="AN4976" s="33">
        <v>9.7678088884454312E-3</v>
      </c>
      <c r="AO4976" s="33">
        <v>4.5528219828558987E-4</v>
      </c>
    </row>
    <row r="4977" spans="39:41" x14ac:dyDescent="0.25">
      <c r="AM4977" s="2">
        <v>4974</v>
      </c>
      <c r="AN4977" s="33">
        <v>8.806150038866872E-3</v>
      </c>
      <c r="AO4977" s="33">
        <v>5.2928837630051467E-4</v>
      </c>
    </row>
    <row r="4978" spans="39:41" x14ac:dyDescent="0.25">
      <c r="AM4978" s="2">
        <v>4975</v>
      </c>
      <c r="AN4978" s="33">
        <v>1.3544672194865031E-2</v>
      </c>
      <c r="AO4978" s="33">
        <v>1.3697345641882602E-3</v>
      </c>
    </row>
    <row r="4979" spans="39:41" x14ac:dyDescent="0.25">
      <c r="AM4979" s="2">
        <v>4976</v>
      </c>
      <c r="AN4979" s="33">
        <v>1.135632746413205E-2</v>
      </c>
      <c r="AO4979" s="33">
        <v>7.93043104882945E-4</v>
      </c>
    </row>
    <row r="4980" spans="39:41" x14ac:dyDescent="0.25">
      <c r="AM4980" s="2">
        <v>4977</v>
      </c>
      <c r="AN4980" s="33">
        <v>1.2791975363384027E-2</v>
      </c>
      <c r="AO4980" s="33">
        <v>8.8236517996352886E-4</v>
      </c>
    </row>
    <row r="4981" spans="39:41" x14ac:dyDescent="0.25">
      <c r="AM4981" s="2">
        <v>4978</v>
      </c>
      <c r="AN4981" s="33">
        <v>1.4343359446297345E-2</v>
      </c>
      <c r="AO4981" s="33">
        <v>1.2714146316155808E-3</v>
      </c>
    </row>
    <row r="4982" spans="39:41" x14ac:dyDescent="0.25">
      <c r="AM4982" s="2">
        <v>4979</v>
      </c>
      <c r="AN4982" s="33">
        <v>1.4139225226278716E-2</v>
      </c>
      <c r="AO4982" s="33">
        <v>1.09652339511842E-3</v>
      </c>
    </row>
    <row r="4983" spans="39:41" x14ac:dyDescent="0.25">
      <c r="AM4983" s="2">
        <v>4980</v>
      </c>
      <c r="AN4983" s="33">
        <v>1.6857807754701956E-2</v>
      </c>
      <c r="AO4983" s="33">
        <v>1.5433944644738054E-3</v>
      </c>
    </row>
    <row r="4984" spans="39:41" x14ac:dyDescent="0.25">
      <c r="AM4984" s="2">
        <v>4981</v>
      </c>
      <c r="AN4984" s="33">
        <v>1.1351301816358315E-2</v>
      </c>
      <c r="AO4984" s="33">
        <v>7.1082598029919512E-4</v>
      </c>
    </row>
    <row r="4985" spans="39:41" x14ac:dyDescent="0.25">
      <c r="AM4985" s="2">
        <v>4982</v>
      </c>
      <c r="AN4985" s="33">
        <v>9.2454579250324052E-3</v>
      </c>
      <c r="AO4985" s="33">
        <v>4.9137124282027538E-4</v>
      </c>
    </row>
    <row r="4986" spans="39:41" x14ac:dyDescent="0.25">
      <c r="AM4986" s="2">
        <v>4983</v>
      </c>
      <c r="AN4986" s="33">
        <v>1.1819030160914365E-2</v>
      </c>
      <c r="AO4986" s="33">
        <v>6.9520197686823919E-4</v>
      </c>
    </row>
    <row r="4987" spans="39:41" x14ac:dyDescent="0.25">
      <c r="AM4987" s="2">
        <v>4984</v>
      </c>
      <c r="AN4987" s="33">
        <v>1.1969486314371853E-2</v>
      </c>
      <c r="AO4987" s="33">
        <v>8.3536216399663005E-4</v>
      </c>
    </row>
    <row r="4988" spans="39:41" x14ac:dyDescent="0.25">
      <c r="AM4988" s="2">
        <v>4985</v>
      </c>
      <c r="AN4988" s="33">
        <v>1.456577782277294E-2</v>
      </c>
      <c r="AO4988" s="33">
        <v>1.3425512894408242E-3</v>
      </c>
    </row>
    <row r="4989" spans="39:41" x14ac:dyDescent="0.25">
      <c r="AM4989" s="2">
        <v>4986</v>
      </c>
      <c r="AN4989" s="33">
        <v>1.3479102865740316E-2</v>
      </c>
      <c r="AO4989" s="33">
        <v>3.6839062839700502E-5</v>
      </c>
    </row>
    <row r="4990" spans="39:41" x14ac:dyDescent="0.25">
      <c r="AM4990" s="2">
        <v>4987</v>
      </c>
      <c r="AN4990" s="33">
        <v>1.0148284690762652E-2</v>
      </c>
      <c r="AO4990" s="33">
        <v>5.2511683807921448E-4</v>
      </c>
    </row>
    <row r="4991" spans="39:41" x14ac:dyDescent="0.25">
      <c r="AM4991" s="2">
        <v>4988</v>
      </c>
      <c r="AN4991" s="33">
        <v>9.6814802467331661E-3</v>
      </c>
      <c r="AO4991" s="33">
        <v>7.8111901040802626E-4</v>
      </c>
    </row>
    <row r="4992" spans="39:41" x14ac:dyDescent="0.25">
      <c r="AM4992" s="2">
        <v>4989</v>
      </c>
      <c r="AN4992" s="33">
        <v>1.2360514088462379E-2</v>
      </c>
      <c r="AO4992" s="33">
        <v>1.0319250592882763E-3</v>
      </c>
    </row>
    <row r="4993" spans="39:41" x14ac:dyDescent="0.25">
      <c r="AM4993" s="2">
        <v>4990</v>
      </c>
      <c r="AN4993" s="33">
        <v>1.0249992472554434E-2</v>
      </c>
      <c r="AO4993" s="33">
        <v>8.9732985845332068E-4</v>
      </c>
    </row>
    <row r="4994" spans="39:41" x14ac:dyDescent="0.25">
      <c r="AM4994" s="2">
        <v>4991</v>
      </c>
      <c r="AN4994" s="33">
        <v>1.2689193029149323E-2</v>
      </c>
      <c r="AO4994" s="33">
        <v>9.3767844359933798E-4</v>
      </c>
    </row>
    <row r="4995" spans="39:41" x14ac:dyDescent="0.25">
      <c r="AM4995" s="2">
        <v>4992</v>
      </c>
      <c r="AN4995" s="33">
        <v>1.0780915823219156E-2</v>
      </c>
      <c r="AO4995" s="33">
        <v>8.9256736746089703E-4</v>
      </c>
    </row>
    <row r="4996" spans="39:41" x14ac:dyDescent="0.25">
      <c r="AM4996" s="2">
        <v>4993</v>
      </c>
      <c r="AN4996" s="33">
        <v>1.4265400983899246E-2</v>
      </c>
      <c r="AO4996" s="33">
        <v>1.0335262375099324E-3</v>
      </c>
    </row>
    <row r="4997" spans="39:41" x14ac:dyDescent="0.25">
      <c r="AM4997" s="2">
        <v>4994</v>
      </c>
      <c r="AN4997" s="33">
        <v>1.1443447140988787E-2</v>
      </c>
      <c r="AO4997" s="33">
        <v>8.848503624795343E-4</v>
      </c>
    </row>
    <row r="4998" spans="39:41" x14ac:dyDescent="0.25">
      <c r="AM4998" s="2">
        <v>4995</v>
      </c>
      <c r="AN4998" s="33">
        <v>1.3209767216646242E-2</v>
      </c>
      <c r="AO4998" s="33">
        <v>9.0630256387761517E-4</v>
      </c>
    </row>
    <row r="4999" spans="39:41" x14ac:dyDescent="0.25">
      <c r="AM4999" s="2">
        <v>4996</v>
      </c>
      <c r="AN4999" s="33">
        <v>1.1359053691869273E-2</v>
      </c>
      <c r="AO4999" s="33">
        <v>7.3032956615822636E-4</v>
      </c>
    </row>
    <row r="5000" spans="39:41" x14ac:dyDescent="0.25">
      <c r="AM5000" s="2">
        <v>4997</v>
      </c>
      <c r="AN5000" s="33">
        <v>1.127442311495803E-2</v>
      </c>
      <c r="AO5000" s="33">
        <v>6.951652406192928E-4</v>
      </c>
    </row>
    <row r="5001" spans="39:41" x14ac:dyDescent="0.25">
      <c r="AM5001" s="2">
        <v>4998</v>
      </c>
      <c r="AN5001" s="33">
        <v>8.4021356513652012E-3</v>
      </c>
      <c r="AO5001" s="33">
        <v>7.5317958433687964E-4</v>
      </c>
    </row>
    <row r="5002" spans="39:41" x14ac:dyDescent="0.25">
      <c r="AM5002" s="2">
        <v>4999</v>
      </c>
      <c r="AN5002" s="33">
        <v>1.2545224563354565E-2</v>
      </c>
      <c r="AO5002" s="33">
        <v>1.1329760603321149E-3</v>
      </c>
    </row>
    <row r="5003" spans="39:41" x14ac:dyDescent="0.25">
      <c r="AM5003" s="2">
        <v>5000</v>
      </c>
      <c r="AN5003" s="33">
        <v>1.3695157328409513E-2</v>
      </c>
      <c r="AO5003" s="33">
        <v>1.1509083341471138E-3</v>
      </c>
    </row>
    <row r="5004" spans="39:41" x14ac:dyDescent="0.25">
      <c r="AM5004" s="2">
        <v>5001</v>
      </c>
      <c r="AN5004" s="33">
        <v>1.7276651470874652E-2</v>
      </c>
      <c r="AO5004" s="33">
        <v>1.7398041253241727E-3</v>
      </c>
    </row>
    <row r="5005" spans="39:41" x14ac:dyDescent="0.25">
      <c r="AM5005" s="2">
        <v>5002</v>
      </c>
      <c r="AN5005" s="33">
        <v>1.0514521969097938E-2</v>
      </c>
      <c r="AO5005" s="33">
        <v>4.4586837805627854E-4</v>
      </c>
    </row>
    <row r="5006" spans="39:41" x14ac:dyDescent="0.25">
      <c r="AM5006" s="2">
        <v>5003</v>
      </c>
      <c r="AN5006" s="33">
        <v>1.2662332983273036E-2</v>
      </c>
      <c r="AO5006" s="33">
        <v>9.5968288608401834E-4</v>
      </c>
    </row>
    <row r="5007" spans="39:41" x14ac:dyDescent="0.25">
      <c r="AM5007" s="2">
        <v>5004</v>
      </c>
      <c r="AN5007" s="33">
        <v>1.3860633702235522E-2</v>
      </c>
      <c r="AO5007" s="33">
        <v>1.3996002607390208E-3</v>
      </c>
    </row>
    <row r="5008" spans="39:41" x14ac:dyDescent="0.25">
      <c r="AM5008" s="2">
        <v>5005</v>
      </c>
      <c r="AN5008" s="33">
        <v>1.2039107125154831E-2</v>
      </c>
      <c r="AO5008" s="33">
        <v>7.4089129193185763E-4</v>
      </c>
    </row>
    <row r="5009" spans="39:41" x14ac:dyDescent="0.25">
      <c r="AM5009" s="2">
        <v>5006</v>
      </c>
      <c r="AN5009" s="33">
        <v>1.0683456077028813E-2</v>
      </c>
      <c r="AO5009" s="33">
        <v>5.4904219496878246E-4</v>
      </c>
    </row>
    <row r="5010" spans="39:41" x14ac:dyDescent="0.25">
      <c r="AM5010" s="2">
        <v>5007</v>
      </c>
      <c r="AN5010" s="33">
        <v>9.7755819830727154E-3</v>
      </c>
      <c r="AO5010" s="33">
        <v>6.4454684571140799E-4</v>
      </c>
    </row>
    <row r="5011" spans="39:41" x14ac:dyDescent="0.25">
      <c r="AM5011" s="2">
        <v>5008</v>
      </c>
      <c r="AN5011" s="33">
        <v>1.3617608577926979E-2</v>
      </c>
      <c r="AO5011" s="33">
        <v>1.3297081911301089E-3</v>
      </c>
    </row>
    <row r="5012" spans="39:41" x14ac:dyDescent="0.25">
      <c r="AM5012" s="2">
        <v>5009</v>
      </c>
      <c r="AN5012" s="33">
        <v>9.137453597222539E-3</v>
      </c>
      <c r="AO5012" s="33">
        <v>4.5426207093650025E-4</v>
      </c>
    </row>
    <row r="5013" spans="39:41" x14ac:dyDescent="0.25">
      <c r="AM5013" s="2">
        <v>5010</v>
      </c>
      <c r="AN5013" s="33">
        <v>9.5243598531624361E-3</v>
      </c>
      <c r="AO5013" s="33">
        <v>4.9007863288336314E-4</v>
      </c>
    </row>
    <row r="5014" spans="39:41" x14ac:dyDescent="0.25">
      <c r="AM5014" s="2">
        <v>5011</v>
      </c>
      <c r="AN5014" s="33">
        <v>1.3952987212541733E-2</v>
      </c>
      <c r="AO5014" s="33">
        <v>9.7381528303102543E-4</v>
      </c>
    </row>
    <row r="5015" spans="39:41" x14ac:dyDescent="0.25">
      <c r="AM5015" s="2">
        <v>5012</v>
      </c>
      <c r="AN5015" s="33">
        <v>1.1717456922383651E-2</v>
      </c>
      <c r="AO5015" s="33">
        <v>9.8516078303151496E-4</v>
      </c>
    </row>
    <row r="5016" spans="39:41" x14ac:dyDescent="0.25">
      <c r="AM5016" s="2">
        <v>5013</v>
      </c>
      <c r="AN5016" s="33">
        <v>1.3114001082039133E-2</v>
      </c>
      <c r="AO5016" s="33">
        <v>7.4735501072312888E-4</v>
      </c>
    </row>
    <row r="5017" spans="39:41" x14ac:dyDescent="0.25">
      <c r="AM5017" s="2">
        <v>5014</v>
      </c>
      <c r="AN5017" s="33">
        <v>9.733231839220452E-3</v>
      </c>
      <c r="AO5017" s="33">
        <v>8.5880368208925183E-4</v>
      </c>
    </row>
    <row r="5018" spans="39:41" x14ac:dyDescent="0.25">
      <c r="AM5018" s="2">
        <v>5015</v>
      </c>
      <c r="AN5018" s="33">
        <v>9.9511713618173712E-3</v>
      </c>
      <c r="AO5018" s="33">
        <v>6.6261279710453313E-4</v>
      </c>
    </row>
    <row r="5019" spans="39:41" x14ac:dyDescent="0.25">
      <c r="AM5019" s="2">
        <v>5016</v>
      </c>
      <c r="AN5019" s="33">
        <v>1.1580591539715792E-2</v>
      </c>
      <c r="AO5019" s="33">
        <v>7.1290714536790493E-4</v>
      </c>
    </row>
    <row r="5020" spans="39:41" x14ac:dyDescent="0.25">
      <c r="AM5020" s="2">
        <v>5017</v>
      </c>
      <c r="AN5020" s="33">
        <v>1.5925043434583792E-2</v>
      </c>
      <c r="AO5020" s="33">
        <v>1.2941202282284639E-3</v>
      </c>
    </row>
    <row r="5021" spans="39:41" x14ac:dyDescent="0.25">
      <c r="AM5021" s="2">
        <v>5018</v>
      </c>
      <c r="AN5021" s="33">
        <v>1.0204955572266574E-2</v>
      </c>
      <c r="AO5021" s="33">
        <v>5.1170143772309436E-4</v>
      </c>
    </row>
    <row r="5022" spans="39:41" x14ac:dyDescent="0.25">
      <c r="AM5022" s="2">
        <v>5019</v>
      </c>
      <c r="AN5022" s="33">
        <v>1.1538041663778423E-2</v>
      </c>
      <c r="AO5022" s="33">
        <v>7.4535511767775682E-4</v>
      </c>
    </row>
    <row r="5023" spans="39:41" x14ac:dyDescent="0.25">
      <c r="AM5023" s="2">
        <v>5020</v>
      </c>
      <c r="AN5023" s="33">
        <v>1.2539005254443986E-2</v>
      </c>
      <c r="AO5023" s="33">
        <v>9.3214977694759866E-4</v>
      </c>
    </row>
    <row r="5024" spans="39:41" x14ac:dyDescent="0.25">
      <c r="AM5024" s="2">
        <v>5021</v>
      </c>
      <c r="AN5024" s="33">
        <v>1.5889214519347713E-2</v>
      </c>
      <c r="AO5024" s="33">
        <v>1.2839426233819807E-3</v>
      </c>
    </row>
    <row r="5025" spans="39:41" x14ac:dyDescent="0.25">
      <c r="AM5025" s="2">
        <v>5022</v>
      </c>
      <c r="AN5025" s="33">
        <v>9.8314197616267609E-3</v>
      </c>
      <c r="AO5025" s="33">
        <v>3.7401529677210131E-4</v>
      </c>
    </row>
    <row r="5026" spans="39:41" x14ac:dyDescent="0.25">
      <c r="AM5026" s="2">
        <v>5023</v>
      </c>
      <c r="AN5026" s="33">
        <v>1.3345738838697991E-2</v>
      </c>
      <c r="AO5026" s="33">
        <v>9.9361367951646086E-4</v>
      </c>
    </row>
    <row r="5027" spans="39:41" x14ac:dyDescent="0.25">
      <c r="AM5027" s="2">
        <v>5024</v>
      </c>
      <c r="AN5027" s="33">
        <v>8.5504915000280575E-3</v>
      </c>
      <c r="AO5027" s="33">
        <v>4.8340488022186121E-4</v>
      </c>
    </row>
    <row r="5028" spans="39:41" x14ac:dyDescent="0.25">
      <c r="AM5028" s="2">
        <v>5025</v>
      </c>
      <c r="AN5028" s="33">
        <v>1.2763416923457404E-2</v>
      </c>
      <c r="AO5028" s="33">
        <v>9.6179703080296881E-4</v>
      </c>
    </row>
    <row r="5029" spans="39:41" x14ac:dyDescent="0.25">
      <c r="AM5029" s="2">
        <v>5026</v>
      </c>
      <c r="AN5029" s="33">
        <v>9.7063799216331008E-3</v>
      </c>
      <c r="AO5029" s="33">
        <v>8.331403526399021E-4</v>
      </c>
    </row>
    <row r="5030" spans="39:41" x14ac:dyDescent="0.25">
      <c r="AM5030" s="2">
        <v>5027</v>
      </c>
      <c r="AN5030" s="33">
        <v>1.0515612551257656E-2</v>
      </c>
      <c r="AO5030" s="33">
        <v>6.5048326142590272E-4</v>
      </c>
    </row>
    <row r="5031" spans="39:41" x14ac:dyDescent="0.25">
      <c r="AM5031" s="2">
        <v>5028</v>
      </c>
      <c r="AN5031" s="33">
        <v>9.8256638893663688E-3</v>
      </c>
      <c r="AO5031" s="33">
        <v>3.5174802468194099E-4</v>
      </c>
    </row>
    <row r="5032" spans="39:41" x14ac:dyDescent="0.25">
      <c r="AM5032" s="2">
        <v>5029</v>
      </c>
      <c r="AN5032" s="33">
        <v>1.1793387691749244E-2</v>
      </c>
      <c r="AO5032" s="33">
        <v>5.1115672989636158E-4</v>
      </c>
    </row>
    <row r="5033" spans="39:41" x14ac:dyDescent="0.25">
      <c r="AM5033" s="2">
        <v>5030</v>
      </c>
      <c r="AN5033" s="33">
        <v>1.3610194843534859E-2</v>
      </c>
      <c r="AO5033" s="33">
        <v>1.1429300211183017E-3</v>
      </c>
    </row>
    <row r="5034" spans="39:41" x14ac:dyDescent="0.25">
      <c r="AM5034" s="2">
        <v>5031</v>
      </c>
      <c r="AN5034" s="33">
        <v>1.5962952041556761E-2</v>
      </c>
      <c r="AO5034" s="33">
        <v>1.5227679153894873E-3</v>
      </c>
    </row>
    <row r="5035" spans="39:41" x14ac:dyDescent="0.25">
      <c r="AM5035" s="2">
        <v>5032</v>
      </c>
      <c r="AN5035" s="33">
        <v>1.3171465296057193E-2</v>
      </c>
      <c r="AO5035" s="33">
        <v>1.0863832123398076E-3</v>
      </c>
    </row>
    <row r="5036" spans="39:41" x14ac:dyDescent="0.25">
      <c r="AM5036" s="2">
        <v>5033</v>
      </c>
      <c r="AN5036" s="33">
        <v>1.203539482580861E-2</v>
      </c>
      <c r="AO5036" s="33">
        <v>6.7578242910743794E-4</v>
      </c>
    </row>
    <row r="5037" spans="39:41" x14ac:dyDescent="0.25">
      <c r="AM5037" s="2">
        <v>5034</v>
      </c>
      <c r="AN5037" s="33">
        <v>1.1469553931823619E-2</v>
      </c>
      <c r="AO5037" s="33">
        <v>9.2654984560014354E-4</v>
      </c>
    </row>
    <row r="5038" spans="39:41" x14ac:dyDescent="0.25">
      <c r="AM5038" s="2">
        <v>5035</v>
      </c>
      <c r="AN5038" s="33">
        <v>1.281819081316456E-2</v>
      </c>
      <c r="AO5038" s="33">
        <v>1.0875297688195287E-3</v>
      </c>
    </row>
    <row r="5039" spans="39:41" x14ac:dyDescent="0.25">
      <c r="AM5039" s="2">
        <v>5036</v>
      </c>
      <c r="AN5039" s="33">
        <v>9.7530063389576239E-3</v>
      </c>
      <c r="AO5039" s="33">
        <v>4.4131003037696265E-4</v>
      </c>
    </row>
    <row r="5040" spans="39:41" x14ac:dyDescent="0.25">
      <c r="AM5040" s="2">
        <v>5037</v>
      </c>
      <c r="AN5040" s="33">
        <v>1.2027957077993741E-2</v>
      </c>
      <c r="AO5040" s="33">
        <v>1.083022780786464E-3</v>
      </c>
    </row>
    <row r="5041" spans="39:41" x14ac:dyDescent="0.25">
      <c r="AM5041" s="2">
        <v>5038</v>
      </c>
      <c r="AN5041" s="33">
        <v>1.0580615596614317E-2</v>
      </c>
      <c r="AO5041" s="33">
        <v>1.0186136522685968E-3</v>
      </c>
    </row>
    <row r="5042" spans="39:41" x14ac:dyDescent="0.25">
      <c r="AM5042" s="2">
        <v>5039</v>
      </c>
      <c r="AN5042" s="33">
        <v>1.1992951234876384E-2</v>
      </c>
      <c r="AO5042" s="33">
        <v>1.1901324260279655E-3</v>
      </c>
    </row>
    <row r="5043" spans="39:41" x14ac:dyDescent="0.25">
      <c r="AM5043" s="2">
        <v>5040</v>
      </c>
      <c r="AN5043" s="33">
        <v>1.0525968669987435E-2</v>
      </c>
      <c r="AO5043" s="33">
        <v>4.4044661355929483E-4</v>
      </c>
    </row>
    <row r="5044" spans="39:41" x14ac:dyDescent="0.25">
      <c r="AM5044" s="2">
        <v>5041</v>
      </c>
      <c r="AN5044" s="33">
        <v>1.2128324643876856E-2</v>
      </c>
      <c r="AO5044" s="33">
        <v>9.0969227797326455E-4</v>
      </c>
    </row>
    <row r="5045" spans="39:41" x14ac:dyDescent="0.25">
      <c r="AM5045" s="2">
        <v>5042</v>
      </c>
      <c r="AN5045" s="33">
        <v>1.0329226190412981E-2</v>
      </c>
      <c r="AO5045" s="33">
        <v>5.018969389326552E-4</v>
      </c>
    </row>
    <row r="5046" spans="39:41" x14ac:dyDescent="0.25">
      <c r="AM5046" s="2">
        <v>5043</v>
      </c>
      <c r="AN5046" s="33">
        <v>1.4299766175666147E-2</v>
      </c>
      <c r="AO5046" s="33">
        <v>1.1862956878760976E-3</v>
      </c>
    </row>
    <row r="5047" spans="39:41" x14ac:dyDescent="0.25">
      <c r="AM5047" s="2">
        <v>5044</v>
      </c>
      <c r="AN5047" s="33">
        <v>1.253238719596173E-2</v>
      </c>
      <c r="AO5047" s="33">
        <v>1.1221379000038458E-3</v>
      </c>
    </row>
    <row r="5048" spans="39:41" x14ac:dyDescent="0.25">
      <c r="AM5048" s="2">
        <v>5045</v>
      </c>
      <c r="AN5048" s="33">
        <v>1.2629131311094798E-2</v>
      </c>
      <c r="AO5048" s="33">
        <v>9.4601988196187233E-4</v>
      </c>
    </row>
    <row r="5049" spans="39:41" x14ac:dyDescent="0.25">
      <c r="AM5049" s="2">
        <v>5046</v>
      </c>
      <c r="AN5049" s="33">
        <v>1.3605231448855287E-2</v>
      </c>
      <c r="AO5049" s="33">
        <v>9.6080047914197083E-4</v>
      </c>
    </row>
    <row r="5050" spans="39:41" x14ac:dyDescent="0.25">
      <c r="AM5050" s="2">
        <v>5047</v>
      </c>
      <c r="AN5050" s="33">
        <v>1.2573614809082539E-2</v>
      </c>
      <c r="AO5050" s="33">
        <v>5.09342989551785E-4</v>
      </c>
    </row>
    <row r="5051" spans="39:41" x14ac:dyDescent="0.25">
      <c r="AM5051" s="2">
        <v>5048</v>
      </c>
      <c r="AN5051" s="33">
        <v>1.0253284954353254E-2</v>
      </c>
      <c r="AO5051" s="33">
        <v>5.8384748611587463E-4</v>
      </c>
    </row>
    <row r="5052" spans="39:41" x14ac:dyDescent="0.25">
      <c r="AM5052" s="2">
        <v>5049</v>
      </c>
      <c r="AN5052" s="33">
        <v>1.5356790418029514E-2</v>
      </c>
      <c r="AO5052" s="33">
        <v>1.355632513118757E-3</v>
      </c>
    </row>
    <row r="5053" spans="39:41" x14ac:dyDescent="0.25">
      <c r="AM5053" s="2">
        <v>5050</v>
      </c>
      <c r="AN5053" s="33">
        <v>8.6211734926711341E-3</v>
      </c>
      <c r="AO5053" s="33">
        <v>5.7030821709373541E-4</v>
      </c>
    </row>
    <row r="5054" spans="39:41" x14ac:dyDescent="0.25">
      <c r="AM5054" s="2">
        <v>5051</v>
      </c>
      <c r="AN5054" s="33">
        <v>9.448952187370345E-3</v>
      </c>
      <c r="AO5054" s="33">
        <v>7.6395204491897461E-4</v>
      </c>
    </row>
    <row r="5055" spans="39:41" x14ac:dyDescent="0.25">
      <c r="AM5055" s="2">
        <v>5052</v>
      </c>
      <c r="AN5055" s="33">
        <v>1.1094201153977669E-2</v>
      </c>
      <c r="AO5055" s="33">
        <v>1.0941725923341175E-3</v>
      </c>
    </row>
    <row r="5056" spans="39:41" x14ac:dyDescent="0.25">
      <c r="AM5056" s="2">
        <v>5053</v>
      </c>
      <c r="AN5056" s="33">
        <v>1.2103496814839083E-2</v>
      </c>
      <c r="AO5056" s="33">
        <v>1.0403157885600952E-3</v>
      </c>
    </row>
    <row r="5057" spans="39:41" x14ac:dyDescent="0.25">
      <c r="AM5057" s="2">
        <v>5054</v>
      </c>
      <c r="AN5057" s="33">
        <v>1.1797210574345808E-2</v>
      </c>
      <c r="AO5057" s="33">
        <v>9.5998563571919073E-4</v>
      </c>
    </row>
    <row r="5058" spans="39:41" x14ac:dyDescent="0.25">
      <c r="AM5058" s="2">
        <v>5055</v>
      </c>
      <c r="AN5058" s="33">
        <v>8.1987386678097837E-3</v>
      </c>
      <c r="AO5058" s="33">
        <v>4.6156768409420058E-4</v>
      </c>
    </row>
    <row r="5059" spans="39:41" x14ac:dyDescent="0.25">
      <c r="AM5059" s="2">
        <v>5056</v>
      </c>
      <c r="AN5059" s="33">
        <v>1.0552819401012296E-2</v>
      </c>
      <c r="AO5059" s="33">
        <v>8.4856536170795506E-4</v>
      </c>
    </row>
    <row r="5060" spans="39:41" x14ac:dyDescent="0.25">
      <c r="AM5060" s="2">
        <v>5057</v>
      </c>
      <c r="AN5060" s="33">
        <v>1.1130087206608678E-2</v>
      </c>
      <c r="AO5060" s="33">
        <v>7.7875596395213069E-4</v>
      </c>
    </row>
    <row r="5061" spans="39:41" x14ac:dyDescent="0.25">
      <c r="AM5061" s="2">
        <v>5058</v>
      </c>
      <c r="AN5061" s="33">
        <v>1.2979822693571329E-2</v>
      </c>
      <c r="AO5061" s="33">
        <v>1.0918273086462824E-3</v>
      </c>
    </row>
    <row r="5062" spans="39:41" x14ac:dyDescent="0.25">
      <c r="AM5062" s="2">
        <v>5059</v>
      </c>
      <c r="AN5062" s="33">
        <v>1.3371623321244811E-2</v>
      </c>
      <c r="AO5062" s="33">
        <v>1.352850626828547E-3</v>
      </c>
    </row>
    <row r="5063" spans="39:41" x14ac:dyDescent="0.25">
      <c r="AM5063" s="2">
        <v>5060</v>
      </c>
      <c r="AN5063" s="33">
        <v>1.5629549930903975E-2</v>
      </c>
      <c r="AO5063" s="33">
        <v>1.3653829177098569E-3</v>
      </c>
    </row>
    <row r="5064" spans="39:41" x14ac:dyDescent="0.25">
      <c r="AM5064" s="2">
        <v>5061</v>
      </c>
      <c r="AN5064" s="33">
        <v>1.1181307506448203E-2</v>
      </c>
      <c r="AO5064" s="33">
        <v>8.1465772298364137E-4</v>
      </c>
    </row>
    <row r="5065" spans="39:41" x14ac:dyDescent="0.25">
      <c r="AM5065" s="2">
        <v>5062</v>
      </c>
      <c r="AN5065" s="33">
        <v>1.2042818282321472E-2</v>
      </c>
      <c r="AO5065" s="33">
        <v>7.5568260128338846E-4</v>
      </c>
    </row>
    <row r="5066" spans="39:41" x14ac:dyDescent="0.25">
      <c r="AM5066" s="2">
        <v>5063</v>
      </c>
      <c r="AN5066" s="33">
        <v>1.0002970463416755E-2</v>
      </c>
      <c r="AO5066" s="33">
        <v>3.6632329988486043E-4</v>
      </c>
    </row>
    <row r="5067" spans="39:41" x14ac:dyDescent="0.25">
      <c r="AM5067" s="2">
        <v>5064</v>
      </c>
      <c r="AN5067" s="33">
        <v>8.7619797909785201E-3</v>
      </c>
      <c r="AO5067" s="33">
        <v>4.3922347342048628E-4</v>
      </c>
    </row>
    <row r="5068" spans="39:41" x14ac:dyDescent="0.25">
      <c r="AM5068" s="2">
        <v>5065</v>
      </c>
      <c r="AN5068" s="33">
        <v>1.3773142956135607E-2</v>
      </c>
      <c r="AO5068" s="33">
        <v>1.4254841107409707E-3</v>
      </c>
    </row>
    <row r="5069" spans="39:41" x14ac:dyDescent="0.25">
      <c r="AM5069" s="2">
        <v>5066</v>
      </c>
      <c r="AN5069" s="33">
        <v>1.0020266107922542E-2</v>
      </c>
      <c r="AO5069" s="33">
        <v>6.5476564186072795E-4</v>
      </c>
    </row>
    <row r="5070" spans="39:41" x14ac:dyDescent="0.25">
      <c r="AM5070" s="2">
        <v>5067</v>
      </c>
      <c r="AN5070" s="33">
        <v>8.6556227128917317E-3</v>
      </c>
      <c r="AO5070" s="33">
        <v>5.1840392800344001E-4</v>
      </c>
    </row>
    <row r="5071" spans="39:41" x14ac:dyDescent="0.25">
      <c r="AM5071" s="2">
        <v>5068</v>
      </c>
      <c r="AN5071" s="33">
        <v>7.2817776600635634E-3</v>
      </c>
      <c r="AO5071" s="33">
        <v>3.4916701164737263E-4</v>
      </c>
    </row>
    <row r="5072" spans="39:41" x14ac:dyDescent="0.25">
      <c r="AM5072" s="2">
        <v>5069</v>
      </c>
      <c r="AN5072" s="33">
        <v>9.7240684016572619E-3</v>
      </c>
      <c r="AO5072" s="33">
        <v>4.2129496496765971E-5</v>
      </c>
    </row>
    <row r="5073" spans="39:41" x14ac:dyDescent="0.25">
      <c r="AM5073" s="2">
        <v>5070</v>
      </c>
      <c r="AN5073" s="33">
        <v>1.0394984379660396E-2</v>
      </c>
      <c r="AO5073" s="33">
        <v>6.8966147471112506E-4</v>
      </c>
    </row>
    <row r="5074" spans="39:41" x14ac:dyDescent="0.25">
      <c r="AM5074" s="2">
        <v>5071</v>
      </c>
      <c r="AN5074" s="33">
        <v>1.5198357213388854E-2</v>
      </c>
      <c r="AO5074" s="33">
        <v>1.324973232959663E-3</v>
      </c>
    </row>
    <row r="5075" spans="39:41" x14ac:dyDescent="0.25">
      <c r="AM5075" s="2">
        <v>5072</v>
      </c>
      <c r="AN5075" s="33">
        <v>1.4170624272580012E-2</v>
      </c>
      <c r="AO5075" s="33">
        <v>1.0356448390640327E-3</v>
      </c>
    </row>
    <row r="5076" spans="39:41" x14ac:dyDescent="0.25">
      <c r="AM5076" s="2">
        <v>5073</v>
      </c>
      <c r="AN5076" s="33">
        <v>1.4034643450724096E-2</v>
      </c>
      <c r="AO5076" s="33">
        <v>8.9070460223330226E-4</v>
      </c>
    </row>
    <row r="5077" spans="39:41" x14ac:dyDescent="0.25">
      <c r="AM5077" s="2">
        <v>5074</v>
      </c>
      <c r="AN5077" s="33">
        <v>1.3552912828473358E-2</v>
      </c>
      <c r="AO5077" s="33">
        <v>7.7493913738026958E-4</v>
      </c>
    </row>
    <row r="5078" spans="39:41" x14ac:dyDescent="0.25">
      <c r="AM5078" s="2">
        <v>5075</v>
      </c>
      <c r="AN5078" s="33">
        <v>1.3869015219521585E-2</v>
      </c>
      <c r="AO5078" s="33">
        <v>6.8230505581577954E-4</v>
      </c>
    </row>
    <row r="5079" spans="39:41" x14ac:dyDescent="0.25">
      <c r="AM5079" s="2">
        <v>5076</v>
      </c>
      <c r="AN5079" s="33">
        <v>1.3227092881829506E-2</v>
      </c>
      <c r="AO5079" s="33">
        <v>8.077276750371393E-4</v>
      </c>
    </row>
    <row r="5080" spans="39:41" x14ac:dyDescent="0.25">
      <c r="AM5080" s="2">
        <v>5077</v>
      </c>
      <c r="AN5080" s="33">
        <v>9.4213950670058253E-3</v>
      </c>
      <c r="AO5080" s="33">
        <v>9.8259590121258845E-4</v>
      </c>
    </row>
    <row r="5081" spans="39:41" x14ac:dyDescent="0.25">
      <c r="AM5081" s="2">
        <v>5078</v>
      </c>
      <c r="AN5081" s="33">
        <v>9.0795817039022834E-3</v>
      </c>
      <c r="AO5081" s="33">
        <v>6.3572138351003439E-4</v>
      </c>
    </row>
    <row r="5082" spans="39:41" x14ac:dyDescent="0.25">
      <c r="AM5082" s="2">
        <v>5079</v>
      </c>
      <c r="AN5082" s="33">
        <v>1.1489642291579933E-2</v>
      </c>
      <c r="AO5082" s="33">
        <v>1.0798230032743597E-3</v>
      </c>
    </row>
    <row r="5083" spans="39:41" x14ac:dyDescent="0.25">
      <c r="AM5083" s="2">
        <v>5080</v>
      </c>
      <c r="AN5083" s="33">
        <v>1.2178365179926721E-2</v>
      </c>
      <c r="AO5083" s="33">
        <v>9.4760653224789141E-4</v>
      </c>
    </row>
    <row r="5084" spans="39:41" x14ac:dyDescent="0.25">
      <c r="AM5084" s="2">
        <v>5081</v>
      </c>
      <c r="AN5084" s="33">
        <v>1.2647839800804556E-2</v>
      </c>
      <c r="AO5084" s="33">
        <v>8.4868477418377649E-4</v>
      </c>
    </row>
    <row r="5085" spans="39:41" x14ac:dyDescent="0.25">
      <c r="AM5085" s="2">
        <v>5082</v>
      </c>
      <c r="AN5085" s="33">
        <v>1.3302892839290785E-2</v>
      </c>
      <c r="AO5085" s="33">
        <v>1.0079649570610286E-3</v>
      </c>
    </row>
    <row r="5086" spans="39:41" x14ac:dyDescent="0.25">
      <c r="AM5086" s="2">
        <v>5083</v>
      </c>
      <c r="AN5086" s="33">
        <v>1.3323113233721947E-2</v>
      </c>
      <c r="AO5086" s="33">
        <v>1.0960447176563935E-3</v>
      </c>
    </row>
    <row r="5087" spans="39:41" x14ac:dyDescent="0.25">
      <c r="AM5087" s="2">
        <v>5084</v>
      </c>
      <c r="AN5087" s="33">
        <v>8.2061046366905047E-3</v>
      </c>
      <c r="AO5087" s="33">
        <v>4.7096167090776494E-4</v>
      </c>
    </row>
    <row r="5088" spans="39:41" x14ac:dyDescent="0.25">
      <c r="AM5088" s="2">
        <v>5085</v>
      </c>
      <c r="AN5088" s="33">
        <v>1.3148217212111868E-2</v>
      </c>
      <c r="AO5088" s="33">
        <v>1.0272779348860916E-3</v>
      </c>
    </row>
    <row r="5089" spans="39:41" x14ac:dyDescent="0.25">
      <c r="AM5089" s="2">
        <v>5086</v>
      </c>
      <c r="AN5089" s="33">
        <v>8.795450649435526E-3</v>
      </c>
      <c r="AO5089" s="33">
        <v>4.5713762429665488E-4</v>
      </c>
    </row>
    <row r="5090" spans="39:41" x14ac:dyDescent="0.25">
      <c r="AM5090" s="2">
        <v>5087</v>
      </c>
      <c r="AN5090" s="33">
        <v>9.5092025958972651E-3</v>
      </c>
      <c r="AO5090" s="33">
        <v>7.3743055849029976E-4</v>
      </c>
    </row>
    <row r="5091" spans="39:41" x14ac:dyDescent="0.25">
      <c r="AM5091" s="2">
        <v>5088</v>
      </c>
      <c r="AN5091" s="33">
        <v>1.0936884087181705E-2</v>
      </c>
      <c r="AO5091" s="33">
        <v>2.9560557010319295E-4</v>
      </c>
    </row>
    <row r="5092" spans="39:41" x14ac:dyDescent="0.25">
      <c r="AM5092" s="2">
        <v>5089</v>
      </c>
      <c r="AN5092" s="33">
        <v>8.7255674967407961E-3</v>
      </c>
      <c r="AO5092" s="33">
        <v>2.8117239756702357E-4</v>
      </c>
    </row>
    <row r="5093" spans="39:41" x14ac:dyDescent="0.25">
      <c r="AM5093" s="2">
        <v>5090</v>
      </c>
      <c r="AN5093" s="33">
        <v>1.6138524939065091E-2</v>
      </c>
      <c r="AO5093" s="33">
        <v>1.0260994606435397E-3</v>
      </c>
    </row>
    <row r="5094" spans="39:41" x14ac:dyDescent="0.25">
      <c r="AM5094" s="2">
        <v>5091</v>
      </c>
      <c r="AN5094" s="33">
        <v>1.0584557846702133E-2</v>
      </c>
      <c r="AO5094" s="33">
        <v>4.5131263238295524E-4</v>
      </c>
    </row>
    <row r="5095" spans="39:41" x14ac:dyDescent="0.25">
      <c r="AM5095" s="2">
        <v>5092</v>
      </c>
      <c r="AN5095" s="33">
        <v>1.7257924076181982E-2</v>
      </c>
      <c r="AO5095" s="33">
        <v>1.4245224296976853E-3</v>
      </c>
    </row>
    <row r="5096" spans="39:41" x14ac:dyDescent="0.25">
      <c r="AM5096" s="2">
        <v>5093</v>
      </c>
      <c r="AN5096" s="33">
        <v>1.1720952006871141E-2</v>
      </c>
      <c r="AO5096" s="33">
        <v>8.3291489880323857E-4</v>
      </c>
    </row>
    <row r="5097" spans="39:41" x14ac:dyDescent="0.25">
      <c r="AM5097" s="2">
        <v>5094</v>
      </c>
      <c r="AN5097" s="33">
        <v>1.6754448071590045E-2</v>
      </c>
      <c r="AO5097" s="33">
        <v>1.6431429162419263E-3</v>
      </c>
    </row>
    <row r="5098" spans="39:41" x14ac:dyDescent="0.25">
      <c r="AM5098" s="2">
        <v>5095</v>
      </c>
      <c r="AN5098" s="33">
        <v>1.0812302355333165E-2</v>
      </c>
      <c r="AO5098" s="33">
        <v>6.7835005117991229E-4</v>
      </c>
    </row>
    <row r="5099" spans="39:41" x14ac:dyDescent="0.25">
      <c r="AM5099" s="2">
        <v>5096</v>
      </c>
      <c r="AN5099" s="33">
        <v>1.2178898052687074E-2</v>
      </c>
      <c r="AO5099" s="33">
        <v>1.1782346443485593E-3</v>
      </c>
    </row>
    <row r="5100" spans="39:41" x14ac:dyDescent="0.25">
      <c r="AM5100" s="2">
        <v>5097</v>
      </c>
      <c r="AN5100" s="33">
        <v>1.0086226430465686E-2</v>
      </c>
      <c r="AO5100" s="33">
        <v>7.6020302541751888E-4</v>
      </c>
    </row>
    <row r="5101" spans="39:41" x14ac:dyDescent="0.25">
      <c r="AM5101" s="2">
        <v>5098</v>
      </c>
      <c r="AN5101" s="33">
        <v>1.0462959246926066E-2</v>
      </c>
      <c r="AO5101" s="33">
        <v>1.0126890607461835E-3</v>
      </c>
    </row>
    <row r="5102" spans="39:41" x14ac:dyDescent="0.25">
      <c r="AM5102" s="2">
        <v>5099</v>
      </c>
      <c r="AN5102" s="33">
        <v>1.1403340694996704E-2</v>
      </c>
      <c r="AO5102" s="33">
        <v>7.3202562414109403E-4</v>
      </c>
    </row>
    <row r="5103" spans="39:41" x14ac:dyDescent="0.25">
      <c r="AM5103" s="2">
        <v>5100</v>
      </c>
      <c r="AN5103" s="33">
        <v>1.3966265637473297E-2</v>
      </c>
      <c r="AO5103" s="33">
        <v>1.2181843559167377E-3</v>
      </c>
    </row>
    <row r="5104" spans="39:41" x14ac:dyDescent="0.25">
      <c r="AM5104" s="2">
        <v>5101</v>
      </c>
      <c r="AN5104" s="33">
        <v>1.3022262979344348E-2</v>
      </c>
      <c r="AO5104" s="33">
        <v>8.9340654848121858E-4</v>
      </c>
    </row>
    <row r="5105" spans="39:41" x14ac:dyDescent="0.25">
      <c r="AM5105" s="2">
        <v>5102</v>
      </c>
      <c r="AN5105" s="33">
        <v>1.0646862576233674E-2</v>
      </c>
      <c r="AO5105" s="33">
        <v>8.1757912172002905E-4</v>
      </c>
    </row>
    <row r="5106" spans="39:41" x14ac:dyDescent="0.25">
      <c r="AM5106" s="2">
        <v>5103</v>
      </c>
      <c r="AN5106" s="33">
        <v>1.0842578526199397E-2</v>
      </c>
      <c r="AO5106" s="33">
        <v>7.5342224344890135E-4</v>
      </c>
    </row>
    <row r="5107" spans="39:41" x14ac:dyDescent="0.25">
      <c r="AM5107" s="2">
        <v>5104</v>
      </c>
      <c r="AN5107" s="33">
        <v>1.2339078335496748E-2</v>
      </c>
      <c r="AO5107" s="33">
        <v>1.2371682760165721E-3</v>
      </c>
    </row>
    <row r="5108" spans="39:41" x14ac:dyDescent="0.25">
      <c r="AM5108" s="2">
        <v>5105</v>
      </c>
      <c r="AN5108" s="33">
        <v>1.4149122936325247E-2</v>
      </c>
      <c r="AO5108" s="33">
        <v>1.4223416860834458E-3</v>
      </c>
    </row>
    <row r="5109" spans="39:41" x14ac:dyDescent="0.25">
      <c r="AM5109" s="2">
        <v>5106</v>
      </c>
      <c r="AN5109" s="33">
        <v>9.9073627528674171E-3</v>
      </c>
      <c r="AO5109" s="33">
        <v>4.3057897605936792E-4</v>
      </c>
    </row>
    <row r="5110" spans="39:41" x14ac:dyDescent="0.25">
      <c r="AM5110" s="2">
        <v>5107</v>
      </c>
      <c r="AN5110" s="33">
        <v>1.2816237343786334E-2</v>
      </c>
      <c r="AO5110" s="33">
        <v>1.0042243528439233E-3</v>
      </c>
    </row>
    <row r="5111" spans="39:41" x14ac:dyDescent="0.25">
      <c r="AM5111" s="2">
        <v>5108</v>
      </c>
      <c r="AN5111" s="33">
        <v>1.0162890488685581E-2</v>
      </c>
      <c r="AO5111" s="33">
        <v>5.7637028119745463E-4</v>
      </c>
    </row>
    <row r="5112" spans="39:41" x14ac:dyDescent="0.25">
      <c r="AM5112" s="2">
        <v>5109</v>
      </c>
      <c r="AN5112" s="33">
        <v>1.4714709954130644E-2</v>
      </c>
      <c r="AO5112" s="33">
        <v>1.2491732836864948E-3</v>
      </c>
    </row>
    <row r="5113" spans="39:41" x14ac:dyDescent="0.25">
      <c r="AM5113" s="2">
        <v>5110</v>
      </c>
      <c r="AN5113" s="33">
        <v>1.2877409732270632E-2</v>
      </c>
      <c r="AO5113" s="33">
        <v>9.2455531736649666E-4</v>
      </c>
    </row>
    <row r="5114" spans="39:41" x14ac:dyDescent="0.25">
      <c r="AM5114" s="2">
        <v>5111</v>
      </c>
      <c r="AN5114" s="33">
        <v>1.0249120816997826E-2</v>
      </c>
      <c r="AO5114" s="33">
        <v>1.5371034567009559E-4</v>
      </c>
    </row>
    <row r="5115" spans="39:41" x14ac:dyDescent="0.25">
      <c r="AM5115" s="2">
        <v>5112</v>
      </c>
      <c r="AN5115" s="33">
        <v>8.7959176713592203E-3</v>
      </c>
      <c r="AO5115" s="33">
        <v>4.3520640201532928E-4</v>
      </c>
    </row>
    <row r="5116" spans="39:41" x14ac:dyDescent="0.25">
      <c r="AM5116" s="2">
        <v>5113</v>
      </c>
      <c r="AN5116" s="33">
        <v>1.2235597927133851E-2</v>
      </c>
      <c r="AO5116" s="33">
        <v>7.5653571254001442E-4</v>
      </c>
    </row>
    <row r="5117" spans="39:41" x14ac:dyDescent="0.25">
      <c r="AM5117" s="2">
        <v>5114</v>
      </c>
      <c r="AN5117" s="33">
        <v>1.0566202322385473E-2</v>
      </c>
      <c r="AO5117" s="33">
        <v>7.4177637524842585E-4</v>
      </c>
    </row>
    <row r="5118" spans="39:41" x14ac:dyDescent="0.25">
      <c r="AM5118" s="2">
        <v>5115</v>
      </c>
      <c r="AN5118" s="33">
        <v>1.3708903068446791E-2</v>
      </c>
      <c r="AO5118" s="33">
        <v>8.7572193620417428E-4</v>
      </c>
    </row>
    <row r="5119" spans="39:41" x14ac:dyDescent="0.25">
      <c r="AM5119" s="2">
        <v>5116</v>
      </c>
      <c r="AN5119" s="33">
        <v>1.1891895860440971E-2</v>
      </c>
      <c r="AO5119" s="33">
        <v>1.1558831043504734E-4</v>
      </c>
    </row>
    <row r="5120" spans="39:41" x14ac:dyDescent="0.25">
      <c r="AM5120" s="2">
        <v>5117</v>
      </c>
      <c r="AN5120" s="33">
        <v>1.0738023536217651E-2</v>
      </c>
      <c r="AO5120" s="33">
        <v>5.0956685010297112E-4</v>
      </c>
    </row>
    <row r="5121" spans="39:41" x14ac:dyDescent="0.25">
      <c r="AM5121" s="2">
        <v>5118</v>
      </c>
      <c r="AN5121" s="33">
        <v>1.4050123015091393E-2</v>
      </c>
      <c r="AO5121" s="33">
        <v>2.0268738718704456E-4</v>
      </c>
    </row>
    <row r="5122" spans="39:41" x14ac:dyDescent="0.25">
      <c r="AM5122" s="2">
        <v>5119</v>
      </c>
      <c r="AN5122" s="33">
        <v>1.3431916576602311E-2</v>
      </c>
      <c r="AO5122" s="33">
        <v>1.1797381902371173E-3</v>
      </c>
    </row>
    <row r="5123" spans="39:41" x14ac:dyDescent="0.25">
      <c r="AM5123" s="2">
        <v>5120</v>
      </c>
      <c r="AN5123" s="33">
        <v>1.5389339130060086E-2</v>
      </c>
      <c r="AO5123" s="33">
        <v>1.5100727872770679E-3</v>
      </c>
    </row>
    <row r="5124" spans="39:41" x14ac:dyDescent="0.25">
      <c r="AM5124" s="2">
        <v>5121</v>
      </c>
      <c r="AN5124" s="33">
        <v>1.1357733378942346E-2</v>
      </c>
      <c r="AO5124" s="33">
        <v>7.2216902130558061E-4</v>
      </c>
    </row>
    <row r="5125" spans="39:41" x14ac:dyDescent="0.25">
      <c r="AM5125" s="2">
        <v>5122</v>
      </c>
      <c r="AN5125" s="33">
        <v>1.2387416229769915E-2</v>
      </c>
      <c r="AO5125" s="33">
        <v>8.9258484425325019E-4</v>
      </c>
    </row>
    <row r="5126" spans="39:41" x14ac:dyDescent="0.25">
      <c r="AM5126" s="2">
        <v>5123</v>
      </c>
      <c r="AN5126" s="33">
        <v>9.365951364097725E-3</v>
      </c>
      <c r="AO5126" s="33">
        <v>3.9945487887403631E-4</v>
      </c>
    </row>
    <row r="5127" spans="39:41" x14ac:dyDescent="0.25">
      <c r="AM5127" s="2">
        <v>5124</v>
      </c>
      <c r="AN5127" s="33">
        <v>1.0745336685944535E-2</v>
      </c>
      <c r="AO5127" s="33">
        <v>6.5346999513022047E-4</v>
      </c>
    </row>
    <row r="5128" spans="39:41" x14ac:dyDescent="0.25">
      <c r="AM5128" s="2">
        <v>5125</v>
      </c>
      <c r="AN5128" s="33">
        <v>8.429240785831623E-3</v>
      </c>
      <c r="AO5128" s="33">
        <v>7.8959352406114713E-4</v>
      </c>
    </row>
    <row r="5129" spans="39:41" x14ac:dyDescent="0.25">
      <c r="AM5129" s="2">
        <v>5126</v>
      </c>
      <c r="AN5129" s="33">
        <v>1.1238880412439598E-2</v>
      </c>
      <c r="AO5129" s="33">
        <v>6.7386614664442302E-4</v>
      </c>
    </row>
    <row r="5130" spans="39:41" x14ac:dyDescent="0.25">
      <c r="AM5130" s="2">
        <v>5127</v>
      </c>
      <c r="AN5130" s="33">
        <v>8.4985431916216325E-3</v>
      </c>
      <c r="AO5130" s="33">
        <v>5.2080465580884618E-4</v>
      </c>
    </row>
    <row r="5131" spans="39:41" x14ac:dyDescent="0.25">
      <c r="AM5131" s="2">
        <v>5128</v>
      </c>
      <c r="AN5131" s="33">
        <v>1.3476168429815737E-2</v>
      </c>
      <c r="AO5131" s="33">
        <v>1.0535667348466403E-3</v>
      </c>
    </row>
    <row r="5132" spans="39:41" x14ac:dyDescent="0.25">
      <c r="AM5132" s="2">
        <v>5129</v>
      </c>
      <c r="AN5132" s="33">
        <v>1.0285399210977188E-2</v>
      </c>
      <c r="AO5132" s="33">
        <v>4.149952091700098E-4</v>
      </c>
    </row>
    <row r="5133" spans="39:41" x14ac:dyDescent="0.25">
      <c r="AM5133" s="2">
        <v>5130</v>
      </c>
      <c r="AN5133" s="33">
        <v>1.0187361962634572E-2</v>
      </c>
      <c r="AO5133" s="33">
        <v>9.1736971782588089E-4</v>
      </c>
    </row>
    <row r="5134" spans="39:41" x14ac:dyDescent="0.25">
      <c r="AM5134" s="2">
        <v>5131</v>
      </c>
      <c r="AN5134" s="33">
        <v>1.2135744431401705E-2</v>
      </c>
      <c r="AO5134" s="33">
        <v>9.3749933378192588E-4</v>
      </c>
    </row>
    <row r="5135" spans="39:41" x14ac:dyDescent="0.25">
      <c r="AM5135" s="2">
        <v>5132</v>
      </c>
      <c r="AN5135" s="33">
        <v>1.2244812584987677E-2</v>
      </c>
      <c r="AO5135" s="33">
        <v>1.038805799658288E-3</v>
      </c>
    </row>
    <row r="5136" spans="39:41" x14ac:dyDescent="0.25">
      <c r="AM5136" s="2">
        <v>5133</v>
      </c>
      <c r="AN5136" s="33">
        <v>1.1669199277086324E-2</v>
      </c>
      <c r="AO5136" s="33">
        <v>6.547127821911865E-4</v>
      </c>
    </row>
    <row r="5137" spans="39:41" x14ac:dyDescent="0.25">
      <c r="AM5137" s="2">
        <v>5134</v>
      </c>
      <c r="AN5137" s="33">
        <v>1.0826543936154041E-2</v>
      </c>
      <c r="AO5137" s="33">
        <v>8.1313331816863202E-4</v>
      </c>
    </row>
    <row r="5138" spans="39:41" x14ac:dyDescent="0.25">
      <c r="AM5138" s="2">
        <v>5135</v>
      </c>
      <c r="AN5138" s="33">
        <v>1.2361013961036426E-2</v>
      </c>
      <c r="AO5138" s="33">
        <v>1.003509247883814E-3</v>
      </c>
    </row>
    <row r="5139" spans="39:41" x14ac:dyDescent="0.25">
      <c r="AM5139" s="2">
        <v>5136</v>
      </c>
      <c r="AN5139" s="33">
        <v>1.2769290594636488E-2</v>
      </c>
      <c r="AO5139" s="33">
        <v>8.6227521823922933E-4</v>
      </c>
    </row>
    <row r="5140" spans="39:41" x14ac:dyDescent="0.25">
      <c r="AM5140" s="2">
        <v>5137</v>
      </c>
      <c r="AN5140" s="33">
        <v>1.2637626901247848E-2</v>
      </c>
      <c r="AO5140" s="33">
        <v>6.6362667530192306E-4</v>
      </c>
    </row>
    <row r="5141" spans="39:41" x14ac:dyDescent="0.25">
      <c r="AM5141" s="2">
        <v>5138</v>
      </c>
      <c r="AN5141" s="33">
        <v>1.1080557533376813E-2</v>
      </c>
      <c r="AO5141" s="33">
        <v>9.6032384391077526E-4</v>
      </c>
    </row>
    <row r="5142" spans="39:41" x14ac:dyDescent="0.25">
      <c r="AM5142" s="2">
        <v>5139</v>
      </c>
      <c r="AN5142" s="33">
        <v>1.5959619758342414E-2</v>
      </c>
      <c r="AO5142" s="33">
        <v>1.3064977584300111E-3</v>
      </c>
    </row>
    <row r="5143" spans="39:41" x14ac:dyDescent="0.25">
      <c r="AM5143" s="2">
        <v>5140</v>
      </c>
      <c r="AN5143" s="33">
        <v>1.0889527889634728E-2</v>
      </c>
      <c r="AO5143" s="33">
        <v>5.9789060447195015E-4</v>
      </c>
    </row>
    <row r="5144" spans="39:41" x14ac:dyDescent="0.25">
      <c r="AM5144" s="2">
        <v>5141</v>
      </c>
      <c r="AN5144" s="33">
        <v>1.7874154562838782E-2</v>
      </c>
      <c r="AO5144" s="33">
        <v>1.544075574834239E-3</v>
      </c>
    </row>
    <row r="5145" spans="39:41" x14ac:dyDescent="0.25">
      <c r="AM5145" s="2">
        <v>5142</v>
      </c>
      <c r="AN5145" s="33">
        <v>9.8885524677405044E-3</v>
      </c>
      <c r="AO5145" s="33">
        <v>8.1962468563165521E-4</v>
      </c>
    </row>
    <row r="5146" spans="39:41" x14ac:dyDescent="0.25">
      <c r="AM5146" s="2">
        <v>5143</v>
      </c>
      <c r="AN5146" s="33">
        <v>1.2334493027905806E-2</v>
      </c>
      <c r="AO5146" s="33">
        <v>4.7118282425124159E-4</v>
      </c>
    </row>
    <row r="5147" spans="39:41" x14ac:dyDescent="0.25">
      <c r="AM5147" s="2">
        <v>5144</v>
      </c>
      <c r="AN5147" s="33">
        <v>9.8429507981623431E-3</v>
      </c>
      <c r="AO5147" s="33">
        <v>4.4044667436802268E-4</v>
      </c>
    </row>
    <row r="5148" spans="39:41" x14ac:dyDescent="0.25">
      <c r="AM5148" s="2">
        <v>5145</v>
      </c>
      <c r="AN5148" s="33">
        <v>1.2419283785065238E-2</v>
      </c>
      <c r="AO5148" s="33">
        <v>9.291551481929955E-4</v>
      </c>
    </row>
    <row r="5149" spans="39:41" x14ac:dyDescent="0.25">
      <c r="AM5149" s="2">
        <v>5146</v>
      </c>
      <c r="AN5149" s="33">
        <v>1.0076265488521099E-2</v>
      </c>
      <c r="AO5149" s="33">
        <v>6.5884952024969703E-4</v>
      </c>
    </row>
    <row r="5150" spans="39:41" x14ac:dyDescent="0.25">
      <c r="AM5150" s="2">
        <v>5147</v>
      </c>
      <c r="AN5150" s="33">
        <v>1.285807941237033E-2</v>
      </c>
      <c r="AO5150" s="33">
        <v>1.1333318781949079E-3</v>
      </c>
    </row>
    <row r="5151" spans="39:41" x14ac:dyDescent="0.25">
      <c r="AM5151" s="2">
        <v>5148</v>
      </c>
      <c r="AN5151" s="33">
        <v>1.0157961816776133E-2</v>
      </c>
      <c r="AO5151" s="33">
        <v>2.0101192451718404E-4</v>
      </c>
    </row>
    <row r="5152" spans="39:41" x14ac:dyDescent="0.25">
      <c r="AM5152" s="2">
        <v>5149</v>
      </c>
      <c r="AN5152" s="33">
        <v>1.0227238602132184E-2</v>
      </c>
      <c r="AO5152" s="33">
        <v>4.3124347624196182E-4</v>
      </c>
    </row>
    <row r="5153" spans="39:41" x14ac:dyDescent="0.25">
      <c r="AM5153" s="2">
        <v>5150</v>
      </c>
      <c r="AN5153" s="33">
        <v>1.3470296507272715E-2</v>
      </c>
      <c r="AO5153" s="33">
        <v>6.7109687418901527E-4</v>
      </c>
    </row>
    <row r="5154" spans="39:41" x14ac:dyDescent="0.25">
      <c r="AM5154" s="2">
        <v>5151</v>
      </c>
      <c r="AN5154" s="33">
        <v>1.4310704814837243E-2</v>
      </c>
      <c r="AO5154" s="33">
        <v>1.1920189929516421E-3</v>
      </c>
    </row>
    <row r="5155" spans="39:41" x14ac:dyDescent="0.25">
      <c r="AM5155" s="2">
        <v>5152</v>
      </c>
      <c r="AN5155" s="33">
        <v>8.788727821819324E-3</v>
      </c>
      <c r="AO5155" s="33">
        <v>7.6698712105752946E-4</v>
      </c>
    </row>
    <row r="5156" spans="39:41" x14ac:dyDescent="0.25">
      <c r="AM5156" s="2">
        <v>5153</v>
      </c>
      <c r="AN5156" s="33">
        <v>1.1792052111593652E-2</v>
      </c>
      <c r="AO5156" s="33">
        <v>8.5544037070555724E-4</v>
      </c>
    </row>
    <row r="5157" spans="39:41" x14ac:dyDescent="0.25">
      <c r="AM5157" s="2">
        <v>5154</v>
      </c>
      <c r="AN5157" s="33">
        <v>1.0872890037622013E-2</v>
      </c>
      <c r="AO5157" s="33">
        <v>1.0254637612875585E-3</v>
      </c>
    </row>
    <row r="5158" spans="39:41" x14ac:dyDescent="0.25">
      <c r="AM5158" s="2">
        <v>5155</v>
      </c>
      <c r="AN5158" s="33">
        <v>1.4265384611009183E-2</v>
      </c>
      <c r="AO5158" s="33">
        <v>1.1239939980908259E-3</v>
      </c>
    </row>
    <row r="5159" spans="39:41" x14ac:dyDescent="0.25">
      <c r="AM5159" s="2">
        <v>5156</v>
      </c>
      <c r="AN5159" s="33">
        <v>1.2185226548751052E-2</v>
      </c>
      <c r="AO5159" s="33">
        <v>5.5562630390470374E-4</v>
      </c>
    </row>
    <row r="5160" spans="39:41" x14ac:dyDescent="0.25">
      <c r="AM5160" s="2">
        <v>5157</v>
      </c>
      <c r="AN5160" s="33">
        <v>1.2757270042028056E-2</v>
      </c>
      <c r="AO5160" s="33">
        <v>1.0196171977849516E-3</v>
      </c>
    </row>
    <row r="5161" spans="39:41" x14ac:dyDescent="0.25">
      <c r="AM5161" s="2">
        <v>5158</v>
      </c>
      <c r="AN5161" s="33">
        <v>1.2710242973102685E-2</v>
      </c>
      <c r="AO5161" s="33">
        <v>9.6814591470758876E-4</v>
      </c>
    </row>
    <row r="5162" spans="39:41" x14ac:dyDescent="0.25">
      <c r="AM5162" s="2">
        <v>5159</v>
      </c>
      <c r="AN5162" s="33">
        <v>1.0350017015888682E-2</v>
      </c>
      <c r="AO5162" s="33">
        <v>5.1783780839718702E-4</v>
      </c>
    </row>
    <row r="5163" spans="39:41" x14ac:dyDescent="0.25">
      <c r="AM5163" s="2">
        <v>5160</v>
      </c>
      <c r="AN5163" s="33">
        <v>1.0860522966269286E-2</v>
      </c>
      <c r="AO5163" s="33">
        <v>5.8162448356025931E-4</v>
      </c>
    </row>
    <row r="5164" spans="39:41" x14ac:dyDescent="0.25">
      <c r="AM5164" s="2">
        <v>5161</v>
      </c>
      <c r="AN5164" s="33">
        <v>9.7146727316061565E-3</v>
      </c>
      <c r="AO5164" s="33">
        <v>7.0915645050271679E-4</v>
      </c>
    </row>
    <row r="5165" spans="39:41" x14ac:dyDescent="0.25">
      <c r="AM5165" s="2">
        <v>5162</v>
      </c>
      <c r="AN5165" s="33">
        <v>1.5077589495643265E-2</v>
      </c>
      <c r="AO5165" s="33">
        <v>1.2405993580379172E-3</v>
      </c>
    </row>
    <row r="5166" spans="39:41" x14ac:dyDescent="0.25">
      <c r="AM5166" s="2">
        <v>5163</v>
      </c>
      <c r="AN5166" s="33">
        <v>1.0757635163530071E-2</v>
      </c>
      <c r="AO5166" s="33">
        <v>6.0220390296635007E-4</v>
      </c>
    </row>
    <row r="5167" spans="39:41" x14ac:dyDescent="0.25">
      <c r="AM5167" s="2">
        <v>5164</v>
      </c>
      <c r="AN5167" s="33">
        <v>7.4616790654224987E-3</v>
      </c>
      <c r="AO5167" s="33">
        <v>3.4922637759599365E-4</v>
      </c>
    </row>
    <row r="5168" spans="39:41" x14ac:dyDescent="0.25">
      <c r="AM5168" s="2">
        <v>5165</v>
      </c>
      <c r="AN5168" s="33">
        <v>1.0561112651624995E-2</v>
      </c>
      <c r="AO5168" s="33">
        <v>1.0242080634492437E-3</v>
      </c>
    </row>
    <row r="5169" spans="39:41" x14ac:dyDescent="0.25">
      <c r="AM5169" s="2">
        <v>5166</v>
      </c>
      <c r="AN5169" s="33">
        <v>1.5459138323537175E-2</v>
      </c>
      <c r="AO5169" s="33">
        <v>1.3794028142868815E-3</v>
      </c>
    </row>
    <row r="5170" spans="39:41" x14ac:dyDescent="0.25">
      <c r="AM5170" s="2">
        <v>5167</v>
      </c>
      <c r="AN5170" s="33">
        <v>1.1223292971515897E-2</v>
      </c>
      <c r="AO5170" s="33">
        <v>7.3889053564055152E-4</v>
      </c>
    </row>
    <row r="5171" spans="39:41" x14ac:dyDescent="0.25">
      <c r="AM5171" s="2">
        <v>5168</v>
      </c>
      <c r="AN5171" s="33">
        <v>1.0258631646966089E-2</v>
      </c>
      <c r="AO5171" s="33">
        <v>8.4982257993821038E-4</v>
      </c>
    </row>
    <row r="5172" spans="39:41" x14ac:dyDescent="0.25">
      <c r="AM5172" s="2">
        <v>5169</v>
      </c>
      <c r="AN5172" s="33">
        <v>8.5869208813084096E-3</v>
      </c>
      <c r="AO5172" s="33">
        <v>4.6698778236299024E-4</v>
      </c>
    </row>
    <row r="5173" spans="39:41" x14ac:dyDescent="0.25">
      <c r="AM5173" s="2">
        <v>5170</v>
      </c>
      <c r="AN5173" s="33">
        <v>1.4572285653389862E-2</v>
      </c>
      <c r="AO5173" s="33">
        <v>1.0359308802759947E-3</v>
      </c>
    </row>
    <row r="5174" spans="39:41" x14ac:dyDescent="0.25">
      <c r="AM5174" s="2">
        <v>5171</v>
      </c>
      <c r="AN5174" s="33">
        <v>1.2767951560536863E-2</v>
      </c>
      <c r="AO5174" s="33">
        <v>9.1081008594391492E-4</v>
      </c>
    </row>
    <row r="5175" spans="39:41" x14ac:dyDescent="0.25">
      <c r="AM5175" s="2">
        <v>5172</v>
      </c>
      <c r="AN5175" s="33">
        <v>1.1467202646712251E-2</v>
      </c>
      <c r="AO5175" s="33">
        <v>7.7706011485324019E-4</v>
      </c>
    </row>
    <row r="5176" spans="39:41" x14ac:dyDescent="0.25">
      <c r="AM5176" s="2">
        <v>5173</v>
      </c>
      <c r="AN5176" s="33">
        <v>1.1164588464847847E-2</v>
      </c>
      <c r="AO5176" s="33">
        <v>8.8235123159613558E-4</v>
      </c>
    </row>
    <row r="5177" spans="39:41" x14ac:dyDescent="0.25">
      <c r="AM5177" s="2">
        <v>5174</v>
      </c>
      <c r="AN5177" s="33">
        <v>1.2251610437074806E-2</v>
      </c>
      <c r="AO5177" s="33">
        <v>9.0277734415717249E-4</v>
      </c>
    </row>
    <row r="5178" spans="39:41" x14ac:dyDescent="0.25">
      <c r="AM5178" s="2">
        <v>5175</v>
      </c>
      <c r="AN5178" s="33">
        <v>1.1257377548819924E-2</v>
      </c>
      <c r="AO5178" s="33">
        <v>8.0599542722107123E-4</v>
      </c>
    </row>
    <row r="5179" spans="39:41" x14ac:dyDescent="0.25">
      <c r="AM5179" s="2">
        <v>5176</v>
      </c>
      <c r="AN5179" s="33">
        <v>1.2083869857620414E-2</v>
      </c>
      <c r="AO5179" s="33">
        <v>8.8698472371291951E-4</v>
      </c>
    </row>
    <row r="5180" spans="39:41" x14ac:dyDescent="0.25">
      <c r="AM5180" s="2">
        <v>5177</v>
      </c>
      <c r="AN5180" s="33">
        <v>1.0026244499846541E-2</v>
      </c>
      <c r="AO5180" s="33">
        <v>6.3182315641159234E-4</v>
      </c>
    </row>
    <row r="5181" spans="39:41" x14ac:dyDescent="0.25">
      <c r="AM5181" s="2">
        <v>5178</v>
      </c>
      <c r="AN5181" s="33">
        <v>1.1321921929044826E-2</v>
      </c>
      <c r="AO5181" s="33">
        <v>8.782819474119749E-4</v>
      </c>
    </row>
    <row r="5182" spans="39:41" x14ac:dyDescent="0.25">
      <c r="AM5182" s="2">
        <v>5179</v>
      </c>
      <c r="AN5182" s="33">
        <v>9.1545939623553733E-3</v>
      </c>
      <c r="AO5182" s="33">
        <v>5.0230803251158894E-4</v>
      </c>
    </row>
    <row r="5183" spans="39:41" x14ac:dyDescent="0.25">
      <c r="AM5183" s="2">
        <v>5180</v>
      </c>
      <c r="AN5183" s="33">
        <v>1.2127884869064801E-2</v>
      </c>
      <c r="AO5183" s="33">
        <v>1.1842964191559017E-3</v>
      </c>
    </row>
    <row r="5184" spans="39:41" x14ac:dyDescent="0.25">
      <c r="AM5184" s="2">
        <v>5181</v>
      </c>
      <c r="AN5184" s="33">
        <v>1.1567839877499401E-2</v>
      </c>
      <c r="AO5184" s="33">
        <v>9.9441272851837829E-4</v>
      </c>
    </row>
    <row r="5185" spans="39:41" x14ac:dyDescent="0.25">
      <c r="AM5185" s="2">
        <v>5182</v>
      </c>
      <c r="AN5185" s="33">
        <v>1.3422516525075102E-2</v>
      </c>
      <c r="AO5185" s="33">
        <v>9.7463879396734576E-4</v>
      </c>
    </row>
    <row r="5186" spans="39:41" x14ac:dyDescent="0.25">
      <c r="AM5186" s="2">
        <v>5183</v>
      </c>
      <c r="AN5186" s="33">
        <v>8.3522399552016322E-3</v>
      </c>
      <c r="AO5186" s="33">
        <v>4.0771830441118593E-4</v>
      </c>
    </row>
    <row r="5187" spans="39:41" x14ac:dyDescent="0.25">
      <c r="AM5187" s="2">
        <v>5184</v>
      </c>
      <c r="AN5187" s="33">
        <v>9.5286483095515101E-3</v>
      </c>
      <c r="AO5187" s="33">
        <v>8.0096736761162992E-4</v>
      </c>
    </row>
    <row r="5188" spans="39:41" x14ac:dyDescent="0.25">
      <c r="AM5188" s="2">
        <v>5185</v>
      </c>
      <c r="AN5188" s="33">
        <v>1.2481359811724851E-2</v>
      </c>
      <c r="AO5188" s="33">
        <v>1.1219593974356938E-3</v>
      </c>
    </row>
    <row r="5189" spans="39:41" x14ac:dyDescent="0.25">
      <c r="AM5189" s="2">
        <v>5186</v>
      </c>
      <c r="AN5189" s="33">
        <v>1.3624489431853567E-2</v>
      </c>
      <c r="AO5189" s="33">
        <v>9.6264840658028276E-4</v>
      </c>
    </row>
    <row r="5190" spans="39:41" x14ac:dyDescent="0.25">
      <c r="AM5190" s="2">
        <v>5187</v>
      </c>
      <c r="AN5190" s="33">
        <v>1.01245842539561E-2</v>
      </c>
      <c r="AO5190" s="33">
        <v>9.9095054806518416E-4</v>
      </c>
    </row>
    <row r="5191" spans="39:41" x14ac:dyDescent="0.25">
      <c r="AM5191" s="2">
        <v>5188</v>
      </c>
      <c r="AN5191" s="33">
        <v>9.0942705091222337E-3</v>
      </c>
      <c r="AO5191" s="33">
        <v>8.1704797515710795E-4</v>
      </c>
    </row>
    <row r="5192" spans="39:41" x14ac:dyDescent="0.25">
      <c r="AM5192" s="2">
        <v>5189</v>
      </c>
      <c r="AN5192" s="33">
        <v>9.5867593695442045E-3</v>
      </c>
      <c r="AO5192" s="33">
        <v>3.5760579776028886E-4</v>
      </c>
    </row>
    <row r="5193" spans="39:41" x14ac:dyDescent="0.25">
      <c r="AM5193" s="2">
        <v>5190</v>
      </c>
      <c r="AN5193" s="33">
        <v>1.076534749307835E-2</v>
      </c>
      <c r="AO5193" s="33">
        <v>1.9758545629937883E-4</v>
      </c>
    </row>
    <row r="5194" spans="39:41" x14ac:dyDescent="0.25">
      <c r="AM5194" s="2">
        <v>5191</v>
      </c>
      <c r="AN5194" s="33">
        <v>9.0383597452686135E-3</v>
      </c>
      <c r="AO5194" s="33">
        <v>8.3018755098267238E-4</v>
      </c>
    </row>
    <row r="5195" spans="39:41" x14ac:dyDescent="0.25">
      <c r="AM5195" s="2">
        <v>5192</v>
      </c>
      <c r="AN5195" s="33">
        <v>1.0099609188790231E-2</v>
      </c>
      <c r="AO5195" s="33">
        <v>5.8312372776494353E-4</v>
      </c>
    </row>
    <row r="5196" spans="39:41" x14ac:dyDescent="0.25">
      <c r="AM5196" s="2">
        <v>5193</v>
      </c>
      <c r="AN5196" s="33">
        <v>1.4088231826869661E-2</v>
      </c>
      <c r="AO5196" s="33">
        <v>1.0967107659266384E-3</v>
      </c>
    </row>
    <row r="5197" spans="39:41" x14ac:dyDescent="0.25">
      <c r="AM5197" s="2">
        <v>5194</v>
      </c>
      <c r="AN5197" s="33">
        <v>1.1648193375967768E-2</v>
      </c>
      <c r="AO5197" s="33">
        <v>9.6769005163949444E-4</v>
      </c>
    </row>
    <row r="5198" spans="39:41" x14ac:dyDescent="0.25">
      <c r="AM5198" s="2">
        <v>5195</v>
      </c>
      <c r="AN5198" s="33">
        <v>1.3271594369047348E-2</v>
      </c>
      <c r="AO5198" s="33">
        <v>8.9552251962118532E-4</v>
      </c>
    </row>
    <row r="5199" spans="39:41" x14ac:dyDescent="0.25">
      <c r="AM5199" s="2">
        <v>5196</v>
      </c>
      <c r="AN5199" s="33">
        <v>1.650729901059993E-2</v>
      </c>
      <c r="AO5199" s="33">
        <v>1.4244651465677985E-3</v>
      </c>
    </row>
    <row r="5200" spans="39:41" x14ac:dyDescent="0.25">
      <c r="AM5200" s="2">
        <v>5197</v>
      </c>
      <c r="AN5200" s="33">
        <v>1.0591621459622204E-2</v>
      </c>
      <c r="AO5200" s="33">
        <v>9.0730796734661079E-4</v>
      </c>
    </row>
    <row r="5201" spans="39:41" x14ac:dyDescent="0.25">
      <c r="AM5201" s="2">
        <v>5198</v>
      </c>
      <c r="AN5201" s="33">
        <v>1.0254619376359441E-2</v>
      </c>
      <c r="AO5201" s="33">
        <v>9.7922175148550572E-4</v>
      </c>
    </row>
    <row r="5202" spans="39:41" x14ac:dyDescent="0.25">
      <c r="AM5202" s="2">
        <v>5199</v>
      </c>
      <c r="AN5202" s="33">
        <v>9.789658505499994E-3</v>
      </c>
      <c r="AO5202" s="33">
        <v>5.7176060030613123E-4</v>
      </c>
    </row>
    <row r="5203" spans="39:41" x14ac:dyDescent="0.25">
      <c r="AM5203" s="2">
        <v>5200</v>
      </c>
      <c r="AN5203" s="33">
        <v>8.3037234426214888E-3</v>
      </c>
      <c r="AO5203" s="33">
        <v>4.7251984766390231E-4</v>
      </c>
    </row>
    <row r="5204" spans="39:41" x14ac:dyDescent="0.25">
      <c r="AM5204" s="2">
        <v>5201</v>
      </c>
      <c r="AN5204" s="33">
        <v>1.2750505085199716E-2</v>
      </c>
      <c r="AO5204" s="33">
        <v>9.0338979423932534E-4</v>
      </c>
    </row>
    <row r="5205" spans="39:41" x14ac:dyDescent="0.25">
      <c r="AM5205" s="2">
        <v>5202</v>
      </c>
      <c r="AN5205" s="33">
        <v>1.0868435162030069E-2</v>
      </c>
      <c r="AO5205" s="33">
        <v>5.6531823416427769E-4</v>
      </c>
    </row>
    <row r="5206" spans="39:41" x14ac:dyDescent="0.25">
      <c r="AM5206" s="2">
        <v>5203</v>
      </c>
      <c r="AN5206" s="33">
        <v>8.4348686973040009E-3</v>
      </c>
      <c r="AO5206" s="33">
        <v>4.2487682184638953E-4</v>
      </c>
    </row>
    <row r="5207" spans="39:41" x14ac:dyDescent="0.25">
      <c r="AM5207" s="2">
        <v>5204</v>
      </c>
      <c r="AN5207" s="33">
        <v>7.9729628605406371E-3</v>
      </c>
      <c r="AO5207" s="33">
        <v>4.4574306534249847E-4</v>
      </c>
    </row>
    <row r="5208" spans="39:41" x14ac:dyDescent="0.25">
      <c r="AM5208" s="2">
        <v>5205</v>
      </c>
      <c r="AN5208" s="33">
        <v>1.3180476408070178E-2</v>
      </c>
      <c r="AO5208" s="33">
        <v>1.24384165768159E-3</v>
      </c>
    </row>
    <row r="5209" spans="39:41" x14ac:dyDescent="0.25">
      <c r="AM5209" s="2">
        <v>5206</v>
      </c>
      <c r="AN5209" s="33">
        <v>9.4611110509290799E-3</v>
      </c>
      <c r="AO5209" s="33">
        <v>7.8620652795023714E-4</v>
      </c>
    </row>
    <row r="5210" spans="39:41" x14ac:dyDescent="0.25">
      <c r="AM5210" s="2">
        <v>5207</v>
      </c>
      <c r="AN5210" s="33">
        <v>1.3400411226231602E-2</v>
      </c>
      <c r="AO5210" s="33">
        <v>9.7597216618979345E-4</v>
      </c>
    </row>
    <row r="5211" spans="39:41" x14ac:dyDescent="0.25">
      <c r="AM5211" s="2">
        <v>5208</v>
      </c>
      <c r="AN5211" s="33">
        <v>1.4066057322940119E-2</v>
      </c>
      <c r="AO5211" s="33">
        <v>1.2639018562232566E-3</v>
      </c>
    </row>
    <row r="5212" spans="39:41" x14ac:dyDescent="0.25">
      <c r="AM5212" s="2">
        <v>5209</v>
      </c>
      <c r="AN5212" s="33">
        <v>1.0147295763144371E-2</v>
      </c>
      <c r="AO5212" s="33">
        <v>6.334300053471815E-4</v>
      </c>
    </row>
    <row r="5213" spans="39:41" x14ac:dyDescent="0.25">
      <c r="AM5213" s="2">
        <v>5210</v>
      </c>
      <c r="AN5213" s="33">
        <v>1.5385988410912745E-2</v>
      </c>
      <c r="AO5213" s="33">
        <v>1.0180071026672786E-3</v>
      </c>
    </row>
    <row r="5214" spans="39:41" x14ac:dyDescent="0.25">
      <c r="AM5214" s="2">
        <v>5211</v>
      </c>
      <c r="AN5214" s="33">
        <v>1.4697188958539739E-2</v>
      </c>
      <c r="AO5214" s="33">
        <v>1.3897038594374714E-3</v>
      </c>
    </row>
    <row r="5215" spans="39:41" x14ac:dyDescent="0.25">
      <c r="AM5215" s="2">
        <v>5212</v>
      </c>
      <c r="AN5215" s="33">
        <v>7.2806547863393132E-3</v>
      </c>
      <c r="AO5215" s="33">
        <v>5.7870785942734854E-4</v>
      </c>
    </row>
    <row r="5216" spans="39:41" x14ac:dyDescent="0.25">
      <c r="AM5216" s="2">
        <v>5213</v>
      </c>
      <c r="AN5216" s="33">
        <v>1.1828155367171812E-2</v>
      </c>
      <c r="AO5216" s="33">
        <v>6.7451971378386204E-4</v>
      </c>
    </row>
    <row r="5217" spans="39:41" x14ac:dyDescent="0.25">
      <c r="AM5217" s="2">
        <v>5214</v>
      </c>
      <c r="AN5217" s="33">
        <v>1.3366098584669067E-2</v>
      </c>
      <c r="AO5217" s="33">
        <v>1.061234186691768E-3</v>
      </c>
    </row>
    <row r="5218" spans="39:41" x14ac:dyDescent="0.25">
      <c r="AM5218" s="2">
        <v>5215</v>
      </c>
      <c r="AN5218" s="33">
        <v>1.1477039809663617E-2</v>
      </c>
      <c r="AO5218" s="33">
        <v>7.5916998654031675E-4</v>
      </c>
    </row>
    <row r="5219" spans="39:41" x14ac:dyDescent="0.25">
      <c r="AM5219" s="2">
        <v>5216</v>
      </c>
      <c r="AN5219" s="33">
        <v>1.0730168317915395E-2</v>
      </c>
      <c r="AO5219" s="33">
        <v>1.0580988597867064E-3</v>
      </c>
    </row>
    <row r="5220" spans="39:41" x14ac:dyDescent="0.25">
      <c r="AM5220" s="2">
        <v>5217</v>
      </c>
      <c r="AN5220" s="33">
        <v>9.0044870734390867E-3</v>
      </c>
      <c r="AO5220" s="33">
        <v>4.3716922127597058E-4</v>
      </c>
    </row>
    <row r="5221" spans="39:41" x14ac:dyDescent="0.25">
      <c r="AM5221" s="2">
        <v>5218</v>
      </c>
      <c r="AN5221" s="33">
        <v>1.4756936882977854E-2</v>
      </c>
      <c r="AO5221" s="33">
        <v>1.182088880922169E-3</v>
      </c>
    </row>
    <row r="5222" spans="39:41" x14ac:dyDescent="0.25">
      <c r="AM5222" s="2">
        <v>5219</v>
      </c>
      <c r="AN5222" s="33">
        <v>1.4647067461163796E-2</v>
      </c>
      <c r="AO5222" s="33">
        <v>1.0480098922461825E-3</v>
      </c>
    </row>
    <row r="5223" spans="39:41" x14ac:dyDescent="0.25">
      <c r="AM5223" s="2">
        <v>5220</v>
      </c>
      <c r="AN5223" s="33">
        <v>1.3684191734295068E-2</v>
      </c>
      <c r="AO5223" s="33">
        <v>1.295766514498134E-3</v>
      </c>
    </row>
    <row r="5224" spans="39:41" x14ac:dyDescent="0.25">
      <c r="AM5224" s="2">
        <v>5221</v>
      </c>
      <c r="AN5224" s="33">
        <v>1.3550318752474871E-2</v>
      </c>
      <c r="AO5224" s="33">
        <v>1.1231393006363864E-3</v>
      </c>
    </row>
    <row r="5225" spans="39:41" x14ac:dyDescent="0.25">
      <c r="AM5225" s="2">
        <v>5222</v>
      </c>
      <c r="AN5225" s="33">
        <v>9.7330274400095791E-3</v>
      </c>
      <c r="AO5225" s="33">
        <v>7.2444823148737532E-4</v>
      </c>
    </row>
    <row r="5226" spans="39:41" x14ac:dyDescent="0.25">
      <c r="AM5226" s="2">
        <v>5223</v>
      </c>
      <c r="AN5226" s="33">
        <v>1.244441303876802E-2</v>
      </c>
      <c r="AO5226" s="33">
        <v>1.2825711593329515E-3</v>
      </c>
    </row>
    <row r="5227" spans="39:41" x14ac:dyDescent="0.25">
      <c r="AM5227" s="2">
        <v>5224</v>
      </c>
      <c r="AN5227" s="33">
        <v>1.2162415525298984E-2</v>
      </c>
      <c r="AO5227" s="33">
        <v>1.2252705981699067E-3</v>
      </c>
    </row>
    <row r="5228" spans="39:41" x14ac:dyDescent="0.25">
      <c r="AM5228" s="2">
        <v>5225</v>
      </c>
      <c r="AN5228" s="33">
        <v>1.246190584102797E-2</v>
      </c>
      <c r="AO5228" s="33">
        <v>1.3477530404253884E-3</v>
      </c>
    </row>
    <row r="5229" spans="39:41" x14ac:dyDescent="0.25">
      <c r="AM5229" s="2">
        <v>5226</v>
      </c>
      <c r="AN5229" s="33">
        <v>1.2749982417392957E-2</v>
      </c>
      <c r="AO5229" s="33">
        <v>7.4525416812269403E-4</v>
      </c>
    </row>
    <row r="5230" spans="39:41" x14ac:dyDescent="0.25">
      <c r="AM5230" s="2">
        <v>5227</v>
      </c>
      <c r="AN5230" s="33">
        <v>1.2730184942276542E-2</v>
      </c>
      <c r="AO5230" s="33">
        <v>7.3276720276831619E-4</v>
      </c>
    </row>
    <row r="5231" spans="39:41" x14ac:dyDescent="0.25">
      <c r="AM5231" s="2">
        <v>5228</v>
      </c>
      <c r="AN5231" s="33">
        <v>9.4576124182666962E-3</v>
      </c>
      <c r="AO5231" s="33">
        <v>3.7507431107393531E-4</v>
      </c>
    </row>
    <row r="5232" spans="39:41" x14ac:dyDescent="0.25">
      <c r="AM5232" s="2">
        <v>5229</v>
      </c>
      <c r="AN5232" s="33">
        <v>9.2299594420522033E-3</v>
      </c>
      <c r="AO5232" s="33">
        <v>5.3033569178766009E-4</v>
      </c>
    </row>
    <row r="5233" spans="39:41" x14ac:dyDescent="0.25">
      <c r="AM5233" s="2">
        <v>5230</v>
      </c>
      <c r="AN5233" s="33">
        <v>1.1259224645923565E-2</v>
      </c>
      <c r="AO5233" s="33">
        <v>6.189487691261236E-4</v>
      </c>
    </row>
    <row r="5234" spans="39:41" x14ac:dyDescent="0.25">
      <c r="AM5234" s="2">
        <v>5231</v>
      </c>
      <c r="AN5234" s="33">
        <v>7.7771854850236964E-3</v>
      </c>
      <c r="AO5234" s="33">
        <v>1.605057412298367E-4</v>
      </c>
    </row>
    <row r="5235" spans="39:41" x14ac:dyDescent="0.25">
      <c r="AM5235" s="2">
        <v>5232</v>
      </c>
      <c r="AN5235" s="33">
        <v>1.4698951054124566E-2</v>
      </c>
      <c r="AO5235" s="33">
        <v>3.8740115791087378E-4</v>
      </c>
    </row>
    <row r="5236" spans="39:41" x14ac:dyDescent="0.25">
      <c r="AM5236" s="2">
        <v>5233</v>
      </c>
      <c r="AN5236" s="33">
        <v>9.8332670547583989E-3</v>
      </c>
      <c r="AO5236" s="33">
        <v>3.1256238674194625E-4</v>
      </c>
    </row>
    <row r="5237" spans="39:41" x14ac:dyDescent="0.25">
      <c r="AM5237" s="2">
        <v>5234</v>
      </c>
      <c r="AN5237" s="33">
        <v>1.1044037443490869E-2</v>
      </c>
      <c r="AO5237" s="33">
        <v>3.2278443580686011E-4</v>
      </c>
    </row>
    <row r="5238" spans="39:41" x14ac:dyDescent="0.25">
      <c r="AM5238" s="2">
        <v>5235</v>
      </c>
      <c r="AN5238" s="33">
        <v>1.0326772244883058E-2</v>
      </c>
      <c r="AO5238" s="33">
        <v>6.542727455219956E-4</v>
      </c>
    </row>
    <row r="5239" spans="39:41" x14ac:dyDescent="0.25">
      <c r="AM5239" s="2">
        <v>5236</v>
      </c>
      <c r="AN5239" s="33">
        <v>1.3023932224398321E-2</v>
      </c>
      <c r="AO5239" s="33">
        <v>8.9662204903461005E-4</v>
      </c>
    </row>
    <row r="5240" spans="39:41" x14ac:dyDescent="0.25">
      <c r="AM5240" s="2">
        <v>5237</v>
      </c>
      <c r="AN5240" s="33">
        <v>1.1633973407229603E-2</v>
      </c>
      <c r="AO5240" s="33">
        <v>9.3315220513426431E-4</v>
      </c>
    </row>
    <row r="5241" spans="39:41" x14ac:dyDescent="0.25">
      <c r="AM5241" s="2">
        <v>5238</v>
      </c>
      <c r="AN5241" s="33">
        <v>1.2115819216875687E-2</v>
      </c>
      <c r="AO5241" s="33">
        <v>8.9087964769871152E-4</v>
      </c>
    </row>
    <row r="5242" spans="39:41" x14ac:dyDescent="0.25">
      <c r="AM5242" s="2">
        <v>5239</v>
      </c>
      <c r="AN5242" s="33">
        <v>1.3153100472731674E-2</v>
      </c>
      <c r="AO5242" s="33">
        <v>1.2319757491772612E-3</v>
      </c>
    </row>
    <row r="5243" spans="39:41" x14ac:dyDescent="0.25">
      <c r="AM5243" s="2">
        <v>5240</v>
      </c>
      <c r="AN5243" s="33">
        <v>1.0295812791997486E-2</v>
      </c>
      <c r="AO5243" s="33">
        <v>7.6344616572364887E-4</v>
      </c>
    </row>
    <row r="5244" spans="39:41" x14ac:dyDescent="0.25">
      <c r="AM5244" s="2">
        <v>5241</v>
      </c>
      <c r="AN5244" s="33">
        <v>9.6381842523266623E-3</v>
      </c>
      <c r="AO5244" s="33">
        <v>9.544363612228494E-4</v>
      </c>
    </row>
    <row r="5245" spans="39:41" x14ac:dyDescent="0.25">
      <c r="AM5245" s="2">
        <v>5242</v>
      </c>
      <c r="AN5245" s="33">
        <v>1.0873038627744438E-2</v>
      </c>
      <c r="AO5245" s="33">
        <v>8.6855946180291012E-4</v>
      </c>
    </row>
    <row r="5246" spans="39:41" x14ac:dyDescent="0.25">
      <c r="AM5246" s="2">
        <v>5243</v>
      </c>
      <c r="AN5246" s="33">
        <v>1.3114313726140211E-2</v>
      </c>
      <c r="AO5246" s="33">
        <v>6.9993875848693872E-4</v>
      </c>
    </row>
    <row r="5247" spans="39:41" x14ac:dyDescent="0.25">
      <c r="AM5247" s="2">
        <v>5244</v>
      </c>
      <c r="AN5247" s="33">
        <v>1.3158653167457656E-2</v>
      </c>
      <c r="AO5247" s="33">
        <v>8.388920775520178E-4</v>
      </c>
    </row>
    <row r="5248" spans="39:41" x14ac:dyDescent="0.25">
      <c r="AM5248" s="2">
        <v>5245</v>
      </c>
      <c r="AN5248" s="33">
        <v>1.2701613753937338E-2</v>
      </c>
      <c r="AO5248" s="33">
        <v>8.7961573145471845E-4</v>
      </c>
    </row>
    <row r="5249" spans="39:41" x14ac:dyDescent="0.25">
      <c r="AM5249" s="2">
        <v>5246</v>
      </c>
      <c r="AN5249" s="33">
        <v>1.1434999419181375E-2</v>
      </c>
      <c r="AO5249" s="33">
        <v>4.2251176994894237E-4</v>
      </c>
    </row>
    <row r="5250" spans="39:41" x14ac:dyDescent="0.25">
      <c r="AM5250" s="2">
        <v>5247</v>
      </c>
      <c r="AN5250" s="33">
        <v>1.0912044371466628E-2</v>
      </c>
      <c r="AO5250" s="33">
        <v>3.0419406981221442E-4</v>
      </c>
    </row>
    <row r="5251" spans="39:41" x14ac:dyDescent="0.25">
      <c r="AM5251" s="2">
        <v>5248</v>
      </c>
      <c r="AN5251" s="33">
        <v>1.5521097894670342E-2</v>
      </c>
      <c r="AO5251" s="33">
        <v>1.313347214802659E-3</v>
      </c>
    </row>
    <row r="5252" spans="39:41" x14ac:dyDescent="0.25">
      <c r="AM5252" s="2">
        <v>5249</v>
      </c>
      <c r="AN5252" s="33">
        <v>1.415762364834444E-2</v>
      </c>
      <c r="AO5252" s="33">
        <v>8.8760373374106773E-4</v>
      </c>
    </row>
    <row r="5253" spans="39:41" x14ac:dyDescent="0.25">
      <c r="AM5253" s="2">
        <v>5250</v>
      </c>
      <c r="AN5253" s="33">
        <v>9.3003279100230297E-3</v>
      </c>
      <c r="AO5253" s="33">
        <v>7.4569768309585541E-4</v>
      </c>
    </row>
    <row r="5254" spans="39:41" x14ac:dyDescent="0.25">
      <c r="AM5254" s="2">
        <v>5251</v>
      </c>
      <c r="AN5254" s="33">
        <v>1.2073041864136772E-2</v>
      </c>
      <c r="AO5254" s="33">
        <v>7.8691289028283765E-4</v>
      </c>
    </row>
    <row r="5255" spans="39:41" x14ac:dyDescent="0.25">
      <c r="AM5255" s="2">
        <v>5252</v>
      </c>
      <c r="AN5255" s="33">
        <v>1.1989824655061931E-2</v>
      </c>
      <c r="AO5255" s="33">
        <v>6.8427763544608785E-4</v>
      </c>
    </row>
    <row r="5256" spans="39:41" x14ac:dyDescent="0.25">
      <c r="AM5256" s="2">
        <v>5253</v>
      </c>
      <c r="AN5256" s="33">
        <v>1.2438372041647007E-2</v>
      </c>
      <c r="AO5256" s="33">
        <v>7.9392077054302754E-4</v>
      </c>
    </row>
    <row r="5257" spans="39:41" x14ac:dyDescent="0.25">
      <c r="AM5257" s="2">
        <v>5254</v>
      </c>
      <c r="AN5257" s="33">
        <v>9.3522198803301995E-3</v>
      </c>
      <c r="AO5257" s="33">
        <v>3.7711241213592969E-4</v>
      </c>
    </row>
    <row r="5258" spans="39:41" x14ac:dyDescent="0.25">
      <c r="AM5258" s="2">
        <v>5255</v>
      </c>
      <c r="AN5258" s="33">
        <v>1.2152775502819816E-2</v>
      </c>
      <c r="AO5258" s="33">
        <v>1.1015187477897677E-3</v>
      </c>
    </row>
    <row r="5259" spans="39:41" x14ac:dyDescent="0.25">
      <c r="AM5259" s="2">
        <v>5256</v>
      </c>
      <c r="AN5259" s="33">
        <v>1.4820627928086035E-2</v>
      </c>
      <c r="AO5259" s="33">
        <v>8.7319981317634122E-4</v>
      </c>
    </row>
    <row r="5260" spans="39:41" x14ac:dyDescent="0.25">
      <c r="AM5260" s="2">
        <v>5257</v>
      </c>
      <c r="AN5260" s="33">
        <v>1.0170440510676426E-2</v>
      </c>
      <c r="AO5260" s="33">
        <v>8.1553329638416061E-4</v>
      </c>
    </row>
    <row r="5261" spans="39:41" x14ac:dyDescent="0.25">
      <c r="AM5261" s="2">
        <v>5258</v>
      </c>
      <c r="AN5261" s="33">
        <v>1.4189811795781907E-2</v>
      </c>
      <c r="AO5261" s="33">
        <v>1.3246264226482946E-3</v>
      </c>
    </row>
    <row r="5262" spans="39:41" x14ac:dyDescent="0.25">
      <c r="AM5262" s="2">
        <v>5259</v>
      </c>
      <c r="AN5262" s="33">
        <v>1.0865444224129866E-2</v>
      </c>
      <c r="AO5262" s="33">
        <v>5.5967435870960512E-4</v>
      </c>
    </row>
    <row r="5263" spans="39:41" x14ac:dyDescent="0.25">
      <c r="AM5263" s="2">
        <v>5260</v>
      </c>
      <c r="AN5263" s="33">
        <v>1.2804221014597593E-2</v>
      </c>
      <c r="AO5263" s="33">
        <v>1.191729563950862E-3</v>
      </c>
    </row>
    <row r="5264" spans="39:41" x14ac:dyDescent="0.25">
      <c r="AM5264" s="2">
        <v>5261</v>
      </c>
      <c r="AN5264" s="33">
        <v>1.2693145004598854E-2</v>
      </c>
      <c r="AO5264" s="33">
        <v>1.0056460736131948E-3</v>
      </c>
    </row>
    <row r="5265" spans="39:41" x14ac:dyDescent="0.25">
      <c r="AM5265" s="2">
        <v>5262</v>
      </c>
      <c r="AN5265" s="33">
        <v>1.458117311969959E-2</v>
      </c>
      <c r="AO5265" s="33">
        <v>1.3808230174298883E-3</v>
      </c>
    </row>
    <row r="5266" spans="39:41" x14ac:dyDescent="0.25">
      <c r="AM5266" s="2">
        <v>5263</v>
      </c>
      <c r="AN5266" s="33">
        <v>1.2330759424811204E-2</v>
      </c>
      <c r="AO5266" s="33">
        <v>1.074917882491785E-3</v>
      </c>
    </row>
    <row r="5267" spans="39:41" x14ac:dyDescent="0.25">
      <c r="AM5267" s="2">
        <v>5264</v>
      </c>
      <c r="AN5267" s="33">
        <v>1.3837359672243824E-2</v>
      </c>
      <c r="AO5267" s="33">
        <v>8.6072966395930753E-4</v>
      </c>
    </row>
    <row r="5268" spans="39:41" x14ac:dyDescent="0.25">
      <c r="AM5268" s="2">
        <v>5265</v>
      </c>
      <c r="AN5268" s="33">
        <v>1.1357968518899111E-2</v>
      </c>
      <c r="AO5268" s="33">
        <v>6.9798921804396915E-4</v>
      </c>
    </row>
    <row r="5269" spans="39:41" x14ac:dyDescent="0.25">
      <c r="AM5269" s="2">
        <v>5266</v>
      </c>
      <c r="AN5269" s="33">
        <v>1.0614847873502959E-2</v>
      </c>
      <c r="AO5269" s="33">
        <v>4.5109975105384612E-4</v>
      </c>
    </row>
    <row r="5270" spans="39:41" x14ac:dyDescent="0.25">
      <c r="AM5270" s="2">
        <v>5267</v>
      </c>
      <c r="AN5270" s="33">
        <v>1.162074538804839E-2</v>
      </c>
      <c r="AO5270" s="33">
        <v>1.1245764891194008E-3</v>
      </c>
    </row>
    <row r="5271" spans="39:41" x14ac:dyDescent="0.25">
      <c r="AM5271" s="2">
        <v>5268</v>
      </c>
      <c r="AN5271" s="33">
        <v>8.3857758387182058E-3</v>
      </c>
      <c r="AO5271" s="33">
        <v>3.802734783839532E-4</v>
      </c>
    </row>
    <row r="5272" spans="39:41" x14ac:dyDescent="0.25">
      <c r="AM5272" s="2">
        <v>5269</v>
      </c>
      <c r="AN5272" s="33">
        <v>1.0067460951285081E-2</v>
      </c>
      <c r="AO5272" s="33">
        <v>7.5900025312154197E-4</v>
      </c>
    </row>
    <row r="5273" spans="39:41" x14ac:dyDescent="0.25">
      <c r="AM5273" s="2">
        <v>5270</v>
      </c>
      <c r="AN5273" s="33">
        <v>1.139022172072324E-2</v>
      </c>
      <c r="AO5273" s="33">
        <v>9.9070926001855464E-4</v>
      </c>
    </row>
    <row r="5274" spans="39:41" x14ac:dyDescent="0.25">
      <c r="AM5274" s="2">
        <v>5271</v>
      </c>
      <c r="AN5274" s="33">
        <v>1.1427259232438378E-2</v>
      </c>
      <c r="AO5274" s="33">
        <v>7.6674136690121203E-4</v>
      </c>
    </row>
    <row r="5275" spans="39:41" x14ac:dyDescent="0.25">
      <c r="AM5275" s="2">
        <v>5272</v>
      </c>
      <c r="AN5275" s="33">
        <v>1.3061301392437778E-2</v>
      </c>
      <c r="AO5275" s="33">
        <v>9.9110875652367952E-4</v>
      </c>
    </row>
    <row r="5276" spans="39:41" x14ac:dyDescent="0.25">
      <c r="AM5276" s="2">
        <v>5273</v>
      </c>
      <c r="AN5276" s="33">
        <v>1.6305581490429953E-2</v>
      </c>
      <c r="AO5276" s="33">
        <v>1.5406607795575842E-3</v>
      </c>
    </row>
    <row r="5277" spans="39:41" x14ac:dyDescent="0.25">
      <c r="AM5277" s="2">
        <v>5274</v>
      </c>
      <c r="AN5277" s="33">
        <v>1.3142233664221388E-2</v>
      </c>
      <c r="AO5277" s="33">
        <v>7.3544655691975397E-4</v>
      </c>
    </row>
    <row r="5278" spans="39:41" x14ac:dyDescent="0.25">
      <c r="AM5278" s="2">
        <v>5275</v>
      </c>
      <c r="AN5278" s="33">
        <v>1.2400655894461668E-2</v>
      </c>
      <c r="AO5278" s="33">
        <v>8.2147557710763881E-4</v>
      </c>
    </row>
    <row r="5279" spans="39:41" x14ac:dyDescent="0.25">
      <c r="AM5279" s="2">
        <v>5276</v>
      </c>
      <c r="AN5279" s="33">
        <v>1.1720661819251651E-2</v>
      </c>
      <c r="AO5279" s="33">
        <v>3.1926714976513099E-4</v>
      </c>
    </row>
    <row r="5280" spans="39:41" x14ac:dyDescent="0.25">
      <c r="AM5280" s="2">
        <v>5277</v>
      </c>
      <c r="AN5280" s="33">
        <v>1.0841900554523439E-2</v>
      </c>
      <c r="AO5280" s="33">
        <v>8.3138411211467931E-4</v>
      </c>
    </row>
    <row r="5281" spans="39:41" x14ac:dyDescent="0.25">
      <c r="AM5281" s="2">
        <v>5278</v>
      </c>
      <c r="AN5281" s="33">
        <v>8.8885737014961132E-3</v>
      </c>
      <c r="AO5281" s="33">
        <v>4.6491802439934543E-4</v>
      </c>
    </row>
    <row r="5282" spans="39:41" x14ac:dyDescent="0.25">
      <c r="AM5282" s="2">
        <v>5279</v>
      </c>
      <c r="AN5282" s="33">
        <v>1.1150930471687703E-2</v>
      </c>
      <c r="AO5282" s="33">
        <v>8.3238128414263887E-4</v>
      </c>
    </row>
    <row r="5283" spans="39:41" x14ac:dyDescent="0.25">
      <c r="AM5283" s="2">
        <v>5280</v>
      </c>
      <c r="AN5283" s="33">
        <v>1.2144409819143396E-2</v>
      </c>
      <c r="AO5283" s="33">
        <v>8.5670045518565334E-4</v>
      </c>
    </row>
    <row r="5284" spans="39:41" x14ac:dyDescent="0.25">
      <c r="AM5284" s="2">
        <v>5281</v>
      </c>
      <c r="AN5284" s="33">
        <v>1.0077439797534424E-2</v>
      </c>
      <c r="AO5284" s="33">
        <v>1.55636822063174E-4</v>
      </c>
    </row>
    <row r="5285" spans="39:41" x14ac:dyDescent="0.25">
      <c r="AM5285" s="2">
        <v>5282</v>
      </c>
      <c r="AN5285" s="33">
        <v>1.352155424392739E-2</v>
      </c>
      <c r="AO5285" s="33">
        <v>1.1918698733228092E-3</v>
      </c>
    </row>
    <row r="5286" spans="39:41" x14ac:dyDescent="0.25">
      <c r="AM5286" s="2">
        <v>5283</v>
      </c>
      <c r="AN5286" s="33">
        <v>1.174838025925343E-2</v>
      </c>
      <c r="AO5286" s="33">
        <v>9.5853781777558128E-4</v>
      </c>
    </row>
    <row r="5287" spans="39:41" x14ac:dyDescent="0.25">
      <c r="AM5287" s="2">
        <v>5284</v>
      </c>
      <c r="AN5287" s="33">
        <v>2.1998611953858872E-2</v>
      </c>
      <c r="AO5287" s="33">
        <v>1.8352333074617188E-3</v>
      </c>
    </row>
    <row r="5288" spans="39:41" x14ac:dyDescent="0.25">
      <c r="AM5288" s="2">
        <v>5285</v>
      </c>
      <c r="AN5288" s="33">
        <v>1.1406938072735105E-2</v>
      </c>
      <c r="AO5288" s="33">
        <v>5.8780753273223298E-4</v>
      </c>
    </row>
    <row r="5289" spans="39:41" x14ac:dyDescent="0.25">
      <c r="AM5289" s="2">
        <v>5286</v>
      </c>
      <c r="AN5289" s="33">
        <v>1.3318162618412017E-2</v>
      </c>
      <c r="AO5289" s="33">
        <v>1.3529590429539394E-3</v>
      </c>
    </row>
    <row r="5290" spans="39:41" x14ac:dyDescent="0.25">
      <c r="AM5290" s="2">
        <v>5287</v>
      </c>
      <c r="AN5290" s="33">
        <v>9.8988435464817792E-3</v>
      </c>
      <c r="AO5290" s="33">
        <v>4.6433627177733532E-4</v>
      </c>
    </row>
    <row r="5291" spans="39:41" x14ac:dyDescent="0.25">
      <c r="AM5291" s="2">
        <v>5288</v>
      </c>
      <c r="AN5291" s="33">
        <v>1.4274719201207924E-2</v>
      </c>
      <c r="AO5291" s="33">
        <v>1.0555695896425472E-3</v>
      </c>
    </row>
    <row r="5292" spans="39:41" x14ac:dyDescent="0.25">
      <c r="AM5292" s="2">
        <v>5289</v>
      </c>
      <c r="AN5292" s="33">
        <v>8.2147649525371614E-3</v>
      </c>
      <c r="AO5292" s="33">
        <v>2.867137253289916E-4</v>
      </c>
    </row>
    <row r="5293" spans="39:41" x14ac:dyDescent="0.25">
      <c r="AM5293" s="2">
        <v>5290</v>
      </c>
      <c r="AN5293" s="33">
        <v>1.1645787953024135E-2</v>
      </c>
      <c r="AO5293" s="33">
        <v>1.0337956473304953E-3</v>
      </c>
    </row>
    <row r="5294" spans="39:41" x14ac:dyDescent="0.25">
      <c r="AM5294" s="2">
        <v>5291</v>
      </c>
      <c r="AN5294" s="33">
        <v>1.15273568607435E-2</v>
      </c>
      <c r="AO5294" s="33">
        <v>5.9209984031935393E-4</v>
      </c>
    </row>
    <row r="5295" spans="39:41" x14ac:dyDescent="0.25">
      <c r="AM5295" s="2">
        <v>5292</v>
      </c>
      <c r="AN5295" s="33">
        <v>8.2422854224394135E-3</v>
      </c>
      <c r="AO5295" s="33">
        <v>4.7955704267672324E-4</v>
      </c>
    </row>
    <row r="5296" spans="39:41" x14ac:dyDescent="0.25">
      <c r="AM5296" s="2">
        <v>5293</v>
      </c>
      <c r="AN5296" s="33">
        <v>8.7019539221544866E-3</v>
      </c>
      <c r="AO5296" s="33">
        <v>5.7019455043124843E-4</v>
      </c>
    </row>
    <row r="5297" spans="39:41" x14ac:dyDescent="0.25">
      <c r="AM5297" s="2">
        <v>5294</v>
      </c>
      <c r="AN5297" s="33">
        <v>1.2830329581375229E-2</v>
      </c>
      <c r="AO5297" s="33">
        <v>5.7298497361678378E-4</v>
      </c>
    </row>
    <row r="5298" spans="39:41" x14ac:dyDescent="0.25">
      <c r="AM5298" s="2">
        <v>5295</v>
      </c>
      <c r="AN5298" s="33">
        <v>9.3831369837190631E-3</v>
      </c>
      <c r="AO5298" s="33">
        <v>4.9964343691775667E-4</v>
      </c>
    </row>
    <row r="5299" spans="39:41" x14ac:dyDescent="0.25">
      <c r="AM5299" s="2">
        <v>5296</v>
      </c>
      <c r="AN5299" s="33">
        <v>1.3412496405035392E-2</v>
      </c>
      <c r="AO5299" s="33">
        <v>1.2906375940994331E-3</v>
      </c>
    </row>
    <row r="5300" spans="39:41" x14ac:dyDescent="0.25">
      <c r="AM5300" s="2">
        <v>5297</v>
      </c>
      <c r="AN5300" s="33">
        <v>1.5567621666913235E-2</v>
      </c>
      <c r="AO5300" s="33">
        <v>1.4757607311844201E-3</v>
      </c>
    </row>
    <row r="5301" spans="39:41" x14ac:dyDescent="0.25">
      <c r="AM5301" s="2">
        <v>5298</v>
      </c>
      <c r="AN5301" s="33">
        <v>1.0385119169176824E-2</v>
      </c>
      <c r="AO5301" s="33">
        <v>8.011657030027418E-4</v>
      </c>
    </row>
    <row r="5302" spans="39:41" x14ac:dyDescent="0.25">
      <c r="AM5302" s="2">
        <v>5299</v>
      </c>
      <c r="AN5302" s="33">
        <v>1.1830795070724468E-2</v>
      </c>
      <c r="AO5302" s="33">
        <v>8.3365540156831689E-4</v>
      </c>
    </row>
    <row r="5303" spans="39:41" x14ac:dyDescent="0.25">
      <c r="AM5303" s="2">
        <v>5300</v>
      </c>
      <c r="AN5303" s="33">
        <v>1.0258186086865313E-2</v>
      </c>
      <c r="AO5303" s="33">
        <v>5.9990071152920968E-4</v>
      </c>
    </row>
    <row r="5304" spans="39:41" x14ac:dyDescent="0.25">
      <c r="AM5304" s="2">
        <v>5301</v>
      </c>
      <c r="AN5304" s="33">
        <v>1.1785366258109954E-2</v>
      </c>
      <c r="AO5304" s="33">
        <v>9.0111511195543643E-4</v>
      </c>
    </row>
    <row r="5305" spans="39:41" x14ac:dyDescent="0.25">
      <c r="AM5305" s="2">
        <v>5302</v>
      </c>
      <c r="AN5305" s="33">
        <v>1.1679492904783251E-2</v>
      </c>
      <c r="AO5305" s="33">
        <v>7.007214251748353E-4</v>
      </c>
    </row>
    <row r="5306" spans="39:41" x14ac:dyDescent="0.25">
      <c r="AM5306" s="2">
        <v>5303</v>
      </c>
      <c r="AN5306" s="33">
        <v>1.3773369556681604E-2</v>
      </c>
      <c r="AO5306" s="33">
        <v>1.203106028230889E-3</v>
      </c>
    </row>
    <row r="5307" spans="39:41" x14ac:dyDescent="0.25">
      <c r="AM5307" s="2">
        <v>5304</v>
      </c>
      <c r="AN5307" s="33">
        <v>1.0928225086844719E-2</v>
      </c>
      <c r="AO5307" s="33">
        <v>8.0091041082031955E-4</v>
      </c>
    </row>
    <row r="5308" spans="39:41" x14ac:dyDescent="0.25">
      <c r="AM5308" s="2">
        <v>5305</v>
      </c>
      <c r="AN5308" s="33">
        <v>1.1243935159739685E-2</v>
      </c>
      <c r="AO5308" s="33">
        <v>1.0813809554609827E-3</v>
      </c>
    </row>
    <row r="5309" spans="39:41" x14ac:dyDescent="0.25">
      <c r="AM5309" s="2">
        <v>5306</v>
      </c>
      <c r="AN5309" s="33">
        <v>8.0903624507338047E-3</v>
      </c>
      <c r="AO5309" s="33">
        <v>6.286217688439785E-4</v>
      </c>
    </row>
    <row r="5310" spans="39:41" x14ac:dyDescent="0.25">
      <c r="AM5310" s="2">
        <v>5307</v>
      </c>
      <c r="AN5310" s="33">
        <v>1.2715852018178981E-2</v>
      </c>
      <c r="AO5310" s="33">
        <v>1.1280068270621802E-3</v>
      </c>
    </row>
    <row r="5311" spans="39:41" x14ac:dyDescent="0.25">
      <c r="AM5311" s="2">
        <v>5308</v>
      </c>
      <c r="AN5311" s="33">
        <v>9.9872428232636364E-3</v>
      </c>
      <c r="AO5311" s="33">
        <v>8.5451826568722869E-4</v>
      </c>
    </row>
    <row r="5312" spans="39:41" x14ac:dyDescent="0.25">
      <c r="AM5312" s="2">
        <v>5309</v>
      </c>
      <c r="AN5312" s="33">
        <v>1.0649629119522112E-2</v>
      </c>
      <c r="AO5312" s="33">
        <v>9.0345802911830726E-4</v>
      </c>
    </row>
    <row r="5313" spans="39:41" x14ac:dyDescent="0.25">
      <c r="AM5313" s="2">
        <v>5310</v>
      </c>
      <c r="AN5313" s="33">
        <v>1.2945930655157678E-2</v>
      </c>
      <c r="AO5313" s="33">
        <v>4.3830151550160862E-4</v>
      </c>
    </row>
    <row r="5314" spans="39:41" x14ac:dyDescent="0.25">
      <c r="AM5314" s="2">
        <v>5311</v>
      </c>
      <c r="AN5314" s="33">
        <v>1.1282638502652124E-2</v>
      </c>
      <c r="AO5314" s="33">
        <v>1.190715193157374E-4</v>
      </c>
    </row>
    <row r="5315" spans="39:41" x14ac:dyDescent="0.25">
      <c r="AM5315" s="2">
        <v>5312</v>
      </c>
      <c r="AN5315" s="33">
        <v>1.3008091927805431E-2</v>
      </c>
      <c r="AO5315" s="33">
        <v>6.2477259391391902E-4</v>
      </c>
    </row>
    <row r="5316" spans="39:41" x14ac:dyDescent="0.25">
      <c r="AM5316" s="2">
        <v>5313</v>
      </c>
      <c r="AN5316" s="33">
        <v>1.2065210953980833E-2</v>
      </c>
      <c r="AO5316" s="33">
        <v>1.0541881304374496E-3</v>
      </c>
    </row>
    <row r="5317" spans="39:41" x14ac:dyDescent="0.25">
      <c r="AM5317" s="2">
        <v>5314</v>
      </c>
      <c r="AN5317" s="33">
        <v>9.2202783237016125E-3</v>
      </c>
      <c r="AO5317" s="33">
        <v>4.9656224944654619E-4</v>
      </c>
    </row>
    <row r="5318" spans="39:41" x14ac:dyDescent="0.25">
      <c r="AM5318" s="2">
        <v>5315</v>
      </c>
      <c r="AN5318" s="33">
        <v>1.2663924987049609E-2</v>
      </c>
      <c r="AO5318" s="33">
        <v>7.5376429379037774E-4</v>
      </c>
    </row>
    <row r="5319" spans="39:41" x14ac:dyDescent="0.25">
      <c r="AM5319" s="2">
        <v>5316</v>
      </c>
      <c r="AN5319" s="33">
        <v>8.7595945021769032E-3</v>
      </c>
      <c r="AO5319" s="33">
        <v>4.8569414049434945E-4</v>
      </c>
    </row>
    <row r="5320" spans="39:41" x14ac:dyDescent="0.25">
      <c r="AM5320" s="2">
        <v>5317</v>
      </c>
      <c r="AN5320" s="33">
        <v>1.3177700636477049E-2</v>
      </c>
      <c r="AO5320" s="33">
        <v>8.8892773799363817E-4</v>
      </c>
    </row>
    <row r="5321" spans="39:41" x14ac:dyDescent="0.25">
      <c r="AM5321" s="2">
        <v>5318</v>
      </c>
      <c r="AN5321" s="33">
        <v>1.727365360783515E-2</v>
      </c>
      <c r="AO5321" s="33">
        <v>1.8026808113108337E-3</v>
      </c>
    </row>
    <row r="5322" spans="39:41" x14ac:dyDescent="0.25">
      <c r="AM5322" s="2">
        <v>5319</v>
      </c>
      <c r="AN5322" s="33">
        <v>1.3428254802506683E-2</v>
      </c>
      <c r="AO5322" s="33">
        <v>9.7100267128553096E-4</v>
      </c>
    </row>
    <row r="5323" spans="39:41" x14ac:dyDescent="0.25">
      <c r="AM5323" s="2">
        <v>5320</v>
      </c>
      <c r="AN5323" s="33">
        <v>1.1275391758967185E-2</v>
      </c>
      <c r="AO5323" s="33">
        <v>5.5197671797776516E-4</v>
      </c>
    </row>
    <row r="5324" spans="39:41" x14ac:dyDescent="0.25">
      <c r="AM5324" s="2">
        <v>5321</v>
      </c>
      <c r="AN5324" s="33">
        <v>1.5349200931366016E-2</v>
      </c>
      <c r="AO5324" s="33">
        <v>1.4069316261258245E-3</v>
      </c>
    </row>
    <row r="5325" spans="39:41" x14ac:dyDescent="0.25">
      <c r="AM5325" s="2">
        <v>5322</v>
      </c>
      <c r="AN5325" s="33">
        <v>1.3402659902974257E-2</v>
      </c>
      <c r="AO5325" s="33">
        <v>8.8355388995814096E-4</v>
      </c>
    </row>
    <row r="5326" spans="39:41" x14ac:dyDescent="0.25">
      <c r="AM5326" s="2">
        <v>5323</v>
      </c>
      <c r="AN5326" s="33">
        <v>1.0521225488343538E-2</v>
      </c>
      <c r="AO5326" s="33">
        <v>5.3387007620556354E-4</v>
      </c>
    </row>
    <row r="5327" spans="39:41" x14ac:dyDescent="0.25">
      <c r="AM5327" s="2">
        <v>5324</v>
      </c>
      <c r="AN5327" s="33">
        <v>1.1429258359236329E-2</v>
      </c>
      <c r="AO5327" s="33">
        <v>8.9482792075945951E-4</v>
      </c>
    </row>
    <row r="5328" spans="39:41" x14ac:dyDescent="0.25">
      <c r="AM5328" s="2">
        <v>5325</v>
      </c>
      <c r="AN5328" s="33">
        <v>1.1729691519989205E-2</v>
      </c>
      <c r="AO5328" s="33">
        <v>7.7931125385154686E-4</v>
      </c>
    </row>
    <row r="5329" spans="39:41" x14ac:dyDescent="0.25">
      <c r="AM5329" s="2">
        <v>5326</v>
      </c>
      <c r="AN5329" s="33">
        <v>1.2035965878213574E-2</v>
      </c>
      <c r="AO5329" s="33">
        <v>9.672264942178309E-4</v>
      </c>
    </row>
    <row r="5330" spans="39:41" x14ac:dyDescent="0.25">
      <c r="AM5330" s="2">
        <v>5327</v>
      </c>
      <c r="AN5330" s="33">
        <v>9.8397910043434272E-3</v>
      </c>
      <c r="AO5330" s="33">
        <v>7.524188048665376E-4</v>
      </c>
    </row>
    <row r="5331" spans="39:41" x14ac:dyDescent="0.25">
      <c r="AM5331" s="2">
        <v>5328</v>
      </c>
      <c r="AN5331" s="33">
        <v>1.3183362620862223E-2</v>
      </c>
      <c r="AO5331" s="33">
        <v>1.2645177353104683E-3</v>
      </c>
    </row>
    <row r="5332" spans="39:41" x14ac:dyDescent="0.25">
      <c r="AM5332" s="2">
        <v>5329</v>
      </c>
      <c r="AN5332" s="33">
        <v>1.184145432706526E-2</v>
      </c>
      <c r="AO5332" s="33">
        <v>1.0374405118613755E-3</v>
      </c>
    </row>
    <row r="5333" spans="39:41" x14ac:dyDescent="0.25">
      <c r="AM5333" s="2">
        <v>5330</v>
      </c>
      <c r="AN5333" s="33">
        <v>1.1458540054519892E-2</v>
      </c>
      <c r="AO5333" s="33">
        <v>9.5235352764342729E-4</v>
      </c>
    </row>
    <row r="5334" spans="39:41" x14ac:dyDescent="0.25">
      <c r="AM5334" s="2">
        <v>5331</v>
      </c>
      <c r="AN5334" s="33">
        <v>1.3145921805002935E-2</v>
      </c>
      <c r="AO5334" s="33">
        <v>7.65416978414532E-4</v>
      </c>
    </row>
    <row r="5335" spans="39:41" x14ac:dyDescent="0.25">
      <c r="AM5335" s="2">
        <v>5332</v>
      </c>
      <c r="AN5335" s="33">
        <v>1.0773365179721463E-2</v>
      </c>
      <c r="AO5335" s="33">
        <v>7.4402944845021631E-4</v>
      </c>
    </row>
    <row r="5336" spans="39:41" x14ac:dyDescent="0.25">
      <c r="AM5336" s="2">
        <v>5333</v>
      </c>
      <c r="AN5336" s="33">
        <v>1.4205718625461512E-2</v>
      </c>
      <c r="AO5336" s="33">
        <v>1.0840977141318129E-3</v>
      </c>
    </row>
    <row r="5337" spans="39:41" x14ac:dyDescent="0.25">
      <c r="AM5337" s="2">
        <v>5334</v>
      </c>
      <c r="AN5337" s="33">
        <v>1.3020234111763731E-2</v>
      </c>
      <c r="AO5337" s="33">
        <v>1.1050471409748928E-3</v>
      </c>
    </row>
    <row r="5338" spans="39:41" x14ac:dyDescent="0.25">
      <c r="AM5338" s="2">
        <v>5335</v>
      </c>
      <c r="AN5338" s="33">
        <v>1.3177575956246617E-2</v>
      </c>
      <c r="AO5338" s="33">
        <v>1.3657181595566469E-3</v>
      </c>
    </row>
    <row r="5339" spans="39:41" x14ac:dyDescent="0.25">
      <c r="AM5339" s="2">
        <v>5336</v>
      </c>
      <c r="AN5339" s="33">
        <v>1.0761781294831926E-2</v>
      </c>
      <c r="AO5339" s="33">
        <v>4.8303029043304769E-4</v>
      </c>
    </row>
    <row r="5340" spans="39:41" x14ac:dyDescent="0.25">
      <c r="AM5340" s="2">
        <v>5337</v>
      </c>
      <c r="AN5340" s="33">
        <v>1.1647926846481763E-2</v>
      </c>
      <c r="AO5340" s="33">
        <v>1.2008993054556767E-3</v>
      </c>
    </row>
    <row r="5341" spans="39:41" x14ac:dyDescent="0.25">
      <c r="AM5341" s="2">
        <v>5338</v>
      </c>
      <c r="AN5341" s="33">
        <v>1.492702365551583E-2</v>
      </c>
      <c r="AO5341" s="33">
        <v>1.1876190824028484E-3</v>
      </c>
    </row>
    <row r="5342" spans="39:41" x14ac:dyDescent="0.25">
      <c r="AM5342" s="2">
        <v>5339</v>
      </c>
      <c r="AN5342" s="33">
        <v>8.4057254855290468E-3</v>
      </c>
      <c r="AO5342" s="33">
        <v>6.6534359957497906E-4</v>
      </c>
    </row>
    <row r="5343" spans="39:41" x14ac:dyDescent="0.25">
      <c r="AM5343" s="2">
        <v>5340</v>
      </c>
      <c r="AN5343" s="33">
        <v>1.2176866834712913E-2</v>
      </c>
      <c r="AO5343" s="33">
        <v>1.0868859866988883E-3</v>
      </c>
    </row>
    <row r="5344" spans="39:41" x14ac:dyDescent="0.25">
      <c r="AM5344" s="2">
        <v>5341</v>
      </c>
      <c r="AN5344" s="33">
        <v>1.3908748335055864E-2</v>
      </c>
      <c r="AO5344" s="33">
        <v>1.1427182423989484E-3</v>
      </c>
    </row>
    <row r="5345" spans="39:41" x14ac:dyDescent="0.25">
      <c r="AM5345" s="2">
        <v>5342</v>
      </c>
      <c r="AN5345" s="33">
        <v>9.4958004402771416E-3</v>
      </c>
      <c r="AO5345" s="33">
        <v>4.4851208617387433E-4</v>
      </c>
    </row>
    <row r="5346" spans="39:41" x14ac:dyDescent="0.25">
      <c r="AM5346" s="2">
        <v>5343</v>
      </c>
      <c r="AN5346" s="33">
        <v>1.092815561274431E-2</v>
      </c>
      <c r="AO5346" s="33">
        <v>3.8827739396707784E-4</v>
      </c>
    </row>
    <row r="5347" spans="39:41" x14ac:dyDescent="0.25">
      <c r="AM5347" s="2">
        <v>5344</v>
      </c>
      <c r="AN5347" s="33">
        <v>9.8931385227745035E-3</v>
      </c>
      <c r="AO5347" s="33">
        <v>6.1413340757990494E-4</v>
      </c>
    </row>
    <row r="5348" spans="39:41" x14ac:dyDescent="0.25">
      <c r="AM5348" s="2">
        <v>5345</v>
      </c>
      <c r="AN5348" s="33">
        <v>9.2256615692189684E-3</v>
      </c>
      <c r="AO5348" s="33">
        <v>7.6909655977967664E-4</v>
      </c>
    </row>
    <row r="5349" spans="39:41" x14ac:dyDescent="0.25">
      <c r="AM5349" s="2">
        <v>5346</v>
      </c>
      <c r="AN5349" s="33">
        <v>7.8379919602839954E-3</v>
      </c>
      <c r="AO5349" s="33">
        <v>6.9946469754179777E-4</v>
      </c>
    </row>
    <row r="5350" spans="39:41" x14ac:dyDescent="0.25">
      <c r="AM5350" s="2">
        <v>5347</v>
      </c>
      <c r="AN5350" s="33">
        <v>1.2416448312061668E-2</v>
      </c>
      <c r="AO5350" s="33">
        <v>9.0483290544710352E-4</v>
      </c>
    </row>
    <row r="5351" spans="39:41" x14ac:dyDescent="0.25">
      <c r="AM5351" s="2">
        <v>5348</v>
      </c>
      <c r="AN5351" s="33">
        <v>9.7832804408262367E-3</v>
      </c>
      <c r="AO5351" s="33">
        <v>6.7933380999597574E-4</v>
      </c>
    </row>
    <row r="5352" spans="39:41" x14ac:dyDescent="0.25">
      <c r="AM5352" s="2">
        <v>5349</v>
      </c>
      <c r="AN5352" s="33">
        <v>9.3913557076314869E-3</v>
      </c>
      <c r="AO5352" s="33">
        <v>5.6298630926555134E-4</v>
      </c>
    </row>
    <row r="5353" spans="39:41" x14ac:dyDescent="0.25">
      <c r="AM5353" s="2">
        <v>5350</v>
      </c>
      <c r="AN5353" s="33">
        <v>1.1042012894196531E-2</v>
      </c>
      <c r="AO5353" s="33">
        <v>7.5187948359744638E-4</v>
      </c>
    </row>
    <row r="5354" spans="39:41" x14ac:dyDescent="0.25">
      <c r="AM5354" s="2">
        <v>5351</v>
      </c>
      <c r="AN5354" s="33">
        <v>1.0489239521601728E-2</v>
      </c>
      <c r="AO5354" s="33">
        <v>2.258911621715978E-4</v>
      </c>
    </row>
    <row r="5355" spans="39:41" x14ac:dyDescent="0.25">
      <c r="AM5355" s="2">
        <v>5352</v>
      </c>
      <c r="AN5355" s="33">
        <v>1.0530944096573768E-2</v>
      </c>
      <c r="AO5355" s="33">
        <v>7.6564558955331081E-4</v>
      </c>
    </row>
    <row r="5356" spans="39:41" x14ac:dyDescent="0.25">
      <c r="AM5356" s="2">
        <v>5353</v>
      </c>
      <c r="AN5356" s="33">
        <v>1.0363062671568236E-2</v>
      </c>
      <c r="AO5356" s="33">
        <v>9.4854455756409575E-4</v>
      </c>
    </row>
    <row r="5357" spans="39:41" x14ac:dyDescent="0.25">
      <c r="AM5357" s="2">
        <v>5354</v>
      </c>
      <c r="AN5357" s="33">
        <v>9.0886493113995718E-3</v>
      </c>
      <c r="AO5357" s="33">
        <v>7.9974347673799392E-4</v>
      </c>
    </row>
    <row r="5358" spans="39:41" x14ac:dyDescent="0.25">
      <c r="AM5358" s="2">
        <v>5355</v>
      </c>
      <c r="AN5358" s="33">
        <v>1.0824933417847928E-2</v>
      </c>
      <c r="AO5358" s="33">
        <v>7.4265963015014474E-4</v>
      </c>
    </row>
    <row r="5359" spans="39:41" x14ac:dyDescent="0.25">
      <c r="AM5359" s="2">
        <v>5356</v>
      </c>
      <c r="AN5359" s="33">
        <v>9.7984707368958951E-3</v>
      </c>
      <c r="AO5359" s="33">
        <v>4.9466825339380049E-4</v>
      </c>
    </row>
    <row r="5360" spans="39:41" x14ac:dyDescent="0.25">
      <c r="AM5360" s="2">
        <v>5357</v>
      </c>
      <c r="AN5360" s="33">
        <v>1.4233127792231274E-2</v>
      </c>
      <c r="AO5360" s="33">
        <v>1.305849432443283E-3</v>
      </c>
    </row>
    <row r="5361" spans="39:41" x14ac:dyDescent="0.25">
      <c r="AM5361" s="2">
        <v>5358</v>
      </c>
      <c r="AN5361" s="33">
        <v>8.3400384451329697E-3</v>
      </c>
      <c r="AO5361" s="33">
        <v>6.5482360931861164E-4</v>
      </c>
    </row>
    <row r="5362" spans="39:41" x14ac:dyDescent="0.25">
      <c r="AM5362" s="2">
        <v>5359</v>
      </c>
      <c r="AN5362" s="33">
        <v>1.559993099264179E-2</v>
      </c>
      <c r="AO5362" s="33">
        <v>1.0674340891114673E-3</v>
      </c>
    </row>
    <row r="5363" spans="39:41" x14ac:dyDescent="0.25">
      <c r="AM5363" s="2">
        <v>5360</v>
      </c>
      <c r="AN5363" s="33">
        <v>9.6714079333754012E-3</v>
      </c>
      <c r="AO5363" s="33">
        <v>7.9089320125040597E-4</v>
      </c>
    </row>
    <row r="5364" spans="39:41" x14ac:dyDescent="0.25">
      <c r="AM5364" s="2">
        <v>5361</v>
      </c>
      <c r="AN5364" s="33">
        <v>1.2085104043902463E-2</v>
      </c>
      <c r="AO5364" s="33">
        <v>1.083074680637145E-3</v>
      </c>
    </row>
    <row r="5365" spans="39:41" x14ac:dyDescent="0.25">
      <c r="AM5365" s="2">
        <v>5362</v>
      </c>
      <c r="AN5365" s="33">
        <v>1.3178456103896593E-2</v>
      </c>
      <c r="AO5365" s="33">
        <v>8.0822684241537714E-4</v>
      </c>
    </row>
    <row r="5366" spans="39:41" x14ac:dyDescent="0.25">
      <c r="AM5366" s="2">
        <v>5363</v>
      </c>
      <c r="AN5366" s="33">
        <v>1.2237774256896863E-2</v>
      </c>
      <c r="AO5366" s="33">
        <v>1.1823078470310066E-3</v>
      </c>
    </row>
    <row r="5367" spans="39:41" x14ac:dyDescent="0.25">
      <c r="AM5367" s="2">
        <v>5364</v>
      </c>
      <c r="AN5367" s="33">
        <v>9.4817624909749754E-3</v>
      </c>
      <c r="AO5367" s="33">
        <v>7.6986732830848319E-4</v>
      </c>
    </row>
    <row r="5368" spans="39:41" x14ac:dyDescent="0.25">
      <c r="AM5368" s="2">
        <v>5365</v>
      </c>
      <c r="AN5368" s="33">
        <v>1.41069739935589E-2</v>
      </c>
      <c r="AO5368" s="33">
        <v>1.3987462959011499E-3</v>
      </c>
    </row>
    <row r="5369" spans="39:41" x14ac:dyDescent="0.25">
      <c r="AM5369" s="2">
        <v>5366</v>
      </c>
      <c r="AN5369" s="33">
        <v>1.0945774022082818E-2</v>
      </c>
      <c r="AO5369" s="33">
        <v>7.1703048669594126E-4</v>
      </c>
    </row>
    <row r="5370" spans="39:41" x14ac:dyDescent="0.25">
      <c r="AM5370" s="2">
        <v>5367</v>
      </c>
      <c r="AN5370" s="33">
        <v>1.3613601291579796E-2</v>
      </c>
      <c r="AO5370" s="33">
        <v>1.068552025728333E-3</v>
      </c>
    </row>
    <row r="5371" spans="39:41" x14ac:dyDescent="0.25">
      <c r="AM5371" s="2">
        <v>5368</v>
      </c>
      <c r="AN5371" s="33">
        <v>1.3245337641099328E-2</v>
      </c>
      <c r="AO5371" s="33">
        <v>9.1586096088018727E-4</v>
      </c>
    </row>
    <row r="5372" spans="39:41" x14ac:dyDescent="0.25">
      <c r="AM5372" s="2">
        <v>5369</v>
      </c>
      <c r="AN5372" s="33">
        <v>1.1956681236257496E-2</v>
      </c>
      <c r="AO5372" s="33">
        <v>9.6270276988213348E-4</v>
      </c>
    </row>
    <row r="5373" spans="39:41" x14ac:dyDescent="0.25">
      <c r="AM5373" s="2">
        <v>5370</v>
      </c>
      <c r="AN5373" s="33">
        <v>1.7558467976605072E-2</v>
      </c>
      <c r="AO5373" s="33">
        <v>1.794300569590191E-3</v>
      </c>
    </row>
    <row r="5374" spans="39:41" x14ac:dyDescent="0.25">
      <c r="AM5374" s="2">
        <v>5371</v>
      </c>
      <c r="AN5374" s="33">
        <v>1.0897551035694506E-2</v>
      </c>
      <c r="AO5374" s="33">
        <v>6.0394034986889912E-4</v>
      </c>
    </row>
    <row r="5375" spans="39:41" x14ac:dyDescent="0.25">
      <c r="AM5375" s="2">
        <v>5372</v>
      </c>
      <c r="AN5375" s="33">
        <v>8.1701643893385308E-3</v>
      </c>
      <c r="AO5375" s="33">
        <v>5.4456119405064723E-4</v>
      </c>
    </row>
    <row r="5376" spans="39:41" x14ac:dyDescent="0.25">
      <c r="AM5376" s="2">
        <v>5373</v>
      </c>
      <c r="AN5376" s="33">
        <v>1.0115283618105585E-2</v>
      </c>
      <c r="AO5376" s="33">
        <v>3.9431716398784559E-4</v>
      </c>
    </row>
    <row r="5377" spans="39:41" x14ac:dyDescent="0.25">
      <c r="AM5377" s="2">
        <v>5374</v>
      </c>
      <c r="AN5377" s="33">
        <v>1.2683262302263968E-2</v>
      </c>
      <c r="AO5377" s="33">
        <v>9.3148705396568071E-4</v>
      </c>
    </row>
    <row r="5378" spans="39:41" x14ac:dyDescent="0.25">
      <c r="AM5378" s="2">
        <v>5375</v>
      </c>
      <c r="AN5378" s="33">
        <v>1.041603529201946E-2</v>
      </c>
      <c r="AO5378" s="33">
        <v>6.6898177475630905E-4</v>
      </c>
    </row>
    <row r="5379" spans="39:41" x14ac:dyDescent="0.25">
      <c r="AM5379" s="2">
        <v>5376</v>
      </c>
      <c r="AN5379" s="33">
        <v>1.2356886099996659E-2</v>
      </c>
      <c r="AO5379" s="33">
        <v>1.1976399877526357E-3</v>
      </c>
    </row>
    <row r="5380" spans="39:41" x14ac:dyDescent="0.25">
      <c r="AM5380" s="2">
        <v>5377</v>
      </c>
      <c r="AN5380" s="33">
        <v>1.3258319118998508E-2</v>
      </c>
      <c r="AO5380" s="33">
        <v>6.474745756902421E-4</v>
      </c>
    </row>
    <row r="5381" spans="39:41" x14ac:dyDescent="0.25">
      <c r="AM5381" s="2">
        <v>5378</v>
      </c>
      <c r="AN5381" s="33">
        <v>7.6430131038833062E-3</v>
      </c>
      <c r="AO5381" s="33">
        <v>4.4251609948446152E-4</v>
      </c>
    </row>
    <row r="5382" spans="39:41" x14ac:dyDescent="0.25">
      <c r="AM5382" s="2">
        <v>5379</v>
      </c>
      <c r="AN5382" s="33">
        <v>8.4225781575660904E-3</v>
      </c>
      <c r="AO5382" s="33">
        <v>6.8816428389381276E-4</v>
      </c>
    </row>
    <row r="5383" spans="39:41" x14ac:dyDescent="0.25">
      <c r="AM5383" s="2">
        <v>5380</v>
      </c>
      <c r="AN5383" s="33">
        <v>1.392329494935351E-2</v>
      </c>
      <c r="AO5383" s="33">
        <v>1.1561006169664449E-3</v>
      </c>
    </row>
    <row r="5384" spans="39:41" x14ac:dyDescent="0.25">
      <c r="AM5384" s="2">
        <v>5381</v>
      </c>
      <c r="AN5384" s="33">
        <v>1.2565224499485883E-2</v>
      </c>
      <c r="AO5384" s="33">
        <v>8.4045527979132589E-4</v>
      </c>
    </row>
    <row r="5385" spans="39:41" x14ac:dyDescent="0.25">
      <c r="AM5385" s="2">
        <v>5382</v>
      </c>
      <c r="AN5385" s="33">
        <v>1.6707750695357806E-2</v>
      </c>
      <c r="AO5385" s="33">
        <v>1.1014125845579706E-3</v>
      </c>
    </row>
    <row r="5386" spans="39:41" x14ac:dyDescent="0.25">
      <c r="AM5386" s="2">
        <v>5383</v>
      </c>
      <c r="AN5386" s="33">
        <v>9.2662134488518417E-3</v>
      </c>
      <c r="AO5386" s="33">
        <v>2.414130287155357E-4</v>
      </c>
    </row>
    <row r="5387" spans="39:41" x14ac:dyDescent="0.25">
      <c r="AM5387" s="2">
        <v>5384</v>
      </c>
      <c r="AN5387" s="33">
        <v>1.3703299799822252E-2</v>
      </c>
      <c r="AO5387" s="33">
        <v>1.1118260445075611E-3</v>
      </c>
    </row>
    <row r="5388" spans="39:41" x14ac:dyDescent="0.25">
      <c r="AM5388" s="2">
        <v>5385</v>
      </c>
      <c r="AN5388" s="33">
        <v>1.4450148942320157E-2</v>
      </c>
      <c r="AO5388" s="33">
        <v>7.6914264928166435E-4</v>
      </c>
    </row>
    <row r="5389" spans="39:41" x14ac:dyDescent="0.25">
      <c r="AM5389" s="2">
        <v>5386</v>
      </c>
      <c r="AN5389" s="33">
        <v>2.0383539594502228E-2</v>
      </c>
      <c r="AO5389" s="33">
        <v>1.9059498333190304E-3</v>
      </c>
    </row>
    <row r="5390" spans="39:41" x14ac:dyDescent="0.25">
      <c r="AM5390" s="2">
        <v>5387</v>
      </c>
      <c r="AN5390" s="33">
        <v>1.2309205326208876E-2</v>
      </c>
      <c r="AO5390" s="33">
        <v>9.3979975346035406E-4</v>
      </c>
    </row>
    <row r="5391" spans="39:41" x14ac:dyDescent="0.25">
      <c r="AM5391" s="2">
        <v>5388</v>
      </c>
      <c r="AN5391" s="33">
        <v>1.1210495647754774E-2</v>
      </c>
      <c r="AO5391" s="33">
        <v>7.7440385095009902E-4</v>
      </c>
    </row>
    <row r="5392" spans="39:41" x14ac:dyDescent="0.25">
      <c r="AM5392" s="2">
        <v>5389</v>
      </c>
      <c r="AN5392" s="33">
        <v>1.0105816250733615E-2</v>
      </c>
      <c r="AO5392" s="33">
        <v>9.5938734177592323E-4</v>
      </c>
    </row>
    <row r="5393" spans="39:41" x14ac:dyDescent="0.25">
      <c r="AM5393" s="2">
        <v>5390</v>
      </c>
      <c r="AN5393" s="33">
        <v>1.5557214220815227E-2</v>
      </c>
      <c r="AO5393" s="33">
        <v>1.3955633052795938E-3</v>
      </c>
    </row>
    <row r="5394" spans="39:41" x14ac:dyDescent="0.25">
      <c r="AM5394" s="2">
        <v>5391</v>
      </c>
      <c r="AN5394" s="33">
        <v>1.0700043970120024E-2</v>
      </c>
      <c r="AO5394" s="33">
        <v>7.9984463378888386E-4</v>
      </c>
    </row>
    <row r="5395" spans="39:41" x14ac:dyDescent="0.25">
      <c r="AM5395" s="2">
        <v>5392</v>
      </c>
      <c r="AN5395" s="33">
        <v>1.0124591581292853E-2</v>
      </c>
      <c r="AO5395" s="33">
        <v>6.5959625663503324E-4</v>
      </c>
    </row>
    <row r="5396" spans="39:41" x14ac:dyDescent="0.25">
      <c r="AM5396" s="2">
        <v>5393</v>
      </c>
      <c r="AN5396" s="33">
        <v>1.2066241088394864E-2</v>
      </c>
      <c r="AO5396" s="33">
        <v>1.1076174933039396E-3</v>
      </c>
    </row>
    <row r="5397" spans="39:41" x14ac:dyDescent="0.25">
      <c r="AM5397" s="2">
        <v>5394</v>
      </c>
      <c r="AN5397" s="33">
        <v>1.3235239824142752E-2</v>
      </c>
      <c r="AO5397" s="33">
        <v>7.4807883414614788E-4</v>
      </c>
    </row>
    <row r="5398" spans="39:41" x14ac:dyDescent="0.25">
      <c r="AM5398" s="2">
        <v>5395</v>
      </c>
      <c r="AN5398" s="33">
        <v>1.171185217319661E-2</v>
      </c>
      <c r="AO5398" s="33">
        <v>6.5335286854830863E-4</v>
      </c>
    </row>
    <row r="5399" spans="39:41" x14ac:dyDescent="0.25">
      <c r="AM5399" s="2">
        <v>5396</v>
      </c>
      <c r="AN5399" s="33">
        <v>8.3029801020729418E-3</v>
      </c>
      <c r="AO5399" s="33">
        <v>6.6755129250365428E-4</v>
      </c>
    </row>
    <row r="5400" spans="39:41" x14ac:dyDescent="0.25">
      <c r="AM5400" s="2">
        <v>5397</v>
      </c>
      <c r="AN5400" s="33">
        <v>1.1252388455269246E-2</v>
      </c>
      <c r="AO5400" s="33">
        <v>8.6577419395598618E-4</v>
      </c>
    </row>
    <row r="5401" spans="39:41" x14ac:dyDescent="0.25">
      <c r="AM5401" s="2">
        <v>5398</v>
      </c>
      <c r="AN5401" s="33">
        <v>1.2182762132632658E-2</v>
      </c>
      <c r="AO5401" s="33">
        <v>7.2137617000368011E-4</v>
      </c>
    </row>
    <row r="5402" spans="39:41" x14ac:dyDescent="0.25">
      <c r="AM5402" s="2">
        <v>5399</v>
      </c>
      <c r="AN5402" s="33">
        <v>1.2749691546979027E-2</v>
      </c>
      <c r="AO5402" s="33">
        <v>9.7698283014137116E-4</v>
      </c>
    </row>
    <row r="5403" spans="39:41" x14ac:dyDescent="0.25">
      <c r="AM5403" s="2">
        <v>5400</v>
      </c>
      <c r="AN5403" s="33">
        <v>1.3515415914627082E-2</v>
      </c>
      <c r="AO5403" s="33">
        <v>1.0398391380895637E-3</v>
      </c>
    </row>
    <row r="5404" spans="39:41" x14ac:dyDescent="0.25">
      <c r="AM5404" s="2">
        <v>5401</v>
      </c>
      <c r="AN5404" s="33">
        <v>9.4390727593133793E-3</v>
      </c>
      <c r="AO5404" s="33">
        <v>4.4690654214381921E-4</v>
      </c>
    </row>
    <row r="5405" spans="39:41" x14ac:dyDescent="0.25">
      <c r="AM5405" s="2">
        <v>5402</v>
      </c>
      <c r="AN5405" s="33">
        <v>1.1176217513635935E-2</v>
      </c>
      <c r="AO5405" s="33">
        <v>3.8450868821241673E-4</v>
      </c>
    </row>
    <row r="5406" spans="39:41" x14ac:dyDescent="0.25">
      <c r="AM5406" s="2">
        <v>5403</v>
      </c>
      <c r="AN5406" s="33">
        <v>9.522756508088235E-3</v>
      </c>
      <c r="AO5406" s="33">
        <v>3.5022595506916027E-4</v>
      </c>
    </row>
    <row r="5407" spans="39:41" x14ac:dyDescent="0.25">
      <c r="AM5407" s="2">
        <v>5404</v>
      </c>
      <c r="AN5407" s="33">
        <v>1.4719001899332547E-2</v>
      </c>
      <c r="AO5407" s="33">
        <v>7.8151586643260317E-4</v>
      </c>
    </row>
    <row r="5408" spans="39:41" x14ac:dyDescent="0.25">
      <c r="AM5408" s="2">
        <v>5405</v>
      </c>
      <c r="AN5408" s="33">
        <v>1.0428144312241646E-2</v>
      </c>
      <c r="AO5408" s="33">
        <v>6.2029912684395455E-4</v>
      </c>
    </row>
    <row r="5409" spans="39:41" x14ac:dyDescent="0.25">
      <c r="AM5409" s="2">
        <v>5406</v>
      </c>
      <c r="AN5409" s="33">
        <v>1.2378494822507646E-2</v>
      </c>
      <c r="AO5409" s="33">
        <v>1.133486523538693E-3</v>
      </c>
    </row>
    <row r="5410" spans="39:41" x14ac:dyDescent="0.25">
      <c r="AM5410" s="2">
        <v>5407</v>
      </c>
      <c r="AN5410" s="33">
        <v>1.2312040212857032E-2</v>
      </c>
      <c r="AO5410" s="33">
        <v>1.0721330888202026E-3</v>
      </c>
    </row>
    <row r="5411" spans="39:41" x14ac:dyDescent="0.25">
      <c r="AM5411" s="2">
        <v>5408</v>
      </c>
      <c r="AN5411" s="33">
        <v>1.256677737518243E-2</v>
      </c>
      <c r="AO5411" s="33">
        <v>9.9019244257212108E-4</v>
      </c>
    </row>
    <row r="5412" spans="39:41" x14ac:dyDescent="0.25">
      <c r="AM5412" s="2">
        <v>5409</v>
      </c>
      <c r="AN5412" s="33">
        <v>1.3192071527584932E-2</v>
      </c>
      <c r="AO5412" s="33">
        <v>6.1995875059839257E-4</v>
      </c>
    </row>
    <row r="5413" spans="39:41" x14ac:dyDescent="0.25">
      <c r="AM5413" s="2">
        <v>5410</v>
      </c>
      <c r="AN5413" s="33">
        <v>1.2962619561507809E-2</v>
      </c>
      <c r="AO5413" s="33">
        <v>9.5875837133262728E-4</v>
      </c>
    </row>
    <row r="5414" spans="39:41" x14ac:dyDescent="0.25">
      <c r="AM5414" s="2">
        <v>5411</v>
      </c>
      <c r="AN5414" s="33">
        <v>1.0457248049702366E-2</v>
      </c>
      <c r="AO5414" s="33">
        <v>1.0253115296267451E-3</v>
      </c>
    </row>
    <row r="5415" spans="39:41" x14ac:dyDescent="0.25">
      <c r="AM5415" s="2">
        <v>5412</v>
      </c>
      <c r="AN5415" s="33">
        <v>9.7226290134528846E-3</v>
      </c>
      <c r="AO5415" s="33">
        <v>5.9700819588670519E-4</v>
      </c>
    </row>
    <row r="5416" spans="39:41" x14ac:dyDescent="0.25">
      <c r="AM5416" s="2">
        <v>5413</v>
      </c>
      <c r="AN5416" s="33">
        <v>1.0486673698137907E-2</v>
      </c>
      <c r="AO5416" s="33">
        <v>4.8873141109137693E-4</v>
      </c>
    </row>
    <row r="5417" spans="39:41" x14ac:dyDescent="0.25">
      <c r="AM5417" s="2">
        <v>5414</v>
      </c>
      <c r="AN5417" s="33">
        <v>1.3846644072728407E-2</v>
      </c>
      <c r="AO5417" s="33">
        <v>1.1770903629478573E-3</v>
      </c>
    </row>
    <row r="5418" spans="39:41" x14ac:dyDescent="0.25">
      <c r="AM5418" s="2">
        <v>5415</v>
      </c>
      <c r="AN5418" s="33">
        <v>1.0946382950227854E-2</v>
      </c>
      <c r="AO5418" s="33">
        <v>8.4778138652759902E-4</v>
      </c>
    </row>
    <row r="5419" spans="39:41" x14ac:dyDescent="0.25">
      <c r="AM5419" s="2">
        <v>5416</v>
      </c>
      <c r="AN5419" s="33">
        <v>1.2577048401642843E-2</v>
      </c>
      <c r="AO5419" s="33">
        <v>1.106733238498923E-3</v>
      </c>
    </row>
    <row r="5420" spans="39:41" x14ac:dyDescent="0.25">
      <c r="AM5420" s="2">
        <v>5417</v>
      </c>
      <c r="AN5420" s="33">
        <v>8.3459177707435172E-3</v>
      </c>
      <c r="AO5420" s="33">
        <v>5.4423151149816614E-4</v>
      </c>
    </row>
    <row r="5421" spans="39:41" x14ac:dyDescent="0.25">
      <c r="AM5421" s="2">
        <v>5418</v>
      </c>
      <c r="AN5421" s="33">
        <v>1.2210835569653656E-2</v>
      </c>
      <c r="AO5421" s="33">
        <v>9.2143356012226859E-4</v>
      </c>
    </row>
    <row r="5422" spans="39:41" x14ac:dyDescent="0.25">
      <c r="AM5422" s="2">
        <v>5419</v>
      </c>
      <c r="AN5422" s="33">
        <v>1.1935879260675908E-2</v>
      </c>
      <c r="AO5422" s="33">
        <v>9.0584425170806763E-4</v>
      </c>
    </row>
    <row r="5423" spans="39:41" x14ac:dyDescent="0.25">
      <c r="AM5423" s="2">
        <v>5420</v>
      </c>
      <c r="AN5423" s="33">
        <v>1.181006254644814E-2</v>
      </c>
      <c r="AO5423" s="33">
        <v>9.8431682221907174E-4</v>
      </c>
    </row>
    <row r="5424" spans="39:41" x14ac:dyDescent="0.25">
      <c r="AM5424" s="2">
        <v>5421</v>
      </c>
      <c r="AN5424" s="33">
        <v>1.1496121162433754E-2</v>
      </c>
      <c r="AO5424" s="33">
        <v>9.017418446666184E-4</v>
      </c>
    </row>
    <row r="5425" spans="39:41" x14ac:dyDescent="0.25">
      <c r="AM5425" s="2">
        <v>5422</v>
      </c>
      <c r="AN5425" s="33">
        <v>1.345923856978082E-2</v>
      </c>
      <c r="AO5425" s="33">
        <v>1.2962383947816741E-3</v>
      </c>
    </row>
    <row r="5426" spans="39:41" x14ac:dyDescent="0.25">
      <c r="AM5426" s="2">
        <v>5423</v>
      </c>
      <c r="AN5426" s="33">
        <v>9.186596534504295E-3</v>
      </c>
      <c r="AO5426" s="33">
        <v>3.1248714477261888E-4</v>
      </c>
    </row>
    <row r="5427" spans="39:41" x14ac:dyDescent="0.25">
      <c r="AM5427" s="2">
        <v>5424</v>
      </c>
      <c r="AN5427" s="33">
        <v>7.3253975365839196E-3</v>
      </c>
      <c r="AO5427" s="33">
        <v>4.5106743103439604E-4</v>
      </c>
    </row>
    <row r="5428" spans="39:41" x14ac:dyDescent="0.25">
      <c r="AM5428" s="2">
        <v>5425</v>
      </c>
      <c r="AN5428" s="33">
        <v>9.9227723465134133E-3</v>
      </c>
      <c r="AO5428" s="33">
        <v>5.0488672521894335E-4</v>
      </c>
    </row>
    <row r="5429" spans="39:41" x14ac:dyDescent="0.25">
      <c r="AM5429" s="2">
        <v>5426</v>
      </c>
      <c r="AN5429" s="33">
        <v>1.1039786116868486E-2</v>
      </c>
      <c r="AO5429" s="33">
        <v>4.5350221443224751E-4</v>
      </c>
    </row>
    <row r="5430" spans="39:41" x14ac:dyDescent="0.25">
      <c r="AM5430" s="2">
        <v>5427</v>
      </c>
      <c r="AN5430" s="33">
        <v>1.1119332894762326E-2</v>
      </c>
      <c r="AO5430" s="33">
        <v>8.237009761312428E-4</v>
      </c>
    </row>
    <row r="5431" spans="39:41" x14ac:dyDescent="0.25">
      <c r="AM5431" s="2">
        <v>5428</v>
      </c>
      <c r="AN5431" s="33">
        <v>9.5010840456371225E-3</v>
      </c>
      <c r="AO5431" s="33">
        <v>6.4976548706974712E-4</v>
      </c>
    </row>
    <row r="5432" spans="39:41" x14ac:dyDescent="0.25">
      <c r="AM5432" s="2">
        <v>5429</v>
      </c>
      <c r="AN5432" s="33">
        <v>1.1185689130421818E-2</v>
      </c>
      <c r="AO5432" s="33">
        <v>8.3959222239984659E-4</v>
      </c>
    </row>
    <row r="5433" spans="39:41" x14ac:dyDescent="0.25">
      <c r="AM5433" s="2">
        <v>5430</v>
      </c>
      <c r="AN5433" s="33">
        <v>1.2048084202342558E-2</v>
      </c>
      <c r="AO5433" s="33">
        <v>1.0089792852592393E-3</v>
      </c>
    </row>
    <row r="5434" spans="39:41" x14ac:dyDescent="0.25">
      <c r="AM5434" s="2">
        <v>5431</v>
      </c>
      <c r="AN5434" s="33">
        <v>1.3777912820629169E-2</v>
      </c>
      <c r="AO5434" s="33">
        <v>1.1407652045940305E-3</v>
      </c>
    </row>
    <row r="5435" spans="39:41" x14ac:dyDescent="0.25">
      <c r="AM5435" s="2">
        <v>5432</v>
      </c>
      <c r="AN5435" s="33">
        <v>1.1909990516076437E-2</v>
      </c>
      <c r="AO5435" s="33">
        <v>1.138159208489586E-3</v>
      </c>
    </row>
    <row r="5436" spans="39:41" x14ac:dyDescent="0.25">
      <c r="AM5436" s="2">
        <v>5433</v>
      </c>
      <c r="AN5436" s="33">
        <v>1.2194121992532647E-2</v>
      </c>
      <c r="AO5436" s="33">
        <v>1.0406709750061065E-3</v>
      </c>
    </row>
    <row r="5437" spans="39:41" x14ac:dyDescent="0.25">
      <c r="AM5437" s="2">
        <v>5434</v>
      </c>
      <c r="AN5437" s="33">
        <v>1.4279865143359797E-2</v>
      </c>
      <c r="AO5437" s="33">
        <v>8.6641896771517263E-4</v>
      </c>
    </row>
    <row r="5438" spans="39:41" x14ac:dyDescent="0.25">
      <c r="AM5438" s="2">
        <v>5435</v>
      </c>
      <c r="AN5438" s="33">
        <v>1.3268992993348015E-2</v>
      </c>
      <c r="AO5438" s="33">
        <v>1.2086294295346313E-3</v>
      </c>
    </row>
    <row r="5439" spans="39:41" x14ac:dyDescent="0.25">
      <c r="AM5439" s="2">
        <v>5436</v>
      </c>
      <c r="AN5439" s="33">
        <v>9.2746989742093378E-3</v>
      </c>
      <c r="AO5439" s="33">
        <v>7.4634830087569955E-4</v>
      </c>
    </row>
    <row r="5440" spans="39:41" x14ac:dyDescent="0.25">
      <c r="AM5440" s="2">
        <v>5437</v>
      </c>
      <c r="AN5440" s="33">
        <v>1.0701461321661309E-2</v>
      </c>
      <c r="AO5440" s="33">
        <v>6.1020359218046799E-4</v>
      </c>
    </row>
    <row r="5441" spans="39:41" x14ac:dyDescent="0.25">
      <c r="AM5441" s="2">
        <v>5438</v>
      </c>
      <c r="AN5441" s="33">
        <v>1.1998643907349858E-2</v>
      </c>
      <c r="AO5441" s="33">
        <v>8.7982603719901264E-4</v>
      </c>
    </row>
    <row r="5442" spans="39:41" x14ac:dyDescent="0.25">
      <c r="AM5442" s="2">
        <v>5439</v>
      </c>
      <c r="AN5442" s="33">
        <v>8.5175922983479584E-3</v>
      </c>
      <c r="AO5442" s="33">
        <v>4.7214752788673987E-4</v>
      </c>
    </row>
    <row r="5443" spans="39:41" x14ac:dyDescent="0.25">
      <c r="AM5443" s="2">
        <v>5440</v>
      </c>
      <c r="AN5443" s="33">
        <v>1.2052225587509582E-2</v>
      </c>
      <c r="AO5443" s="33">
        <v>9.8438623017164592E-4</v>
      </c>
    </row>
    <row r="5444" spans="39:41" x14ac:dyDescent="0.25">
      <c r="AM5444" s="2">
        <v>5441</v>
      </c>
      <c r="AN5444" s="33">
        <v>1.3431396779180827E-2</v>
      </c>
      <c r="AO5444" s="33">
        <v>1.2907994088526191E-3</v>
      </c>
    </row>
    <row r="5445" spans="39:41" x14ac:dyDescent="0.25">
      <c r="AM5445" s="2">
        <v>5442</v>
      </c>
      <c r="AN5445" s="33">
        <v>1.2999368036502118E-2</v>
      </c>
      <c r="AO5445" s="33">
        <v>1.0722792131493057E-3</v>
      </c>
    </row>
    <row r="5446" spans="39:41" x14ac:dyDescent="0.25">
      <c r="AM5446" s="2">
        <v>5443</v>
      </c>
      <c r="AN5446" s="33">
        <v>1.1878822949977103E-2</v>
      </c>
      <c r="AO5446" s="33">
        <v>4.558728939152018E-4</v>
      </c>
    </row>
    <row r="5447" spans="39:41" x14ac:dyDescent="0.25">
      <c r="AM5447" s="2">
        <v>5444</v>
      </c>
      <c r="AN5447" s="33">
        <v>8.2702980783263026E-3</v>
      </c>
      <c r="AO5447" s="33">
        <v>3.6863937476634923E-4</v>
      </c>
    </row>
    <row r="5448" spans="39:41" x14ac:dyDescent="0.25">
      <c r="AM5448" s="2">
        <v>5445</v>
      </c>
      <c r="AN5448" s="33">
        <v>1.6051135942720084E-2</v>
      </c>
      <c r="AO5448" s="33">
        <v>1.2937021647682423E-3</v>
      </c>
    </row>
    <row r="5449" spans="39:41" x14ac:dyDescent="0.25">
      <c r="AM5449" s="2">
        <v>5446</v>
      </c>
      <c r="AN5449" s="33">
        <v>1.1599679469388979E-2</v>
      </c>
      <c r="AO5449" s="33">
        <v>3.9613253566559477E-4</v>
      </c>
    </row>
    <row r="5450" spans="39:41" x14ac:dyDescent="0.25">
      <c r="AM5450" s="2">
        <v>5447</v>
      </c>
      <c r="AN5450" s="33">
        <v>1.3012049045240214E-2</v>
      </c>
      <c r="AO5450" s="33">
        <v>1.1489503301120277E-3</v>
      </c>
    </row>
    <row r="5451" spans="39:41" x14ac:dyDescent="0.25">
      <c r="AM5451" s="2">
        <v>5448</v>
      </c>
      <c r="AN5451" s="33">
        <v>1.3545260726962416E-2</v>
      </c>
      <c r="AO5451" s="33">
        <v>1.3439202088886544E-3</v>
      </c>
    </row>
    <row r="5452" spans="39:41" x14ac:dyDescent="0.25">
      <c r="AM5452" s="2">
        <v>5449</v>
      </c>
      <c r="AN5452" s="33">
        <v>1.050578989162965E-2</v>
      </c>
      <c r="AO5452" s="33">
        <v>6.0049429136200671E-4</v>
      </c>
    </row>
    <row r="5453" spans="39:41" x14ac:dyDescent="0.25">
      <c r="AM5453" s="2">
        <v>5450</v>
      </c>
      <c r="AN5453" s="33">
        <v>8.7347885333340872E-3</v>
      </c>
      <c r="AO5453" s="33">
        <v>6.9836931891759731E-4</v>
      </c>
    </row>
    <row r="5454" spans="39:41" x14ac:dyDescent="0.25">
      <c r="AM5454" s="2">
        <v>5451</v>
      </c>
      <c r="AN5454" s="33">
        <v>6.9087321159870358E-3</v>
      </c>
      <c r="AO5454" s="33">
        <v>5.677143843834479E-4</v>
      </c>
    </row>
    <row r="5455" spans="39:41" x14ac:dyDescent="0.25">
      <c r="AM5455" s="2">
        <v>5452</v>
      </c>
      <c r="AN5455" s="33">
        <v>1.1318328618087715E-2</v>
      </c>
      <c r="AO5455" s="33">
        <v>9.1016755672165643E-4</v>
      </c>
    </row>
    <row r="5456" spans="39:41" x14ac:dyDescent="0.25">
      <c r="AM5456" s="2">
        <v>5453</v>
      </c>
      <c r="AN5456" s="33">
        <v>1.0829574986861662E-2</v>
      </c>
      <c r="AO5456" s="33">
        <v>7.6439781919104941E-4</v>
      </c>
    </row>
    <row r="5457" spans="39:41" x14ac:dyDescent="0.25">
      <c r="AM5457" s="2">
        <v>5454</v>
      </c>
      <c r="AN5457" s="33">
        <v>1.6236880233081161E-2</v>
      </c>
      <c r="AO5457" s="33">
        <v>1.0330058724943854E-3</v>
      </c>
    </row>
    <row r="5458" spans="39:41" x14ac:dyDescent="0.25">
      <c r="AM5458" s="2">
        <v>5455</v>
      </c>
      <c r="AN5458" s="33">
        <v>1.3687376748395886E-2</v>
      </c>
      <c r="AO5458" s="33">
        <v>1.0336327334126393E-3</v>
      </c>
    </row>
    <row r="5459" spans="39:41" x14ac:dyDescent="0.25">
      <c r="AM5459" s="2">
        <v>5456</v>
      </c>
      <c r="AN5459" s="33">
        <v>1.1553038945757065E-2</v>
      </c>
      <c r="AO5459" s="33">
        <v>9.877126480646657E-4</v>
      </c>
    </row>
    <row r="5460" spans="39:41" x14ac:dyDescent="0.25">
      <c r="AM5460" s="2">
        <v>5457</v>
      </c>
      <c r="AN5460" s="33">
        <v>1.132935477256828E-2</v>
      </c>
      <c r="AO5460" s="33">
        <v>7.6820374040692063E-4</v>
      </c>
    </row>
    <row r="5461" spans="39:41" x14ac:dyDescent="0.25">
      <c r="AM5461" s="2">
        <v>5458</v>
      </c>
      <c r="AN5461" s="33">
        <v>1.5202569507457285E-2</v>
      </c>
      <c r="AO5461" s="33">
        <v>1.2049291046561657E-3</v>
      </c>
    </row>
    <row r="5462" spans="39:41" x14ac:dyDescent="0.25">
      <c r="AM5462" s="2">
        <v>5459</v>
      </c>
      <c r="AN5462" s="33">
        <v>7.8257151370878346E-3</v>
      </c>
      <c r="AO5462" s="33">
        <v>5.7600430693821255E-4</v>
      </c>
    </row>
    <row r="5463" spans="39:41" x14ac:dyDescent="0.25">
      <c r="AM5463" s="2">
        <v>5460</v>
      </c>
      <c r="AN5463" s="33">
        <v>1.4277513991007261E-2</v>
      </c>
      <c r="AO5463" s="33">
        <v>1.1707433644225639E-3</v>
      </c>
    </row>
    <row r="5464" spans="39:41" x14ac:dyDescent="0.25">
      <c r="AM5464" s="2">
        <v>5461</v>
      </c>
      <c r="AN5464" s="33">
        <v>1.196158363137129E-2</v>
      </c>
      <c r="AO5464" s="33">
        <v>3.625536141377727E-4</v>
      </c>
    </row>
    <row r="5465" spans="39:41" x14ac:dyDescent="0.25">
      <c r="AM5465" s="2">
        <v>5462</v>
      </c>
      <c r="AN5465" s="33">
        <v>1.4624607709741813E-2</v>
      </c>
      <c r="AO5465" s="33">
        <v>1.2364001908152112E-3</v>
      </c>
    </row>
    <row r="5466" spans="39:41" x14ac:dyDescent="0.25">
      <c r="AM5466" s="2">
        <v>5463</v>
      </c>
      <c r="AN5466" s="33">
        <v>7.6972650508889146E-3</v>
      </c>
      <c r="AO5466" s="33">
        <v>5.6703058147569371E-4</v>
      </c>
    </row>
    <row r="5467" spans="39:41" x14ac:dyDescent="0.25">
      <c r="AM5467" s="2">
        <v>5464</v>
      </c>
      <c r="AN5467" s="33">
        <v>1.2306991469862961E-2</v>
      </c>
      <c r="AO5467" s="33">
        <v>1.1139459812862147E-3</v>
      </c>
    </row>
    <row r="5468" spans="39:41" x14ac:dyDescent="0.25">
      <c r="AM5468" s="2">
        <v>5465</v>
      </c>
      <c r="AN5468" s="33">
        <v>1.3330226187969797E-2</v>
      </c>
      <c r="AO5468" s="33">
        <v>8.4889281163409778E-4</v>
      </c>
    </row>
    <row r="5469" spans="39:41" x14ac:dyDescent="0.25">
      <c r="AM5469" s="2">
        <v>5466</v>
      </c>
      <c r="AN5469" s="33">
        <v>1.3163704058409744E-2</v>
      </c>
      <c r="AO5469" s="33">
        <v>1.2532140590965414E-3</v>
      </c>
    </row>
    <row r="5470" spans="39:41" x14ac:dyDescent="0.25">
      <c r="AM5470" s="2">
        <v>5467</v>
      </c>
      <c r="AN5470" s="33">
        <v>1.4980604818053894E-2</v>
      </c>
      <c r="AO5470" s="33">
        <v>9.8000636195575992E-4</v>
      </c>
    </row>
    <row r="5471" spans="39:41" x14ac:dyDescent="0.25">
      <c r="AM5471" s="2">
        <v>5468</v>
      </c>
      <c r="AN5471" s="33">
        <v>1.1398309427564266E-2</v>
      </c>
      <c r="AO5471" s="33">
        <v>9.0202883485157202E-4</v>
      </c>
    </row>
    <row r="5472" spans="39:41" x14ac:dyDescent="0.25">
      <c r="AM5472" s="2">
        <v>5469</v>
      </c>
      <c r="AN5472" s="33">
        <v>1.2364973202003788E-2</v>
      </c>
      <c r="AO5472" s="33">
        <v>1.0797730745986129E-3</v>
      </c>
    </row>
    <row r="5473" spans="39:41" x14ac:dyDescent="0.25">
      <c r="AM5473" s="2">
        <v>5470</v>
      </c>
      <c r="AN5473" s="33">
        <v>1.3497184247207842E-2</v>
      </c>
      <c r="AO5473" s="33">
        <v>1.3077503861366508E-3</v>
      </c>
    </row>
    <row r="5474" spans="39:41" x14ac:dyDescent="0.25">
      <c r="AM5474" s="2">
        <v>5471</v>
      </c>
      <c r="AN5474" s="33">
        <v>1.3423632496736931E-2</v>
      </c>
      <c r="AO5474" s="33">
        <v>7.7124706606904376E-4</v>
      </c>
    </row>
    <row r="5475" spans="39:41" x14ac:dyDescent="0.25">
      <c r="AM5475" s="2">
        <v>5472</v>
      </c>
      <c r="AN5475" s="33">
        <v>1.0270722114912636E-2</v>
      </c>
      <c r="AO5475" s="33">
        <v>8.755318385432017E-4</v>
      </c>
    </row>
    <row r="5476" spans="39:41" x14ac:dyDescent="0.25">
      <c r="AM5476" s="2">
        <v>5473</v>
      </c>
      <c r="AN5476" s="33">
        <v>1.2482719796810404E-2</v>
      </c>
      <c r="AO5476" s="33">
        <v>1.0267913312190847E-3</v>
      </c>
    </row>
    <row r="5477" spans="39:41" x14ac:dyDescent="0.25">
      <c r="AM5477" s="2">
        <v>5474</v>
      </c>
      <c r="AN5477" s="33">
        <v>8.3576727848770783E-3</v>
      </c>
      <c r="AO5477" s="33">
        <v>4.9619787867873869E-4</v>
      </c>
    </row>
    <row r="5478" spans="39:41" x14ac:dyDescent="0.25">
      <c r="AM5478" s="2">
        <v>5475</v>
      </c>
      <c r="AN5478" s="33">
        <v>1.1744234437980382E-2</v>
      </c>
      <c r="AO5478" s="33">
        <v>8.7435225302417703E-4</v>
      </c>
    </row>
    <row r="5479" spans="39:41" x14ac:dyDescent="0.25">
      <c r="AM5479" s="2">
        <v>5476</v>
      </c>
      <c r="AN5479" s="33">
        <v>8.8973963043556103E-3</v>
      </c>
      <c r="AO5479" s="33">
        <v>4.8108319883365607E-4</v>
      </c>
    </row>
    <row r="5480" spans="39:41" x14ac:dyDescent="0.25">
      <c r="AM5480" s="2">
        <v>5477</v>
      </c>
      <c r="AN5480" s="33">
        <v>1.0915163833103399E-2</v>
      </c>
      <c r="AO5480" s="33">
        <v>5.9296046960131217E-4</v>
      </c>
    </row>
    <row r="5481" spans="39:41" x14ac:dyDescent="0.25">
      <c r="AM5481" s="2">
        <v>5478</v>
      </c>
      <c r="AN5481" s="33">
        <v>1.4463517473773472E-2</v>
      </c>
      <c r="AO5481" s="33">
        <v>1.2280236103335955E-3</v>
      </c>
    </row>
    <row r="5482" spans="39:41" x14ac:dyDescent="0.25">
      <c r="AM5482" s="2">
        <v>5479</v>
      </c>
      <c r="AN5482" s="33">
        <v>1.5045666241723141E-2</v>
      </c>
      <c r="AO5482" s="33">
        <v>1.3578325564790334E-3</v>
      </c>
    </row>
    <row r="5483" spans="39:41" x14ac:dyDescent="0.25">
      <c r="AM5483" s="2">
        <v>5480</v>
      </c>
      <c r="AN5483" s="33">
        <v>1.1745106080114627E-2</v>
      </c>
      <c r="AO5483" s="33">
        <v>1.1897598003750096E-3</v>
      </c>
    </row>
    <row r="5484" spans="39:41" x14ac:dyDescent="0.25">
      <c r="AM5484" s="2">
        <v>5481</v>
      </c>
      <c r="AN5484" s="33">
        <v>1.1053047608155956E-2</v>
      </c>
      <c r="AO5484" s="33">
        <v>9.5740623772664485E-4</v>
      </c>
    </row>
    <row r="5485" spans="39:41" x14ac:dyDescent="0.25">
      <c r="AM5485" s="2">
        <v>5482</v>
      </c>
      <c r="AN5485" s="33">
        <v>1.1614297645203615E-2</v>
      </c>
      <c r="AO5485" s="33">
        <v>8.6459073457756982E-4</v>
      </c>
    </row>
    <row r="5486" spans="39:41" x14ac:dyDescent="0.25">
      <c r="AM5486" s="2">
        <v>5483</v>
      </c>
      <c r="AN5486" s="33">
        <v>1.4661040343052621E-2</v>
      </c>
      <c r="AO5486" s="33">
        <v>1.2813887075125191E-3</v>
      </c>
    </row>
    <row r="5487" spans="39:41" x14ac:dyDescent="0.25">
      <c r="AM5487" s="2">
        <v>5484</v>
      </c>
      <c r="AN5487" s="33">
        <v>1.2736741948626845E-2</v>
      </c>
      <c r="AO5487" s="33">
        <v>1.0970437894093656E-3</v>
      </c>
    </row>
    <row r="5488" spans="39:41" x14ac:dyDescent="0.25">
      <c r="AM5488" s="2">
        <v>5485</v>
      </c>
      <c r="AN5488" s="33">
        <v>1.4059962654485765E-2</v>
      </c>
      <c r="AO5488" s="33">
        <v>9.5241304279499199E-4</v>
      </c>
    </row>
    <row r="5489" spans="39:41" x14ac:dyDescent="0.25">
      <c r="AM5489" s="2">
        <v>5486</v>
      </c>
      <c r="AN5489" s="33">
        <v>1.3272522022367133E-2</v>
      </c>
      <c r="AO5489" s="33">
        <v>1.161275439684503E-3</v>
      </c>
    </row>
    <row r="5490" spans="39:41" x14ac:dyDescent="0.25">
      <c r="AM5490" s="2">
        <v>5487</v>
      </c>
      <c r="AN5490" s="33">
        <v>1.2439115532752945E-2</v>
      </c>
      <c r="AO5490" s="33">
        <v>1.1385010402205655E-3</v>
      </c>
    </row>
    <row r="5491" spans="39:41" x14ac:dyDescent="0.25">
      <c r="AM5491" s="2">
        <v>5488</v>
      </c>
      <c r="AN5491" s="33">
        <v>1.2060646970904242E-2</v>
      </c>
      <c r="AO5491" s="33">
        <v>3.1545958397439643E-4</v>
      </c>
    </row>
    <row r="5492" spans="39:41" x14ac:dyDescent="0.25">
      <c r="AM5492" s="2">
        <v>5489</v>
      </c>
      <c r="AN5492" s="33">
        <v>1.3566744127638076E-2</v>
      </c>
      <c r="AO5492" s="33">
        <v>1.2698810373947831E-3</v>
      </c>
    </row>
    <row r="5493" spans="39:41" x14ac:dyDescent="0.25">
      <c r="AM5493" s="2">
        <v>5490</v>
      </c>
      <c r="AN5493" s="33">
        <v>1.4164073857976599E-2</v>
      </c>
      <c r="AO5493" s="33">
        <v>1.0083046061510489E-3</v>
      </c>
    </row>
    <row r="5494" spans="39:41" x14ac:dyDescent="0.25">
      <c r="AM5494" s="2">
        <v>5491</v>
      </c>
      <c r="AN5494" s="33">
        <v>1.2452799922436794E-2</v>
      </c>
      <c r="AO5494" s="33">
        <v>6.3925991753098575E-4</v>
      </c>
    </row>
    <row r="5495" spans="39:41" x14ac:dyDescent="0.25">
      <c r="AM5495" s="2">
        <v>5492</v>
      </c>
      <c r="AN5495" s="33">
        <v>1.2517448413417962E-2</v>
      </c>
      <c r="AO5495" s="33">
        <v>1.2250969433854095E-3</v>
      </c>
    </row>
    <row r="5496" spans="39:41" x14ac:dyDescent="0.25">
      <c r="AM5496" s="2">
        <v>5493</v>
      </c>
      <c r="AN5496" s="33">
        <v>1.2349586799928937E-2</v>
      </c>
      <c r="AO5496" s="33">
        <v>1.0676371970709873E-3</v>
      </c>
    </row>
    <row r="5497" spans="39:41" x14ac:dyDescent="0.25">
      <c r="AM5497" s="2">
        <v>5494</v>
      </c>
      <c r="AN5497" s="33">
        <v>1.0932127303060958E-2</v>
      </c>
      <c r="AO5497" s="33">
        <v>8.5872896152479317E-4</v>
      </c>
    </row>
    <row r="5498" spans="39:41" x14ac:dyDescent="0.25">
      <c r="AM5498" s="2">
        <v>5495</v>
      </c>
      <c r="AN5498" s="33">
        <v>1.2494276695814115E-2</v>
      </c>
      <c r="AO5498" s="33">
        <v>1.4529392216648782E-4</v>
      </c>
    </row>
    <row r="5499" spans="39:41" x14ac:dyDescent="0.25">
      <c r="AM5499" s="2">
        <v>5496</v>
      </c>
      <c r="AN5499" s="33">
        <v>1.0040294503192474E-2</v>
      </c>
      <c r="AO5499" s="33">
        <v>6.5523951581312014E-4</v>
      </c>
    </row>
    <row r="5500" spans="39:41" x14ac:dyDescent="0.25">
      <c r="AM5500" s="2">
        <v>5497</v>
      </c>
      <c r="AN5500" s="33">
        <v>1.3742641024896248E-2</v>
      </c>
      <c r="AO5500" s="33">
        <v>1.3014299402852145E-3</v>
      </c>
    </row>
    <row r="5501" spans="39:41" x14ac:dyDescent="0.25">
      <c r="AM5501" s="2">
        <v>5498</v>
      </c>
      <c r="AN5501" s="33">
        <v>1.0555848944046717E-2</v>
      </c>
      <c r="AO5501" s="33">
        <v>1.0568107386503187E-3</v>
      </c>
    </row>
    <row r="5502" spans="39:41" x14ac:dyDescent="0.25">
      <c r="AM5502" s="2">
        <v>5499</v>
      </c>
      <c r="AN5502" s="33">
        <v>1.2590304211533138E-2</v>
      </c>
      <c r="AO5502" s="33">
        <v>9.119549444268414E-4</v>
      </c>
    </row>
    <row r="5503" spans="39:41" x14ac:dyDescent="0.25">
      <c r="AM5503" s="2">
        <v>5500</v>
      </c>
      <c r="AN5503" s="33">
        <v>1.1477169682810286E-2</v>
      </c>
      <c r="AO5503" s="33">
        <v>1.0646602600677701E-3</v>
      </c>
    </row>
    <row r="5504" spans="39:41" x14ac:dyDescent="0.25">
      <c r="AM5504" s="2">
        <v>5501</v>
      </c>
      <c r="AN5504" s="33">
        <v>1.101369036118007E-2</v>
      </c>
      <c r="AO5504" s="33">
        <v>8.4003760855382405E-4</v>
      </c>
    </row>
    <row r="5505" spans="39:41" x14ac:dyDescent="0.25">
      <c r="AM5505" s="2">
        <v>5502</v>
      </c>
      <c r="AN5505" s="33">
        <v>9.2205485646573108E-3</v>
      </c>
      <c r="AO5505" s="33">
        <v>5.9810228036059714E-4</v>
      </c>
    </row>
    <row r="5506" spans="39:41" x14ac:dyDescent="0.25">
      <c r="AM5506" s="2">
        <v>5503</v>
      </c>
      <c r="AN5506" s="33">
        <v>1.1050499118312431E-2</v>
      </c>
      <c r="AO5506" s="33">
        <v>9.5926555179537691E-4</v>
      </c>
    </row>
    <row r="5507" spans="39:41" x14ac:dyDescent="0.25">
      <c r="AM5507" s="2">
        <v>5504</v>
      </c>
      <c r="AN5507" s="33">
        <v>1.2773898776646331E-2</v>
      </c>
      <c r="AO5507" s="33">
        <v>1.0554042449354261E-3</v>
      </c>
    </row>
    <row r="5508" spans="39:41" x14ac:dyDescent="0.25">
      <c r="AM5508" s="2">
        <v>5505</v>
      </c>
      <c r="AN5508" s="33">
        <v>1.1990983939741946E-2</v>
      </c>
      <c r="AO5508" s="33">
        <v>9.3926041799799497E-4</v>
      </c>
    </row>
    <row r="5509" spans="39:41" x14ac:dyDescent="0.25">
      <c r="AM5509" s="2">
        <v>5506</v>
      </c>
      <c r="AN5509" s="33">
        <v>1.046555687698854E-2</v>
      </c>
      <c r="AO5509" s="33">
        <v>9.1439355202030349E-4</v>
      </c>
    </row>
    <row r="5510" spans="39:41" x14ac:dyDescent="0.25">
      <c r="AM5510" s="2">
        <v>5507</v>
      </c>
      <c r="AN5510" s="33">
        <v>1.0557277894389129E-2</v>
      </c>
      <c r="AO5510" s="33">
        <v>5.3760937496436097E-4</v>
      </c>
    </row>
    <row r="5511" spans="39:41" x14ac:dyDescent="0.25">
      <c r="AM5511" s="2">
        <v>5508</v>
      </c>
      <c r="AN5511" s="33">
        <v>1.6078970296300156E-2</v>
      </c>
      <c r="AO5511" s="33">
        <v>1.5455336407921003E-3</v>
      </c>
    </row>
    <row r="5512" spans="39:41" x14ac:dyDescent="0.25">
      <c r="AM5512" s="2">
        <v>5509</v>
      </c>
      <c r="AN5512" s="33">
        <v>1.5218997665073928E-2</v>
      </c>
      <c r="AO5512" s="33">
        <v>1.4455820406891863E-3</v>
      </c>
    </row>
    <row r="5513" spans="39:41" x14ac:dyDescent="0.25">
      <c r="AM5513" s="2">
        <v>5510</v>
      </c>
      <c r="AN5513" s="33">
        <v>1.7415124689252454E-2</v>
      </c>
      <c r="AO5513" s="33">
        <v>1.1841546362365764E-3</v>
      </c>
    </row>
    <row r="5514" spans="39:41" x14ac:dyDescent="0.25">
      <c r="AM5514" s="2">
        <v>5511</v>
      </c>
      <c r="AN5514" s="33">
        <v>1.0804531736454244E-2</v>
      </c>
      <c r="AO5514" s="33">
        <v>9.3837634302692185E-4</v>
      </c>
    </row>
    <row r="5515" spans="39:41" x14ac:dyDescent="0.25">
      <c r="AM5515" s="2">
        <v>5512</v>
      </c>
      <c r="AN5515" s="33">
        <v>1.39192162714696E-2</v>
      </c>
      <c r="AO5515" s="33">
        <v>1.1027766562474262E-3</v>
      </c>
    </row>
    <row r="5516" spans="39:41" x14ac:dyDescent="0.25">
      <c r="AM5516" s="2">
        <v>5513</v>
      </c>
      <c r="AN5516" s="33">
        <v>1.2344682347275598E-2</v>
      </c>
      <c r="AO5516" s="33">
        <v>1.1352189407886843E-3</v>
      </c>
    </row>
    <row r="5517" spans="39:41" x14ac:dyDescent="0.25">
      <c r="AM5517" s="2">
        <v>5514</v>
      </c>
      <c r="AN5517" s="33">
        <v>1.093678787729534E-2</v>
      </c>
      <c r="AO5517" s="33">
        <v>6.5565763831731689E-4</v>
      </c>
    </row>
    <row r="5518" spans="39:41" x14ac:dyDescent="0.25">
      <c r="AM5518" s="2">
        <v>5515</v>
      </c>
      <c r="AN5518" s="33">
        <v>1.2114204379719103E-2</v>
      </c>
      <c r="AO5518" s="33">
        <v>6.0875330798563522E-4</v>
      </c>
    </row>
    <row r="5519" spans="39:41" x14ac:dyDescent="0.25">
      <c r="AM5519" s="2">
        <v>5516</v>
      </c>
      <c r="AN5519" s="33">
        <v>1.6592397222101742E-2</v>
      </c>
      <c r="AO5519" s="33">
        <v>1.599664351518906E-3</v>
      </c>
    </row>
    <row r="5520" spans="39:41" x14ac:dyDescent="0.25">
      <c r="AM5520" s="2">
        <v>5517</v>
      </c>
      <c r="AN5520" s="33">
        <v>1.1650800461986657E-2</v>
      </c>
      <c r="AO5520" s="33">
        <v>7.5370539165297722E-4</v>
      </c>
    </row>
    <row r="5521" spans="39:41" x14ac:dyDescent="0.25">
      <c r="AM5521" s="2">
        <v>5518</v>
      </c>
      <c r="AN5521" s="33">
        <v>9.6189417191061763E-3</v>
      </c>
      <c r="AO5521" s="33">
        <v>9.7620962343813815E-4</v>
      </c>
    </row>
    <row r="5522" spans="39:41" x14ac:dyDescent="0.25">
      <c r="AM5522" s="2">
        <v>5519</v>
      </c>
      <c r="AN5522" s="33">
        <v>1.2831952536145035E-2</v>
      </c>
      <c r="AO5522" s="33">
        <v>8.5850290225446561E-4</v>
      </c>
    </row>
    <row r="5523" spans="39:41" x14ac:dyDescent="0.25">
      <c r="AM5523" s="2">
        <v>5520</v>
      </c>
      <c r="AN5523" s="33">
        <v>1.2921278446437751E-2</v>
      </c>
      <c r="AO5523" s="33">
        <v>6.3807091984249473E-4</v>
      </c>
    </row>
    <row r="5524" spans="39:41" x14ac:dyDescent="0.25">
      <c r="AM5524" s="2">
        <v>5521</v>
      </c>
      <c r="AN5524" s="33">
        <v>1.3721083040389586E-2</v>
      </c>
      <c r="AO5524" s="33">
        <v>1.3375015835524319E-3</v>
      </c>
    </row>
    <row r="5525" spans="39:41" x14ac:dyDescent="0.25">
      <c r="AM5525" s="2">
        <v>5522</v>
      </c>
      <c r="AN5525" s="33">
        <v>1.4689494362429433E-2</v>
      </c>
      <c r="AO5525" s="33">
        <v>1.1682413732460794E-3</v>
      </c>
    </row>
    <row r="5526" spans="39:41" x14ac:dyDescent="0.25">
      <c r="AM5526" s="2">
        <v>5523</v>
      </c>
      <c r="AN5526" s="33">
        <v>1.5815902785142871E-2</v>
      </c>
      <c r="AO5526" s="33">
        <v>1.616358753215456E-3</v>
      </c>
    </row>
    <row r="5527" spans="39:41" x14ac:dyDescent="0.25">
      <c r="AM5527" s="2">
        <v>5524</v>
      </c>
      <c r="AN5527" s="33">
        <v>1.4377583187834332E-2</v>
      </c>
      <c r="AO5527" s="33">
        <v>9.8230235217088404E-4</v>
      </c>
    </row>
    <row r="5528" spans="39:41" x14ac:dyDescent="0.25">
      <c r="AM5528" s="2">
        <v>5525</v>
      </c>
      <c r="AN5528" s="33">
        <v>8.4475639673809826E-3</v>
      </c>
      <c r="AO5528" s="33">
        <v>6.0599529402737863E-4</v>
      </c>
    </row>
    <row r="5529" spans="39:41" x14ac:dyDescent="0.25">
      <c r="AM5529" s="2">
        <v>5526</v>
      </c>
      <c r="AN5529" s="33">
        <v>1.0542851960346822E-2</v>
      </c>
      <c r="AO5529" s="33">
        <v>9.047135229910189E-4</v>
      </c>
    </row>
    <row r="5530" spans="39:41" x14ac:dyDescent="0.25">
      <c r="AM5530" s="2">
        <v>5527</v>
      </c>
      <c r="AN5530" s="33">
        <v>1.4646770529552164E-2</v>
      </c>
      <c r="AO5530" s="33">
        <v>1.137819207513584E-3</v>
      </c>
    </row>
    <row r="5531" spans="39:41" x14ac:dyDescent="0.25">
      <c r="AM5531" s="2">
        <v>5528</v>
      </c>
      <c r="AN5531" s="33">
        <v>1.1711627791946592E-2</v>
      </c>
      <c r="AO5531" s="33">
        <v>9.912548711246659E-4</v>
      </c>
    </row>
    <row r="5532" spans="39:41" x14ac:dyDescent="0.25">
      <c r="AM5532" s="2">
        <v>5529</v>
      </c>
      <c r="AN5532" s="33">
        <v>9.1848507550462422E-3</v>
      </c>
      <c r="AO5532" s="33">
        <v>7.228581386282553E-4</v>
      </c>
    </row>
    <row r="5533" spans="39:41" x14ac:dyDescent="0.25">
      <c r="AM5533" s="2">
        <v>5530</v>
      </c>
      <c r="AN5533" s="33">
        <v>1.1701837068950845E-2</v>
      </c>
      <c r="AO5533" s="33">
        <v>8.8060904394693222E-4</v>
      </c>
    </row>
    <row r="5534" spans="39:41" x14ac:dyDescent="0.25">
      <c r="AM5534" s="2">
        <v>5531</v>
      </c>
      <c r="AN5534" s="33">
        <v>8.403508527711193E-3</v>
      </c>
      <c r="AO5534" s="33">
        <v>5.6892789444235351E-4</v>
      </c>
    </row>
    <row r="5535" spans="39:41" x14ac:dyDescent="0.25">
      <c r="AM5535" s="2">
        <v>5532</v>
      </c>
      <c r="AN5535" s="33">
        <v>1.3543076635624403E-2</v>
      </c>
      <c r="AO5535" s="33">
        <v>1.2088254847447087E-3</v>
      </c>
    </row>
    <row r="5536" spans="39:41" x14ac:dyDescent="0.25">
      <c r="AM5536" s="2">
        <v>5533</v>
      </c>
      <c r="AN5536" s="33">
        <v>1.3112998877825613E-2</v>
      </c>
      <c r="AO5536" s="33">
        <v>9.5731337215292209E-4</v>
      </c>
    </row>
    <row r="5537" spans="39:41" x14ac:dyDescent="0.25">
      <c r="AM5537" s="2">
        <v>5534</v>
      </c>
      <c r="AN5537" s="33">
        <v>1.2040126071348614E-2</v>
      </c>
      <c r="AO5537" s="33">
        <v>1.2374073651766839E-3</v>
      </c>
    </row>
    <row r="5538" spans="39:41" x14ac:dyDescent="0.25">
      <c r="AM5538" s="2">
        <v>5535</v>
      </c>
      <c r="AN5538" s="33">
        <v>1.4558364538690097E-2</v>
      </c>
      <c r="AO5538" s="33">
        <v>1.4266793884237163E-3</v>
      </c>
    </row>
    <row r="5539" spans="39:41" x14ac:dyDescent="0.25">
      <c r="AM5539" s="2">
        <v>5536</v>
      </c>
      <c r="AN5539" s="33">
        <v>1.0290563763224786E-2</v>
      </c>
      <c r="AO5539" s="33">
        <v>2.7145918269981442E-4</v>
      </c>
    </row>
    <row r="5540" spans="39:41" x14ac:dyDescent="0.25">
      <c r="AM5540" s="2">
        <v>5537</v>
      </c>
      <c r="AN5540" s="33">
        <v>1.0027619632577395E-2</v>
      </c>
      <c r="AO5540" s="33">
        <v>7.8113693455691274E-4</v>
      </c>
    </row>
    <row r="5541" spans="39:41" x14ac:dyDescent="0.25">
      <c r="AM5541" s="2">
        <v>5538</v>
      </c>
      <c r="AN5541" s="33">
        <v>1.0629710895756468E-2</v>
      </c>
      <c r="AO5541" s="33">
        <v>5.7547519489267642E-4</v>
      </c>
    </row>
    <row r="5542" spans="39:41" x14ac:dyDescent="0.25">
      <c r="AM5542" s="2">
        <v>5539</v>
      </c>
      <c r="AN5542" s="33">
        <v>1.8647236629360783E-2</v>
      </c>
      <c r="AO5542" s="33">
        <v>1.6714558921124174E-3</v>
      </c>
    </row>
    <row r="5543" spans="39:41" x14ac:dyDescent="0.25">
      <c r="AM5543" s="2">
        <v>5540</v>
      </c>
      <c r="AN5543" s="33">
        <v>1.2794344484824124E-2</v>
      </c>
      <c r="AO5543" s="33">
        <v>9.3821191006657797E-4</v>
      </c>
    </row>
    <row r="5544" spans="39:41" x14ac:dyDescent="0.25">
      <c r="AM5544" s="2">
        <v>5541</v>
      </c>
      <c r="AN5544" s="33">
        <v>1.100463044202785E-2</v>
      </c>
      <c r="AO5544" s="33">
        <v>1.157951838560839E-3</v>
      </c>
    </row>
    <row r="5545" spans="39:41" x14ac:dyDescent="0.25">
      <c r="AM5545" s="2">
        <v>5542</v>
      </c>
      <c r="AN5545" s="33">
        <v>1.1117569904783461E-2</v>
      </c>
      <c r="AO5545" s="33">
        <v>9.119538146702635E-4</v>
      </c>
    </row>
    <row r="5546" spans="39:41" x14ac:dyDescent="0.25">
      <c r="AM5546" s="2">
        <v>5543</v>
      </c>
      <c r="AN5546" s="33">
        <v>1.083509241228902E-2</v>
      </c>
      <c r="AO5546" s="33">
        <v>1.049402628519792E-3</v>
      </c>
    </row>
    <row r="5547" spans="39:41" x14ac:dyDescent="0.25">
      <c r="AM5547" s="2">
        <v>5544</v>
      </c>
      <c r="AN5547" s="33">
        <v>1.0471123960541782E-2</v>
      </c>
      <c r="AO5547" s="33">
        <v>6.6587616944190141E-4</v>
      </c>
    </row>
    <row r="5548" spans="39:41" x14ac:dyDescent="0.25">
      <c r="AM5548" s="2">
        <v>5545</v>
      </c>
      <c r="AN5548" s="33">
        <v>1.4638194622329084E-2</v>
      </c>
      <c r="AO5548" s="33">
        <v>8.8536139201055096E-4</v>
      </c>
    </row>
    <row r="5549" spans="39:41" x14ac:dyDescent="0.25">
      <c r="AM5549" s="2">
        <v>5546</v>
      </c>
      <c r="AN5549" s="33">
        <v>1.2951133152623511E-2</v>
      </c>
      <c r="AO5549" s="33">
        <v>9.6604575744947327E-4</v>
      </c>
    </row>
    <row r="5550" spans="39:41" x14ac:dyDescent="0.25">
      <c r="AM5550" s="2">
        <v>5547</v>
      </c>
      <c r="AN5550" s="33">
        <v>1.3232154596929413E-2</v>
      </c>
      <c r="AO5550" s="33">
        <v>1.197674830969292E-3</v>
      </c>
    </row>
    <row r="5551" spans="39:41" x14ac:dyDescent="0.25">
      <c r="AM5551" s="2">
        <v>5548</v>
      </c>
      <c r="AN5551" s="33">
        <v>1.6282640416605876E-2</v>
      </c>
      <c r="AO5551" s="33">
        <v>1.5201410372508019E-3</v>
      </c>
    </row>
    <row r="5552" spans="39:41" x14ac:dyDescent="0.25">
      <c r="AM5552" s="2">
        <v>5549</v>
      </c>
      <c r="AN5552" s="33">
        <v>1.1226730655799729E-2</v>
      </c>
      <c r="AO5552" s="33">
        <v>8.8084598532317938E-4</v>
      </c>
    </row>
    <row r="5553" spans="39:41" x14ac:dyDescent="0.25">
      <c r="AM5553" s="2">
        <v>5550</v>
      </c>
      <c r="AN5553" s="33">
        <v>1.095987885454907E-2</v>
      </c>
      <c r="AO5553" s="33">
        <v>9.6352252709822463E-4</v>
      </c>
    </row>
    <row r="5554" spans="39:41" x14ac:dyDescent="0.25">
      <c r="AM5554" s="2">
        <v>5551</v>
      </c>
      <c r="AN5554" s="33">
        <v>1.7278528933357101E-2</v>
      </c>
      <c r="AO5554" s="33">
        <v>1.3464785626664773E-3</v>
      </c>
    </row>
    <row r="5555" spans="39:41" x14ac:dyDescent="0.25">
      <c r="AM5555" s="2">
        <v>5552</v>
      </c>
      <c r="AN5555" s="33">
        <v>1.3220030405139889E-2</v>
      </c>
      <c r="AO5555" s="33">
        <v>1.1442729286338979E-3</v>
      </c>
    </row>
    <row r="5556" spans="39:41" x14ac:dyDescent="0.25">
      <c r="AM5556" s="2">
        <v>5553</v>
      </c>
      <c r="AN5556" s="33">
        <v>1.3679527385405997E-2</v>
      </c>
      <c r="AO5556" s="33">
        <v>1.3782915498735764E-3</v>
      </c>
    </row>
    <row r="5557" spans="39:41" x14ac:dyDescent="0.25">
      <c r="AM5557" s="2">
        <v>5554</v>
      </c>
      <c r="AN5557" s="33">
        <v>9.1337561980395325E-3</v>
      </c>
      <c r="AO5557" s="33">
        <v>7.6157313266959957E-4</v>
      </c>
    </row>
    <row r="5558" spans="39:41" x14ac:dyDescent="0.25">
      <c r="AM5558" s="2">
        <v>5555</v>
      </c>
      <c r="AN5558" s="33">
        <v>1.2528441543014988E-2</v>
      </c>
      <c r="AO5558" s="33">
        <v>1.277276085073008E-3</v>
      </c>
    </row>
    <row r="5559" spans="39:41" x14ac:dyDescent="0.25">
      <c r="AM5559" s="2">
        <v>5556</v>
      </c>
      <c r="AN5559" s="33">
        <v>1.0418531084292235E-2</v>
      </c>
      <c r="AO5559" s="33">
        <v>7.9566843178328624E-4</v>
      </c>
    </row>
    <row r="5560" spans="39:41" x14ac:dyDescent="0.25">
      <c r="AM5560" s="2">
        <v>5557</v>
      </c>
      <c r="AN5560" s="33">
        <v>1.060846302008292E-2</v>
      </c>
      <c r="AO5560" s="33">
        <v>5.9043157913316198E-4</v>
      </c>
    </row>
    <row r="5561" spans="39:41" x14ac:dyDescent="0.25">
      <c r="AM5561" s="2">
        <v>5558</v>
      </c>
      <c r="AN5561" s="33">
        <v>1.2660420507604393E-2</v>
      </c>
      <c r="AO5561" s="33">
        <v>1.022984174037656E-3</v>
      </c>
    </row>
    <row r="5562" spans="39:41" x14ac:dyDescent="0.25">
      <c r="AM5562" s="2">
        <v>5559</v>
      </c>
      <c r="AN5562" s="33">
        <v>1.243479925502828E-2</v>
      </c>
      <c r="AO5562" s="33">
        <v>7.6903907639141013E-4</v>
      </c>
    </row>
    <row r="5563" spans="39:41" x14ac:dyDescent="0.25">
      <c r="AM5563" s="2">
        <v>5560</v>
      </c>
      <c r="AN5563" s="33">
        <v>9.3580716917604969E-3</v>
      </c>
      <c r="AO5563" s="33">
        <v>6.0938739386871756E-4</v>
      </c>
    </row>
    <row r="5564" spans="39:41" x14ac:dyDescent="0.25">
      <c r="AM5564" s="2">
        <v>5561</v>
      </c>
      <c r="AN5564" s="33">
        <v>8.8364433228063453E-3</v>
      </c>
      <c r="AO5564" s="33">
        <v>7.1931470449197884E-4</v>
      </c>
    </row>
    <row r="5565" spans="39:41" x14ac:dyDescent="0.25">
      <c r="AM5565" s="2">
        <v>5562</v>
      </c>
      <c r="AN5565" s="33">
        <v>1.2142035883245078E-2</v>
      </c>
      <c r="AO5565" s="33">
        <v>8.8271938435223202E-4</v>
      </c>
    </row>
    <row r="5566" spans="39:41" x14ac:dyDescent="0.25">
      <c r="AM5566" s="2">
        <v>5563</v>
      </c>
      <c r="AN5566" s="33">
        <v>1.0692250749184413E-2</v>
      </c>
      <c r="AO5566" s="33">
        <v>3.1071729284890557E-4</v>
      </c>
    </row>
    <row r="5567" spans="39:41" x14ac:dyDescent="0.25">
      <c r="AM5567" s="2">
        <v>5564</v>
      </c>
      <c r="AN5567" s="33">
        <v>1.2797697209902736E-2</v>
      </c>
      <c r="AO5567" s="33">
        <v>1.1686102025371492E-3</v>
      </c>
    </row>
    <row r="5568" spans="39:41" x14ac:dyDescent="0.25">
      <c r="AM5568" s="2">
        <v>5565</v>
      </c>
      <c r="AN5568" s="33">
        <v>9.7732931116135333E-3</v>
      </c>
      <c r="AO5568" s="33">
        <v>6.5258070293135791E-4</v>
      </c>
    </row>
    <row r="5569" spans="39:41" x14ac:dyDescent="0.25">
      <c r="AM5569" s="2">
        <v>5566</v>
      </c>
      <c r="AN5569" s="33">
        <v>1.163145695999024E-2</v>
      </c>
      <c r="AO5569" s="33">
        <v>8.097297289559759E-4</v>
      </c>
    </row>
    <row r="5570" spans="39:41" x14ac:dyDescent="0.25">
      <c r="AM5570" s="2">
        <v>5567</v>
      </c>
      <c r="AN5570" s="33">
        <v>1.1907171720478536E-2</v>
      </c>
      <c r="AO5570" s="33">
        <v>1.043676425345711E-3</v>
      </c>
    </row>
    <row r="5571" spans="39:41" x14ac:dyDescent="0.25">
      <c r="AM5571" s="2">
        <v>5568</v>
      </c>
      <c r="AN5571" s="33">
        <v>1.0277523371190483E-2</v>
      </c>
      <c r="AO5571" s="33">
        <v>5.1044454309959772E-4</v>
      </c>
    </row>
    <row r="5572" spans="39:41" x14ac:dyDescent="0.25">
      <c r="AM5572" s="2">
        <v>5569</v>
      </c>
      <c r="AN5572" s="33">
        <v>1.1690685639756927E-2</v>
      </c>
      <c r="AO5572" s="33">
        <v>1.0033352826728896E-3</v>
      </c>
    </row>
    <row r="5573" spans="39:41" x14ac:dyDescent="0.25">
      <c r="AM5573" s="2">
        <v>5570</v>
      </c>
      <c r="AN5573" s="33">
        <v>1.3145790240503046E-2</v>
      </c>
      <c r="AO5573" s="33">
        <v>9.7547127437696722E-4</v>
      </c>
    </row>
    <row r="5574" spans="39:41" x14ac:dyDescent="0.25">
      <c r="AM5574" s="2">
        <v>5571</v>
      </c>
      <c r="AN5574" s="33">
        <v>9.7801411891374444E-3</v>
      </c>
      <c r="AO5574" s="33">
        <v>7.3283475368326198E-4</v>
      </c>
    </row>
    <row r="5575" spans="39:41" x14ac:dyDescent="0.25">
      <c r="AM5575" s="2">
        <v>5572</v>
      </c>
      <c r="AN5575" s="33">
        <v>1.4499805396399513E-2</v>
      </c>
      <c r="AO5575" s="33">
        <v>1.0735597658761734E-3</v>
      </c>
    </row>
    <row r="5576" spans="39:41" x14ac:dyDescent="0.25">
      <c r="AM5576" s="2">
        <v>5573</v>
      </c>
      <c r="AN5576" s="33">
        <v>1.1212704071968789E-2</v>
      </c>
      <c r="AO5576" s="33">
        <v>9.5102088605465078E-4</v>
      </c>
    </row>
    <row r="5577" spans="39:41" x14ac:dyDescent="0.25">
      <c r="AM5577" s="2">
        <v>5574</v>
      </c>
      <c r="AN5577" s="33">
        <v>1.1991740525135478E-2</v>
      </c>
      <c r="AO5577" s="33">
        <v>3.1358264039375524E-4</v>
      </c>
    </row>
    <row r="5578" spans="39:41" x14ac:dyDescent="0.25">
      <c r="AM5578" s="2">
        <v>5575</v>
      </c>
      <c r="AN5578" s="33">
        <v>1.1803408609164784E-2</v>
      </c>
      <c r="AO5578" s="33">
        <v>1.0109691848298706E-3</v>
      </c>
    </row>
    <row r="5579" spans="39:41" x14ac:dyDescent="0.25">
      <c r="AM5579" s="2">
        <v>5576</v>
      </c>
      <c r="AN5579" s="33">
        <v>1.048124561955838E-2</v>
      </c>
      <c r="AO5579" s="33">
        <v>6.4960087050214765E-4</v>
      </c>
    </row>
    <row r="5580" spans="39:41" x14ac:dyDescent="0.25">
      <c r="AM5580" s="2">
        <v>5577</v>
      </c>
      <c r="AN5580" s="33">
        <v>8.9171772071751729E-3</v>
      </c>
      <c r="AO5580" s="33">
        <v>4.4833309869578584E-4</v>
      </c>
    </row>
    <row r="5581" spans="39:41" x14ac:dyDescent="0.25">
      <c r="AM5581" s="2">
        <v>5578</v>
      </c>
      <c r="AN5581" s="33">
        <v>1.2204407499642045E-2</v>
      </c>
      <c r="AO5581" s="33">
        <v>7.3050248574155446E-4</v>
      </c>
    </row>
    <row r="5582" spans="39:41" x14ac:dyDescent="0.25">
      <c r="AM5582" s="2">
        <v>5579</v>
      </c>
      <c r="AN5582" s="33">
        <v>1.237583177462529E-2</v>
      </c>
      <c r="AO5582" s="33">
        <v>9.5917035926488441E-4</v>
      </c>
    </row>
    <row r="5583" spans="39:41" x14ac:dyDescent="0.25">
      <c r="AM5583" s="2">
        <v>5580</v>
      </c>
      <c r="AN5583" s="33">
        <v>1.1800521691746856E-2</v>
      </c>
      <c r="AO5583" s="33">
        <v>8.0193162570209558E-4</v>
      </c>
    </row>
    <row r="5584" spans="39:41" x14ac:dyDescent="0.25">
      <c r="AM5584" s="2">
        <v>5581</v>
      </c>
      <c r="AN5584" s="33">
        <v>1.170906893886031E-2</v>
      </c>
      <c r="AO5584" s="33">
        <v>8.9992386285587438E-4</v>
      </c>
    </row>
    <row r="5585" spans="39:41" x14ac:dyDescent="0.25">
      <c r="AM5585" s="2">
        <v>5582</v>
      </c>
      <c r="AN5585" s="33">
        <v>1.1918218999272902E-2</v>
      </c>
      <c r="AO5585" s="33">
        <v>6.2076613401413217E-4</v>
      </c>
    </row>
    <row r="5586" spans="39:41" x14ac:dyDescent="0.25">
      <c r="AM5586" s="2">
        <v>5583</v>
      </c>
      <c r="AN5586" s="33">
        <v>1.5024559773775006E-2</v>
      </c>
      <c r="AO5586" s="33">
        <v>1.3585076427879098E-3</v>
      </c>
    </row>
    <row r="5587" spans="39:41" x14ac:dyDescent="0.25">
      <c r="AM5587" s="2">
        <v>5584</v>
      </c>
      <c r="AN5587" s="33">
        <v>8.4856081605443872E-3</v>
      </c>
      <c r="AO5587" s="33">
        <v>7.1381127073148927E-4</v>
      </c>
    </row>
    <row r="5588" spans="39:41" x14ac:dyDescent="0.25">
      <c r="AM5588" s="2">
        <v>5585</v>
      </c>
      <c r="AN5588" s="33">
        <v>1.0937353918184125E-2</v>
      </c>
      <c r="AO5588" s="33">
        <v>2.8632656867214127E-4</v>
      </c>
    </row>
    <row r="5589" spans="39:41" x14ac:dyDescent="0.25">
      <c r="AM5589" s="2">
        <v>5586</v>
      </c>
      <c r="AN5589" s="33">
        <v>1.1980353932555985E-2</v>
      </c>
      <c r="AO5589" s="33">
        <v>1.0884578878548252E-3</v>
      </c>
    </row>
    <row r="5590" spans="39:41" x14ac:dyDescent="0.25">
      <c r="AM5590" s="2">
        <v>5587</v>
      </c>
      <c r="AN5590" s="33">
        <v>1.367179799730148E-2</v>
      </c>
      <c r="AO5590" s="33">
        <v>1.077188821009169E-3</v>
      </c>
    </row>
    <row r="5591" spans="39:41" x14ac:dyDescent="0.25">
      <c r="AM5591" s="2">
        <v>5588</v>
      </c>
      <c r="AN5591" s="33">
        <v>1.2352815696088435E-2</v>
      </c>
      <c r="AO5591" s="33">
        <v>1.2061043209786373E-3</v>
      </c>
    </row>
    <row r="5592" spans="39:41" x14ac:dyDescent="0.25">
      <c r="AM5592" s="2">
        <v>5589</v>
      </c>
      <c r="AN5592" s="33">
        <v>9.4911154779422757E-3</v>
      </c>
      <c r="AO5592" s="33">
        <v>6.0289571688853019E-4</v>
      </c>
    </row>
    <row r="5593" spans="39:41" x14ac:dyDescent="0.25">
      <c r="AM5593" s="2">
        <v>5590</v>
      </c>
      <c r="AN5593" s="33">
        <v>1.393622849411515E-2</v>
      </c>
      <c r="AO5593" s="33">
        <v>8.2698496497418607E-4</v>
      </c>
    </row>
    <row r="5594" spans="39:41" x14ac:dyDescent="0.25">
      <c r="AM5594" s="2">
        <v>5591</v>
      </c>
      <c r="AN5594" s="33">
        <v>9.778399208230943E-3</v>
      </c>
      <c r="AO5594" s="33">
        <v>5.659241797131107E-4</v>
      </c>
    </row>
    <row r="5595" spans="39:41" x14ac:dyDescent="0.25">
      <c r="AM5595" s="2">
        <v>5592</v>
      </c>
      <c r="AN5595" s="33">
        <v>8.325264464177768E-3</v>
      </c>
      <c r="AO5595" s="33">
        <v>3.7686271705801442E-4</v>
      </c>
    </row>
    <row r="5596" spans="39:41" x14ac:dyDescent="0.25">
      <c r="AM5596" s="2">
        <v>5593</v>
      </c>
      <c r="AN5596" s="33">
        <v>1.1185771466525083E-2</v>
      </c>
      <c r="AO5596" s="33">
        <v>5.9619897056408715E-4</v>
      </c>
    </row>
    <row r="5597" spans="39:41" x14ac:dyDescent="0.25">
      <c r="AM5597" s="2">
        <v>5594</v>
      </c>
      <c r="AN5597" s="33">
        <v>1.8210650856109026E-2</v>
      </c>
      <c r="AO5597" s="33">
        <v>1.8805496119872539E-3</v>
      </c>
    </row>
    <row r="5598" spans="39:41" x14ac:dyDescent="0.25">
      <c r="AM5598" s="2">
        <v>5595</v>
      </c>
      <c r="AN5598" s="33">
        <v>9.4330223931949307E-3</v>
      </c>
      <c r="AO5598" s="33">
        <v>5.471907260477906E-4</v>
      </c>
    </row>
    <row r="5599" spans="39:41" x14ac:dyDescent="0.25">
      <c r="AM5599" s="2">
        <v>5596</v>
      </c>
      <c r="AN5599" s="33">
        <v>1.3966149391295906E-2</v>
      </c>
      <c r="AO5599" s="33">
        <v>1.2860606638897974E-3</v>
      </c>
    </row>
    <row r="5600" spans="39:41" x14ac:dyDescent="0.25">
      <c r="AM5600" s="2">
        <v>5597</v>
      </c>
      <c r="AN5600" s="33">
        <v>1.3268101957642641E-2</v>
      </c>
      <c r="AO5600" s="33">
        <v>7.9771556331939596E-4</v>
      </c>
    </row>
    <row r="5601" spans="39:41" x14ac:dyDescent="0.25">
      <c r="AM5601" s="2">
        <v>5598</v>
      </c>
      <c r="AN5601" s="33">
        <v>9.3444061159243565E-3</v>
      </c>
      <c r="AO5601" s="33">
        <v>5.8373230079886845E-4</v>
      </c>
    </row>
    <row r="5602" spans="39:41" x14ac:dyDescent="0.25">
      <c r="AM5602" s="2">
        <v>5599</v>
      </c>
      <c r="AN5602" s="33">
        <v>9.1384725106539808E-3</v>
      </c>
      <c r="AO5602" s="33">
        <v>6.3774035429422994E-4</v>
      </c>
    </row>
    <row r="5603" spans="39:41" x14ac:dyDescent="0.25">
      <c r="AM5603" s="2">
        <v>5600</v>
      </c>
      <c r="AN5603" s="33">
        <v>8.5565400484138906E-3</v>
      </c>
      <c r="AO5603" s="33">
        <v>7.2930344231207124E-4</v>
      </c>
    </row>
    <row r="5604" spans="39:41" x14ac:dyDescent="0.25">
      <c r="AM5604" s="2">
        <v>5601</v>
      </c>
      <c r="AN5604" s="33">
        <v>1.1067325364335455E-2</v>
      </c>
      <c r="AO5604" s="33">
        <v>8.2837509763995082E-4</v>
      </c>
    </row>
    <row r="5605" spans="39:41" x14ac:dyDescent="0.25">
      <c r="AM5605" s="2">
        <v>5602</v>
      </c>
      <c r="AN5605" s="33">
        <v>8.4788222190125846E-3</v>
      </c>
      <c r="AO5605" s="33">
        <v>6.0160100403918186E-4</v>
      </c>
    </row>
    <row r="5606" spans="39:41" x14ac:dyDescent="0.25">
      <c r="AM5606" s="2">
        <v>5603</v>
      </c>
      <c r="AN5606" s="33">
        <v>1.1984600148519918E-2</v>
      </c>
      <c r="AO5606" s="33">
        <v>9.7625300128785215E-4</v>
      </c>
    </row>
    <row r="5607" spans="39:41" x14ac:dyDescent="0.25">
      <c r="AM5607" s="2">
        <v>5604</v>
      </c>
      <c r="AN5607" s="33">
        <v>9.0836721875490328E-3</v>
      </c>
      <c r="AO5607" s="33">
        <v>5.1576201816951788E-4</v>
      </c>
    </row>
    <row r="5608" spans="39:41" x14ac:dyDescent="0.25">
      <c r="AM5608" s="2">
        <v>5605</v>
      </c>
      <c r="AN5608" s="33">
        <v>1.1690998586447118E-2</v>
      </c>
      <c r="AO5608" s="33">
        <v>6.1395282507849822E-4</v>
      </c>
    </row>
    <row r="5609" spans="39:41" x14ac:dyDescent="0.25">
      <c r="AM5609" s="2">
        <v>5606</v>
      </c>
      <c r="AN5609" s="33">
        <v>1.2133707837902701E-2</v>
      </c>
      <c r="AO5609" s="33">
        <v>1.2049587538056588E-3</v>
      </c>
    </row>
    <row r="5610" spans="39:41" x14ac:dyDescent="0.25">
      <c r="AM5610" s="2">
        <v>5607</v>
      </c>
      <c r="AN5610" s="33">
        <v>1.1767707513876111E-2</v>
      </c>
      <c r="AO5610" s="33">
        <v>8.0185886673069266E-4</v>
      </c>
    </row>
    <row r="5611" spans="39:41" x14ac:dyDescent="0.25">
      <c r="AM5611" s="2">
        <v>5608</v>
      </c>
      <c r="AN5611" s="33">
        <v>1.1354161957169581E-2</v>
      </c>
      <c r="AO5611" s="33">
        <v>4.9555899155399581E-4</v>
      </c>
    </row>
    <row r="5612" spans="39:41" x14ac:dyDescent="0.25">
      <c r="AM5612" s="2">
        <v>5609</v>
      </c>
      <c r="AN5612" s="33">
        <v>1.321760821328651E-2</v>
      </c>
      <c r="AO5612" s="33">
        <v>6.1660317992132184E-4</v>
      </c>
    </row>
    <row r="5613" spans="39:41" x14ac:dyDescent="0.25">
      <c r="AM5613" s="2">
        <v>5610</v>
      </c>
      <c r="AN5613" s="33">
        <v>1.3052076459786592E-2</v>
      </c>
      <c r="AO5613" s="33">
        <v>9.4576277168884645E-4</v>
      </c>
    </row>
    <row r="5614" spans="39:41" x14ac:dyDescent="0.25">
      <c r="AM5614" s="2">
        <v>5611</v>
      </c>
      <c r="AN5614" s="33">
        <v>1.1134696712477483E-2</v>
      </c>
      <c r="AO5614" s="33">
        <v>4.4698922666966965E-4</v>
      </c>
    </row>
    <row r="5615" spans="39:41" x14ac:dyDescent="0.25">
      <c r="AM5615" s="2">
        <v>5612</v>
      </c>
      <c r="AN5615" s="33">
        <v>1.0895250971691849E-2</v>
      </c>
      <c r="AO5615" s="33">
        <v>7.3241161246947735E-4</v>
      </c>
    </row>
    <row r="5616" spans="39:41" x14ac:dyDescent="0.25">
      <c r="AM5616" s="2">
        <v>5613</v>
      </c>
      <c r="AN5616" s="33">
        <v>1.1590862876668304E-2</v>
      </c>
      <c r="AO5616" s="33">
        <v>1.1062603352502615E-3</v>
      </c>
    </row>
    <row r="5617" spans="39:41" x14ac:dyDescent="0.25">
      <c r="AM5617" s="2">
        <v>5614</v>
      </c>
      <c r="AN5617" s="33">
        <v>1.4482398837857248E-2</v>
      </c>
      <c r="AO5617" s="33">
        <v>1.3989024024625384E-3</v>
      </c>
    </row>
    <row r="5618" spans="39:41" x14ac:dyDescent="0.25">
      <c r="AM5618" s="2">
        <v>5615</v>
      </c>
      <c r="AN5618" s="33">
        <v>9.0982177664954336E-3</v>
      </c>
      <c r="AO5618" s="33">
        <v>5.1103658528997358E-4</v>
      </c>
    </row>
    <row r="5619" spans="39:41" x14ac:dyDescent="0.25">
      <c r="AM5619" s="2">
        <v>5616</v>
      </c>
      <c r="AN5619" s="33">
        <v>1.1763101545116892E-2</v>
      </c>
      <c r="AO5619" s="33">
        <v>8.739294394694069E-4</v>
      </c>
    </row>
    <row r="5620" spans="39:41" x14ac:dyDescent="0.25">
      <c r="AM5620" s="2">
        <v>5617</v>
      </c>
      <c r="AN5620" s="33">
        <v>1.3800325812023652E-2</v>
      </c>
      <c r="AO5620" s="33">
        <v>9.1531557097004521E-4</v>
      </c>
    </row>
    <row r="5621" spans="39:41" x14ac:dyDescent="0.25">
      <c r="AM5621" s="2">
        <v>5618</v>
      </c>
      <c r="AN5621" s="33">
        <v>1.5383140934299952E-2</v>
      </c>
      <c r="AO5621" s="33">
        <v>9.4813409679671322E-4</v>
      </c>
    </row>
    <row r="5622" spans="39:41" x14ac:dyDescent="0.25">
      <c r="AM5622" s="2">
        <v>5619</v>
      </c>
      <c r="AN5622" s="33">
        <v>1.3112121336647027E-2</v>
      </c>
      <c r="AO5622" s="33">
        <v>1.0012982021507587E-3</v>
      </c>
    </row>
    <row r="5623" spans="39:41" x14ac:dyDescent="0.25">
      <c r="AM5623" s="2">
        <v>5620</v>
      </c>
      <c r="AN5623" s="33">
        <v>9.4894777171678126E-3</v>
      </c>
      <c r="AO5623" s="33">
        <v>4.9913758441130188E-4</v>
      </c>
    </row>
    <row r="5624" spans="39:41" x14ac:dyDescent="0.25">
      <c r="AM5624" s="2">
        <v>5621</v>
      </c>
      <c r="AN5624" s="33">
        <v>1.0883088180573803E-2</v>
      </c>
      <c r="AO5624" s="33">
        <v>5.5239921979083318E-4</v>
      </c>
    </row>
    <row r="5625" spans="39:41" x14ac:dyDescent="0.25">
      <c r="AM5625" s="2">
        <v>5622</v>
      </c>
      <c r="AN5625" s="33">
        <v>1.4333974142630112E-2</v>
      </c>
      <c r="AO5625" s="33">
        <v>6.7554905730138511E-4</v>
      </c>
    </row>
    <row r="5626" spans="39:41" x14ac:dyDescent="0.25">
      <c r="AM5626" s="2">
        <v>5623</v>
      </c>
      <c r="AN5626" s="33">
        <v>1.3421670469996747E-2</v>
      </c>
      <c r="AO5626" s="33">
        <v>7.9323063759090631E-4</v>
      </c>
    </row>
    <row r="5627" spans="39:41" x14ac:dyDescent="0.25">
      <c r="AM5627" s="2">
        <v>5624</v>
      </c>
      <c r="AN5627" s="33">
        <v>1.451363967193949E-2</v>
      </c>
      <c r="AO5627" s="33">
        <v>1.3914921794957564E-3</v>
      </c>
    </row>
    <row r="5628" spans="39:41" x14ac:dyDescent="0.25">
      <c r="AM5628" s="2">
        <v>5625</v>
      </c>
      <c r="AN5628" s="33">
        <v>1.2533769879280399E-2</v>
      </c>
      <c r="AO5628" s="33">
        <v>7.418403377215466E-4</v>
      </c>
    </row>
    <row r="5629" spans="39:41" x14ac:dyDescent="0.25">
      <c r="AM5629" s="2">
        <v>5626</v>
      </c>
      <c r="AN5629" s="33">
        <v>1.0572628984529542E-2</v>
      </c>
      <c r="AO5629" s="33">
        <v>4.5481648727438374E-4</v>
      </c>
    </row>
    <row r="5630" spans="39:41" x14ac:dyDescent="0.25">
      <c r="AM5630" s="2">
        <v>5627</v>
      </c>
      <c r="AN5630" s="33">
        <v>1.3588678221753093E-2</v>
      </c>
      <c r="AO5630" s="33">
        <v>1.1592021573248756E-3</v>
      </c>
    </row>
    <row r="5631" spans="39:41" x14ac:dyDescent="0.25">
      <c r="AM5631" s="2">
        <v>5628</v>
      </c>
      <c r="AN5631" s="33">
        <v>8.0189555684583094E-3</v>
      </c>
      <c r="AO5631" s="33">
        <v>6.1193710149107195E-4</v>
      </c>
    </row>
    <row r="5632" spans="39:41" x14ac:dyDescent="0.25">
      <c r="AM5632" s="2">
        <v>5629</v>
      </c>
      <c r="AN5632" s="33">
        <v>1.1222510610495917E-2</v>
      </c>
      <c r="AO5632" s="33">
        <v>9.607916614522709E-4</v>
      </c>
    </row>
    <row r="5633" spans="39:41" x14ac:dyDescent="0.25">
      <c r="AM5633" s="2">
        <v>5630</v>
      </c>
      <c r="AN5633" s="33">
        <v>1.3262803818631774E-2</v>
      </c>
      <c r="AO5633" s="33">
        <v>9.9553187738878361E-4</v>
      </c>
    </row>
    <row r="5634" spans="39:41" x14ac:dyDescent="0.25">
      <c r="AM5634" s="2">
        <v>5631</v>
      </c>
      <c r="AN5634" s="33">
        <v>1.2895214853003665E-2</v>
      </c>
      <c r="AO5634" s="33">
        <v>1.0297359159644793E-3</v>
      </c>
    </row>
    <row r="5635" spans="39:41" x14ac:dyDescent="0.25">
      <c r="AM5635" s="2">
        <v>5632</v>
      </c>
      <c r="AN5635" s="33">
        <v>1.1109431027425851E-2</v>
      </c>
      <c r="AO5635" s="33">
        <v>3.0321371810520809E-4</v>
      </c>
    </row>
    <row r="5636" spans="39:41" x14ac:dyDescent="0.25">
      <c r="AM5636" s="2">
        <v>5633</v>
      </c>
      <c r="AN5636" s="33">
        <v>1.244714226222125E-2</v>
      </c>
      <c r="AO5636" s="33">
        <v>5.1921969574186214E-4</v>
      </c>
    </row>
    <row r="5637" spans="39:41" x14ac:dyDescent="0.25">
      <c r="AM5637" s="2">
        <v>5634</v>
      </c>
      <c r="AN5637" s="33">
        <v>1.2951617406886502E-2</v>
      </c>
      <c r="AO5637" s="33">
        <v>9.7935103006079115E-4</v>
      </c>
    </row>
    <row r="5638" spans="39:41" x14ac:dyDescent="0.25">
      <c r="AM5638" s="2">
        <v>5635</v>
      </c>
      <c r="AN5638" s="33">
        <v>1.5050136928710597E-2</v>
      </c>
      <c r="AO5638" s="33">
        <v>1.0706502002990617E-3</v>
      </c>
    </row>
    <row r="5639" spans="39:41" x14ac:dyDescent="0.25">
      <c r="AM5639" s="2">
        <v>5636</v>
      </c>
      <c r="AN5639" s="33">
        <v>1.2316263950061277E-2</v>
      </c>
      <c r="AO5639" s="33">
        <v>7.3165958646424236E-4</v>
      </c>
    </row>
    <row r="5640" spans="39:41" x14ac:dyDescent="0.25">
      <c r="AM5640" s="2">
        <v>5637</v>
      </c>
      <c r="AN5640" s="33">
        <v>1.2194040691212655E-2</v>
      </c>
      <c r="AO5640" s="33">
        <v>8.8166619977709474E-4</v>
      </c>
    </row>
    <row r="5641" spans="39:41" x14ac:dyDescent="0.25">
      <c r="AM5641" s="2">
        <v>5638</v>
      </c>
      <c r="AN5641" s="33">
        <v>1.1819009494613288E-2</v>
      </c>
      <c r="AO5641" s="33">
        <v>1.1017093338090973E-3</v>
      </c>
    </row>
    <row r="5642" spans="39:41" x14ac:dyDescent="0.25">
      <c r="AM5642" s="2">
        <v>5639</v>
      </c>
      <c r="AN5642" s="33">
        <v>1.1682769352732983E-2</v>
      </c>
      <c r="AO5642" s="33">
        <v>1.0301055575737481E-3</v>
      </c>
    </row>
    <row r="5643" spans="39:41" x14ac:dyDescent="0.25">
      <c r="AM5643" s="2">
        <v>5640</v>
      </c>
      <c r="AN5643" s="33">
        <v>1.2147917322238048E-2</v>
      </c>
      <c r="AO5643" s="33">
        <v>4.6703014215766802E-4</v>
      </c>
    </row>
    <row r="5644" spans="39:41" x14ac:dyDescent="0.25">
      <c r="AM5644" s="2">
        <v>5641</v>
      </c>
      <c r="AN5644" s="33">
        <v>9.7055016467938165E-3</v>
      </c>
      <c r="AO5644" s="33">
        <v>7.7886563200911605E-4</v>
      </c>
    </row>
    <row r="5645" spans="39:41" x14ac:dyDescent="0.25">
      <c r="AM5645" s="2">
        <v>5642</v>
      </c>
      <c r="AN5645" s="33">
        <v>9.9595853328289224E-3</v>
      </c>
      <c r="AO5645" s="33">
        <v>7.2887765164122553E-4</v>
      </c>
    </row>
    <row r="5646" spans="39:41" x14ac:dyDescent="0.25">
      <c r="AM5646" s="2">
        <v>5643</v>
      </c>
      <c r="AN5646" s="33">
        <v>1.1005378045967651E-2</v>
      </c>
      <c r="AO5646" s="33">
        <v>7.6352557171500567E-4</v>
      </c>
    </row>
    <row r="5647" spans="39:41" x14ac:dyDescent="0.25">
      <c r="AM5647" s="2">
        <v>5644</v>
      </c>
      <c r="AN5647" s="33">
        <v>1.503732029952181E-2</v>
      </c>
      <c r="AO5647" s="33">
        <v>1.2684389614292953E-3</v>
      </c>
    </row>
    <row r="5648" spans="39:41" x14ac:dyDescent="0.25">
      <c r="AM5648" s="2">
        <v>5645</v>
      </c>
      <c r="AN5648" s="33">
        <v>1.1689336227331031E-2</v>
      </c>
      <c r="AO5648" s="33">
        <v>7.5937624696162723E-4</v>
      </c>
    </row>
    <row r="5649" spans="39:41" x14ac:dyDescent="0.25">
      <c r="AM5649" s="2">
        <v>5646</v>
      </c>
      <c r="AN5649" s="33">
        <v>1.3696217290549257E-2</v>
      </c>
      <c r="AO5649" s="33">
        <v>1.3174360143149799E-3</v>
      </c>
    </row>
    <row r="5650" spans="39:41" x14ac:dyDescent="0.25">
      <c r="AM5650" s="2">
        <v>5647</v>
      </c>
      <c r="AN5650" s="33">
        <v>8.4940335093213904E-3</v>
      </c>
      <c r="AO5650" s="33">
        <v>6.3900706309678076E-4</v>
      </c>
    </row>
    <row r="5651" spans="39:41" x14ac:dyDescent="0.25">
      <c r="AM5651" s="2">
        <v>5648</v>
      </c>
      <c r="AN5651" s="33">
        <v>1.2198531739186742E-2</v>
      </c>
      <c r="AO5651" s="33">
        <v>1.2417772668517524E-3</v>
      </c>
    </row>
    <row r="5652" spans="39:41" x14ac:dyDescent="0.25">
      <c r="AM5652" s="2">
        <v>5649</v>
      </c>
      <c r="AN5652" s="33">
        <v>1.2407626887466541E-2</v>
      </c>
      <c r="AO5652" s="33">
        <v>5.7674158944557067E-4</v>
      </c>
    </row>
    <row r="5653" spans="39:41" x14ac:dyDescent="0.25">
      <c r="AM5653" s="2">
        <v>5650</v>
      </c>
      <c r="AN5653" s="33">
        <v>8.1438192474947574E-3</v>
      </c>
      <c r="AO5653" s="33">
        <v>7.34147791878936E-4</v>
      </c>
    </row>
    <row r="5654" spans="39:41" x14ac:dyDescent="0.25">
      <c r="AM5654" s="2">
        <v>5651</v>
      </c>
      <c r="AN5654" s="33">
        <v>1.4429437498159189E-2</v>
      </c>
      <c r="AO5654" s="33">
        <v>1.3725299030396966E-3</v>
      </c>
    </row>
    <row r="5655" spans="39:41" x14ac:dyDescent="0.25">
      <c r="AM5655" s="2">
        <v>5652</v>
      </c>
      <c r="AN5655" s="33">
        <v>1.0745885363557087E-2</v>
      </c>
      <c r="AO5655" s="33">
        <v>5.8826832903594549E-4</v>
      </c>
    </row>
    <row r="5656" spans="39:41" x14ac:dyDescent="0.25">
      <c r="AM5656" s="2">
        <v>5653</v>
      </c>
      <c r="AN5656" s="33">
        <v>1.4993170006335196E-2</v>
      </c>
      <c r="AO5656" s="33">
        <v>1.3544861231932883E-3</v>
      </c>
    </row>
    <row r="5657" spans="39:41" x14ac:dyDescent="0.25">
      <c r="AM5657" s="2">
        <v>5654</v>
      </c>
      <c r="AN5657" s="33">
        <v>1.0231528428575554E-2</v>
      </c>
      <c r="AO5657" s="33">
        <v>4.9841940258880685E-4</v>
      </c>
    </row>
    <row r="5658" spans="39:41" x14ac:dyDescent="0.25">
      <c r="AM5658" s="2">
        <v>5655</v>
      </c>
      <c r="AN5658" s="33">
        <v>1.3332097610226742E-2</v>
      </c>
      <c r="AO5658" s="33">
        <v>8.8685552463731534E-4</v>
      </c>
    </row>
    <row r="5659" spans="39:41" x14ac:dyDescent="0.25">
      <c r="AM5659" s="2">
        <v>5656</v>
      </c>
      <c r="AN5659" s="33">
        <v>8.6566991779911638E-3</v>
      </c>
      <c r="AO5659" s="33">
        <v>5.1660628163636556E-4</v>
      </c>
    </row>
    <row r="5660" spans="39:41" x14ac:dyDescent="0.25">
      <c r="AM5660" s="2">
        <v>5657</v>
      </c>
      <c r="AN5660" s="33">
        <v>1.3285355907573532E-2</v>
      </c>
      <c r="AO5660" s="33">
        <v>1.2528209574791786E-3</v>
      </c>
    </row>
    <row r="5661" spans="39:41" x14ac:dyDescent="0.25">
      <c r="AM5661" s="2">
        <v>5658</v>
      </c>
      <c r="AN5661" s="33">
        <v>1.2819019879773658E-2</v>
      </c>
      <c r="AO5661" s="33">
        <v>1.0894774399730889E-3</v>
      </c>
    </row>
    <row r="5662" spans="39:41" x14ac:dyDescent="0.25">
      <c r="AM5662" s="2">
        <v>5659</v>
      </c>
      <c r="AN5662" s="33">
        <v>1.1763782759777687E-2</v>
      </c>
      <c r="AO5662" s="33">
        <v>8.4652619272518694E-4</v>
      </c>
    </row>
    <row r="5663" spans="39:41" x14ac:dyDescent="0.25">
      <c r="AM5663" s="2">
        <v>5660</v>
      </c>
      <c r="AN5663" s="33">
        <v>1.0777565307360673E-2</v>
      </c>
      <c r="AO5663" s="33">
        <v>7.0046434286413783E-4</v>
      </c>
    </row>
    <row r="5664" spans="39:41" x14ac:dyDescent="0.25">
      <c r="AM5664" s="2">
        <v>5661</v>
      </c>
      <c r="AN5664" s="33">
        <v>9.4846529919818279E-3</v>
      </c>
      <c r="AO5664" s="33">
        <v>7.6539933439143473E-4</v>
      </c>
    </row>
    <row r="5665" spans="39:41" x14ac:dyDescent="0.25">
      <c r="AM5665" s="2">
        <v>5662</v>
      </c>
      <c r="AN5665" s="33">
        <v>1.1717700943073721E-2</v>
      </c>
      <c r="AO5665" s="33">
        <v>9.9147309587557298E-4</v>
      </c>
    </row>
    <row r="5666" spans="39:41" x14ac:dyDescent="0.25">
      <c r="AM5666" s="2">
        <v>5663</v>
      </c>
      <c r="AN5666" s="33">
        <v>1.5712859178372795E-2</v>
      </c>
      <c r="AO5666" s="33">
        <v>1.302748746799398E-3</v>
      </c>
    </row>
    <row r="5667" spans="39:41" x14ac:dyDescent="0.25">
      <c r="AM5667" s="2">
        <v>5664</v>
      </c>
      <c r="AN5667" s="33">
        <v>9.5700351105861975E-3</v>
      </c>
      <c r="AO5667" s="33">
        <v>8.8597980837002983E-4</v>
      </c>
    </row>
    <row r="5668" spans="39:41" x14ac:dyDescent="0.25">
      <c r="AM5668" s="2">
        <v>5665</v>
      </c>
      <c r="AN5668" s="33">
        <v>1.3060381208857745E-2</v>
      </c>
      <c r="AO5668" s="33">
        <v>1.0215614542154754E-3</v>
      </c>
    </row>
    <row r="5669" spans="39:41" x14ac:dyDescent="0.25">
      <c r="AM5669" s="2">
        <v>5666</v>
      </c>
      <c r="AN5669" s="33">
        <v>1.0114820467739066E-2</v>
      </c>
      <c r="AO5669" s="33">
        <v>5.1166586172485186E-4</v>
      </c>
    </row>
    <row r="5670" spans="39:41" x14ac:dyDescent="0.25">
      <c r="AM5670" s="2">
        <v>5667</v>
      </c>
      <c r="AN5670" s="33">
        <v>1.4214055488487191E-2</v>
      </c>
      <c r="AO5670" s="33">
        <v>1.2344769367177125E-3</v>
      </c>
    </row>
    <row r="5671" spans="39:41" x14ac:dyDescent="0.25">
      <c r="AM5671" s="2">
        <v>5668</v>
      </c>
      <c r="AN5671" s="33">
        <v>1.2030318049894826E-2</v>
      </c>
      <c r="AO5671" s="33">
        <v>1.184114800615154E-3</v>
      </c>
    </row>
    <row r="5672" spans="39:41" x14ac:dyDescent="0.25">
      <c r="AM5672" s="2">
        <v>5669</v>
      </c>
      <c r="AN5672" s="33">
        <v>1.1059572690561166E-2</v>
      </c>
      <c r="AO5672" s="33">
        <v>9.3745547542433999E-4</v>
      </c>
    </row>
    <row r="5673" spans="39:41" x14ac:dyDescent="0.25">
      <c r="AM5673" s="2">
        <v>5670</v>
      </c>
      <c r="AN5673" s="33">
        <v>1.4651811477010383E-2</v>
      </c>
      <c r="AO5673" s="33">
        <v>1.1958388622751281E-3</v>
      </c>
    </row>
    <row r="5674" spans="39:41" x14ac:dyDescent="0.25">
      <c r="AM5674" s="2">
        <v>5671</v>
      </c>
      <c r="AN5674" s="33">
        <v>1.1648543945793278E-2</v>
      </c>
      <c r="AO5674" s="33">
        <v>5.787482625673224E-4</v>
      </c>
    </row>
    <row r="5675" spans="39:41" x14ac:dyDescent="0.25">
      <c r="AM5675" s="2">
        <v>5672</v>
      </c>
      <c r="AN5675" s="33">
        <v>1.3849132274039909E-2</v>
      </c>
      <c r="AO5675" s="33">
        <v>1.0320768906112805E-3</v>
      </c>
    </row>
    <row r="5676" spans="39:41" x14ac:dyDescent="0.25">
      <c r="AM5676" s="2">
        <v>5673</v>
      </c>
      <c r="AN5676" s="33">
        <v>1.2583189137287874E-2</v>
      </c>
      <c r="AO5676" s="33">
        <v>1.0008990463402857E-3</v>
      </c>
    </row>
    <row r="5677" spans="39:41" x14ac:dyDescent="0.25">
      <c r="AM5677" s="2">
        <v>5674</v>
      </c>
      <c r="AN5677" s="33">
        <v>1.1776934307614209E-2</v>
      </c>
      <c r="AO5677" s="33">
        <v>9.6463491805672246E-4</v>
      </c>
    </row>
    <row r="5678" spans="39:41" x14ac:dyDescent="0.25">
      <c r="AM5678" s="2">
        <v>5675</v>
      </c>
      <c r="AN5678" s="33">
        <v>1.155436185789062E-2</v>
      </c>
      <c r="AO5678" s="33">
        <v>5.8753687973781541E-4</v>
      </c>
    </row>
    <row r="5679" spans="39:41" x14ac:dyDescent="0.25">
      <c r="AM5679" s="2">
        <v>5676</v>
      </c>
      <c r="AN5679" s="33">
        <v>1.1148154486327996E-2</v>
      </c>
      <c r="AO5679" s="33">
        <v>7.6929847195769338E-4</v>
      </c>
    </row>
    <row r="5680" spans="39:41" x14ac:dyDescent="0.25">
      <c r="AM5680" s="2">
        <v>5677</v>
      </c>
      <c r="AN5680" s="33">
        <v>6.997073151426998E-3</v>
      </c>
      <c r="AO5680" s="33">
        <v>1.8572612262010725E-4</v>
      </c>
    </row>
    <row r="5681" spans="39:41" x14ac:dyDescent="0.25">
      <c r="AM5681" s="2">
        <v>5678</v>
      </c>
      <c r="AN5681" s="33">
        <v>1.5326117272973587E-2</v>
      </c>
      <c r="AO5681" s="33">
        <v>1.094268023329232E-3</v>
      </c>
    </row>
    <row r="5682" spans="39:41" x14ac:dyDescent="0.25">
      <c r="AM5682" s="2">
        <v>5679</v>
      </c>
      <c r="AN5682" s="33">
        <v>1.1500426845633467E-2</v>
      </c>
      <c r="AO5682" s="33">
        <v>6.9501368542972109E-4</v>
      </c>
    </row>
    <row r="5683" spans="39:41" x14ac:dyDescent="0.25">
      <c r="AM5683" s="2">
        <v>5680</v>
      </c>
      <c r="AN5683" s="33">
        <v>1.7490829371883045E-2</v>
      </c>
      <c r="AO5683" s="33">
        <v>1.5026892072167522E-3</v>
      </c>
    </row>
    <row r="5684" spans="39:41" x14ac:dyDescent="0.25">
      <c r="AM5684" s="2">
        <v>5681</v>
      </c>
      <c r="AN5684" s="33">
        <v>1.2392284719277084E-2</v>
      </c>
      <c r="AO5684" s="33">
        <v>5.3186023629390186E-4</v>
      </c>
    </row>
    <row r="5685" spans="39:41" x14ac:dyDescent="0.25">
      <c r="AM5685" s="2">
        <v>5682</v>
      </c>
      <c r="AN5685" s="33">
        <v>1.1648270078657985E-2</v>
      </c>
      <c r="AO5685" s="33">
        <v>6.1353918210529294E-4</v>
      </c>
    </row>
    <row r="5686" spans="39:41" x14ac:dyDescent="0.25">
      <c r="AM5686" s="2">
        <v>5683</v>
      </c>
      <c r="AN5686" s="33">
        <v>1.186632710375847E-2</v>
      </c>
      <c r="AO5686" s="33">
        <v>7.5685479822675396E-4</v>
      </c>
    </row>
    <row r="5687" spans="39:41" x14ac:dyDescent="0.25">
      <c r="AM5687" s="2">
        <v>5684</v>
      </c>
      <c r="AN5687" s="33">
        <v>1.0735503236425265E-2</v>
      </c>
      <c r="AO5687" s="33">
        <v>5.7884081395549085E-4</v>
      </c>
    </row>
    <row r="5688" spans="39:41" x14ac:dyDescent="0.25">
      <c r="AM5688" s="2">
        <v>5685</v>
      </c>
      <c r="AN5688" s="33">
        <v>1.3894356593091888E-2</v>
      </c>
      <c r="AO5688" s="33">
        <v>1.0529555069359836E-3</v>
      </c>
    </row>
    <row r="5689" spans="39:41" x14ac:dyDescent="0.25">
      <c r="AM5689" s="2">
        <v>5686</v>
      </c>
      <c r="AN5689" s="33">
        <v>1.3256031709512091E-2</v>
      </c>
      <c r="AO5689" s="33">
        <v>9.834761049451119E-4</v>
      </c>
    </row>
    <row r="5690" spans="39:41" x14ac:dyDescent="0.25">
      <c r="AM5690" s="2">
        <v>5687</v>
      </c>
      <c r="AN5690" s="33">
        <v>1.1310438992757091E-2</v>
      </c>
      <c r="AO5690" s="33">
        <v>7.8007789725488411E-4</v>
      </c>
    </row>
    <row r="5691" spans="39:41" x14ac:dyDescent="0.25">
      <c r="AM5691" s="2">
        <v>5688</v>
      </c>
      <c r="AN5691" s="33">
        <v>9.4034189916800161E-3</v>
      </c>
      <c r="AO5691" s="33">
        <v>3.203215403909543E-4</v>
      </c>
    </row>
    <row r="5692" spans="39:41" x14ac:dyDescent="0.25">
      <c r="AM5692" s="2">
        <v>5689</v>
      </c>
      <c r="AN5692" s="33">
        <v>1.5116899439528717E-2</v>
      </c>
      <c r="AO5692" s="33">
        <v>1.4478508448330138E-3</v>
      </c>
    </row>
    <row r="5693" spans="39:41" x14ac:dyDescent="0.25">
      <c r="AM5693" s="2">
        <v>5690</v>
      </c>
      <c r="AN5693" s="33">
        <v>1.0078432438179349E-2</v>
      </c>
      <c r="AO5693" s="33">
        <v>9.1934325166249118E-4</v>
      </c>
    </row>
    <row r="5694" spans="39:41" x14ac:dyDescent="0.25">
      <c r="AM5694" s="2">
        <v>5691</v>
      </c>
      <c r="AN5694" s="33">
        <v>1.2504631754949267E-2</v>
      </c>
      <c r="AO5694" s="33">
        <v>8.2949096338613216E-4</v>
      </c>
    </row>
    <row r="5695" spans="39:41" x14ac:dyDescent="0.25">
      <c r="AM5695" s="2">
        <v>5692</v>
      </c>
      <c r="AN5695" s="33">
        <v>1.1186751174501802E-2</v>
      </c>
      <c r="AO5695" s="33">
        <v>3.7615723847960511E-4</v>
      </c>
    </row>
    <row r="5696" spans="39:41" x14ac:dyDescent="0.25">
      <c r="AM5696" s="2">
        <v>5693</v>
      </c>
      <c r="AN5696" s="33">
        <v>1.204521989634048E-2</v>
      </c>
      <c r="AO5696" s="33">
        <v>3.8560769120128549E-4</v>
      </c>
    </row>
    <row r="5697" spans="39:41" x14ac:dyDescent="0.25">
      <c r="AM5697" s="2">
        <v>5694</v>
      </c>
      <c r="AN5697" s="33">
        <v>1.5272138774498499E-2</v>
      </c>
      <c r="AO5697" s="33">
        <v>1.5140530281818705E-3</v>
      </c>
    </row>
    <row r="5698" spans="39:41" x14ac:dyDescent="0.25">
      <c r="AM5698" s="2">
        <v>5695</v>
      </c>
      <c r="AN5698" s="33">
        <v>1.0433167533825253E-2</v>
      </c>
      <c r="AO5698" s="33">
        <v>9.2518096110213457E-4</v>
      </c>
    </row>
    <row r="5699" spans="39:41" x14ac:dyDescent="0.25">
      <c r="AM5699" s="2">
        <v>5696</v>
      </c>
      <c r="AN5699" s="33">
        <v>1.3078048244878626E-2</v>
      </c>
      <c r="AO5699" s="33">
        <v>1.2310333939309804E-3</v>
      </c>
    </row>
    <row r="5700" spans="39:41" x14ac:dyDescent="0.25">
      <c r="AM5700" s="2">
        <v>5697</v>
      </c>
      <c r="AN5700" s="33">
        <v>1.0470888680042468E-2</v>
      </c>
      <c r="AO5700" s="33">
        <v>7.1736823454778052E-4</v>
      </c>
    </row>
    <row r="5701" spans="39:41" x14ac:dyDescent="0.25">
      <c r="AM5701" s="2">
        <v>5698</v>
      </c>
      <c r="AN5701" s="33">
        <v>1.4005904959090449E-2</v>
      </c>
      <c r="AO5701" s="33">
        <v>1.2355018894352717E-3</v>
      </c>
    </row>
    <row r="5702" spans="39:41" x14ac:dyDescent="0.25">
      <c r="AM5702" s="2">
        <v>5699</v>
      </c>
      <c r="AN5702" s="33">
        <v>1.4376929735809642E-2</v>
      </c>
      <c r="AO5702" s="33">
        <v>1.5212948501181734E-3</v>
      </c>
    </row>
    <row r="5703" spans="39:41" x14ac:dyDescent="0.25">
      <c r="AM5703" s="2">
        <v>5700</v>
      </c>
      <c r="AN5703" s="33">
        <v>1.0872534771165419E-2</v>
      </c>
      <c r="AO5703" s="33">
        <v>5.7318493529746309E-4</v>
      </c>
    </row>
    <row r="5704" spans="39:41" x14ac:dyDescent="0.25">
      <c r="AM5704" s="2">
        <v>5701</v>
      </c>
      <c r="AN5704" s="33">
        <v>1.0106855917199582E-2</v>
      </c>
      <c r="AO5704" s="33">
        <v>4.5939933124487651E-4</v>
      </c>
    </row>
    <row r="5705" spans="39:41" x14ac:dyDescent="0.25">
      <c r="AM5705" s="2">
        <v>5702</v>
      </c>
      <c r="AN5705" s="33">
        <v>1.2384357233734915E-2</v>
      </c>
      <c r="AO5705" s="33">
        <v>1.0461086659129413E-3</v>
      </c>
    </row>
    <row r="5706" spans="39:41" x14ac:dyDescent="0.25">
      <c r="AM5706" s="2">
        <v>5703</v>
      </c>
      <c r="AN5706" s="33">
        <v>1.240590107578609E-2</v>
      </c>
      <c r="AO5706" s="33">
        <v>1.2371602435300843E-3</v>
      </c>
    </row>
    <row r="5707" spans="39:41" x14ac:dyDescent="0.25">
      <c r="AM5707" s="2">
        <v>5704</v>
      </c>
      <c r="AN5707" s="33">
        <v>1.2211176900269651E-2</v>
      </c>
      <c r="AO5707" s="33">
        <v>1.0333008383038569E-3</v>
      </c>
    </row>
    <row r="5708" spans="39:41" x14ac:dyDescent="0.25">
      <c r="AM5708" s="2">
        <v>5705</v>
      </c>
      <c r="AN5708" s="33">
        <v>1.2654377945694226E-2</v>
      </c>
      <c r="AO5708" s="33">
        <v>9.4561588241248696E-4</v>
      </c>
    </row>
    <row r="5709" spans="39:41" x14ac:dyDescent="0.25">
      <c r="AM5709" s="2">
        <v>5706</v>
      </c>
      <c r="AN5709" s="33">
        <v>9.3900105259145036E-3</v>
      </c>
      <c r="AO5709" s="33">
        <v>4.992170438217296E-4</v>
      </c>
    </row>
    <row r="5710" spans="39:41" x14ac:dyDescent="0.25">
      <c r="AM5710" s="2">
        <v>5707</v>
      </c>
      <c r="AN5710" s="33">
        <v>9.1507513329525496E-3</v>
      </c>
      <c r="AO5710" s="33">
        <v>6.3389070153851838E-4</v>
      </c>
    </row>
    <row r="5711" spans="39:41" x14ac:dyDescent="0.25">
      <c r="AM5711" s="2">
        <v>5708</v>
      </c>
      <c r="AN5711" s="33">
        <v>1.0600596113265187E-2</v>
      </c>
      <c r="AO5711" s="33">
        <v>4.1686131302134764E-4</v>
      </c>
    </row>
    <row r="5712" spans="39:41" x14ac:dyDescent="0.25">
      <c r="AM5712" s="2">
        <v>5709</v>
      </c>
      <c r="AN5712" s="33">
        <v>1.3843344096799624E-2</v>
      </c>
      <c r="AO5712" s="33">
        <v>1.2297387631410902E-3</v>
      </c>
    </row>
    <row r="5713" spans="39:41" x14ac:dyDescent="0.25">
      <c r="AM5713" s="2">
        <v>5710</v>
      </c>
      <c r="AN5713" s="33">
        <v>1.3323505068209326E-2</v>
      </c>
      <c r="AO5713" s="33">
        <v>1.1913332795095316E-3</v>
      </c>
    </row>
    <row r="5714" spans="39:41" x14ac:dyDescent="0.25">
      <c r="AM5714" s="2">
        <v>5711</v>
      </c>
      <c r="AN5714" s="33">
        <v>1.716891917398709E-2</v>
      </c>
      <c r="AO5714" s="33">
        <v>-8.986950346667085E-5</v>
      </c>
    </row>
    <row r="5715" spans="39:41" x14ac:dyDescent="0.25">
      <c r="AM5715" s="2">
        <v>5712</v>
      </c>
      <c r="AN5715" s="33">
        <v>1.2545854426641301E-2</v>
      </c>
      <c r="AO5715" s="33">
        <v>1.2181530118363971E-3</v>
      </c>
    </row>
    <row r="5716" spans="39:41" x14ac:dyDescent="0.25">
      <c r="AM5716" s="2">
        <v>5713</v>
      </c>
      <c r="AN5716" s="33">
        <v>1.1765508475865391E-2</v>
      </c>
      <c r="AO5716" s="33">
        <v>9.0673484699466535E-4</v>
      </c>
    </row>
    <row r="5717" spans="39:41" x14ac:dyDescent="0.25">
      <c r="AM5717" s="2">
        <v>5714</v>
      </c>
      <c r="AN5717" s="33">
        <v>1.256090188129032E-2</v>
      </c>
      <c r="AO5717" s="33">
        <v>8.6203060890665802E-4</v>
      </c>
    </row>
    <row r="5718" spans="39:41" x14ac:dyDescent="0.25">
      <c r="AM5718" s="2">
        <v>5715</v>
      </c>
      <c r="AN5718" s="33">
        <v>1.2351354349298207E-2</v>
      </c>
      <c r="AO5718" s="33">
        <v>1.1227305303510434E-3</v>
      </c>
    </row>
    <row r="5719" spans="39:41" x14ac:dyDescent="0.25">
      <c r="AM5719" s="2">
        <v>5716</v>
      </c>
      <c r="AN5719" s="33">
        <v>1.0113951380563948E-2</v>
      </c>
      <c r="AO5719" s="33">
        <v>5.2866700899942038E-4</v>
      </c>
    </row>
    <row r="5720" spans="39:41" x14ac:dyDescent="0.25">
      <c r="AM5720" s="2">
        <v>5717</v>
      </c>
      <c r="AN5720" s="33">
        <v>1.296676408723047E-2</v>
      </c>
      <c r="AO5720" s="33">
        <v>8.5208768293106073E-4</v>
      </c>
    </row>
    <row r="5721" spans="39:41" x14ac:dyDescent="0.25">
      <c r="AM5721" s="2">
        <v>5718</v>
      </c>
      <c r="AN5721" s="33">
        <v>8.856485841551031E-3</v>
      </c>
      <c r="AO5721" s="33">
        <v>5.3471410015064607E-4</v>
      </c>
    </row>
    <row r="5722" spans="39:41" x14ac:dyDescent="0.25">
      <c r="AM5722" s="2">
        <v>5719</v>
      </c>
      <c r="AN5722" s="33">
        <v>1.0536626062610238E-2</v>
      </c>
      <c r="AO5722" s="33">
        <v>6.1360401440703515E-4</v>
      </c>
    </row>
    <row r="5723" spans="39:41" x14ac:dyDescent="0.25">
      <c r="AM5723" s="2">
        <v>5720</v>
      </c>
      <c r="AN5723" s="33">
        <v>1.2125688302269285E-2</v>
      </c>
      <c r="AO5723" s="33">
        <v>7.9195219040303075E-4</v>
      </c>
    </row>
    <row r="5724" spans="39:41" x14ac:dyDescent="0.25">
      <c r="AM5724" s="2">
        <v>5721</v>
      </c>
      <c r="AN5724" s="33">
        <v>1.0457492352685057E-2</v>
      </c>
      <c r="AO5724" s="33">
        <v>1.0771078702679069E-3</v>
      </c>
    </row>
    <row r="5725" spans="39:41" x14ac:dyDescent="0.25">
      <c r="AM5725" s="2">
        <v>5722</v>
      </c>
      <c r="AN5725" s="33">
        <v>9.8498755184578679E-3</v>
      </c>
      <c r="AO5725" s="33">
        <v>1.8698681950559548E-4</v>
      </c>
    </row>
    <row r="5726" spans="39:41" x14ac:dyDescent="0.25">
      <c r="AM5726" s="2">
        <v>5723</v>
      </c>
      <c r="AN5726" s="33">
        <v>1.3687497624612039E-2</v>
      </c>
      <c r="AO5726" s="33">
        <v>1.1616142224400302E-3</v>
      </c>
    </row>
    <row r="5727" spans="39:41" x14ac:dyDescent="0.25">
      <c r="AM5727" s="2">
        <v>5724</v>
      </c>
      <c r="AN5727" s="33">
        <v>1.1742360658640547E-2</v>
      </c>
      <c r="AO5727" s="33">
        <v>7.361194282950634E-4</v>
      </c>
    </row>
    <row r="5728" spans="39:41" x14ac:dyDescent="0.25">
      <c r="AM5728" s="2">
        <v>5725</v>
      </c>
      <c r="AN5728" s="33">
        <v>1.2303788150111891E-2</v>
      </c>
      <c r="AO5728" s="33">
        <v>1.069748846698944E-3</v>
      </c>
    </row>
    <row r="5729" spans="39:41" x14ac:dyDescent="0.25">
      <c r="AM5729" s="2">
        <v>5726</v>
      </c>
      <c r="AN5729" s="33">
        <v>1.2396885402801049E-2</v>
      </c>
      <c r="AO5729" s="33">
        <v>7.0895824307404655E-4</v>
      </c>
    </row>
    <row r="5730" spans="39:41" x14ac:dyDescent="0.25">
      <c r="AM5730" s="2">
        <v>5727</v>
      </c>
      <c r="AN5730" s="33">
        <v>1.1984762880452153E-2</v>
      </c>
      <c r="AO5730" s="33">
        <v>4.8419911014192129E-4</v>
      </c>
    </row>
    <row r="5731" spans="39:41" x14ac:dyDescent="0.25">
      <c r="AM5731" s="2">
        <v>5728</v>
      </c>
      <c r="AN5731" s="33">
        <v>1.5096243477205298E-2</v>
      </c>
      <c r="AO5731" s="33">
        <v>1.6247880671713232E-3</v>
      </c>
    </row>
    <row r="5732" spans="39:41" x14ac:dyDescent="0.25">
      <c r="AM5732" s="2">
        <v>5729</v>
      </c>
      <c r="AN5732" s="33">
        <v>1.3942317199445815E-2</v>
      </c>
      <c r="AO5732" s="33">
        <v>1.033483165795879E-3</v>
      </c>
    </row>
    <row r="5733" spans="39:41" x14ac:dyDescent="0.25">
      <c r="AM5733" s="2">
        <v>5730</v>
      </c>
      <c r="AN5733" s="33">
        <v>8.9754434603558572E-3</v>
      </c>
      <c r="AO5733" s="33">
        <v>6.3668787142656365E-4</v>
      </c>
    </row>
    <row r="5734" spans="39:41" x14ac:dyDescent="0.25">
      <c r="AM5734" s="2">
        <v>5731</v>
      </c>
      <c r="AN5734" s="33">
        <v>1.4131790845497478E-2</v>
      </c>
      <c r="AO5734" s="33">
        <v>1.0152230117541053E-3</v>
      </c>
    </row>
    <row r="5735" spans="39:41" x14ac:dyDescent="0.25">
      <c r="AM5735" s="2">
        <v>5732</v>
      </c>
      <c r="AN5735" s="33">
        <v>9.1223209473309565E-3</v>
      </c>
      <c r="AO5735" s="33">
        <v>5.4040910921224281E-4</v>
      </c>
    </row>
    <row r="5736" spans="39:41" x14ac:dyDescent="0.25">
      <c r="AM5736" s="2">
        <v>5733</v>
      </c>
      <c r="AN5736" s="33">
        <v>1.1372596255401256E-2</v>
      </c>
      <c r="AO5736" s="33">
        <v>8.9332234555529217E-4</v>
      </c>
    </row>
    <row r="5737" spans="39:41" x14ac:dyDescent="0.25">
      <c r="AM5737" s="2">
        <v>5734</v>
      </c>
      <c r="AN5737" s="33">
        <v>9.65284568004777E-3</v>
      </c>
      <c r="AO5737" s="33">
        <v>6.1305766317534501E-4</v>
      </c>
    </row>
    <row r="5738" spans="39:41" x14ac:dyDescent="0.25">
      <c r="AM5738" s="2">
        <v>5735</v>
      </c>
      <c r="AN5738" s="33">
        <v>1.339654361375397E-2</v>
      </c>
      <c r="AO5738" s="33">
        <v>1.1750719422740292E-3</v>
      </c>
    </row>
    <row r="5739" spans="39:41" x14ac:dyDescent="0.25">
      <c r="AM5739" s="2">
        <v>5736</v>
      </c>
      <c r="AN5739" s="33">
        <v>1.2978789968992144E-2</v>
      </c>
      <c r="AO5739" s="33">
        <v>9.5817969576054442E-4</v>
      </c>
    </row>
    <row r="5740" spans="39:41" x14ac:dyDescent="0.25">
      <c r="AM5740" s="2">
        <v>5737</v>
      </c>
      <c r="AN5740" s="33">
        <v>1.2087979931111019E-2</v>
      </c>
      <c r="AO5740" s="33">
        <v>9.5865056648537924E-4</v>
      </c>
    </row>
    <row r="5741" spans="39:41" x14ac:dyDescent="0.25">
      <c r="AM5741" s="2">
        <v>5738</v>
      </c>
      <c r="AN5741" s="33">
        <v>9.3209119498352637E-3</v>
      </c>
      <c r="AO5741" s="33">
        <v>7.4803898266434033E-4</v>
      </c>
    </row>
    <row r="5742" spans="39:41" x14ac:dyDescent="0.25">
      <c r="AM5742" s="2">
        <v>5739</v>
      </c>
      <c r="AN5742" s="33">
        <v>1.765849212628268E-2</v>
      </c>
      <c r="AO5742" s="33">
        <v>1.108108329243715E-3</v>
      </c>
    </row>
    <row r="5743" spans="39:41" x14ac:dyDescent="0.25">
      <c r="AM5743" s="2">
        <v>5740</v>
      </c>
      <c r="AN5743" s="33">
        <v>9.4655999615408225E-3</v>
      </c>
      <c r="AO5743" s="33">
        <v>7.9570239304566938E-4</v>
      </c>
    </row>
    <row r="5744" spans="39:41" x14ac:dyDescent="0.25">
      <c r="AM5744" s="2">
        <v>5741</v>
      </c>
      <c r="AN5744" s="33">
        <v>1.3317701147290714E-2</v>
      </c>
      <c r="AO5744" s="33">
        <v>1.2121482692208031E-3</v>
      </c>
    </row>
    <row r="5745" spans="39:41" x14ac:dyDescent="0.25">
      <c r="AM5745" s="2">
        <v>5742</v>
      </c>
      <c r="AN5745" s="33">
        <v>1.5001135692633309E-2</v>
      </c>
      <c r="AO5745" s="33">
        <v>1.1325136027112528E-3</v>
      </c>
    </row>
    <row r="5746" spans="39:41" x14ac:dyDescent="0.25">
      <c r="AM5746" s="2">
        <v>5743</v>
      </c>
      <c r="AN5746" s="33">
        <v>9.1051878476780188E-3</v>
      </c>
      <c r="AO5746" s="33">
        <v>8.1263029891284939E-4</v>
      </c>
    </row>
    <row r="5747" spans="39:41" x14ac:dyDescent="0.25">
      <c r="AM5747" s="2">
        <v>5744</v>
      </c>
      <c r="AN5747" s="33">
        <v>1.0574310645861815E-2</v>
      </c>
      <c r="AO5747" s="33">
        <v>1.0729540063747847E-3</v>
      </c>
    </row>
    <row r="5748" spans="39:41" x14ac:dyDescent="0.25">
      <c r="AM5748" s="2">
        <v>5745</v>
      </c>
      <c r="AN5748" s="33">
        <v>1.3119280112342369E-2</v>
      </c>
      <c r="AO5748" s="33">
        <v>9.7322596888904601E-4</v>
      </c>
    </row>
    <row r="5749" spans="39:41" x14ac:dyDescent="0.25">
      <c r="AM5749" s="2">
        <v>5746</v>
      </c>
      <c r="AN5749" s="33">
        <v>8.8915764209911118E-3</v>
      </c>
      <c r="AO5749" s="33">
        <v>5.5850536058074749E-4</v>
      </c>
    </row>
    <row r="5750" spans="39:41" x14ac:dyDescent="0.25">
      <c r="AM5750" s="2">
        <v>5747</v>
      </c>
      <c r="AN5750" s="33">
        <v>1.6831351083066944E-2</v>
      </c>
      <c r="AO5750" s="33">
        <v>1.7562827022663892E-3</v>
      </c>
    </row>
    <row r="5751" spans="39:41" x14ac:dyDescent="0.25">
      <c r="AM5751" s="2">
        <v>5748</v>
      </c>
      <c r="AN5751" s="33">
        <v>1.6034820771554791E-2</v>
      </c>
      <c r="AO5751" s="33">
        <v>6.8265147781033014E-5</v>
      </c>
    </row>
    <row r="5752" spans="39:41" x14ac:dyDescent="0.25">
      <c r="AM5752" s="2">
        <v>5749</v>
      </c>
      <c r="AN5752" s="33">
        <v>1.2640113353457268E-2</v>
      </c>
      <c r="AO5752" s="33">
        <v>5.3451203045811304E-4</v>
      </c>
    </row>
    <row r="5753" spans="39:41" x14ac:dyDescent="0.25">
      <c r="AM5753" s="2">
        <v>5750</v>
      </c>
      <c r="AN5753" s="33">
        <v>1.2201408790130031E-2</v>
      </c>
      <c r="AO5753" s="33">
        <v>1.0253998679370655E-3</v>
      </c>
    </row>
    <row r="5754" spans="39:41" x14ac:dyDescent="0.25">
      <c r="AM5754" s="2">
        <v>5751</v>
      </c>
      <c r="AN5754" s="33">
        <v>1.5954438089619327E-2</v>
      </c>
      <c r="AO5754" s="33">
        <v>1.6743956481406108E-3</v>
      </c>
    </row>
    <row r="5755" spans="39:41" x14ac:dyDescent="0.25">
      <c r="AM5755" s="2">
        <v>5752</v>
      </c>
      <c r="AN5755" s="33">
        <v>1.2894057568301682E-2</v>
      </c>
      <c r="AO5755" s="33">
        <v>6.3402331698710697E-4</v>
      </c>
    </row>
    <row r="5756" spans="39:41" x14ac:dyDescent="0.25">
      <c r="AM5756" s="2">
        <v>5753</v>
      </c>
      <c r="AN5756" s="33">
        <v>1.3188069848665157E-2</v>
      </c>
      <c r="AO5756" s="33">
        <v>1.2373895097229067E-3</v>
      </c>
    </row>
    <row r="5757" spans="39:41" x14ac:dyDescent="0.25">
      <c r="AM5757" s="2">
        <v>5754</v>
      </c>
      <c r="AN5757" s="33">
        <v>1.0755076936232646E-2</v>
      </c>
      <c r="AO5757" s="33">
        <v>8.1809754199008025E-4</v>
      </c>
    </row>
    <row r="5758" spans="39:41" x14ac:dyDescent="0.25">
      <c r="AM5758" s="2">
        <v>5755</v>
      </c>
      <c r="AN5758" s="33">
        <v>1.1932785261804324E-2</v>
      </c>
      <c r="AO5758" s="33">
        <v>7.3549516752906578E-4</v>
      </c>
    </row>
    <row r="5759" spans="39:41" x14ac:dyDescent="0.25">
      <c r="AM5759" s="2">
        <v>5756</v>
      </c>
      <c r="AN5759" s="33">
        <v>9.3118798760193338E-3</v>
      </c>
      <c r="AO5759" s="33">
        <v>1.8409921636176158E-4</v>
      </c>
    </row>
    <row r="5760" spans="39:41" x14ac:dyDescent="0.25">
      <c r="AM5760" s="2">
        <v>5757</v>
      </c>
      <c r="AN5760" s="33">
        <v>8.3851079521708085E-3</v>
      </c>
      <c r="AO5760" s="33">
        <v>6.2919405819686564E-4</v>
      </c>
    </row>
    <row r="5761" spans="39:41" x14ac:dyDescent="0.25">
      <c r="AM5761" s="2">
        <v>5758</v>
      </c>
      <c r="AN5761" s="33">
        <v>1.4419654830299873E-2</v>
      </c>
      <c r="AO5761" s="33">
        <v>1.2306919385776016E-3</v>
      </c>
    </row>
    <row r="5762" spans="39:41" x14ac:dyDescent="0.25">
      <c r="AM5762" s="2">
        <v>5759</v>
      </c>
      <c r="AN5762" s="33">
        <v>1.1998368439006571E-2</v>
      </c>
      <c r="AO5762" s="33">
        <v>1.0236606637782351E-3</v>
      </c>
    </row>
    <row r="5763" spans="39:41" x14ac:dyDescent="0.25">
      <c r="AM5763" s="2">
        <v>5760</v>
      </c>
      <c r="AN5763" s="33">
        <v>9.8057248093603548E-3</v>
      </c>
      <c r="AO5763" s="33">
        <v>7.8721470182117393E-4</v>
      </c>
    </row>
    <row r="5764" spans="39:41" x14ac:dyDescent="0.25">
      <c r="AM5764" s="2">
        <v>5761</v>
      </c>
      <c r="AN5764" s="33">
        <v>1.2335058099745933E-2</v>
      </c>
      <c r="AO5764" s="33">
        <v>1.0534508339955276E-3</v>
      </c>
    </row>
    <row r="5765" spans="39:41" x14ac:dyDescent="0.25">
      <c r="AM5765" s="2">
        <v>5762</v>
      </c>
      <c r="AN5765" s="33">
        <v>1.2814479392990782E-2</v>
      </c>
      <c r="AO5765" s="33">
        <v>1.0957754052412629E-3</v>
      </c>
    </row>
    <row r="5766" spans="39:41" x14ac:dyDescent="0.25">
      <c r="AM5766" s="2">
        <v>5763</v>
      </c>
      <c r="AN5766" s="33">
        <v>1.1315979239327149E-2</v>
      </c>
      <c r="AO5766" s="33">
        <v>8.8411926912455321E-4</v>
      </c>
    </row>
    <row r="5767" spans="39:41" x14ac:dyDescent="0.25">
      <c r="AM5767" s="2">
        <v>5764</v>
      </c>
      <c r="AN5767" s="33">
        <v>1.1645912587111668E-2</v>
      </c>
      <c r="AO5767" s="33">
        <v>7.471731794312116E-4</v>
      </c>
    </row>
    <row r="5768" spans="39:41" x14ac:dyDescent="0.25">
      <c r="AM5768" s="2">
        <v>5765</v>
      </c>
      <c r="AN5768" s="33">
        <v>1.3873309027213255E-2</v>
      </c>
      <c r="AO5768" s="33">
        <v>1.0880110999062439E-3</v>
      </c>
    </row>
    <row r="5769" spans="39:41" x14ac:dyDescent="0.25">
      <c r="AM5769" s="2">
        <v>5766</v>
      </c>
      <c r="AN5769" s="33">
        <v>1.1500044314174696E-2</v>
      </c>
      <c r="AO5769" s="33">
        <v>8.9488231429753532E-4</v>
      </c>
    </row>
    <row r="5770" spans="39:41" x14ac:dyDescent="0.25">
      <c r="AM5770" s="2">
        <v>5767</v>
      </c>
      <c r="AN5770" s="33">
        <v>1.2139145548337338E-2</v>
      </c>
      <c r="AO5770" s="33">
        <v>5.5251922084008853E-4</v>
      </c>
    </row>
    <row r="5771" spans="39:41" x14ac:dyDescent="0.25">
      <c r="AM5771" s="2">
        <v>5768</v>
      </c>
      <c r="AN5771" s="33">
        <v>8.8460576344137429E-3</v>
      </c>
      <c r="AO5771" s="33">
        <v>4.8906129759995211E-4</v>
      </c>
    </row>
    <row r="5772" spans="39:41" x14ac:dyDescent="0.25">
      <c r="AM5772" s="2">
        <v>5769</v>
      </c>
      <c r="AN5772" s="33">
        <v>1.2434005627976322E-2</v>
      </c>
      <c r="AO5772" s="33">
        <v>9.7009758954565161E-4</v>
      </c>
    </row>
    <row r="5773" spans="39:41" x14ac:dyDescent="0.25">
      <c r="AM5773" s="2">
        <v>5770</v>
      </c>
      <c r="AN5773" s="33">
        <v>9.0911962370924023E-3</v>
      </c>
      <c r="AO5773" s="33">
        <v>7.4537642516509179E-4</v>
      </c>
    </row>
    <row r="5774" spans="39:41" x14ac:dyDescent="0.25">
      <c r="AM5774" s="2">
        <v>5771</v>
      </c>
      <c r="AN5774" s="33">
        <v>1.2694014272341693E-2</v>
      </c>
      <c r="AO5774" s="33">
        <v>1.009454580450105E-3</v>
      </c>
    </row>
    <row r="5775" spans="39:41" x14ac:dyDescent="0.25">
      <c r="AM5775" s="2">
        <v>5772</v>
      </c>
      <c r="AN5775" s="33">
        <v>1.2334614426725303E-2</v>
      </c>
      <c r="AO5775" s="33">
        <v>8.1525624746009461E-4</v>
      </c>
    </row>
    <row r="5776" spans="39:41" x14ac:dyDescent="0.25">
      <c r="AM5776" s="2">
        <v>5773</v>
      </c>
      <c r="AN5776" s="33">
        <v>1.1839965791689163E-2</v>
      </c>
      <c r="AO5776" s="33">
        <v>9.8334961785624545E-4</v>
      </c>
    </row>
    <row r="5777" spans="39:41" x14ac:dyDescent="0.25">
      <c r="AM5777" s="2">
        <v>5774</v>
      </c>
      <c r="AN5777" s="33">
        <v>1.4681916835872255E-2</v>
      </c>
      <c r="AO5777" s="33">
        <v>1.4037332817428464E-3</v>
      </c>
    </row>
    <row r="5778" spans="39:41" x14ac:dyDescent="0.25">
      <c r="AM5778" s="2">
        <v>5775</v>
      </c>
      <c r="AN5778" s="33">
        <v>1.1782785368619575E-2</v>
      </c>
      <c r="AO5778" s="33">
        <v>8.7249227674049651E-4</v>
      </c>
    </row>
    <row r="5779" spans="39:41" x14ac:dyDescent="0.25">
      <c r="AM5779" s="2">
        <v>5776</v>
      </c>
      <c r="AN5779" s="33">
        <v>1.2113196515263804E-2</v>
      </c>
      <c r="AO5779" s="33">
        <v>8.7952381952382782E-4</v>
      </c>
    </row>
    <row r="5780" spans="39:41" x14ac:dyDescent="0.25">
      <c r="AM5780" s="2">
        <v>5777</v>
      </c>
      <c r="AN5780" s="33">
        <v>1.052105351765468E-2</v>
      </c>
      <c r="AO5780" s="33">
        <v>7.5325084259835048E-4</v>
      </c>
    </row>
    <row r="5781" spans="39:41" x14ac:dyDescent="0.25">
      <c r="AM5781" s="2">
        <v>5778</v>
      </c>
      <c r="AN5781" s="33">
        <v>1.129682245048776E-2</v>
      </c>
      <c r="AO5781" s="33">
        <v>1.1158348739325511E-3</v>
      </c>
    </row>
    <row r="5782" spans="39:41" x14ac:dyDescent="0.25">
      <c r="AM5782" s="2">
        <v>5779</v>
      </c>
      <c r="AN5782" s="33">
        <v>9.7263786769003387E-3</v>
      </c>
      <c r="AO5782" s="33">
        <v>2.4683717946358339E-4</v>
      </c>
    </row>
    <row r="5783" spans="39:41" x14ac:dyDescent="0.25">
      <c r="AM5783" s="2">
        <v>5780</v>
      </c>
      <c r="AN5783" s="33">
        <v>1.2109711717320417E-2</v>
      </c>
      <c r="AO5783" s="33">
        <v>8.7672290319256916E-4</v>
      </c>
    </row>
    <row r="5784" spans="39:41" x14ac:dyDescent="0.25">
      <c r="AM5784" s="2">
        <v>5781</v>
      </c>
      <c r="AN5784" s="33">
        <v>1.5425423374297366E-2</v>
      </c>
      <c r="AO5784" s="33">
        <v>1.3705298729392269E-3</v>
      </c>
    </row>
    <row r="5785" spans="39:41" x14ac:dyDescent="0.25">
      <c r="AM5785" s="2">
        <v>5782</v>
      </c>
      <c r="AN5785" s="33">
        <v>1.2349272716298368E-2</v>
      </c>
      <c r="AO5785" s="33">
        <v>9.8197532615116353E-4</v>
      </c>
    </row>
    <row r="5786" spans="39:41" x14ac:dyDescent="0.25">
      <c r="AM5786" s="2">
        <v>5783</v>
      </c>
      <c r="AN5786" s="33">
        <v>1.2277370420653626E-2</v>
      </c>
      <c r="AO5786" s="33">
        <v>9.576837670525497E-4</v>
      </c>
    </row>
    <row r="5787" spans="39:41" x14ac:dyDescent="0.25">
      <c r="AM5787" s="2">
        <v>5784</v>
      </c>
      <c r="AN5787" s="33">
        <v>1.2514664590312611E-2</v>
      </c>
      <c r="AO5787" s="33">
        <v>4.8804456785134969E-4</v>
      </c>
    </row>
    <row r="5788" spans="39:41" x14ac:dyDescent="0.25">
      <c r="AM5788" s="2">
        <v>5785</v>
      </c>
      <c r="AN5788" s="33">
        <v>9.8427688047052278E-3</v>
      </c>
      <c r="AO5788" s="33">
        <v>1.5481531906260223E-4</v>
      </c>
    </row>
    <row r="5789" spans="39:41" x14ac:dyDescent="0.25">
      <c r="AM5789" s="2">
        <v>5786</v>
      </c>
      <c r="AN5789" s="33">
        <v>1.1838901870729258E-2</v>
      </c>
      <c r="AO5789" s="33">
        <v>5.2979586125830838E-4</v>
      </c>
    </row>
    <row r="5790" spans="39:41" x14ac:dyDescent="0.25">
      <c r="AM5790" s="2">
        <v>5787</v>
      </c>
      <c r="AN5790" s="33">
        <v>1.1328535846759448E-2</v>
      </c>
      <c r="AO5790" s="33">
        <v>1.0621876322131775E-3</v>
      </c>
    </row>
    <row r="5791" spans="39:41" x14ac:dyDescent="0.25">
      <c r="AM5791" s="2">
        <v>5788</v>
      </c>
      <c r="AN5791" s="33">
        <v>1.2893722620646936E-2</v>
      </c>
      <c r="AO5791" s="33">
        <v>7.5967494810162618E-4</v>
      </c>
    </row>
    <row r="5792" spans="39:41" x14ac:dyDescent="0.25">
      <c r="AM5792" s="2">
        <v>5789</v>
      </c>
      <c r="AN5792" s="33">
        <v>1.5097840109802019E-2</v>
      </c>
      <c r="AO5792" s="33">
        <v>1.3858176948775599E-3</v>
      </c>
    </row>
    <row r="5793" spans="39:41" x14ac:dyDescent="0.25">
      <c r="AM5793" s="2">
        <v>5790</v>
      </c>
      <c r="AN5793" s="33">
        <v>1.3036910913092985E-2</v>
      </c>
      <c r="AO5793" s="33">
        <v>1.1039016375525856E-3</v>
      </c>
    </row>
    <row r="5794" spans="39:41" x14ac:dyDescent="0.25">
      <c r="AM5794" s="2">
        <v>5791</v>
      </c>
      <c r="AN5794" s="33">
        <v>1.3464244308307763E-2</v>
      </c>
      <c r="AO5794" s="33">
        <v>1.0310994912950161E-3</v>
      </c>
    </row>
    <row r="5795" spans="39:41" x14ac:dyDescent="0.25">
      <c r="AM5795" s="2">
        <v>5792</v>
      </c>
      <c r="AN5795" s="33">
        <v>1.2413428647550831E-2</v>
      </c>
      <c r="AO5795" s="33">
        <v>9.8780687261416597E-4</v>
      </c>
    </row>
    <row r="5796" spans="39:41" x14ac:dyDescent="0.25">
      <c r="AM5796" s="2">
        <v>5793</v>
      </c>
      <c r="AN5796" s="33">
        <v>1.2522244928860697E-2</v>
      </c>
      <c r="AO5796" s="33">
        <v>1.0989728999640674E-3</v>
      </c>
    </row>
    <row r="5797" spans="39:41" x14ac:dyDescent="0.25">
      <c r="AM5797" s="2">
        <v>5794</v>
      </c>
      <c r="AN5797" s="33">
        <v>1.0618494635580903E-2</v>
      </c>
      <c r="AO5797" s="33">
        <v>7.4968960315851911E-4</v>
      </c>
    </row>
    <row r="5798" spans="39:41" x14ac:dyDescent="0.25">
      <c r="AM5798" s="2">
        <v>5795</v>
      </c>
      <c r="AN5798" s="33">
        <v>1.1835985684640647E-2</v>
      </c>
      <c r="AO5798" s="33">
        <v>8.4128698115161482E-4</v>
      </c>
    </row>
    <row r="5799" spans="39:41" x14ac:dyDescent="0.25">
      <c r="AM5799" s="2">
        <v>5796</v>
      </c>
      <c r="AN5799" s="33">
        <v>1.4766296630358972E-2</v>
      </c>
      <c r="AO5799" s="33">
        <v>1.2443483490076142E-3</v>
      </c>
    </row>
    <row r="5800" spans="39:41" x14ac:dyDescent="0.25">
      <c r="AM5800" s="2">
        <v>5797</v>
      </c>
      <c r="AN5800" s="33">
        <v>1.1072172641768564E-2</v>
      </c>
      <c r="AO5800" s="33">
        <v>8.7151872308263397E-4</v>
      </c>
    </row>
    <row r="5801" spans="39:41" x14ac:dyDescent="0.25">
      <c r="AM5801" s="2">
        <v>5798</v>
      </c>
      <c r="AN5801" s="33">
        <v>1.0201854978110256E-2</v>
      </c>
      <c r="AO5801" s="33">
        <v>7.1956717368830913E-4</v>
      </c>
    </row>
    <row r="5802" spans="39:41" x14ac:dyDescent="0.25">
      <c r="AM5802" s="2">
        <v>5799</v>
      </c>
      <c r="AN5802" s="33">
        <v>1.109106066796111E-2</v>
      </c>
      <c r="AO5802" s="33">
        <v>9.913937728374283E-4</v>
      </c>
    </row>
    <row r="5803" spans="39:41" x14ac:dyDescent="0.25">
      <c r="AM5803" s="2">
        <v>5800</v>
      </c>
      <c r="AN5803" s="33">
        <v>1.2085835597267461E-2</v>
      </c>
      <c r="AO5803" s="33">
        <v>5.906701741506859E-4</v>
      </c>
    </row>
    <row r="5804" spans="39:41" x14ac:dyDescent="0.25">
      <c r="AM5804" s="2">
        <v>5801</v>
      </c>
      <c r="AN5804" s="33">
        <v>1.0005672493215333E-2</v>
      </c>
      <c r="AO5804" s="33">
        <v>2.5002476520399923E-4</v>
      </c>
    </row>
    <row r="5805" spans="39:41" x14ac:dyDescent="0.25">
      <c r="AM5805" s="2">
        <v>5802</v>
      </c>
      <c r="AN5805" s="33">
        <v>1.1115375849093114E-2</v>
      </c>
      <c r="AO5805" s="33">
        <v>9.3701316075680944E-4</v>
      </c>
    </row>
    <row r="5806" spans="39:41" x14ac:dyDescent="0.25">
      <c r="AM5806" s="2">
        <v>5803</v>
      </c>
      <c r="AN5806" s="33">
        <v>1.1135525155039004E-2</v>
      </c>
      <c r="AO5806" s="33">
        <v>9.1785790859641838E-4</v>
      </c>
    </row>
    <row r="5807" spans="39:41" x14ac:dyDescent="0.25">
      <c r="AM5807" s="2">
        <v>5804</v>
      </c>
      <c r="AN5807" s="33">
        <v>1.4706712947759338E-2</v>
      </c>
      <c r="AO5807" s="33">
        <v>1.4107723280870972E-3</v>
      </c>
    </row>
    <row r="5808" spans="39:41" x14ac:dyDescent="0.25">
      <c r="AM5808" s="2">
        <v>5805</v>
      </c>
      <c r="AN5808" s="33">
        <v>9.4961695361637372E-3</v>
      </c>
      <c r="AO5808" s="33">
        <v>3.60812129618678E-4</v>
      </c>
    </row>
    <row r="5809" spans="39:41" x14ac:dyDescent="0.25">
      <c r="AM5809" s="2">
        <v>5806</v>
      </c>
      <c r="AN5809" s="33">
        <v>1.4714964396384913E-2</v>
      </c>
      <c r="AO5809" s="33">
        <v>1.2841635042728859E-3</v>
      </c>
    </row>
    <row r="5810" spans="39:41" x14ac:dyDescent="0.25">
      <c r="AM5810" s="2">
        <v>5807</v>
      </c>
      <c r="AN5810" s="33">
        <v>1.0866952451424423E-2</v>
      </c>
      <c r="AO5810" s="33">
        <v>9.1009204214758158E-4</v>
      </c>
    </row>
    <row r="5811" spans="39:41" x14ac:dyDescent="0.25">
      <c r="AM5811" s="2">
        <v>5808</v>
      </c>
      <c r="AN5811" s="33">
        <v>1.2535081860617936E-2</v>
      </c>
      <c r="AO5811" s="33">
        <v>1.2051736484731232E-3</v>
      </c>
    </row>
    <row r="5812" spans="39:41" x14ac:dyDescent="0.25">
      <c r="AM5812" s="2">
        <v>5809</v>
      </c>
      <c r="AN5812" s="33">
        <v>1.5321076651079521E-2</v>
      </c>
      <c r="AO5812" s="33">
        <v>1.5792109732181922E-3</v>
      </c>
    </row>
    <row r="5813" spans="39:41" x14ac:dyDescent="0.25">
      <c r="AM5813" s="2">
        <v>5810</v>
      </c>
      <c r="AN5813" s="33">
        <v>1.2704663813417746E-2</v>
      </c>
      <c r="AO5813" s="33">
        <v>1.2392521188202567E-3</v>
      </c>
    </row>
    <row r="5814" spans="39:41" x14ac:dyDescent="0.25">
      <c r="AM5814" s="2">
        <v>5811</v>
      </c>
      <c r="AN5814" s="33">
        <v>1.0278381961475213E-2</v>
      </c>
      <c r="AO5814" s="33">
        <v>1.1311468524280264E-3</v>
      </c>
    </row>
    <row r="5815" spans="39:41" x14ac:dyDescent="0.25">
      <c r="AM5815" s="2">
        <v>5812</v>
      </c>
      <c r="AN5815" s="33">
        <v>1.558266530989481E-2</v>
      </c>
      <c r="AO5815" s="33">
        <v>1.3275431202505548E-3</v>
      </c>
    </row>
    <row r="5816" spans="39:41" x14ac:dyDescent="0.25">
      <c r="AM5816" s="2">
        <v>5813</v>
      </c>
      <c r="AN5816" s="33">
        <v>1.2346727712914765E-2</v>
      </c>
      <c r="AO5816" s="33">
        <v>1.1590207615048498E-3</v>
      </c>
    </row>
    <row r="5817" spans="39:41" x14ac:dyDescent="0.25">
      <c r="AM5817" s="2">
        <v>5814</v>
      </c>
      <c r="AN5817" s="33">
        <v>1.3929400903072571E-2</v>
      </c>
      <c r="AO5817" s="33">
        <v>1.1013339364674929E-3</v>
      </c>
    </row>
    <row r="5818" spans="39:41" x14ac:dyDescent="0.25">
      <c r="AM5818" s="2">
        <v>5815</v>
      </c>
      <c r="AN5818" s="33">
        <v>8.7052177046378458E-3</v>
      </c>
      <c r="AO5818" s="33">
        <v>4.7133782044541159E-4</v>
      </c>
    </row>
    <row r="5819" spans="39:41" x14ac:dyDescent="0.25">
      <c r="AM5819" s="2">
        <v>5816</v>
      </c>
      <c r="AN5819" s="33">
        <v>8.1614829685155519E-3</v>
      </c>
      <c r="AO5819" s="33">
        <v>3.7980344506788831E-4</v>
      </c>
    </row>
    <row r="5820" spans="39:41" x14ac:dyDescent="0.25">
      <c r="AM5820" s="2">
        <v>5817</v>
      </c>
      <c r="AN5820" s="33">
        <v>9.8036073697093003E-3</v>
      </c>
      <c r="AO5820" s="33">
        <v>5.5442980309344532E-4</v>
      </c>
    </row>
    <row r="5821" spans="39:41" x14ac:dyDescent="0.25">
      <c r="AM5821" s="2">
        <v>5818</v>
      </c>
      <c r="AN5821" s="33">
        <v>1.3529387793038193E-2</v>
      </c>
      <c r="AO5821" s="33">
        <v>1.0399614110011364E-3</v>
      </c>
    </row>
    <row r="5822" spans="39:41" x14ac:dyDescent="0.25">
      <c r="AM5822" s="2">
        <v>5819</v>
      </c>
      <c r="AN5822" s="33">
        <v>1.4158101472956864E-2</v>
      </c>
      <c r="AO5822" s="33">
        <v>1.0713697448982292E-3</v>
      </c>
    </row>
    <row r="5823" spans="39:41" x14ac:dyDescent="0.25">
      <c r="AM5823" s="2">
        <v>5820</v>
      </c>
      <c r="AN5823" s="33">
        <v>1.1597655502760214E-2</v>
      </c>
      <c r="AO5823" s="33">
        <v>7.3023735413846672E-4</v>
      </c>
    </row>
    <row r="5824" spans="39:41" x14ac:dyDescent="0.25">
      <c r="AM5824" s="2">
        <v>5821</v>
      </c>
      <c r="AN5824" s="33">
        <v>1.3269850763174256E-2</v>
      </c>
      <c r="AO5824" s="33">
        <v>8.5019367267091144E-4</v>
      </c>
    </row>
    <row r="5825" spans="39:41" x14ac:dyDescent="0.25">
      <c r="AM5825" s="2">
        <v>5822</v>
      </c>
      <c r="AN5825" s="33">
        <v>1.1691721905648735E-2</v>
      </c>
      <c r="AO5825" s="33">
        <v>9.2422259228789542E-4</v>
      </c>
    </row>
    <row r="5826" spans="39:41" x14ac:dyDescent="0.25">
      <c r="AM5826" s="2">
        <v>5823</v>
      </c>
      <c r="AN5826" s="33">
        <v>9.6725884817528644E-3</v>
      </c>
      <c r="AO5826" s="33">
        <v>8.0031433170101778E-4</v>
      </c>
    </row>
    <row r="5827" spans="39:41" x14ac:dyDescent="0.25">
      <c r="AM5827" s="2">
        <v>5824</v>
      </c>
      <c r="AN5827" s="33">
        <v>9.8732293300914323E-3</v>
      </c>
      <c r="AO5827" s="33">
        <v>7.1027698474683922E-4</v>
      </c>
    </row>
    <row r="5828" spans="39:41" x14ac:dyDescent="0.25">
      <c r="AM5828" s="2">
        <v>5825</v>
      </c>
      <c r="AN5828" s="33">
        <v>1.2166194614072612E-2</v>
      </c>
      <c r="AO5828" s="33">
        <v>9.1592638663893805E-4</v>
      </c>
    </row>
    <row r="5829" spans="39:41" x14ac:dyDescent="0.25">
      <c r="AM5829" s="2">
        <v>5826</v>
      </c>
      <c r="AN5829" s="33">
        <v>1.2386671776598383E-2</v>
      </c>
      <c r="AO5829" s="33">
        <v>7.9152467823285447E-4</v>
      </c>
    </row>
    <row r="5830" spans="39:41" x14ac:dyDescent="0.25">
      <c r="AM5830" s="2">
        <v>5827</v>
      </c>
      <c r="AN5830" s="33">
        <v>1.090822000797512E-2</v>
      </c>
      <c r="AO5830" s="33">
        <v>9.6566172874789063E-4</v>
      </c>
    </row>
    <row r="5831" spans="39:41" x14ac:dyDescent="0.25">
      <c r="AM5831" s="2">
        <v>5828</v>
      </c>
      <c r="AN5831" s="33">
        <v>1.5060415489690643E-2</v>
      </c>
      <c r="AO5831" s="33">
        <v>1.5769441842478262E-3</v>
      </c>
    </row>
    <row r="5832" spans="39:41" x14ac:dyDescent="0.25">
      <c r="AM5832" s="2">
        <v>5829</v>
      </c>
      <c r="AN5832" s="33">
        <v>1.2180527080737144E-2</v>
      </c>
      <c r="AO5832" s="33">
        <v>1.0462494050461849E-3</v>
      </c>
    </row>
    <row r="5833" spans="39:41" x14ac:dyDescent="0.25">
      <c r="AM5833" s="2">
        <v>5830</v>
      </c>
      <c r="AN5833" s="33">
        <v>9.1744959868185587E-3</v>
      </c>
      <c r="AO5833" s="33">
        <v>6.4625732475493336E-4</v>
      </c>
    </row>
    <row r="5834" spans="39:41" x14ac:dyDescent="0.25">
      <c r="AM5834" s="2">
        <v>5831</v>
      </c>
      <c r="AN5834" s="33">
        <v>1.4046791021595907E-2</v>
      </c>
      <c r="AO5834" s="33">
        <v>1.1531325723393583E-3</v>
      </c>
    </row>
    <row r="5835" spans="39:41" x14ac:dyDescent="0.25">
      <c r="AM5835" s="2">
        <v>5832</v>
      </c>
      <c r="AN5835" s="33">
        <v>1.0193000007059442E-2</v>
      </c>
      <c r="AO5835" s="33">
        <v>4.9801001819308377E-4</v>
      </c>
    </row>
    <row r="5836" spans="39:41" x14ac:dyDescent="0.25">
      <c r="AM5836" s="2">
        <v>5833</v>
      </c>
      <c r="AN5836" s="33">
        <v>9.6337751182841696E-3</v>
      </c>
      <c r="AO5836" s="33">
        <v>2.2141309585580615E-4</v>
      </c>
    </row>
    <row r="5837" spans="39:41" x14ac:dyDescent="0.25">
      <c r="AM5837" s="2">
        <v>5834</v>
      </c>
      <c r="AN5837" s="33">
        <v>8.1589786771778718E-3</v>
      </c>
      <c r="AO5837" s="33">
        <v>6.0777493064920923E-4</v>
      </c>
    </row>
    <row r="5838" spans="39:41" x14ac:dyDescent="0.25">
      <c r="AM5838" s="2">
        <v>5835</v>
      </c>
      <c r="AN5838" s="33">
        <v>8.5527989368417937E-3</v>
      </c>
      <c r="AO5838" s="33">
        <v>6.9448190995459046E-4</v>
      </c>
    </row>
    <row r="5839" spans="39:41" x14ac:dyDescent="0.25">
      <c r="AM5839" s="2">
        <v>5836</v>
      </c>
      <c r="AN5839" s="33">
        <v>1.1566733868641139E-2</v>
      </c>
      <c r="AO5839" s="33">
        <v>6.9259220896331986E-4</v>
      </c>
    </row>
    <row r="5840" spans="39:41" x14ac:dyDescent="0.25">
      <c r="AM5840" s="2">
        <v>5837</v>
      </c>
      <c r="AN5840" s="33">
        <v>1.1082037774594546E-2</v>
      </c>
      <c r="AO5840" s="33">
        <v>3.8129118167620264E-4</v>
      </c>
    </row>
    <row r="5841" spans="39:41" x14ac:dyDescent="0.25">
      <c r="AM5841" s="2">
        <v>5838</v>
      </c>
      <c r="AN5841" s="33">
        <v>1.3349604790270732E-2</v>
      </c>
      <c r="AO5841" s="33">
        <v>1.0092464610028686E-3</v>
      </c>
    </row>
    <row r="5842" spans="39:41" x14ac:dyDescent="0.25">
      <c r="AM5842" s="2">
        <v>5839</v>
      </c>
      <c r="AN5842" s="33">
        <v>1.4429151171520676E-2</v>
      </c>
      <c r="AO5842" s="33">
        <v>1.4372395854309378E-3</v>
      </c>
    </row>
    <row r="5843" spans="39:41" x14ac:dyDescent="0.25">
      <c r="AM5843" s="2">
        <v>5840</v>
      </c>
      <c r="AN5843" s="33">
        <v>1.5305432149113632E-2</v>
      </c>
      <c r="AO5843" s="33">
        <v>1.4445196194570475E-3</v>
      </c>
    </row>
    <row r="5844" spans="39:41" x14ac:dyDescent="0.25">
      <c r="AM5844" s="2">
        <v>5841</v>
      </c>
      <c r="AN5844" s="33">
        <v>1.0713820758313007E-2</v>
      </c>
      <c r="AO5844" s="33">
        <v>4.8771238617029291E-4</v>
      </c>
    </row>
    <row r="5845" spans="39:41" x14ac:dyDescent="0.25">
      <c r="AM5845" s="2">
        <v>5842</v>
      </c>
      <c r="AN5845" s="33">
        <v>1.5639213187981334E-2</v>
      </c>
      <c r="AO5845" s="33">
        <v>1.3605178117167078E-3</v>
      </c>
    </row>
    <row r="5846" spans="39:41" x14ac:dyDescent="0.25">
      <c r="AM5846" s="2">
        <v>5843</v>
      </c>
      <c r="AN5846" s="33">
        <v>1.0018085811689469E-2</v>
      </c>
      <c r="AO5846" s="33">
        <v>8.0591691144450423E-4</v>
      </c>
    </row>
    <row r="5847" spans="39:41" x14ac:dyDescent="0.25">
      <c r="AM5847" s="2">
        <v>5844</v>
      </c>
      <c r="AN5847" s="33">
        <v>7.9987774612771713E-3</v>
      </c>
      <c r="AO5847" s="33">
        <v>5.9263999958389336E-4</v>
      </c>
    </row>
    <row r="5848" spans="39:41" x14ac:dyDescent="0.25">
      <c r="AM5848" s="2">
        <v>5845</v>
      </c>
      <c r="AN5848" s="33">
        <v>9.5020923298327741E-3</v>
      </c>
      <c r="AO5848" s="33">
        <v>3.6822665831136937E-6</v>
      </c>
    </row>
    <row r="5849" spans="39:41" x14ac:dyDescent="0.25">
      <c r="AM5849" s="2">
        <v>5846</v>
      </c>
      <c r="AN5849" s="33">
        <v>9.4109705162831736E-3</v>
      </c>
      <c r="AO5849" s="33">
        <v>8.8969422420123398E-4</v>
      </c>
    </row>
    <row r="5850" spans="39:41" x14ac:dyDescent="0.25">
      <c r="AM5850" s="2">
        <v>5847</v>
      </c>
      <c r="AN5850" s="33">
        <v>1.3819190288375E-2</v>
      </c>
      <c r="AO5850" s="33">
        <v>8.0378675108644241E-4</v>
      </c>
    </row>
    <row r="5851" spans="39:41" x14ac:dyDescent="0.25">
      <c r="AM5851" s="2">
        <v>5848</v>
      </c>
      <c r="AN5851" s="33">
        <v>1.00637466756918E-2</v>
      </c>
      <c r="AO5851" s="33">
        <v>3.3175881088200697E-4</v>
      </c>
    </row>
    <row r="5852" spans="39:41" x14ac:dyDescent="0.25">
      <c r="AM5852" s="2">
        <v>5849</v>
      </c>
      <c r="AN5852" s="33">
        <v>1.077598739230071E-2</v>
      </c>
      <c r="AO5852" s="33">
        <v>7.8110455175246459E-4</v>
      </c>
    </row>
    <row r="5853" spans="39:41" x14ac:dyDescent="0.25">
      <c r="AM5853" s="2">
        <v>5850</v>
      </c>
      <c r="AN5853" s="33">
        <v>1.1607634109436139E-2</v>
      </c>
      <c r="AO5853" s="33">
        <v>6.681570052448001E-4</v>
      </c>
    </row>
    <row r="5854" spans="39:41" x14ac:dyDescent="0.25">
      <c r="AM5854" s="2">
        <v>5851</v>
      </c>
      <c r="AN5854" s="33">
        <v>8.2039133920100722E-3</v>
      </c>
      <c r="AO5854" s="33">
        <v>6.1519293389004979E-4</v>
      </c>
    </row>
    <row r="5855" spans="39:41" x14ac:dyDescent="0.25">
      <c r="AM5855" s="2">
        <v>5852</v>
      </c>
      <c r="AN5855" s="33">
        <v>9.9329603471964359E-3</v>
      </c>
      <c r="AO5855" s="33">
        <v>5.1736133915262898E-4</v>
      </c>
    </row>
    <row r="5856" spans="39:41" x14ac:dyDescent="0.25">
      <c r="AM5856" s="2">
        <v>5853</v>
      </c>
      <c r="AN5856" s="33">
        <v>1.1931154810753047E-2</v>
      </c>
      <c r="AO5856" s="33">
        <v>7.4310232913576025E-4</v>
      </c>
    </row>
    <row r="5857" spans="39:41" x14ac:dyDescent="0.25">
      <c r="AM5857" s="2">
        <v>5854</v>
      </c>
      <c r="AN5857" s="33">
        <v>1.1132295234719864E-2</v>
      </c>
      <c r="AO5857" s="33">
        <v>1.0375872944377547E-3</v>
      </c>
    </row>
    <row r="5858" spans="39:41" x14ac:dyDescent="0.25">
      <c r="AM5858" s="2">
        <v>5855</v>
      </c>
      <c r="AN5858" s="33">
        <v>1.1329930037953921E-2</v>
      </c>
      <c r="AO5858" s="33">
        <v>2.4145998097763641E-4</v>
      </c>
    </row>
    <row r="5859" spans="39:41" x14ac:dyDescent="0.25">
      <c r="AM5859" s="2">
        <v>5856</v>
      </c>
      <c r="AN5859" s="33">
        <v>8.6215809108361775E-3</v>
      </c>
      <c r="AO5859" s="33">
        <v>5.0830213905188857E-4</v>
      </c>
    </row>
    <row r="5860" spans="39:41" x14ac:dyDescent="0.25">
      <c r="AM5860" s="2">
        <v>5857</v>
      </c>
      <c r="AN5860" s="33">
        <v>1.1405514245207143E-2</v>
      </c>
      <c r="AO5860" s="33">
        <v>7.5846975915446055E-4</v>
      </c>
    </row>
    <row r="5861" spans="39:41" x14ac:dyDescent="0.25">
      <c r="AM5861" s="2">
        <v>5858</v>
      </c>
      <c r="AN5861" s="33">
        <v>7.5161624845658422E-3</v>
      </c>
      <c r="AO5861" s="33">
        <v>6.702659834876203E-4</v>
      </c>
    </row>
    <row r="5862" spans="39:41" x14ac:dyDescent="0.25">
      <c r="AM5862" s="2">
        <v>5859</v>
      </c>
      <c r="AN5862" s="33">
        <v>1.1629510046888636E-2</v>
      </c>
      <c r="AO5862" s="33">
        <v>2.7704192324430192E-4</v>
      </c>
    </row>
    <row r="5863" spans="39:41" x14ac:dyDescent="0.25">
      <c r="AM5863" s="2">
        <v>5860</v>
      </c>
      <c r="AN5863" s="33">
        <v>1.1813876516925441E-2</v>
      </c>
      <c r="AO5863" s="33">
        <v>1.1012110539813291E-3</v>
      </c>
    </row>
    <row r="5864" spans="39:41" x14ac:dyDescent="0.25">
      <c r="AM5864" s="2">
        <v>5861</v>
      </c>
      <c r="AN5864" s="33">
        <v>1.2641981045345385E-2</v>
      </c>
      <c r="AO5864" s="33">
        <v>9.8489020104982174E-4</v>
      </c>
    </row>
    <row r="5865" spans="39:41" x14ac:dyDescent="0.25">
      <c r="AM5865" s="2">
        <v>5862</v>
      </c>
      <c r="AN5865" s="33">
        <v>1.1820120759391197E-2</v>
      </c>
      <c r="AO5865" s="33">
        <v>1.1508071458076643E-3</v>
      </c>
    </row>
    <row r="5866" spans="39:41" x14ac:dyDescent="0.25">
      <c r="AM5866" s="2">
        <v>5863</v>
      </c>
      <c r="AN5866" s="33">
        <v>1.1246468316507198E-2</v>
      </c>
      <c r="AO5866" s="33">
        <v>9.6696835778850359E-4</v>
      </c>
    </row>
    <row r="5867" spans="39:41" x14ac:dyDescent="0.25">
      <c r="AM5867" s="2">
        <v>5864</v>
      </c>
      <c r="AN5867" s="33">
        <v>1.1668102009744163E-2</v>
      </c>
      <c r="AO5867" s="33">
        <v>5.3901596012702032E-4</v>
      </c>
    </row>
    <row r="5868" spans="39:41" x14ac:dyDescent="0.25">
      <c r="AM5868" s="2">
        <v>5865</v>
      </c>
      <c r="AN5868" s="33">
        <v>1.3653971700098844E-2</v>
      </c>
      <c r="AO5868" s="33">
        <v>1.1391707997091963E-3</v>
      </c>
    </row>
    <row r="5869" spans="39:41" x14ac:dyDescent="0.25">
      <c r="AM5869" s="2">
        <v>5866</v>
      </c>
      <c r="AN5869" s="33">
        <v>8.9682143531351465E-3</v>
      </c>
      <c r="AO5869" s="33">
        <v>7.940821207695055E-4</v>
      </c>
    </row>
    <row r="5870" spans="39:41" x14ac:dyDescent="0.25">
      <c r="AM5870" s="2">
        <v>5867</v>
      </c>
      <c r="AN5870" s="33">
        <v>1.1269092291025247E-2</v>
      </c>
      <c r="AO5870" s="33">
        <v>1.0418162713257159E-3</v>
      </c>
    </row>
    <row r="5871" spans="39:41" x14ac:dyDescent="0.25">
      <c r="AM5871" s="2">
        <v>5868</v>
      </c>
      <c r="AN5871" s="33">
        <v>8.8552849179104384E-3</v>
      </c>
      <c r="AO5871" s="33">
        <v>4.2822909605404929E-4</v>
      </c>
    </row>
    <row r="5872" spans="39:41" x14ac:dyDescent="0.25">
      <c r="AM5872" s="2">
        <v>5869</v>
      </c>
      <c r="AN5872" s="33">
        <v>1.193563011394908E-2</v>
      </c>
      <c r="AO5872" s="33">
        <v>9.7602169661749468E-4</v>
      </c>
    </row>
    <row r="5873" spans="39:41" x14ac:dyDescent="0.25">
      <c r="AM5873" s="2">
        <v>5870</v>
      </c>
      <c r="AN5873" s="33">
        <v>1.3917116505370685E-2</v>
      </c>
      <c r="AO5873" s="33">
        <v>1.138650311755935E-3</v>
      </c>
    </row>
    <row r="5874" spans="39:41" x14ac:dyDescent="0.25">
      <c r="AM5874" s="2">
        <v>5871</v>
      </c>
      <c r="AN5874" s="33">
        <v>9.964839105828063E-3</v>
      </c>
      <c r="AO5874" s="33">
        <v>4.73231754231239E-4</v>
      </c>
    </row>
    <row r="5875" spans="39:41" x14ac:dyDescent="0.25">
      <c r="AM5875" s="2">
        <v>5872</v>
      </c>
      <c r="AN5875" s="33">
        <v>1.020852049586744E-2</v>
      </c>
      <c r="AO5875" s="33">
        <v>7.6647566300478722E-4</v>
      </c>
    </row>
    <row r="5876" spans="39:41" x14ac:dyDescent="0.25">
      <c r="AM5876" s="2">
        <v>5873</v>
      </c>
      <c r="AN5876" s="33">
        <v>1.1776884262640976E-2</v>
      </c>
      <c r="AO5876" s="33">
        <v>7.7207461059876305E-4</v>
      </c>
    </row>
    <row r="5877" spans="39:41" x14ac:dyDescent="0.25">
      <c r="AM5877" s="2">
        <v>5874</v>
      </c>
      <c r="AN5877" s="33">
        <v>1.0219492601898495E-2</v>
      </c>
      <c r="AO5877" s="33">
        <v>6.6777467271914037E-4</v>
      </c>
    </row>
    <row r="5878" spans="39:41" x14ac:dyDescent="0.25">
      <c r="AM5878" s="2">
        <v>5875</v>
      </c>
      <c r="AN5878" s="33">
        <v>1.2815739235514897E-2</v>
      </c>
      <c r="AO5878" s="33">
        <v>1.2640963765121055E-3</v>
      </c>
    </row>
    <row r="5879" spans="39:41" x14ac:dyDescent="0.25">
      <c r="AM5879" s="2">
        <v>5876</v>
      </c>
      <c r="AN5879" s="33">
        <v>1.2176797044701771E-2</v>
      </c>
      <c r="AO5879" s="33">
        <v>8.9340679667306434E-4</v>
      </c>
    </row>
    <row r="5880" spans="39:41" x14ac:dyDescent="0.25">
      <c r="AM5880" s="2">
        <v>5877</v>
      </c>
      <c r="AN5880" s="33">
        <v>1.2410192608779159E-2</v>
      </c>
      <c r="AO5880" s="33">
        <v>9.8820467472424925E-4</v>
      </c>
    </row>
    <row r="5881" spans="39:41" x14ac:dyDescent="0.25">
      <c r="AM5881" s="2">
        <v>5878</v>
      </c>
      <c r="AN5881" s="33">
        <v>9.3303505636752812E-3</v>
      </c>
      <c r="AO5881" s="33">
        <v>7.2360065259131738E-4</v>
      </c>
    </row>
    <row r="5882" spans="39:41" x14ac:dyDescent="0.25">
      <c r="AM5882" s="2">
        <v>5879</v>
      </c>
      <c r="AN5882" s="33">
        <v>1.5070707453123659E-2</v>
      </c>
      <c r="AO5882" s="33">
        <v>1.0749963218613296E-3</v>
      </c>
    </row>
    <row r="5883" spans="39:41" x14ac:dyDescent="0.25">
      <c r="AM5883" s="2">
        <v>5880</v>
      </c>
      <c r="AN5883" s="33">
        <v>1.218255569657082E-2</v>
      </c>
      <c r="AO5883" s="33">
        <v>5.710005882542333E-4</v>
      </c>
    </row>
    <row r="5884" spans="39:41" x14ac:dyDescent="0.25">
      <c r="AM5884" s="2">
        <v>5881</v>
      </c>
      <c r="AN5884" s="33">
        <v>9.0381962774090611E-3</v>
      </c>
      <c r="AO5884" s="33">
        <v>6.618769738524988E-4</v>
      </c>
    </row>
    <row r="5885" spans="39:41" x14ac:dyDescent="0.25">
      <c r="AM5885" s="2">
        <v>5882</v>
      </c>
      <c r="AN5885" s="33">
        <v>1.0966689337002154E-2</v>
      </c>
      <c r="AO5885" s="33">
        <v>6.7437906458523583E-4</v>
      </c>
    </row>
    <row r="5886" spans="39:41" x14ac:dyDescent="0.25">
      <c r="AM5886" s="2">
        <v>5883</v>
      </c>
      <c r="AN5886" s="33">
        <v>8.8422360600034309E-3</v>
      </c>
      <c r="AO5886" s="33">
        <v>5.952298432243577E-4</v>
      </c>
    </row>
    <row r="5887" spans="39:41" x14ac:dyDescent="0.25">
      <c r="AM5887" s="2">
        <v>5884</v>
      </c>
      <c r="AN5887" s="33">
        <v>1.4061108904812117E-2</v>
      </c>
      <c r="AO5887" s="33">
        <v>9.7715997045850198E-4</v>
      </c>
    </row>
    <row r="5888" spans="39:41" x14ac:dyDescent="0.25">
      <c r="AM5888" s="2">
        <v>5885</v>
      </c>
      <c r="AN5888" s="33">
        <v>9.1136139912240573E-3</v>
      </c>
      <c r="AO5888" s="33">
        <v>5.0012904743305248E-4</v>
      </c>
    </row>
    <row r="5889" spans="39:41" x14ac:dyDescent="0.25">
      <c r="AM5889" s="2">
        <v>5886</v>
      </c>
      <c r="AN5889" s="33">
        <v>1.0196160036685813E-2</v>
      </c>
      <c r="AO5889" s="33">
        <v>9.8719203549706819E-4</v>
      </c>
    </row>
    <row r="5890" spans="39:41" x14ac:dyDescent="0.25">
      <c r="AM5890" s="2">
        <v>5887</v>
      </c>
      <c r="AN5890" s="33">
        <v>9.8920221441560607E-3</v>
      </c>
      <c r="AO5890" s="33">
        <v>6.6108040563199878E-4</v>
      </c>
    </row>
    <row r="5891" spans="39:41" x14ac:dyDescent="0.25">
      <c r="AM5891" s="2">
        <v>5888</v>
      </c>
      <c r="AN5891" s="33">
        <v>1.3335210850671008E-2</v>
      </c>
      <c r="AO5891" s="33">
        <v>1.0177504508663254E-3</v>
      </c>
    </row>
    <row r="5892" spans="39:41" x14ac:dyDescent="0.25">
      <c r="AM5892" s="2">
        <v>5889</v>
      </c>
      <c r="AN5892" s="33">
        <v>9.8572809182037487E-3</v>
      </c>
      <c r="AO5892" s="33">
        <v>5.5794199264060562E-4</v>
      </c>
    </row>
    <row r="5893" spans="39:41" x14ac:dyDescent="0.25">
      <c r="AM5893" s="2">
        <v>5890</v>
      </c>
      <c r="AN5893" s="33">
        <v>7.4354255283075842E-3</v>
      </c>
      <c r="AO5893" s="33">
        <v>3.9975746553449804E-4</v>
      </c>
    </row>
    <row r="5894" spans="39:41" x14ac:dyDescent="0.25">
      <c r="AM5894" s="2">
        <v>5891</v>
      </c>
      <c r="AN5894" s="33">
        <v>1.139193499990818E-2</v>
      </c>
      <c r="AO5894" s="33">
        <v>4.3157816907616345E-4</v>
      </c>
    </row>
    <row r="5895" spans="39:41" x14ac:dyDescent="0.25">
      <c r="AM5895" s="2">
        <v>5892</v>
      </c>
      <c r="AN5895" s="33">
        <v>1.020731463149053E-2</v>
      </c>
      <c r="AO5895" s="33">
        <v>8.7693888446879363E-4</v>
      </c>
    </row>
    <row r="5896" spans="39:41" x14ac:dyDescent="0.25">
      <c r="AM5896" s="2">
        <v>5893</v>
      </c>
      <c r="AN5896" s="33">
        <v>7.8085307101424285E-3</v>
      </c>
      <c r="AO5896" s="33">
        <v>3.5620471686650343E-4</v>
      </c>
    </row>
    <row r="5897" spans="39:41" x14ac:dyDescent="0.25">
      <c r="AM5897" s="2">
        <v>5894</v>
      </c>
      <c r="AN5897" s="33">
        <v>1.194725696461783E-2</v>
      </c>
      <c r="AO5897" s="33">
        <v>9.5290962696693274E-4</v>
      </c>
    </row>
    <row r="5898" spans="39:41" x14ac:dyDescent="0.25">
      <c r="AM5898" s="2">
        <v>5895</v>
      </c>
      <c r="AN5898" s="33">
        <v>1.3644771643574005E-2</v>
      </c>
      <c r="AO5898" s="33">
        <v>9.9508665434859859E-4</v>
      </c>
    </row>
    <row r="5899" spans="39:41" x14ac:dyDescent="0.25">
      <c r="AM5899" s="2">
        <v>5896</v>
      </c>
      <c r="AN5899" s="33">
        <v>1.2793985338799871E-2</v>
      </c>
      <c r="AO5899" s="33">
        <v>1.0462573108440685E-3</v>
      </c>
    </row>
    <row r="5900" spans="39:41" x14ac:dyDescent="0.25">
      <c r="AM5900" s="2">
        <v>5897</v>
      </c>
      <c r="AN5900" s="33">
        <v>1.0567330029015916E-2</v>
      </c>
      <c r="AO5900" s="33">
        <v>8.2163967039981247E-4</v>
      </c>
    </row>
    <row r="5901" spans="39:41" x14ac:dyDescent="0.25">
      <c r="AM5901" s="2">
        <v>5898</v>
      </c>
      <c r="AN5901" s="33">
        <v>1.0758614778591424E-2</v>
      </c>
      <c r="AO5901" s="33">
        <v>6.102163589735087E-4</v>
      </c>
    </row>
    <row r="5902" spans="39:41" x14ac:dyDescent="0.25">
      <c r="AM5902" s="2">
        <v>5899</v>
      </c>
      <c r="AN5902" s="33">
        <v>1.3281949063127092E-2</v>
      </c>
      <c r="AO5902" s="33">
        <v>8.7122220446257594E-4</v>
      </c>
    </row>
    <row r="5903" spans="39:41" x14ac:dyDescent="0.25">
      <c r="AM5903" s="2">
        <v>5900</v>
      </c>
      <c r="AN5903" s="33">
        <v>7.6135023336435523E-3</v>
      </c>
      <c r="AO5903" s="33">
        <v>4.9154833624151365E-4</v>
      </c>
    </row>
    <row r="5904" spans="39:41" x14ac:dyDescent="0.25">
      <c r="AM5904" s="2">
        <v>5901</v>
      </c>
      <c r="AN5904" s="33">
        <v>9.6518741636075576E-3</v>
      </c>
      <c r="AO5904" s="33">
        <v>9.8284057569916002E-4</v>
      </c>
    </row>
    <row r="5905" spans="39:41" x14ac:dyDescent="0.25">
      <c r="AM5905" s="2">
        <v>5902</v>
      </c>
      <c r="AN5905" s="33">
        <v>1.4098656952363746E-2</v>
      </c>
      <c r="AO5905" s="33">
        <v>1.349357183467931E-3</v>
      </c>
    </row>
    <row r="5906" spans="39:41" x14ac:dyDescent="0.25">
      <c r="AM5906" s="2">
        <v>5903</v>
      </c>
      <c r="AN5906" s="33">
        <v>1.27418369846339E-2</v>
      </c>
      <c r="AO5906" s="33">
        <v>1.2923027613453652E-3</v>
      </c>
    </row>
    <row r="5907" spans="39:41" x14ac:dyDescent="0.25">
      <c r="AM5907" s="2">
        <v>5904</v>
      </c>
      <c r="AN5907" s="33">
        <v>9.5709922310381335E-3</v>
      </c>
      <c r="AO5907" s="33">
        <v>6.1296181525541166E-4</v>
      </c>
    </row>
    <row r="5908" spans="39:41" x14ac:dyDescent="0.25">
      <c r="AM5908" s="2">
        <v>5905</v>
      </c>
      <c r="AN5908" s="33">
        <v>1.2033132519904203E-2</v>
      </c>
      <c r="AO5908" s="33">
        <v>9.1160688102612925E-4</v>
      </c>
    </row>
    <row r="5909" spans="39:41" x14ac:dyDescent="0.25">
      <c r="AM5909" s="2">
        <v>5906</v>
      </c>
      <c r="AN5909" s="33">
        <v>1.3952022265767826E-2</v>
      </c>
      <c r="AO5909" s="33">
        <v>9.7199629429936204E-4</v>
      </c>
    </row>
    <row r="5910" spans="39:41" x14ac:dyDescent="0.25">
      <c r="AM5910" s="2">
        <v>5907</v>
      </c>
      <c r="AN5910" s="33">
        <v>1.2514919258723989E-2</v>
      </c>
      <c r="AO5910" s="33">
        <v>1.0686542596360159E-3</v>
      </c>
    </row>
    <row r="5911" spans="39:41" x14ac:dyDescent="0.25">
      <c r="AM5911" s="2">
        <v>5908</v>
      </c>
      <c r="AN5911" s="33">
        <v>9.8996911434481392E-3</v>
      </c>
      <c r="AO5911" s="33">
        <v>9.1694845390347612E-4</v>
      </c>
    </row>
    <row r="5912" spans="39:41" x14ac:dyDescent="0.25">
      <c r="AM5912" s="2">
        <v>5909</v>
      </c>
      <c r="AN5912" s="33">
        <v>1.2928336046206308E-2</v>
      </c>
      <c r="AO5912" s="33">
        <v>9.5131914657179285E-4</v>
      </c>
    </row>
    <row r="5913" spans="39:41" x14ac:dyDescent="0.25">
      <c r="AM5913" s="2">
        <v>5910</v>
      </c>
      <c r="AN5913" s="33">
        <v>1.7553320283531754E-2</v>
      </c>
      <c r="AO5913" s="33">
        <v>1.4962054703170019E-3</v>
      </c>
    </row>
    <row r="5914" spans="39:41" x14ac:dyDescent="0.25">
      <c r="AM5914" s="2">
        <v>5911</v>
      </c>
      <c r="AN5914" s="33">
        <v>1.0513403746931563E-2</v>
      </c>
      <c r="AO5914" s="33">
        <v>9.6274492572708827E-4</v>
      </c>
    </row>
    <row r="5915" spans="39:41" x14ac:dyDescent="0.25">
      <c r="AM5915" s="2">
        <v>5912</v>
      </c>
      <c r="AN5915" s="33">
        <v>9.3779886762329883E-3</v>
      </c>
      <c r="AO5915" s="33">
        <v>4.2760174889293519E-4</v>
      </c>
    </row>
    <row r="5916" spans="39:41" x14ac:dyDescent="0.25">
      <c r="AM5916" s="2">
        <v>5913</v>
      </c>
      <c r="AN5916" s="33">
        <v>9.6844642415112227E-3</v>
      </c>
      <c r="AO5916" s="33">
        <v>6.9848033554798406E-4</v>
      </c>
    </row>
    <row r="5917" spans="39:41" x14ac:dyDescent="0.25">
      <c r="AM5917" s="2">
        <v>5914</v>
      </c>
      <c r="AN5917" s="33">
        <v>1.1346927835123484E-2</v>
      </c>
      <c r="AO5917" s="33">
        <v>1.068128217358136E-3</v>
      </c>
    </row>
    <row r="5918" spans="39:41" x14ac:dyDescent="0.25">
      <c r="AM5918" s="2">
        <v>5915</v>
      </c>
      <c r="AN5918" s="33">
        <v>1.362154280557353E-2</v>
      </c>
      <c r="AO5918" s="33">
        <v>8.6526482835328714E-4</v>
      </c>
    </row>
    <row r="5919" spans="39:41" x14ac:dyDescent="0.25">
      <c r="AM5919" s="2">
        <v>5916</v>
      </c>
      <c r="AN5919" s="33">
        <v>9.0515939868516908E-3</v>
      </c>
      <c r="AO5919" s="33">
        <v>5.9194931995177995E-4</v>
      </c>
    </row>
    <row r="5920" spans="39:41" x14ac:dyDescent="0.25">
      <c r="AM5920" s="2">
        <v>5917</v>
      </c>
      <c r="AN5920" s="33">
        <v>1.4388799415491942E-2</v>
      </c>
      <c r="AO5920" s="33">
        <v>1.3367631476364716E-3</v>
      </c>
    </row>
    <row r="5921" spans="39:41" x14ac:dyDescent="0.25">
      <c r="AM5921" s="2">
        <v>5918</v>
      </c>
      <c r="AN5921" s="33">
        <v>1.1769340908629264E-2</v>
      </c>
      <c r="AO5921" s="33">
        <v>1.0314106315797847E-3</v>
      </c>
    </row>
    <row r="5922" spans="39:41" x14ac:dyDescent="0.25">
      <c r="AM5922" s="2">
        <v>5919</v>
      </c>
      <c r="AN5922" s="33">
        <v>1.3139109235395123E-2</v>
      </c>
      <c r="AO5922" s="33">
        <v>1.0738706918585069E-3</v>
      </c>
    </row>
    <row r="5923" spans="39:41" x14ac:dyDescent="0.25">
      <c r="AM5923" s="2">
        <v>5920</v>
      </c>
      <c r="AN5923" s="33">
        <v>1.0623099579984613E-2</v>
      </c>
      <c r="AO5923" s="33">
        <v>5.2637682635537568E-4</v>
      </c>
    </row>
    <row r="5924" spans="39:41" x14ac:dyDescent="0.25">
      <c r="AM5924" s="2">
        <v>5921</v>
      </c>
      <c r="AN5924" s="33">
        <v>1.0957160414359924E-2</v>
      </c>
      <c r="AO5924" s="33">
        <v>4.5306156534650544E-4</v>
      </c>
    </row>
    <row r="5925" spans="39:41" x14ac:dyDescent="0.25">
      <c r="AM5925" s="2">
        <v>5922</v>
      </c>
      <c r="AN5925" s="33">
        <v>1.014052602738646E-2</v>
      </c>
      <c r="AO5925" s="33">
        <v>2.8687827200190978E-4</v>
      </c>
    </row>
    <row r="5926" spans="39:41" x14ac:dyDescent="0.25">
      <c r="AM5926" s="2">
        <v>5923</v>
      </c>
      <c r="AN5926" s="33">
        <v>1.1824794699843632E-2</v>
      </c>
      <c r="AO5926" s="33">
        <v>9.324265210367813E-4</v>
      </c>
    </row>
    <row r="5927" spans="39:41" x14ac:dyDescent="0.25">
      <c r="AM5927" s="2">
        <v>5924</v>
      </c>
      <c r="AN5927" s="33">
        <v>9.5771428364573048E-3</v>
      </c>
      <c r="AO5927" s="33">
        <v>6.6093324992030759E-4</v>
      </c>
    </row>
    <row r="5928" spans="39:41" x14ac:dyDescent="0.25">
      <c r="AM5928" s="2">
        <v>5925</v>
      </c>
      <c r="AN5928" s="33">
        <v>9.9957347733099604E-3</v>
      </c>
      <c r="AO5928" s="33">
        <v>7.3737928120408218E-4</v>
      </c>
    </row>
    <row r="5929" spans="39:41" x14ac:dyDescent="0.25">
      <c r="AM5929" s="2">
        <v>5926</v>
      </c>
      <c r="AN5929" s="33">
        <v>1.8672354554138942E-2</v>
      </c>
      <c r="AO5929" s="33">
        <v>1.2903182070567764E-3</v>
      </c>
    </row>
    <row r="5930" spans="39:41" x14ac:dyDescent="0.25">
      <c r="AM5930" s="2">
        <v>5927</v>
      </c>
      <c r="AN5930" s="33">
        <v>9.5167692784771732E-3</v>
      </c>
      <c r="AO5930" s="33">
        <v>4.8682308108900123E-4</v>
      </c>
    </row>
    <row r="5931" spans="39:41" x14ac:dyDescent="0.25">
      <c r="AM5931" s="2">
        <v>5928</v>
      </c>
      <c r="AN5931" s="33">
        <v>1.0539409994448634E-2</v>
      </c>
      <c r="AO5931" s="33">
        <v>8.3434814016673093E-4</v>
      </c>
    </row>
    <row r="5932" spans="39:41" x14ac:dyDescent="0.25">
      <c r="AM5932" s="2">
        <v>5929</v>
      </c>
      <c r="AN5932" s="33">
        <v>9.0685425286550405E-3</v>
      </c>
      <c r="AO5932" s="33">
        <v>3.3787338082065592E-4</v>
      </c>
    </row>
    <row r="5933" spans="39:41" x14ac:dyDescent="0.25">
      <c r="AM5933" s="2">
        <v>5930</v>
      </c>
      <c r="AN5933" s="33">
        <v>1.2766021531119489E-2</v>
      </c>
      <c r="AO5933" s="33">
        <v>5.8089619221749866E-4</v>
      </c>
    </row>
    <row r="5934" spans="39:41" x14ac:dyDescent="0.25">
      <c r="AM5934" s="2">
        <v>5931</v>
      </c>
      <c r="AN5934" s="33">
        <v>1.4035257639785612E-2</v>
      </c>
      <c r="AO5934" s="33">
        <v>1.1297013614549195E-3</v>
      </c>
    </row>
    <row r="5935" spans="39:41" x14ac:dyDescent="0.25">
      <c r="AM5935" s="2">
        <v>5932</v>
      </c>
      <c r="AN5935" s="33">
        <v>1.2362164403214445E-2</v>
      </c>
      <c r="AO5935" s="33">
        <v>7.1982268907212581E-4</v>
      </c>
    </row>
    <row r="5936" spans="39:41" x14ac:dyDescent="0.25">
      <c r="AM5936" s="2">
        <v>5933</v>
      </c>
      <c r="AN5936" s="33">
        <v>1.2745666963949083E-2</v>
      </c>
      <c r="AO5936" s="33">
        <v>9.2545422956568269E-4</v>
      </c>
    </row>
    <row r="5937" spans="39:41" x14ac:dyDescent="0.25">
      <c r="AM5937" s="2">
        <v>5934</v>
      </c>
      <c r="AN5937" s="33">
        <v>1.1009735331703933E-2</v>
      </c>
      <c r="AO5937" s="33">
        <v>8.4406313748764869E-4</v>
      </c>
    </row>
    <row r="5938" spans="39:41" x14ac:dyDescent="0.25">
      <c r="AM5938" s="2">
        <v>5935</v>
      </c>
      <c r="AN5938" s="33">
        <v>1.14146951856834E-2</v>
      </c>
      <c r="AO5938" s="33">
        <v>8.5013444159935528E-4</v>
      </c>
    </row>
    <row r="5939" spans="39:41" x14ac:dyDescent="0.25">
      <c r="AM5939" s="2">
        <v>5936</v>
      </c>
      <c r="AN5939" s="33">
        <v>9.9796025518273743E-3</v>
      </c>
      <c r="AO5939" s="33">
        <v>5.6047396879358043E-4</v>
      </c>
    </row>
    <row r="5940" spans="39:41" x14ac:dyDescent="0.25">
      <c r="AM5940" s="2">
        <v>5937</v>
      </c>
      <c r="AN5940" s="33">
        <v>8.6922600298757723E-3</v>
      </c>
      <c r="AO5940" s="33">
        <v>5.1405869371451461E-4</v>
      </c>
    </row>
    <row r="5941" spans="39:41" x14ac:dyDescent="0.25">
      <c r="AM5941" s="2">
        <v>5938</v>
      </c>
      <c r="AN5941" s="33">
        <v>1.5994624216453167E-2</v>
      </c>
      <c r="AO5941" s="33">
        <v>1.3699987943637775E-3</v>
      </c>
    </row>
    <row r="5942" spans="39:41" x14ac:dyDescent="0.25">
      <c r="AM5942" s="2">
        <v>5939</v>
      </c>
      <c r="AN5942" s="33">
        <v>1.3003403002336053E-2</v>
      </c>
      <c r="AO5942" s="33">
        <v>9.6087519817612767E-4</v>
      </c>
    </row>
    <row r="5943" spans="39:41" x14ac:dyDescent="0.25">
      <c r="AM5943" s="2">
        <v>5940</v>
      </c>
      <c r="AN5943" s="33">
        <v>8.9840655253682778E-3</v>
      </c>
      <c r="AO5943" s="33">
        <v>5.6746226793564364E-4</v>
      </c>
    </row>
    <row r="5944" spans="39:41" x14ac:dyDescent="0.25">
      <c r="AM5944" s="2">
        <v>5941</v>
      </c>
      <c r="AN5944" s="33">
        <v>1.7454666806188696E-2</v>
      </c>
      <c r="AO5944" s="33">
        <v>9.226733865437891E-4</v>
      </c>
    </row>
    <row r="5945" spans="39:41" x14ac:dyDescent="0.25">
      <c r="AM5945" s="2">
        <v>5942</v>
      </c>
      <c r="AN5945" s="33">
        <v>9.553304379609091E-3</v>
      </c>
      <c r="AO5945" s="33">
        <v>4.8541958602489079E-4</v>
      </c>
    </row>
    <row r="5946" spans="39:41" x14ac:dyDescent="0.25">
      <c r="AM5946" s="2">
        <v>5943</v>
      </c>
      <c r="AN5946" s="33">
        <v>1.0508381046167557E-2</v>
      </c>
      <c r="AO5946" s="33">
        <v>7.7250934364917899E-4</v>
      </c>
    </row>
    <row r="5947" spans="39:41" x14ac:dyDescent="0.25">
      <c r="AM5947" s="2">
        <v>5944</v>
      </c>
      <c r="AN5947" s="33">
        <v>1.2501082463409618E-2</v>
      </c>
      <c r="AO5947" s="33">
        <v>9.2181738245231929E-4</v>
      </c>
    </row>
    <row r="5948" spans="39:41" x14ac:dyDescent="0.25">
      <c r="AM5948" s="2">
        <v>5945</v>
      </c>
      <c r="AN5948" s="33">
        <v>1.0164324921634476E-2</v>
      </c>
      <c r="AO5948" s="33">
        <v>6.3023497709126166E-4</v>
      </c>
    </row>
    <row r="5949" spans="39:41" x14ac:dyDescent="0.25">
      <c r="AM5949" s="2">
        <v>5946</v>
      </c>
      <c r="AN5949" s="33">
        <v>1.3791712163864905E-2</v>
      </c>
      <c r="AO5949" s="33">
        <v>1.2931729924892707E-3</v>
      </c>
    </row>
    <row r="5950" spans="39:41" x14ac:dyDescent="0.25">
      <c r="AM5950" s="2">
        <v>5947</v>
      </c>
      <c r="AN5950" s="33">
        <v>1.099854014710841E-2</v>
      </c>
      <c r="AO5950" s="33">
        <v>6.9514612770056312E-4</v>
      </c>
    </row>
    <row r="5951" spans="39:41" x14ac:dyDescent="0.25">
      <c r="AM5951" s="2">
        <v>5948</v>
      </c>
      <c r="AN5951" s="33">
        <v>1.1427683863804374E-2</v>
      </c>
      <c r="AO5951" s="33">
        <v>7.3625434770410486E-4</v>
      </c>
    </row>
    <row r="5952" spans="39:41" x14ac:dyDescent="0.25">
      <c r="AM5952" s="2">
        <v>5949</v>
      </c>
      <c r="AN5952" s="33">
        <v>1.6410654110839244E-2</v>
      </c>
      <c r="AO5952" s="33">
        <v>1.679290296298281E-3</v>
      </c>
    </row>
    <row r="5953" spans="39:41" x14ac:dyDescent="0.25">
      <c r="AM5953" s="2">
        <v>5950</v>
      </c>
      <c r="AN5953" s="33">
        <v>1.1516808615293153E-2</v>
      </c>
      <c r="AO5953" s="33">
        <v>9.2547124425138483E-4</v>
      </c>
    </row>
    <row r="5954" spans="39:41" x14ac:dyDescent="0.25">
      <c r="AM5954" s="2">
        <v>5951</v>
      </c>
      <c r="AN5954" s="33">
        <v>1.3337346642994867E-2</v>
      </c>
      <c r="AO5954" s="33">
        <v>1.0563455504750024E-3</v>
      </c>
    </row>
    <row r="5955" spans="39:41" x14ac:dyDescent="0.25">
      <c r="AM5955" s="2">
        <v>5952</v>
      </c>
      <c r="AN5955" s="33">
        <v>7.8084706626900396E-3</v>
      </c>
      <c r="AO5955" s="33">
        <v>2.2126316614871119E-4</v>
      </c>
    </row>
    <row r="5956" spans="39:41" x14ac:dyDescent="0.25">
      <c r="AM5956" s="2">
        <v>5953</v>
      </c>
      <c r="AN5956" s="33">
        <v>1.3166772221785738E-2</v>
      </c>
      <c r="AO5956" s="33">
        <v>1.0064128127585338E-3</v>
      </c>
    </row>
    <row r="5957" spans="39:41" x14ac:dyDescent="0.25">
      <c r="AM5957" s="2">
        <v>5954</v>
      </c>
      <c r="AN5957" s="33">
        <v>1.4479789878508512E-2</v>
      </c>
      <c r="AO5957" s="33">
        <v>8.9353953775273248E-4</v>
      </c>
    </row>
    <row r="5958" spans="39:41" x14ac:dyDescent="0.25">
      <c r="AM5958" s="2">
        <v>5955</v>
      </c>
      <c r="AN5958" s="33">
        <v>1.6060720144834936E-2</v>
      </c>
      <c r="AO5958" s="33">
        <v>1.4625446303079906E-3</v>
      </c>
    </row>
    <row r="5959" spans="39:41" x14ac:dyDescent="0.25">
      <c r="AM5959" s="2">
        <v>5956</v>
      </c>
      <c r="AN5959" s="33">
        <v>1.7236910641672619E-2</v>
      </c>
      <c r="AO5959" s="33">
        <v>1.8407104686340701E-3</v>
      </c>
    </row>
    <row r="5960" spans="39:41" x14ac:dyDescent="0.25">
      <c r="AM5960" s="2">
        <v>5957</v>
      </c>
      <c r="AN5960" s="33">
        <v>1.1352356646999965E-2</v>
      </c>
      <c r="AO5960" s="33">
        <v>1.0120634122330724E-3</v>
      </c>
    </row>
    <row r="5961" spans="39:41" x14ac:dyDescent="0.25">
      <c r="AM5961" s="2">
        <v>5958</v>
      </c>
      <c r="AN5961" s="33">
        <v>1.1333337181736467E-2</v>
      </c>
      <c r="AO5961" s="33">
        <v>4.9134048085620712E-4</v>
      </c>
    </row>
    <row r="5962" spans="39:41" x14ac:dyDescent="0.25">
      <c r="AM5962" s="2">
        <v>5959</v>
      </c>
      <c r="AN5962" s="33">
        <v>1.0174136570322331E-2</v>
      </c>
      <c r="AO5962" s="33">
        <v>9.3646124840285339E-4</v>
      </c>
    </row>
    <row r="5963" spans="39:41" x14ac:dyDescent="0.25">
      <c r="AM5963" s="2">
        <v>5960</v>
      </c>
      <c r="AN5963" s="33">
        <v>1.2502233935186959E-2</v>
      </c>
      <c r="AO5963" s="33">
        <v>8.4859927633402913E-4</v>
      </c>
    </row>
    <row r="5964" spans="39:41" x14ac:dyDescent="0.25">
      <c r="AM5964" s="2">
        <v>5961</v>
      </c>
      <c r="AN5964" s="33">
        <v>8.6674978994573017E-3</v>
      </c>
      <c r="AO5964" s="33">
        <v>4.2031442978059005E-4</v>
      </c>
    </row>
    <row r="5965" spans="39:41" x14ac:dyDescent="0.25">
      <c r="AM5965" s="2">
        <v>5962</v>
      </c>
      <c r="AN5965" s="33">
        <v>1.1417859777985505E-2</v>
      </c>
      <c r="AO5965" s="33">
        <v>7.6689464003422295E-4</v>
      </c>
    </row>
    <row r="5966" spans="39:41" x14ac:dyDescent="0.25">
      <c r="AM5966" s="2">
        <v>5963</v>
      </c>
      <c r="AN5966" s="33">
        <v>1.2853438314176563E-2</v>
      </c>
      <c r="AO5966" s="33">
        <v>5.6348227564637868E-4</v>
      </c>
    </row>
    <row r="5967" spans="39:41" x14ac:dyDescent="0.25">
      <c r="AM5967" s="2">
        <v>5964</v>
      </c>
      <c r="AN5967" s="33">
        <v>1.2670668968378557E-2</v>
      </c>
      <c r="AO5967" s="33">
        <v>8.0959457931177755E-4</v>
      </c>
    </row>
    <row r="5968" spans="39:41" x14ac:dyDescent="0.25">
      <c r="AM5968" s="2">
        <v>5965</v>
      </c>
      <c r="AN5968" s="33">
        <v>1.0194935429819979E-2</v>
      </c>
      <c r="AO5968" s="33">
        <v>5.8141631663945529E-4</v>
      </c>
    </row>
    <row r="5969" spans="39:41" x14ac:dyDescent="0.25">
      <c r="AM5969" s="2">
        <v>5966</v>
      </c>
      <c r="AN5969" s="33">
        <v>1.2377119238050545E-2</v>
      </c>
      <c r="AO5969" s="33">
        <v>7.9335352655956657E-4</v>
      </c>
    </row>
    <row r="5970" spans="39:41" x14ac:dyDescent="0.25">
      <c r="AM5970" s="2">
        <v>5967</v>
      </c>
      <c r="AN5970" s="33">
        <v>1.3302449374566198E-2</v>
      </c>
      <c r="AO5970" s="33">
        <v>1.0887750229909027E-3</v>
      </c>
    </row>
    <row r="5971" spans="39:41" x14ac:dyDescent="0.25">
      <c r="AM5971" s="2">
        <v>5968</v>
      </c>
      <c r="AN5971" s="33">
        <v>1.0429177410756931E-2</v>
      </c>
      <c r="AO5971" s="33">
        <v>8.2116408707810209E-4</v>
      </c>
    </row>
    <row r="5972" spans="39:41" x14ac:dyDescent="0.25">
      <c r="AM5972" s="2">
        <v>5969</v>
      </c>
      <c r="AN5972" s="33">
        <v>1.3261580666015601E-2</v>
      </c>
      <c r="AO5972" s="33">
        <v>9.6829432688568863E-4</v>
      </c>
    </row>
    <row r="5973" spans="39:41" x14ac:dyDescent="0.25">
      <c r="AM5973" s="2">
        <v>5970</v>
      </c>
      <c r="AN5973" s="33">
        <v>1.2684327371538405E-2</v>
      </c>
      <c r="AO5973" s="33">
        <v>1.182063868280022E-3</v>
      </c>
    </row>
    <row r="5974" spans="39:41" x14ac:dyDescent="0.25">
      <c r="AM5974" s="2">
        <v>5971</v>
      </c>
      <c r="AN5974" s="33">
        <v>9.4205955441200202E-3</v>
      </c>
      <c r="AO5974" s="33">
        <v>1.8558081543392372E-4</v>
      </c>
    </row>
    <row r="5975" spans="39:41" x14ac:dyDescent="0.25">
      <c r="AM5975" s="2">
        <v>5972</v>
      </c>
      <c r="AN5975" s="33">
        <v>1.3692678924603175E-2</v>
      </c>
      <c r="AO5975" s="33">
        <v>1.179866381220964E-3</v>
      </c>
    </row>
    <row r="5976" spans="39:41" x14ac:dyDescent="0.25">
      <c r="AM5976" s="2">
        <v>5973</v>
      </c>
      <c r="AN5976" s="33">
        <v>8.9009463270441035E-3</v>
      </c>
      <c r="AO5976" s="33">
        <v>7.0234944730730308E-4</v>
      </c>
    </row>
    <row r="5977" spans="39:41" x14ac:dyDescent="0.25">
      <c r="AM5977" s="2">
        <v>5974</v>
      </c>
      <c r="AN5977" s="33">
        <v>1.0129618572635236E-2</v>
      </c>
      <c r="AO5977" s="33">
        <v>3.0154678140103863E-4</v>
      </c>
    </row>
    <row r="5978" spans="39:41" x14ac:dyDescent="0.25">
      <c r="AM5978" s="2">
        <v>5975</v>
      </c>
      <c r="AN5978" s="33">
        <v>8.8417321308380346E-3</v>
      </c>
      <c r="AO5978" s="33">
        <v>3.4550484025609762E-4</v>
      </c>
    </row>
    <row r="5979" spans="39:41" x14ac:dyDescent="0.25">
      <c r="AM5979" s="2">
        <v>5976</v>
      </c>
      <c r="AN5979" s="33">
        <v>1.0478417436753085E-2</v>
      </c>
      <c r="AO5979" s="33">
        <v>1.0091040443731259E-3</v>
      </c>
    </row>
    <row r="5980" spans="39:41" x14ac:dyDescent="0.25">
      <c r="AM5980" s="2">
        <v>5977</v>
      </c>
      <c r="AN5980" s="33">
        <v>9.3327599498678158E-3</v>
      </c>
      <c r="AO5980" s="33">
        <v>5.184932276646885E-4</v>
      </c>
    </row>
    <row r="5981" spans="39:41" x14ac:dyDescent="0.25">
      <c r="AM5981" s="2">
        <v>5978</v>
      </c>
      <c r="AN5981" s="33">
        <v>1.3117706143114544E-2</v>
      </c>
      <c r="AO5981" s="33">
        <v>1.1363845454897561E-3</v>
      </c>
    </row>
    <row r="5982" spans="39:41" x14ac:dyDescent="0.25">
      <c r="AM5982" s="2">
        <v>5979</v>
      </c>
      <c r="AN5982" s="33">
        <v>9.4040498956925022E-3</v>
      </c>
      <c r="AO5982" s="33">
        <v>6.5697661102638789E-4</v>
      </c>
    </row>
    <row r="5983" spans="39:41" x14ac:dyDescent="0.25">
      <c r="AM5983" s="2">
        <v>5980</v>
      </c>
      <c r="AN5983" s="33">
        <v>1.0802835955875558E-2</v>
      </c>
      <c r="AO5983" s="33">
        <v>9.8700579116082088E-4</v>
      </c>
    </row>
    <row r="5984" spans="39:41" x14ac:dyDescent="0.25">
      <c r="AM5984" s="2">
        <v>5981</v>
      </c>
      <c r="AN5984" s="33">
        <v>1.3344538591928324E-2</v>
      </c>
      <c r="AO5984" s="33">
        <v>1.370690387527505E-3</v>
      </c>
    </row>
    <row r="5985" spans="39:41" x14ac:dyDescent="0.25">
      <c r="AM5985" s="2">
        <v>5982</v>
      </c>
      <c r="AN5985" s="33">
        <v>1.2482519900072464E-2</v>
      </c>
      <c r="AO5985" s="33">
        <v>1.1683279623571198E-3</v>
      </c>
    </row>
    <row r="5986" spans="39:41" x14ac:dyDescent="0.25">
      <c r="AM5986" s="2">
        <v>5983</v>
      </c>
      <c r="AN5986" s="33">
        <v>1.2961496088356957E-2</v>
      </c>
      <c r="AO5986" s="33">
        <v>9.1782485343703895E-4</v>
      </c>
    </row>
    <row r="5987" spans="39:41" x14ac:dyDescent="0.25">
      <c r="AM5987" s="2">
        <v>5984</v>
      </c>
      <c r="AN5987" s="33">
        <v>1.0515819258829636E-2</v>
      </c>
      <c r="AO5987" s="33">
        <v>7.0903546950865049E-4</v>
      </c>
    </row>
    <row r="5988" spans="39:41" x14ac:dyDescent="0.25">
      <c r="AM5988" s="2">
        <v>5985</v>
      </c>
      <c r="AN5988" s="33">
        <v>9.9443560243147183E-3</v>
      </c>
      <c r="AO5988" s="33">
        <v>8.706592389052469E-4</v>
      </c>
    </row>
    <row r="5989" spans="39:41" x14ac:dyDescent="0.25">
      <c r="AM5989" s="2">
        <v>5986</v>
      </c>
      <c r="AN5989" s="33">
        <v>9.6072960625447484E-3</v>
      </c>
      <c r="AO5989" s="33">
        <v>7.8742471552560437E-4</v>
      </c>
    </row>
    <row r="5990" spans="39:41" x14ac:dyDescent="0.25">
      <c r="AM5990" s="2">
        <v>5987</v>
      </c>
      <c r="AN5990" s="33">
        <v>1.1017630804136603E-2</v>
      </c>
      <c r="AO5990" s="33">
        <v>6.1173991107217076E-4</v>
      </c>
    </row>
    <row r="5991" spans="39:41" x14ac:dyDescent="0.25">
      <c r="AM5991" s="2">
        <v>5988</v>
      </c>
      <c r="AN5991" s="33">
        <v>1.0533008197251658E-2</v>
      </c>
      <c r="AO5991" s="33">
        <v>7.0528110467316856E-4</v>
      </c>
    </row>
    <row r="5992" spans="39:41" x14ac:dyDescent="0.25">
      <c r="AM5992" s="2">
        <v>5989</v>
      </c>
      <c r="AN5992" s="33">
        <v>1.3119672484221623E-2</v>
      </c>
      <c r="AO5992" s="33">
        <v>1.098351669504278E-3</v>
      </c>
    </row>
    <row r="5993" spans="39:41" x14ac:dyDescent="0.25">
      <c r="AM5993" s="2">
        <v>5990</v>
      </c>
      <c r="AN5993" s="33">
        <v>1.2261114805285196E-2</v>
      </c>
      <c r="AO5993" s="33">
        <v>1.1926250731149101E-3</v>
      </c>
    </row>
    <row r="5994" spans="39:41" x14ac:dyDescent="0.25">
      <c r="AM5994" s="2">
        <v>5991</v>
      </c>
      <c r="AN5994" s="33">
        <v>1.0262541630637036E-2</v>
      </c>
      <c r="AO5994" s="33">
        <v>9.4423964708000062E-4</v>
      </c>
    </row>
    <row r="5995" spans="39:41" x14ac:dyDescent="0.25">
      <c r="AM5995" s="2">
        <v>5992</v>
      </c>
      <c r="AN5995" s="33">
        <v>1.0385512693335153E-2</v>
      </c>
      <c r="AO5995" s="33">
        <v>8.2328769445578782E-4</v>
      </c>
    </row>
    <row r="5996" spans="39:41" x14ac:dyDescent="0.25">
      <c r="AM5996" s="2">
        <v>5993</v>
      </c>
      <c r="AN5996" s="33">
        <v>1.3690588016950793E-2</v>
      </c>
      <c r="AO5996" s="33">
        <v>1.1865421142820661E-3</v>
      </c>
    </row>
    <row r="5997" spans="39:41" x14ac:dyDescent="0.25">
      <c r="AM5997" s="2">
        <v>5994</v>
      </c>
      <c r="AN5997" s="33">
        <v>1.0673317225880875E-2</v>
      </c>
      <c r="AO5997" s="33">
        <v>9.2632390184795173E-4</v>
      </c>
    </row>
    <row r="5998" spans="39:41" x14ac:dyDescent="0.25">
      <c r="AM5998" s="2">
        <v>5995</v>
      </c>
      <c r="AN5998" s="33">
        <v>1.1676732815358812E-2</v>
      </c>
      <c r="AO5998" s="33">
        <v>1.049587403205612E-3</v>
      </c>
    </row>
    <row r="5999" spans="39:41" x14ac:dyDescent="0.25">
      <c r="AM5999" s="2">
        <v>5996</v>
      </c>
      <c r="AN5999" s="33">
        <v>1.2634455709471961E-2</v>
      </c>
      <c r="AO5999" s="33">
        <v>1.2168787310979244E-3</v>
      </c>
    </row>
    <row r="6000" spans="39:41" x14ac:dyDescent="0.25">
      <c r="AM6000" s="2">
        <v>5997</v>
      </c>
      <c r="AN6000" s="33">
        <v>9.1358532208982261E-3</v>
      </c>
      <c r="AO6000" s="33">
        <v>3.7221612670334874E-4</v>
      </c>
    </row>
    <row r="6001" spans="39:41" x14ac:dyDescent="0.25">
      <c r="AM6001" s="2">
        <v>5998</v>
      </c>
      <c r="AN6001" s="33">
        <v>1.1644094581826648E-2</v>
      </c>
      <c r="AO6001" s="33">
        <v>7.7717213571657038E-4</v>
      </c>
    </row>
    <row r="6002" spans="39:41" x14ac:dyDescent="0.25">
      <c r="AM6002" s="2">
        <v>5999</v>
      </c>
      <c r="AN6002" s="33">
        <v>1.0723254043228459E-2</v>
      </c>
      <c r="AO6002" s="33">
        <v>7.4903993020570864E-4</v>
      </c>
    </row>
    <row r="6003" spans="39:41" x14ac:dyDescent="0.25">
      <c r="AM6003" s="2">
        <v>6000</v>
      </c>
      <c r="AN6003" s="33">
        <v>1.1064307770169049E-2</v>
      </c>
      <c r="AO6003" s="33">
        <v>1.1466525414406963E-3</v>
      </c>
    </row>
    <row r="6004" spans="39:41" x14ac:dyDescent="0.25">
      <c r="AM6004" s="2">
        <v>6001</v>
      </c>
      <c r="AN6004" s="33">
        <v>8.3219953747510206E-3</v>
      </c>
      <c r="AO6004" s="33">
        <v>3.3448046468253026E-4</v>
      </c>
    </row>
    <row r="6005" spans="39:41" x14ac:dyDescent="0.25">
      <c r="AM6005" s="2">
        <v>6002</v>
      </c>
      <c r="AN6005" s="33">
        <v>1.0831948764265109E-2</v>
      </c>
      <c r="AO6005" s="33">
        <v>7.9751647100422852E-4</v>
      </c>
    </row>
    <row r="6006" spans="39:41" x14ac:dyDescent="0.25">
      <c r="AM6006" s="2">
        <v>6003</v>
      </c>
      <c r="AN6006" s="33">
        <v>1.5173231756262992E-2</v>
      </c>
      <c r="AO6006" s="33">
        <v>1.4357919130811201E-3</v>
      </c>
    </row>
    <row r="6007" spans="39:41" x14ac:dyDescent="0.25">
      <c r="AM6007" s="2">
        <v>6004</v>
      </c>
      <c r="AN6007" s="33">
        <v>9.2987441932306861E-3</v>
      </c>
      <c r="AO6007" s="33">
        <v>6.4173281741437371E-4</v>
      </c>
    </row>
    <row r="6008" spans="39:41" x14ac:dyDescent="0.25">
      <c r="AM6008" s="2">
        <v>6005</v>
      </c>
      <c r="AN6008" s="33">
        <v>1.0377533262963059E-2</v>
      </c>
      <c r="AO6008" s="33">
        <v>7.8581478979538558E-4</v>
      </c>
    </row>
    <row r="6009" spans="39:41" x14ac:dyDescent="0.25">
      <c r="AM6009" s="2">
        <v>6006</v>
      </c>
      <c r="AN6009" s="33">
        <v>1.1830931325736548E-2</v>
      </c>
      <c r="AO6009" s="33">
        <v>1.4170957737727916E-4</v>
      </c>
    </row>
    <row r="6010" spans="39:41" x14ac:dyDescent="0.25">
      <c r="AM6010" s="2">
        <v>6007</v>
      </c>
      <c r="AN6010" s="33">
        <v>1.3408335824511281E-2</v>
      </c>
      <c r="AO6010" s="33">
        <v>1.1015104640765239E-3</v>
      </c>
    </row>
    <row r="6011" spans="39:41" x14ac:dyDescent="0.25">
      <c r="AM6011" s="2">
        <v>6008</v>
      </c>
      <c r="AN6011" s="33">
        <v>8.6675415532932072E-3</v>
      </c>
      <c r="AO6011" s="33">
        <v>6.3833535204302686E-4</v>
      </c>
    </row>
    <row r="6012" spans="39:41" x14ac:dyDescent="0.25">
      <c r="AM6012" s="2">
        <v>6009</v>
      </c>
      <c r="AN6012" s="33">
        <v>1.0971232810700659E-2</v>
      </c>
      <c r="AO6012" s="33">
        <v>8.8862140216740357E-4</v>
      </c>
    </row>
    <row r="6013" spans="39:41" x14ac:dyDescent="0.25">
      <c r="AM6013" s="2">
        <v>6010</v>
      </c>
      <c r="AN6013" s="33">
        <v>1.3810481133131332E-2</v>
      </c>
      <c r="AO6013" s="33">
        <v>1.2380272780901985E-3</v>
      </c>
    </row>
    <row r="6014" spans="39:41" x14ac:dyDescent="0.25">
      <c r="AM6014" s="2">
        <v>6011</v>
      </c>
      <c r="AN6014" s="33">
        <v>1.4732282787277371E-2</v>
      </c>
      <c r="AO6014" s="33">
        <v>1.0959715020408443E-3</v>
      </c>
    </row>
    <row r="6015" spans="39:41" x14ac:dyDescent="0.25">
      <c r="AM6015" s="2">
        <v>6012</v>
      </c>
      <c r="AN6015" s="33">
        <v>1.0626079979912585E-2</v>
      </c>
      <c r="AO6015" s="33">
        <v>4.3363421495074223E-4</v>
      </c>
    </row>
    <row r="6016" spans="39:41" x14ac:dyDescent="0.25">
      <c r="AM6016" s="2">
        <v>6013</v>
      </c>
      <c r="AN6016" s="33">
        <v>1.0432135046874071E-2</v>
      </c>
      <c r="AO6016" s="33">
        <v>9.004850672609902E-4</v>
      </c>
    </row>
    <row r="6017" spans="39:41" x14ac:dyDescent="0.25">
      <c r="AM6017" s="2">
        <v>6014</v>
      </c>
      <c r="AN6017" s="33">
        <v>1.1368538324946775E-2</v>
      </c>
      <c r="AO6017" s="33">
        <v>3.9204173384999681E-4</v>
      </c>
    </row>
    <row r="6018" spans="39:41" x14ac:dyDescent="0.25">
      <c r="AM6018" s="2">
        <v>6015</v>
      </c>
      <c r="AN6018" s="33">
        <v>8.7742462698222629E-3</v>
      </c>
      <c r="AO6018" s="33">
        <v>7.8379825445212142E-4</v>
      </c>
    </row>
    <row r="6019" spans="39:41" x14ac:dyDescent="0.25">
      <c r="AM6019" s="2">
        <v>6016</v>
      </c>
      <c r="AN6019" s="33">
        <v>9.4360548542360857E-3</v>
      </c>
      <c r="AO6019" s="33">
        <v>6.3500260374010106E-4</v>
      </c>
    </row>
    <row r="6020" spans="39:41" x14ac:dyDescent="0.25">
      <c r="AM6020" s="2">
        <v>6017</v>
      </c>
      <c r="AN6020" s="33">
        <v>1.1171652227369449E-2</v>
      </c>
      <c r="AO6020" s="33">
        <v>8.4398286207175172E-4</v>
      </c>
    </row>
    <row r="6021" spans="39:41" x14ac:dyDescent="0.25">
      <c r="AM6021" s="2">
        <v>6018</v>
      </c>
      <c r="AN6021" s="33">
        <v>1.215991783569988E-2</v>
      </c>
      <c r="AO6021" s="33">
        <v>1.1178937414185396E-3</v>
      </c>
    </row>
    <row r="6022" spans="39:41" x14ac:dyDescent="0.25">
      <c r="AM6022" s="2">
        <v>6019</v>
      </c>
      <c r="AN6022" s="33">
        <v>9.7674288616355024E-3</v>
      </c>
      <c r="AO6022" s="33">
        <v>6.5763930683681259E-4</v>
      </c>
    </row>
    <row r="6023" spans="39:41" x14ac:dyDescent="0.25">
      <c r="AM6023" s="2">
        <v>6020</v>
      </c>
      <c r="AN6023" s="33">
        <v>1.1758730343371108E-2</v>
      </c>
      <c r="AO6023" s="33">
        <v>6.3708389784850094E-4</v>
      </c>
    </row>
    <row r="6024" spans="39:41" x14ac:dyDescent="0.25">
      <c r="AM6024" s="2">
        <v>6021</v>
      </c>
      <c r="AN6024" s="33">
        <v>1.0277386081952916E-2</v>
      </c>
      <c r="AO6024" s="33">
        <v>8.457363874475862E-4</v>
      </c>
    </row>
    <row r="6025" spans="39:41" x14ac:dyDescent="0.25">
      <c r="AM6025" s="2">
        <v>6022</v>
      </c>
      <c r="AN6025" s="33">
        <v>1.0777449257835267E-2</v>
      </c>
      <c r="AO6025" s="33">
        <v>6.6264977578963248E-4</v>
      </c>
    </row>
    <row r="6026" spans="39:41" x14ac:dyDescent="0.25">
      <c r="AM6026" s="2">
        <v>6023</v>
      </c>
      <c r="AN6026" s="33">
        <v>1.1797441275510885E-2</v>
      </c>
      <c r="AO6026" s="33">
        <v>1.0009640271490907E-3</v>
      </c>
    </row>
    <row r="6027" spans="39:41" x14ac:dyDescent="0.25">
      <c r="AM6027" s="2">
        <v>6024</v>
      </c>
      <c r="AN6027" s="33">
        <v>8.9615566550318559E-3</v>
      </c>
      <c r="AO6027" s="33">
        <v>4.7425506856705056E-4</v>
      </c>
    </row>
    <row r="6028" spans="39:41" x14ac:dyDescent="0.25">
      <c r="AM6028" s="2">
        <v>6025</v>
      </c>
      <c r="AN6028" s="33">
        <v>1.1592095586076176E-2</v>
      </c>
      <c r="AO6028" s="33">
        <v>1.1367591503645387E-3</v>
      </c>
    </row>
    <row r="6029" spans="39:41" x14ac:dyDescent="0.25">
      <c r="AM6029" s="2">
        <v>6026</v>
      </c>
      <c r="AN6029" s="33">
        <v>1.7155278660533853E-2</v>
      </c>
      <c r="AO6029" s="33">
        <v>1.5107424062845401E-3</v>
      </c>
    </row>
    <row r="6030" spans="39:41" x14ac:dyDescent="0.25">
      <c r="AM6030" s="2">
        <v>6027</v>
      </c>
      <c r="AN6030" s="33">
        <v>1.0861457254888572E-2</v>
      </c>
      <c r="AO6030" s="33">
        <v>8.8698990336790948E-4</v>
      </c>
    </row>
    <row r="6031" spans="39:41" x14ac:dyDescent="0.25">
      <c r="AM6031" s="2">
        <v>6028</v>
      </c>
      <c r="AN6031" s="33">
        <v>1.0218114856525301E-2</v>
      </c>
      <c r="AO6031" s="33">
        <v>9.6453399915210031E-4</v>
      </c>
    </row>
    <row r="6032" spans="39:41" x14ac:dyDescent="0.25">
      <c r="AM6032" s="2">
        <v>6029</v>
      </c>
      <c r="AN6032" s="33">
        <v>1.319408167882773E-2</v>
      </c>
      <c r="AO6032" s="33">
        <v>1.0832879346961792E-3</v>
      </c>
    </row>
    <row r="6033" spans="39:41" x14ac:dyDescent="0.25">
      <c r="AM6033" s="2">
        <v>6030</v>
      </c>
      <c r="AN6033" s="33">
        <v>1.500490986206081E-2</v>
      </c>
      <c r="AO6033" s="33">
        <v>1.2737093168469385E-3</v>
      </c>
    </row>
    <row r="6034" spans="39:41" x14ac:dyDescent="0.25">
      <c r="AM6034" s="2">
        <v>6031</v>
      </c>
      <c r="AN6034" s="33">
        <v>1.3466978169931957E-2</v>
      </c>
      <c r="AO6034" s="33">
        <v>1.0426156392083863E-3</v>
      </c>
    </row>
    <row r="6035" spans="39:41" x14ac:dyDescent="0.25">
      <c r="AM6035" s="2">
        <v>6032</v>
      </c>
      <c r="AN6035" s="33">
        <v>1.1764302575779805E-2</v>
      </c>
      <c r="AO6035" s="33">
        <v>9.5294316362661198E-4</v>
      </c>
    </row>
    <row r="6036" spans="39:41" x14ac:dyDescent="0.25">
      <c r="AM6036" s="2">
        <v>6033</v>
      </c>
      <c r="AN6036" s="33">
        <v>1.0481791387976369E-2</v>
      </c>
      <c r="AO6036" s="33">
        <v>8.8467160685950683E-4</v>
      </c>
    </row>
    <row r="6037" spans="39:41" x14ac:dyDescent="0.25">
      <c r="AM6037" s="2">
        <v>6034</v>
      </c>
      <c r="AN6037" s="33">
        <v>1.2744543291079925E-2</v>
      </c>
      <c r="AO6037" s="33">
        <v>8.8422127804664965E-4</v>
      </c>
    </row>
    <row r="6038" spans="39:41" x14ac:dyDescent="0.25">
      <c r="AM6038" s="2">
        <v>6035</v>
      </c>
      <c r="AN6038" s="33">
        <v>1.5489909925227953E-2</v>
      </c>
      <c r="AO6038" s="33">
        <v>1.0292589251082605E-3</v>
      </c>
    </row>
    <row r="6039" spans="39:41" x14ac:dyDescent="0.25">
      <c r="AM6039" s="2">
        <v>6036</v>
      </c>
      <c r="AN6039" s="33">
        <v>9.6983265291950595E-3</v>
      </c>
      <c r="AO6039" s="33">
        <v>3.8204091225476093E-4</v>
      </c>
    </row>
    <row r="6040" spans="39:41" x14ac:dyDescent="0.25">
      <c r="AM6040" s="2">
        <v>6037</v>
      </c>
      <c r="AN6040" s="33">
        <v>1.3812094420012027E-2</v>
      </c>
      <c r="AO6040" s="33">
        <v>1.2132543848407159E-3</v>
      </c>
    </row>
    <row r="6041" spans="39:41" x14ac:dyDescent="0.25">
      <c r="AM6041" s="2">
        <v>6038</v>
      </c>
      <c r="AN6041" s="33">
        <v>1.8087039567392455E-2</v>
      </c>
      <c r="AO6041" s="33">
        <v>1.7113264688757865E-3</v>
      </c>
    </row>
    <row r="6042" spans="39:41" x14ac:dyDescent="0.25">
      <c r="AM6042" s="2">
        <v>6039</v>
      </c>
      <c r="AN6042" s="33">
        <v>1.3823598861382793E-2</v>
      </c>
      <c r="AO6042" s="33">
        <v>9.333293489030371E-4</v>
      </c>
    </row>
    <row r="6043" spans="39:41" x14ac:dyDescent="0.25">
      <c r="AM6043" s="2">
        <v>6040</v>
      </c>
      <c r="AN6043" s="33">
        <v>1.0206495097364557E-2</v>
      </c>
      <c r="AO6043" s="33">
        <v>3.4080008406042468E-4</v>
      </c>
    </row>
    <row r="6044" spans="39:41" x14ac:dyDescent="0.25">
      <c r="AM6044" s="2">
        <v>6041</v>
      </c>
      <c r="AN6044" s="33">
        <v>9.963996946690248E-3</v>
      </c>
      <c r="AO6044" s="33">
        <v>3.9197119258663324E-4</v>
      </c>
    </row>
    <row r="6045" spans="39:41" x14ac:dyDescent="0.25">
      <c r="AM6045" s="2">
        <v>6042</v>
      </c>
      <c r="AN6045" s="33">
        <v>9.0502451373782027E-3</v>
      </c>
      <c r="AO6045" s="33">
        <v>6.8194317345383361E-4</v>
      </c>
    </row>
    <row r="6046" spans="39:41" x14ac:dyDescent="0.25">
      <c r="AM6046" s="2">
        <v>6043</v>
      </c>
      <c r="AN6046" s="33">
        <v>1.1441634418481181E-2</v>
      </c>
      <c r="AO6046" s="33">
        <v>9.100568573779241E-4</v>
      </c>
    </row>
    <row r="6047" spans="39:41" x14ac:dyDescent="0.25">
      <c r="AM6047" s="2">
        <v>6044</v>
      </c>
      <c r="AN6047" s="33">
        <v>1.3202678400131606E-2</v>
      </c>
      <c r="AO6047" s="33">
        <v>1.2440739449231708E-3</v>
      </c>
    </row>
    <row r="6048" spans="39:41" x14ac:dyDescent="0.25">
      <c r="AM6048" s="2">
        <v>6045</v>
      </c>
      <c r="AN6048" s="33">
        <v>1.3284356356453787E-2</v>
      </c>
      <c r="AO6048" s="33">
        <v>1.0444649718415401E-3</v>
      </c>
    </row>
    <row r="6049" spans="39:41" x14ac:dyDescent="0.25">
      <c r="AM6049" s="2">
        <v>6046</v>
      </c>
      <c r="AN6049" s="33">
        <v>9.9524462212706426E-3</v>
      </c>
      <c r="AO6049" s="33">
        <v>6.4874612276649419E-4</v>
      </c>
    </row>
    <row r="6050" spans="39:41" x14ac:dyDescent="0.25">
      <c r="AM6050" s="2">
        <v>6047</v>
      </c>
      <c r="AN6050" s="33">
        <v>1.3215554156970524E-2</v>
      </c>
      <c r="AO6050" s="33">
        <v>1.170785946645861E-3</v>
      </c>
    </row>
    <row r="6051" spans="39:41" x14ac:dyDescent="0.25">
      <c r="AM6051" s="2">
        <v>6048</v>
      </c>
      <c r="AN6051" s="33">
        <v>1.1132167422230299E-2</v>
      </c>
      <c r="AO6051" s="33">
        <v>9.6011415778645966E-4</v>
      </c>
    </row>
    <row r="6052" spans="39:41" x14ac:dyDescent="0.25">
      <c r="AM6052" s="2">
        <v>6049</v>
      </c>
      <c r="AN6052" s="33">
        <v>9.0442978746768654E-3</v>
      </c>
      <c r="AO6052" s="33">
        <v>6.5269548780807151E-4</v>
      </c>
    </row>
    <row r="6053" spans="39:41" x14ac:dyDescent="0.25">
      <c r="AM6053" s="2">
        <v>6050</v>
      </c>
      <c r="AN6053" s="33">
        <v>9.0174966632707906E-3</v>
      </c>
      <c r="AO6053" s="33">
        <v>1.990850553639086E-4</v>
      </c>
    </row>
    <row r="6054" spans="39:41" x14ac:dyDescent="0.25">
      <c r="AM6054" s="2">
        <v>6051</v>
      </c>
      <c r="AN6054" s="33">
        <v>1.0663977625347045E-2</v>
      </c>
      <c r="AO6054" s="33">
        <v>6.7046833304192392E-4</v>
      </c>
    </row>
    <row r="6055" spans="39:41" x14ac:dyDescent="0.25">
      <c r="AM6055" s="2">
        <v>6052</v>
      </c>
      <c r="AN6055" s="33">
        <v>1.3987742553134877E-2</v>
      </c>
      <c r="AO6055" s="33">
        <v>1.1437575444059288E-3</v>
      </c>
    </row>
    <row r="6056" spans="39:41" x14ac:dyDescent="0.25">
      <c r="AM6056" s="2">
        <v>6053</v>
      </c>
      <c r="AN6056" s="33">
        <v>7.901575610462017E-3</v>
      </c>
      <c r="AO6056" s="33">
        <v>5.7429157931728077E-4</v>
      </c>
    </row>
    <row r="6057" spans="39:41" x14ac:dyDescent="0.25">
      <c r="AM6057" s="2">
        <v>6054</v>
      </c>
      <c r="AN6057" s="33">
        <v>1.3499211036796256E-2</v>
      </c>
      <c r="AO6057" s="33">
        <v>1.0856360081433955E-3</v>
      </c>
    </row>
    <row r="6058" spans="39:41" x14ac:dyDescent="0.25">
      <c r="AM6058" s="2">
        <v>6055</v>
      </c>
      <c r="AN6058" s="33">
        <v>1.1084360050057607E-2</v>
      </c>
      <c r="AO6058" s="33">
        <v>6.5430982462735766E-4</v>
      </c>
    </row>
    <row r="6059" spans="39:41" x14ac:dyDescent="0.25">
      <c r="AM6059" s="2">
        <v>6056</v>
      </c>
      <c r="AN6059" s="33">
        <v>1.0787213456775982E-2</v>
      </c>
      <c r="AO6059" s="33">
        <v>7.800099904524191E-4</v>
      </c>
    </row>
    <row r="6060" spans="39:41" x14ac:dyDescent="0.25">
      <c r="AM6060" s="2">
        <v>6057</v>
      </c>
      <c r="AN6060" s="33">
        <v>1.0440474720763371E-2</v>
      </c>
      <c r="AO6060" s="33">
        <v>7.4646485230558035E-4</v>
      </c>
    </row>
    <row r="6061" spans="39:41" x14ac:dyDescent="0.25">
      <c r="AM6061" s="2">
        <v>6058</v>
      </c>
      <c r="AN6061" s="33">
        <v>1.325703147831688E-2</v>
      </c>
      <c r="AO6061" s="33">
        <v>1.2767775612413559E-3</v>
      </c>
    </row>
    <row r="6062" spans="39:41" x14ac:dyDescent="0.25">
      <c r="AM6062" s="2">
        <v>6059</v>
      </c>
      <c r="AN6062" s="33">
        <v>1.1197792537189314E-2</v>
      </c>
      <c r="AO6062" s="33">
        <v>5.4607419568086975E-4</v>
      </c>
    </row>
    <row r="6063" spans="39:41" x14ac:dyDescent="0.25">
      <c r="AM6063" s="2">
        <v>6060</v>
      </c>
      <c r="AN6063" s="33">
        <v>1.5233083150463364E-2</v>
      </c>
      <c r="AO6063" s="33">
        <v>1.2110696399589976E-3</v>
      </c>
    </row>
    <row r="6064" spans="39:41" x14ac:dyDescent="0.25">
      <c r="AM6064" s="2">
        <v>6061</v>
      </c>
      <c r="AN6064" s="33">
        <v>1.480617606794913E-2</v>
      </c>
      <c r="AO6064" s="33">
        <v>1.0938220121303266E-3</v>
      </c>
    </row>
    <row r="6065" spans="39:41" x14ac:dyDescent="0.25">
      <c r="AM6065" s="2">
        <v>6062</v>
      </c>
      <c r="AN6065" s="33">
        <v>1.2920842833566995E-2</v>
      </c>
      <c r="AO6065" s="33">
        <v>1.2140764576990901E-3</v>
      </c>
    </row>
    <row r="6066" spans="39:41" x14ac:dyDescent="0.25">
      <c r="AM6066" s="2">
        <v>6063</v>
      </c>
      <c r="AN6066" s="33">
        <v>1.0005440448687368E-2</v>
      </c>
      <c r="AO6066" s="33">
        <v>2.7677854091355959E-4</v>
      </c>
    </row>
    <row r="6067" spans="39:41" x14ac:dyDescent="0.25">
      <c r="AM6067" s="2">
        <v>6064</v>
      </c>
      <c r="AN6067" s="33">
        <v>8.5731414517110048E-3</v>
      </c>
      <c r="AO6067" s="33">
        <v>2.8127096655756768E-4</v>
      </c>
    </row>
    <row r="6068" spans="39:41" x14ac:dyDescent="0.25">
      <c r="AM6068" s="2">
        <v>6065</v>
      </c>
      <c r="AN6068" s="33">
        <v>1.148982132007409E-2</v>
      </c>
      <c r="AO6068" s="33">
        <v>5.3765587457998997E-4</v>
      </c>
    </row>
    <row r="6069" spans="39:41" x14ac:dyDescent="0.25">
      <c r="AM6069" s="2">
        <v>6066</v>
      </c>
      <c r="AN6069" s="33">
        <v>9.0356274524801029E-3</v>
      </c>
      <c r="AO6069" s="33">
        <v>5.5687643420387965E-4</v>
      </c>
    </row>
    <row r="6070" spans="39:41" x14ac:dyDescent="0.25">
      <c r="AM6070" s="2">
        <v>6067</v>
      </c>
      <c r="AN6070" s="33">
        <v>1.4070533364481512E-2</v>
      </c>
      <c r="AO6070" s="33">
        <v>1.3510395605297457E-3</v>
      </c>
    </row>
    <row r="6071" spans="39:41" x14ac:dyDescent="0.25">
      <c r="AM6071" s="2">
        <v>6068</v>
      </c>
      <c r="AN6071" s="33">
        <v>1.020000767267068E-2</v>
      </c>
      <c r="AO6071" s="33">
        <v>1.0327811015720392E-3</v>
      </c>
    </row>
    <row r="6072" spans="39:41" x14ac:dyDescent="0.25">
      <c r="AM6072" s="2">
        <v>6069</v>
      </c>
      <c r="AN6072" s="33">
        <v>1.5340559335381627E-2</v>
      </c>
      <c r="AO6072" s="33">
        <v>1.4605266088423513E-3</v>
      </c>
    </row>
    <row r="6073" spans="39:41" x14ac:dyDescent="0.25">
      <c r="AM6073" s="2">
        <v>6070</v>
      </c>
      <c r="AN6073" s="33">
        <v>1.060281931050094E-2</v>
      </c>
      <c r="AO6073" s="33">
        <v>4.1079422525111661E-4</v>
      </c>
    </row>
    <row r="6074" spans="39:41" x14ac:dyDescent="0.25">
      <c r="AM6074" s="2">
        <v>6071</v>
      </c>
      <c r="AN6074" s="33">
        <v>1.2434136805070873E-2</v>
      </c>
      <c r="AO6074" s="33">
        <v>8.830463218288643E-4</v>
      </c>
    </row>
    <row r="6075" spans="39:41" x14ac:dyDescent="0.25">
      <c r="AM6075" s="2">
        <v>6072</v>
      </c>
      <c r="AN6075" s="33">
        <v>1.1092977486884332E-2</v>
      </c>
      <c r="AO6075" s="33">
        <v>2.7295091119156203E-4</v>
      </c>
    </row>
    <row r="6076" spans="39:41" x14ac:dyDescent="0.25">
      <c r="AM6076" s="2">
        <v>6073</v>
      </c>
      <c r="AN6076" s="33">
        <v>1.0049519502913341E-2</v>
      </c>
      <c r="AO6076" s="33">
        <v>4.1624986213141551E-4</v>
      </c>
    </row>
    <row r="6077" spans="39:41" x14ac:dyDescent="0.25">
      <c r="AM6077" s="2">
        <v>6074</v>
      </c>
      <c r="AN6077" s="33">
        <v>8.8770635989376609E-3</v>
      </c>
      <c r="AO6077" s="33">
        <v>4.703893863120856E-4</v>
      </c>
    </row>
    <row r="6078" spans="39:41" x14ac:dyDescent="0.25">
      <c r="AM6078" s="2">
        <v>6075</v>
      </c>
      <c r="AN6078" s="33">
        <v>1.3736826162347837E-2</v>
      </c>
      <c r="AO6078" s="33">
        <v>1.1358408612988863E-3</v>
      </c>
    </row>
    <row r="6079" spans="39:41" x14ac:dyDescent="0.25">
      <c r="AM6079" s="2">
        <v>6076</v>
      </c>
      <c r="AN6079" s="33">
        <v>1.0496418261476103E-2</v>
      </c>
      <c r="AO6079" s="33">
        <v>6.3527363349352467E-4</v>
      </c>
    </row>
    <row r="6080" spans="39:41" x14ac:dyDescent="0.25">
      <c r="AM6080" s="2">
        <v>6077</v>
      </c>
      <c r="AN6080" s="33">
        <v>1.6352346603969208E-2</v>
      </c>
      <c r="AO6080" s="33">
        <v>1.2366858124902764E-3</v>
      </c>
    </row>
    <row r="6081" spans="39:41" x14ac:dyDescent="0.25">
      <c r="AM6081" s="2">
        <v>6078</v>
      </c>
      <c r="AN6081" s="33">
        <v>1.1214758568384692E-2</v>
      </c>
      <c r="AO6081" s="33">
        <v>1.1759325400174368E-3</v>
      </c>
    </row>
    <row r="6082" spans="39:41" x14ac:dyDescent="0.25">
      <c r="AM6082" s="2">
        <v>6079</v>
      </c>
      <c r="AN6082" s="33">
        <v>1.1409782233379606E-2</v>
      </c>
      <c r="AO6082" s="33">
        <v>1.0344963119696493E-3</v>
      </c>
    </row>
    <row r="6083" spans="39:41" x14ac:dyDescent="0.25">
      <c r="AM6083" s="2">
        <v>6080</v>
      </c>
      <c r="AN6083" s="33">
        <v>1.0702725785757403E-2</v>
      </c>
      <c r="AO6083" s="33">
        <v>4.8936998460700641E-4</v>
      </c>
    </row>
    <row r="6084" spans="39:41" x14ac:dyDescent="0.25">
      <c r="AM6084" s="2">
        <v>6081</v>
      </c>
      <c r="AN6084" s="33">
        <v>1.0342100231262603E-2</v>
      </c>
      <c r="AO6084" s="33">
        <v>8.1246285864934641E-4</v>
      </c>
    </row>
    <row r="6085" spans="39:41" x14ac:dyDescent="0.25">
      <c r="AM6085" s="2">
        <v>6082</v>
      </c>
      <c r="AN6085" s="33">
        <v>1.0428046410941446E-2</v>
      </c>
      <c r="AO6085" s="33">
        <v>6.100407017129891E-4</v>
      </c>
    </row>
    <row r="6086" spans="39:41" x14ac:dyDescent="0.25">
      <c r="AM6086" s="2">
        <v>6083</v>
      </c>
      <c r="AN6086" s="33">
        <v>9.6171101953820837E-3</v>
      </c>
      <c r="AO6086" s="33">
        <v>4.6586959885167294E-4</v>
      </c>
    </row>
    <row r="6087" spans="39:41" x14ac:dyDescent="0.25">
      <c r="AM6087" s="2">
        <v>6084</v>
      </c>
      <c r="AN6087" s="33">
        <v>1.2276759689853889E-2</v>
      </c>
      <c r="AO6087" s="33">
        <v>9.2319707114093868E-4</v>
      </c>
    </row>
    <row r="6088" spans="39:41" x14ac:dyDescent="0.25">
      <c r="AM6088" s="2">
        <v>6085</v>
      </c>
      <c r="AN6088" s="33">
        <v>1.3693148880242466E-2</v>
      </c>
      <c r="AO6088" s="33">
        <v>7.4554594308289305E-4</v>
      </c>
    </row>
    <row r="6089" spans="39:41" x14ac:dyDescent="0.25">
      <c r="AM6089" s="2">
        <v>6086</v>
      </c>
      <c r="AN6089" s="33">
        <v>7.9858801072522027E-3</v>
      </c>
      <c r="AO6089" s="33">
        <v>4.5707675852466105E-4</v>
      </c>
    </row>
    <row r="6090" spans="39:41" x14ac:dyDescent="0.25">
      <c r="AM6090" s="2">
        <v>6087</v>
      </c>
      <c r="AN6090" s="33">
        <v>7.5885029751895164E-3</v>
      </c>
      <c r="AO6090" s="33">
        <v>4.2880872167598929E-4</v>
      </c>
    </row>
    <row r="6091" spans="39:41" x14ac:dyDescent="0.25">
      <c r="AM6091" s="2">
        <v>6088</v>
      </c>
      <c r="AN6091" s="33">
        <v>9.7335886923168372E-3</v>
      </c>
      <c r="AO6091" s="33">
        <v>5.2746036265359346E-4</v>
      </c>
    </row>
    <row r="6092" spans="39:41" x14ac:dyDescent="0.25">
      <c r="AM6092" s="2">
        <v>6089</v>
      </c>
      <c r="AN6092" s="33">
        <v>1.380312449313118E-2</v>
      </c>
      <c r="AO6092" s="33">
        <v>1.3494966222848761E-3</v>
      </c>
    </row>
    <row r="6093" spans="39:41" x14ac:dyDescent="0.25">
      <c r="AM6093" s="2">
        <v>6090</v>
      </c>
      <c r="AN6093" s="33">
        <v>1.4289168621300427E-2</v>
      </c>
      <c r="AO6093" s="33">
        <v>1.1421176627541385E-3</v>
      </c>
    </row>
    <row r="6094" spans="39:41" x14ac:dyDescent="0.25">
      <c r="AM6094" s="2">
        <v>6091</v>
      </c>
      <c r="AN6094" s="33">
        <v>1.1993277462333913E-2</v>
      </c>
      <c r="AO6094" s="33">
        <v>8.5997838164138414E-4</v>
      </c>
    </row>
    <row r="6095" spans="39:41" x14ac:dyDescent="0.25">
      <c r="AM6095" s="2">
        <v>6092</v>
      </c>
      <c r="AN6095" s="33">
        <v>1.3129292204847856E-2</v>
      </c>
      <c r="AO6095" s="33">
        <v>1.1921490205178545E-3</v>
      </c>
    </row>
    <row r="6096" spans="39:41" x14ac:dyDescent="0.25">
      <c r="AM6096" s="2">
        <v>6093</v>
      </c>
      <c r="AN6096" s="33">
        <v>1.1991645637796075E-2</v>
      </c>
      <c r="AO6096" s="33">
        <v>9.7872127772371371E-4</v>
      </c>
    </row>
    <row r="6097" spans="39:41" x14ac:dyDescent="0.25">
      <c r="AM6097" s="2">
        <v>6094</v>
      </c>
      <c r="AN6097" s="33">
        <v>1.1880449629722019E-2</v>
      </c>
      <c r="AO6097" s="33">
        <v>7.2228892717923657E-4</v>
      </c>
    </row>
    <row r="6098" spans="39:41" x14ac:dyDescent="0.25">
      <c r="AM6098" s="2">
        <v>6095</v>
      </c>
      <c r="AN6098" s="33">
        <v>1.2889082818720978E-2</v>
      </c>
      <c r="AO6098" s="33">
        <v>7.8386656807821493E-4</v>
      </c>
    </row>
    <row r="6099" spans="39:41" x14ac:dyDescent="0.25">
      <c r="AM6099" s="2">
        <v>6096</v>
      </c>
      <c r="AN6099" s="33">
        <v>1.2662953687025323E-2</v>
      </c>
      <c r="AO6099" s="33">
        <v>1.038540952782789E-3</v>
      </c>
    </row>
    <row r="6100" spans="39:41" x14ac:dyDescent="0.25">
      <c r="AM6100" s="2">
        <v>6097</v>
      </c>
      <c r="AN6100" s="33">
        <v>1.2131295517326271E-2</v>
      </c>
      <c r="AO6100" s="33">
        <v>1.1527007879990462E-3</v>
      </c>
    </row>
    <row r="6101" spans="39:41" x14ac:dyDescent="0.25">
      <c r="AM6101" s="2">
        <v>6098</v>
      </c>
      <c r="AN6101" s="33">
        <v>1.0571055961781624E-2</v>
      </c>
      <c r="AO6101" s="33">
        <v>7.8489407726560305E-4</v>
      </c>
    </row>
    <row r="6102" spans="39:41" x14ac:dyDescent="0.25">
      <c r="AM6102" s="2">
        <v>6099</v>
      </c>
      <c r="AN6102" s="33">
        <v>9.6173269966693294E-3</v>
      </c>
      <c r="AO6102" s="33">
        <v>7.7504005915033573E-4</v>
      </c>
    </row>
    <row r="6103" spans="39:41" x14ac:dyDescent="0.25">
      <c r="AM6103" s="2">
        <v>6100</v>
      </c>
      <c r="AN6103" s="33">
        <v>1.3335436880933577E-2</v>
      </c>
      <c r="AO6103" s="33">
        <v>1.0470342061118644E-3</v>
      </c>
    </row>
    <row r="6104" spans="39:41" x14ac:dyDescent="0.25">
      <c r="AM6104" s="2">
        <v>6101</v>
      </c>
      <c r="AN6104" s="33">
        <v>8.5738607239434599E-3</v>
      </c>
      <c r="AO6104" s="33">
        <v>5.5012778469002961E-4</v>
      </c>
    </row>
    <row r="6105" spans="39:41" x14ac:dyDescent="0.25">
      <c r="AM6105" s="2">
        <v>6102</v>
      </c>
      <c r="AN6105" s="33">
        <v>2.0945715443203217E-2</v>
      </c>
      <c r="AO6105" s="33">
        <v>1.9468758229466213E-3</v>
      </c>
    </row>
    <row r="6106" spans="39:41" x14ac:dyDescent="0.25">
      <c r="AM6106" s="2">
        <v>6103</v>
      </c>
      <c r="AN6106" s="33">
        <v>1.0233851966995413E-2</v>
      </c>
      <c r="AO6106" s="33">
        <v>9.8776576199731923E-4</v>
      </c>
    </row>
    <row r="6107" spans="39:41" x14ac:dyDescent="0.25">
      <c r="AM6107" s="2">
        <v>6104</v>
      </c>
      <c r="AN6107" s="33">
        <v>9.0598896081621871E-3</v>
      </c>
      <c r="AO6107" s="33">
        <v>7.8223300026747421E-4</v>
      </c>
    </row>
    <row r="6108" spans="39:41" x14ac:dyDescent="0.25">
      <c r="AM6108" s="2">
        <v>6105</v>
      </c>
      <c r="AN6108" s="33">
        <v>1.3126887831705345E-2</v>
      </c>
      <c r="AO6108" s="33">
        <v>9.5265307583606109E-4</v>
      </c>
    </row>
    <row r="6109" spans="39:41" x14ac:dyDescent="0.25">
      <c r="AM6109" s="2">
        <v>6106</v>
      </c>
      <c r="AN6109" s="33">
        <v>1.1475889051644719E-2</v>
      </c>
      <c r="AO6109" s="33">
        <v>5.2351990729301108E-4</v>
      </c>
    </row>
    <row r="6110" spans="39:41" x14ac:dyDescent="0.25">
      <c r="AM6110" s="2">
        <v>6107</v>
      </c>
      <c r="AN6110" s="33">
        <v>8.6671815281759018E-3</v>
      </c>
      <c r="AO6110" s="33">
        <v>3.9150926716834393E-4</v>
      </c>
    </row>
    <row r="6111" spans="39:41" x14ac:dyDescent="0.25">
      <c r="AM6111" s="2">
        <v>6108</v>
      </c>
      <c r="AN6111" s="33">
        <v>1.0182897578933073E-2</v>
      </c>
      <c r="AO6111" s="33">
        <v>6.1116769672587851E-4</v>
      </c>
    </row>
    <row r="6112" spans="39:41" x14ac:dyDescent="0.25">
      <c r="AM6112" s="2">
        <v>6109</v>
      </c>
      <c r="AN6112" s="33">
        <v>9.0499497436140521E-3</v>
      </c>
      <c r="AO6112" s="33">
        <v>7.5069399899292579E-4</v>
      </c>
    </row>
    <row r="6113" spans="39:41" x14ac:dyDescent="0.25">
      <c r="AM6113" s="2">
        <v>6110</v>
      </c>
      <c r="AN6113" s="33">
        <v>9.9105982069920117E-3</v>
      </c>
      <c r="AO6113" s="33">
        <v>4.8343731480648792E-4</v>
      </c>
    </row>
    <row r="6114" spans="39:41" x14ac:dyDescent="0.25">
      <c r="AM6114" s="2">
        <v>6111</v>
      </c>
      <c r="AN6114" s="33">
        <v>1.4485258710545835E-2</v>
      </c>
      <c r="AO6114" s="33">
        <v>1.31612755218194E-3</v>
      </c>
    </row>
    <row r="6115" spans="39:41" x14ac:dyDescent="0.25">
      <c r="AM6115" s="2">
        <v>6112</v>
      </c>
      <c r="AN6115" s="33">
        <v>1.0455966459523585E-2</v>
      </c>
      <c r="AO6115" s="33">
        <v>5.2058634655139453E-4</v>
      </c>
    </row>
    <row r="6116" spans="39:41" x14ac:dyDescent="0.25">
      <c r="AM6116" s="2">
        <v>6113</v>
      </c>
      <c r="AN6116" s="33">
        <v>1.2614159279317458E-2</v>
      </c>
      <c r="AO6116" s="33">
        <v>8.218194923988282E-4</v>
      </c>
    </row>
    <row r="6117" spans="39:41" x14ac:dyDescent="0.25">
      <c r="AM6117" s="2">
        <v>6114</v>
      </c>
      <c r="AN6117" s="33">
        <v>1.053245206865055E-2</v>
      </c>
      <c r="AO6117" s="33">
        <v>4.3830091526578387E-4</v>
      </c>
    </row>
    <row r="6118" spans="39:41" x14ac:dyDescent="0.25">
      <c r="AM6118" s="2">
        <v>6115</v>
      </c>
      <c r="AN6118" s="33">
        <v>9.4042166330258487E-3</v>
      </c>
      <c r="AO6118" s="33">
        <v>7.9584497822820436E-4</v>
      </c>
    </row>
    <row r="6119" spans="39:41" x14ac:dyDescent="0.25">
      <c r="AM6119" s="2">
        <v>6116</v>
      </c>
      <c r="AN6119" s="33">
        <v>1.1010034708733711E-2</v>
      </c>
      <c r="AO6119" s="33">
        <v>3.9473888976495052E-4</v>
      </c>
    </row>
    <row r="6120" spans="39:41" x14ac:dyDescent="0.25">
      <c r="AM6120" s="2">
        <v>6117</v>
      </c>
      <c r="AN6120" s="33">
        <v>1.0419334942296325E-2</v>
      </c>
      <c r="AO6120" s="33">
        <v>6.6927339559578558E-4</v>
      </c>
    </row>
    <row r="6121" spans="39:41" x14ac:dyDescent="0.25">
      <c r="AM6121" s="2">
        <v>6118</v>
      </c>
      <c r="AN6121" s="33">
        <v>1.2163605386448334E-2</v>
      </c>
      <c r="AO6121" s="33">
        <v>8.4526765295059498E-4</v>
      </c>
    </row>
    <row r="6122" spans="39:41" x14ac:dyDescent="0.25">
      <c r="AM6122" s="2">
        <v>6119</v>
      </c>
      <c r="AN6122" s="33">
        <v>9.7621317785314739E-3</v>
      </c>
      <c r="AO6122" s="33">
        <v>5.587317800938512E-4</v>
      </c>
    </row>
    <row r="6123" spans="39:41" x14ac:dyDescent="0.25">
      <c r="AM6123" s="2">
        <v>6120</v>
      </c>
      <c r="AN6123" s="33">
        <v>1.2416237238884242E-2</v>
      </c>
      <c r="AO6123" s="33">
        <v>5.9782906130466981E-4</v>
      </c>
    </row>
    <row r="6124" spans="39:41" x14ac:dyDescent="0.25">
      <c r="AM6124" s="2">
        <v>6121</v>
      </c>
      <c r="AN6124" s="33">
        <v>1.0944858572542005E-2</v>
      </c>
      <c r="AO6124" s="33">
        <v>7.4521745936228319E-4</v>
      </c>
    </row>
    <row r="6125" spans="39:41" x14ac:dyDescent="0.25">
      <c r="AM6125" s="2">
        <v>6122</v>
      </c>
      <c r="AN6125" s="33">
        <v>1.1209729108335717E-2</v>
      </c>
      <c r="AO6125" s="33">
        <v>5.9053485347004809E-4</v>
      </c>
    </row>
    <row r="6126" spans="39:41" x14ac:dyDescent="0.25">
      <c r="AM6126" s="2">
        <v>6123</v>
      </c>
      <c r="AN6126" s="33">
        <v>1.0436368910983911E-2</v>
      </c>
      <c r="AO6126" s="33">
        <v>1.0506904374755677E-3</v>
      </c>
    </row>
    <row r="6127" spans="39:41" x14ac:dyDescent="0.25">
      <c r="AM6127" s="2">
        <v>6124</v>
      </c>
      <c r="AN6127" s="33">
        <v>1.542681524338309E-2</v>
      </c>
      <c r="AO6127" s="33">
        <v>6.9904519053008067E-4</v>
      </c>
    </row>
    <row r="6128" spans="39:41" x14ac:dyDescent="0.25">
      <c r="AM6128" s="2">
        <v>6125</v>
      </c>
      <c r="AN6128" s="33">
        <v>1.3623860397023421E-2</v>
      </c>
      <c r="AO6128" s="33">
        <v>1.0668509943900176E-3</v>
      </c>
    </row>
    <row r="6129" spans="39:41" x14ac:dyDescent="0.25">
      <c r="AM6129" s="2">
        <v>6126</v>
      </c>
      <c r="AN6129" s="33">
        <v>1.0802124741432786E-2</v>
      </c>
      <c r="AO6129" s="33">
        <v>3.1662821448035812E-4</v>
      </c>
    </row>
    <row r="6130" spans="39:41" x14ac:dyDescent="0.25">
      <c r="AM6130" s="2">
        <v>6127</v>
      </c>
      <c r="AN6130" s="33">
        <v>1.1642126839823923E-2</v>
      </c>
      <c r="AO6130" s="33">
        <v>8.154239909201785E-4</v>
      </c>
    </row>
    <row r="6131" spans="39:41" x14ac:dyDescent="0.25">
      <c r="AM6131" s="2">
        <v>6128</v>
      </c>
      <c r="AN6131" s="33">
        <v>1.1085667335978518E-2</v>
      </c>
      <c r="AO6131" s="33">
        <v>5.7712081658984487E-4</v>
      </c>
    </row>
    <row r="6132" spans="39:41" x14ac:dyDescent="0.25">
      <c r="AM6132" s="2">
        <v>6129</v>
      </c>
      <c r="AN6132" s="33">
        <v>8.9149455309292698E-3</v>
      </c>
      <c r="AO6132" s="33">
        <v>5.4196936337463594E-4</v>
      </c>
    </row>
    <row r="6133" spans="39:41" x14ac:dyDescent="0.25">
      <c r="AM6133" s="2">
        <v>6130</v>
      </c>
      <c r="AN6133" s="33">
        <v>1.1607765051222286E-2</v>
      </c>
      <c r="AO6133" s="33">
        <v>4.849640394181667E-4</v>
      </c>
    </row>
    <row r="6134" spans="39:41" x14ac:dyDescent="0.25">
      <c r="AM6134" s="2">
        <v>6131</v>
      </c>
      <c r="AN6134" s="33">
        <v>1.2595704392814246E-2</v>
      </c>
      <c r="AO6134" s="33">
        <v>1.1485931334645611E-3</v>
      </c>
    </row>
    <row r="6135" spans="39:41" x14ac:dyDescent="0.25">
      <c r="AM6135" s="2">
        <v>6132</v>
      </c>
      <c r="AN6135" s="33">
        <v>1.3924181930795513E-2</v>
      </c>
      <c r="AO6135" s="33">
        <v>1.2468196897803766E-3</v>
      </c>
    </row>
    <row r="6136" spans="39:41" x14ac:dyDescent="0.25">
      <c r="AM6136" s="2">
        <v>6133</v>
      </c>
      <c r="AN6136" s="33">
        <v>1.4150270148471639E-2</v>
      </c>
      <c r="AO6136" s="33">
        <v>1.4762308365710978E-3</v>
      </c>
    </row>
    <row r="6137" spans="39:41" x14ac:dyDescent="0.25">
      <c r="AM6137" s="2">
        <v>6134</v>
      </c>
      <c r="AN6137" s="33">
        <v>1.242116063493792E-2</v>
      </c>
      <c r="AO6137" s="33">
        <v>1.0110339906624932E-3</v>
      </c>
    </row>
    <row r="6138" spans="39:41" x14ac:dyDescent="0.25">
      <c r="AM6138" s="2">
        <v>6135</v>
      </c>
      <c r="AN6138" s="33">
        <v>1.0133282702274975E-2</v>
      </c>
      <c r="AO6138" s="33">
        <v>8.0774855033608774E-4</v>
      </c>
    </row>
    <row r="6139" spans="39:41" x14ac:dyDescent="0.25">
      <c r="AM6139" s="2">
        <v>6136</v>
      </c>
      <c r="AN6139" s="33">
        <v>1.22798653516941E-2</v>
      </c>
      <c r="AO6139" s="33">
        <v>1.1687524106703128E-3</v>
      </c>
    </row>
    <row r="6140" spans="39:41" x14ac:dyDescent="0.25">
      <c r="AM6140" s="2">
        <v>6137</v>
      </c>
      <c r="AN6140" s="33">
        <v>7.6099269015364335E-3</v>
      </c>
      <c r="AO6140" s="33">
        <v>5.928320429152375E-4</v>
      </c>
    </row>
    <row r="6141" spans="39:41" x14ac:dyDescent="0.25">
      <c r="AM6141" s="2">
        <v>6138</v>
      </c>
      <c r="AN6141" s="33">
        <v>1.0256807280971227E-2</v>
      </c>
      <c r="AO6141" s="33">
        <v>7.3325762498101764E-4</v>
      </c>
    </row>
    <row r="6142" spans="39:41" x14ac:dyDescent="0.25">
      <c r="AM6142" s="2">
        <v>6139</v>
      </c>
      <c r="AN6142" s="33">
        <v>1.1510626702572552E-2</v>
      </c>
      <c r="AO6142" s="33">
        <v>9.7127046810705918E-4</v>
      </c>
    </row>
    <row r="6143" spans="39:41" x14ac:dyDescent="0.25">
      <c r="AM6143" s="2">
        <v>6140</v>
      </c>
      <c r="AN6143" s="33">
        <v>1.0365871424931483E-2</v>
      </c>
      <c r="AO6143" s="33">
        <v>5.3602391632636239E-4</v>
      </c>
    </row>
    <row r="6144" spans="39:41" x14ac:dyDescent="0.25">
      <c r="AM6144" s="2">
        <v>6141</v>
      </c>
      <c r="AN6144" s="33">
        <v>1.3418913367000466E-2</v>
      </c>
      <c r="AO6144" s="33">
        <v>1.1076876760016288E-3</v>
      </c>
    </row>
    <row r="6145" spans="39:41" x14ac:dyDescent="0.25">
      <c r="AM6145" s="2">
        <v>6142</v>
      </c>
      <c r="AN6145" s="33">
        <v>9.7303114803341181E-3</v>
      </c>
      <c r="AO6145" s="33">
        <v>3.5250320966234065E-4</v>
      </c>
    </row>
    <row r="6146" spans="39:41" x14ac:dyDescent="0.25">
      <c r="AM6146" s="2">
        <v>6143</v>
      </c>
      <c r="AN6146" s="33">
        <v>1.0882187096575582E-2</v>
      </c>
      <c r="AO6146" s="33">
        <v>1.1798336900511227E-3</v>
      </c>
    </row>
    <row r="6147" spans="39:41" x14ac:dyDescent="0.25">
      <c r="AM6147" s="2">
        <v>6144</v>
      </c>
      <c r="AN6147" s="33">
        <v>1.1915795425054438E-2</v>
      </c>
      <c r="AO6147" s="33">
        <v>1.1243425498793035E-3</v>
      </c>
    </row>
    <row r="6148" spans="39:41" x14ac:dyDescent="0.25">
      <c r="AM6148" s="2">
        <v>6145</v>
      </c>
      <c r="AN6148" s="33">
        <v>1.5411570268294717E-2</v>
      </c>
      <c r="AO6148" s="33">
        <v>9.9853701582302049E-4</v>
      </c>
    </row>
    <row r="6149" spans="39:41" x14ac:dyDescent="0.25">
      <c r="AM6149" s="2">
        <v>6146</v>
      </c>
      <c r="AN6149" s="33">
        <v>1.2308359809574317E-2</v>
      </c>
      <c r="AO6149" s="33">
        <v>9.1963734699463642E-4</v>
      </c>
    </row>
    <row r="6150" spans="39:41" x14ac:dyDescent="0.25">
      <c r="AM6150" s="2">
        <v>6147</v>
      </c>
      <c r="AN6150" s="33">
        <v>1.3195463240758818E-2</v>
      </c>
      <c r="AO6150" s="33">
        <v>8.3320289404355198E-4</v>
      </c>
    </row>
    <row r="6151" spans="39:41" x14ac:dyDescent="0.25">
      <c r="AM6151" s="2">
        <v>6148</v>
      </c>
      <c r="AN6151" s="33">
        <v>1.2728303689127043E-2</v>
      </c>
      <c r="AO6151" s="33">
        <v>1.1236274882668945E-3</v>
      </c>
    </row>
    <row r="6152" spans="39:41" x14ac:dyDescent="0.25">
      <c r="AM6152" s="2">
        <v>6149</v>
      </c>
      <c r="AN6152" s="33">
        <v>1.5903469122946125E-2</v>
      </c>
      <c r="AO6152" s="33">
        <v>1.2978985040004506E-3</v>
      </c>
    </row>
    <row r="6153" spans="39:41" x14ac:dyDescent="0.25">
      <c r="AM6153" s="2">
        <v>6150</v>
      </c>
      <c r="AN6153" s="33">
        <v>1.2985372983236673E-2</v>
      </c>
      <c r="AO6153" s="33">
        <v>4.4221903682258848E-4</v>
      </c>
    </row>
    <row r="6154" spans="39:41" x14ac:dyDescent="0.25">
      <c r="AM6154" s="2">
        <v>6151</v>
      </c>
      <c r="AN6154" s="33">
        <v>1.0818939531398107E-2</v>
      </c>
      <c r="AO6154" s="33">
        <v>8.4926582962030971E-4</v>
      </c>
    </row>
    <row r="6155" spans="39:41" x14ac:dyDescent="0.25">
      <c r="AM6155" s="2">
        <v>6152</v>
      </c>
      <c r="AN6155" s="33">
        <v>1.2943762386007959E-2</v>
      </c>
      <c r="AO6155" s="33">
        <v>1.0880415596215918E-3</v>
      </c>
    </row>
    <row r="6156" spans="39:41" x14ac:dyDescent="0.25">
      <c r="AM6156" s="2">
        <v>6153</v>
      </c>
      <c r="AN6156" s="33">
        <v>1.185116315474959E-2</v>
      </c>
      <c r="AO6156" s="33">
        <v>6.6631062339685631E-4</v>
      </c>
    </row>
    <row r="6157" spans="39:41" x14ac:dyDescent="0.25">
      <c r="AM6157" s="2">
        <v>6154</v>
      </c>
      <c r="AN6157" s="33">
        <v>1.3256930234102371E-2</v>
      </c>
      <c r="AO6157" s="33">
        <v>1.1268258063795297E-3</v>
      </c>
    </row>
    <row r="6158" spans="39:41" x14ac:dyDescent="0.25">
      <c r="AM6158" s="2">
        <v>6155</v>
      </c>
      <c r="AN6158" s="33">
        <v>1.3861540971654757E-2</v>
      </c>
      <c r="AO6158" s="33">
        <v>1.2598628542496129E-3</v>
      </c>
    </row>
    <row r="6159" spans="39:41" x14ac:dyDescent="0.25">
      <c r="AM6159" s="2">
        <v>6156</v>
      </c>
      <c r="AN6159" s="33">
        <v>1.1509187204973358E-2</v>
      </c>
      <c r="AO6159" s="33">
        <v>6.4528420433930197E-4</v>
      </c>
    </row>
    <row r="6160" spans="39:41" x14ac:dyDescent="0.25">
      <c r="AM6160" s="2">
        <v>6157</v>
      </c>
      <c r="AN6160" s="33">
        <v>8.4864263948639714E-3</v>
      </c>
      <c r="AO6160" s="33">
        <v>4.2289064435681062E-4</v>
      </c>
    </row>
    <row r="6161" spans="39:41" x14ac:dyDescent="0.25">
      <c r="AM6161" s="2">
        <v>6158</v>
      </c>
      <c r="AN6161" s="33">
        <v>1.0158157569917814E-2</v>
      </c>
      <c r="AO6161" s="33">
        <v>4.2776161284255906E-4</v>
      </c>
    </row>
    <row r="6162" spans="39:41" x14ac:dyDescent="0.25">
      <c r="AM6162" s="2">
        <v>6159</v>
      </c>
      <c r="AN6162" s="33">
        <v>1.2131014684733701E-2</v>
      </c>
      <c r="AO6162" s="33">
        <v>9.9840161796773113E-4</v>
      </c>
    </row>
    <row r="6163" spans="39:41" x14ac:dyDescent="0.25">
      <c r="AM6163" s="2">
        <v>6160</v>
      </c>
      <c r="AN6163" s="33">
        <v>1.1948711342963384E-2</v>
      </c>
      <c r="AO6163" s="33">
        <v>9.5464957326638002E-4</v>
      </c>
    </row>
    <row r="6164" spans="39:41" x14ac:dyDescent="0.25">
      <c r="AM6164" s="2">
        <v>6161</v>
      </c>
      <c r="AN6164" s="33">
        <v>9.7644924787982732E-3</v>
      </c>
      <c r="AO6164" s="33">
        <v>6.866421979854206E-4</v>
      </c>
    </row>
    <row r="6165" spans="39:41" x14ac:dyDescent="0.25">
      <c r="AM6165" s="2">
        <v>6162</v>
      </c>
      <c r="AN6165" s="33">
        <v>1.430162749659211E-2</v>
      </c>
      <c r="AO6165" s="33">
        <v>2.992086716805652E-4</v>
      </c>
    </row>
    <row r="6166" spans="39:41" x14ac:dyDescent="0.25">
      <c r="AM6166" s="2">
        <v>6163</v>
      </c>
      <c r="AN6166" s="33">
        <v>1.1419320721380102E-2</v>
      </c>
      <c r="AO6166" s="33">
        <v>8.5908397159172912E-4</v>
      </c>
    </row>
    <row r="6167" spans="39:41" x14ac:dyDescent="0.25">
      <c r="AM6167" s="2">
        <v>6164</v>
      </c>
      <c r="AN6167" s="33">
        <v>1.1197407001467907E-2</v>
      </c>
      <c r="AO6167" s="33">
        <v>6.7573054691018092E-4</v>
      </c>
    </row>
    <row r="6168" spans="39:41" x14ac:dyDescent="0.25">
      <c r="AM6168" s="2">
        <v>6165</v>
      </c>
      <c r="AN6168" s="33">
        <v>1.1201355624680156E-2</v>
      </c>
      <c r="AO6168" s="33">
        <v>6.0777141495593182E-4</v>
      </c>
    </row>
    <row r="6169" spans="39:41" x14ac:dyDescent="0.25">
      <c r="AM6169" s="2">
        <v>6166</v>
      </c>
      <c r="AN6169" s="33">
        <v>9.8491139215200092E-3</v>
      </c>
      <c r="AO6169" s="33">
        <v>8.6899407418663524E-4</v>
      </c>
    </row>
    <row r="6170" spans="39:41" x14ac:dyDescent="0.25">
      <c r="AM6170" s="2">
        <v>6167</v>
      </c>
      <c r="AN6170" s="33">
        <v>1.078636952471868E-2</v>
      </c>
      <c r="AO6170" s="33">
        <v>8.3748797594601794E-4</v>
      </c>
    </row>
    <row r="6171" spans="39:41" x14ac:dyDescent="0.25">
      <c r="AM6171" s="2">
        <v>6168</v>
      </c>
      <c r="AN6171" s="33">
        <v>7.6193161837192162E-3</v>
      </c>
      <c r="AO6171" s="33">
        <v>6.8767656690005145E-4</v>
      </c>
    </row>
    <row r="6172" spans="39:41" x14ac:dyDescent="0.25">
      <c r="AM6172" s="2">
        <v>6169</v>
      </c>
      <c r="AN6172" s="33">
        <v>1.4631860684660557E-2</v>
      </c>
      <c r="AO6172" s="33">
        <v>1.1332809318766843E-3</v>
      </c>
    </row>
    <row r="6173" spans="39:41" x14ac:dyDescent="0.25">
      <c r="AM6173" s="2">
        <v>6170</v>
      </c>
      <c r="AN6173" s="33">
        <v>1.2923853805812307E-2</v>
      </c>
      <c r="AO6173" s="33">
        <v>6.5952385290257731E-4</v>
      </c>
    </row>
    <row r="6174" spans="39:41" x14ac:dyDescent="0.25">
      <c r="AM6174" s="2">
        <v>6171</v>
      </c>
      <c r="AN6174" s="33">
        <v>1.182600063646789E-2</v>
      </c>
      <c r="AO6174" s="33">
        <v>8.2927168838730595E-4</v>
      </c>
    </row>
    <row r="6175" spans="39:41" x14ac:dyDescent="0.25">
      <c r="AM6175" s="2">
        <v>6172</v>
      </c>
      <c r="AN6175" s="33">
        <v>8.3938842989615247E-3</v>
      </c>
      <c r="AO6175" s="33">
        <v>4.8404865381514704E-4</v>
      </c>
    </row>
    <row r="6176" spans="39:41" x14ac:dyDescent="0.25">
      <c r="AM6176" s="2">
        <v>6173</v>
      </c>
      <c r="AN6176" s="33">
        <v>1.2208396551211175E-2</v>
      </c>
      <c r="AO6176" s="33">
        <v>8.4091493071510764E-4</v>
      </c>
    </row>
    <row r="6177" spans="39:41" x14ac:dyDescent="0.25">
      <c r="AM6177" s="2">
        <v>6174</v>
      </c>
      <c r="AN6177" s="33">
        <v>1.0826633400180551E-2</v>
      </c>
      <c r="AO6177" s="33">
        <v>5.5206341267328995E-4</v>
      </c>
    </row>
    <row r="6178" spans="39:41" x14ac:dyDescent="0.25">
      <c r="AM6178" s="2">
        <v>6175</v>
      </c>
      <c r="AN6178" s="33">
        <v>1.3481001652960485E-2</v>
      </c>
      <c r="AO6178" s="33">
        <v>1.2981295892416373E-3</v>
      </c>
    </row>
    <row r="6179" spans="39:41" x14ac:dyDescent="0.25">
      <c r="AM6179" s="2">
        <v>6176</v>
      </c>
      <c r="AN6179" s="33">
        <v>9.4087136944591612E-3</v>
      </c>
      <c r="AO6179" s="33">
        <v>6.9033560051313123E-4</v>
      </c>
    </row>
    <row r="6180" spans="39:41" x14ac:dyDescent="0.25">
      <c r="AM6180" s="2">
        <v>6177</v>
      </c>
      <c r="AN6180" s="33">
        <v>1.3040435693281074E-2</v>
      </c>
      <c r="AO6180" s="33">
        <v>6.7270997275752E-4</v>
      </c>
    </row>
    <row r="6181" spans="39:41" x14ac:dyDescent="0.25">
      <c r="AM6181" s="2">
        <v>6178</v>
      </c>
      <c r="AN6181" s="33">
        <v>1.3223758050483175E-2</v>
      </c>
      <c r="AO6181" s="33">
        <v>1.0626276621896473E-3</v>
      </c>
    </row>
    <row r="6182" spans="39:41" x14ac:dyDescent="0.25">
      <c r="AM6182" s="2">
        <v>6179</v>
      </c>
      <c r="AN6182" s="33">
        <v>1.3560639725222192E-2</v>
      </c>
      <c r="AO6182" s="33">
        <v>9.4033164151156022E-4</v>
      </c>
    </row>
    <row r="6183" spans="39:41" x14ac:dyDescent="0.25">
      <c r="AM6183" s="2">
        <v>6180</v>
      </c>
      <c r="AN6183" s="33">
        <v>1.344681423229868E-2</v>
      </c>
      <c r="AO6183" s="33">
        <v>9.2907131935041553E-4</v>
      </c>
    </row>
    <row r="6184" spans="39:41" x14ac:dyDescent="0.25">
      <c r="AM6184" s="2">
        <v>6181</v>
      </c>
      <c r="AN6184" s="33">
        <v>8.5297500494838484E-3</v>
      </c>
      <c r="AO6184" s="33">
        <v>6.516446349204496E-4</v>
      </c>
    </row>
    <row r="6185" spans="39:41" x14ac:dyDescent="0.25">
      <c r="AM6185" s="2">
        <v>6182</v>
      </c>
      <c r="AN6185" s="33">
        <v>1.0640007600751074E-2</v>
      </c>
      <c r="AO6185" s="33">
        <v>8.5999584706496646E-4</v>
      </c>
    </row>
    <row r="6186" spans="39:41" x14ac:dyDescent="0.25">
      <c r="AM6186" s="2">
        <v>6183</v>
      </c>
      <c r="AN6186" s="33">
        <v>1.2815304471080105E-2</v>
      </c>
      <c r="AO6186" s="33">
        <v>9.1995123806654674E-4</v>
      </c>
    </row>
    <row r="6187" spans="39:41" x14ac:dyDescent="0.25">
      <c r="AM6187" s="2">
        <v>6184</v>
      </c>
      <c r="AN6187" s="33">
        <v>1.4995801641721459E-2</v>
      </c>
      <c r="AO6187" s="33">
        <v>1.0720718914569102E-3</v>
      </c>
    </row>
    <row r="6188" spans="39:41" x14ac:dyDescent="0.25">
      <c r="AM6188" s="2">
        <v>6185</v>
      </c>
      <c r="AN6188" s="33">
        <v>1.002192816193649E-2</v>
      </c>
      <c r="AO6188" s="33">
        <v>8.0663898055798272E-4</v>
      </c>
    </row>
    <row r="6189" spans="39:41" x14ac:dyDescent="0.25">
      <c r="AM6189" s="2">
        <v>6186</v>
      </c>
      <c r="AN6189" s="33">
        <v>9.6268631329015971E-3</v>
      </c>
      <c r="AO6189" s="33">
        <v>7.3024854280336602E-4</v>
      </c>
    </row>
    <row r="6190" spans="39:41" x14ac:dyDescent="0.25">
      <c r="AM6190" s="2">
        <v>6187</v>
      </c>
      <c r="AN6190" s="33">
        <v>1.4066047678667423E-2</v>
      </c>
      <c r="AO6190" s="33">
        <v>1.3270234660337425E-3</v>
      </c>
    </row>
    <row r="6191" spans="39:41" x14ac:dyDescent="0.25">
      <c r="AM6191" s="2">
        <v>6188</v>
      </c>
      <c r="AN6191" s="33">
        <v>9.6777442950511296E-3</v>
      </c>
      <c r="AO6191" s="33">
        <v>7.4802387592562381E-4</v>
      </c>
    </row>
    <row r="6192" spans="39:41" x14ac:dyDescent="0.25">
      <c r="AM6192" s="2">
        <v>6189</v>
      </c>
      <c r="AN6192" s="33">
        <v>1.2464565204666038E-2</v>
      </c>
      <c r="AO6192" s="33">
        <v>8.771946491838089E-4</v>
      </c>
    </row>
    <row r="6193" spans="39:41" x14ac:dyDescent="0.25">
      <c r="AM6193" s="2">
        <v>6190</v>
      </c>
      <c r="AN6193" s="33">
        <v>1.1776049392349455E-2</v>
      </c>
      <c r="AO6193" s="33">
        <v>8.7672925037246574E-4</v>
      </c>
    </row>
    <row r="6194" spans="39:41" x14ac:dyDescent="0.25">
      <c r="AM6194" s="2">
        <v>6191</v>
      </c>
      <c r="AN6194" s="33">
        <v>1.6378795117282074E-2</v>
      </c>
      <c r="AO6194" s="33">
        <v>1.4990957039442408E-3</v>
      </c>
    </row>
    <row r="6195" spans="39:41" x14ac:dyDescent="0.25">
      <c r="AM6195" s="2">
        <v>6192</v>
      </c>
      <c r="AN6195" s="33">
        <v>1.4150293167228755E-2</v>
      </c>
      <c r="AO6195" s="33">
        <v>9.0806876025522211E-4</v>
      </c>
    </row>
    <row r="6196" spans="39:41" x14ac:dyDescent="0.25">
      <c r="AM6196" s="2">
        <v>6193</v>
      </c>
      <c r="AN6196" s="33">
        <v>1.0561191300289451E-2</v>
      </c>
      <c r="AO6196" s="33">
        <v>6.3261845589747542E-4</v>
      </c>
    </row>
    <row r="6197" spans="39:41" x14ac:dyDescent="0.25">
      <c r="AM6197" s="2">
        <v>6194</v>
      </c>
      <c r="AN6197" s="33">
        <v>1.6210896899840559E-2</v>
      </c>
      <c r="AO6197" s="33">
        <v>1.3399665785921268E-3</v>
      </c>
    </row>
    <row r="6198" spans="39:41" x14ac:dyDescent="0.25">
      <c r="AM6198" s="2">
        <v>6195</v>
      </c>
      <c r="AN6198" s="33">
        <v>1.3743134478236567E-2</v>
      </c>
      <c r="AO6198" s="33">
        <v>1.3438011038140461E-3</v>
      </c>
    </row>
    <row r="6199" spans="39:41" x14ac:dyDescent="0.25">
      <c r="AM6199" s="2">
        <v>6196</v>
      </c>
      <c r="AN6199" s="33">
        <v>9.0666954347735432E-3</v>
      </c>
      <c r="AO6199" s="33">
        <v>6.7211086414915898E-4</v>
      </c>
    </row>
    <row r="6200" spans="39:41" x14ac:dyDescent="0.25">
      <c r="AM6200" s="2">
        <v>6197</v>
      </c>
      <c r="AN6200" s="33">
        <v>1.650551407341146E-2</v>
      </c>
      <c r="AO6200" s="33">
        <v>1.5446203373249423E-3</v>
      </c>
    </row>
    <row r="6201" spans="39:41" x14ac:dyDescent="0.25">
      <c r="AM6201" s="2">
        <v>6198</v>
      </c>
      <c r="AN6201" s="33">
        <v>1.0964371723721125E-2</v>
      </c>
      <c r="AO6201" s="33">
        <v>1.0155932839047241E-3</v>
      </c>
    </row>
    <row r="6202" spans="39:41" x14ac:dyDescent="0.25">
      <c r="AM6202" s="2">
        <v>6199</v>
      </c>
      <c r="AN6202" s="33">
        <v>1.0574193356560443E-2</v>
      </c>
      <c r="AO6202" s="33">
        <v>3.5077529886562008E-4</v>
      </c>
    </row>
    <row r="6203" spans="39:41" x14ac:dyDescent="0.25">
      <c r="AM6203" s="2">
        <v>6200</v>
      </c>
      <c r="AN6203" s="33">
        <v>1.359433338408227E-2</v>
      </c>
      <c r="AO6203" s="33">
        <v>1.034861669243402E-3</v>
      </c>
    </row>
    <row r="6204" spans="39:41" x14ac:dyDescent="0.25">
      <c r="AM6204" s="2">
        <v>6201</v>
      </c>
      <c r="AN6204" s="33">
        <v>1.033400735492454E-2</v>
      </c>
      <c r="AO6204" s="33">
        <v>3.9210995830189066E-4</v>
      </c>
    </row>
    <row r="6205" spans="39:41" x14ac:dyDescent="0.25">
      <c r="AM6205" s="2">
        <v>6202</v>
      </c>
      <c r="AN6205" s="33">
        <v>1.5694167712695842E-2</v>
      </c>
      <c r="AO6205" s="33">
        <v>1.2932535770659001E-3</v>
      </c>
    </row>
    <row r="6206" spans="39:41" x14ac:dyDescent="0.25">
      <c r="AM6206" s="2">
        <v>6203</v>
      </c>
      <c r="AN6206" s="33">
        <v>1.5735194019762422E-2</v>
      </c>
      <c r="AO6206" s="33">
        <v>1.0490554424046116E-3</v>
      </c>
    </row>
    <row r="6207" spans="39:41" x14ac:dyDescent="0.25">
      <c r="AM6207" s="2">
        <v>6204</v>
      </c>
      <c r="AN6207" s="33">
        <v>1.3602883652950397E-2</v>
      </c>
      <c r="AO6207" s="33">
        <v>9.9967615176977938E-4</v>
      </c>
    </row>
    <row r="6208" spans="39:41" x14ac:dyDescent="0.25">
      <c r="AM6208" s="2">
        <v>6205</v>
      </c>
      <c r="AN6208" s="33">
        <v>1.2873043444467856E-2</v>
      </c>
      <c r="AO6208" s="33">
        <v>9.5949809055331065E-4</v>
      </c>
    </row>
    <row r="6209" spans="39:41" x14ac:dyDescent="0.25">
      <c r="AM6209" s="2">
        <v>6206</v>
      </c>
      <c r="AN6209" s="33">
        <v>8.0638420011045382E-3</v>
      </c>
      <c r="AO6209" s="33">
        <v>6.9999237726689012E-4</v>
      </c>
    </row>
    <row r="6210" spans="39:41" x14ac:dyDescent="0.25">
      <c r="AM6210" s="2">
        <v>6207</v>
      </c>
      <c r="AN6210" s="33">
        <v>9.3716143555549296E-3</v>
      </c>
      <c r="AO6210" s="33">
        <v>4.4588484739005847E-4</v>
      </c>
    </row>
    <row r="6211" spans="39:41" x14ac:dyDescent="0.25">
      <c r="AM6211" s="2">
        <v>6208</v>
      </c>
      <c r="AN6211" s="33">
        <v>1.002168063607828E-2</v>
      </c>
      <c r="AO6211" s="33">
        <v>4.1290534555655974E-4</v>
      </c>
    </row>
    <row r="6212" spans="39:41" x14ac:dyDescent="0.25">
      <c r="AM6212" s="2">
        <v>6209</v>
      </c>
      <c r="AN6212" s="33">
        <v>9.2735694101531117E-3</v>
      </c>
      <c r="AO6212" s="33">
        <v>7.4333802648582099E-4</v>
      </c>
    </row>
    <row r="6213" spans="39:41" x14ac:dyDescent="0.25">
      <c r="AM6213" s="2">
        <v>6210</v>
      </c>
      <c r="AN6213" s="33">
        <v>1.5216365791927977E-2</v>
      </c>
      <c r="AO6213" s="33">
        <v>1.3020506827283171E-3</v>
      </c>
    </row>
    <row r="6214" spans="39:41" x14ac:dyDescent="0.25">
      <c r="AM6214" s="2">
        <v>6211</v>
      </c>
      <c r="AN6214" s="33">
        <v>9.5887753240692514E-3</v>
      </c>
      <c r="AO6214" s="33">
        <v>7.1755042007310267E-4</v>
      </c>
    </row>
    <row r="6215" spans="39:41" x14ac:dyDescent="0.25">
      <c r="AM6215" s="2">
        <v>6212</v>
      </c>
      <c r="AN6215" s="33">
        <v>8.9150338286352587E-3</v>
      </c>
      <c r="AO6215" s="33">
        <v>7.6486759381653167E-4</v>
      </c>
    </row>
    <row r="6216" spans="39:41" x14ac:dyDescent="0.25">
      <c r="AM6216" s="2">
        <v>6213</v>
      </c>
      <c r="AN6216" s="33">
        <v>8.2160425986188262E-3</v>
      </c>
      <c r="AO6216" s="33">
        <v>5.8266159796681956E-4</v>
      </c>
    </row>
    <row r="6217" spans="39:41" x14ac:dyDescent="0.25">
      <c r="AM6217" s="2">
        <v>6214</v>
      </c>
      <c r="AN6217" s="33">
        <v>9.9259163033852821E-3</v>
      </c>
      <c r="AO6217" s="33">
        <v>5.786599822692433E-4</v>
      </c>
    </row>
    <row r="6218" spans="39:41" x14ac:dyDescent="0.25">
      <c r="AM6218" s="2">
        <v>6215</v>
      </c>
      <c r="AN6218" s="33">
        <v>1.6661396327784211E-2</v>
      </c>
      <c r="AO6218" s="33">
        <v>1.1140932971885256E-3</v>
      </c>
    </row>
    <row r="6219" spans="39:41" x14ac:dyDescent="0.25">
      <c r="AM6219" s="2">
        <v>6216</v>
      </c>
      <c r="AN6219" s="33">
        <v>8.1265673497987571E-3</v>
      </c>
      <c r="AO6219" s="33">
        <v>4.6261874502070131E-4</v>
      </c>
    </row>
    <row r="6220" spans="39:41" x14ac:dyDescent="0.25">
      <c r="AM6220" s="2">
        <v>6217</v>
      </c>
      <c r="AN6220" s="33">
        <v>1.0871695574175194E-2</v>
      </c>
      <c r="AO6220" s="33">
        <v>8.0490077644666022E-4</v>
      </c>
    </row>
    <row r="6221" spans="39:41" x14ac:dyDescent="0.25">
      <c r="AM6221" s="2">
        <v>6218</v>
      </c>
      <c r="AN6221" s="33">
        <v>1.2748948348319925E-2</v>
      </c>
      <c r="AO6221" s="33">
        <v>1.2606539311117973E-3</v>
      </c>
    </row>
    <row r="6222" spans="39:41" x14ac:dyDescent="0.25">
      <c r="AM6222" s="2">
        <v>6219</v>
      </c>
      <c r="AN6222" s="33">
        <v>1.1382265377363652E-2</v>
      </c>
      <c r="AO6222" s="33">
        <v>8.2884400361442573E-4</v>
      </c>
    </row>
    <row r="6223" spans="39:41" x14ac:dyDescent="0.25">
      <c r="AM6223" s="2">
        <v>6220</v>
      </c>
      <c r="AN6223" s="33">
        <v>1.0015595807714526E-2</v>
      </c>
      <c r="AO6223" s="33">
        <v>6.694397795667514E-4</v>
      </c>
    </row>
    <row r="6224" spans="39:41" x14ac:dyDescent="0.25">
      <c r="AM6224" s="2">
        <v>6221</v>
      </c>
      <c r="AN6224" s="33">
        <v>1.0836423147697564E-2</v>
      </c>
      <c r="AO6224" s="33">
        <v>5.583322263976538E-4</v>
      </c>
    </row>
    <row r="6225" spans="39:41" x14ac:dyDescent="0.25">
      <c r="AM6225" s="2">
        <v>6222</v>
      </c>
      <c r="AN6225" s="33">
        <v>1.1477319374285928E-2</v>
      </c>
      <c r="AO6225" s="33">
        <v>9.400906345930247E-4</v>
      </c>
    </row>
    <row r="6226" spans="39:41" x14ac:dyDescent="0.25">
      <c r="AM6226" s="2">
        <v>6223</v>
      </c>
      <c r="AN6226" s="33">
        <v>9.3219248792394214E-3</v>
      </c>
      <c r="AO6226" s="33">
        <v>4.5089187112254316E-4</v>
      </c>
    </row>
    <row r="6227" spans="39:41" x14ac:dyDescent="0.25">
      <c r="AM6227" s="2">
        <v>6224</v>
      </c>
      <c r="AN6227" s="33">
        <v>1.140793043717101E-2</v>
      </c>
      <c r="AO6227" s="33">
        <v>6.6589494492542978E-4</v>
      </c>
    </row>
    <row r="6228" spans="39:41" x14ac:dyDescent="0.25">
      <c r="AM6228" s="2">
        <v>6225</v>
      </c>
      <c r="AN6228" s="33">
        <v>1.0484122590311135E-2</v>
      </c>
      <c r="AO6228" s="33">
        <v>7.9907554295618403E-4</v>
      </c>
    </row>
    <row r="6229" spans="39:41" x14ac:dyDescent="0.25">
      <c r="AM6229" s="2">
        <v>6226</v>
      </c>
      <c r="AN6229" s="33">
        <v>9.7786521868283658E-3</v>
      </c>
      <c r="AO6229" s="33">
        <v>5.8265921813153033E-4</v>
      </c>
    </row>
    <row r="6230" spans="39:41" x14ac:dyDescent="0.25">
      <c r="AM6230" s="2">
        <v>6227</v>
      </c>
      <c r="AN6230" s="33">
        <v>7.1393518811606362E-3</v>
      </c>
      <c r="AO6230" s="33">
        <v>5.2248290782180081E-4</v>
      </c>
    </row>
    <row r="6231" spans="39:41" x14ac:dyDescent="0.25">
      <c r="AM6231" s="2">
        <v>6228</v>
      </c>
      <c r="AN6231" s="33">
        <v>1.1227682605304139E-2</v>
      </c>
      <c r="AO6231" s="33">
        <v>9.4518182160477696E-4</v>
      </c>
    </row>
    <row r="6232" spans="39:41" x14ac:dyDescent="0.25">
      <c r="AM6232" s="2">
        <v>6229</v>
      </c>
      <c r="AN6232" s="33">
        <v>1.1067490671093696E-2</v>
      </c>
      <c r="AO6232" s="33">
        <v>6.8894108408320458E-4</v>
      </c>
    </row>
    <row r="6233" spans="39:41" x14ac:dyDescent="0.25">
      <c r="AM6233" s="2">
        <v>6230</v>
      </c>
      <c r="AN6233" s="33">
        <v>1.0931710564732361E-2</v>
      </c>
      <c r="AO6233" s="33">
        <v>8.5956259388192651E-4</v>
      </c>
    </row>
    <row r="6234" spans="39:41" x14ac:dyDescent="0.25">
      <c r="AM6234" s="2">
        <v>6231</v>
      </c>
      <c r="AN6234" s="33">
        <v>1.1269943032648069E-2</v>
      </c>
      <c r="AO6234" s="33">
        <v>5.609378296981991E-4</v>
      </c>
    </row>
    <row r="6235" spans="39:41" x14ac:dyDescent="0.25">
      <c r="AM6235" s="2">
        <v>6232</v>
      </c>
      <c r="AN6235" s="33">
        <v>1.0010317544463266E-2</v>
      </c>
      <c r="AO6235" s="33">
        <v>5.0168970334186634E-4</v>
      </c>
    </row>
    <row r="6236" spans="39:41" x14ac:dyDescent="0.25">
      <c r="AM6236" s="2">
        <v>6233</v>
      </c>
      <c r="AN6236" s="33">
        <v>1.365111391335007E-2</v>
      </c>
      <c r="AO6236" s="33">
        <v>1.0258187187819478E-3</v>
      </c>
    </row>
    <row r="6237" spans="39:41" x14ac:dyDescent="0.25">
      <c r="AM6237" s="2">
        <v>6234</v>
      </c>
      <c r="AN6237" s="33">
        <v>1.4376601800181566E-2</v>
      </c>
      <c r="AO6237" s="33">
        <v>1.213722912565393E-3</v>
      </c>
    </row>
    <row r="6238" spans="39:41" x14ac:dyDescent="0.25">
      <c r="AM6238" s="2">
        <v>6235</v>
      </c>
      <c r="AN6238" s="33">
        <v>1.4973541737484093E-2</v>
      </c>
      <c r="AO6238" s="33">
        <v>8.3992123604767228E-4</v>
      </c>
    </row>
    <row r="6239" spans="39:41" x14ac:dyDescent="0.25">
      <c r="AM6239" s="2">
        <v>6236</v>
      </c>
      <c r="AN6239" s="33">
        <v>1.5404695610110221E-2</v>
      </c>
      <c r="AO6239" s="33">
        <v>9.1153602343314888E-4</v>
      </c>
    </row>
    <row r="6240" spans="39:41" x14ac:dyDescent="0.25">
      <c r="AM6240" s="2">
        <v>6237</v>
      </c>
      <c r="AN6240" s="33">
        <v>1.0953527664097479E-2</v>
      </c>
      <c r="AO6240" s="33">
        <v>3.6317944852976697E-4</v>
      </c>
    </row>
    <row r="6241" spans="39:41" x14ac:dyDescent="0.25">
      <c r="AM6241" s="2">
        <v>6238</v>
      </c>
      <c r="AN6241" s="33">
        <v>1.0405813907019629E-2</v>
      </c>
      <c r="AO6241" s="33">
        <v>4.6924894935673327E-4</v>
      </c>
    </row>
    <row r="6242" spans="39:41" x14ac:dyDescent="0.25">
      <c r="AM6242" s="2">
        <v>6239</v>
      </c>
      <c r="AN6242" s="33">
        <v>9.2251482828713573E-3</v>
      </c>
      <c r="AO6242" s="33">
        <v>7.7152321797787661E-4</v>
      </c>
    </row>
    <row r="6243" spans="39:41" x14ac:dyDescent="0.25">
      <c r="AM6243" s="2">
        <v>6240</v>
      </c>
      <c r="AN6243" s="33">
        <v>9.9559545235862155E-3</v>
      </c>
      <c r="AO6243" s="33">
        <v>4.3876103156492512E-4</v>
      </c>
    </row>
    <row r="6244" spans="39:41" x14ac:dyDescent="0.25">
      <c r="AM6244" s="2">
        <v>6241</v>
      </c>
      <c r="AN6244" s="33">
        <v>8.540401197504913E-3</v>
      </c>
      <c r="AO6244" s="33">
        <v>6.870396411836451E-4</v>
      </c>
    </row>
    <row r="6245" spans="39:41" x14ac:dyDescent="0.25">
      <c r="AM6245" s="2">
        <v>6242</v>
      </c>
      <c r="AN6245" s="33">
        <v>1.3028147193291604E-2</v>
      </c>
      <c r="AO6245" s="33">
        <v>1.0942005850224418E-3</v>
      </c>
    </row>
    <row r="6246" spans="39:41" x14ac:dyDescent="0.25">
      <c r="AM6246" s="2">
        <v>6243</v>
      </c>
      <c r="AN6246" s="33">
        <v>1.074117638717097E-2</v>
      </c>
      <c r="AO6246" s="33">
        <v>7.8661919365781647E-4</v>
      </c>
    </row>
    <row r="6247" spans="39:41" x14ac:dyDescent="0.25">
      <c r="AM6247" s="2">
        <v>6244</v>
      </c>
      <c r="AN6247" s="33">
        <v>1.1788798128156502E-2</v>
      </c>
      <c r="AO6247" s="33">
        <v>8.2383402643908623E-4</v>
      </c>
    </row>
    <row r="6248" spans="39:41" x14ac:dyDescent="0.25">
      <c r="AM6248" s="2">
        <v>6245</v>
      </c>
      <c r="AN6248" s="33">
        <v>1.277768602617043E-2</v>
      </c>
      <c r="AO6248" s="33">
        <v>6.473836375329332E-4</v>
      </c>
    </row>
    <row r="6249" spans="39:41" x14ac:dyDescent="0.25">
      <c r="AM6249" s="2">
        <v>6246</v>
      </c>
      <c r="AN6249" s="33">
        <v>1.0832340684344757E-2</v>
      </c>
      <c r="AO6249" s="33">
        <v>7.5338081810923411E-4</v>
      </c>
    </row>
    <row r="6250" spans="39:41" x14ac:dyDescent="0.25">
      <c r="AM6250" s="2">
        <v>6247</v>
      </c>
      <c r="AN6250" s="33">
        <v>1.2525322564247468E-2</v>
      </c>
      <c r="AO6250" s="33">
        <v>8.5781783613302553E-4</v>
      </c>
    </row>
    <row r="6251" spans="39:41" x14ac:dyDescent="0.25">
      <c r="AM6251" s="2">
        <v>6248</v>
      </c>
      <c r="AN6251" s="33">
        <v>9.9010809420721265E-3</v>
      </c>
      <c r="AO6251" s="33">
        <v>5.8323610364140513E-4</v>
      </c>
    </row>
    <row r="6252" spans="39:41" x14ac:dyDescent="0.25">
      <c r="AM6252" s="2">
        <v>6249</v>
      </c>
      <c r="AN6252" s="33">
        <v>1.1628117022606462E-2</v>
      </c>
      <c r="AO6252" s="33">
        <v>7.438141355610939E-4</v>
      </c>
    </row>
    <row r="6253" spans="39:41" x14ac:dyDescent="0.25">
      <c r="AM6253" s="2">
        <v>6250</v>
      </c>
      <c r="AN6253" s="33">
        <v>1.4010157807690092E-2</v>
      </c>
      <c r="AO6253" s="33">
        <v>6.9090380885907627E-4</v>
      </c>
    </row>
    <row r="6254" spans="39:41" x14ac:dyDescent="0.25">
      <c r="AM6254" s="2">
        <v>6251</v>
      </c>
      <c r="AN6254" s="33">
        <v>9.3238219287818235E-3</v>
      </c>
      <c r="AO6254" s="33">
        <v>5.4728314272503814E-4</v>
      </c>
    </row>
    <row r="6255" spans="39:41" x14ac:dyDescent="0.25">
      <c r="AM6255" s="2">
        <v>6252</v>
      </c>
      <c r="AN6255" s="33">
        <v>1.0308373149456464E-2</v>
      </c>
      <c r="AO6255" s="33">
        <v>6.7582731805639973E-4</v>
      </c>
    </row>
    <row r="6256" spans="39:41" x14ac:dyDescent="0.25">
      <c r="AM6256" s="2">
        <v>6253</v>
      </c>
      <c r="AN6256" s="33">
        <v>1.4169442859321047E-2</v>
      </c>
      <c r="AO6256" s="33">
        <v>8.9799280965920157E-4</v>
      </c>
    </row>
    <row r="6257" spans="39:41" x14ac:dyDescent="0.25">
      <c r="AM6257" s="2">
        <v>6254</v>
      </c>
      <c r="AN6257" s="33">
        <v>1.2081425470903498E-2</v>
      </c>
      <c r="AO6257" s="33">
        <v>1.2396660856733115E-3</v>
      </c>
    </row>
    <row r="6258" spans="39:41" x14ac:dyDescent="0.25">
      <c r="AM6258" s="2">
        <v>6255</v>
      </c>
      <c r="AN6258" s="33">
        <v>8.1947076848030414E-3</v>
      </c>
      <c r="AO6258" s="33">
        <v>2.3536962753211631E-4</v>
      </c>
    </row>
    <row r="6259" spans="39:41" x14ac:dyDescent="0.25">
      <c r="AM6259" s="2">
        <v>6256</v>
      </c>
      <c r="AN6259" s="33">
        <v>1.256450186841558E-2</v>
      </c>
      <c r="AO6259" s="33">
        <v>4.758586806269565E-4</v>
      </c>
    </row>
    <row r="6260" spans="39:41" x14ac:dyDescent="0.25">
      <c r="AM6260" s="2">
        <v>6257</v>
      </c>
      <c r="AN6260" s="33">
        <v>1.1722015829466652E-2</v>
      </c>
      <c r="AO6260" s="33">
        <v>1.051481731396024E-3</v>
      </c>
    </row>
    <row r="6261" spans="39:41" x14ac:dyDescent="0.25">
      <c r="AM6261" s="2">
        <v>6258</v>
      </c>
      <c r="AN6261" s="33">
        <v>1.3520241920093757E-2</v>
      </c>
      <c r="AO6261" s="33">
        <v>1.1059361444015555E-3</v>
      </c>
    </row>
    <row r="6262" spans="39:41" x14ac:dyDescent="0.25">
      <c r="AM6262" s="2">
        <v>6259</v>
      </c>
      <c r="AN6262" s="33">
        <v>1.3101237708166173E-2</v>
      </c>
      <c r="AO6262" s="33">
        <v>6.4516350106652511E-4</v>
      </c>
    </row>
    <row r="6263" spans="39:41" x14ac:dyDescent="0.25">
      <c r="AM6263" s="2">
        <v>6260</v>
      </c>
      <c r="AN6263" s="33">
        <v>1.0733407559597096E-2</v>
      </c>
      <c r="AO6263" s="33">
        <v>8.0814546049640058E-4</v>
      </c>
    </row>
    <row r="6264" spans="39:41" x14ac:dyDescent="0.25">
      <c r="AM6264" s="2">
        <v>6261</v>
      </c>
      <c r="AN6264" s="33">
        <v>1.233326069435592E-2</v>
      </c>
      <c r="AO6264" s="33">
        <v>1.040241513208105E-3</v>
      </c>
    </row>
    <row r="6265" spans="39:41" x14ac:dyDescent="0.25">
      <c r="AM6265" s="2">
        <v>6262</v>
      </c>
      <c r="AN6265" s="33">
        <v>1.263033280661768E-2</v>
      </c>
      <c r="AO6265" s="33">
        <v>1.0279773107772382E-3</v>
      </c>
    </row>
    <row r="6266" spans="39:41" x14ac:dyDescent="0.25">
      <c r="AM6266" s="2">
        <v>6263</v>
      </c>
      <c r="AN6266" s="33">
        <v>1.565364450259988E-2</v>
      </c>
      <c r="AO6266" s="33">
        <v>1.5355896342782636E-3</v>
      </c>
    </row>
    <row r="6267" spans="39:41" x14ac:dyDescent="0.25">
      <c r="AM6267" s="2">
        <v>6264</v>
      </c>
      <c r="AN6267" s="33">
        <v>1.2155398287244542E-2</v>
      </c>
      <c r="AO6267" s="33">
        <v>1.1579161040572547E-3</v>
      </c>
    </row>
    <row r="6268" spans="39:41" x14ac:dyDescent="0.25">
      <c r="AM6268" s="2">
        <v>6265</v>
      </c>
      <c r="AN6268" s="33">
        <v>1.0021320994727426E-2</v>
      </c>
      <c r="AO6268" s="33">
        <v>7.1644938384976596E-4</v>
      </c>
    </row>
    <row r="6269" spans="39:41" x14ac:dyDescent="0.25">
      <c r="AM6269" s="2">
        <v>6266</v>
      </c>
      <c r="AN6269" s="33">
        <v>1.212382796654417E-2</v>
      </c>
      <c r="AO6269" s="33">
        <v>1.0317525129486952E-3</v>
      </c>
    </row>
    <row r="6270" spans="39:41" x14ac:dyDescent="0.25">
      <c r="AM6270" s="2">
        <v>6267</v>
      </c>
      <c r="AN6270" s="33">
        <v>1.2101306987554978E-2</v>
      </c>
      <c r="AO6270" s="33">
        <v>7.7211218810054744E-4</v>
      </c>
    </row>
    <row r="6271" spans="39:41" x14ac:dyDescent="0.25">
      <c r="AM6271" s="2">
        <v>6268</v>
      </c>
      <c r="AN6271" s="33">
        <v>1.4661033059953208E-2</v>
      </c>
      <c r="AO6271" s="33">
        <v>1.319262845004342E-3</v>
      </c>
    </row>
    <row r="6272" spans="39:41" x14ac:dyDescent="0.25">
      <c r="AM6272" s="2">
        <v>6269</v>
      </c>
      <c r="AN6272" s="33">
        <v>1.0727732776086031E-2</v>
      </c>
      <c r="AO6272" s="33">
        <v>5.4201657167221682E-4</v>
      </c>
    </row>
    <row r="6273" spans="39:41" x14ac:dyDescent="0.25">
      <c r="AM6273" s="2">
        <v>6270</v>
      </c>
      <c r="AN6273" s="33">
        <v>1.0402761968796368E-2</v>
      </c>
      <c r="AO6273" s="33">
        <v>5.9770037233364292E-4</v>
      </c>
    </row>
    <row r="6274" spans="39:41" x14ac:dyDescent="0.25">
      <c r="AM6274" s="2">
        <v>6271</v>
      </c>
      <c r="AN6274" s="33">
        <v>9.9955193560261283E-3</v>
      </c>
      <c r="AO6274" s="33">
        <v>6.3907336265033607E-4</v>
      </c>
    </row>
    <row r="6275" spans="39:41" x14ac:dyDescent="0.25">
      <c r="AM6275" s="2">
        <v>6272</v>
      </c>
      <c r="AN6275" s="33">
        <v>1.253429370774768E-2</v>
      </c>
      <c r="AO6275" s="33">
        <v>7.9428809265975691E-4</v>
      </c>
    </row>
    <row r="6276" spans="39:41" x14ac:dyDescent="0.25">
      <c r="AM6276" s="2">
        <v>6273</v>
      </c>
      <c r="AN6276" s="33">
        <v>1.0924515763668643E-2</v>
      </c>
      <c r="AO6276" s="33">
        <v>4.2276156580690991E-4</v>
      </c>
    </row>
    <row r="6277" spans="39:41" x14ac:dyDescent="0.25">
      <c r="AM6277" s="2">
        <v>6274</v>
      </c>
      <c r="AN6277" s="33">
        <v>1.2370327323719043E-2</v>
      </c>
      <c r="AO6277" s="33">
        <v>1.0423638936553621E-3</v>
      </c>
    </row>
    <row r="6278" spans="39:41" x14ac:dyDescent="0.25">
      <c r="AM6278" s="2">
        <v>6275</v>
      </c>
      <c r="AN6278" s="33">
        <v>1.0640885738493189E-2</v>
      </c>
      <c r="AO6278" s="33">
        <v>5.3852125066189882E-4</v>
      </c>
    </row>
    <row r="6279" spans="39:41" x14ac:dyDescent="0.25">
      <c r="AM6279" s="2">
        <v>6276</v>
      </c>
      <c r="AN6279" s="33">
        <v>1.0407124630038365E-2</v>
      </c>
      <c r="AO6279" s="33">
        <v>9.2845080725653033E-4</v>
      </c>
    </row>
    <row r="6280" spans="39:41" x14ac:dyDescent="0.25">
      <c r="AM6280" s="2">
        <v>6277</v>
      </c>
      <c r="AN6280" s="33">
        <v>1.2203788231272595E-2</v>
      </c>
      <c r="AO6280" s="33">
        <v>9.9941554946590466E-4</v>
      </c>
    </row>
    <row r="6281" spans="39:41" x14ac:dyDescent="0.25">
      <c r="AM6281" s="2">
        <v>6278</v>
      </c>
      <c r="AN6281" s="33">
        <v>1.3297446043647283E-2</v>
      </c>
      <c r="AO6281" s="33">
        <v>1.1532510328055676E-3</v>
      </c>
    </row>
    <row r="6282" spans="39:41" x14ac:dyDescent="0.25">
      <c r="AM6282" s="2">
        <v>6279</v>
      </c>
      <c r="AN6282" s="33">
        <v>9.5810501429774049E-3</v>
      </c>
      <c r="AO6282" s="33">
        <v>5.9012958851959569E-4</v>
      </c>
    </row>
    <row r="6283" spans="39:41" x14ac:dyDescent="0.25">
      <c r="AM6283" s="2">
        <v>6280</v>
      </c>
      <c r="AN6283" s="33">
        <v>1.1278026609584445E-2</v>
      </c>
      <c r="AO6283" s="33">
        <v>1.1767243896065418E-3</v>
      </c>
    </row>
    <row r="6284" spans="39:41" x14ac:dyDescent="0.25">
      <c r="AM6284" s="2">
        <v>6281</v>
      </c>
      <c r="AN6284" s="33">
        <v>1.3368213767467326E-2</v>
      </c>
      <c r="AO6284" s="33">
        <v>8.9661700253911567E-4</v>
      </c>
    </row>
    <row r="6285" spans="39:41" x14ac:dyDescent="0.25">
      <c r="AM6285" s="2">
        <v>6282</v>
      </c>
      <c r="AN6285" s="33">
        <v>1.1853294901518189E-2</v>
      </c>
      <c r="AO6285" s="33">
        <v>8.2431892824555832E-4</v>
      </c>
    </row>
    <row r="6286" spans="39:41" x14ac:dyDescent="0.25">
      <c r="AM6286" s="2">
        <v>6283</v>
      </c>
      <c r="AN6286" s="33">
        <v>1.2676067988890205E-2</v>
      </c>
      <c r="AO6286" s="33">
        <v>7.689685301816517E-4</v>
      </c>
    </row>
    <row r="6287" spans="39:41" x14ac:dyDescent="0.25">
      <c r="AM6287" s="2">
        <v>6284</v>
      </c>
      <c r="AN6287" s="33">
        <v>1.1442848716835617E-2</v>
      </c>
      <c r="AO6287" s="33">
        <v>9.5639910148533243E-4</v>
      </c>
    </row>
    <row r="6288" spans="39:41" x14ac:dyDescent="0.25">
      <c r="AM6288" s="2">
        <v>6285</v>
      </c>
      <c r="AN6288" s="33">
        <v>1.1695256464131049E-2</v>
      </c>
      <c r="AO6288" s="33">
        <v>6.6741202005118851E-4</v>
      </c>
    </row>
    <row r="6289" spans="39:41" x14ac:dyDescent="0.25">
      <c r="AM6289" s="2">
        <v>6286</v>
      </c>
      <c r="AN6289" s="33">
        <v>1.035246417968894E-2</v>
      </c>
      <c r="AO6289" s="33">
        <v>9.2963503496719716E-4</v>
      </c>
    </row>
    <row r="6290" spans="39:41" x14ac:dyDescent="0.25">
      <c r="AM6290" s="2">
        <v>6287</v>
      </c>
      <c r="AN6290" s="33">
        <v>9.5919224505843087E-3</v>
      </c>
      <c r="AO6290" s="33">
        <v>4.8527754762857421E-4</v>
      </c>
    </row>
    <row r="6291" spans="39:41" x14ac:dyDescent="0.25">
      <c r="AM6291" s="2">
        <v>6288</v>
      </c>
      <c r="AN6291" s="33">
        <v>1.2965530588699191E-2</v>
      </c>
      <c r="AO6291" s="33">
        <v>1.0802146335117525E-3</v>
      </c>
    </row>
    <row r="6292" spans="39:41" x14ac:dyDescent="0.25">
      <c r="AM6292" s="2">
        <v>6289</v>
      </c>
      <c r="AN6292" s="33">
        <v>1.2908761520825825E-2</v>
      </c>
      <c r="AO6292" s="33">
        <v>4.2352892597331306E-4</v>
      </c>
    </row>
    <row r="6293" spans="39:41" x14ac:dyDescent="0.25">
      <c r="AM6293" s="2">
        <v>6290</v>
      </c>
      <c r="AN6293" s="33">
        <v>1.3646578165932228E-2</v>
      </c>
      <c r="AO6293" s="33">
        <v>1.4093014483634052E-3</v>
      </c>
    </row>
    <row r="6294" spans="39:41" x14ac:dyDescent="0.25">
      <c r="AM6294" s="2">
        <v>6291</v>
      </c>
      <c r="AN6294" s="33">
        <v>1.2414737797292526E-2</v>
      </c>
      <c r="AO6294" s="33">
        <v>1.1459683300293084E-3</v>
      </c>
    </row>
    <row r="6295" spans="39:41" x14ac:dyDescent="0.25">
      <c r="AM6295" s="2">
        <v>6292</v>
      </c>
      <c r="AN6295" s="33">
        <v>1.3131219014903614E-2</v>
      </c>
      <c r="AO6295" s="33">
        <v>1.2007368472213228E-3</v>
      </c>
    </row>
    <row r="6296" spans="39:41" x14ac:dyDescent="0.25">
      <c r="AM6296" s="2">
        <v>6293</v>
      </c>
      <c r="AN6296" s="33">
        <v>1.0009359031591647E-2</v>
      </c>
      <c r="AO6296" s="33">
        <v>7.7472849749775342E-4</v>
      </c>
    </row>
    <row r="6297" spans="39:41" x14ac:dyDescent="0.25">
      <c r="AM6297" s="2">
        <v>6294</v>
      </c>
      <c r="AN6297" s="33">
        <v>9.6822798746951863E-3</v>
      </c>
      <c r="AO6297" s="33">
        <v>6.3994700384403368E-4</v>
      </c>
    </row>
    <row r="6298" spans="39:41" x14ac:dyDescent="0.25">
      <c r="AM6298" s="2">
        <v>6295</v>
      </c>
      <c r="AN6298" s="33">
        <v>1.1528327500814752E-2</v>
      </c>
      <c r="AO6298" s="33">
        <v>8.0614478672442894E-4</v>
      </c>
    </row>
    <row r="6299" spans="39:41" x14ac:dyDescent="0.25">
      <c r="AM6299" s="2">
        <v>6296</v>
      </c>
      <c r="AN6299" s="33">
        <v>1.3110221934902673E-2</v>
      </c>
      <c r="AO6299" s="33">
        <v>1.0144887640917142E-3</v>
      </c>
    </row>
    <row r="6300" spans="39:41" x14ac:dyDescent="0.25">
      <c r="AM6300" s="2">
        <v>6297</v>
      </c>
      <c r="AN6300" s="33">
        <v>1.0497551613426066E-2</v>
      </c>
      <c r="AO6300" s="33">
        <v>8.8506839658939829E-4</v>
      </c>
    </row>
    <row r="6301" spans="39:41" x14ac:dyDescent="0.25">
      <c r="AM6301" s="2">
        <v>6298</v>
      </c>
      <c r="AN6301" s="33">
        <v>1.3055734045577576E-2</v>
      </c>
      <c r="AO6301" s="33">
        <v>5.4364210546267537E-4</v>
      </c>
    </row>
    <row r="6302" spans="39:41" x14ac:dyDescent="0.25">
      <c r="AM6302" s="2">
        <v>6299</v>
      </c>
      <c r="AN6302" s="33">
        <v>1.2287617620540104E-2</v>
      </c>
      <c r="AO6302" s="33">
        <v>1.1945996722720158E-3</v>
      </c>
    </row>
    <row r="6303" spans="39:41" x14ac:dyDescent="0.25">
      <c r="AM6303" s="2">
        <v>6300</v>
      </c>
      <c r="AN6303" s="33">
        <v>9.5804403126072135E-3</v>
      </c>
      <c r="AO6303" s="33">
        <v>3.3825579556860132E-4</v>
      </c>
    </row>
    <row r="6304" spans="39:41" x14ac:dyDescent="0.25">
      <c r="AM6304" s="2">
        <v>6301</v>
      </c>
      <c r="AN6304" s="33">
        <v>1.0336866065406944E-2</v>
      </c>
      <c r="AO6304" s="33">
        <v>7.8855702296779439E-4</v>
      </c>
    </row>
    <row r="6305" spans="39:41" x14ac:dyDescent="0.25">
      <c r="AM6305" s="2">
        <v>6302</v>
      </c>
      <c r="AN6305" s="33">
        <v>1.2032207053877307E-2</v>
      </c>
      <c r="AO6305" s="33">
        <v>8.1486604410204279E-4</v>
      </c>
    </row>
    <row r="6306" spans="39:41" x14ac:dyDescent="0.25">
      <c r="AM6306" s="2">
        <v>6303</v>
      </c>
      <c r="AN6306" s="33">
        <v>1.3746055929064841E-2</v>
      </c>
      <c r="AO6306" s="33">
        <v>1.214743963765809E-3</v>
      </c>
    </row>
    <row r="6307" spans="39:41" x14ac:dyDescent="0.25">
      <c r="AM6307" s="2">
        <v>6304</v>
      </c>
      <c r="AN6307" s="33">
        <v>1.1395646169875288E-2</v>
      </c>
      <c r="AO6307" s="33">
        <v>1.0414321272382676E-3</v>
      </c>
    </row>
    <row r="6308" spans="39:41" x14ac:dyDescent="0.25">
      <c r="AM6308" s="2">
        <v>6305</v>
      </c>
      <c r="AN6308" s="33">
        <v>1.0913119370039288E-2</v>
      </c>
      <c r="AO6308" s="33">
        <v>1.0594839200868042E-3</v>
      </c>
    </row>
    <row r="6309" spans="39:41" x14ac:dyDescent="0.25">
      <c r="AM6309" s="2">
        <v>6306</v>
      </c>
      <c r="AN6309" s="33">
        <v>1.1954413768787966E-2</v>
      </c>
      <c r="AO6309" s="33">
        <v>3.9629742132498341E-4</v>
      </c>
    </row>
    <row r="6310" spans="39:41" x14ac:dyDescent="0.25">
      <c r="AM6310" s="2">
        <v>6307</v>
      </c>
      <c r="AN6310" s="33">
        <v>1.2749127646954453E-2</v>
      </c>
      <c r="AO6310" s="33">
        <v>1.1507336058157308E-3</v>
      </c>
    </row>
    <row r="6311" spans="39:41" x14ac:dyDescent="0.25">
      <c r="AM6311" s="2">
        <v>6308</v>
      </c>
      <c r="AN6311" s="33">
        <v>1.2828946579046952E-2</v>
      </c>
      <c r="AO6311" s="33">
        <v>1.0696706462179797E-3</v>
      </c>
    </row>
    <row r="6312" spans="39:41" x14ac:dyDescent="0.25">
      <c r="AM6312" s="2">
        <v>6309</v>
      </c>
      <c r="AN6312" s="33">
        <v>8.4210897504228537E-3</v>
      </c>
      <c r="AO6312" s="33">
        <v>6.1262999956263758E-4</v>
      </c>
    </row>
    <row r="6313" spans="39:41" x14ac:dyDescent="0.25">
      <c r="AM6313" s="2">
        <v>6310</v>
      </c>
      <c r="AN6313" s="33">
        <v>1.2567731919750875E-2</v>
      </c>
      <c r="AO6313" s="33">
        <v>9.021524869167538E-4</v>
      </c>
    </row>
    <row r="6314" spans="39:41" x14ac:dyDescent="0.25">
      <c r="AM6314" s="2">
        <v>6311</v>
      </c>
      <c r="AN6314" s="33">
        <v>1.13609271001225E-2</v>
      </c>
      <c r="AO6314" s="33">
        <v>1.148951538012134E-3</v>
      </c>
    </row>
    <row r="6315" spans="39:41" x14ac:dyDescent="0.25">
      <c r="AM6315" s="2">
        <v>6312</v>
      </c>
      <c r="AN6315" s="33">
        <v>1.4047291550818332E-2</v>
      </c>
      <c r="AO6315" s="33">
        <v>1.1856535922601746E-3</v>
      </c>
    </row>
    <row r="6316" spans="39:41" x14ac:dyDescent="0.25">
      <c r="AM6316" s="2">
        <v>6313</v>
      </c>
      <c r="AN6316" s="33">
        <v>1.0057667288215191E-2</v>
      </c>
      <c r="AO6316" s="33">
        <v>4.0691842695801358E-4</v>
      </c>
    </row>
    <row r="6317" spans="39:41" x14ac:dyDescent="0.25">
      <c r="AM6317" s="2">
        <v>6314</v>
      </c>
      <c r="AN6317" s="33">
        <v>1.0963378268676634E-2</v>
      </c>
      <c r="AO6317" s="33">
        <v>7.0066066825377716E-4</v>
      </c>
    </row>
    <row r="6318" spans="39:41" x14ac:dyDescent="0.25">
      <c r="AM6318" s="2">
        <v>6315</v>
      </c>
      <c r="AN6318" s="33">
        <v>1.0179045688198893E-2</v>
      </c>
      <c r="AO6318" s="33">
        <v>5.406237184844545E-4</v>
      </c>
    </row>
    <row r="6319" spans="39:41" x14ac:dyDescent="0.25">
      <c r="AM6319" s="2">
        <v>6316</v>
      </c>
      <c r="AN6319" s="33">
        <v>1.2994794464031621E-2</v>
      </c>
      <c r="AO6319" s="33">
        <v>1.1549015519806492E-3</v>
      </c>
    </row>
    <row r="6320" spans="39:41" x14ac:dyDescent="0.25">
      <c r="AM6320" s="2">
        <v>6317</v>
      </c>
      <c r="AN6320" s="33">
        <v>1.0095257237419204E-2</v>
      </c>
      <c r="AO6320" s="33">
        <v>5.5133029181159078E-4</v>
      </c>
    </row>
    <row r="6321" spans="39:41" x14ac:dyDescent="0.25">
      <c r="AM6321" s="2">
        <v>6318</v>
      </c>
      <c r="AN6321" s="33">
        <v>1.2483000454102959E-2</v>
      </c>
      <c r="AO6321" s="33">
        <v>1.0461239185200941E-3</v>
      </c>
    </row>
    <row r="6322" spans="39:41" x14ac:dyDescent="0.25">
      <c r="AM6322" s="2">
        <v>6319</v>
      </c>
      <c r="AN6322" s="33">
        <v>1.3771611131696523E-2</v>
      </c>
      <c r="AO6322" s="33">
        <v>1.1890187262499966E-3</v>
      </c>
    </row>
    <row r="6323" spans="39:41" x14ac:dyDescent="0.25">
      <c r="AM6323" s="2">
        <v>6320</v>
      </c>
      <c r="AN6323" s="33">
        <v>1.160299122759129E-2</v>
      </c>
      <c r="AO6323" s="33">
        <v>1.0019894963210832E-3</v>
      </c>
    </row>
    <row r="6324" spans="39:41" x14ac:dyDescent="0.25">
      <c r="AM6324" s="2">
        <v>6321</v>
      </c>
      <c r="AN6324" s="33">
        <v>1.1284050988772583E-2</v>
      </c>
      <c r="AO6324" s="33">
        <v>5.8724465788792361E-4</v>
      </c>
    </row>
    <row r="6325" spans="39:41" x14ac:dyDescent="0.25">
      <c r="AM6325" s="2">
        <v>6322</v>
      </c>
      <c r="AN6325" s="33">
        <v>1.1232685140072593E-2</v>
      </c>
      <c r="AO6325" s="33">
        <v>1.8956214699831548E-4</v>
      </c>
    </row>
    <row r="6326" spans="39:41" x14ac:dyDescent="0.25">
      <c r="AM6326" s="2">
        <v>6323</v>
      </c>
      <c r="AN6326" s="33">
        <v>1.2648354260933126E-2</v>
      </c>
      <c r="AO6326" s="33">
        <v>1.0267846361016772E-3</v>
      </c>
    </row>
    <row r="6327" spans="39:41" x14ac:dyDescent="0.25">
      <c r="AM6327" s="2">
        <v>6324</v>
      </c>
      <c r="AN6327" s="33">
        <v>1.1931696674048291E-2</v>
      </c>
      <c r="AO6327" s="33">
        <v>6.2576000866730261E-4</v>
      </c>
    </row>
    <row r="6328" spans="39:41" x14ac:dyDescent="0.25">
      <c r="AM6328" s="2">
        <v>6325</v>
      </c>
      <c r="AN6328" s="33">
        <v>1.2863877250539177E-2</v>
      </c>
      <c r="AO6328" s="33">
        <v>1.0272070539501369E-3</v>
      </c>
    </row>
    <row r="6329" spans="39:41" x14ac:dyDescent="0.25">
      <c r="AM6329" s="2">
        <v>6326</v>
      </c>
      <c r="AN6329" s="33">
        <v>9.9957452514938764E-3</v>
      </c>
      <c r="AO6329" s="33">
        <v>4.2498156645822988E-4</v>
      </c>
    </row>
    <row r="6330" spans="39:41" x14ac:dyDescent="0.25">
      <c r="AM6330" s="2">
        <v>6327</v>
      </c>
      <c r="AN6330" s="33">
        <v>1.0238404398763119E-2</v>
      </c>
      <c r="AO6330" s="33">
        <v>8.9507811856926324E-4</v>
      </c>
    </row>
    <row r="6331" spans="39:41" x14ac:dyDescent="0.25">
      <c r="AM6331" s="2">
        <v>6328</v>
      </c>
      <c r="AN6331" s="33">
        <v>1.5731349751996641E-2</v>
      </c>
      <c r="AO6331" s="33">
        <v>1.1505923531601491E-3</v>
      </c>
    </row>
    <row r="6332" spans="39:41" x14ac:dyDescent="0.25">
      <c r="AM6332" s="2">
        <v>6329</v>
      </c>
      <c r="AN6332" s="33">
        <v>1.152177604837544E-2</v>
      </c>
      <c r="AO6332" s="33">
        <v>9.7073597750178201E-4</v>
      </c>
    </row>
    <row r="6333" spans="39:41" x14ac:dyDescent="0.25">
      <c r="AM6333" s="2">
        <v>6330</v>
      </c>
      <c r="AN6333" s="33">
        <v>1.0639271255693755E-2</v>
      </c>
      <c r="AO6333" s="33">
        <v>7.6650736375974253E-4</v>
      </c>
    </row>
    <row r="6334" spans="39:41" x14ac:dyDescent="0.25">
      <c r="AM6334" s="2">
        <v>6331</v>
      </c>
      <c r="AN6334" s="33">
        <v>1.4252831202638898E-2</v>
      </c>
      <c r="AO6334" s="33">
        <v>1.3600780176406455E-3</v>
      </c>
    </row>
    <row r="6335" spans="39:41" x14ac:dyDescent="0.25">
      <c r="AM6335" s="2">
        <v>6332</v>
      </c>
      <c r="AN6335" s="33">
        <v>1.0289690308832861E-2</v>
      </c>
      <c r="AO6335" s="33">
        <v>7.0722799163279307E-4</v>
      </c>
    </row>
    <row r="6336" spans="39:41" x14ac:dyDescent="0.25">
      <c r="AM6336" s="2">
        <v>6333</v>
      </c>
      <c r="AN6336" s="33">
        <v>1.4802277412922832E-2</v>
      </c>
      <c r="AO6336" s="33">
        <v>1.2203836951579581E-3</v>
      </c>
    </row>
    <row r="6337" spans="39:41" x14ac:dyDescent="0.25">
      <c r="AM6337" s="2">
        <v>6334</v>
      </c>
      <c r="AN6337" s="33">
        <v>9.1809134577995732E-3</v>
      </c>
      <c r="AO6337" s="33">
        <v>6.435356377180396E-4</v>
      </c>
    </row>
    <row r="6338" spans="39:41" x14ac:dyDescent="0.25">
      <c r="AM6338" s="2">
        <v>6335</v>
      </c>
      <c r="AN6338" s="33">
        <v>1.0441627886222419E-2</v>
      </c>
      <c r="AO6338" s="33">
        <v>8.5390201906495244E-4</v>
      </c>
    </row>
    <row r="6339" spans="39:41" x14ac:dyDescent="0.25">
      <c r="AM6339" s="2">
        <v>6336</v>
      </c>
      <c r="AN6339" s="33">
        <v>1.5082667751530833E-2</v>
      </c>
      <c r="AO6339" s="33">
        <v>1.4723805996970372E-3</v>
      </c>
    </row>
    <row r="6340" spans="39:41" x14ac:dyDescent="0.25">
      <c r="AM6340" s="2">
        <v>6337</v>
      </c>
      <c r="AN6340" s="33">
        <v>1.2352265067382377E-2</v>
      </c>
      <c r="AO6340" s="33">
        <v>1.1876212423094837E-3</v>
      </c>
    </row>
    <row r="6341" spans="39:41" x14ac:dyDescent="0.25">
      <c r="AM6341" s="2">
        <v>6338</v>
      </c>
      <c r="AN6341" s="33">
        <v>1.0461714087243787E-2</v>
      </c>
      <c r="AO6341" s="33">
        <v>3.2749566596691439E-4</v>
      </c>
    </row>
    <row r="6342" spans="39:41" x14ac:dyDescent="0.25">
      <c r="AM6342" s="2">
        <v>6339</v>
      </c>
      <c r="AN6342" s="33">
        <v>1.1479152773257879E-2</v>
      </c>
      <c r="AO6342" s="33">
        <v>7.7780488304164761E-4</v>
      </c>
    </row>
    <row r="6343" spans="39:41" x14ac:dyDescent="0.25">
      <c r="AM6343" s="2">
        <v>6340</v>
      </c>
      <c r="AN6343" s="33">
        <v>1.1343161796563936E-2</v>
      </c>
      <c r="AO6343" s="33">
        <v>8.5417199241913312E-4</v>
      </c>
    </row>
    <row r="6344" spans="39:41" x14ac:dyDescent="0.25">
      <c r="AM6344" s="2">
        <v>6341</v>
      </c>
      <c r="AN6344" s="33">
        <v>1.2092159792061049E-2</v>
      </c>
      <c r="AO6344" s="33">
        <v>1.1121319431107062E-3</v>
      </c>
    </row>
    <row r="6345" spans="39:41" x14ac:dyDescent="0.25">
      <c r="AM6345" s="2">
        <v>6342</v>
      </c>
      <c r="AN6345" s="33">
        <v>1.0763634727596871E-2</v>
      </c>
      <c r="AO6345" s="33">
        <v>6.4907045325198224E-4</v>
      </c>
    </row>
    <row r="6346" spans="39:41" x14ac:dyDescent="0.25">
      <c r="AM6346" s="2">
        <v>6343</v>
      </c>
      <c r="AN6346" s="33">
        <v>1.0030332455189226E-2</v>
      </c>
      <c r="AO6346" s="33">
        <v>9.5045449514049034E-4</v>
      </c>
    </row>
    <row r="6347" spans="39:41" x14ac:dyDescent="0.25">
      <c r="AM6347" s="2">
        <v>6344</v>
      </c>
      <c r="AN6347" s="33">
        <v>1.152040243123903E-2</v>
      </c>
      <c r="AO6347" s="33">
        <v>1.0918472677827393E-3</v>
      </c>
    </row>
    <row r="6348" spans="39:41" x14ac:dyDescent="0.25">
      <c r="AM6348" s="2">
        <v>6345</v>
      </c>
      <c r="AN6348" s="33">
        <v>1.5363441335289723E-2</v>
      </c>
      <c r="AO6348" s="33">
        <v>1.3333038065373188E-3</v>
      </c>
    </row>
    <row r="6349" spans="39:41" x14ac:dyDescent="0.25">
      <c r="AM6349" s="2">
        <v>6346</v>
      </c>
      <c r="AN6349" s="33">
        <v>8.5827550230093402E-3</v>
      </c>
      <c r="AO6349" s="33">
        <v>5.6504148292245426E-4</v>
      </c>
    </row>
    <row r="6350" spans="39:41" x14ac:dyDescent="0.25">
      <c r="AM6350" s="2">
        <v>6347</v>
      </c>
      <c r="AN6350" s="33">
        <v>1.298017724512443E-2</v>
      </c>
      <c r="AO6350" s="33">
        <v>1.1816010095972839E-3</v>
      </c>
    </row>
    <row r="6351" spans="39:41" x14ac:dyDescent="0.25">
      <c r="AM6351" s="2">
        <v>6348</v>
      </c>
      <c r="AN6351" s="33">
        <v>9.9191523310987496E-3</v>
      </c>
      <c r="AO6351" s="33">
        <v>6.9449638715368103E-4</v>
      </c>
    </row>
    <row r="6352" spans="39:41" x14ac:dyDescent="0.25">
      <c r="AM6352" s="2">
        <v>6349</v>
      </c>
      <c r="AN6352" s="33">
        <v>1.1419034433481299E-2</v>
      </c>
      <c r="AO6352" s="33">
        <v>6.4076860632245177E-4</v>
      </c>
    </row>
    <row r="6353" spans="39:41" x14ac:dyDescent="0.25">
      <c r="AM6353" s="2">
        <v>6350</v>
      </c>
      <c r="AN6353" s="33">
        <v>1.0806069968172714E-2</v>
      </c>
      <c r="AO6353" s="33">
        <v>9.0744405783062417E-4</v>
      </c>
    </row>
    <row r="6354" spans="39:41" x14ac:dyDescent="0.25">
      <c r="AM6354" s="2">
        <v>6351</v>
      </c>
      <c r="AN6354" s="33">
        <v>1.1531528572240851E-2</v>
      </c>
      <c r="AO6354" s="33">
        <v>8.8923196416313072E-4</v>
      </c>
    </row>
    <row r="6355" spans="39:41" x14ac:dyDescent="0.25">
      <c r="AM6355" s="2">
        <v>6352</v>
      </c>
      <c r="AN6355" s="33">
        <v>1.0460313198506141E-2</v>
      </c>
      <c r="AO6355" s="33">
        <v>1.6117252581895875E-4</v>
      </c>
    </row>
    <row r="6356" spans="39:41" x14ac:dyDescent="0.25">
      <c r="AM6356" s="2">
        <v>6353</v>
      </c>
      <c r="AN6356" s="33">
        <v>1.439343560349105E-2</v>
      </c>
      <c r="AO6356" s="33">
        <v>9.9499532763258668E-4</v>
      </c>
    </row>
    <row r="6357" spans="39:41" x14ac:dyDescent="0.25">
      <c r="AM6357" s="2">
        <v>6354</v>
      </c>
      <c r="AN6357" s="33">
        <v>1.2677469535371794E-2</v>
      </c>
      <c r="AO6357" s="33">
        <v>1.1825430105057674E-3</v>
      </c>
    </row>
    <row r="6358" spans="39:41" x14ac:dyDescent="0.25">
      <c r="AM6358" s="2">
        <v>6355</v>
      </c>
      <c r="AN6358" s="33">
        <v>1.0778912679098527E-2</v>
      </c>
      <c r="AO6358" s="33">
        <v>4.4219842351018047E-4</v>
      </c>
    </row>
    <row r="6359" spans="39:41" x14ac:dyDescent="0.25">
      <c r="AM6359" s="2">
        <v>6356</v>
      </c>
      <c r="AN6359" s="33">
        <v>8.9667311147413695E-3</v>
      </c>
      <c r="AO6359" s="33">
        <v>5.3073138247762542E-4</v>
      </c>
    </row>
    <row r="6360" spans="39:41" x14ac:dyDescent="0.25">
      <c r="AM6360" s="2">
        <v>6357</v>
      </c>
      <c r="AN6360" s="33">
        <v>1.2392885499431279E-2</v>
      </c>
      <c r="AO6360" s="33">
        <v>9.7669620306416356E-4</v>
      </c>
    </row>
    <row r="6361" spans="39:41" x14ac:dyDescent="0.25">
      <c r="AM6361" s="2">
        <v>6358</v>
      </c>
      <c r="AN6361" s="33">
        <v>1.030494091228489E-2</v>
      </c>
      <c r="AO6361" s="33">
        <v>7.6592200825828386E-4</v>
      </c>
    </row>
    <row r="6362" spans="39:41" x14ac:dyDescent="0.25">
      <c r="AM6362" s="2">
        <v>6359</v>
      </c>
      <c r="AN6362" s="33">
        <v>1.0689360822684181E-2</v>
      </c>
      <c r="AO6362" s="33">
        <v>5.8669847467403323E-4</v>
      </c>
    </row>
    <row r="6363" spans="39:41" x14ac:dyDescent="0.25">
      <c r="AM6363" s="2">
        <v>6360</v>
      </c>
      <c r="AN6363" s="33">
        <v>1.1091153220365109E-2</v>
      </c>
      <c r="AO6363" s="33">
        <v>6.7911946189476609E-4</v>
      </c>
    </row>
    <row r="6364" spans="39:41" x14ac:dyDescent="0.25">
      <c r="AM6364" s="2">
        <v>6361</v>
      </c>
      <c r="AN6364" s="33">
        <v>1.1757536392592225E-2</v>
      </c>
      <c r="AO6364" s="33">
        <v>1.2591695688904023E-3</v>
      </c>
    </row>
    <row r="6365" spans="39:41" x14ac:dyDescent="0.25">
      <c r="AM6365" s="2">
        <v>6362</v>
      </c>
      <c r="AN6365" s="33">
        <v>1.3369619429276575E-2</v>
      </c>
      <c r="AO6365" s="33">
        <v>1.1061809543220125E-3</v>
      </c>
    </row>
    <row r="6366" spans="39:41" x14ac:dyDescent="0.25">
      <c r="AM6366" s="2">
        <v>6363</v>
      </c>
      <c r="AN6366" s="33">
        <v>1.1364947140253058E-2</v>
      </c>
      <c r="AO6366" s="33">
        <v>4.3445245620172114E-4</v>
      </c>
    </row>
    <row r="6367" spans="39:41" x14ac:dyDescent="0.25">
      <c r="AM6367" s="2">
        <v>6364</v>
      </c>
      <c r="AN6367" s="33">
        <v>1.1573235058722422E-2</v>
      </c>
      <c r="AO6367" s="33">
        <v>1.0359133924870804E-3</v>
      </c>
    </row>
    <row r="6368" spans="39:41" x14ac:dyDescent="0.25">
      <c r="AM6368" s="2">
        <v>6365</v>
      </c>
      <c r="AN6368" s="33">
        <v>1.3260637577335086E-2</v>
      </c>
      <c r="AO6368" s="33">
        <v>8.0922207814153931E-4</v>
      </c>
    </row>
    <row r="6369" spans="39:41" x14ac:dyDescent="0.25">
      <c r="AM6369" s="2">
        <v>6366</v>
      </c>
      <c r="AN6369" s="33">
        <v>1.0225628977466653E-2</v>
      </c>
      <c r="AO6369" s="33">
        <v>7.4820607658959194E-4</v>
      </c>
    </row>
    <row r="6370" spans="39:41" x14ac:dyDescent="0.25">
      <c r="AM6370" s="2">
        <v>6367</v>
      </c>
      <c r="AN6370" s="33">
        <v>1.2064738594973616E-2</v>
      </c>
      <c r="AO6370" s="33">
        <v>6.6202870529111766E-4</v>
      </c>
    </row>
    <row r="6371" spans="39:41" x14ac:dyDescent="0.25">
      <c r="AM6371" s="2">
        <v>6368</v>
      </c>
      <c r="AN6371" s="33">
        <v>9.4337627117464153E-3</v>
      </c>
      <c r="AO6371" s="33">
        <v>8.2450446112513167E-4</v>
      </c>
    </row>
    <row r="6372" spans="39:41" x14ac:dyDescent="0.25">
      <c r="AM6372" s="2">
        <v>6369</v>
      </c>
      <c r="AN6372" s="33">
        <v>1.1374538153847334E-2</v>
      </c>
      <c r="AO6372" s="33">
        <v>4.1947274812877372E-4</v>
      </c>
    </row>
    <row r="6373" spans="39:41" x14ac:dyDescent="0.25">
      <c r="AM6373" s="2">
        <v>6370</v>
      </c>
      <c r="AN6373" s="33">
        <v>1.1237170269306856E-2</v>
      </c>
      <c r="AO6373" s="33">
        <v>8.9821328396308799E-4</v>
      </c>
    </row>
    <row r="6374" spans="39:41" x14ac:dyDescent="0.25">
      <c r="AM6374" s="2">
        <v>6371</v>
      </c>
      <c r="AN6374" s="33">
        <v>1.2619717160428765E-2</v>
      </c>
      <c r="AO6374" s="33">
        <v>6.2609124687389855E-4</v>
      </c>
    </row>
    <row r="6375" spans="39:41" x14ac:dyDescent="0.25">
      <c r="AM6375" s="2">
        <v>6372</v>
      </c>
      <c r="AN6375" s="33">
        <v>1.1048687665474947E-2</v>
      </c>
      <c r="AO6375" s="33">
        <v>9.2604304653076924E-4</v>
      </c>
    </row>
    <row r="6376" spans="39:41" x14ac:dyDescent="0.25">
      <c r="AM6376" s="2">
        <v>6373</v>
      </c>
      <c r="AN6376" s="33">
        <v>1.1600758994250605E-2</v>
      </c>
      <c r="AO6376" s="33">
        <v>1.0989368928770705E-3</v>
      </c>
    </row>
    <row r="6377" spans="39:41" x14ac:dyDescent="0.25">
      <c r="AM6377" s="2">
        <v>6374</v>
      </c>
      <c r="AN6377" s="33">
        <v>1.3767642845385246E-2</v>
      </c>
      <c r="AO6377" s="33">
        <v>1.2037795946149969E-3</v>
      </c>
    </row>
    <row r="6378" spans="39:41" x14ac:dyDescent="0.25">
      <c r="AM6378" s="2">
        <v>6375</v>
      </c>
      <c r="AN6378" s="33">
        <v>1.2359144031171975E-2</v>
      </c>
      <c r="AO6378" s="33">
        <v>1.1591273586534011E-3</v>
      </c>
    </row>
    <row r="6379" spans="39:41" x14ac:dyDescent="0.25">
      <c r="AM6379" s="2">
        <v>6376</v>
      </c>
      <c r="AN6379" s="33">
        <v>1.0384321218218036E-2</v>
      </c>
      <c r="AO6379" s="33">
        <v>3.6250187537951306E-4</v>
      </c>
    </row>
    <row r="6380" spans="39:41" x14ac:dyDescent="0.25">
      <c r="AM6380" s="2">
        <v>6377</v>
      </c>
      <c r="AN6380" s="33">
        <v>1.195064182869293E-2</v>
      </c>
      <c r="AO6380" s="33">
        <v>1.8230014295540816E-4</v>
      </c>
    </row>
    <row r="6381" spans="39:41" x14ac:dyDescent="0.25">
      <c r="AM6381" s="2">
        <v>6378</v>
      </c>
      <c r="AN6381" s="33">
        <v>1.1037208712265692E-2</v>
      </c>
      <c r="AO6381" s="33">
        <v>1.0882458951370496E-3</v>
      </c>
    </row>
    <row r="6382" spans="39:41" x14ac:dyDescent="0.25">
      <c r="AM6382" s="2">
        <v>6379</v>
      </c>
      <c r="AN6382" s="33">
        <v>1.2830885424019205E-2</v>
      </c>
      <c r="AO6382" s="33">
        <v>8.9621760717774942E-4</v>
      </c>
    </row>
    <row r="6383" spans="39:41" x14ac:dyDescent="0.25">
      <c r="AM6383" s="2">
        <v>6380</v>
      </c>
      <c r="AN6383" s="33">
        <v>1.4060558597636571E-2</v>
      </c>
      <c r="AO6383" s="33">
        <v>1.2799524837826723E-3</v>
      </c>
    </row>
    <row r="6384" spans="39:41" x14ac:dyDescent="0.25">
      <c r="AM6384" s="2">
        <v>6381</v>
      </c>
      <c r="AN6384" s="33">
        <v>1.0643612625832136E-2</v>
      </c>
      <c r="AO6384" s="33">
        <v>6.9362505679298569E-4</v>
      </c>
    </row>
    <row r="6385" spans="39:41" x14ac:dyDescent="0.25">
      <c r="AM6385" s="2">
        <v>6382</v>
      </c>
      <c r="AN6385" s="33">
        <v>1.5109581032638347E-2</v>
      </c>
      <c r="AO6385" s="33">
        <v>1.3298265510769416E-3</v>
      </c>
    </row>
    <row r="6386" spans="39:41" x14ac:dyDescent="0.25">
      <c r="AM6386" s="2">
        <v>6383</v>
      </c>
      <c r="AN6386" s="33">
        <v>9.4940177155445008E-3</v>
      </c>
      <c r="AO6386" s="33">
        <v>3.5928074807384128E-4</v>
      </c>
    </row>
    <row r="6387" spans="39:41" x14ac:dyDescent="0.25">
      <c r="AM6387" s="2">
        <v>6384</v>
      </c>
      <c r="AN6387" s="33">
        <v>1.4235477891234385E-2</v>
      </c>
      <c r="AO6387" s="33">
        <v>1.2850145413434485E-3</v>
      </c>
    </row>
    <row r="6388" spans="39:41" x14ac:dyDescent="0.25">
      <c r="AM6388" s="2">
        <v>6385</v>
      </c>
      <c r="AN6388" s="33">
        <v>9.2293999899237863E-3</v>
      </c>
      <c r="AO6388" s="33">
        <v>4.7967608099854436E-4</v>
      </c>
    </row>
    <row r="6389" spans="39:41" x14ac:dyDescent="0.25">
      <c r="AM6389" s="2">
        <v>6386</v>
      </c>
      <c r="AN6389" s="33">
        <v>1.4479909908892577E-2</v>
      </c>
      <c r="AO6389" s="33">
        <v>1.3351257370720466E-3</v>
      </c>
    </row>
    <row r="6390" spans="39:41" x14ac:dyDescent="0.25">
      <c r="AM6390" s="2">
        <v>6387</v>
      </c>
      <c r="AN6390" s="33">
        <v>1.4229296588176617E-2</v>
      </c>
      <c r="AO6390" s="33">
        <v>1.2894751453223191E-3</v>
      </c>
    </row>
    <row r="6391" spans="39:41" x14ac:dyDescent="0.25">
      <c r="AM6391" s="2">
        <v>6388</v>
      </c>
      <c r="AN6391" s="33">
        <v>1.1480429605586977E-2</v>
      </c>
      <c r="AO6391" s="33">
        <v>8.7417096642099256E-4</v>
      </c>
    </row>
    <row r="6392" spans="39:41" x14ac:dyDescent="0.25">
      <c r="AM6392" s="2">
        <v>6389</v>
      </c>
      <c r="AN6392" s="33">
        <v>9.7072310676638782E-3</v>
      </c>
      <c r="AO6392" s="33">
        <v>7.0176656582933092E-4</v>
      </c>
    </row>
    <row r="6393" spans="39:41" x14ac:dyDescent="0.25">
      <c r="AM6393" s="2">
        <v>6390</v>
      </c>
      <c r="AN6393" s="33">
        <v>1.0137428867744722E-2</v>
      </c>
      <c r="AO6393" s="33">
        <v>4.8937957789060643E-4</v>
      </c>
    </row>
    <row r="6394" spans="39:41" x14ac:dyDescent="0.25">
      <c r="AM6394" s="2">
        <v>6391</v>
      </c>
      <c r="AN6394" s="33">
        <v>1.1508393332975379E-2</v>
      </c>
      <c r="AO6394" s="33">
        <v>4.7281952607109486E-4</v>
      </c>
    </row>
    <row r="6395" spans="39:41" x14ac:dyDescent="0.25">
      <c r="AM6395" s="2">
        <v>6392</v>
      </c>
      <c r="AN6395" s="33">
        <v>1.2152674240577113E-2</v>
      </c>
      <c r="AO6395" s="33">
        <v>9.0565112077065231E-4</v>
      </c>
    </row>
    <row r="6396" spans="39:41" x14ac:dyDescent="0.25">
      <c r="AM6396" s="2">
        <v>6393</v>
      </c>
      <c r="AN6396" s="33">
        <v>1.314720515327876E-2</v>
      </c>
      <c r="AO6396" s="33">
        <v>9.7206724684284094E-4</v>
      </c>
    </row>
    <row r="6397" spans="39:41" x14ac:dyDescent="0.25">
      <c r="AM6397" s="2">
        <v>6394</v>
      </c>
      <c r="AN6397" s="33">
        <v>1.6135652658874091E-2</v>
      </c>
      <c r="AO6397" s="33">
        <v>1.5718413131266223E-3</v>
      </c>
    </row>
    <row r="6398" spans="39:41" x14ac:dyDescent="0.25">
      <c r="AM6398" s="2">
        <v>6395</v>
      </c>
      <c r="AN6398" s="33">
        <v>1.3586980740907625E-2</v>
      </c>
      <c r="AO6398" s="33">
        <v>1.1079963550044811E-3</v>
      </c>
    </row>
    <row r="6399" spans="39:41" x14ac:dyDescent="0.25">
      <c r="AM6399" s="2">
        <v>6396</v>
      </c>
      <c r="AN6399" s="33">
        <v>1.2153928236700227E-2</v>
      </c>
      <c r="AO6399" s="33">
        <v>4.8332049627773589E-4</v>
      </c>
    </row>
    <row r="6400" spans="39:41" x14ac:dyDescent="0.25">
      <c r="AM6400" s="2">
        <v>6397</v>
      </c>
      <c r="AN6400" s="33">
        <v>1.2022505853623848E-2</v>
      </c>
      <c r="AO6400" s="33">
        <v>9.128059185633167E-4</v>
      </c>
    </row>
    <row r="6401" spans="39:41" x14ac:dyDescent="0.25">
      <c r="AM6401" s="2">
        <v>6398</v>
      </c>
      <c r="AN6401" s="33">
        <v>1.0087420378424227E-2</v>
      </c>
      <c r="AO6401" s="33">
        <v>9.1431960343843911E-4</v>
      </c>
    </row>
    <row r="6402" spans="39:41" x14ac:dyDescent="0.25">
      <c r="AM6402" s="2">
        <v>6399</v>
      </c>
      <c r="AN6402" s="33">
        <v>9.3732974445521772E-3</v>
      </c>
      <c r="AO6402" s="33">
        <v>6.737467958009499E-4</v>
      </c>
    </row>
    <row r="6403" spans="39:41" x14ac:dyDescent="0.25">
      <c r="AM6403" s="2">
        <v>6400</v>
      </c>
      <c r="AN6403" s="33">
        <v>8.7332416894818406E-3</v>
      </c>
      <c r="AO6403" s="33">
        <v>6.5130237541503942E-4</v>
      </c>
    </row>
    <row r="6404" spans="39:41" x14ac:dyDescent="0.25">
      <c r="AM6404" s="2">
        <v>6401</v>
      </c>
      <c r="AN6404" s="33">
        <v>1.2212465924104824E-2</v>
      </c>
      <c r="AO6404" s="33">
        <v>9.789040169183548E-4</v>
      </c>
    </row>
    <row r="6405" spans="39:41" x14ac:dyDescent="0.25">
      <c r="AM6405" s="2">
        <v>6402</v>
      </c>
      <c r="AN6405" s="33">
        <v>1.2347230023109206E-2</v>
      </c>
      <c r="AO6405" s="33">
        <v>1.1574500948339928E-3</v>
      </c>
    </row>
    <row r="6406" spans="39:41" x14ac:dyDescent="0.25">
      <c r="AM6406" s="2">
        <v>6403</v>
      </c>
      <c r="AN6406" s="33">
        <v>1.2804414460701758E-2</v>
      </c>
      <c r="AO6406" s="33">
        <v>3.7071085925038786E-4</v>
      </c>
    </row>
    <row r="6407" spans="39:41" x14ac:dyDescent="0.25">
      <c r="AM6407" s="2">
        <v>6404</v>
      </c>
      <c r="AN6407" s="33">
        <v>1.260355472439338E-2</v>
      </c>
      <c r="AO6407" s="33">
        <v>9.4445244511529806E-4</v>
      </c>
    </row>
    <row r="6408" spans="39:41" x14ac:dyDescent="0.25">
      <c r="AM6408" s="2">
        <v>6405</v>
      </c>
      <c r="AN6408" s="33">
        <v>1.2616387736296385E-2</v>
      </c>
      <c r="AO6408" s="33">
        <v>8.3140403222755114E-4</v>
      </c>
    </row>
    <row r="6409" spans="39:41" x14ac:dyDescent="0.25">
      <c r="AM6409" s="2">
        <v>6406</v>
      </c>
      <c r="AN6409" s="33">
        <v>1.1108007794912247E-2</v>
      </c>
      <c r="AO6409" s="33">
        <v>8.7097106790646567E-5</v>
      </c>
    </row>
    <row r="6410" spans="39:41" x14ac:dyDescent="0.25">
      <c r="AM6410" s="2">
        <v>6407</v>
      </c>
      <c r="AN6410" s="33">
        <v>1.5339209892773951E-2</v>
      </c>
      <c r="AO6410" s="33">
        <v>1.4478229971163917E-3</v>
      </c>
    </row>
    <row r="6411" spans="39:41" x14ac:dyDescent="0.25">
      <c r="AM6411" s="2">
        <v>6408</v>
      </c>
      <c r="AN6411" s="33">
        <v>1.1466560430686916E-2</v>
      </c>
      <c r="AO6411" s="33">
        <v>7.032744868087483E-4</v>
      </c>
    </row>
    <row r="6412" spans="39:41" x14ac:dyDescent="0.25">
      <c r="AM6412" s="2">
        <v>6409</v>
      </c>
      <c r="AN6412" s="33">
        <v>1.5079456165521385E-2</v>
      </c>
      <c r="AO6412" s="33">
        <v>1.0433649689480528E-3</v>
      </c>
    </row>
    <row r="6413" spans="39:41" x14ac:dyDescent="0.25">
      <c r="AM6413" s="2">
        <v>6410</v>
      </c>
      <c r="AN6413" s="33">
        <v>9.2849607973822992E-3</v>
      </c>
      <c r="AO6413" s="33">
        <v>6.5880747778694257E-4</v>
      </c>
    </row>
    <row r="6414" spans="39:41" x14ac:dyDescent="0.25">
      <c r="AM6414" s="2">
        <v>6411</v>
      </c>
      <c r="AN6414" s="33">
        <v>1.0714905555971765E-2</v>
      </c>
      <c r="AO6414" s="33">
        <v>6.8606254499274167E-4</v>
      </c>
    </row>
    <row r="6415" spans="39:41" x14ac:dyDescent="0.25">
      <c r="AM6415" s="2">
        <v>6412</v>
      </c>
      <c r="AN6415" s="33">
        <v>1.5789671448335443E-2</v>
      </c>
      <c r="AO6415" s="33">
        <v>1.4213850761584177E-3</v>
      </c>
    </row>
    <row r="6416" spans="39:41" x14ac:dyDescent="0.25">
      <c r="AM6416" s="2">
        <v>6413</v>
      </c>
      <c r="AN6416" s="33">
        <v>1.1442284421068602E-2</v>
      </c>
      <c r="AO6416" s="33">
        <v>5.6378588357346236E-4</v>
      </c>
    </row>
    <row r="6417" spans="39:41" x14ac:dyDescent="0.25">
      <c r="AM6417" s="2">
        <v>6414</v>
      </c>
      <c r="AN6417" s="33">
        <v>1.1878135368480357E-2</v>
      </c>
      <c r="AO6417" s="33">
        <v>6.473743953941671E-4</v>
      </c>
    </row>
    <row r="6418" spans="39:41" x14ac:dyDescent="0.25">
      <c r="AM6418" s="2">
        <v>6415</v>
      </c>
      <c r="AN6418" s="33">
        <v>1.2771583082841672E-2</v>
      </c>
      <c r="AO6418" s="33">
        <v>1.0920278782732677E-3</v>
      </c>
    </row>
    <row r="6419" spans="39:41" x14ac:dyDescent="0.25">
      <c r="AM6419" s="2">
        <v>6416</v>
      </c>
      <c r="AN6419" s="33">
        <v>1.2794574493559939E-2</v>
      </c>
      <c r="AO6419" s="33">
        <v>9.2000432973928057E-4</v>
      </c>
    </row>
    <row r="6420" spans="39:41" x14ac:dyDescent="0.25">
      <c r="AM6420" s="2">
        <v>6417</v>
      </c>
      <c r="AN6420" s="33">
        <v>1.23083784156138E-2</v>
      </c>
      <c r="AO6420" s="33">
        <v>8.6818512324662606E-4</v>
      </c>
    </row>
    <row r="6421" spans="39:41" x14ac:dyDescent="0.25">
      <c r="AM6421" s="2">
        <v>6418</v>
      </c>
      <c r="AN6421" s="33">
        <v>1.1801733791913824E-2</v>
      </c>
      <c r="AO6421" s="33">
        <v>8.4007209856832676E-4</v>
      </c>
    </row>
    <row r="6422" spans="39:41" x14ac:dyDescent="0.25">
      <c r="AM6422" s="2">
        <v>6419</v>
      </c>
      <c r="AN6422" s="33">
        <v>1.4102465993433157E-2</v>
      </c>
      <c r="AO6422" s="33">
        <v>1.0719952727879861E-3</v>
      </c>
    </row>
    <row r="6423" spans="39:41" x14ac:dyDescent="0.25">
      <c r="AM6423" s="2">
        <v>6420</v>
      </c>
      <c r="AN6423" s="33">
        <v>1.1316956814090572E-2</v>
      </c>
      <c r="AO6423" s="33">
        <v>6.4687931317899592E-4</v>
      </c>
    </row>
    <row r="6424" spans="39:41" x14ac:dyDescent="0.25">
      <c r="AM6424" s="2">
        <v>6421</v>
      </c>
      <c r="AN6424" s="33">
        <v>1.0524465758395652E-2</v>
      </c>
      <c r="AO6424" s="33">
        <v>7.8762371942648832E-4</v>
      </c>
    </row>
    <row r="6425" spans="39:41" x14ac:dyDescent="0.25">
      <c r="AM6425" s="2">
        <v>6422</v>
      </c>
      <c r="AN6425" s="33">
        <v>1.2213333001250413E-2</v>
      </c>
      <c r="AO6425" s="33">
        <v>1.0948577902631833E-3</v>
      </c>
    </row>
    <row r="6426" spans="39:41" x14ac:dyDescent="0.25">
      <c r="AM6426" s="2">
        <v>6423</v>
      </c>
      <c r="AN6426" s="33">
        <v>1.2607579986330027E-2</v>
      </c>
      <c r="AO6426" s="33">
        <v>7.8487766820134626E-4</v>
      </c>
    </row>
    <row r="6427" spans="39:41" x14ac:dyDescent="0.25">
      <c r="AM6427" s="2">
        <v>6424</v>
      </c>
      <c r="AN6427" s="33">
        <v>1.3562472468590735E-2</v>
      </c>
      <c r="AO6427" s="33">
        <v>9.6366240304890437E-4</v>
      </c>
    </row>
    <row r="6428" spans="39:41" x14ac:dyDescent="0.25">
      <c r="AM6428" s="2">
        <v>6425</v>
      </c>
      <c r="AN6428" s="33">
        <v>8.8203205086155693E-3</v>
      </c>
      <c r="AO6428" s="33">
        <v>5.8268007678424381E-4</v>
      </c>
    </row>
    <row r="6429" spans="39:41" x14ac:dyDescent="0.25">
      <c r="AM6429" s="2">
        <v>6426</v>
      </c>
      <c r="AN6429" s="33">
        <v>1.1485418005515778E-2</v>
      </c>
      <c r="AO6429" s="33">
        <v>9.5069909221514714E-4</v>
      </c>
    </row>
    <row r="6430" spans="39:41" x14ac:dyDescent="0.25">
      <c r="AM6430" s="2">
        <v>6427</v>
      </c>
      <c r="AN6430" s="33">
        <v>9.4948308497527605E-3</v>
      </c>
      <c r="AO6430" s="33">
        <v>5.2080034388961554E-4</v>
      </c>
    </row>
    <row r="6431" spans="39:41" x14ac:dyDescent="0.25">
      <c r="AM6431" s="2">
        <v>6428</v>
      </c>
      <c r="AN6431" s="33">
        <v>1.3438668569939177E-2</v>
      </c>
      <c r="AO6431" s="33">
        <v>1.1911356741771172E-3</v>
      </c>
    </row>
    <row r="6432" spans="39:41" x14ac:dyDescent="0.25">
      <c r="AM6432" s="2">
        <v>6429</v>
      </c>
      <c r="AN6432" s="33">
        <v>1.6279855325106316E-2</v>
      </c>
      <c r="AO6432" s="33">
        <v>1.6575148255913938E-3</v>
      </c>
    </row>
    <row r="6433" spans="39:41" x14ac:dyDescent="0.25">
      <c r="AM6433" s="2">
        <v>6430</v>
      </c>
      <c r="AN6433" s="33">
        <v>1.0954082135088363E-2</v>
      </c>
      <c r="AO6433" s="33">
        <v>6.3085447756356403E-4</v>
      </c>
    </row>
    <row r="6434" spans="39:41" x14ac:dyDescent="0.25">
      <c r="AM6434" s="2">
        <v>6431</v>
      </c>
      <c r="AN6434" s="33">
        <v>1.1242940966169483E-2</v>
      </c>
      <c r="AO6434" s="33">
        <v>7.7143064166312674E-4</v>
      </c>
    </row>
    <row r="6435" spans="39:41" x14ac:dyDescent="0.25">
      <c r="AM6435" s="2">
        <v>6432</v>
      </c>
      <c r="AN6435" s="33">
        <v>1.1407882160531272E-2</v>
      </c>
      <c r="AO6435" s="33">
        <v>9.9878561213387318E-4</v>
      </c>
    </row>
    <row r="6436" spans="39:41" x14ac:dyDescent="0.25">
      <c r="AM6436" s="2">
        <v>6433</v>
      </c>
      <c r="AN6436" s="33">
        <v>1.0105235595261197E-2</v>
      </c>
      <c r="AO6436" s="33">
        <v>2.2156263519173958E-4</v>
      </c>
    </row>
    <row r="6437" spans="39:41" x14ac:dyDescent="0.25">
      <c r="AM6437" s="2">
        <v>6434</v>
      </c>
      <c r="AN6437" s="33">
        <v>9.5372715930356258E-3</v>
      </c>
      <c r="AO6437" s="33">
        <v>4.3246044633361022E-4</v>
      </c>
    </row>
    <row r="6438" spans="39:41" x14ac:dyDescent="0.25">
      <c r="AM6438" s="2">
        <v>6435</v>
      </c>
      <c r="AN6438" s="33">
        <v>1.258095611075254E-2</v>
      </c>
      <c r="AO6438" s="33">
        <v>1.2101231154197241E-3</v>
      </c>
    </row>
    <row r="6439" spans="39:41" x14ac:dyDescent="0.25">
      <c r="AM6439" s="2">
        <v>6436</v>
      </c>
      <c r="AN6439" s="33">
        <v>9.0644354107044904E-3</v>
      </c>
      <c r="AO6439" s="33">
        <v>2.7742301827292956E-4</v>
      </c>
    </row>
    <row r="6440" spans="39:41" x14ac:dyDescent="0.25">
      <c r="AM6440" s="2">
        <v>6437</v>
      </c>
      <c r="AN6440" s="33">
        <v>1.2246588740994739E-2</v>
      </c>
      <c r="AO6440" s="33">
        <v>9.1683053696365376E-4</v>
      </c>
    </row>
    <row r="6441" spans="39:41" x14ac:dyDescent="0.25">
      <c r="AM6441" s="2">
        <v>6438</v>
      </c>
      <c r="AN6441" s="33">
        <v>1.3285700011042338E-2</v>
      </c>
      <c r="AO6441" s="33">
        <v>9.7729603444202682E-4</v>
      </c>
    </row>
    <row r="6442" spans="39:41" x14ac:dyDescent="0.25">
      <c r="AM6442" s="2">
        <v>6439</v>
      </c>
      <c r="AN6442" s="33">
        <v>8.8335467371319192E-3</v>
      </c>
      <c r="AO6442" s="33">
        <v>4.9194015678764207E-4</v>
      </c>
    </row>
    <row r="6443" spans="39:41" x14ac:dyDescent="0.25">
      <c r="AM6443" s="2">
        <v>6440</v>
      </c>
      <c r="AN6443" s="33">
        <v>7.9880297098672299E-3</v>
      </c>
      <c r="AO6443" s="33">
        <v>3.6229776917128697E-4</v>
      </c>
    </row>
    <row r="6444" spans="39:41" x14ac:dyDescent="0.25">
      <c r="AM6444" s="2">
        <v>6441</v>
      </c>
      <c r="AN6444" s="33">
        <v>1.2105016530209733E-2</v>
      </c>
      <c r="AO6444" s="33">
        <v>7.5234351174262933E-4</v>
      </c>
    </row>
    <row r="6445" spans="39:41" x14ac:dyDescent="0.25">
      <c r="AM6445" s="2">
        <v>6442</v>
      </c>
      <c r="AN6445" s="33">
        <v>8.1080117571559196E-3</v>
      </c>
      <c r="AO6445" s="33">
        <v>6.8942994160541753E-4</v>
      </c>
    </row>
    <row r="6446" spans="39:41" x14ac:dyDescent="0.25">
      <c r="AM6446" s="2">
        <v>6443</v>
      </c>
      <c r="AN6446" s="33">
        <v>7.7324705910903702E-3</v>
      </c>
      <c r="AO6446" s="33">
        <v>5.6727914501207989E-4</v>
      </c>
    </row>
    <row r="6447" spans="39:41" x14ac:dyDescent="0.25">
      <c r="AM6447" s="2">
        <v>6444</v>
      </c>
      <c r="AN6447" s="33">
        <v>1.1157069434945283E-2</v>
      </c>
      <c r="AO6447" s="33">
        <v>1.1153944889487014E-3</v>
      </c>
    </row>
    <row r="6448" spans="39:41" x14ac:dyDescent="0.25">
      <c r="AM6448" s="2">
        <v>6445</v>
      </c>
      <c r="AN6448" s="33">
        <v>8.2770674206864153E-3</v>
      </c>
      <c r="AO6448" s="33">
        <v>6.3465282427744066E-4</v>
      </c>
    </row>
    <row r="6449" spans="39:41" x14ac:dyDescent="0.25">
      <c r="AM6449" s="2">
        <v>6446</v>
      </c>
      <c r="AN6449" s="33">
        <v>1.4438878367388148E-2</v>
      </c>
      <c r="AO6449" s="33">
        <v>1.2823869819170589E-3</v>
      </c>
    </row>
    <row r="6450" spans="39:41" x14ac:dyDescent="0.25">
      <c r="AM6450" s="2">
        <v>6447</v>
      </c>
      <c r="AN6450" s="33">
        <v>1.1391736946092532E-2</v>
      </c>
      <c r="AO6450" s="33">
        <v>9.0486216576005703E-4</v>
      </c>
    </row>
    <row r="6451" spans="39:41" x14ac:dyDescent="0.25">
      <c r="AM6451" s="2">
        <v>6448</v>
      </c>
      <c r="AN6451" s="33">
        <v>1.4417256237239062E-2</v>
      </c>
      <c r="AO6451" s="33">
        <v>1.0288302949025732E-3</v>
      </c>
    </row>
    <row r="6452" spans="39:41" x14ac:dyDescent="0.25">
      <c r="AM6452" s="2">
        <v>6449</v>
      </c>
      <c r="AN6452" s="33">
        <v>1.0374087478391698E-2</v>
      </c>
      <c r="AO6452" s="33">
        <v>7.4030388266459191E-4</v>
      </c>
    </row>
    <row r="6453" spans="39:41" x14ac:dyDescent="0.25">
      <c r="AM6453" s="2">
        <v>6450</v>
      </c>
      <c r="AN6453" s="33">
        <v>1.1036718061922746E-2</v>
      </c>
      <c r="AO6453" s="33">
        <v>9.4092303063706968E-4</v>
      </c>
    </row>
    <row r="6454" spans="39:41" x14ac:dyDescent="0.25">
      <c r="AM6454" s="2">
        <v>6451</v>
      </c>
      <c r="AN6454" s="33">
        <v>1.2427513760433649E-2</v>
      </c>
      <c r="AO6454" s="33">
        <v>3.9384502097444547E-4</v>
      </c>
    </row>
    <row r="6455" spans="39:41" x14ac:dyDescent="0.25">
      <c r="AM6455" s="2">
        <v>6452</v>
      </c>
      <c r="AN6455" s="33">
        <v>1.2196932932713572E-2</v>
      </c>
      <c r="AO6455" s="33">
        <v>9.9037439572406813E-4</v>
      </c>
    </row>
    <row r="6456" spans="39:41" x14ac:dyDescent="0.25">
      <c r="AM6456" s="2">
        <v>6453</v>
      </c>
      <c r="AN6456" s="33">
        <v>1.1450878421943003E-2</v>
      </c>
      <c r="AO6456" s="33">
        <v>1.1759715268409652E-3</v>
      </c>
    </row>
    <row r="6457" spans="39:41" x14ac:dyDescent="0.25">
      <c r="AM6457" s="2">
        <v>6454</v>
      </c>
      <c r="AN6457" s="33">
        <v>9.6459366005445853E-3</v>
      </c>
      <c r="AO6457" s="33">
        <v>7.3695000079101102E-4</v>
      </c>
    </row>
    <row r="6458" spans="39:41" x14ac:dyDescent="0.25">
      <c r="AM6458" s="2">
        <v>6455</v>
      </c>
      <c r="AN6458" s="33">
        <v>9.1670277068528379E-3</v>
      </c>
      <c r="AO6458" s="33">
        <v>7.2044104380004231E-4</v>
      </c>
    </row>
    <row r="6459" spans="39:41" x14ac:dyDescent="0.25">
      <c r="AM6459" s="2">
        <v>6456</v>
      </c>
      <c r="AN6459" s="33">
        <v>1.5764906536102036E-2</v>
      </c>
      <c r="AO6459" s="33">
        <v>1.5829234547911767E-3</v>
      </c>
    </row>
    <row r="6460" spans="39:41" x14ac:dyDescent="0.25">
      <c r="AM6460" s="2">
        <v>6457</v>
      </c>
      <c r="AN6460" s="33">
        <v>1.2802218305624766E-2</v>
      </c>
      <c r="AO6460" s="33">
        <v>9.0042611508285835E-4</v>
      </c>
    </row>
    <row r="6461" spans="39:41" x14ac:dyDescent="0.25">
      <c r="AM6461" s="2">
        <v>6458</v>
      </c>
      <c r="AN6461" s="33">
        <v>1.1276575333646927E-2</v>
      </c>
      <c r="AO6461" s="33">
        <v>8.3032659318206124E-4</v>
      </c>
    </row>
    <row r="6462" spans="39:41" x14ac:dyDescent="0.25">
      <c r="AM6462" s="2">
        <v>6459</v>
      </c>
      <c r="AN6462" s="33">
        <v>1.1344126441842163E-2</v>
      </c>
      <c r="AO6462" s="33">
        <v>9.0375435462448103E-4</v>
      </c>
    </row>
    <row r="6463" spans="39:41" x14ac:dyDescent="0.25">
      <c r="AM6463" s="2">
        <v>6460</v>
      </c>
      <c r="AN6463" s="33">
        <v>1.2764396367353844E-2</v>
      </c>
      <c r="AO6463" s="33">
        <v>7.6730742911903474E-4</v>
      </c>
    </row>
    <row r="6464" spans="39:41" x14ac:dyDescent="0.25">
      <c r="AM6464" s="2">
        <v>6461</v>
      </c>
      <c r="AN6464" s="33">
        <v>9.2443341516416158E-3</v>
      </c>
      <c r="AO6464" s="33">
        <v>8.1985379417695852E-4</v>
      </c>
    </row>
    <row r="6465" spans="39:41" x14ac:dyDescent="0.25">
      <c r="AM6465" s="2">
        <v>6462</v>
      </c>
      <c r="AN6465" s="33">
        <v>1.0339907424902203E-2</v>
      </c>
      <c r="AO6465" s="33">
        <v>3.8551222549401329E-4</v>
      </c>
    </row>
    <row r="6466" spans="39:41" x14ac:dyDescent="0.25">
      <c r="AM6466" s="2">
        <v>6463</v>
      </c>
      <c r="AN6466" s="33">
        <v>1.0475306150488969E-2</v>
      </c>
      <c r="AO6466" s="33">
        <v>3.6727502912854715E-4</v>
      </c>
    </row>
    <row r="6467" spans="39:41" x14ac:dyDescent="0.25">
      <c r="AM6467" s="2">
        <v>6464</v>
      </c>
      <c r="AN6467" s="33">
        <v>1.2243896797382527E-2</v>
      </c>
      <c r="AO6467" s="33">
        <v>8.6871979854110347E-4</v>
      </c>
    </row>
    <row r="6468" spans="39:41" x14ac:dyDescent="0.25">
      <c r="AM6468" s="2">
        <v>6465</v>
      </c>
      <c r="AN6468" s="33">
        <v>9.8227516161356245E-3</v>
      </c>
      <c r="AO6468" s="33">
        <v>6.5291678352698171E-4</v>
      </c>
    </row>
    <row r="6469" spans="39:41" x14ac:dyDescent="0.25">
      <c r="AM6469" s="2">
        <v>6466</v>
      </c>
      <c r="AN6469" s="33">
        <v>1.1107826997334293E-2</v>
      </c>
      <c r="AO6469" s="33">
        <v>7.783756871347407E-4</v>
      </c>
    </row>
    <row r="6470" spans="39:41" x14ac:dyDescent="0.25">
      <c r="AM6470" s="2">
        <v>6467</v>
      </c>
      <c r="AN6470" s="33">
        <v>1.2999169408810107E-2</v>
      </c>
      <c r="AO6470" s="33">
        <v>9.2379443425941914E-4</v>
      </c>
    </row>
    <row r="6471" spans="39:41" x14ac:dyDescent="0.25">
      <c r="AM6471" s="2">
        <v>6468</v>
      </c>
      <c r="AN6471" s="33">
        <v>1.1948354745617921E-2</v>
      </c>
      <c r="AO6471" s="33">
        <v>9.0363126345671218E-4</v>
      </c>
    </row>
    <row r="6472" spans="39:41" x14ac:dyDescent="0.25">
      <c r="AM6472" s="2">
        <v>6469</v>
      </c>
      <c r="AN6472" s="33">
        <v>1.3693219399992997E-2</v>
      </c>
      <c r="AO6472" s="33">
        <v>1.0164131401474528E-3</v>
      </c>
    </row>
    <row r="6473" spans="39:41" x14ac:dyDescent="0.25">
      <c r="AM6473" s="2">
        <v>6470</v>
      </c>
      <c r="AN6473" s="33">
        <v>1.2040589589871026E-2</v>
      </c>
      <c r="AO6473" s="33">
        <v>1.038252594878303E-3</v>
      </c>
    </row>
    <row r="6474" spans="39:41" x14ac:dyDescent="0.25">
      <c r="AM6474" s="2">
        <v>6471</v>
      </c>
      <c r="AN6474" s="33">
        <v>1.1404869660701474E-2</v>
      </c>
      <c r="AO6474" s="33">
        <v>7.6993856754395157E-4</v>
      </c>
    </row>
    <row r="6475" spans="39:41" x14ac:dyDescent="0.25">
      <c r="AM6475" s="2">
        <v>6472</v>
      </c>
      <c r="AN6475" s="33">
        <v>1.139395654039326E-2</v>
      </c>
      <c r="AO6475" s="33">
        <v>5.4534763882612997E-4</v>
      </c>
    </row>
    <row r="6476" spans="39:41" x14ac:dyDescent="0.25">
      <c r="AM6476" s="2">
        <v>6473</v>
      </c>
      <c r="AN6476" s="33">
        <v>9.8313011503648896E-3</v>
      </c>
      <c r="AO6476" s="33">
        <v>5.9315994859567706E-4</v>
      </c>
    </row>
    <row r="6477" spans="39:41" x14ac:dyDescent="0.25">
      <c r="AM6477" s="2">
        <v>6474</v>
      </c>
      <c r="AN6477" s="33">
        <v>1.0799981582255215E-2</v>
      </c>
      <c r="AO6477" s="33">
        <v>1.0005995991208614E-3</v>
      </c>
    </row>
    <row r="6478" spans="39:41" x14ac:dyDescent="0.25">
      <c r="AM6478" s="2">
        <v>6475</v>
      </c>
      <c r="AN6478" s="33">
        <v>9.3161971460548314E-3</v>
      </c>
      <c r="AO6478" s="33">
        <v>5.5714123892659816E-4</v>
      </c>
    </row>
    <row r="6479" spans="39:41" x14ac:dyDescent="0.25">
      <c r="AM6479" s="2">
        <v>6476</v>
      </c>
      <c r="AN6479" s="33">
        <v>8.2390077876699393E-3</v>
      </c>
      <c r="AO6479" s="33">
        <v>2.9653644917205591E-4</v>
      </c>
    </row>
    <row r="6480" spans="39:41" x14ac:dyDescent="0.25">
      <c r="AM6480" s="2">
        <v>6477</v>
      </c>
      <c r="AN6480" s="33">
        <v>1.2742356145784771E-2</v>
      </c>
      <c r="AO6480" s="33">
        <v>1.1495124744494271E-3</v>
      </c>
    </row>
    <row r="6481" spans="39:41" x14ac:dyDescent="0.25">
      <c r="AM6481" s="2">
        <v>6478</v>
      </c>
      <c r="AN6481" s="33">
        <v>1.5786101455178218E-2</v>
      </c>
      <c r="AO6481" s="33">
        <v>1.059944549161702E-3</v>
      </c>
    </row>
    <row r="6482" spans="39:41" x14ac:dyDescent="0.25">
      <c r="AM6482" s="2">
        <v>6479</v>
      </c>
      <c r="AN6482" s="33">
        <v>1.0463833433479149E-2</v>
      </c>
      <c r="AO6482" s="33">
        <v>3.2960519253728046E-4</v>
      </c>
    </row>
    <row r="6483" spans="39:41" x14ac:dyDescent="0.25">
      <c r="AM6483" s="2">
        <v>6480</v>
      </c>
      <c r="AN6483" s="33">
        <v>1.0511761614464163E-2</v>
      </c>
      <c r="AO6483" s="33">
        <v>3.3336690045371266E-4</v>
      </c>
    </row>
    <row r="6484" spans="39:41" x14ac:dyDescent="0.25">
      <c r="AM6484" s="2">
        <v>6481</v>
      </c>
      <c r="AN6484" s="33">
        <v>9.7393965021720687E-3</v>
      </c>
      <c r="AO6484" s="33">
        <v>7.8188650431994548E-4</v>
      </c>
    </row>
    <row r="6485" spans="39:41" x14ac:dyDescent="0.25">
      <c r="AM6485" s="2">
        <v>6482</v>
      </c>
      <c r="AN6485" s="33">
        <v>1.2142843131180183E-2</v>
      </c>
      <c r="AO6485" s="33">
        <v>8.1138785056176913E-4</v>
      </c>
    </row>
    <row r="6486" spans="39:41" x14ac:dyDescent="0.25">
      <c r="AM6486" s="2">
        <v>6483</v>
      </c>
      <c r="AN6486" s="33">
        <v>1.0917553370291771E-2</v>
      </c>
      <c r="AO6486" s="33">
        <v>9.0669382497137515E-4</v>
      </c>
    </row>
    <row r="6487" spans="39:41" x14ac:dyDescent="0.25">
      <c r="AM6487" s="2">
        <v>6484</v>
      </c>
      <c r="AN6487" s="33">
        <v>1.1546162932528281E-2</v>
      </c>
      <c r="AO6487" s="33">
        <v>9.9169348570325136E-4</v>
      </c>
    </row>
    <row r="6488" spans="39:41" x14ac:dyDescent="0.25">
      <c r="AM6488" s="2">
        <v>6485</v>
      </c>
      <c r="AN6488" s="33">
        <v>1.3715893104774822E-2</v>
      </c>
      <c r="AO6488" s="33">
        <v>1.4687787536518441E-3</v>
      </c>
    </row>
    <row r="6489" spans="39:41" x14ac:dyDescent="0.25">
      <c r="AM6489" s="2">
        <v>6486</v>
      </c>
      <c r="AN6489" s="33">
        <v>1.134023235392242E-2</v>
      </c>
      <c r="AO6489" s="33">
        <v>9.4053890543201733E-4</v>
      </c>
    </row>
    <row r="6490" spans="39:41" x14ac:dyDescent="0.25">
      <c r="AM6490" s="2">
        <v>6487</v>
      </c>
      <c r="AN6490" s="33">
        <v>8.6011271988435285E-3</v>
      </c>
      <c r="AO6490" s="33">
        <v>4.0429661471881178E-4</v>
      </c>
    </row>
    <row r="6491" spans="39:41" x14ac:dyDescent="0.25">
      <c r="AM6491" s="2">
        <v>6488</v>
      </c>
      <c r="AN6491" s="33">
        <v>1.0779246216819251E-2</v>
      </c>
      <c r="AO6491" s="33">
        <v>7.5602887812569537E-4</v>
      </c>
    </row>
    <row r="6492" spans="39:41" x14ac:dyDescent="0.25">
      <c r="AM6492" s="2">
        <v>6489</v>
      </c>
      <c r="AN6492" s="33">
        <v>1.4055920358240487E-2</v>
      </c>
      <c r="AO6492" s="33">
        <v>1.2574161666487336E-3</v>
      </c>
    </row>
    <row r="6493" spans="39:41" x14ac:dyDescent="0.25">
      <c r="AM6493" s="2">
        <v>6490</v>
      </c>
      <c r="AN6493" s="33">
        <v>8.5999460615147939E-3</v>
      </c>
      <c r="AO6493" s="33">
        <v>3.7904632239806079E-4</v>
      </c>
    </row>
    <row r="6494" spans="39:41" x14ac:dyDescent="0.25">
      <c r="AM6494" s="2">
        <v>6491</v>
      </c>
      <c r="AN6494" s="33">
        <v>1.1312879438859337E-2</v>
      </c>
      <c r="AO6494" s="33">
        <v>1.0782528509407348E-3</v>
      </c>
    </row>
    <row r="6495" spans="39:41" x14ac:dyDescent="0.25">
      <c r="AM6495" s="2">
        <v>6492</v>
      </c>
      <c r="AN6495" s="33">
        <v>9.3717298349484772E-3</v>
      </c>
      <c r="AO6495" s="33">
        <v>7.0276144901449062E-4</v>
      </c>
    </row>
    <row r="6496" spans="39:41" x14ac:dyDescent="0.25">
      <c r="AM6496" s="2">
        <v>6493</v>
      </c>
      <c r="AN6496" s="33">
        <v>8.539242014755994E-3</v>
      </c>
      <c r="AO6496" s="33">
        <v>4.2166003959385437E-4</v>
      </c>
    </row>
    <row r="6497" spans="39:41" x14ac:dyDescent="0.25">
      <c r="AM6497" s="2">
        <v>6494</v>
      </c>
      <c r="AN6497" s="33">
        <v>1.1497177728250525E-2</v>
      </c>
      <c r="AO6497" s="33">
        <v>6.1778529902267699E-4</v>
      </c>
    </row>
    <row r="6498" spans="39:41" x14ac:dyDescent="0.25">
      <c r="AM6498" s="2">
        <v>6495</v>
      </c>
      <c r="AN6498" s="33">
        <v>1.0483740173424631E-2</v>
      </c>
      <c r="AO6498" s="33">
        <v>5.3186025529904394E-4</v>
      </c>
    </row>
    <row r="6499" spans="39:41" x14ac:dyDescent="0.25">
      <c r="AM6499" s="2">
        <v>6496</v>
      </c>
      <c r="AN6499" s="33">
        <v>1.4938221715240198E-2</v>
      </c>
      <c r="AO6499" s="33">
        <v>1.3334896294037689E-3</v>
      </c>
    </row>
    <row r="6500" spans="39:41" x14ac:dyDescent="0.25">
      <c r="AM6500" s="2">
        <v>6497</v>
      </c>
      <c r="AN6500" s="33">
        <v>9.6057816740518533E-3</v>
      </c>
      <c r="AO6500" s="33">
        <v>6.0473416463530365E-4</v>
      </c>
    </row>
    <row r="6501" spans="39:41" x14ac:dyDescent="0.25">
      <c r="AM6501" s="2">
        <v>6498</v>
      </c>
      <c r="AN6501" s="33">
        <v>9.8154821182338502E-3</v>
      </c>
      <c r="AO6501" s="33">
        <v>7.7083791903356422E-4</v>
      </c>
    </row>
    <row r="6502" spans="39:41" x14ac:dyDescent="0.25">
      <c r="AM6502" s="2">
        <v>6499</v>
      </c>
      <c r="AN6502" s="33">
        <v>1.1506072755110223E-2</v>
      </c>
      <c r="AO6502" s="33">
        <v>8.9862048191371264E-4</v>
      </c>
    </row>
    <row r="6503" spans="39:41" x14ac:dyDescent="0.25">
      <c r="AM6503" s="2">
        <v>6500</v>
      </c>
      <c r="AN6503" s="33">
        <v>1.15836265926348E-2</v>
      </c>
      <c r="AO6503" s="33">
        <v>5.4123332315040055E-4</v>
      </c>
    </row>
    <row r="6504" spans="39:41" x14ac:dyDescent="0.25">
      <c r="AM6504" s="2">
        <v>6501</v>
      </c>
      <c r="AN6504" s="33">
        <v>9.0149084680832582E-3</v>
      </c>
      <c r="AO6504" s="33">
        <v>5.5349215025864542E-4</v>
      </c>
    </row>
    <row r="6505" spans="39:41" x14ac:dyDescent="0.25">
      <c r="AM6505" s="2">
        <v>6502</v>
      </c>
      <c r="AN6505" s="33">
        <v>1.0805608200753283E-2</v>
      </c>
      <c r="AO6505" s="33">
        <v>8.7583325261167389E-4</v>
      </c>
    </row>
    <row r="6506" spans="39:41" x14ac:dyDescent="0.25">
      <c r="AM6506" s="2">
        <v>6503</v>
      </c>
      <c r="AN6506" s="33">
        <v>1.3025426272114331E-2</v>
      </c>
      <c r="AO6506" s="33">
        <v>1.0136488377650934E-3</v>
      </c>
    </row>
    <row r="6507" spans="39:41" x14ac:dyDescent="0.25">
      <c r="AM6507" s="2">
        <v>6504</v>
      </c>
      <c r="AN6507" s="33">
        <v>1.1867886594235395E-2</v>
      </c>
      <c r="AO6507" s="33">
        <v>6.504627952429149E-4</v>
      </c>
    </row>
    <row r="6508" spans="39:41" x14ac:dyDescent="0.25">
      <c r="AM6508" s="2">
        <v>6505</v>
      </c>
      <c r="AN6508" s="33">
        <v>1.1200895963255663E-2</v>
      </c>
      <c r="AO6508" s="33">
        <v>1.0397236623312979E-3</v>
      </c>
    </row>
    <row r="6509" spans="39:41" x14ac:dyDescent="0.25">
      <c r="AM6509" s="2">
        <v>6506</v>
      </c>
      <c r="AN6509" s="33">
        <v>1.1208621459747419E-2</v>
      </c>
      <c r="AO6509" s="33">
        <v>9.5900797016910358E-4</v>
      </c>
    </row>
    <row r="6510" spans="39:41" x14ac:dyDescent="0.25">
      <c r="AM6510" s="2">
        <v>6507</v>
      </c>
      <c r="AN6510" s="33">
        <v>9.2119920220310233E-3</v>
      </c>
      <c r="AO6510" s="33">
        <v>6.3502102509422579E-4</v>
      </c>
    </row>
    <row r="6511" spans="39:41" x14ac:dyDescent="0.25">
      <c r="AM6511" s="2">
        <v>6508</v>
      </c>
      <c r="AN6511" s="33">
        <v>1.4238927616232074E-2</v>
      </c>
      <c r="AO6511" s="33">
        <v>1.1369003625123165E-3</v>
      </c>
    </row>
    <row r="6512" spans="39:41" x14ac:dyDescent="0.25">
      <c r="AM6512" s="2">
        <v>6509</v>
      </c>
      <c r="AN6512" s="33">
        <v>9.7510486622709568E-3</v>
      </c>
      <c r="AO6512" s="33">
        <v>4.0301973743029333E-4</v>
      </c>
    </row>
    <row r="6513" spans="39:41" x14ac:dyDescent="0.25">
      <c r="AM6513" s="2">
        <v>6510</v>
      </c>
      <c r="AN6513" s="33">
        <v>9.7334453878391378E-3</v>
      </c>
      <c r="AO6513" s="33">
        <v>4.5274172360035519E-4</v>
      </c>
    </row>
    <row r="6514" spans="39:41" x14ac:dyDescent="0.25">
      <c r="AM6514" s="2">
        <v>6511</v>
      </c>
      <c r="AN6514" s="33">
        <v>9.9752950476882426E-3</v>
      </c>
      <c r="AO6514" s="33">
        <v>5.0938126459419849E-4</v>
      </c>
    </row>
    <row r="6515" spans="39:41" x14ac:dyDescent="0.25">
      <c r="AM6515" s="2">
        <v>6512</v>
      </c>
      <c r="AN6515" s="33">
        <v>1.5541590160774469E-2</v>
      </c>
      <c r="AO6515" s="33">
        <v>1.1420291438144982E-3</v>
      </c>
    </row>
    <row r="6516" spans="39:41" x14ac:dyDescent="0.25">
      <c r="AM6516" s="2">
        <v>6513</v>
      </c>
      <c r="AN6516" s="33">
        <v>9.2920154779545412E-3</v>
      </c>
      <c r="AO6516" s="33">
        <v>3.9829988163691247E-4</v>
      </c>
    </row>
    <row r="6517" spans="39:41" x14ac:dyDescent="0.25">
      <c r="AM6517" s="2">
        <v>6514</v>
      </c>
      <c r="AN6517" s="33">
        <v>9.5695120958736498E-3</v>
      </c>
      <c r="AO6517" s="33">
        <v>6.2114005716472755E-4</v>
      </c>
    </row>
    <row r="6518" spans="39:41" x14ac:dyDescent="0.25">
      <c r="AM6518" s="2">
        <v>6515</v>
      </c>
      <c r="AN6518" s="33">
        <v>1.2726910559737546E-2</v>
      </c>
      <c r="AO6518" s="33">
        <v>8.4701939066689951E-4</v>
      </c>
    </row>
    <row r="6519" spans="39:41" x14ac:dyDescent="0.25">
      <c r="AM6519" s="2">
        <v>6516</v>
      </c>
      <c r="AN6519" s="33">
        <v>1.3307912874917414E-2</v>
      </c>
      <c r="AO6519" s="33">
        <v>8.4261036028232365E-4</v>
      </c>
    </row>
    <row r="6520" spans="39:41" x14ac:dyDescent="0.25">
      <c r="AM6520" s="2">
        <v>6517</v>
      </c>
      <c r="AN6520" s="33">
        <v>9.3238785878623515E-3</v>
      </c>
      <c r="AO6520" s="33">
        <v>6.8449226658320102E-4</v>
      </c>
    </row>
    <row r="6521" spans="39:41" x14ac:dyDescent="0.25">
      <c r="AM6521" s="2">
        <v>6518</v>
      </c>
      <c r="AN6521" s="33">
        <v>1.089655319442333E-2</v>
      </c>
      <c r="AO6521" s="33">
        <v>3.2069292855062032E-4</v>
      </c>
    </row>
    <row r="6522" spans="39:41" x14ac:dyDescent="0.25">
      <c r="AM6522" s="2">
        <v>6519</v>
      </c>
      <c r="AN6522" s="33">
        <v>1.5387968804180934E-2</v>
      </c>
      <c r="AO6522" s="33">
        <v>4.099966656576201E-4</v>
      </c>
    </row>
    <row r="6523" spans="39:41" x14ac:dyDescent="0.25">
      <c r="AM6523" s="2">
        <v>6520</v>
      </c>
      <c r="AN6523" s="33">
        <v>1.1479382742869288E-2</v>
      </c>
      <c r="AO6523" s="33">
        <v>8.4598958772450763E-4</v>
      </c>
    </row>
    <row r="6524" spans="39:41" x14ac:dyDescent="0.25">
      <c r="AM6524" s="2">
        <v>6521</v>
      </c>
      <c r="AN6524" s="33">
        <v>1.4448672746933384E-2</v>
      </c>
      <c r="AO6524" s="33">
        <v>1.0994783191298867E-3</v>
      </c>
    </row>
    <row r="6525" spans="39:41" x14ac:dyDescent="0.25">
      <c r="AM6525" s="2">
        <v>6522</v>
      </c>
      <c r="AN6525" s="33">
        <v>1.1887469156773713E-2</v>
      </c>
      <c r="AO6525" s="33">
        <v>9.7972205423126481E-4</v>
      </c>
    </row>
    <row r="6526" spans="39:41" x14ac:dyDescent="0.25">
      <c r="AM6526" s="2">
        <v>6523</v>
      </c>
      <c r="AN6526" s="33">
        <v>1.2086933422786593E-2</v>
      </c>
      <c r="AO6526" s="33">
        <v>1.127854363291043E-3</v>
      </c>
    </row>
    <row r="6527" spans="39:41" x14ac:dyDescent="0.25">
      <c r="AM6527" s="2">
        <v>6524</v>
      </c>
      <c r="AN6527" s="33">
        <v>1.0522013782117248E-2</v>
      </c>
      <c r="AO6527" s="33">
        <v>6.2769261525738053E-4</v>
      </c>
    </row>
    <row r="6528" spans="39:41" x14ac:dyDescent="0.25">
      <c r="AM6528" s="2">
        <v>6525</v>
      </c>
      <c r="AN6528" s="33">
        <v>1.0704183011491194E-2</v>
      </c>
      <c r="AO6528" s="33">
        <v>1.0171234505415327E-3</v>
      </c>
    </row>
    <row r="6529" spans="39:41" x14ac:dyDescent="0.25">
      <c r="AM6529" s="2">
        <v>6526</v>
      </c>
      <c r="AN6529" s="33">
        <v>1.2286894845995088E-2</v>
      </c>
      <c r="AO6529" s="33">
        <v>5.0327618816513482E-4</v>
      </c>
    </row>
    <row r="6530" spans="39:41" x14ac:dyDescent="0.25">
      <c r="AM6530" s="2">
        <v>6527</v>
      </c>
      <c r="AN6530" s="33">
        <v>1.0480714788029765E-2</v>
      </c>
      <c r="AO6530" s="33">
        <v>6.6578288165875204E-4</v>
      </c>
    </row>
    <row r="6531" spans="39:41" x14ac:dyDescent="0.25">
      <c r="AM6531" s="2">
        <v>6528</v>
      </c>
      <c r="AN6531" s="33">
        <v>9.2937907375541008E-3</v>
      </c>
      <c r="AO6531" s="33">
        <v>4.7902536856134491E-4</v>
      </c>
    </row>
    <row r="6532" spans="39:41" x14ac:dyDescent="0.25">
      <c r="AM6532" s="2">
        <v>6529</v>
      </c>
      <c r="AN6532" s="33">
        <v>9.3327668176071844E-3</v>
      </c>
      <c r="AO6532" s="33">
        <v>2.7212038942983022E-4</v>
      </c>
    </row>
    <row r="6533" spans="39:41" x14ac:dyDescent="0.25">
      <c r="AM6533" s="2">
        <v>6530</v>
      </c>
      <c r="AN6533" s="33">
        <v>1.3658534256922561E-2</v>
      </c>
      <c r="AO6533" s="33">
        <v>1.0553385921860433E-3</v>
      </c>
    </row>
    <row r="6534" spans="39:41" x14ac:dyDescent="0.25">
      <c r="AM6534" s="2">
        <v>6531</v>
      </c>
      <c r="AN6534" s="33">
        <v>1.0472567118605617E-2</v>
      </c>
      <c r="AO6534" s="33">
        <v>6.8938486761817449E-4</v>
      </c>
    </row>
    <row r="6535" spans="39:41" x14ac:dyDescent="0.25">
      <c r="AM6535" s="2">
        <v>6532</v>
      </c>
      <c r="AN6535" s="33">
        <v>1.3105302638485524E-2</v>
      </c>
      <c r="AO6535" s="33">
        <v>1.1158052782348042E-3</v>
      </c>
    </row>
    <row r="6536" spans="39:41" x14ac:dyDescent="0.25">
      <c r="AM6536" s="2">
        <v>6533</v>
      </c>
      <c r="AN6536" s="33">
        <v>1.3934322125033762E-2</v>
      </c>
      <c r="AO6536" s="33">
        <v>1.4448697386755102E-3</v>
      </c>
    </row>
    <row r="6537" spans="39:41" x14ac:dyDescent="0.25">
      <c r="AM6537" s="2">
        <v>6534</v>
      </c>
      <c r="AN6537" s="33">
        <v>1.1044946107693736E-2</v>
      </c>
      <c r="AO6537" s="33">
        <v>8.7673784214287729E-4</v>
      </c>
    </row>
    <row r="6538" spans="39:41" x14ac:dyDescent="0.25">
      <c r="AM6538" s="2">
        <v>6535</v>
      </c>
      <c r="AN6538" s="33">
        <v>1.1612646230135564E-2</v>
      </c>
      <c r="AO6538" s="33">
        <v>9.0166387739642128E-4</v>
      </c>
    </row>
    <row r="6539" spans="39:41" x14ac:dyDescent="0.25">
      <c r="AM6539" s="2">
        <v>6536</v>
      </c>
      <c r="AN6539" s="33">
        <v>1.0874731280914674E-2</v>
      </c>
      <c r="AO6539" s="33">
        <v>8.9183050801337868E-4</v>
      </c>
    </row>
    <row r="6540" spans="39:41" x14ac:dyDescent="0.25">
      <c r="AM6540" s="2">
        <v>6537</v>
      </c>
      <c r="AN6540" s="33">
        <v>9.2656433169865902E-3</v>
      </c>
      <c r="AO6540" s="33">
        <v>4.7240359991085394E-4</v>
      </c>
    </row>
    <row r="6541" spans="39:41" x14ac:dyDescent="0.25">
      <c r="AM6541" s="2">
        <v>6538</v>
      </c>
      <c r="AN6541" s="33">
        <v>9.7113995901072329E-3</v>
      </c>
      <c r="AO6541" s="33">
        <v>6.5395403983185732E-4</v>
      </c>
    </row>
    <row r="6542" spans="39:41" x14ac:dyDescent="0.25">
      <c r="AM6542" s="2">
        <v>6539</v>
      </c>
      <c r="AN6542" s="33">
        <v>1.3599818498123499E-2</v>
      </c>
      <c r="AO6542" s="33">
        <v>1.0633867557354884E-3</v>
      </c>
    </row>
    <row r="6543" spans="39:41" x14ac:dyDescent="0.25">
      <c r="AM6543" s="2">
        <v>6540</v>
      </c>
      <c r="AN6543" s="33">
        <v>9.9420033865536325E-3</v>
      </c>
      <c r="AO6543" s="33">
        <v>5.903763303088806E-4</v>
      </c>
    </row>
    <row r="6544" spans="39:41" x14ac:dyDescent="0.25">
      <c r="AM6544" s="2">
        <v>6541</v>
      </c>
      <c r="AN6544" s="33">
        <v>1.2617920239678974E-2</v>
      </c>
      <c r="AO6544" s="33">
        <v>7.6215681831748425E-4</v>
      </c>
    </row>
    <row r="6545" spans="39:41" x14ac:dyDescent="0.25">
      <c r="AM6545" s="2">
        <v>6542</v>
      </c>
      <c r="AN6545" s="33">
        <v>8.7241570971303747E-3</v>
      </c>
      <c r="AO6545" s="33">
        <v>6.7489504423500813E-4</v>
      </c>
    </row>
    <row r="6546" spans="39:41" x14ac:dyDescent="0.25">
      <c r="AM6546" s="2">
        <v>6543</v>
      </c>
      <c r="AN6546" s="33">
        <v>1.5344898287586912E-2</v>
      </c>
      <c r="AO6546" s="33">
        <v>1.3261976922305052E-3</v>
      </c>
    </row>
    <row r="6547" spans="39:41" x14ac:dyDescent="0.25">
      <c r="AM6547" s="2">
        <v>6544</v>
      </c>
      <c r="AN6547" s="33">
        <v>1.1630770914703275E-2</v>
      </c>
      <c r="AO6547" s="33">
        <v>9.4727783949962602E-4</v>
      </c>
    </row>
    <row r="6548" spans="39:41" x14ac:dyDescent="0.25">
      <c r="AM6548" s="2">
        <v>6545</v>
      </c>
      <c r="AN6548" s="33">
        <v>1.2456230382230758E-2</v>
      </c>
      <c r="AO6548" s="33">
        <v>9.7856239035609802E-4</v>
      </c>
    </row>
    <row r="6549" spans="39:41" x14ac:dyDescent="0.25">
      <c r="AM6549" s="2">
        <v>6546</v>
      </c>
      <c r="AN6549" s="33">
        <v>1.2126732364325191E-2</v>
      </c>
      <c r="AO6549" s="33">
        <v>9.8755110847554184E-4</v>
      </c>
    </row>
    <row r="6550" spans="39:41" x14ac:dyDescent="0.25">
      <c r="AM6550" s="2">
        <v>6547</v>
      </c>
      <c r="AN6550" s="33">
        <v>1.1223297409041226E-2</v>
      </c>
      <c r="AO6550" s="33">
        <v>3.9672424264940696E-4</v>
      </c>
    </row>
    <row r="6551" spans="39:41" x14ac:dyDescent="0.25">
      <c r="AM6551" s="2">
        <v>6548</v>
      </c>
      <c r="AN6551" s="33">
        <v>1.2478069900679532E-2</v>
      </c>
      <c r="AO6551" s="33">
        <v>9.5778772685784061E-4</v>
      </c>
    </row>
    <row r="6552" spans="39:41" x14ac:dyDescent="0.25">
      <c r="AM6552" s="2">
        <v>6549</v>
      </c>
      <c r="AN6552" s="33">
        <v>1.3160802887985244E-2</v>
      </c>
      <c r="AO6552" s="33">
        <v>1.2467203691280545E-3</v>
      </c>
    </row>
    <row r="6553" spans="39:41" x14ac:dyDescent="0.25">
      <c r="AM6553" s="2">
        <v>6550</v>
      </c>
      <c r="AN6553" s="33">
        <v>1.1405707368376721E-2</v>
      </c>
      <c r="AO6553" s="33">
        <v>3.2486180070841946E-4</v>
      </c>
    </row>
    <row r="6554" spans="39:41" x14ac:dyDescent="0.25">
      <c r="AM6554" s="2">
        <v>6551</v>
      </c>
      <c r="AN6554" s="33">
        <v>8.0782515693007644E-3</v>
      </c>
      <c r="AO6554" s="33">
        <v>6.6653225780970832E-4</v>
      </c>
    </row>
    <row r="6555" spans="39:41" x14ac:dyDescent="0.25">
      <c r="AM6555" s="2">
        <v>6552</v>
      </c>
      <c r="AN6555" s="33">
        <v>1.4185601451863341E-2</v>
      </c>
      <c r="AO6555" s="33">
        <v>1.0782153955648172E-3</v>
      </c>
    </row>
    <row r="6556" spans="39:41" x14ac:dyDescent="0.25">
      <c r="AM6556" s="2">
        <v>6553</v>
      </c>
      <c r="AN6556" s="33">
        <v>1.4763755445131331E-2</v>
      </c>
      <c r="AO6556" s="33">
        <v>1.5978231379391527E-3</v>
      </c>
    </row>
    <row r="6557" spans="39:41" x14ac:dyDescent="0.25">
      <c r="AM6557" s="2">
        <v>6554</v>
      </c>
      <c r="AN6557" s="33">
        <v>1.2918962275312048E-2</v>
      </c>
      <c r="AO6557" s="33">
        <v>7.6229343592039965E-4</v>
      </c>
    </row>
    <row r="6558" spans="39:41" x14ac:dyDescent="0.25">
      <c r="AM6558" s="2">
        <v>6555</v>
      </c>
      <c r="AN6558" s="33">
        <v>1.159323021209952E-2</v>
      </c>
      <c r="AO6558" s="33">
        <v>5.4018536134413321E-4</v>
      </c>
    </row>
    <row r="6559" spans="39:41" x14ac:dyDescent="0.25">
      <c r="AM6559" s="2">
        <v>6556</v>
      </c>
      <c r="AN6559" s="33">
        <v>1.144718630087316E-2</v>
      </c>
      <c r="AO6559" s="33">
        <v>1.0610026004574519E-3</v>
      </c>
    </row>
    <row r="6560" spans="39:41" x14ac:dyDescent="0.25">
      <c r="AM6560" s="2">
        <v>6557</v>
      </c>
      <c r="AN6560" s="33">
        <v>7.9427830458768858E-3</v>
      </c>
      <c r="AO6560" s="33">
        <v>4.5297457883799243E-4</v>
      </c>
    </row>
    <row r="6561" spans="39:41" x14ac:dyDescent="0.25">
      <c r="AM6561" s="2">
        <v>6558</v>
      </c>
      <c r="AN6561" s="33">
        <v>1.2626300771458333E-2</v>
      </c>
      <c r="AO6561" s="33">
        <v>1.221342311525692E-3</v>
      </c>
    </row>
    <row r="6562" spans="39:41" x14ac:dyDescent="0.25">
      <c r="AM6562" s="2">
        <v>6559</v>
      </c>
      <c r="AN6562" s="33">
        <v>1.0860816404939327E-2</v>
      </c>
      <c r="AO6562" s="33">
        <v>8.6329303877578326E-4</v>
      </c>
    </row>
    <row r="6563" spans="39:41" x14ac:dyDescent="0.25">
      <c r="AM6563" s="2">
        <v>6560</v>
      </c>
      <c r="AN6563" s="33">
        <v>9.8034919731821626E-3</v>
      </c>
      <c r="AO6563" s="33">
        <v>5.3445012241258171E-4</v>
      </c>
    </row>
    <row r="6564" spans="39:41" x14ac:dyDescent="0.25">
      <c r="AM6564" s="2">
        <v>6561</v>
      </c>
      <c r="AN6564" s="33">
        <v>1.242226898877666E-2</v>
      </c>
      <c r="AO6564" s="33">
        <v>9.2042347128814162E-4</v>
      </c>
    </row>
    <row r="6565" spans="39:41" x14ac:dyDescent="0.25">
      <c r="AM6565" s="2">
        <v>6562</v>
      </c>
      <c r="AN6565" s="33">
        <v>7.8351412482222434E-3</v>
      </c>
      <c r="AO6565" s="33">
        <v>2.9786033338919927E-4</v>
      </c>
    </row>
    <row r="6566" spans="39:41" x14ac:dyDescent="0.25">
      <c r="AM6566" s="2">
        <v>6563</v>
      </c>
      <c r="AN6566" s="33">
        <v>1.0851042625575015E-2</v>
      </c>
      <c r="AO6566" s="33">
        <v>5.1802681525780526E-4</v>
      </c>
    </row>
    <row r="6567" spans="39:41" x14ac:dyDescent="0.25">
      <c r="AM6567" s="2">
        <v>6564</v>
      </c>
      <c r="AN6567" s="33">
        <v>1.3474231062376158E-2</v>
      </c>
      <c r="AO6567" s="33">
        <v>1.1406417584311076E-3</v>
      </c>
    </row>
    <row r="6568" spans="39:41" x14ac:dyDescent="0.25">
      <c r="AM6568" s="2">
        <v>6565</v>
      </c>
      <c r="AN6568" s="33">
        <v>1.3722019473989638E-2</v>
      </c>
      <c r="AO6568" s="33">
        <v>1.2935228480143001E-3</v>
      </c>
    </row>
    <row r="6569" spans="39:41" x14ac:dyDescent="0.25">
      <c r="AM6569" s="2">
        <v>6566</v>
      </c>
      <c r="AN6569" s="33">
        <v>1.0176498622605912E-2</v>
      </c>
      <c r="AO6569" s="33">
        <v>6.9764150326551806E-4</v>
      </c>
    </row>
    <row r="6570" spans="39:41" x14ac:dyDescent="0.25">
      <c r="AM6570" s="2">
        <v>6567</v>
      </c>
      <c r="AN6570" s="33">
        <v>1.186803639049068E-2</v>
      </c>
      <c r="AO6570" s="33">
        <v>8.5393662031753163E-4</v>
      </c>
    </row>
    <row r="6571" spans="39:41" x14ac:dyDescent="0.25">
      <c r="AM6571" s="2">
        <v>6568</v>
      </c>
      <c r="AN6571" s="33">
        <v>9.8938064186046525E-3</v>
      </c>
      <c r="AO6571" s="33">
        <v>4.3594811551314394E-4</v>
      </c>
    </row>
    <row r="6572" spans="39:41" x14ac:dyDescent="0.25">
      <c r="AM6572" s="2">
        <v>6569</v>
      </c>
      <c r="AN6572" s="33">
        <v>1.1944746336676372E-2</v>
      </c>
      <c r="AO6572" s="33">
        <v>1.0380227648708459E-3</v>
      </c>
    </row>
    <row r="6573" spans="39:41" x14ac:dyDescent="0.25">
      <c r="AM6573" s="2">
        <v>6570</v>
      </c>
      <c r="AN6573" s="33">
        <v>1.1491916938736422E-2</v>
      </c>
      <c r="AO6573" s="33">
        <v>1.1028163832053173E-3</v>
      </c>
    </row>
    <row r="6574" spans="39:41" x14ac:dyDescent="0.25">
      <c r="AM6574" s="2">
        <v>6571</v>
      </c>
      <c r="AN6574" s="33">
        <v>1.2363240954210243E-2</v>
      </c>
      <c r="AO6574" s="33">
        <v>1.0170898729078815E-3</v>
      </c>
    </row>
    <row r="6575" spans="39:41" x14ac:dyDescent="0.25">
      <c r="AM6575" s="2">
        <v>6572</v>
      </c>
      <c r="AN6575" s="33">
        <v>1.498238135649411E-2</v>
      </c>
      <c r="AO6575" s="33">
        <v>1.4308161962203762E-3</v>
      </c>
    </row>
    <row r="6576" spans="39:41" x14ac:dyDescent="0.25">
      <c r="AM6576" s="2">
        <v>6573</v>
      </c>
      <c r="AN6576" s="33">
        <v>7.8938888793910027E-3</v>
      </c>
      <c r="AO6576" s="33">
        <v>4.9819306790862671E-4</v>
      </c>
    </row>
    <row r="6577" spans="39:41" x14ac:dyDescent="0.25">
      <c r="AM6577" s="2">
        <v>6574</v>
      </c>
      <c r="AN6577" s="33">
        <v>1.8425353463412408E-2</v>
      </c>
      <c r="AO6577" s="33">
        <v>1.9106642031885162E-3</v>
      </c>
    </row>
    <row r="6578" spans="39:41" x14ac:dyDescent="0.25">
      <c r="AM6578" s="2">
        <v>6575</v>
      </c>
      <c r="AN6578" s="33">
        <v>1.4316335062881064E-2</v>
      </c>
      <c r="AO6578" s="33">
        <v>1.2664370522753275E-3</v>
      </c>
    </row>
    <row r="6579" spans="39:41" x14ac:dyDescent="0.25">
      <c r="AM6579" s="2">
        <v>6576</v>
      </c>
      <c r="AN6579" s="33">
        <v>1.1416477378858725E-2</v>
      </c>
      <c r="AO6579" s="33">
        <v>6.6928342526362326E-4</v>
      </c>
    </row>
    <row r="6580" spans="39:41" x14ac:dyDescent="0.25">
      <c r="AM6580" s="2">
        <v>6577</v>
      </c>
      <c r="AN6580" s="33">
        <v>1.0315353576028471E-2</v>
      </c>
      <c r="AO6580" s="33">
        <v>8.6372060132968624E-4</v>
      </c>
    </row>
    <row r="6581" spans="39:41" x14ac:dyDescent="0.25">
      <c r="AM6581" s="2">
        <v>6578</v>
      </c>
      <c r="AN6581" s="33">
        <v>1.2988254486248971E-2</v>
      </c>
      <c r="AO6581" s="33">
        <v>1.1592313841921754E-3</v>
      </c>
    </row>
    <row r="6582" spans="39:41" x14ac:dyDescent="0.25">
      <c r="AM6582" s="2">
        <v>6579</v>
      </c>
      <c r="AN6582" s="33">
        <v>1.0560702332824979E-2</v>
      </c>
      <c r="AO6582" s="33">
        <v>8.844544563391697E-4</v>
      </c>
    </row>
    <row r="6583" spans="39:41" x14ac:dyDescent="0.25">
      <c r="AM6583" s="2">
        <v>6580</v>
      </c>
      <c r="AN6583" s="33">
        <v>1.2090994547815856E-2</v>
      </c>
      <c r="AO6583" s="33">
        <v>1.0930376667212878E-3</v>
      </c>
    </row>
    <row r="6584" spans="39:41" x14ac:dyDescent="0.25">
      <c r="AM6584" s="2">
        <v>6581</v>
      </c>
      <c r="AN6584" s="33">
        <v>9.6002849708139819E-3</v>
      </c>
      <c r="AO6584" s="33">
        <v>8.6652502478940202E-4</v>
      </c>
    </row>
    <row r="6585" spans="39:41" x14ac:dyDescent="0.25">
      <c r="AM6585" s="2">
        <v>6582</v>
      </c>
      <c r="AN6585" s="33">
        <v>9.987970293932431E-3</v>
      </c>
      <c r="AO6585" s="33">
        <v>7.4208693559566364E-4</v>
      </c>
    </row>
    <row r="6586" spans="39:41" x14ac:dyDescent="0.25">
      <c r="AM6586" s="2">
        <v>6583</v>
      </c>
      <c r="AN6586" s="33">
        <v>1.2584212698776659E-2</v>
      </c>
      <c r="AO6586" s="33">
        <v>8.8943554792647866E-4</v>
      </c>
    </row>
    <row r="6587" spans="39:41" x14ac:dyDescent="0.25">
      <c r="AM6587" s="2">
        <v>6584</v>
      </c>
      <c r="AN6587" s="33">
        <v>8.0258815886399531E-3</v>
      </c>
      <c r="AO6587" s="33">
        <v>5.3840327897926635E-4</v>
      </c>
    </row>
    <row r="6588" spans="39:41" x14ac:dyDescent="0.25">
      <c r="AM6588" s="2">
        <v>6585</v>
      </c>
      <c r="AN6588" s="33">
        <v>9.4892092258567675E-3</v>
      </c>
      <c r="AO6588" s="33">
        <v>3.978922781073194E-4</v>
      </c>
    </row>
    <row r="6589" spans="39:41" x14ac:dyDescent="0.25">
      <c r="AM6589" s="2">
        <v>6586</v>
      </c>
      <c r="AN6589" s="33">
        <v>1.0284743766893591E-2</v>
      </c>
      <c r="AO6589" s="33">
        <v>6.991875521636774E-4</v>
      </c>
    </row>
    <row r="6590" spans="39:41" x14ac:dyDescent="0.25">
      <c r="AM6590" s="2">
        <v>6587</v>
      </c>
      <c r="AN6590" s="33">
        <v>9.9745742003267187E-3</v>
      </c>
      <c r="AO6590" s="33">
        <v>2.528433051168994E-4</v>
      </c>
    </row>
    <row r="6591" spans="39:41" x14ac:dyDescent="0.25">
      <c r="AM6591" s="2">
        <v>6588</v>
      </c>
      <c r="AN6591" s="33">
        <v>1.2017193748601952E-2</v>
      </c>
      <c r="AO6591" s="33">
        <v>9.943190888227222E-4</v>
      </c>
    </row>
    <row r="6592" spans="39:41" x14ac:dyDescent="0.25">
      <c r="AM6592" s="2">
        <v>6589</v>
      </c>
      <c r="AN6592" s="33">
        <v>1.1363544142323366E-2</v>
      </c>
      <c r="AO6592" s="33">
        <v>8.5311073802253308E-4</v>
      </c>
    </row>
    <row r="6593" spans="39:41" x14ac:dyDescent="0.25">
      <c r="AM6593" s="2">
        <v>6590</v>
      </c>
      <c r="AN6593" s="33">
        <v>1.2729158747412169E-2</v>
      </c>
      <c r="AO6593" s="33">
        <v>9.331966920130434E-4</v>
      </c>
    </row>
    <row r="6594" spans="39:41" x14ac:dyDescent="0.25">
      <c r="AM6594" s="2">
        <v>6591</v>
      </c>
      <c r="AN6594" s="33">
        <v>1.3606538405464797E-2</v>
      </c>
      <c r="AO6594" s="33">
        <v>1.2455494047482665E-3</v>
      </c>
    </row>
    <row r="6595" spans="39:41" x14ac:dyDescent="0.25">
      <c r="AM6595" s="2">
        <v>6592</v>
      </c>
      <c r="AN6595" s="33">
        <v>1.3176199439978022E-2</v>
      </c>
      <c r="AO6595" s="33">
        <v>1.2456616085964062E-3</v>
      </c>
    </row>
    <row r="6596" spans="39:41" x14ac:dyDescent="0.25">
      <c r="AM6596" s="2">
        <v>6593</v>
      </c>
      <c r="AN6596" s="33">
        <v>1.1492745249634119E-2</v>
      </c>
      <c r="AO6596" s="33">
        <v>1.073421597774711E-3</v>
      </c>
    </row>
    <row r="6597" spans="39:41" x14ac:dyDescent="0.25">
      <c r="AM6597" s="2">
        <v>6594</v>
      </c>
      <c r="AN6597" s="33">
        <v>1.035937881942872E-2</v>
      </c>
      <c r="AO6597" s="33">
        <v>2.1420595322307282E-4</v>
      </c>
    </row>
    <row r="6598" spans="39:41" x14ac:dyDescent="0.25">
      <c r="AM6598" s="2">
        <v>6595</v>
      </c>
      <c r="AN6598" s="33">
        <v>1.0297106799161937E-2</v>
      </c>
      <c r="AO6598" s="33">
        <v>9.7424774776640492E-4</v>
      </c>
    </row>
    <row r="6599" spans="39:41" x14ac:dyDescent="0.25">
      <c r="AM6599" s="2">
        <v>6596</v>
      </c>
      <c r="AN6599" s="33">
        <v>1.0642330193362302E-2</v>
      </c>
      <c r="AO6599" s="33">
        <v>8.2723047118798455E-4</v>
      </c>
    </row>
    <row r="6600" spans="39:41" x14ac:dyDescent="0.25">
      <c r="AM6600" s="2">
        <v>6597</v>
      </c>
      <c r="AN6600" s="33">
        <v>1.3642821927065682E-2</v>
      </c>
      <c r="AO6600" s="33">
        <v>6.1365498513684476E-4</v>
      </c>
    </row>
    <row r="6601" spans="39:41" x14ac:dyDescent="0.25">
      <c r="AM6601" s="2">
        <v>6598</v>
      </c>
      <c r="AN6601" s="33">
        <v>1.4180952231854586E-2</v>
      </c>
      <c r="AO6601" s="33">
        <v>1.1506271156603806E-3</v>
      </c>
    </row>
    <row r="6602" spans="39:41" x14ac:dyDescent="0.25">
      <c r="AM6602" s="2">
        <v>6599</v>
      </c>
      <c r="AN6602" s="33">
        <v>1.3942735450151856E-2</v>
      </c>
      <c r="AO6602" s="33">
        <v>4.2941528320788818E-4</v>
      </c>
    </row>
    <row r="6603" spans="39:41" x14ac:dyDescent="0.25">
      <c r="AM6603" s="2">
        <v>6600</v>
      </c>
      <c r="AN6603" s="33">
        <v>1.2093080758323528E-2</v>
      </c>
      <c r="AO6603" s="33">
        <v>8.2255706207841372E-4</v>
      </c>
    </row>
    <row r="6604" spans="39:41" x14ac:dyDescent="0.25">
      <c r="AM6604" s="2">
        <v>6601</v>
      </c>
      <c r="AN6604" s="33">
        <v>1.0209803023294824E-2</v>
      </c>
      <c r="AO6604" s="33">
        <v>6.5538534360899616E-4</v>
      </c>
    </row>
    <row r="6605" spans="39:41" x14ac:dyDescent="0.25">
      <c r="AM6605" s="2">
        <v>6602</v>
      </c>
      <c r="AN6605" s="33">
        <v>1.1620219604682597E-2</v>
      </c>
      <c r="AO6605" s="33">
        <v>8.0135290867544453E-4</v>
      </c>
    </row>
    <row r="6606" spans="39:41" x14ac:dyDescent="0.25">
      <c r="AM6606" s="2">
        <v>6603</v>
      </c>
      <c r="AN6606" s="33">
        <v>1.2092396284733773E-2</v>
      </c>
      <c r="AO6606" s="33">
        <v>6.3304710289006862E-4</v>
      </c>
    </row>
    <row r="6607" spans="39:41" x14ac:dyDescent="0.25">
      <c r="AM6607" s="2">
        <v>6604</v>
      </c>
      <c r="AN6607" s="33">
        <v>1.1419937559568653E-2</v>
      </c>
      <c r="AO6607" s="33">
        <v>6.2442889778548398E-4</v>
      </c>
    </row>
    <row r="6608" spans="39:41" x14ac:dyDescent="0.25">
      <c r="AM6608" s="2">
        <v>6605</v>
      </c>
      <c r="AN6608" s="33">
        <v>1.4392355432861581E-2</v>
      </c>
      <c r="AO6608" s="33">
        <v>1.1241874560964358E-3</v>
      </c>
    </row>
    <row r="6609" spans="39:41" x14ac:dyDescent="0.25">
      <c r="AM6609" s="2">
        <v>6606</v>
      </c>
      <c r="AN6609" s="33">
        <v>1.1652998472265788E-2</v>
      </c>
      <c r="AO6609" s="33">
        <v>9.9081000646165365E-4</v>
      </c>
    </row>
    <row r="6610" spans="39:41" x14ac:dyDescent="0.25">
      <c r="AM6610" s="2">
        <v>6607</v>
      </c>
      <c r="AN6610" s="33">
        <v>1.184979761651369E-2</v>
      </c>
      <c r="AO6610" s="33">
        <v>7.0067082388307106E-4</v>
      </c>
    </row>
    <row r="6611" spans="39:41" x14ac:dyDescent="0.25">
      <c r="AM6611" s="2">
        <v>6608</v>
      </c>
      <c r="AN6611" s="33">
        <v>1.1185048030548759E-2</v>
      </c>
      <c r="AO6611" s="33">
        <v>7.6864111971832068E-4</v>
      </c>
    </row>
    <row r="6612" spans="39:41" x14ac:dyDescent="0.25">
      <c r="AM6612" s="2">
        <v>6609</v>
      </c>
      <c r="AN6612" s="33">
        <v>1.3061078654543326E-2</v>
      </c>
      <c r="AO6612" s="33">
        <v>4.990355559693374E-4</v>
      </c>
    </row>
    <row r="6613" spans="39:41" x14ac:dyDescent="0.25">
      <c r="AM6613" s="2">
        <v>6610</v>
      </c>
      <c r="AN6613" s="33">
        <v>1.2679640526501995E-2</v>
      </c>
      <c r="AO6613" s="33">
        <v>9.4865917586790111E-4</v>
      </c>
    </row>
    <row r="6614" spans="39:41" x14ac:dyDescent="0.25">
      <c r="AM6614" s="2">
        <v>6611</v>
      </c>
      <c r="AN6614" s="33">
        <v>9.8279974167915646E-3</v>
      </c>
      <c r="AO6614" s="33">
        <v>2.5847198845089131E-4</v>
      </c>
    </row>
    <row r="6615" spans="39:41" x14ac:dyDescent="0.25">
      <c r="AM6615" s="2">
        <v>6612</v>
      </c>
      <c r="AN6615" s="33">
        <v>1.1776767953043468E-2</v>
      </c>
      <c r="AO6615" s="33">
        <v>5.1796389880940286E-4</v>
      </c>
    </row>
    <row r="6616" spans="39:41" x14ac:dyDescent="0.25">
      <c r="AM6616" s="2">
        <v>6613</v>
      </c>
      <c r="AN6616" s="33">
        <v>1.2788461544334226E-2</v>
      </c>
      <c r="AO6616" s="33">
        <v>9.1460923478753353E-4</v>
      </c>
    </row>
    <row r="6617" spans="39:41" x14ac:dyDescent="0.25">
      <c r="AM6617" s="2">
        <v>6614</v>
      </c>
      <c r="AN6617" s="33">
        <v>1.2238334906622612E-2</v>
      </c>
      <c r="AO6617" s="33">
        <v>1.1168470150745692E-3</v>
      </c>
    </row>
    <row r="6618" spans="39:41" x14ac:dyDescent="0.25">
      <c r="AM6618" s="2">
        <v>6615</v>
      </c>
      <c r="AN6618" s="33">
        <v>1.0160071930639438E-2</v>
      </c>
      <c r="AO6618" s="33">
        <v>8.8916649691325852E-4</v>
      </c>
    </row>
    <row r="6619" spans="39:41" x14ac:dyDescent="0.25">
      <c r="AM6619" s="2">
        <v>6616</v>
      </c>
      <c r="AN6619" s="33">
        <v>1.1712294603804277E-2</v>
      </c>
      <c r="AO6619" s="33">
        <v>9.238631628129423E-4</v>
      </c>
    </row>
    <row r="6620" spans="39:41" x14ac:dyDescent="0.25">
      <c r="AM6620" s="2">
        <v>6617</v>
      </c>
      <c r="AN6620" s="33">
        <v>1.0049537402064823E-2</v>
      </c>
      <c r="AO6620" s="33">
        <v>3.9642974945738635E-4</v>
      </c>
    </row>
    <row r="6621" spans="39:41" x14ac:dyDescent="0.25">
      <c r="AM6621" s="2">
        <v>6618</v>
      </c>
      <c r="AN6621" s="33">
        <v>1.0237465250534553E-2</v>
      </c>
      <c r="AO6621" s="33">
        <v>1.0411483148629803E-3</v>
      </c>
    </row>
    <row r="6622" spans="39:41" x14ac:dyDescent="0.25">
      <c r="AM6622" s="2">
        <v>6619</v>
      </c>
      <c r="AN6622" s="33">
        <v>1.0290592250739493E-2</v>
      </c>
      <c r="AO6622" s="33">
        <v>8.765819276994216E-4</v>
      </c>
    </row>
    <row r="6623" spans="39:41" x14ac:dyDescent="0.25">
      <c r="AM6623" s="2">
        <v>6620</v>
      </c>
      <c r="AN6623" s="33">
        <v>1.0496287260241547E-2</v>
      </c>
      <c r="AO6623" s="33">
        <v>5.10222480438949E-4</v>
      </c>
    </row>
    <row r="6624" spans="39:41" x14ac:dyDescent="0.25">
      <c r="AM6624" s="2">
        <v>6621</v>
      </c>
      <c r="AN6624" s="33">
        <v>1.0854408476694888E-2</v>
      </c>
      <c r="AO6624" s="33">
        <v>6.645857568833393E-4</v>
      </c>
    </row>
    <row r="6625" spans="39:41" x14ac:dyDescent="0.25">
      <c r="AM6625" s="2">
        <v>6622</v>
      </c>
      <c r="AN6625" s="33">
        <v>1.3304269889980066E-2</v>
      </c>
      <c r="AO6625" s="33">
        <v>1.0069604284533959E-3</v>
      </c>
    </row>
    <row r="6626" spans="39:41" x14ac:dyDescent="0.25">
      <c r="AM6626" s="2">
        <v>6623</v>
      </c>
      <c r="AN6626" s="33">
        <v>1.1103191541092855E-2</v>
      </c>
      <c r="AO6626" s="33">
        <v>9.0972462143111836E-4</v>
      </c>
    </row>
    <row r="6627" spans="39:41" x14ac:dyDescent="0.25">
      <c r="AM6627" s="2">
        <v>6624</v>
      </c>
      <c r="AN6627" s="33">
        <v>1.1841351448946361E-2</v>
      </c>
      <c r="AO6627" s="33">
        <v>4.5123050020432219E-4</v>
      </c>
    </row>
    <row r="6628" spans="39:41" x14ac:dyDescent="0.25">
      <c r="AM6628" s="2">
        <v>6625</v>
      </c>
      <c r="AN6628" s="33">
        <v>1.0018265525552973E-2</v>
      </c>
      <c r="AO6628" s="33">
        <v>4.708034544928032E-4</v>
      </c>
    </row>
    <row r="6629" spans="39:41" x14ac:dyDescent="0.25">
      <c r="AM6629" s="2">
        <v>6626</v>
      </c>
      <c r="AN6629" s="33">
        <v>1.3886020411443824E-2</v>
      </c>
      <c r="AO6629" s="33">
        <v>1.2430956938341245E-3</v>
      </c>
    </row>
    <row r="6630" spans="39:41" x14ac:dyDescent="0.25">
      <c r="AM6630" s="2">
        <v>6627</v>
      </c>
      <c r="AN6630" s="33">
        <v>1.1566662503610792E-2</v>
      </c>
      <c r="AO6630" s="33">
        <v>6.8081050393043168E-4</v>
      </c>
    </row>
    <row r="6631" spans="39:41" x14ac:dyDescent="0.25">
      <c r="AM6631" s="2">
        <v>6628</v>
      </c>
      <c r="AN6631" s="33">
        <v>1.1927994808939161E-2</v>
      </c>
      <c r="AO6631" s="33">
        <v>1.1749013932279664E-3</v>
      </c>
    </row>
    <row r="6632" spans="39:41" x14ac:dyDescent="0.25">
      <c r="AM6632" s="2">
        <v>6629</v>
      </c>
      <c r="AN6632" s="33">
        <v>1.2651681829309836E-2</v>
      </c>
      <c r="AO6632" s="33">
        <v>9.8791808906683763E-4</v>
      </c>
    </row>
    <row r="6633" spans="39:41" x14ac:dyDescent="0.25">
      <c r="AM6633" s="2">
        <v>6630</v>
      </c>
      <c r="AN6633" s="33">
        <v>1.3265710169067035E-2</v>
      </c>
      <c r="AO6633" s="33">
        <v>8.3561765895474242E-4</v>
      </c>
    </row>
    <row r="6634" spans="39:41" x14ac:dyDescent="0.25">
      <c r="AM6634" s="2">
        <v>6631</v>
      </c>
      <c r="AN6634" s="33">
        <v>1.3064956426326272E-2</v>
      </c>
      <c r="AO6634" s="33">
        <v>8.9775739601324466E-4</v>
      </c>
    </row>
    <row r="6635" spans="39:41" x14ac:dyDescent="0.25">
      <c r="AM6635" s="2">
        <v>6632</v>
      </c>
      <c r="AN6635" s="33">
        <v>1.378423674680049E-2</v>
      </c>
      <c r="AO6635" s="33">
        <v>1.3269484491483809E-3</v>
      </c>
    </row>
    <row r="6636" spans="39:41" x14ac:dyDescent="0.25">
      <c r="AM6636" s="2">
        <v>6633</v>
      </c>
      <c r="AN6636" s="33">
        <v>1.2598980364469039E-2</v>
      </c>
      <c r="AO6636" s="33">
        <v>1.2050324750400366E-3</v>
      </c>
    </row>
    <row r="6637" spans="39:41" x14ac:dyDescent="0.25">
      <c r="AM6637" s="2">
        <v>6634</v>
      </c>
      <c r="AN6637" s="33">
        <v>1.5625701506019631E-2</v>
      </c>
      <c r="AO6637" s="33">
        <v>1.4523120680230866E-3</v>
      </c>
    </row>
    <row r="6638" spans="39:41" x14ac:dyDescent="0.25">
      <c r="AM6638" s="2">
        <v>6635</v>
      </c>
      <c r="AN6638" s="33">
        <v>1.1308789447084194E-2</v>
      </c>
      <c r="AO6638" s="33">
        <v>1.0880578534040784E-3</v>
      </c>
    </row>
    <row r="6639" spans="39:41" x14ac:dyDescent="0.25">
      <c r="AM6639" s="2">
        <v>6636</v>
      </c>
      <c r="AN6639" s="33">
        <v>1.1384685367727155E-2</v>
      </c>
      <c r="AO6639" s="33">
        <v>8.3081528445768022E-4</v>
      </c>
    </row>
    <row r="6640" spans="39:41" x14ac:dyDescent="0.25">
      <c r="AM6640" s="2">
        <v>6637</v>
      </c>
      <c r="AN6640" s="33">
        <v>1.1212276086088968E-2</v>
      </c>
      <c r="AO6640" s="33">
        <v>7.1585788061096823E-4</v>
      </c>
    </row>
    <row r="6641" spans="39:41" x14ac:dyDescent="0.25">
      <c r="AM6641" s="2">
        <v>6638</v>
      </c>
      <c r="AN6641" s="33">
        <v>1.4576256699941656E-2</v>
      </c>
      <c r="AO6641" s="33">
        <v>9.3161864714892163E-4</v>
      </c>
    </row>
    <row r="6642" spans="39:41" x14ac:dyDescent="0.25">
      <c r="AM6642" s="2">
        <v>6639</v>
      </c>
      <c r="AN6642" s="33">
        <v>1.2040171912859218E-2</v>
      </c>
      <c r="AO6642" s="33">
        <v>9.2032687088790981E-4</v>
      </c>
    </row>
    <row r="6643" spans="39:41" x14ac:dyDescent="0.25">
      <c r="AM6643" s="2">
        <v>6640</v>
      </c>
      <c r="AN6643" s="33">
        <v>1.1849760109872081E-2</v>
      </c>
      <c r="AO6643" s="33">
        <v>8.9331558868432253E-4</v>
      </c>
    </row>
    <row r="6644" spans="39:41" x14ac:dyDescent="0.25">
      <c r="AM6644" s="2">
        <v>6641</v>
      </c>
      <c r="AN6644" s="33">
        <v>1.3015303705911288E-2</v>
      </c>
      <c r="AO6644" s="33">
        <v>1.2016905249447693E-3</v>
      </c>
    </row>
    <row r="6645" spans="39:41" x14ac:dyDescent="0.25">
      <c r="AM6645" s="2">
        <v>6642</v>
      </c>
      <c r="AN6645" s="33">
        <v>1.1340175287222698E-2</v>
      </c>
      <c r="AO6645" s="33">
        <v>1.07885046913665E-3</v>
      </c>
    </row>
    <row r="6646" spans="39:41" x14ac:dyDescent="0.25">
      <c r="AM6646" s="2">
        <v>6643</v>
      </c>
      <c r="AN6646" s="33">
        <v>1.2121767389551095E-2</v>
      </c>
      <c r="AO6646" s="33">
        <v>9.5376746668763201E-4</v>
      </c>
    </row>
    <row r="6647" spans="39:41" x14ac:dyDescent="0.25">
      <c r="AM6647" s="2">
        <v>6644</v>
      </c>
      <c r="AN6647" s="33">
        <v>9.4596966524651219E-3</v>
      </c>
      <c r="AO6647" s="33">
        <v>6.5803016794400548E-4</v>
      </c>
    </row>
    <row r="6648" spans="39:41" x14ac:dyDescent="0.25">
      <c r="AM6648" s="2">
        <v>6645</v>
      </c>
      <c r="AN6648" s="33">
        <v>1.3912467830914562E-2</v>
      </c>
      <c r="AO6648" s="33">
        <v>1.093520610776208E-3</v>
      </c>
    </row>
    <row r="6649" spans="39:41" x14ac:dyDescent="0.25">
      <c r="AM6649" s="2">
        <v>6646</v>
      </c>
      <c r="AN6649" s="33">
        <v>1.2301354277292561E-2</v>
      </c>
      <c r="AO6649" s="33">
        <v>7.6927197622422209E-4</v>
      </c>
    </row>
    <row r="6650" spans="39:41" x14ac:dyDescent="0.25">
      <c r="AM6650" s="2">
        <v>6647</v>
      </c>
      <c r="AN6650" s="33">
        <v>8.2674329233327522E-3</v>
      </c>
      <c r="AO6650" s="33">
        <v>4.1612824440232974E-4</v>
      </c>
    </row>
    <row r="6651" spans="39:41" x14ac:dyDescent="0.25">
      <c r="AM6651" s="2">
        <v>6648</v>
      </c>
      <c r="AN6651" s="33">
        <v>1.125691069084989E-2</v>
      </c>
      <c r="AO6651" s="33">
        <v>7.2990396840262736E-4</v>
      </c>
    </row>
    <row r="6652" spans="39:41" x14ac:dyDescent="0.25">
      <c r="AM6652" s="2">
        <v>6649</v>
      </c>
      <c r="AN6652" s="33">
        <v>7.9368467329088387E-3</v>
      </c>
      <c r="AO6652" s="33">
        <v>4.6170505114194498E-4</v>
      </c>
    </row>
    <row r="6653" spans="39:41" x14ac:dyDescent="0.25">
      <c r="AM6653" s="2">
        <v>6650</v>
      </c>
      <c r="AN6653" s="33">
        <v>1.1335314925164564E-2</v>
      </c>
      <c r="AO6653" s="33">
        <v>9.816649301042416E-4</v>
      </c>
    </row>
    <row r="6654" spans="39:41" x14ac:dyDescent="0.25">
      <c r="AM6654" s="2">
        <v>6651</v>
      </c>
      <c r="AN6654" s="33">
        <v>8.9783304004245629E-3</v>
      </c>
      <c r="AO6654" s="33">
        <v>5.2106476737976619E-4</v>
      </c>
    </row>
    <row r="6655" spans="39:41" x14ac:dyDescent="0.25">
      <c r="AM6655" s="2">
        <v>6652</v>
      </c>
      <c r="AN6655" s="33">
        <v>8.372541136462873E-3</v>
      </c>
      <c r="AO6655" s="33">
        <v>2.891508096110123E-4</v>
      </c>
    </row>
    <row r="6656" spans="39:41" x14ac:dyDescent="0.25">
      <c r="AM6656" s="2">
        <v>6653</v>
      </c>
      <c r="AN6656" s="33">
        <v>1.2570986808315429E-2</v>
      </c>
      <c r="AO6656" s="33">
        <v>1.0430890574315229E-3</v>
      </c>
    </row>
    <row r="6657" spans="39:41" x14ac:dyDescent="0.25">
      <c r="AM6657" s="2">
        <v>6654</v>
      </c>
      <c r="AN6657" s="33">
        <v>1.0142639991991605E-2</v>
      </c>
      <c r="AO6657" s="33">
        <v>4.0405865484167307E-4</v>
      </c>
    </row>
    <row r="6658" spans="39:41" x14ac:dyDescent="0.25">
      <c r="AM6658" s="2">
        <v>6655</v>
      </c>
      <c r="AN6658" s="33">
        <v>1.5983900173043963E-2</v>
      </c>
      <c r="AO6658" s="33">
        <v>8.926146146276048E-4</v>
      </c>
    </row>
    <row r="6659" spans="39:41" x14ac:dyDescent="0.25">
      <c r="AM6659" s="2">
        <v>6656</v>
      </c>
      <c r="AN6659" s="33">
        <v>1.4590381311966185E-2</v>
      </c>
      <c r="AO6659" s="33">
        <v>1.3742937240880731E-3</v>
      </c>
    </row>
    <row r="6660" spans="39:41" x14ac:dyDescent="0.25">
      <c r="AM6660" s="2">
        <v>6657</v>
      </c>
      <c r="AN6660" s="33">
        <v>1.0470525034105158E-2</v>
      </c>
      <c r="AO6660" s="33">
        <v>7.4805180417555103E-4</v>
      </c>
    </row>
    <row r="6661" spans="39:41" x14ac:dyDescent="0.25">
      <c r="AM6661" s="2">
        <v>6658</v>
      </c>
      <c r="AN6661" s="33">
        <v>1.0212421593468985E-2</v>
      </c>
      <c r="AO6661" s="33">
        <v>7.4286436478022435E-4</v>
      </c>
    </row>
    <row r="6662" spans="39:41" x14ac:dyDescent="0.25">
      <c r="AM6662" s="2">
        <v>6659</v>
      </c>
      <c r="AN6662" s="33">
        <v>1.1988477004440135E-2</v>
      </c>
      <c r="AO6662" s="33">
        <v>7.9179856041383645E-4</v>
      </c>
    </row>
    <row r="6663" spans="39:41" x14ac:dyDescent="0.25">
      <c r="AM6663" s="2">
        <v>6660</v>
      </c>
      <c r="AN6663" s="33">
        <v>1.4006643112246208E-2</v>
      </c>
      <c r="AO6663" s="33">
        <v>9.512474391608532E-4</v>
      </c>
    </row>
    <row r="6664" spans="39:41" x14ac:dyDescent="0.25">
      <c r="AM6664" s="2">
        <v>6661</v>
      </c>
      <c r="AN6664" s="33">
        <v>1.4420158334369566E-2</v>
      </c>
      <c r="AO6664" s="33">
        <v>1.0612713353503264E-3</v>
      </c>
    </row>
    <row r="6665" spans="39:41" x14ac:dyDescent="0.25">
      <c r="AM6665" s="2">
        <v>6662</v>
      </c>
      <c r="AN6665" s="33">
        <v>1.3082387767492418E-2</v>
      </c>
      <c r="AO6665" s="33">
        <v>1.1404952457108866E-3</v>
      </c>
    </row>
    <row r="6666" spans="39:41" x14ac:dyDescent="0.25">
      <c r="AM6666" s="2">
        <v>6663</v>
      </c>
      <c r="AN6666" s="33">
        <v>9.8998349067995119E-3</v>
      </c>
      <c r="AO6666" s="33">
        <v>3.2967949272301987E-4</v>
      </c>
    </row>
    <row r="6667" spans="39:41" x14ac:dyDescent="0.25">
      <c r="AM6667" s="2">
        <v>6664</v>
      </c>
      <c r="AN6667" s="33">
        <v>1.1503675810984094E-2</v>
      </c>
      <c r="AO6667" s="33">
        <v>8.9460984468243488E-4</v>
      </c>
    </row>
    <row r="6668" spans="39:41" x14ac:dyDescent="0.25">
      <c r="AM6668" s="2">
        <v>6665</v>
      </c>
      <c r="AN6668" s="33">
        <v>8.5510481464623894E-3</v>
      </c>
      <c r="AO6668" s="33">
        <v>6.0818482692397786E-4</v>
      </c>
    </row>
    <row r="6669" spans="39:41" x14ac:dyDescent="0.25">
      <c r="AM6669" s="2">
        <v>6666</v>
      </c>
      <c r="AN6669" s="33">
        <v>1.1750107931923747E-2</v>
      </c>
      <c r="AO6669" s="33">
        <v>9.3350056540502161E-4</v>
      </c>
    </row>
    <row r="6670" spans="39:41" x14ac:dyDescent="0.25">
      <c r="AM6670" s="2">
        <v>6667</v>
      </c>
      <c r="AN6670" s="33">
        <v>1.297953640082191E-2</v>
      </c>
      <c r="AO6670" s="33">
        <v>1.3057641321974349E-3</v>
      </c>
    </row>
    <row r="6671" spans="39:41" x14ac:dyDescent="0.25">
      <c r="AM6671" s="2">
        <v>6668</v>
      </c>
      <c r="AN6671" s="33">
        <v>1.5650846245530946E-2</v>
      </c>
      <c r="AO6671" s="33">
        <v>1.3127186606185566E-3</v>
      </c>
    </row>
    <row r="6672" spans="39:41" x14ac:dyDescent="0.25">
      <c r="AM6672" s="2">
        <v>6669</v>
      </c>
      <c r="AN6672" s="33">
        <v>8.4837065322656679E-3</v>
      </c>
      <c r="AO6672" s="33">
        <v>7.0295039377694002E-4</v>
      </c>
    </row>
    <row r="6673" spans="39:41" x14ac:dyDescent="0.25">
      <c r="AM6673" s="2">
        <v>6670</v>
      </c>
      <c r="AN6673" s="33">
        <v>1.2759414523406634E-2</v>
      </c>
      <c r="AO6673" s="33">
        <v>1.1527923509230525E-3</v>
      </c>
    </row>
    <row r="6674" spans="39:41" x14ac:dyDescent="0.25">
      <c r="AM6674" s="2">
        <v>6671</v>
      </c>
      <c r="AN6674" s="33">
        <v>9.2649455807335118E-3</v>
      </c>
      <c r="AO6674" s="33">
        <v>3.8542876134120985E-4</v>
      </c>
    </row>
    <row r="6675" spans="39:41" x14ac:dyDescent="0.25">
      <c r="AM6675" s="2">
        <v>6672</v>
      </c>
      <c r="AN6675" s="33">
        <v>1.2574883313445398E-2</v>
      </c>
      <c r="AO6675" s="33">
        <v>1.0118133614033626E-3</v>
      </c>
    </row>
    <row r="6676" spans="39:41" x14ac:dyDescent="0.25">
      <c r="AM6676" s="2">
        <v>6673</v>
      </c>
      <c r="AN6676" s="33">
        <v>1.501587363734175E-2</v>
      </c>
      <c r="AO6676" s="33">
        <v>8.1005367529994262E-4</v>
      </c>
    </row>
    <row r="6677" spans="39:41" x14ac:dyDescent="0.25">
      <c r="AM6677" s="2">
        <v>6674</v>
      </c>
      <c r="AN6677" s="33">
        <v>1.6420999180287898E-2</v>
      </c>
      <c r="AO6677" s="33">
        <v>1.3338194974578145E-3</v>
      </c>
    </row>
    <row r="6678" spans="39:41" x14ac:dyDescent="0.25">
      <c r="AM6678" s="2">
        <v>6675</v>
      </c>
      <c r="AN6678" s="33">
        <v>1.1378967775348863E-2</v>
      </c>
      <c r="AO6678" s="33">
        <v>8.2579924232437573E-4</v>
      </c>
    </row>
    <row r="6679" spans="39:41" x14ac:dyDescent="0.25">
      <c r="AM6679" s="2">
        <v>6676</v>
      </c>
      <c r="AN6679" s="33">
        <v>9.9408014999129157E-3</v>
      </c>
      <c r="AO6679" s="33">
        <v>7.1957237576744648E-4</v>
      </c>
    </row>
    <row r="6680" spans="39:41" x14ac:dyDescent="0.25">
      <c r="AM6680" s="2">
        <v>6677</v>
      </c>
      <c r="AN6680" s="33">
        <v>1.0124887064653134E-2</v>
      </c>
      <c r="AO6680" s="33">
        <v>5.0754301091312604E-4</v>
      </c>
    </row>
    <row r="6681" spans="39:41" x14ac:dyDescent="0.25">
      <c r="AM6681" s="2">
        <v>6678</v>
      </c>
      <c r="AN6681" s="33">
        <v>1.0726973842423106E-2</v>
      </c>
      <c r="AO6681" s="33">
        <v>7.9855327914375132E-4</v>
      </c>
    </row>
    <row r="6682" spans="39:41" x14ac:dyDescent="0.25">
      <c r="AM6682" s="2">
        <v>6679</v>
      </c>
      <c r="AN6682" s="33">
        <v>1.2308639078222881E-2</v>
      </c>
      <c r="AO6682" s="33">
        <v>1.0550501360304481E-3</v>
      </c>
    </row>
    <row r="6683" spans="39:41" x14ac:dyDescent="0.25">
      <c r="AM6683" s="2">
        <v>6680</v>
      </c>
      <c r="AN6683" s="33">
        <v>1.3718416550382209E-2</v>
      </c>
      <c r="AO6683" s="33">
        <v>1.2993831857597076E-3</v>
      </c>
    </row>
    <row r="6684" spans="39:41" x14ac:dyDescent="0.25">
      <c r="AM6684" s="2">
        <v>6681</v>
      </c>
      <c r="AN6684" s="33">
        <v>1.194009697057404E-2</v>
      </c>
      <c r="AO6684" s="33">
        <v>8.4733761845022374E-4</v>
      </c>
    </row>
    <row r="6685" spans="39:41" x14ac:dyDescent="0.25">
      <c r="AM6685" s="2">
        <v>6682</v>
      </c>
      <c r="AN6685" s="33">
        <v>1.4200278659126014E-2</v>
      </c>
      <c r="AO6685" s="33">
        <v>1.3651389293278988E-3</v>
      </c>
    </row>
    <row r="6686" spans="39:41" x14ac:dyDescent="0.25">
      <c r="AM6686" s="2">
        <v>6683</v>
      </c>
      <c r="AN6686" s="33">
        <v>8.1352659300067982E-3</v>
      </c>
      <c r="AO6686" s="33">
        <v>6.0206858548550002E-4</v>
      </c>
    </row>
    <row r="6687" spans="39:41" x14ac:dyDescent="0.25">
      <c r="AM6687" s="2">
        <v>6684</v>
      </c>
      <c r="AN6687" s="33">
        <v>1.2498953914312392E-2</v>
      </c>
      <c r="AO6687" s="33">
        <v>9.9540345383115122E-4</v>
      </c>
    </row>
    <row r="6688" spans="39:41" x14ac:dyDescent="0.25">
      <c r="AM6688" s="2">
        <v>6685</v>
      </c>
      <c r="AN6688" s="33">
        <v>9.2880275198722294E-3</v>
      </c>
      <c r="AO6688" s="33">
        <v>8.907266026239103E-4</v>
      </c>
    </row>
    <row r="6689" spans="39:41" x14ac:dyDescent="0.25">
      <c r="AM6689" s="2">
        <v>6686</v>
      </c>
      <c r="AN6689" s="33">
        <v>1.161570296392786E-2</v>
      </c>
      <c r="AO6689" s="33">
        <v>1.0679814387132558E-3</v>
      </c>
    </row>
    <row r="6690" spans="39:41" x14ac:dyDescent="0.25">
      <c r="AM6690" s="2">
        <v>6687</v>
      </c>
      <c r="AN6690" s="33">
        <v>1.0222744025687366E-2</v>
      </c>
      <c r="AO6690" s="33">
        <v>7.0592017408458482E-4</v>
      </c>
    </row>
    <row r="6691" spans="39:41" x14ac:dyDescent="0.25">
      <c r="AM6691" s="2">
        <v>6688</v>
      </c>
      <c r="AN6691" s="33">
        <v>1.1349530605763401E-2</v>
      </c>
      <c r="AO6691" s="33">
        <v>7.7005941964095341E-4</v>
      </c>
    </row>
    <row r="6692" spans="39:41" x14ac:dyDescent="0.25">
      <c r="AM6692" s="2">
        <v>6689</v>
      </c>
      <c r="AN6692" s="33">
        <v>1.041548233663166E-2</v>
      </c>
      <c r="AO6692" s="33">
        <v>7.6361958952373093E-4</v>
      </c>
    </row>
    <row r="6693" spans="39:41" x14ac:dyDescent="0.25">
      <c r="AM6693" s="2">
        <v>6690</v>
      </c>
      <c r="AN6693" s="33">
        <v>1.1494193830152023E-2</v>
      </c>
      <c r="AO6693" s="33">
        <v>8.1758057705925372E-4</v>
      </c>
    </row>
    <row r="6694" spans="39:41" x14ac:dyDescent="0.25">
      <c r="AM6694" s="2">
        <v>6691</v>
      </c>
      <c r="AN6694" s="33">
        <v>1.3710782080231436E-2</v>
      </c>
      <c r="AO6694" s="33">
        <v>1.302754810930776E-3</v>
      </c>
    </row>
    <row r="6695" spans="39:41" x14ac:dyDescent="0.25">
      <c r="AM6695" s="2">
        <v>6692</v>
      </c>
      <c r="AN6695" s="33">
        <v>1.0981957740691882E-2</v>
      </c>
      <c r="AO6695" s="33">
        <v>7.0525126074587221E-4</v>
      </c>
    </row>
    <row r="6696" spans="39:41" x14ac:dyDescent="0.25">
      <c r="AM6696" s="2">
        <v>6693</v>
      </c>
      <c r="AN6696" s="33">
        <v>9.349942296538901E-3</v>
      </c>
      <c r="AO6696" s="33">
        <v>5.5746986368734007E-4</v>
      </c>
    </row>
    <row r="6697" spans="39:41" x14ac:dyDescent="0.25">
      <c r="AM6697" s="2">
        <v>6694</v>
      </c>
      <c r="AN6697" s="33">
        <v>9.0910839730897995E-3</v>
      </c>
      <c r="AO6697" s="33">
        <v>5.3806015005020385E-4</v>
      </c>
    </row>
    <row r="6698" spans="39:41" x14ac:dyDescent="0.25">
      <c r="AM6698" s="2">
        <v>6695</v>
      </c>
      <c r="AN6698" s="33">
        <v>1.0207433793853809E-2</v>
      </c>
      <c r="AO6698" s="33">
        <v>6.1476635215158934E-4</v>
      </c>
    </row>
    <row r="6699" spans="39:41" x14ac:dyDescent="0.25">
      <c r="AM6699" s="2">
        <v>6696</v>
      </c>
      <c r="AN6699" s="33">
        <v>1.6693354635129519E-2</v>
      </c>
      <c r="AO6699" s="33">
        <v>1.5237298253418555E-3</v>
      </c>
    </row>
    <row r="6700" spans="39:41" x14ac:dyDescent="0.25">
      <c r="AM6700" s="2">
        <v>6697</v>
      </c>
      <c r="AN6700" s="33">
        <v>1.3032905401107334E-2</v>
      </c>
      <c r="AO6700" s="33">
        <v>1.3656778775549784E-3</v>
      </c>
    </row>
    <row r="6701" spans="39:41" x14ac:dyDescent="0.25">
      <c r="AM6701" s="2">
        <v>6698</v>
      </c>
      <c r="AN6701" s="33">
        <v>1.3201926800067111E-2</v>
      </c>
      <c r="AO6701" s="33">
        <v>3.4130074288232521E-4</v>
      </c>
    </row>
    <row r="6702" spans="39:41" x14ac:dyDescent="0.25">
      <c r="AM6702" s="2">
        <v>6699</v>
      </c>
      <c r="AN6702" s="33">
        <v>1.4148819372351131E-2</v>
      </c>
      <c r="AO6702" s="33">
        <v>1.2277666904814174E-3</v>
      </c>
    </row>
    <row r="6703" spans="39:41" x14ac:dyDescent="0.25">
      <c r="AM6703" s="2">
        <v>6700</v>
      </c>
      <c r="AN6703" s="33">
        <v>1.2064199897459016E-2</v>
      </c>
      <c r="AO6703" s="33">
        <v>4.6292537778553424E-4</v>
      </c>
    </row>
    <row r="6704" spans="39:41" x14ac:dyDescent="0.25">
      <c r="AM6704" s="2">
        <v>6701</v>
      </c>
      <c r="AN6704" s="33">
        <v>1.2261109113451183E-2</v>
      </c>
      <c r="AO6704" s="33">
        <v>1.0160128587604516E-3</v>
      </c>
    </row>
    <row r="6705" spans="39:41" x14ac:dyDescent="0.25">
      <c r="AM6705" s="2">
        <v>6702</v>
      </c>
      <c r="AN6705" s="33">
        <v>1.4916337506790816E-2</v>
      </c>
      <c r="AO6705" s="33">
        <v>1.1095868989968328E-3</v>
      </c>
    </row>
    <row r="6706" spans="39:41" x14ac:dyDescent="0.25">
      <c r="AM6706" s="2">
        <v>6703</v>
      </c>
      <c r="AN6706" s="33">
        <v>1.0569214336913586E-2</v>
      </c>
      <c r="AO6706" s="33">
        <v>8.5742171459602344E-4</v>
      </c>
    </row>
    <row r="6707" spans="39:41" x14ac:dyDescent="0.25">
      <c r="AM6707" s="2">
        <v>6704</v>
      </c>
      <c r="AN6707" s="33">
        <v>1.0428868818142726E-2</v>
      </c>
      <c r="AO6707" s="33">
        <v>9.2559904630824179E-4</v>
      </c>
    </row>
    <row r="6708" spans="39:41" x14ac:dyDescent="0.25">
      <c r="AM6708" s="2">
        <v>6705</v>
      </c>
      <c r="AN6708" s="33">
        <v>1.5663806178721037E-2</v>
      </c>
      <c r="AO6708" s="33">
        <v>1.3296053463227298E-3</v>
      </c>
    </row>
    <row r="6709" spans="39:41" x14ac:dyDescent="0.25">
      <c r="AM6709" s="2">
        <v>6706</v>
      </c>
      <c r="AN6709" s="33">
        <v>1.0539649821938432E-2</v>
      </c>
      <c r="AO6709" s="33">
        <v>2.7395315666800632E-4</v>
      </c>
    </row>
    <row r="6710" spans="39:41" x14ac:dyDescent="0.25">
      <c r="AM6710" s="2">
        <v>6707</v>
      </c>
      <c r="AN6710" s="33">
        <v>9.6394990771131069E-3</v>
      </c>
      <c r="AO6710" s="33">
        <v>1.038748480799879E-3</v>
      </c>
    </row>
    <row r="6711" spans="39:41" x14ac:dyDescent="0.25">
      <c r="AM6711" s="2">
        <v>6708</v>
      </c>
      <c r="AN6711" s="33">
        <v>1.3189305591095166E-2</v>
      </c>
      <c r="AO6711" s="33">
        <v>9.8240946955394657E-4</v>
      </c>
    </row>
    <row r="6712" spans="39:41" x14ac:dyDescent="0.25">
      <c r="AM6712" s="2">
        <v>6709</v>
      </c>
      <c r="AN6712" s="33">
        <v>1.0742578684459957E-2</v>
      </c>
      <c r="AO6712" s="33">
        <v>4.9441970779757506E-4</v>
      </c>
    </row>
    <row r="6713" spans="39:41" x14ac:dyDescent="0.25">
      <c r="AM6713" s="2">
        <v>6710</v>
      </c>
      <c r="AN6713" s="33">
        <v>1.0174384483550833E-2</v>
      </c>
      <c r="AO6713" s="33">
        <v>6.9134871403182644E-4</v>
      </c>
    </row>
    <row r="6714" spans="39:41" x14ac:dyDescent="0.25">
      <c r="AM6714" s="2">
        <v>6711</v>
      </c>
      <c r="AN6714" s="33">
        <v>1.0605762633154261E-2</v>
      </c>
      <c r="AO6714" s="33">
        <v>2.984291112552927E-4</v>
      </c>
    </row>
    <row r="6715" spans="39:41" x14ac:dyDescent="0.25">
      <c r="AM6715" s="2">
        <v>6712</v>
      </c>
      <c r="AN6715" s="33">
        <v>9.755080880749006E-3</v>
      </c>
      <c r="AO6715" s="33">
        <v>6.0815569526714776E-4</v>
      </c>
    </row>
    <row r="6716" spans="39:41" x14ac:dyDescent="0.25">
      <c r="AM6716" s="2">
        <v>6713</v>
      </c>
      <c r="AN6716" s="33">
        <v>9.050425343257144E-3</v>
      </c>
      <c r="AO6716" s="33">
        <v>5.7590280914504143E-4</v>
      </c>
    </row>
    <row r="6717" spans="39:41" x14ac:dyDescent="0.25">
      <c r="AM6717" s="2">
        <v>6714</v>
      </c>
      <c r="AN6717" s="33">
        <v>1.1588945796410321E-2</v>
      </c>
      <c r="AO6717" s="33">
        <v>1.0244411464412238E-3</v>
      </c>
    </row>
    <row r="6718" spans="39:41" x14ac:dyDescent="0.25">
      <c r="AM6718" s="2">
        <v>6715</v>
      </c>
      <c r="AN6718" s="33">
        <v>8.9045575988448596E-3</v>
      </c>
      <c r="AO6718" s="33">
        <v>3.4060898926991691E-4</v>
      </c>
    </row>
    <row r="6719" spans="39:41" x14ac:dyDescent="0.25">
      <c r="AM6719" s="2">
        <v>6716</v>
      </c>
      <c r="AN6719" s="33">
        <v>8.3849477189566462E-3</v>
      </c>
      <c r="AO6719" s="33">
        <v>5.6087215364452171E-4</v>
      </c>
    </row>
    <row r="6720" spans="39:41" x14ac:dyDescent="0.25">
      <c r="AM6720" s="2">
        <v>6717</v>
      </c>
      <c r="AN6720" s="33">
        <v>1.2930031883586794E-2</v>
      </c>
      <c r="AO6720" s="33">
        <v>1.3649288810453999E-3</v>
      </c>
    </row>
    <row r="6721" spans="39:41" x14ac:dyDescent="0.25">
      <c r="AM6721" s="2">
        <v>6718</v>
      </c>
      <c r="AN6721" s="33">
        <v>1.1757769323610468E-2</v>
      </c>
      <c r="AO6721" s="33">
        <v>3.3808133175041377E-4</v>
      </c>
    </row>
    <row r="6722" spans="39:41" x14ac:dyDescent="0.25">
      <c r="AM6722" s="2">
        <v>6719</v>
      </c>
      <c r="AN6722" s="33">
        <v>1.0171931081562653E-2</v>
      </c>
      <c r="AO6722" s="33">
        <v>9.7688891910849155E-4</v>
      </c>
    </row>
    <row r="6723" spans="39:41" x14ac:dyDescent="0.25">
      <c r="AM6723" s="2">
        <v>6720</v>
      </c>
      <c r="AN6723" s="33">
        <v>1.3682913669192512E-2</v>
      </c>
      <c r="AO6723" s="33">
        <v>5.8853833939240404E-4</v>
      </c>
    </row>
    <row r="6724" spans="39:41" x14ac:dyDescent="0.25">
      <c r="AM6724" s="2">
        <v>6721</v>
      </c>
      <c r="AN6724" s="33">
        <v>1.0091540734750973E-2</v>
      </c>
      <c r="AO6724" s="33">
        <v>5.6430202878258258E-4</v>
      </c>
    </row>
    <row r="6725" spans="39:41" x14ac:dyDescent="0.25">
      <c r="AM6725" s="2">
        <v>6722</v>
      </c>
      <c r="AN6725" s="33">
        <v>9.7146595339544436E-3</v>
      </c>
      <c r="AO6725" s="33">
        <v>5.9077537418956582E-4</v>
      </c>
    </row>
    <row r="6726" spans="39:41" x14ac:dyDescent="0.25">
      <c r="AM6726" s="2">
        <v>6723</v>
      </c>
      <c r="AN6726" s="33">
        <v>1.566542810208504E-2</v>
      </c>
      <c r="AO6726" s="33">
        <v>1.5786623920341805E-3</v>
      </c>
    </row>
    <row r="6727" spans="39:41" x14ac:dyDescent="0.25">
      <c r="AM6727" s="2">
        <v>6724</v>
      </c>
      <c r="AN6727" s="33">
        <v>1.1840583121916944E-2</v>
      </c>
      <c r="AO6727" s="33">
        <v>6.85489280754478E-4</v>
      </c>
    </row>
    <row r="6728" spans="39:41" x14ac:dyDescent="0.25">
      <c r="AM6728" s="2">
        <v>6725</v>
      </c>
      <c r="AN6728" s="33">
        <v>1.3926867237758277E-2</v>
      </c>
      <c r="AO6728" s="33">
        <v>1.3781685682001871E-3</v>
      </c>
    </row>
    <row r="6729" spans="39:41" x14ac:dyDescent="0.25">
      <c r="AM6729" s="2">
        <v>6726</v>
      </c>
      <c r="AN6729" s="33">
        <v>1.1104222353437897E-2</v>
      </c>
      <c r="AO6729" s="33">
        <v>8.2432602175087791E-4</v>
      </c>
    </row>
    <row r="6730" spans="39:41" x14ac:dyDescent="0.25">
      <c r="AM6730" s="2">
        <v>6727</v>
      </c>
      <c r="AN6730" s="33">
        <v>1.1986678679957811E-2</v>
      </c>
      <c r="AO6730" s="33">
        <v>1.0552377694748351E-3</v>
      </c>
    </row>
    <row r="6731" spans="39:41" x14ac:dyDescent="0.25">
      <c r="AM6731" s="2">
        <v>6728</v>
      </c>
      <c r="AN6731" s="33">
        <v>1.4207550611903121E-2</v>
      </c>
      <c r="AO6731" s="33">
        <v>1.1039128351959849E-3</v>
      </c>
    </row>
    <row r="6732" spans="39:41" x14ac:dyDescent="0.25">
      <c r="AM6732" s="2">
        <v>6729</v>
      </c>
      <c r="AN6732" s="33">
        <v>1.321467896173921E-2</v>
      </c>
      <c r="AO6732" s="33">
        <v>1.1975010724901303E-3</v>
      </c>
    </row>
    <row r="6733" spans="39:41" x14ac:dyDescent="0.25">
      <c r="AM6733" s="2">
        <v>6730</v>
      </c>
      <c r="AN6733" s="33">
        <v>1.2374807723757915E-2</v>
      </c>
      <c r="AO6733" s="33">
        <v>6.749809548124157E-4</v>
      </c>
    </row>
    <row r="6734" spans="39:41" x14ac:dyDescent="0.25">
      <c r="AM6734" s="2">
        <v>6731</v>
      </c>
      <c r="AN6734" s="33">
        <v>1.4781346803803179E-2</v>
      </c>
      <c r="AO6734" s="33">
        <v>9.9394081480948335E-4</v>
      </c>
    </row>
    <row r="6735" spans="39:41" x14ac:dyDescent="0.25">
      <c r="AM6735" s="2">
        <v>6732</v>
      </c>
      <c r="AN6735" s="33">
        <v>1.2792147677419836E-2</v>
      </c>
      <c r="AO6735" s="33">
        <v>8.6500945485212832E-4</v>
      </c>
    </row>
    <row r="6736" spans="39:41" x14ac:dyDescent="0.25">
      <c r="AM6736" s="2">
        <v>6733</v>
      </c>
      <c r="AN6736" s="33">
        <v>1.2299103394391338E-2</v>
      </c>
      <c r="AO6736" s="33">
        <v>9.6985608320634823E-4</v>
      </c>
    </row>
    <row r="6737" spans="39:41" x14ac:dyDescent="0.25">
      <c r="AM6737" s="2">
        <v>6734</v>
      </c>
      <c r="AN6737" s="33">
        <v>1.7718735246059984E-2</v>
      </c>
      <c r="AO6737" s="33">
        <v>1.8797712738785046E-3</v>
      </c>
    </row>
    <row r="6738" spans="39:41" x14ac:dyDescent="0.25">
      <c r="AM6738" s="2">
        <v>6735</v>
      </c>
      <c r="AN6738" s="33">
        <v>9.6096985932768945E-3</v>
      </c>
      <c r="AO6738" s="33">
        <v>6.7282727548005172E-4</v>
      </c>
    </row>
    <row r="6739" spans="39:41" x14ac:dyDescent="0.25">
      <c r="AM6739" s="2">
        <v>6736</v>
      </c>
      <c r="AN6739" s="33">
        <v>1.0000866358928379E-2</v>
      </c>
      <c r="AO6739" s="33">
        <v>4.7787018901479961E-4</v>
      </c>
    </row>
    <row r="6740" spans="39:41" x14ac:dyDescent="0.25">
      <c r="AM6740" s="2">
        <v>6737</v>
      </c>
      <c r="AN6740" s="33">
        <v>9.7407601130193276E-3</v>
      </c>
      <c r="AO6740" s="33">
        <v>5.1387527046877683E-4</v>
      </c>
    </row>
    <row r="6741" spans="39:41" x14ac:dyDescent="0.25">
      <c r="AM6741" s="2">
        <v>6738</v>
      </c>
      <c r="AN6741" s="33">
        <v>1.3111520620084745E-2</v>
      </c>
      <c r="AO6741" s="33">
        <v>5.9594734975118742E-4</v>
      </c>
    </row>
    <row r="6742" spans="39:41" x14ac:dyDescent="0.25">
      <c r="AM6742" s="2">
        <v>6739</v>
      </c>
      <c r="AN6742" s="33">
        <v>1.0131308060512814E-2</v>
      </c>
      <c r="AO6742" s="33">
        <v>7.4851124741433022E-4</v>
      </c>
    </row>
    <row r="6743" spans="39:41" x14ac:dyDescent="0.25">
      <c r="AM6743" s="2">
        <v>6740</v>
      </c>
      <c r="AN6743" s="33">
        <v>1.1682879887078881E-2</v>
      </c>
      <c r="AO6743" s="33">
        <v>9.1361339130235659E-4</v>
      </c>
    </row>
    <row r="6744" spans="39:41" x14ac:dyDescent="0.25">
      <c r="AM6744" s="2">
        <v>6741</v>
      </c>
      <c r="AN6744" s="33">
        <v>1.2358218860514875E-2</v>
      </c>
      <c r="AO6744" s="33">
        <v>5.473889286751048E-4</v>
      </c>
    </row>
    <row r="6745" spans="39:41" x14ac:dyDescent="0.25">
      <c r="AM6745" s="2">
        <v>6742</v>
      </c>
      <c r="AN6745" s="33">
        <v>1.5032269643716267E-2</v>
      </c>
      <c r="AO6745" s="33">
        <v>1.476148309460585E-3</v>
      </c>
    </row>
    <row r="6746" spans="39:41" x14ac:dyDescent="0.25">
      <c r="AM6746" s="2">
        <v>6743</v>
      </c>
      <c r="AN6746" s="33">
        <v>1.0628119589866565E-2</v>
      </c>
      <c r="AO6746" s="33">
        <v>9.4239026812729292E-4</v>
      </c>
    </row>
    <row r="6747" spans="39:41" x14ac:dyDescent="0.25">
      <c r="AM6747" s="2">
        <v>6744</v>
      </c>
      <c r="AN6747" s="33">
        <v>1.0223227030725854E-2</v>
      </c>
      <c r="AO6747" s="33">
        <v>8.5099880249729599E-4</v>
      </c>
    </row>
    <row r="6748" spans="39:41" x14ac:dyDescent="0.25">
      <c r="AM6748" s="2">
        <v>6745</v>
      </c>
      <c r="AN6748" s="33">
        <v>1.1111486196585261E-2</v>
      </c>
      <c r="AO6748" s="33">
        <v>8.6399864083400255E-4</v>
      </c>
    </row>
    <row r="6749" spans="39:41" x14ac:dyDescent="0.25">
      <c r="AM6749" s="2">
        <v>6746</v>
      </c>
      <c r="AN6749" s="33">
        <v>1.0975416162392797E-2</v>
      </c>
      <c r="AO6749" s="33">
        <v>7.8470602649960864E-4</v>
      </c>
    </row>
    <row r="6750" spans="39:41" x14ac:dyDescent="0.25">
      <c r="AM6750" s="2">
        <v>6747</v>
      </c>
      <c r="AN6750" s="33">
        <v>1.2867727624715608E-2</v>
      </c>
      <c r="AO6750" s="33">
        <v>1.0505654274311771E-3</v>
      </c>
    </row>
    <row r="6751" spans="39:41" x14ac:dyDescent="0.25">
      <c r="AM6751" s="2">
        <v>6748</v>
      </c>
      <c r="AN6751" s="33">
        <v>1.0800387781335245E-2</v>
      </c>
      <c r="AO6751" s="33">
        <v>9.3771730946089736E-4</v>
      </c>
    </row>
    <row r="6752" spans="39:41" x14ac:dyDescent="0.25">
      <c r="AM6752" s="2">
        <v>6749</v>
      </c>
      <c r="AN6752" s="33">
        <v>1.0578512277476812E-2</v>
      </c>
      <c r="AO6752" s="33">
        <v>7.6186357589243009E-4</v>
      </c>
    </row>
    <row r="6753" spans="39:41" x14ac:dyDescent="0.25">
      <c r="AM6753" s="2">
        <v>6750</v>
      </c>
      <c r="AN6753" s="33">
        <v>1.1086365708636726E-2</v>
      </c>
      <c r="AO6753" s="33">
        <v>6.2784788327675887E-4</v>
      </c>
    </row>
    <row r="6754" spans="39:41" x14ac:dyDescent="0.25">
      <c r="AM6754" s="2">
        <v>6751</v>
      </c>
      <c r="AN6754" s="33">
        <v>1.316017974345233E-2</v>
      </c>
      <c r="AO6754" s="33">
        <v>1.0780691399575497E-3</v>
      </c>
    </row>
    <row r="6755" spans="39:41" x14ac:dyDescent="0.25">
      <c r="AM6755" s="2">
        <v>6752</v>
      </c>
      <c r="AN6755" s="33">
        <v>1.4122957033928539E-2</v>
      </c>
      <c r="AO6755" s="33">
        <v>1.0083160091417089E-3</v>
      </c>
    </row>
    <row r="6756" spans="39:41" x14ac:dyDescent="0.25">
      <c r="AM6756" s="2">
        <v>6753</v>
      </c>
      <c r="AN6756" s="33">
        <v>1.3406241758032804E-2</v>
      </c>
      <c r="AO6756" s="33">
        <v>9.6322465588323286E-4</v>
      </c>
    </row>
    <row r="6757" spans="39:41" x14ac:dyDescent="0.25">
      <c r="AM6757" s="2">
        <v>6754</v>
      </c>
      <c r="AN6757" s="33">
        <v>1.8284527318636671E-2</v>
      </c>
      <c r="AO6757" s="33">
        <v>1.465925563292915E-3</v>
      </c>
    </row>
    <row r="6758" spans="39:41" x14ac:dyDescent="0.25">
      <c r="AM6758" s="2">
        <v>6755</v>
      </c>
      <c r="AN6758" s="33">
        <v>9.4440361814047726E-3</v>
      </c>
      <c r="AO6758" s="33">
        <v>6.6304743650261427E-4</v>
      </c>
    </row>
    <row r="6759" spans="39:41" x14ac:dyDescent="0.25">
      <c r="AM6759" s="2">
        <v>6756</v>
      </c>
      <c r="AN6759" s="33">
        <v>1.2035850859974009E-2</v>
      </c>
      <c r="AO6759" s="33">
        <v>9.3987836945703973E-4</v>
      </c>
    </row>
    <row r="6760" spans="39:41" x14ac:dyDescent="0.25">
      <c r="AM6760" s="2">
        <v>6757</v>
      </c>
      <c r="AN6760" s="33">
        <v>8.2636466076159622E-3</v>
      </c>
      <c r="AO6760" s="33">
        <v>3.746044051396915E-4</v>
      </c>
    </row>
    <row r="6761" spans="39:41" x14ac:dyDescent="0.25">
      <c r="AM6761" s="2">
        <v>6758</v>
      </c>
      <c r="AN6761" s="33">
        <v>1.1959328079183953E-2</v>
      </c>
      <c r="AO6761" s="33">
        <v>9.7866244115907253E-4</v>
      </c>
    </row>
    <row r="6762" spans="39:41" x14ac:dyDescent="0.25">
      <c r="AM6762" s="2">
        <v>6759</v>
      </c>
      <c r="AN6762" s="33">
        <v>1.350661468221121E-2</v>
      </c>
      <c r="AO6762" s="33">
        <v>9.8240330917417408E-4</v>
      </c>
    </row>
    <row r="6763" spans="39:41" x14ac:dyDescent="0.25">
      <c r="AM6763" s="2">
        <v>6760</v>
      </c>
      <c r="AN6763" s="33">
        <v>1.0124758960889432E-2</v>
      </c>
      <c r="AO6763" s="33">
        <v>7.5423989293048473E-4</v>
      </c>
    </row>
    <row r="6764" spans="39:41" x14ac:dyDescent="0.25">
      <c r="AM6764" s="2">
        <v>6761</v>
      </c>
      <c r="AN6764" s="33">
        <v>9.6445658516395045E-3</v>
      </c>
      <c r="AO6764" s="33">
        <v>8.9333685697247107E-4</v>
      </c>
    </row>
    <row r="6765" spans="39:41" x14ac:dyDescent="0.25">
      <c r="AM6765" s="2">
        <v>6762</v>
      </c>
      <c r="AN6765" s="33">
        <v>1.1201757468170552E-2</v>
      </c>
      <c r="AO6765" s="33">
        <v>9.8189881338986342E-4</v>
      </c>
    </row>
    <row r="6766" spans="39:41" x14ac:dyDescent="0.25">
      <c r="AM6766" s="2">
        <v>6763</v>
      </c>
      <c r="AN6766" s="33">
        <v>1.3745032583315173E-2</v>
      </c>
      <c r="AO6766" s="33">
        <v>1.0599093867677478E-3</v>
      </c>
    </row>
    <row r="6767" spans="39:41" x14ac:dyDescent="0.25">
      <c r="AM6767" s="2">
        <v>6764</v>
      </c>
      <c r="AN6767" s="33">
        <v>1.292496838992776E-2</v>
      </c>
      <c r="AO6767" s="33">
        <v>9.6014199680093918E-4</v>
      </c>
    </row>
    <row r="6768" spans="39:41" x14ac:dyDescent="0.25">
      <c r="AM6768" s="2">
        <v>6765</v>
      </c>
      <c r="AN6768" s="33">
        <v>1.2771675483593842E-2</v>
      </c>
      <c r="AO6768" s="33">
        <v>8.8264302736078975E-4</v>
      </c>
    </row>
    <row r="6769" spans="39:41" x14ac:dyDescent="0.25">
      <c r="AM6769" s="2">
        <v>6766</v>
      </c>
      <c r="AN6769" s="33">
        <v>1.2437729149521449E-2</v>
      </c>
      <c r="AO6769" s="33">
        <v>1.1603853765076448E-3</v>
      </c>
    </row>
    <row r="6770" spans="39:41" x14ac:dyDescent="0.25">
      <c r="AM6770" s="2">
        <v>6767</v>
      </c>
      <c r="AN6770" s="33">
        <v>1.3781838976730241E-2</v>
      </c>
      <c r="AO6770" s="33">
        <v>1.2596476967580189E-3</v>
      </c>
    </row>
    <row r="6771" spans="39:41" x14ac:dyDescent="0.25">
      <c r="AM6771" s="2">
        <v>6768</v>
      </c>
      <c r="AN6771" s="33">
        <v>9.6924910457591787E-3</v>
      </c>
      <c r="AO6771" s="33">
        <v>6.5320588507845596E-4</v>
      </c>
    </row>
    <row r="6772" spans="39:41" x14ac:dyDescent="0.25">
      <c r="AM6772" s="2">
        <v>6769</v>
      </c>
      <c r="AN6772" s="33">
        <v>1.1766273339884205E-2</v>
      </c>
      <c r="AO6772" s="33">
        <v>7.9330251821496623E-4</v>
      </c>
    </row>
    <row r="6773" spans="39:41" x14ac:dyDescent="0.25">
      <c r="AM6773" s="2">
        <v>6770</v>
      </c>
      <c r="AN6773" s="33">
        <v>9.3337349609614352E-3</v>
      </c>
      <c r="AO6773" s="33">
        <v>6.7538119566788648E-4</v>
      </c>
    </row>
    <row r="6774" spans="39:41" x14ac:dyDescent="0.25">
      <c r="AM6774" s="2">
        <v>6771</v>
      </c>
      <c r="AN6774" s="33">
        <v>1.3767710935564953E-2</v>
      </c>
      <c r="AO6774" s="33">
        <v>1.1130428078411098E-3</v>
      </c>
    </row>
    <row r="6775" spans="39:41" x14ac:dyDescent="0.25">
      <c r="AM6775" s="2">
        <v>6772</v>
      </c>
      <c r="AN6775" s="33">
        <v>1.0019724486683684E-2</v>
      </c>
      <c r="AO6775" s="33">
        <v>2.7221738646957894E-4</v>
      </c>
    </row>
    <row r="6776" spans="39:41" x14ac:dyDescent="0.25">
      <c r="AM6776" s="2">
        <v>6773</v>
      </c>
      <c r="AN6776" s="33">
        <v>1.0242191227764499E-2</v>
      </c>
      <c r="AO6776" s="33">
        <v>1.0237204565253118E-3</v>
      </c>
    </row>
    <row r="6777" spans="39:41" x14ac:dyDescent="0.25">
      <c r="AM6777" s="2">
        <v>6774</v>
      </c>
      <c r="AN6777" s="33">
        <v>1.0844223760712429E-2</v>
      </c>
      <c r="AO6777" s="33">
        <v>9.880499889220757E-4</v>
      </c>
    </row>
    <row r="6778" spans="39:41" x14ac:dyDescent="0.25">
      <c r="AM6778" s="2">
        <v>6775</v>
      </c>
      <c r="AN6778" s="33">
        <v>1.2956873237585206E-2</v>
      </c>
      <c r="AO6778" s="33">
        <v>1.1513222529318389E-3</v>
      </c>
    </row>
    <row r="6779" spans="39:41" x14ac:dyDescent="0.25">
      <c r="AM6779" s="2">
        <v>6776</v>
      </c>
      <c r="AN6779" s="33">
        <v>1.2206975150461815E-2</v>
      </c>
      <c r="AO6779" s="33">
        <v>9.0243296043537153E-4</v>
      </c>
    </row>
    <row r="6780" spans="39:41" x14ac:dyDescent="0.25">
      <c r="AM6780" s="2">
        <v>6777</v>
      </c>
      <c r="AN6780" s="33">
        <v>7.4652177244492269E-3</v>
      </c>
      <c r="AO6780" s="33">
        <v>3.5620274059238301E-4</v>
      </c>
    </row>
    <row r="6781" spans="39:41" x14ac:dyDescent="0.25">
      <c r="AM6781" s="2">
        <v>6778</v>
      </c>
      <c r="AN6781" s="33">
        <v>1.2769643902812556E-2</v>
      </c>
      <c r="AO6781" s="33">
        <v>8.7811880375857629E-4</v>
      </c>
    </row>
    <row r="6782" spans="39:41" x14ac:dyDescent="0.25">
      <c r="AM6782" s="2">
        <v>6779</v>
      </c>
      <c r="AN6782" s="33">
        <v>1.6312200836107082E-2</v>
      </c>
      <c r="AO6782" s="33">
        <v>1.3475133521418791E-3</v>
      </c>
    </row>
    <row r="6783" spans="39:41" x14ac:dyDescent="0.25">
      <c r="AM6783" s="2">
        <v>6780</v>
      </c>
      <c r="AN6783" s="33">
        <v>1.1701423066441069E-2</v>
      </c>
      <c r="AO6783" s="33">
        <v>7.4762130101136304E-4</v>
      </c>
    </row>
    <row r="6784" spans="39:41" x14ac:dyDescent="0.25">
      <c r="AM6784" s="2">
        <v>6781</v>
      </c>
      <c r="AN6784" s="33">
        <v>1.2612989826575133E-2</v>
      </c>
      <c r="AO6784" s="33">
        <v>1.043083096821389E-3</v>
      </c>
    </row>
    <row r="6785" spans="39:41" x14ac:dyDescent="0.25">
      <c r="AM6785" s="2">
        <v>6782</v>
      </c>
      <c r="AN6785" s="33">
        <v>1.1206161674816173E-2</v>
      </c>
      <c r="AO6785" s="33">
        <v>9.7007093543398251E-4</v>
      </c>
    </row>
    <row r="6786" spans="39:41" x14ac:dyDescent="0.25">
      <c r="AM6786" s="2">
        <v>6783</v>
      </c>
      <c r="AN6786" s="33">
        <v>9.2677699528674849E-3</v>
      </c>
      <c r="AO6786" s="33">
        <v>7.6126246867090359E-4</v>
      </c>
    </row>
    <row r="6787" spans="39:41" x14ac:dyDescent="0.25">
      <c r="AM6787" s="2">
        <v>6784</v>
      </c>
      <c r="AN6787" s="33">
        <v>8.893492602886223E-3</v>
      </c>
      <c r="AO6787" s="33">
        <v>7.4926894962922712E-4</v>
      </c>
    </row>
    <row r="6788" spans="39:41" x14ac:dyDescent="0.25">
      <c r="AM6788" s="2">
        <v>6785</v>
      </c>
      <c r="AN6788" s="33">
        <v>9.7112996453591043E-3</v>
      </c>
      <c r="AO6788" s="33">
        <v>4.7872835497679686E-4</v>
      </c>
    </row>
    <row r="6789" spans="39:41" x14ac:dyDescent="0.25">
      <c r="AM6789" s="2">
        <v>6786</v>
      </c>
      <c r="AN6789" s="33">
        <v>1.0621549482374688E-2</v>
      </c>
      <c r="AO6789" s="33">
        <v>5.8906836044455581E-4</v>
      </c>
    </row>
    <row r="6790" spans="39:41" x14ac:dyDescent="0.25">
      <c r="AM6790" s="2">
        <v>6787</v>
      </c>
      <c r="AN6790" s="33">
        <v>1.102084225674043E-2</v>
      </c>
      <c r="AO6790" s="33">
        <v>6.856250447516795E-4</v>
      </c>
    </row>
    <row r="6791" spans="39:41" x14ac:dyDescent="0.25">
      <c r="AM6791" s="2">
        <v>6788</v>
      </c>
      <c r="AN6791" s="33">
        <v>1.0239150726947031E-2</v>
      </c>
      <c r="AO6791" s="33">
        <v>7.765874303140766E-4</v>
      </c>
    </row>
    <row r="6792" spans="39:41" x14ac:dyDescent="0.25">
      <c r="AM6792" s="2">
        <v>6789</v>
      </c>
      <c r="AN6792" s="33">
        <v>1.1799404536284051E-2</v>
      </c>
      <c r="AO6792" s="33">
        <v>8.0939489881807071E-4</v>
      </c>
    </row>
    <row r="6793" spans="39:41" x14ac:dyDescent="0.25">
      <c r="AM6793" s="2">
        <v>6790</v>
      </c>
      <c r="AN6793" s="33">
        <v>9.6967421088166809E-3</v>
      </c>
      <c r="AO6793" s="33">
        <v>2.598802058522713E-4</v>
      </c>
    </row>
    <row r="6794" spans="39:41" x14ac:dyDescent="0.25">
      <c r="AM6794" s="2">
        <v>6791</v>
      </c>
      <c r="AN6794" s="33">
        <v>1.2749911369033157E-2</v>
      </c>
      <c r="AO6794" s="33">
        <v>1.0847966511705798E-3</v>
      </c>
    </row>
    <row r="6795" spans="39:41" x14ac:dyDescent="0.25">
      <c r="AM6795" s="2">
        <v>6792</v>
      </c>
      <c r="AN6795" s="33">
        <v>1.0842639822435315E-2</v>
      </c>
      <c r="AO6795" s="33">
        <v>2.5402320455207035E-4</v>
      </c>
    </row>
    <row r="6796" spans="39:41" x14ac:dyDescent="0.25">
      <c r="AM6796" s="2">
        <v>6793</v>
      </c>
      <c r="AN6796" s="33">
        <v>9.6902899129734082E-3</v>
      </c>
      <c r="AO6796" s="33">
        <v>4.1534231367366378E-4</v>
      </c>
    </row>
    <row r="6797" spans="39:41" x14ac:dyDescent="0.25">
      <c r="AM6797" s="2">
        <v>6794</v>
      </c>
      <c r="AN6797" s="33">
        <v>1.2668738659508077E-2</v>
      </c>
      <c r="AO6797" s="33">
        <v>9.2154869590646571E-4</v>
      </c>
    </row>
    <row r="6798" spans="39:41" x14ac:dyDescent="0.25">
      <c r="AM6798" s="2">
        <v>6795</v>
      </c>
      <c r="AN6798" s="33">
        <v>1.0227517191534793E-2</v>
      </c>
      <c r="AO6798" s="33">
        <v>3.2125661772049727E-4</v>
      </c>
    </row>
    <row r="6799" spans="39:41" x14ac:dyDescent="0.25">
      <c r="AM6799" s="2">
        <v>6796</v>
      </c>
      <c r="AN6799" s="33">
        <v>1.3810111100214302E-2</v>
      </c>
      <c r="AO6799" s="33">
        <v>1.2153876215885873E-3</v>
      </c>
    </row>
    <row r="6800" spans="39:41" x14ac:dyDescent="0.25">
      <c r="AM6800" s="2">
        <v>6797</v>
      </c>
      <c r="AN6800" s="33">
        <v>1.0982958652760683E-2</v>
      </c>
      <c r="AO6800" s="33">
        <v>7.1997525834948317E-4</v>
      </c>
    </row>
    <row r="6801" spans="39:41" x14ac:dyDescent="0.25">
      <c r="AM6801" s="2">
        <v>6798</v>
      </c>
      <c r="AN6801" s="33">
        <v>1.0582601910275352E-2</v>
      </c>
      <c r="AO6801" s="33">
        <v>8.4730021815039092E-4</v>
      </c>
    </row>
    <row r="6802" spans="39:41" x14ac:dyDescent="0.25">
      <c r="AM6802" s="2">
        <v>6799</v>
      </c>
      <c r="AN6802" s="33">
        <v>1.1022926150565862E-2</v>
      </c>
      <c r="AO6802" s="33">
        <v>9.0248221367524571E-4</v>
      </c>
    </row>
    <row r="6803" spans="39:41" x14ac:dyDescent="0.25">
      <c r="AM6803" s="2">
        <v>6800</v>
      </c>
      <c r="AN6803" s="33">
        <v>1.0786518870166987E-2</v>
      </c>
      <c r="AO6803" s="33">
        <v>6.8180577023710062E-4</v>
      </c>
    </row>
    <row r="6804" spans="39:41" x14ac:dyDescent="0.25">
      <c r="AM6804" s="2">
        <v>6801</v>
      </c>
      <c r="AN6804" s="33">
        <v>9.4689337312321206E-3</v>
      </c>
      <c r="AO6804" s="33">
        <v>9.3065520398230789E-4</v>
      </c>
    </row>
    <row r="6805" spans="39:41" x14ac:dyDescent="0.25">
      <c r="AM6805" s="2">
        <v>6802</v>
      </c>
      <c r="AN6805" s="33">
        <v>1.3780289208945872E-2</v>
      </c>
      <c r="AO6805" s="33">
        <v>9.4506339939944104E-4</v>
      </c>
    </row>
    <row r="6806" spans="39:41" x14ac:dyDescent="0.25">
      <c r="AM6806" s="2">
        <v>6803</v>
      </c>
      <c r="AN6806" s="33">
        <v>1.2766546254071321E-2</v>
      </c>
      <c r="AO6806" s="33">
        <v>9.3394407275178976E-4</v>
      </c>
    </row>
    <row r="6807" spans="39:41" x14ac:dyDescent="0.25">
      <c r="AM6807" s="2">
        <v>6804</v>
      </c>
      <c r="AN6807" s="33">
        <v>1.5909937894972494E-2</v>
      </c>
      <c r="AO6807" s="33">
        <v>1.6344755205270685E-3</v>
      </c>
    </row>
    <row r="6808" spans="39:41" x14ac:dyDescent="0.25">
      <c r="AM6808" s="2">
        <v>6805</v>
      </c>
      <c r="AN6808" s="33">
        <v>9.7126253103595652E-3</v>
      </c>
      <c r="AO6808" s="33">
        <v>8.1404544290460069E-4</v>
      </c>
    </row>
    <row r="6809" spans="39:41" x14ac:dyDescent="0.25">
      <c r="AM6809" s="2">
        <v>6806</v>
      </c>
      <c r="AN6809" s="33">
        <v>1.0369784670932282E-2</v>
      </c>
      <c r="AO6809" s="33">
        <v>9.6255144030903258E-4</v>
      </c>
    </row>
    <row r="6810" spans="39:41" x14ac:dyDescent="0.25">
      <c r="AM6810" s="2">
        <v>6807</v>
      </c>
      <c r="AN6810" s="33">
        <v>1.2594290379951474E-2</v>
      </c>
      <c r="AO6810" s="33">
        <v>7.8553684399167167E-4</v>
      </c>
    </row>
    <row r="6811" spans="39:41" x14ac:dyDescent="0.25">
      <c r="AM6811" s="2">
        <v>6808</v>
      </c>
      <c r="AN6811" s="33">
        <v>1.180517005040361E-2</v>
      </c>
      <c r="AO6811" s="33">
        <v>1.1715520879308149E-3</v>
      </c>
    </row>
    <row r="6812" spans="39:41" x14ac:dyDescent="0.25">
      <c r="AM6812" s="2">
        <v>6809</v>
      </c>
      <c r="AN6812" s="33">
        <v>8.8872968797784509E-3</v>
      </c>
      <c r="AO6812" s="33">
        <v>7.0904626359669825E-4</v>
      </c>
    </row>
    <row r="6813" spans="39:41" x14ac:dyDescent="0.25">
      <c r="AM6813" s="2">
        <v>6810</v>
      </c>
      <c r="AN6813" s="33">
        <v>8.7120466726372074E-3</v>
      </c>
      <c r="AO6813" s="33">
        <v>4.351064770654234E-4</v>
      </c>
    </row>
    <row r="6814" spans="39:41" x14ac:dyDescent="0.25">
      <c r="AM6814" s="2">
        <v>6811</v>
      </c>
      <c r="AN6814" s="33">
        <v>8.3044012244964643E-3</v>
      </c>
      <c r="AO6814" s="33">
        <v>6.5028092719069763E-4</v>
      </c>
    </row>
    <row r="6815" spans="39:41" x14ac:dyDescent="0.25">
      <c r="AM6815" s="2">
        <v>6812</v>
      </c>
      <c r="AN6815" s="33">
        <v>1.184321610146217E-2</v>
      </c>
      <c r="AO6815" s="33">
        <v>6.7193693000327419E-4</v>
      </c>
    </row>
    <row r="6816" spans="39:41" x14ac:dyDescent="0.25">
      <c r="AM6816" s="2">
        <v>6813</v>
      </c>
      <c r="AN6816" s="33">
        <v>1.3305230727924895E-2</v>
      </c>
      <c r="AO6816" s="33">
        <v>5.7910932494941001E-4</v>
      </c>
    </row>
    <row r="6817" spans="39:41" x14ac:dyDescent="0.25">
      <c r="AM6817" s="2">
        <v>6814</v>
      </c>
      <c r="AN6817" s="33">
        <v>8.3341302892236801E-3</v>
      </c>
      <c r="AO6817" s="33">
        <v>4.8731253894616E-4</v>
      </c>
    </row>
    <row r="6818" spans="39:41" x14ac:dyDescent="0.25">
      <c r="AM6818" s="2">
        <v>6815</v>
      </c>
      <c r="AN6818" s="33">
        <v>1.3843512776207175E-2</v>
      </c>
      <c r="AO6818" s="33">
        <v>1.2912110585697211E-3</v>
      </c>
    </row>
    <row r="6819" spans="39:41" x14ac:dyDescent="0.25">
      <c r="AM6819" s="2">
        <v>6816</v>
      </c>
      <c r="AN6819" s="33">
        <v>9.6842086240528456E-3</v>
      </c>
      <c r="AO6819" s="33">
        <v>6.8805636052092414E-4</v>
      </c>
    </row>
    <row r="6820" spans="39:41" x14ac:dyDescent="0.25">
      <c r="AM6820" s="2">
        <v>6817</v>
      </c>
      <c r="AN6820" s="33">
        <v>1.0095602047996316E-2</v>
      </c>
      <c r="AO6820" s="33">
        <v>8.7062132301713282E-4</v>
      </c>
    </row>
    <row r="6821" spans="39:41" x14ac:dyDescent="0.25">
      <c r="AM6821" s="2">
        <v>6818</v>
      </c>
      <c r="AN6821" s="33">
        <v>1.2944557801357266E-2</v>
      </c>
      <c r="AO6821" s="33">
        <v>6.5086559388895921E-4</v>
      </c>
    </row>
    <row r="6822" spans="39:41" x14ac:dyDescent="0.25">
      <c r="AM6822" s="2">
        <v>6819</v>
      </c>
      <c r="AN6822" s="33">
        <v>1.38575671491047E-2</v>
      </c>
      <c r="AO6822" s="33">
        <v>1.0737222724889644E-3</v>
      </c>
    </row>
    <row r="6823" spans="39:41" x14ac:dyDescent="0.25">
      <c r="AM6823" s="2">
        <v>6820</v>
      </c>
      <c r="AN6823" s="33">
        <v>1.2119451035187611E-2</v>
      </c>
      <c r="AO6823" s="33">
        <v>7.3638816967277652E-4</v>
      </c>
    </row>
    <row r="6824" spans="39:41" x14ac:dyDescent="0.25">
      <c r="AM6824" s="2">
        <v>6821</v>
      </c>
      <c r="AN6824" s="33">
        <v>1.4598382859527314E-2</v>
      </c>
      <c r="AO6824" s="33">
        <v>1.0915218235350009E-3</v>
      </c>
    </row>
    <row r="6825" spans="39:41" x14ac:dyDescent="0.25">
      <c r="AM6825" s="2">
        <v>6822</v>
      </c>
      <c r="AN6825" s="33">
        <v>1.1595864812955976E-2</v>
      </c>
      <c r="AO6825" s="33">
        <v>9.1726737180013488E-4</v>
      </c>
    </row>
    <row r="6826" spans="39:41" x14ac:dyDescent="0.25">
      <c r="AM6826" s="2">
        <v>6823</v>
      </c>
      <c r="AN6826" s="33">
        <v>1.128161072148645E-2</v>
      </c>
      <c r="AO6826" s="33">
        <v>7.1146823887815406E-4</v>
      </c>
    </row>
    <row r="6827" spans="39:41" x14ac:dyDescent="0.25">
      <c r="AM6827" s="2">
        <v>6824</v>
      </c>
      <c r="AN6827" s="33">
        <v>8.5459555335079956E-3</v>
      </c>
      <c r="AO6827" s="33">
        <v>2.0821104694180765E-4</v>
      </c>
    </row>
    <row r="6828" spans="39:41" x14ac:dyDescent="0.25">
      <c r="AM6828" s="2">
        <v>6825</v>
      </c>
      <c r="AN6828" s="33">
        <v>8.3871449066877587E-3</v>
      </c>
      <c r="AO6828" s="33">
        <v>5.6159222108450658E-4</v>
      </c>
    </row>
    <row r="6829" spans="39:41" x14ac:dyDescent="0.25">
      <c r="AM6829" s="2">
        <v>6826</v>
      </c>
      <c r="AN6829" s="33">
        <v>9.2199448757298314E-3</v>
      </c>
      <c r="AO6829" s="33">
        <v>5.6597221604336829E-4</v>
      </c>
    </row>
    <row r="6830" spans="39:41" x14ac:dyDescent="0.25">
      <c r="AM6830" s="2">
        <v>6827</v>
      </c>
      <c r="AN6830" s="33">
        <v>1.2619820745191652E-2</v>
      </c>
      <c r="AO6830" s="33">
        <v>6.5439525064385582E-4</v>
      </c>
    </row>
    <row r="6831" spans="39:41" x14ac:dyDescent="0.25">
      <c r="AM6831" s="2">
        <v>6828</v>
      </c>
      <c r="AN6831" s="33">
        <v>1.2169996415820681E-2</v>
      </c>
      <c r="AO6831" s="33">
        <v>1.040537877027627E-3</v>
      </c>
    </row>
    <row r="6832" spans="39:41" x14ac:dyDescent="0.25">
      <c r="AM6832" s="2">
        <v>6829</v>
      </c>
      <c r="AN6832" s="33">
        <v>1.9618821660064203E-2</v>
      </c>
      <c r="AO6832" s="33">
        <v>1.8994018575217706E-3</v>
      </c>
    </row>
    <row r="6833" spans="39:41" x14ac:dyDescent="0.25">
      <c r="AM6833" s="2">
        <v>6830</v>
      </c>
      <c r="AN6833" s="33">
        <v>1.2333734614644374E-2</v>
      </c>
      <c r="AO6833" s="33">
        <v>5.9322291852336969E-4</v>
      </c>
    </row>
    <row r="6834" spans="39:41" x14ac:dyDescent="0.25">
      <c r="AM6834" s="2">
        <v>6831</v>
      </c>
      <c r="AN6834" s="33">
        <v>1.1130012528194913E-2</v>
      </c>
      <c r="AO6834" s="33">
        <v>1.0084432822891978E-3</v>
      </c>
    </row>
    <row r="6835" spans="39:41" x14ac:dyDescent="0.25">
      <c r="AM6835" s="2">
        <v>6832</v>
      </c>
      <c r="AN6835" s="33">
        <v>1.3088782858170984E-2</v>
      </c>
      <c r="AO6835" s="33">
        <v>9.5140364001924113E-4</v>
      </c>
    </row>
    <row r="6836" spans="39:41" x14ac:dyDescent="0.25">
      <c r="AM6836" s="2">
        <v>6833</v>
      </c>
      <c r="AN6836" s="33">
        <v>1.1453055394461927E-2</v>
      </c>
      <c r="AO6836" s="33">
        <v>2.8503562318814236E-4</v>
      </c>
    </row>
    <row r="6837" spans="39:41" x14ac:dyDescent="0.25">
      <c r="AM6837" s="2">
        <v>6834</v>
      </c>
      <c r="AN6837" s="33">
        <v>1.5288647839247313E-2</v>
      </c>
      <c r="AO6837" s="33">
        <v>1.118346605699037E-3</v>
      </c>
    </row>
    <row r="6838" spans="39:41" x14ac:dyDescent="0.25">
      <c r="AM6838" s="2">
        <v>6835</v>
      </c>
      <c r="AN6838" s="33">
        <v>1.2340509010447122E-2</v>
      </c>
      <c r="AO6838" s="33">
        <v>7.9623140556607866E-4</v>
      </c>
    </row>
    <row r="6839" spans="39:41" x14ac:dyDescent="0.25">
      <c r="AM6839" s="2">
        <v>6836</v>
      </c>
      <c r="AN6839" s="33">
        <v>1.1228679986498102E-2</v>
      </c>
      <c r="AO6839" s="33">
        <v>1.007070562998017E-3</v>
      </c>
    </row>
    <row r="6840" spans="39:41" x14ac:dyDescent="0.25">
      <c r="AM6840" s="2">
        <v>6837</v>
      </c>
      <c r="AN6840" s="33">
        <v>1.2242071516003195E-2</v>
      </c>
      <c r="AO6840" s="33">
        <v>8.6845727140966481E-4</v>
      </c>
    </row>
    <row r="6841" spans="39:41" x14ac:dyDescent="0.25">
      <c r="AM6841" s="2">
        <v>6838</v>
      </c>
      <c r="AN6841" s="33">
        <v>1.4157361297709059E-2</v>
      </c>
      <c r="AO6841" s="33">
        <v>3.3728981213090327E-4</v>
      </c>
    </row>
    <row r="6842" spans="39:41" x14ac:dyDescent="0.25">
      <c r="AM6842" s="2">
        <v>6839</v>
      </c>
      <c r="AN6842" s="33">
        <v>9.3857134042525416E-3</v>
      </c>
      <c r="AO6842" s="33">
        <v>6.4416176530952189E-4</v>
      </c>
    </row>
    <row r="6843" spans="39:41" x14ac:dyDescent="0.25">
      <c r="AM6843" s="2">
        <v>6840</v>
      </c>
      <c r="AN6843" s="33">
        <v>1.2875274709393862E-2</v>
      </c>
      <c r="AO6843" s="33">
        <v>1.550349521706012E-4</v>
      </c>
    </row>
    <row r="6844" spans="39:41" x14ac:dyDescent="0.25">
      <c r="AM6844" s="2">
        <v>6841</v>
      </c>
      <c r="AN6844" s="33">
        <v>9.8794194617242721E-3</v>
      </c>
      <c r="AO6844" s="33">
        <v>3.5808845717148026E-4</v>
      </c>
    </row>
    <row r="6845" spans="39:41" x14ac:dyDescent="0.25">
      <c r="AM6845" s="2">
        <v>6842</v>
      </c>
      <c r="AN6845" s="33">
        <v>9.3053074086156175E-3</v>
      </c>
      <c r="AO6845" s="33">
        <v>6.2067858333615016E-4</v>
      </c>
    </row>
    <row r="6846" spans="39:41" x14ac:dyDescent="0.25">
      <c r="AM6846" s="2">
        <v>6843</v>
      </c>
      <c r="AN6846" s="33">
        <v>9.8481944356344202E-3</v>
      </c>
      <c r="AO6846" s="33">
        <v>3.6356624885098871E-4</v>
      </c>
    </row>
    <row r="6847" spans="39:41" x14ac:dyDescent="0.25">
      <c r="AM6847" s="2">
        <v>6844</v>
      </c>
      <c r="AN6847" s="33">
        <v>1.4141616450607483E-2</v>
      </c>
      <c r="AO6847" s="33">
        <v>1.1884172268717768E-3</v>
      </c>
    </row>
    <row r="6848" spans="39:41" x14ac:dyDescent="0.25">
      <c r="AM6848" s="2">
        <v>6845</v>
      </c>
      <c r="AN6848" s="33">
        <v>1.3183092672121697E-2</v>
      </c>
      <c r="AO6848" s="33">
        <v>7.3408200237219245E-4</v>
      </c>
    </row>
    <row r="6849" spans="39:41" x14ac:dyDescent="0.25">
      <c r="AM6849" s="2">
        <v>6846</v>
      </c>
      <c r="AN6849" s="33">
        <v>1.5350034539102485E-2</v>
      </c>
      <c r="AO6849" s="33">
        <v>1.4861315965318245E-3</v>
      </c>
    </row>
    <row r="6850" spans="39:41" x14ac:dyDescent="0.25">
      <c r="AM6850" s="2">
        <v>6847</v>
      </c>
      <c r="AN6850" s="33">
        <v>1.008721066611239E-2</v>
      </c>
      <c r="AO6850" s="33">
        <v>4.3084486589773502E-4</v>
      </c>
    </row>
    <row r="6851" spans="39:41" x14ac:dyDescent="0.25">
      <c r="AM6851" s="2">
        <v>6848</v>
      </c>
      <c r="AN6851" s="33">
        <v>1.2865793219488315E-2</v>
      </c>
      <c r="AO6851" s="33">
        <v>1.1333462134129068E-3</v>
      </c>
    </row>
    <row r="6852" spans="39:41" x14ac:dyDescent="0.25">
      <c r="AM6852" s="2">
        <v>6849</v>
      </c>
      <c r="AN6852" s="33">
        <v>1.1364959175291602E-2</v>
      </c>
      <c r="AO6852" s="33">
        <v>6.8500486957446161E-4</v>
      </c>
    </row>
    <row r="6853" spans="39:41" x14ac:dyDescent="0.25">
      <c r="AM6853" s="2">
        <v>6850</v>
      </c>
      <c r="AN6853" s="33">
        <v>1.1114225061308994E-2</v>
      </c>
      <c r="AO6853" s="33">
        <v>6.9688156713997647E-4</v>
      </c>
    </row>
    <row r="6854" spans="39:41" x14ac:dyDescent="0.25">
      <c r="AM6854" s="2">
        <v>6851</v>
      </c>
      <c r="AN6854" s="33">
        <v>1.1689343910175445E-2</v>
      </c>
      <c r="AO6854" s="33">
        <v>9.5440863455935787E-4</v>
      </c>
    </row>
    <row r="6855" spans="39:41" x14ac:dyDescent="0.25">
      <c r="AM6855" s="2">
        <v>6852</v>
      </c>
      <c r="AN6855" s="33">
        <v>1.1088969657606976E-2</v>
      </c>
      <c r="AO6855" s="33">
        <v>9.766588325886168E-4</v>
      </c>
    </row>
    <row r="6856" spans="39:41" x14ac:dyDescent="0.25">
      <c r="AM6856" s="2">
        <v>6853</v>
      </c>
      <c r="AN6856" s="33">
        <v>8.559048535131026E-3</v>
      </c>
      <c r="AO6856" s="33">
        <v>5.2638570928282061E-4</v>
      </c>
    </row>
    <row r="6857" spans="39:41" x14ac:dyDescent="0.25">
      <c r="AM6857" s="2">
        <v>6854</v>
      </c>
      <c r="AN6857" s="33">
        <v>1.2807384590388354E-2</v>
      </c>
      <c r="AO6857" s="33">
        <v>9.0574888409728925E-4</v>
      </c>
    </row>
    <row r="6858" spans="39:41" x14ac:dyDescent="0.25">
      <c r="AM6858" s="2">
        <v>6855</v>
      </c>
      <c r="AN6858" s="33">
        <v>1.4967942418096063E-2</v>
      </c>
      <c r="AO6858" s="33">
        <v>-2.7613172586913248E-5</v>
      </c>
    </row>
    <row r="6859" spans="39:41" x14ac:dyDescent="0.25">
      <c r="AM6859" s="2">
        <v>6856</v>
      </c>
      <c r="AN6859" s="33">
        <v>1.348984108460898E-2</v>
      </c>
      <c r="AO6859" s="33">
        <v>1.1144954494774807E-3</v>
      </c>
    </row>
    <row r="6860" spans="39:41" x14ac:dyDescent="0.25">
      <c r="AM6860" s="2">
        <v>6857</v>
      </c>
      <c r="AN6860" s="33">
        <v>1.2157234758069362E-2</v>
      </c>
      <c r="AO6860" s="33">
        <v>6.653452292439163E-4</v>
      </c>
    </row>
    <row r="6861" spans="39:41" x14ac:dyDescent="0.25">
      <c r="AM6861" s="2">
        <v>6858</v>
      </c>
      <c r="AN6861" s="33">
        <v>1.1448612900714677E-2</v>
      </c>
      <c r="AO6861" s="33">
        <v>4.2068722999939365E-4</v>
      </c>
    </row>
    <row r="6862" spans="39:41" x14ac:dyDescent="0.25">
      <c r="AM6862" s="2">
        <v>6859</v>
      </c>
      <c r="AN6862" s="33">
        <v>1.2849793612227376E-2</v>
      </c>
      <c r="AO6862" s="33">
        <v>1.1407078060618016E-3</v>
      </c>
    </row>
    <row r="6863" spans="39:41" x14ac:dyDescent="0.25">
      <c r="AM6863" s="2">
        <v>6860</v>
      </c>
      <c r="AN6863" s="33">
        <v>1.2002324951922008E-2</v>
      </c>
      <c r="AO6863" s="33">
        <v>6.5785622836764344E-4</v>
      </c>
    </row>
    <row r="6864" spans="39:41" x14ac:dyDescent="0.25">
      <c r="AM6864" s="2">
        <v>6861</v>
      </c>
      <c r="AN6864" s="33">
        <v>1.0325012664765437E-2</v>
      </c>
      <c r="AO6864" s="33">
        <v>7.1847102720087549E-4</v>
      </c>
    </row>
    <row r="6865" spans="39:41" x14ac:dyDescent="0.25">
      <c r="AM6865" s="2">
        <v>6862</v>
      </c>
      <c r="AN6865" s="33">
        <v>1.3283671812591821E-2</v>
      </c>
      <c r="AO6865" s="33">
        <v>9.1676806179109979E-4</v>
      </c>
    </row>
    <row r="6866" spans="39:41" x14ac:dyDescent="0.25">
      <c r="AM6866" s="2">
        <v>6863</v>
      </c>
      <c r="AN6866" s="33">
        <v>1.3289624468551418E-2</v>
      </c>
      <c r="AO6866" s="33">
        <v>8.971524207546526E-4</v>
      </c>
    </row>
    <row r="6867" spans="39:41" x14ac:dyDescent="0.25">
      <c r="AM6867" s="2">
        <v>6864</v>
      </c>
      <c r="AN6867" s="33">
        <v>8.2763798881325627E-3</v>
      </c>
      <c r="AO6867" s="33">
        <v>7.7966840675820304E-4</v>
      </c>
    </row>
    <row r="6868" spans="39:41" x14ac:dyDescent="0.25">
      <c r="AM6868" s="2">
        <v>6865</v>
      </c>
      <c r="AN6868" s="33">
        <v>1.4320030436726104E-2</v>
      </c>
      <c r="AO6868" s="33">
        <v>1.4535081560404274E-3</v>
      </c>
    </row>
    <row r="6869" spans="39:41" x14ac:dyDescent="0.25">
      <c r="AM6869" s="2">
        <v>6866</v>
      </c>
      <c r="AN6869" s="33">
        <v>1.2661599952970365E-2</v>
      </c>
      <c r="AO6869" s="33">
        <v>4.6261300022567653E-4</v>
      </c>
    </row>
    <row r="6870" spans="39:41" x14ac:dyDescent="0.25">
      <c r="AM6870" s="2">
        <v>6867</v>
      </c>
      <c r="AN6870" s="33">
        <v>1.2186702614993461E-2</v>
      </c>
      <c r="AO6870" s="33">
        <v>9.2890898512085402E-4</v>
      </c>
    </row>
    <row r="6871" spans="39:41" x14ac:dyDescent="0.25">
      <c r="AM6871" s="2">
        <v>6868</v>
      </c>
      <c r="AN6871" s="33">
        <v>1.0320238747976107E-2</v>
      </c>
      <c r="AO6871" s="33">
        <v>2.8986106504271794E-4</v>
      </c>
    </row>
    <row r="6872" spans="39:41" x14ac:dyDescent="0.25">
      <c r="AM6872" s="2">
        <v>6869</v>
      </c>
      <c r="AN6872" s="33">
        <v>1.5184127857473955E-2</v>
      </c>
      <c r="AO6872" s="33">
        <v>1.5363938711672896E-3</v>
      </c>
    </row>
    <row r="6873" spans="39:41" x14ac:dyDescent="0.25">
      <c r="AM6873" s="2">
        <v>6870</v>
      </c>
      <c r="AN6873" s="33">
        <v>1.2206567651259279E-2</v>
      </c>
      <c r="AO6873" s="33">
        <v>2.5441881706798067E-4</v>
      </c>
    </row>
    <row r="6874" spans="39:41" x14ac:dyDescent="0.25">
      <c r="AM6874" s="2">
        <v>6871</v>
      </c>
      <c r="AN6874" s="33">
        <v>1.5042487526036331E-2</v>
      </c>
      <c r="AO6874" s="33">
        <v>1.5760975606557257E-3</v>
      </c>
    </row>
    <row r="6875" spans="39:41" x14ac:dyDescent="0.25">
      <c r="AM6875" s="2">
        <v>6872</v>
      </c>
      <c r="AN6875" s="33">
        <v>1.2634563324774346E-2</v>
      </c>
      <c r="AO6875" s="33">
        <v>8.1680816171399986E-4</v>
      </c>
    </row>
    <row r="6876" spans="39:41" x14ac:dyDescent="0.25">
      <c r="AM6876" s="2">
        <v>6873</v>
      </c>
      <c r="AN6876" s="33">
        <v>1.3140730512761196E-2</v>
      </c>
      <c r="AO6876" s="33">
        <v>4.7768757598171357E-4</v>
      </c>
    </row>
    <row r="6877" spans="39:41" x14ac:dyDescent="0.25">
      <c r="AM6877" s="2">
        <v>6874</v>
      </c>
      <c r="AN6877" s="33">
        <v>1.055038870966676E-2</v>
      </c>
      <c r="AO6877" s="33">
        <v>1.2055849097059725E-4</v>
      </c>
    </row>
    <row r="6878" spans="39:41" x14ac:dyDescent="0.25">
      <c r="AM6878" s="2">
        <v>6875</v>
      </c>
      <c r="AN6878" s="33">
        <v>8.0668143473613917E-3</v>
      </c>
      <c r="AO6878" s="33">
        <v>1.8167113739329981E-4</v>
      </c>
    </row>
    <row r="6879" spans="39:41" x14ac:dyDescent="0.25">
      <c r="AM6879" s="2">
        <v>6876</v>
      </c>
      <c r="AN6879" s="33">
        <v>1.4759051512463308E-2</v>
      </c>
      <c r="AO6879" s="33">
        <v>1.1504218126276436E-3</v>
      </c>
    </row>
    <row r="6880" spans="39:41" x14ac:dyDescent="0.25">
      <c r="AM6880" s="2">
        <v>6877</v>
      </c>
      <c r="AN6880" s="33">
        <v>1.2577238326231043E-2</v>
      </c>
      <c r="AO6880" s="33">
        <v>1.1538522424910812E-3</v>
      </c>
    </row>
    <row r="6881" spans="39:41" x14ac:dyDescent="0.25">
      <c r="AM6881" s="2">
        <v>6878</v>
      </c>
      <c r="AN6881" s="33">
        <v>1.3658713345875964E-2</v>
      </c>
      <c r="AO6881" s="33">
        <v>9.6415585364823084E-4</v>
      </c>
    </row>
    <row r="6882" spans="39:41" x14ac:dyDescent="0.25">
      <c r="AM6882" s="2">
        <v>6879</v>
      </c>
      <c r="AN6882" s="33">
        <v>1.0311610367130693E-2</v>
      </c>
      <c r="AO6882" s="33">
        <v>4.1350644426048984E-4</v>
      </c>
    </row>
    <row r="6883" spans="39:41" x14ac:dyDescent="0.25">
      <c r="AM6883" s="2">
        <v>6880</v>
      </c>
      <c r="AN6883" s="33">
        <v>1.0973120321873685E-2</v>
      </c>
      <c r="AO6883" s="33">
        <v>9.0011393836550305E-4</v>
      </c>
    </row>
    <row r="6884" spans="39:41" x14ac:dyDescent="0.25">
      <c r="AM6884" s="2">
        <v>6881</v>
      </c>
      <c r="AN6884" s="33">
        <v>1.1661498527921471E-2</v>
      </c>
      <c r="AO6884" s="33">
        <v>8.5620755375149637E-4</v>
      </c>
    </row>
    <row r="6885" spans="39:41" x14ac:dyDescent="0.25">
      <c r="AM6885" s="2">
        <v>6882</v>
      </c>
      <c r="AN6885" s="33">
        <v>1.0566933562510525E-2</v>
      </c>
      <c r="AO6885" s="33">
        <v>9.1916316383669711E-4</v>
      </c>
    </row>
    <row r="6886" spans="39:41" x14ac:dyDescent="0.25">
      <c r="AM6886" s="2">
        <v>6883</v>
      </c>
      <c r="AN6886" s="33">
        <v>8.3936132761575927E-3</v>
      </c>
      <c r="AO6886" s="33">
        <v>6.5507292353120532E-4</v>
      </c>
    </row>
    <row r="6887" spans="39:41" x14ac:dyDescent="0.25">
      <c r="AM6887" s="2">
        <v>6884</v>
      </c>
      <c r="AN6887" s="33">
        <v>8.3423347935568624E-3</v>
      </c>
      <c r="AO6887" s="33">
        <v>6.6742095396546235E-4</v>
      </c>
    </row>
    <row r="6888" spans="39:41" x14ac:dyDescent="0.25">
      <c r="AM6888" s="2">
        <v>6885</v>
      </c>
      <c r="AN6888" s="33">
        <v>1.4501113113478611E-2</v>
      </c>
      <c r="AO6888" s="33">
        <v>1.1078230066375813E-3</v>
      </c>
    </row>
    <row r="6889" spans="39:41" x14ac:dyDescent="0.25">
      <c r="AM6889" s="2">
        <v>6886</v>
      </c>
      <c r="AN6889" s="33">
        <v>1.5043027825055746E-2</v>
      </c>
      <c r="AO6889" s="33">
        <v>1.2903438163173997E-3</v>
      </c>
    </row>
    <row r="6890" spans="39:41" x14ac:dyDescent="0.25">
      <c r="AM6890" s="2">
        <v>6887</v>
      </c>
      <c r="AN6890" s="33">
        <v>9.5010764216056937E-3</v>
      </c>
      <c r="AO6890" s="33">
        <v>6.1826065777625039E-4</v>
      </c>
    </row>
    <row r="6891" spans="39:41" x14ac:dyDescent="0.25">
      <c r="AM6891" s="2">
        <v>6888</v>
      </c>
      <c r="AN6891" s="33">
        <v>1.3802813597984517E-2</v>
      </c>
      <c r="AO6891" s="33">
        <v>1.1558084886233052E-3</v>
      </c>
    </row>
    <row r="6892" spans="39:41" x14ac:dyDescent="0.25">
      <c r="AM6892" s="2">
        <v>6889</v>
      </c>
      <c r="AN6892" s="33">
        <v>1.3955206940293497E-2</v>
      </c>
      <c r="AO6892" s="33">
        <v>9.281677902420732E-4</v>
      </c>
    </row>
    <row r="6893" spans="39:41" x14ac:dyDescent="0.25">
      <c r="AM6893" s="2">
        <v>6890</v>
      </c>
      <c r="AN6893" s="33">
        <v>1.4479017622139807E-2</v>
      </c>
      <c r="AO6893" s="33">
        <v>1.1598150143692634E-3</v>
      </c>
    </row>
    <row r="6894" spans="39:41" x14ac:dyDescent="0.25">
      <c r="AM6894" s="2">
        <v>6891</v>
      </c>
      <c r="AN6894" s="33">
        <v>1.3637118237431696E-2</v>
      </c>
      <c r="AO6894" s="33">
        <v>8.8277176752397522E-4</v>
      </c>
    </row>
    <row r="6895" spans="39:41" x14ac:dyDescent="0.25">
      <c r="AM6895" s="2">
        <v>6892</v>
      </c>
      <c r="AN6895" s="33">
        <v>1.0965818773871977E-2</v>
      </c>
      <c r="AO6895" s="33">
        <v>8.9500851145572682E-4</v>
      </c>
    </row>
    <row r="6896" spans="39:41" x14ac:dyDescent="0.25">
      <c r="AM6896" s="2">
        <v>6893</v>
      </c>
      <c r="AN6896" s="33">
        <v>1.9964490496012257E-2</v>
      </c>
      <c r="AO6896" s="33">
        <v>1.849337334444041E-3</v>
      </c>
    </row>
    <row r="6897" spans="39:41" x14ac:dyDescent="0.25">
      <c r="AM6897" s="2">
        <v>6894</v>
      </c>
      <c r="AN6897" s="33">
        <v>1.2195742975066242E-2</v>
      </c>
      <c r="AO6897" s="33">
        <v>1.1375148588464109E-3</v>
      </c>
    </row>
    <row r="6898" spans="39:41" x14ac:dyDescent="0.25">
      <c r="AM6898" s="2">
        <v>6895</v>
      </c>
      <c r="AN6898" s="33">
        <v>1.1132710595188597E-2</v>
      </c>
      <c r="AO6898" s="33">
        <v>8.7082311697644996E-4</v>
      </c>
    </row>
    <row r="6899" spans="39:41" x14ac:dyDescent="0.25">
      <c r="AM6899" s="2">
        <v>6896</v>
      </c>
      <c r="AN6899" s="33">
        <v>1.0826959845988514E-2</v>
      </c>
      <c r="AO6899" s="33">
        <v>7.8154107778158398E-4</v>
      </c>
    </row>
    <row r="6900" spans="39:41" x14ac:dyDescent="0.25">
      <c r="AM6900" s="2">
        <v>6897</v>
      </c>
      <c r="AN6900" s="33">
        <v>1.24111571618814E-2</v>
      </c>
      <c r="AO6900" s="33">
        <v>8.0263508630057845E-4</v>
      </c>
    </row>
    <row r="6901" spans="39:41" x14ac:dyDescent="0.25">
      <c r="AM6901" s="2">
        <v>6898</v>
      </c>
      <c r="AN6901" s="33">
        <v>9.8581158578116938E-3</v>
      </c>
      <c r="AO6901" s="33">
        <v>1.0515004061859561E-3</v>
      </c>
    </row>
    <row r="6902" spans="39:41" x14ac:dyDescent="0.25">
      <c r="AM6902" s="2">
        <v>6899</v>
      </c>
      <c r="AN6902" s="33">
        <v>1.210939871714296E-2</v>
      </c>
      <c r="AO6902" s="33">
        <v>1.2468458257204871E-3</v>
      </c>
    </row>
    <row r="6903" spans="39:41" x14ac:dyDescent="0.25">
      <c r="AM6903" s="2">
        <v>6900</v>
      </c>
      <c r="AN6903" s="33">
        <v>1.3055616075192244E-2</v>
      </c>
      <c r="AO6903" s="33">
        <v>9.5825924024027726E-4</v>
      </c>
    </row>
    <row r="6904" spans="39:41" x14ac:dyDescent="0.25">
      <c r="AM6904" s="2">
        <v>6901</v>
      </c>
      <c r="AN6904" s="33">
        <v>1.3388739813753155E-2</v>
      </c>
      <c r="AO6904" s="33">
        <v>1.1233709167980585E-3</v>
      </c>
    </row>
    <row r="6905" spans="39:41" x14ac:dyDescent="0.25">
      <c r="AM6905" s="2">
        <v>6902</v>
      </c>
      <c r="AN6905" s="33">
        <v>1.1536622731043986E-2</v>
      </c>
      <c r="AO6905" s="33">
        <v>6.4752571415289115E-4</v>
      </c>
    </row>
    <row r="6906" spans="39:41" x14ac:dyDescent="0.25">
      <c r="AM6906" s="2">
        <v>6903</v>
      </c>
      <c r="AN6906" s="33">
        <v>8.6365322736721064E-3</v>
      </c>
      <c r="AO6906" s="33">
        <v>5.0645300069064819E-4</v>
      </c>
    </row>
    <row r="6907" spans="39:41" x14ac:dyDescent="0.25">
      <c r="AM6907" s="2">
        <v>6904</v>
      </c>
      <c r="AN6907" s="33">
        <v>8.4546117890075406E-3</v>
      </c>
      <c r="AO6907" s="33">
        <v>3.8027335179802581E-4</v>
      </c>
    </row>
    <row r="6908" spans="39:41" x14ac:dyDescent="0.25">
      <c r="AM6908" s="2">
        <v>6905</v>
      </c>
      <c r="AN6908" s="33">
        <v>1.0250907473369252E-2</v>
      </c>
      <c r="AO6908" s="33">
        <v>5.8931570104971554E-5</v>
      </c>
    </row>
    <row r="6909" spans="39:41" x14ac:dyDescent="0.25">
      <c r="AM6909" s="2">
        <v>6906</v>
      </c>
      <c r="AN6909" s="33">
        <v>1.4658909910236483E-2</v>
      </c>
      <c r="AO6909" s="33">
        <v>1.1224884100722479E-3</v>
      </c>
    </row>
    <row r="6910" spans="39:41" x14ac:dyDescent="0.25">
      <c r="AM6910" s="2">
        <v>6907</v>
      </c>
      <c r="AN6910" s="33">
        <v>1.0478749661306892E-2</v>
      </c>
      <c r="AO6910" s="33">
        <v>9.1479660793372089E-4</v>
      </c>
    </row>
    <row r="6911" spans="39:41" x14ac:dyDescent="0.25">
      <c r="AM6911" s="2">
        <v>6908</v>
      </c>
      <c r="AN6911" s="33">
        <v>1.257512341231933E-2</v>
      </c>
      <c r="AO6911" s="33">
        <v>9.9475663997174212E-4</v>
      </c>
    </row>
    <row r="6912" spans="39:41" x14ac:dyDescent="0.25">
      <c r="AM6912" s="2">
        <v>6909</v>
      </c>
      <c r="AN6912" s="33">
        <v>1.0971754213856245E-2</v>
      </c>
      <c r="AO6912" s="33">
        <v>7.8025242977763194E-4</v>
      </c>
    </row>
    <row r="6913" spans="39:41" x14ac:dyDescent="0.25">
      <c r="AM6913" s="2">
        <v>6910</v>
      </c>
      <c r="AN6913" s="33">
        <v>9.3423089590453541E-3</v>
      </c>
      <c r="AO6913" s="33">
        <v>8.4100252402479554E-4</v>
      </c>
    </row>
    <row r="6914" spans="39:41" x14ac:dyDescent="0.25">
      <c r="AM6914" s="2">
        <v>6911</v>
      </c>
      <c r="AN6914" s="33">
        <v>1.2227087789152264E-2</v>
      </c>
      <c r="AO6914" s="33">
        <v>5.5167578785697677E-4</v>
      </c>
    </row>
    <row r="6915" spans="39:41" x14ac:dyDescent="0.25">
      <c r="AM6915" s="2">
        <v>6912</v>
      </c>
      <c r="AN6915" s="33">
        <v>1.1790337614940334E-2</v>
      </c>
      <c r="AO6915" s="33">
        <v>1.0248288691217927E-3</v>
      </c>
    </row>
    <row r="6916" spans="39:41" x14ac:dyDescent="0.25">
      <c r="AM6916" s="2">
        <v>6913</v>
      </c>
      <c r="AN6916" s="33">
        <v>9.9961889627484431E-3</v>
      </c>
      <c r="AO6916" s="33">
        <v>8.932834264935586E-4</v>
      </c>
    </row>
    <row r="6917" spans="39:41" x14ac:dyDescent="0.25">
      <c r="AM6917" s="2">
        <v>6914</v>
      </c>
      <c r="AN6917" s="33">
        <v>8.8859393535211297E-3</v>
      </c>
      <c r="AO6917" s="33">
        <v>6.7312765609799194E-4</v>
      </c>
    </row>
    <row r="6918" spans="39:41" x14ac:dyDescent="0.25">
      <c r="AM6918" s="2">
        <v>6915</v>
      </c>
      <c r="AN6918" s="33">
        <v>1.2540856652373922E-2</v>
      </c>
      <c r="AO6918" s="33">
        <v>1.1680482255065276E-3</v>
      </c>
    </row>
    <row r="6919" spans="39:41" x14ac:dyDescent="0.25">
      <c r="AM6919" s="2">
        <v>6916</v>
      </c>
      <c r="AN6919" s="33">
        <v>9.1250003929412623E-3</v>
      </c>
      <c r="AO6919" s="33">
        <v>6.5499297969179792E-4</v>
      </c>
    </row>
    <row r="6920" spans="39:41" x14ac:dyDescent="0.25">
      <c r="AM6920" s="2">
        <v>6917</v>
      </c>
      <c r="AN6920" s="33">
        <v>9.351590439302877E-3</v>
      </c>
      <c r="AO6920" s="33">
        <v>3.6568025602245645E-4</v>
      </c>
    </row>
    <row r="6921" spans="39:41" x14ac:dyDescent="0.25">
      <c r="AM6921" s="2">
        <v>6918</v>
      </c>
      <c r="AN6921" s="33">
        <v>1.4766389257613132E-2</v>
      </c>
      <c r="AO6921" s="33">
        <v>1.3690689870564726E-3</v>
      </c>
    </row>
    <row r="6922" spans="39:41" x14ac:dyDescent="0.25">
      <c r="AM6922" s="2">
        <v>6919</v>
      </c>
      <c r="AN6922" s="33">
        <v>9.2793034143348191E-3</v>
      </c>
      <c r="AO6922" s="33">
        <v>3.185050496938717E-4</v>
      </c>
    </row>
    <row r="6923" spans="39:41" x14ac:dyDescent="0.25">
      <c r="AM6923" s="2">
        <v>6920</v>
      </c>
      <c r="AN6923" s="33">
        <v>1.017855050540472E-2</v>
      </c>
      <c r="AO6923" s="33">
        <v>8.6714163608957585E-4</v>
      </c>
    </row>
    <row r="6924" spans="39:41" x14ac:dyDescent="0.25">
      <c r="AM6924" s="2">
        <v>6921</v>
      </c>
      <c r="AN6924" s="33">
        <v>1.0644680590319332E-2</v>
      </c>
      <c r="AO6924" s="33">
        <v>8.8555132962492256E-4</v>
      </c>
    </row>
    <row r="6925" spans="39:41" x14ac:dyDescent="0.25">
      <c r="AM6925" s="2">
        <v>6922</v>
      </c>
      <c r="AN6925" s="33">
        <v>9.8241573147410579E-3</v>
      </c>
      <c r="AO6925" s="33">
        <v>6.7569528024347646E-4</v>
      </c>
    </row>
    <row r="6926" spans="39:41" x14ac:dyDescent="0.25">
      <c r="AM6926" s="2">
        <v>6923</v>
      </c>
      <c r="AN6926" s="33">
        <v>1.0296843954821307E-2</v>
      </c>
      <c r="AO6926" s="33">
        <v>6.0542830010887816E-4</v>
      </c>
    </row>
    <row r="6927" spans="39:41" x14ac:dyDescent="0.25">
      <c r="AM6927" s="2">
        <v>6924</v>
      </c>
      <c r="AN6927" s="33">
        <v>1.4098869908813811E-2</v>
      </c>
      <c r="AO6927" s="33">
        <v>9.3966928258202567E-4</v>
      </c>
    </row>
    <row r="6928" spans="39:41" x14ac:dyDescent="0.25">
      <c r="AM6928" s="2">
        <v>6925</v>
      </c>
      <c r="AN6928" s="33">
        <v>8.8371856059343695E-3</v>
      </c>
      <c r="AO6928" s="33">
        <v>8.5810198496275351E-4</v>
      </c>
    </row>
    <row r="6929" spans="39:41" x14ac:dyDescent="0.25">
      <c r="AM6929" s="2">
        <v>6926</v>
      </c>
      <c r="AN6929" s="33">
        <v>8.7391858008568964E-3</v>
      </c>
      <c r="AO6929" s="33">
        <v>8.2506874484341393E-4</v>
      </c>
    </row>
    <row r="6930" spans="39:41" x14ac:dyDescent="0.25">
      <c r="AM6930" s="2">
        <v>6927</v>
      </c>
      <c r="AN6930" s="33">
        <v>1.0326647250252518E-2</v>
      </c>
      <c r="AO6930" s="33">
        <v>5.4294026398793058E-4</v>
      </c>
    </row>
    <row r="6931" spans="39:41" x14ac:dyDescent="0.25">
      <c r="AM6931" s="2">
        <v>6928</v>
      </c>
      <c r="AN6931" s="33">
        <v>7.6235610492801191E-3</v>
      </c>
      <c r="AO6931" s="33">
        <v>6.6994770997558749E-4</v>
      </c>
    </row>
    <row r="6932" spans="39:41" x14ac:dyDescent="0.25">
      <c r="AM6932" s="2">
        <v>6929</v>
      </c>
      <c r="AN6932" s="33">
        <v>1.097573406731414E-2</v>
      </c>
      <c r="AO6932" s="33">
        <v>9.2587425163909599E-4</v>
      </c>
    </row>
    <row r="6933" spans="39:41" x14ac:dyDescent="0.25">
      <c r="AM6933" s="2">
        <v>6930</v>
      </c>
      <c r="AN6933" s="33">
        <v>8.3890637868074044E-3</v>
      </c>
      <c r="AO6933" s="33">
        <v>5.9369720086695362E-4</v>
      </c>
    </row>
    <row r="6934" spans="39:41" x14ac:dyDescent="0.25">
      <c r="AM6934" s="2">
        <v>6931</v>
      </c>
      <c r="AN6934" s="33">
        <v>1.0199496726058601E-2</v>
      </c>
      <c r="AO6934" s="33">
        <v>7.6766043277554932E-4</v>
      </c>
    </row>
    <row r="6935" spans="39:41" x14ac:dyDescent="0.25">
      <c r="AM6935" s="2">
        <v>6932</v>
      </c>
      <c r="AN6935" s="33">
        <v>1.1586400460067646E-2</v>
      </c>
      <c r="AO6935" s="33">
        <v>1.0030494662653197E-4</v>
      </c>
    </row>
    <row r="6936" spans="39:41" x14ac:dyDescent="0.25">
      <c r="AM6936" s="2">
        <v>6933</v>
      </c>
      <c r="AN6936" s="33">
        <v>8.4212939264553081E-3</v>
      </c>
      <c r="AO6936" s="33">
        <v>5.2726181278096992E-4</v>
      </c>
    </row>
    <row r="6937" spans="39:41" x14ac:dyDescent="0.25">
      <c r="AM6937" s="2">
        <v>6934</v>
      </c>
      <c r="AN6937" s="33">
        <v>1.1810766281879733E-2</v>
      </c>
      <c r="AO6937" s="33">
        <v>9.7615227258002039E-4</v>
      </c>
    </row>
    <row r="6938" spans="39:41" x14ac:dyDescent="0.25">
      <c r="AM6938" s="2">
        <v>6935</v>
      </c>
      <c r="AN6938" s="33">
        <v>1.0732264687119519E-2</v>
      </c>
      <c r="AO6938" s="33">
        <v>5.915659804852421E-4</v>
      </c>
    </row>
    <row r="6939" spans="39:41" x14ac:dyDescent="0.25">
      <c r="AM6939" s="2">
        <v>6936</v>
      </c>
      <c r="AN6939" s="33">
        <v>9.0845688508930326E-3</v>
      </c>
      <c r="AO6939" s="33">
        <v>1.8174968451191705E-4</v>
      </c>
    </row>
    <row r="6940" spans="39:41" x14ac:dyDescent="0.25">
      <c r="AM6940" s="2">
        <v>6937</v>
      </c>
      <c r="AN6940" s="33">
        <v>8.0638671782505469E-3</v>
      </c>
      <c r="AO6940" s="33">
        <v>5.4324388921416758E-4</v>
      </c>
    </row>
    <row r="6941" spans="39:41" x14ac:dyDescent="0.25">
      <c r="AM6941" s="2">
        <v>6938</v>
      </c>
      <c r="AN6941" s="33">
        <v>9.9849057854628151E-3</v>
      </c>
      <c r="AO6941" s="33">
        <v>4.6035187515596377E-4</v>
      </c>
    </row>
    <row r="6942" spans="39:41" x14ac:dyDescent="0.25">
      <c r="AM6942" s="2">
        <v>6939</v>
      </c>
      <c r="AN6942" s="33">
        <v>1.5510918079869174E-2</v>
      </c>
      <c r="AO6942" s="33">
        <v>1.4916770737847152E-3</v>
      </c>
    </row>
    <row r="6943" spans="39:41" x14ac:dyDescent="0.25">
      <c r="AM6943" s="2">
        <v>6940</v>
      </c>
      <c r="AN6943" s="33">
        <v>1.3690557865158076E-2</v>
      </c>
      <c r="AO6943" s="33">
        <v>1.2587934867359708E-3</v>
      </c>
    </row>
    <row r="6944" spans="39:41" x14ac:dyDescent="0.25">
      <c r="AM6944" s="2">
        <v>6941</v>
      </c>
      <c r="AN6944" s="33">
        <v>1.3400742239258761E-2</v>
      </c>
      <c r="AO6944" s="33">
        <v>1.1590119646040804E-3</v>
      </c>
    </row>
    <row r="6945" spans="39:41" x14ac:dyDescent="0.25">
      <c r="AM6945" s="2">
        <v>6942</v>
      </c>
      <c r="AN6945" s="33">
        <v>9.2747113658538279E-3</v>
      </c>
      <c r="AO6945" s="33">
        <v>7.7511734834196115E-4</v>
      </c>
    </row>
    <row r="6946" spans="39:41" x14ac:dyDescent="0.25">
      <c r="AM6946" s="2">
        <v>6943</v>
      </c>
      <c r="AN6946" s="33">
        <v>9.5443405794393091E-3</v>
      </c>
      <c r="AO6946" s="33">
        <v>7.1047797492478342E-4</v>
      </c>
    </row>
    <row r="6947" spans="39:41" x14ac:dyDescent="0.25">
      <c r="AM6947" s="2">
        <v>6944</v>
      </c>
      <c r="AN6947" s="33">
        <v>1.34048798110622E-2</v>
      </c>
      <c r="AO6947" s="33">
        <v>9.9576725694763162E-4</v>
      </c>
    </row>
    <row r="6948" spans="39:41" x14ac:dyDescent="0.25">
      <c r="AM6948" s="2">
        <v>6945</v>
      </c>
      <c r="AN6948" s="33">
        <v>9.2841211740528808E-3</v>
      </c>
      <c r="AO6948" s="33">
        <v>8.0081152793667182E-4</v>
      </c>
    </row>
    <row r="6949" spans="39:41" x14ac:dyDescent="0.25">
      <c r="AM6949" s="2">
        <v>6946</v>
      </c>
      <c r="AN6949" s="33">
        <v>1.1936990361078809E-2</v>
      </c>
      <c r="AO6949" s="33">
        <v>1.0002152627662292E-3</v>
      </c>
    </row>
    <row r="6950" spans="39:41" x14ac:dyDescent="0.25">
      <c r="AM6950" s="2">
        <v>6947</v>
      </c>
      <c r="AN6950" s="33">
        <v>1.4932936652917816E-2</v>
      </c>
      <c r="AO6950" s="33">
        <v>8.618356030294812E-4</v>
      </c>
    </row>
    <row r="6951" spans="39:41" x14ac:dyDescent="0.25">
      <c r="AM6951" s="2">
        <v>6948</v>
      </c>
      <c r="AN6951" s="33">
        <v>8.8435900329446072E-3</v>
      </c>
      <c r="AO6951" s="33">
        <v>7.3486856397335528E-4</v>
      </c>
    </row>
    <row r="6952" spans="39:41" x14ac:dyDescent="0.25">
      <c r="AM6952" s="2">
        <v>6949</v>
      </c>
      <c r="AN6952" s="33">
        <v>9.5000104065013705E-3</v>
      </c>
      <c r="AO6952" s="33">
        <v>9.3419698918720674E-4</v>
      </c>
    </row>
    <row r="6953" spans="39:41" x14ac:dyDescent="0.25">
      <c r="AM6953" s="2">
        <v>6950</v>
      </c>
      <c r="AN6953" s="33">
        <v>1.077525849149428E-2</v>
      </c>
      <c r="AO6953" s="33">
        <v>5.0822126371092972E-4</v>
      </c>
    </row>
    <row r="6954" spans="39:41" x14ac:dyDescent="0.25">
      <c r="AM6954" s="2">
        <v>6951</v>
      </c>
      <c r="AN6954" s="33">
        <v>1.1891291460488489E-2</v>
      </c>
      <c r="AO6954" s="33">
        <v>1.2338567581115499E-3</v>
      </c>
    </row>
    <row r="6955" spans="39:41" x14ac:dyDescent="0.25">
      <c r="AM6955" s="2">
        <v>6952</v>
      </c>
      <c r="AN6955" s="33">
        <v>1.5012355268685891E-2</v>
      </c>
      <c r="AO6955" s="33">
        <v>1.3988514564096709E-3</v>
      </c>
    </row>
    <row r="6956" spans="39:41" x14ac:dyDescent="0.25">
      <c r="AM6956" s="2">
        <v>6953</v>
      </c>
      <c r="AN6956" s="33">
        <v>9.306193391562155E-3</v>
      </c>
      <c r="AO6956" s="33">
        <v>2.9062090970922934E-4</v>
      </c>
    </row>
    <row r="6957" spans="39:41" x14ac:dyDescent="0.25">
      <c r="AM6957" s="2">
        <v>6954</v>
      </c>
      <c r="AN6957" s="33">
        <v>7.5401543459856762E-3</v>
      </c>
      <c r="AO6957" s="33">
        <v>5.9287473169427035E-4</v>
      </c>
    </row>
    <row r="6958" spans="39:41" x14ac:dyDescent="0.25">
      <c r="AM6958" s="2">
        <v>6955</v>
      </c>
      <c r="AN6958" s="33">
        <v>1.3148235979103712E-2</v>
      </c>
      <c r="AO6958" s="33">
        <v>1.3201479731566822E-3</v>
      </c>
    </row>
    <row r="6959" spans="39:41" x14ac:dyDescent="0.25">
      <c r="AM6959" s="2">
        <v>6956</v>
      </c>
      <c r="AN6959" s="33">
        <v>1.2389719974682073E-2</v>
      </c>
      <c r="AO6959" s="33">
        <v>1.0372975768141589E-3</v>
      </c>
    </row>
    <row r="6960" spans="39:41" x14ac:dyDescent="0.25">
      <c r="AM6960" s="2">
        <v>6957</v>
      </c>
      <c r="AN6960" s="33">
        <v>9.6048890652048174E-3</v>
      </c>
      <c r="AO6960" s="33">
        <v>5.2527371098548743E-4</v>
      </c>
    </row>
    <row r="6961" spans="39:41" x14ac:dyDescent="0.25">
      <c r="AM6961" s="2">
        <v>6958</v>
      </c>
      <c r="AN6961" s="33">
        <v>1.0315348847668144E-2</v>
      </c>
      <c r="AO6961" s="33">
        <v>7.8151815575432354E-4</v>
      </c>
    </row>
    <row r="6962" spans="39:41" x14ac:dyDescent="0.25">
      <c r="AM6962" s="2">
        <v>6959</v>
      </c>
      <c r="AN6962" s="33">
        <v>1.2082713082607379E-2</v>
      </c>
      <c r="AO6962" s="33">
        <v>9.5763446272815328E-4</v>
      </c>
    </row>
    <row r="6963" spans="39:41" x14ac:dyDescent="0.25">
      <c r="AM6963" s="2">
        <v>6960</v>
      </c>
      <c r="AN6963" s="33">
        <v>1.1904518264377328E-2</v>
      </c>
      <c r="AO6963" s="33">
        <v>1.2623249971552622E-3</v>
      </c>
    </row>
    <row r="6964" spans="39:41" x14ac:dyDescent="0.25">
      <c r="AM6964" s="2">
        <v>6961</v>
      </c>
      <c r="AN6964" s="33">
        <v>1.2505279386149553E-2</v>
      </c>
      <c r="AO6964" s="33">
        <v>8.8220509832133366E-4</v>
      </c>
    </row>
    <row r="6965" spans="39:41" x14ac:dyDescent="0.25">
      <c r="AM6965" s="2">
        <v>6962</v>
      </c>
      <c r="AN6965" s="33">
        <v>1.3976573309559141E-2</v>
      </c>
      <c r="AO6965" s="33">
        <v>1.2033238597458481E-3</v>
      </c>
    </row>
    <row r="6966" spans="39:41" x14ac:dyDescent="0.25">
      <c r="AM6966" s="2">
        <v>6963</v>
      </c>
      <c r="AN6966" s="33">
        <v>1.1985640486547988E-2</v>
      </c>
      <c r="AO6966" s="33">
        <v>5.2910720127667622E-4</v>
      </c>
    </row>
    <row r="6967" spans="39:41" x14ac:dyDescent="0.25">
      <c r="AM6967" s="2">
        <v>6964</v>
      </c>
      <c r="AN6967" s="33">
        <v>1.1862092756979803E-2</v>
      </c>
      <c r="AO6967" s="33">
        <v>4.7275549736604646E-4</v>
      </c>
    </row>
    <row r="6968" spans="39:41" x14ac:dyDescent="0.25">
      <c r="AM6968" s="2">
        <v>6965</v>
      </c>
      <c r="AN6968" s="33">
        <v>1.4664626988787559E-2</v>
      </c>
      <c r="AO6968" s="33">
        <v>1.448876968452971E-3</v>
      </c>
    </row>
    <row r="6969" spans="39:41" x14ac:dyDescent="0.25">
      <c r="AM6969" s="2">
        <v>6966</v>
      </c>
      <c r="AN6969" s="33">
        <v>1.1027316411286427E-2</v>
      </c>
      <c r="AO6969" s="33">
        <v>9.7135059267518926E-4</v>
      </c>
    </row>
    <row r="6970" spans="39:41" x14ac:dyDescent="0.25">
      <c r="AM6970" s="2">
        <v>6967</v>
      </c>
      <c r="AN6970" s="33">
        <v>1.1820529992120677E-2</v>
      </c>
      <c r="AO6970" s="33">
        <v>8.9953683536529684E-4</v>
      </c>
    </row>
    <row r="6971" spans="39:41" x14ac:dyDescent="0.25">
      <c r="AM6971" s="2">
        <v>6968</v>
      </c>
      <c r="AN6971" s="33">
        <v>1.1405612103057489E-2</v>
      </c>
      <c r="AO6971" s="33">
        <v>8.7424460869070454E-4</v>
      </c>
    </row>
    <row r="6972" spans="39:41" x14ac:dyDescent="0.25">
      <c r="AM6972" s="2">
        <v>6969</v>
      </c>
      <c r="AN6972" s="33">
        <v>1.1471745733511526E-2</v>
      </c>
      <c r="AO6972" s="33">
        <v>6.1469542484248287E-4</v>
      </c>
    </row>
    <row r="6973" spans="39:41" x14ac:dyDescent="0.25">
      <c r="AM6973" s="2">
        <v>6970</v>
      </c>
      <c r="AN6973" s="33">
        <v>1.0665616958396119E-2</v>
      </c>
      <c r="AO6973" s="33">
        <v>6.1487721001711535E-4</v>
      </c>
    </row>
    <row r="6974" spans="39:41" x14ac:dyDescent="0.25">
      <c r="AM6974" s="2">
        <v>6971</v>
      </c>
      <c r="AN6974" s="33">
        <v>1.1744376931808822E-2</v>
      </c>
      <c r="AO6974" s="33">
        <v>8.7568175243430215E-4</v>
      </c>
    </row>
    <row r="6975" spans="39:41" x14ac:dyDescent="0.25">
      <c r="AM6975" s="2">
        <v>6972</v>
      </c>
      <c r="AN6975" s="33">
        <v>1.447484617408995E-2</v>
      </c>
      <c r="AO6975" s="33">
        <v>1.3787055947048425E-3</v>
      </c>
    </row>
    <row r="6976" spans="39:41" x14ac:dyDescent="0.25">
      <c r="AM6976" s="2">
        <v>6973</v>
      </c>
      <c r="AN6976" s="33">
        <v>1.3740221712648562E-2</v>
      </c>
      <c r="AO6976" s="33">
        <v>1.1457634547536811E-3</v>
      </c>
    </row>
    <row r="6977" spans="39:41" x14ac:dyDescent="0.25">
      <c r="AM6977" s="2">
        <v>6974</v>
      </c>
      <c r="AN6977" s="33">
        <v>1.07747742815438E-2</v>
      </c>
      <c r="AO6977" s="33">
        <v>5.4167653334734084E-4</v>
      </c>
    </row>
    <row r="6978" spans="39:41" x14ac:dyDescent="0.25">
      <c r="AM6978" s="2">
        <v>6975</v>
      </c>
      <c r="AN6978" s="33">
        <v>1.15013271270501E-2</v>
      </c>
      <c r="AO6978" s="33">
        <v>4.7843505663091766E-4</v>
      </c>
    </row>
    <row r="6979" spans="39:41" x14ac:dyDescent="0.25">
      <c r="AM6979" s="2">
        <v>6976</v>
      </c>
      <c r="AN6979" s="33">
        <v>1.4397567082493659E-2</v>
      </c>
      <c r="AO6979" s="33">
        <v>9.8566723014404723E-4</v>
      </c>
    </row>
    <row r="6980" spans="39:41" x14ac:dyDescent="0.25">
      <c r="AM6980" s="2">
        <v>6977</v>
      </c>
      <c r="AN6980" s="33">
        <v>1.5193033177094547E-2</v>
      </c>
      <c r="AO6980" s="33">
        <v>1.3701278932591425E-3</v>
      </c>
    </row>
    <row r="6981" spans="39:41" x14ac:dyDescent="0.25">
      <c r="AM6981" s="2">
        <v>6978</v>
      </c>
      <c r="AN6981" s="33">
        <v>1.1380501993409836E-2</v>
      </c>
      <c r="AO6981" s="33">
        <v>4.3690452170872462E-4</v>
      </c>
    </row>
    <row r="6982" spans="39:41" x14ac:dyDescent="0.25">
      <c r="AM6982" s="2">
        <v>6979</v>
      </c>
      <c r="AN6982" s="33">
        <v>2.0425316693069663E-2</v>
      </c>
      <c r="AO6982" s="33">
        <v>2.0416458361481268E-3</v>
      </c>
    </row>
    <row r="6983" spans="39:41" x14ac:dyDescent="0.25">
      <c r="AM6983" s="2">
        <v>6980</v>
      </c>
      <c r="AN6983" s="33">
        <v>1.2208491665836459E-2</v>
      </c>
      <c r="AO6983" s="33">
        <v>5.4396448165041418E-4</v>
      </c>
    </row>
    <row r="6984" spans="39:41" x14ac:dyDescent="0.25">
      <c r="AM6984" s="2">
        <v>6981</v>
      </c>
      <c r="AN6984" s="33">
        <v>1.4227634579500971E-2</v>
      </c>
      <c r="AO6984" s="33">
        <v>1.0846816677714071E-3</v>
      </c>
    </row>
    <row r="6985" spans="39:41" x14ac:dyDescent="0.25">
      <c r="AM6985" s="2">
        <v>6982</v>
      </c>
      <c r="AN6985" s="33">
        <v>9.8011921483666387E-3</v>
      </c>
      <c r="AO6985" s="33">
        <v>4.9669149508907722E-4</v>
      </c>
    </row>
    <row r="6986" spans="39:41" x14ac:dyDescent="0.25">
      <c r="AM6986" s="2">
        <v>6983</v>
      </c>
      <c r="AN6986" s="33">
        <v>1.528234340258053E-2</v>
      </c>
      <c r="AO6986" s="33">
        <v>1.2987293108191913E-3</v>
      </c>
    </row>
    <row r="6987" spans="39:41" x14ac:dyDescent="0.25">
      <c r="AM6987" s="2">
        <v>6984</v>
      </c>
      <c r="AN6987" s="33">
        <v>1.3700173269564698E-2</v>
      </c>
      <c r="AO6987" s="33">
        <v>6.4706490668780452E-4</v>
      </c>
    </row>
    <row r="6988" spans="39:41" x14ac:dyDescent="0.25">
      <c r="AM6988" s="2">
        <v>6985</v>
      </c>
      <c r="AN6988" s="33">
        <v>1.1741213561746377E-2</v>
      </c>
      <c r="AO6988" s="33">
        <v>8.8620071839053366E-4</v>
      </c>
    </row>
    <row r="6989" spans="39:41" x14ac:dyDescent="0.25">
      <c r="AM6989" s="2">
        <v>6986</v>
      </c>
      <c r="AN6989" s="33">
        <v>1.2107832406633197E-2</v>
      </c>
      <c r="AO6989" s="33">
        <v>1.0188275943043351E-3</v>
      </c>
    </row>
    <row r="6990" spans="39:41" x14ac:dyDescent="0.25">
      <c r="AM6990" s="2">
        <v>6987</v>
      </c>
      <c r="AN6990" s="33">
        <v>1.1491467859782271E-2</v>
      </c>
      <c r="AO6990" s="33">
        <v>9.7928066771193903E-4</v>
      </c>
    </row>
    <row r="6991" spans="39:41" x14ac:dyDescent="0.25">
      <c r="AM6991" s="2">
        <v>6988</v>
      </c>
      <c r="AN6991" s="33">
        <v>1.20011216851033E-2</v>
      </c>
      <c r="AO6991" s="33">
        <v>8.1456209614485316E-4</v>
      </c>
    </row>
    <row r="6992" spans="39:41" x14ac:dyDescent="0.25">
      <c r="AM6992" s="2">
        <v>6989</v>
      </c>
      <c r="AN6992" s="33">
        <v>1.0012959658044907E-2</v>
      </c>
      <c r="AO6992" s="33">
        <v>6.8578577099430319E-4</v>
      </c>
    </row>
    <row r="6993" spans="39:41" x14ac:dyDescent="0.25">
      <c r="AM6993" s="2">
        <v>6990</v>
      </c>
      <c r="AN6993" s="33">
        <v>1.6005908121387236E-2</v>
      </c>
      <c r="AO6993" s="33">
        <v>1.1577296421580057E-3</v>
      </c>
    </row>
    <row r="6994" spans="39:41" x14ac:dyDescent="0.25">
      <c r="AM6994" s="2">
        <v>6991</v>
      </c>
      <c r="AN6994" s="33">
        <v>1.1674403228168014E-2</v>
      </c>
      <c r="AO6994" s="33">
        <v>8.036246689536316E-4</v>
      </c>
    </row>
    <row r="6995" spans="39:41" x14ac:dyDescent="0.25">
      <c r="AM6995" s="2">
        <v>6992</v>
      </c>
      <c r="AN6995" s="33">
        <v>8.8888530857896449E-3</v>
      </c>
      <c r="AO6995" s="33">
        <v>2.5797606309643756E-4</v>
      </c>
    </row>
    <row r="6996" spans="39:41" x14ac:dyDescent="0.25">
      <c r="AM6996" s="2">
        <v>6993</v>
      </c>
      <c r="AN6996" s="33">
        <v>1.282678014225368E-2</v>
      </c>
      <c r="AO6996" s="33">
        <v>9.4880770825453203E-4</v>
      </c>
    </row>
    <row r="6997" spans="39:41" x14ac:dyDescent="0.25">
      <c r="AM6997" s="2">
        <v>6994</v>
      </c>
      <c r="AN6997" s="33">
        <v>1.1492043280383488E-2</v>
      </c>
      <c r="AO6997" s="33">
        <v>9.037033313467885E-4</v>
      </c>
    </row>
    <row r="6998" spans="39:41" x14ac:dyDescent="0.25">
      <c r="AM6998" s="2">
        <v>6995</v>
      </c>
      <c r="AN6998" s="33">
        <v>1.2349498651604477E-2</v>
      </c>
      <c r="AO6998" s="33">
        <v>9.5960322764948971E-4</v>
      </c>
    </row>
    <row r="6999" spans="39:41" x14ac:dyDescent="0.25">
      <c r="AM6999" s="2">
        <v>6996</v>
      </c>
      <c r="AN6999" s="33">
        <v>1.1045094006418526E-2</v>
      </c>
      <c r="AO6999" s="33">
        <v>8.5299703728547959E-4</v>
      </c>
    </row>
    <row r="7000" spans="39:41" x14ac:dyDescent="0.25">
      <c r="AM7000" s="2">
        <v>6997</v>
      </c>
      <c r="AN7000" s="33">
        <v>7.8595780258277365E-3</v>
      </c>
      <c r="AO7000" s="33">
        <v>5.1354288066506211E-4</v>
      </c>
    </row>
    <row r="7001" spans="39:41" x14ac:dyDescent="0.25">
      <c r="AM7001" s="2">
        <v>6998</v>
      </c>
      <c r="AN7001" s="33">
        <v>1.4801750852750184E-2</v>
      </c>
      <c r="AO7001" s="33">
        <v>1.3924201307938125E-3</v>
      </c>
    </row>
    <row r="7002" spans="39:41" x14ac:dyDescent="0.25">
      <c r="AM7002" s="2">
        <v>6999</v>
      </c>
      <c r="AN7002" s="33">
        <v>1.1925565218053156E-2</v>
      </c>
      <c r="AO7002" s="33">
        <v>6.4756492263524598E-4</v>
      </c>
    </row>
    <row r="7003" spans="39:41" x14ac:dyDescent="0.25">
      <c r="AM7003" s="2">
        <v>7000</v>
      </c>
      <c r="AN7003" s="33">
        <v>1.0708037517439584E-2</v>
      </c>
      <c r="AO7003" s="33">
        <v>7.9937412859336951E-4</v>
      </c>
    </row>
    <row r="7004" spans="39:41" x14ac:dyDescent="0.25">
      <c r="AM7004" s="2">
        <v>7001</v>
      </c>
      <c r="AN7004" s="33">
        <v>1.1322836132851236E-2</v>
      </c>
      <c r="AO7004" s="33">
        <v>1.0298358998334456E-3</v>
      </c>
    </row>
    <row r="7005" spans="39:41" x14ac:dyDescent="0.25">
      <c r="AM7005" s="2">
        <v>7002</v>
      </c>
      <c r="AN7005" s="33">
        <v>1.5896111336896189E-2</v>
      </c>
      <c r="AO7005" s="33">
        <v>1.1500054241008158E-3</v>
      </c>
    </row>
    <row r="7006" spans="39:41" x14ac:dyDescent="0.25">
      <c r="AM7006" s="2">
        <v>7003</v>
      </c>
      <c r="AN7006" s="33">
        <v>1.5038658810236931E-2</v>
      </c>
      <c r="AO7006" s="33">
        <v>1.5399433686742188E-3</v>
      </c>
    </row>
    <row r="7007" spans="39:41" x14ac:dyDescent="0.25">
      <c r="AM7007" s="2">
        <v>7004</v>
      </c>
      <c r="AN7007" s="33">
        <v>1.1151926524322009E-2</v>
      </c>
      <c r="AO7007" s="33">
        <v>9.679987641579642E-4</v>
      </c>
    </row>
    <row r="7008" spans="39:41" x14ac:dyDescent="0.25">
      <c r="AM7008" s="2">
        <v>7005</v>
      </c>
      <c r="AN7008" s="33">
        <v>8.6143032439536058E-3</v>
      </c>
      <c r="AO7008" s="33">
        <v>5.8886622726660848E-4</v>
      </c>
    </row>
    <row r="7009" spans="39:41" x14ac:dyDescent="0.25">
      <c r="AM7009" s="2">
        <v>7006</v>
      </c>
      <c r="AN7009" s="33">
        <v>1.1770218441511675E-2</v>
      </c>
      <c r="AO7009" s="33">
        <v>7.6781219690085227E-4</v>
      </c>
    </row>
    <row r="7010" spans="39:41" x14ac:dyDescent="0.25">
      <c r="AM7010" s="2">
        <v>7007</v>
      </c>
      <c r="AN7010" s="33">
        <v>1.0106116325033132E-2</v>
      </c>
      <c r="AO7010" s="33">
        <v>5.8113292876356447E-4</v>
      </c>
    </row>
    <row r="7011" spans="39:41" x14ac:dyDescent="0.25">
      <c r="AM7011" s="2">
        <v>7008</v>
      </c>
      <c r="AN7011" s="33">
        <v>1.2618361319129148E-2</v>
      </c>
      <c r="AO7011" s="33">
        <v>7.4056625237420976E-4</v>
      </c>
    </row>
    <row r="7012" spans="39:41" x14ac:dyDescent="0.25">
      <c r="AM7012" s="2">
        <v>7009</v>
      </c>
      <c r="AN7012" s="33">
        <v>1.0953142176133633E-2</v>
      </c>
      <c r="AO7012" s="33">
        <v>4.9941037745253629E-4</v>
      </c>
    </row>
    <row r="7013" spans="39:41" x14ac:dyDescent="0.25">
      <c r="AM7013" s="2">
        <v>7010</v>
      </c>
      <c r="AN7013" s="33">
        <v>1.2668670777381031E-2</v>
      </c>
      <c r="AO7013" s="33">
        <v>6.3792998952024067E-4</v>
      </c>
    </row>
    <row r="7014" spans="39:41" x14ac:dyDescent="0.25">
      <c r="AM7014" s="2">
        <v>7011</v>
      </c>
      <c r="AN7014" s="33">
        <v>1.2329768741356299E-2</v>
      </c>
      <c r="AO7014" s="33">
        <v>9.1425773712589746E-4</v>
      </c>
    </row>
    <row r="7015" spans="39:41" x14ac:dyDescent="0.25">
      <c r="AM7015" s="2">
        <v>7012</v>
      </c>
      <c r="AN7015" s="33">
        <v>1.1868467254665303E-2</v>
      </c>
      <c r="AO7015" s="33">
        <v>4.8089445279383958E-4</v>
      </c>
    </row>
    <row r="7016" spans="39:41" x14ac:dyDescent="0.25">
      <c r="AM7016" s="2">
        <v>7013</v>
      </c>
      <c r="AN7016" s="33">
        <v>1.4342329071787559E-2</v>
      </c>
      <c r="AO7016" s="33">
        <v>9.8617871585092789E-4</v>
      </c>
    </row>
    <row r="7017" spans="39:41" x14ac:dyDescent="0.25">
      <c r="AM7017" s="2">
        <v>7014</v>
      </c>
      <c r="AN7017" s="33">
        <v>1.2927341394333313E-2</v>
      </c>
      <c r="AO7017" s="33">
        <v>9.5684454722081021E-4</v>
      </c>
    </row>
    <row r="7018" spans="39:41" x14ac:dyDescent="0.25">
      <c r="AM7018" s="2">
        <v>7015</v>
      </c>
      <c r="AN7018" s="33">
        <v>1.0188973955400912E-2</v>
      </c>
      <c r="AO7018" s="33">
        <v>6.8923620211796502E-4</v>
      </c>
    </row>
    <row r="7019" spans="39:41" x14ac:dyDescent="0.25">
      <c r="AM7019" s="2">
        <v>7016</v>
      </c>
      <c r="AN7019" s="33">
        <v>9.5099288741190089E-3</v>
      </c>
      <c r="AO7019" s="33">
        <v>8.0858096361217751E-4</v>
      </c>
    </row>
    <row r="7020" spans="39:41" x14ac:dyDescent="0.25">
      <c r="AM7020" s="2">
        <v>7017</v>
      </c>
      <c r="AN7020" s="33">
        <v>1.6011951209562673E-2</v>
      </c>
      <c r="AO7020" s="33">
        <v>1.6018963133325871E-3</v>
      </c>
    </row>
    <row r="7021" spans="39:41" x14ac:dyDescent="0.25">
      <c r="AM7021" s="2">
        <v>7018</v>
      </c>
      <c r="AN7021" s="33">
        <v>1.2519699225558857E-2</v>
      </c>
      <c r="AO7021" s="33">
        <v>1.2528490129666435E-3</v>
      </c>
    </row>
    <row r="7022" spans="39:41" x14ac:dyDescent="0.25">
      <c r="AM7022" s="2">
        <v>7019</v>
      </c>
      <c r="AN7022" s="33">
        <v>1.2059439232229669E-2</v>
      </c>
      <c r="AO7022" s="33">
        <v>7.1546266844186202E-4</v>
      </c>
    </row>
    <row r="7023" spans="39:41" x14ac:dyDescent="0.25">
      <c r="AM7023" s="2">
        <v>7020</v>
      </c>
      <c r="AN7023" s="33">
        <v>1.6034285693734076E-2</v>
      </c>
      <c r="AO7023" s="33">
        <v>6.4985340014875673E-4</v>
      </c>
    </row>
    <row r="7024" spans="39:41" x14ac:dyDescent="0.25">
      <c r="AM7024" s="2">
        <v>7021</v>
      </c>
      <c r="AN7024" s="33">
        <v>9.9506491814260814E-3</v>
      </c>
      <c r="AO7024" s="33">
        <v>5.9949692181096841E-4</v>
      </c>
    </row>
    <row r="7025" spans="39:41" x14ac:dyDescent="0.25">
      <c r="AM7025" s="2">
        <v>7022</v>
      </c>
      <c r="AN7025" s="33">
        <v>1.2420366619027687E-2</v>
      </c>
      <c r="AO7025" s="33">
        <v>8.1656553090953281E-4</v>
      </c>
    </row>
    <row r="7026" spans="39:41" x14ac:dyDescent="0.25">
      <c r="AM7026" s="2">
        <v>7023</v>
      </c>
      <c r="AN7026" s="33">
        <v>1.3376873671038726E-2</v>
      </c>
      <c r="AO7026" s="33">
        <v>1.1630847482640265E-3</v>
      </c>
    </row>
    <row r="7027" spans="39:41" x14ac:dyDescent="0.25">
      <c r="AM7027" s="2">
        <v>7024</v>
      </c>
      <c r="AN7027" s="33">
        <v>1.1081570763251019E-2</v>
      </c>
      <c r="AO7027" s="33">
        <v>7.0211813213214101E-4</v>
      </c>
    </row>
    <row r="7028" spans="39:41" x14ac:dyDescent="0.25">
      <c r="AM7028" s="2">
        <v>7025</v>
      </c>
      <c r="AN7028" s="33">
        <v>1.1456910911679934E-2</v>
      </c>
      <c r="AO7028" s="33">
        <v>7.3813941788035289E-4</v>
      </c>
    </row>
    <row r="7029" spans="39:41" x14ac:dyDescent="0.25">
      <c r="AM7029" s="2">
        <v>7026</v>
      </c>
      <c r="AN7029" s="33">
        <v>1.0240972496181003E-2</v>
      </c>
      <c r="AO7029" s="33">
        <v>4.1170944003359215E-4</v>
      </c>
    </row>
    <row r="7030" spans="39:41" x14ac:dyDescent="0.25">
      <c r="AM7030" s="2">
        <v>7027</v>
      </c>
      <c r="AN7030" s="33">
        <v>1.1671549589301633E-2</v>
      </c>
      <c r="AO7030" s="33">
        <v>8.2236731952082739E-4</v>
      </c>
    </row>
    <row r="7031" spans="39:41" x14ac:dyDescent="0.25">
      <c r="AM7031" s="2">
        <v>7028</v>
      </c>
      <c r="AN7031" s="33">
        <v>1.1340902961381577E-2</v>
      </c>
      <c r="AO7031" s="33">
        <v>4.3386039545980986E-4</v>
      </c>
    </row>
    <row r="7032" spans="39:41" x14ac:dyDescent="0.25">
      <c r="AM7032" s="2">
        <v>7029</v>
      </c>
      <c r="AN7032" s="33">
        <v>1.0939459401239419E-2</v>
      </c>
      <c r="AO7032" s="33">
        <v>6.2359285171716345E-4</v>
      </c>
    </row>
    <row r="7033" spans="39:41" x14ac:dyDescent="0.25">
      <c r="AM7033" s="2">
        <v>7030</v>
      </c>
      <c r="AN7033" s="33">
        <v>9.9828106404253308E-3</v>
      </c>
      <c r="AO7033" s="33">
        <v>6.4654020322250005E-4</v>
      </c>
    </row>
    <row r="7034" spans="39:41" x14ac:dyDescent="0.25">
      <c r="AM7034" s="2">
        <v>7031</v>
      </c>
      <c r="AN7034" s="33">
        <v>1.2598892766544354E-2</v>
      </c>
      <c r="AO7034" s="33">
        <v>9.014831727524584E-4</v>
      </c>
    </row>
    <row r="7035" spans="39:41" x14ac:dyDescent="0.25">
      <c r="AM7035" s="2">
        <v>7032</v>
      </c>
      <c r="AN7035" s="33">
        <v>1.0571387841225442E-2</v>
      </c>
      <c r="AO7035" s="33">
        <v>1.0453314186823204E-3</v>
      </c>
    </row>
    <row r="7036" spans="39:41" x14ac:dyDescent="0.25">
      <c r="AM7036" s="2">
        <v>7033</v>
      </c>
      <c r="AN7036" s="33">
        <v>1.0335726942066054E-2</v>
      </c>
      <c r="AO7036" s="33">
        <v>4.3707751444762731E-4</v>
      </c>
    </row>
    <row r="7037" spans="39:41" x14ac:dyDescent="0.25">
      <c r="AM7037" s="2">
        <v>7034</v>
      </c>
      <c r="AN7037" s="33">
        <v>8.2018022201535371E-3</v>
      </c>
      <c r="AO7037" s="33">
        <v>1.3796184250921867E-4</v>
      </c>
    </row>
    <row r="7038" spans="39:41" x14ac:dyDescent="0.25">
      <c r="AM7038" s="2">
        <v>7035</v>
      </c>
      <c r="AN7038" s="33">
        <v>1.6326423191750726E-2</v>
      </c>
      <c r="AO7038" s="33">
        <v>1.6476872303615941E-3</v>
      </c>
    </row>
    <row r="7039" spans="39:41" x14ac:dyDescent="0.25">
      <c r="AM7039" s="2">
        <v>7036</v>
      </c>
      <c r="AN7039" s="33">
        <v>1.3647586073609245E-2</v>
      </c>
      <c r="AO7039" s="33">
        <v>1.2655925787078783E-3</v>
      </c>
    </row>
    <row r="7040" spans="39:41" x14ac:dyDescent="0.25">
      <c r="AM7040" s="2">
        <v>7037</v>
      </c>
      <c r="AN7040" s="33">
        <v>1.0049987902332152E-2</v>
      </c>
      <c r="AO7040" s="33">
        <v>5.0082385841896152E-4</v>
      </c>
    </row>
    <row r="7041" spans="39:41" x14ac:dyDescent="0.25">
      <c r="AM7041" s="2">
        <v>7038</v>
      </c>
      <c r="AN7041" s="33">
        <v>1.3147003683349721E-2</v>
      </c>
      <c r="AO7041" s="33">
        <v>1.0694249838961853E-3</v>
      </c>
    </row>
    <row r="7042" spans="39:41" x14ac:dyDescent="0.25">
      <c r="AM7042" s="2">
        <v>7039</v>
      </c>
      <c r="AN7042" s="33">
        <v>1.2276455491611422E-2</v>
      </c>
      <c r="AO7042" s="33">
        <v>7.5374775193236016E-4</v>
      </c>
    </row>
    <row r="7043" spans="39:41" x14ac:dyDescent="0.25">
      <c r="AM7043" s="2">
        <v>7040</v>
      </c>
      <c r="AN7043" s="33">
        <v>8.2358283341196978E-3</v>
      </c>
      <c r="AO7043" s="33">
        <v>2.9043265629254112E-4</v>
      </c>
    </row>
    <row r="7044" spans="39:41" x14ac:dyDescent="0.25">
      <c r="AM7044" s="2">
        <v>7041</v>
      </c>
      <c r="AN7044" s="33">
        <v>9.8298293769895091E-3</v>
      </c>
      <c r="AO7044" s="33">
        <v>3.4078675877365842E-4</v>
      </c>
    </row>
    <row r="7045" spans="39:41" x14ac:dyDescent="0.25">
      <c r="AM7045" s="2">
        <v>7042</v>
      </c>
      <c r="AN7045" s="33">
        <v>1.2312268320590031E-2</v>
      </c>
      <c r="AO7045" s="33">
        <v>7.6266108466887205E-4</v>
      </c>
    </row>
    <row r="7046" spans="39:41" x14ac:dyDescent="0.25">
      <c r="AM7046" s="2">
        <v>7043</v>
      </c>
      <c r="AN7046" s="33">
        <v>1.0205009778008535E-2</v>
      </c>
      <c r="AO7046" s="33">
        <v>7.7771361349586422E-4</v>
      </c>
    </row>
    <row r="7047" spans="39:41" x14ac:dyDescent="0.25">
      <c r="AM7047" s="2">
        <v>7044</v>
      </c>
      <c r="AN7047" s="33">
        <v>1.0885193621589111E-2</v>
      </c>
      <c r="AO7047" s="33">
        <v>6.7113446622146073E-4</v>
      </c>
    </row>
    <row r="7048" spans="39:41" x14ac:dyDescent="0.25">
      <c r="AM7048" s="2">
        <v>7045</v>
      </c>
      <c r="AN7048" s="33">
        <v>1.3139479715481087E-2</v>
      </c>
      <c r="AO7048" s="33">
        <v>7.2688605692003178E-4</v>
      </c>
    </row>
    <row r="7049" spans="39:41" x14ac:dyDescent="0.25">
      <c r="AM7049" s="2">
        <v>7046</v>
      </c>
      <c r="AN7049" s="33">
        <v>1.1943721463618407E-2</v>
      </c>
      <c r="AO7049" s="33">
        <v>7.9356676098836932E-4</v>
      </c>
    </row>
    <row r="7050" spans="39:41" x14ac:dyDescent="0.25">
      <c r="AM7050" s="2">
        <v>7047</v>
      </c>
      <c r="AN7050" s="33">
        <v>1.1746644554698668E-2</v>
      </c>
      <c r="AO7050" s="33">
        <v>1.1728787029765154E-3</v>
      </c>
    </row>
    <row r="7051" spans="39:41" x14ac:dyDescent="0.25">
      <c r="AM7051" s="2">
        <v>7048</v>
      </c>
      <c r="AN7051" s="33">
        <v>1.5869956484188024E-2</v>
      </c>
      <c r="AO7051" s="33">
        <v>1.5118022854619616E-3</v>
      </c>
    </row>
    <row r="7052" spans="39:41" x14ac:dyDescent="0.25">
      <c r="AM7052" s="2">
        <v>7049</v>
      </c>
      <c r="AN7052" s="33">
        <v>8.5131571808427526E-3</v>
      </c>
      <c r="AO7052" s="33">
        <v>8.1892906852636181E-4</v>
      </c>
    </row>
    <row r="7053" spans="39:41" x14ac:dyDescent="0.25">
      <c r="AM7053" s="2">
        <v>7050</v>
      </c>
      <c r="AN7053" s="33">
        <v>9.8265301251297867E-3</v>
      </c>
      <c r="AO7053" s="33">
        <v>5.7201167879029891E-4</v>
      </c>
    </row>
    <row r="7054" spans="39:41" x14ac:dyDescent="0.25">
      <c r="AM7054" s="2">
        <v>7051</v>
      </c>
      <c r="AN7054" s="33">
        <v>1.0736327759520303E-2</v>
      </c>
      <c r="AO7054" s="33">
        <v>8.6589450157052359E-4</v>
      </c>
    </row>
    <row r="7055" spans="39:41" x14ac:dyDescent="0.25">
      <c r="AM7055" s="2">
        <v>7052</v>
      </c>
      <c r="AN7055" s="33">
        <v>1.3038590001666088E-2</v>
      </c>
      <c r="AO7055" s="33">
        <v>1.2180882063863485E-3</v>
      </c>
    </row>
    <row r="7056" spans="39:41" x14ac:dyDescent="0.25">
      <c r="AM7056" s="2">
        <v>7053</v>
      </c>
      <c r="AN7056" s="33">
        <v>1.1308126966830241E-2</v>
      </c>
      <c r="AO7056" s="33">
        <v>9.3348057732805026E-4</v>
      </c>
    </row>
    <row r="7057" spans="39:41" x14ac:dyDescent="0.25">
      <c r="AM7057" s="2">
        <v>7054</v>
      </c>
      <c r="AN7057" s="33">
        <v>1.3327390929961035E-2</v>
      </c>
      <c r="AO7057" s="33">
        <v>1.1811039759469294E-3</v>
      </c>
    </row>
    <row r="7058" spans="39:41" x14ac:dyDescent="0.25">
      <c r="AM7058" s="2">
        <v>7055</v>
      </c>
      <c r="AN7058" s="33">
        <v>1.7720320640236552E-2</v>
      </c>
      <c r="AO7058" s="33">
        <v>1.7428682680326281E-3</v>
      </c>
    </row>
    <row r="7059" spans="39:41" x14ac:dyDescent="0.25">
      <c r="AM7059" s="2">
        <v>7056</v>
      </c>
      <c r="AN7059" s="33">
        <v>1.249053612472374E-2</v>
      </c>
      <c r="AO7059" s="33">
        <v>8.1632651177018204E-4</v>
      </c>
    </row>
    <row r="7060" spans="39:41" x14ac:dyDescent="0.25">
      <c r="AM7060" s="2">
        <v>7057</v>
      </c>
      <c r="AN7060" s="33">
        <v>1.5800041388294016E-2</v>
      </c>
      <c r="AO7060" s="33">
        <v>1.2590654695358034E-3</v>
      </c>
    </row>
    <row r="7061" spans="39:41" x14ac:dyDescent="0.25">
      <c r="AM7061" s="2">
        <v>7058</v>
      </c>
      <c r="AN7061" s="33">
        <v>8.5321766400290357E-3</v>
      </c>
      <c r="AO7061" s="33">
        <v>4.8070103529889834E-4</v>
      </c>
    </row>
    <row r="7062" spans="39:41" x14ac:dyDescent="0.25">
      <c r="AM7062" s="2">
        <v>7059</v>
      </c>
      <c r="AN7062" s="33">
        <v>1.2293960348634116E-2</v>
      </c>
      <c r="AO7062" s="33">
        <v>9.8141712333419968E-4</v>
      </c>
    </row>
    <row r="7063" spans="39:41" x14ac:dyDescent="0.25">
      <c r="AM7063" s="2">
        <v>7060</v>
      </c>
      <c r="AN7063" s="33">
        <v>1.044664779522351E-2</v>
      </c>
      <c r="AO7063" s="33">
        <v>8.5451761855832398E-4</v>
      </c>
    </row>
    <row r="7064" spans="39:41" x14ac:dyDescent="0.25">
      <c r="AM7064" s="2">
        <v>7061</v>
      </c>
      <c r="AN7064" s="33">
        <v>1.0841063775034914E-2</v>
      </c>
      <c r="AO7064" s="33">
        <v>9.7648307787545879E-4</v>
      </c>
    </row>
    <row r="7065" spans="39:41" x14ac:dyDescent="0.25">
      <c r="AM7065" s="2">
        <v>7062</v>
      </c>
      <c r="AN7065" s="33">
        <v>1.4483561643734846E-2</v>
      </c>
      <c r="AO7065" s="33">
        <v>1.2750600458983784E-3</v>
      </c>
    </row>
    <row r="7066" spans="39:41" x14ac:dyDescent="0.25">
      <c r="AM7066" s="2">
        <v>7063</v>
      </c>
      <c r="AN7066" s="33">
        <v>1.297054231546311E-2</v>
      </c>
      <c r="AO7066" s="33">
        <v>1.0011367631749047E-3</v>
      </c>
    </row>
    <row r="7067" spans="39:41" x14ac:dyDescent="0.25">
      <c r="AM7067" s="2">
        <v>7064</v>
      </c>
      <c r="AN7067" s="33">
        <v>9.9314486181069795E-3</v>
      </c>
      <c r="AO7067" s="33">
        <v>7.4781872779945485E-4</v>
      </c>
    </row>
    <row r="7068" spans="39:41" x14ac:dyDescent="0.25">
      <c r="AM7068" s="2">
        <v>7065</v>
      </c>
      <c r="AN7068" s="33">
        <v>1.0837684050795679E-2</v>
      </c>
      <c r="AO7068" s="33">
        <v>9.453359464050824E-4</v>
      </c>
    </row>
    <row r="7069" spans="39:41" x14ac:dyDescent="0.25">
      <c r="AM7069" s="2">
        <v>7066</v>
      </c>
      <c r="AN7069" s="33">
        <v>1.0468861645564811E-2</v>
      </c>
      <c r="AO7069" s="33">
        <v>7.9659446683894291E-4</v>
      </c>
    </row>
    <row r="7070" spans="39:41" x14ac:dyDescent="0.25">
      <c r="AM7070" s="2">
        <v>7067</v>
      </c>
      <c r="AN7070" s="33">
        <v>1.6136513354910058E-2</v>
      </c>
      <c r="AO7070" s="33">
        <v>1.3110714291651592E-3</v>
      </c>
    </row>
    <row r="7071" spans="39:41" x14ac:dyDescent="0.25">
      <c r="AM7071" s="2">
        <v>7068</v>
      </c>
      <c r="AN7071" s="33">
        <v>1.5328736160347082E-2</v>
      </c>
      <c r="AO7071" s="33">
        <v>1.0190667536767804E-3</v>
      </c>
    </row>
    <row r="7072" spans="39:41" x14ac:dyDescent="0.25">
      <c r="AM7072" s="2">
        <v>7069</v>
      </c>
      <c r="AN7072" s="33">
        <v>1.070161638244726E-2</v>
      </c>
      <c r="AO7072" s="33">
        <v>7.3945566465027262E-4</v>
      </c>
    </row>
    <row r="7073" spans="39:41" x14ac:dyDescent="0.25">
      <c r="AM7073" s="2">
        <v>7070</v>
      </c>
      <c r="AN7073" s="33">
        <v>8.8272387629760099E-3</v>
      </c>
      <c r="AO7073" s="33">
        <v>6.0503495226954572E-4</v>
      </c>
    </row>
    <row r="7074" spans="39:41" x14ac:dyDescent="0.25">
      <c r="AM7074" s="2">
        <v>7071</v>
      </c>
      <c r="AN7074" s="33">
        <v>1.1969287696104546E-2</v>
      </c>
      <c r="AO7074" s="33">
        <v>1.0800333417540901E-3</v>
      </c>
    </row>
    <row r="7075" spans="39:41" x14ac:dyDescent="0.25">
      <c r="AM7075" s="2">
        <v>7072</v>
      </c>
      <c r="AN7075" s="33">
        <v>1.2934876881698429E-2</v>
      </c>
      <c r="AO7075" s="33">
        <v>9.9436767953699754E-4</v>
      </c>
    </row>
    <row r="7076" spans="39:41" x14ac:dyDescent="0.25">
      <c r="AM7076" s="2">
        <v>7073</v>
      </c>
      <c r="AN7076" s="33">
        <v>8.914233378691851E-3</v>
      </c>
      <c r="AO7076" s="33">
        <v>5.8310109912002408E-4</v>
      </c>
    </row>
    <row r="7077" spans="39:41" x14ac:dyDescent="0.25">
      <c r="AM7077" s="2">
        <v>7074</v>
      </c>
      <c r="AN7077" s="33">
        <v>1.0230994365244609E-2</v>
      </c>
      <c r="AO7077" s="33">
        <v>9.9933867289866908E-4</v>
      </c>
    </row>
    <row r="7078" spans="39:41" x14ac:dyDescent="0.25">
      <c r="AM7078" s="2">
        <v>7075</v>
      </c>
      <c r="AN7078" s="33">
        <v>1.3873886127011759E-2</v>
      </c>
      <c r="AO7078" s="33">
        <v>1.2812705303796564E-3</v>
      </c>
    </row>
    <row r="7079" spans="39:41" x14ac:dyDescent="0.25">
      <c r="AM7079" s="2">
        <v>7076</v>
      </c>
      <c r="AN7079" s="33">
        <v>1.31114802103594E-2</v>
      </c>
      <c r="AO7079" s="33">
        <v>1.3788102702070612E-3</v>
      </c>
    </row>
    <row r="7080" spans="39:41" x14ac:dyDescent="0.25">
      <c r="AM7080" s="2">
        <v>7077</v>
      </c>
      <c r="AN7080" s="33">
        <v>1.0894867137128943E-2</v>
      </c>
      <c r="AO7080" s="33">
        <v>5.3643716592430258E-4</v>
      </c>
    </row>
    <row r="7081" spans="39:41" x14ac:dyDescent="0.25">
      <c r="AM7081" s="2">
        <v>7078</v>
      </c>
      <c r="AN7081" s="33">
        <v>1.4891115834165553E-2</v>
      </c>
      <c r="AO7081" s="33">
        <v>1.3696430554106312E-3</v>
      </c>
    </row>
    <row r="7082" spans="39:41" x14ac:dyDescent="0.25">
      <c r="AM7082" s="2">
        <v>7079</v>
      </c>
      <c r="AN7082" s="33">
        <v>1.1880839638467396E-2</v>
      </c>
      <c r="AO7082" s="33">
        <v>1.0048037604624661E-3</v>
      </c>
    </row>
    <row r="7083" spans="39:41" x14ac:dyDescent="0.25">
      <c r="AM7083" s="2">
        <v>7080</v>
      </c>
      <c r="AN7083" s="33">
        <v>1.1181221481564958E-2</v>
      </c>
      <c r="AO7083" s="33">
        <v>2.5126383117559363E-4</v>
      </c>
    </row>
    <row r="7084" spans="39:41" x14ac:dyDescent="0.25">
      <c r="AM7084" s="2">
        <v>7081</v>
      </c>
      <c r="AN7084" s="33">
        <v>1.6997318698662708E-2</v>
      </c>
      <c r="AO7084" s="33">
        <v>1.2947706983184315E-3</v>
      </c>
    </row>
    <row r="7085" spans="39:41" x14ac:dyDescent="0.25">
      <c r="AM7085" s="2">
        <v>7082</v>
      </c>
      <c r="AN7085" s="33">
        <v>1.7197696733304683E-2</v>
      </c>
      <c r="AO7085" s="33">
        <v>1.4866171266852827E-3</v>
      </c>
    </row>
    <row r="7086" spans="39:41" x14ac:dyDescent="0.25">
      <c r="AM7086" s="2">
        <v>7083</v>
      </c>
      <c r="AN7086" s="33">
        <v>1.0894058111608599E-2</v>
      </c>
      <c r="AO7086" s="33">
        <v>1.0514447663234074E-3</v>
      </c>
    </row>
    <row r="7087" spans="39:41" x14ac:dyDescent="0.25">
      <c r="AM7087" s="2">
        <v>7084</v>
      </c>
      <c r="AN7087" s="33">
        <v>8.4707531686274533E-3</v>
      </c>
      <c r="AO7087" s="33">
        <v>4.8611240814152673E-4</v>
      </c>
    </row>
    <row r="7088" spans="39:41" x14ac:dyDescent="0.25">
      <c r="AM7088" s="2">
        <v>7085</v>
      </c>
      <c r="AN7088" s="33">
        <v>1.0222100656967947E-2</v>
      </c>
      <c r="AO7088" s="33">
        <v>8.7481419315639823E-4</v>
      </c>
    </row>
    <row r="7089" spans="39:41" x14ac:dyDescent="0.25">
      <c r="AM7089" s="2">
        <v>7086</v>
      </c>
      <c r="AN7089" s="33">
        <v>1.185356584802048E-2</v>
      </c>
      <c r="AO7089" s="33">
        <v>5.3655861865926099E-4</v>
      </c>
    </row>
    <row r="7090" spans="39:41" x14ac:dyDescent="0.25">
      <c r="AM7090" s="2">
        <v>7087</v>
      </c>
      <c r="AN7090" s="33">
        <v>1.0889676897395452E-2</v>
      </c>
      <c r="AO7090" s="33">
        <v>8.1464905271387501E-4</v>
      </c>
    </row>
    <row r="7091" spans="39:41" x14ac:dyDescent="0.25">
      <c r="AM7091" s="2">
        <v>7088</v>
      </c>
      <c r="AN7091" s="33">
        <v>1.1387136824104922E-2</v>
      </c>
      <c r="AO7091" s="33">
        <v>1.0402712806204441E-3</v>
      </c>
    </row>
    <row r="7092" spans="39:41" x14ac:dyDescent="0.25">
      <c r="AM7092" s="2">
        <v>7089</v>
      </c>
      <c r="AN7092" s="33">
        <v>1.2031623745130561E-2</v>
      </c>
      <c r="AO7092" s="33">
        <v>9.1779130618137392E-4</v>
      </c>
    </row>
    <row r="7093" spans="39:41" x14ac:dyDescent="0.25">
      <c r="AM7093" s="2">
        <v>7090</v>
      </c>
      <c r="AN7093" s="33">
        <v>8.7994705601884601E-3</v>
      </c>
      <c r="AO7093" s="33">
        <v>3.8200076333132693E-4</v>
      </c>
    </row>
    <row r="7094" spans="39:41" x14ac:dyDescent="0.25">
      <c r="AM7094" s="2">
        <v>7091</v>
      </c>
      <c r="AN7094" s="33">
        <v>1.1779037193984597E-2</v>
      </c>
      <c r="AO7094" s="33">
        <v>8.3538737484890088E-4</v>
      </c>
    </row>
    <row r="7095" spans="39:41" x14ac:dyDescent="0.25">
      <c r="AM7095" s="2">
        <v>7092</v>
      </c>
      <c r="AN7095" s="33">
        <v>1.2292879702518517E-2</v>
      </c>
      <c r="AO7095" s="33">
        <v>1.1163970712433824E-3</v>
      </c>
    </row>
    <row r="7096" spans="39:41" x14ac:dyDescent="0.25">
      <c r="AM7096" s="2">
        <v>7093</v>
      </c>
      <c r="AN7096" s="33">
        <v>1.1831159065071853E-2</v>
      </c>
      <c r="AO7096" s="33">
        <v>6.270808283977159E-4</v>
      </c>
    </row>
    <row r="7097" spans="39:41" x14ac:dyDescent="0.25">
      <c r="AM7097" s="2">
        <v>7094</v>
      </c>
      <c r="AN7097" s="33">
        <v>1.6814402940873916E-2</v>
      </c>
      <c r="AO7097" s="33">
        <v>1.2316895314218421E-3</v>
      </c>
    </row>
    <row r="7098" spans="39:41" x14ac:dyDescent="0.25">
      <c r="AM7098" s="2">
        <v>7095</v>
      </c>
      <c r="AN7098" s="33">
        <v>1.4314905855406977E-2</v>
      </c>
      <c r="AO7098" s="33">
        <v>1.1399838650737607E-3</v>
      </c>
    </row>
    <row r="7099" spans="39:41" x14ac:dyDescent="0.25">
      <c r="AM7099" s="2">
        <v>7096</v>
      </c>
      <c r="AN7099" s="33">
        <v>1.0629751531266317E-2</v>
      </c>
      <c r="AO7099" s="33">
        <v>5.7795806284707471E-4</v>
      </c>
    </row>
    <row r="7100" spans="39:41" x14ac:dyDescent="0.25">
      <c r="AM7100" s="2">
        <v>7097</v>
      </c>
      <c r="AN7100" s="33">
        <v>1.0290594875482886E-2</v>
      </c>
      <c r="AO7100" s="33">
        <v>3.48021937428805E-4</v>
      </c>
    </row>
    <row r="7101" spans="39:41" x14ac:dyDescent="0.25">
      <c r="AM7101" s="2">
        <v>7098</v>
      </c>
      <c r="AN7101" s="33">
        <v>1.3101566016932215E-2</v>
      </c>
      <c r="AO7101" s="33">
        <v>1.0251536493021411E-3</v>
      </c>
    </row>
    <row r="7102" spans="39:41" x14ac:dyDescent="0.25">
      <c r="AM7102" s="2">
        <v>7099</v>
      </c>
      <c r="AN7102" s="33">
        <v>9.6540791306882826E-3</v>
      </c>
      <c r="AO7102" s="33">
        <v>7.3281188340921849E-4</v>
      </c>
    </row>
    <row r="7103" spans="39:41" x14ac:dyDescent="0.25">
      <c r="AM7103" s="2">
        <v>7100</v>
      </c>
      <c r="AN7103" s="33">
        <v>1.2500184021145284E-2</v>
      </c>
      <c r="AO7103" s="33">
        <v>9.0574219144396524E-4</v>
      </c>
    </row>
    <row r="7104" spans="39:41" x14ac:dyDescent="0.25">
      <c r="AM7104" s="2">
        <v>7101</v>
      </c>
      <c r="AN7104" s="33">
        <v>1.4196778080861613E-2</v>
      </c>
      <c r="AO7104" s="33">
        <v>6.7176425212200474E-4</v>
      </c>
    </row>
    <row r="7105" spans="39:41" x14ac:dyDescent="0.25">
      <c r="AM7105" s="2">
        <v>7102</v>
      </c>
      <c r="AN7105" s="33">
        <v>1.4828673210551691E-2</v>
      </c>
      <c r="AO7105" s="33">
        <v>1.4724443665577447E-3</v>
      </c>
    </row>
    <row r="7106" spans="39:41" x14ac:dyDescent="0.25">
      <c r="AM7106" s="2">
        <v>7103</v>
      </c>
      <c r="AN7106" s="33">
        <v>1.3998670123267262E-2</v>
      </c>
      <c r="AO7106" s="33">
        <v>1.0014552437304285E-3</v>
      </c>
    </row>
    <row r="7107" spans="39:41" x14ac:dyDescent="0.25">
      <c r="AM7107" s="2">
        <v>7104</v>
      </c>
      <c r="AN7107" s="33">
        <v>1.0536460561275697E-2</v>
      </c>
      <c r="AO7107" s="33">
        <v>9.6333175429711847E-4</v>
      </c>
    </row>
    <row r="7108" spans="39:41" x14ac:dyDescent="0.25">
      <c r="AM7108" s="2">
        <v>7105</v>
      </c>
      <c r="AN7108" s="33">
        <v>8.8140040873982018E-3</v>
      </c>
      <c r="AO7108" s="33">
        <v>6.591834086840878E-4</v>
      </c>
    </row>
    <row r="7109" spans="39:41" x14ac:dyDescent="0.25">
      <c r="AM7109" s="2">
        <v>7106</v>
      </c>
      <c r="AN7109" s="33">
        <v>1.2642966736512565E-2</v>
      </c>
      <c r="AO7109" s="33">
        <v>1.231496065385795E-3</v>
      </c>
    </row>
    <row r="7110" spans="39:41" x14ac:dyDescent="0.25">
      <c r="AM7110" s="2">
        <v>7107</v>
      </c>
      <c r="AN7110" s="33">
        <v>1.2308612230029863E-2</v>
      </c>
      <c r="AO7110" s="33">
        <v>7.9356572389130333E-4</v>
      </c>
    </row>
    <row r="7111" spans="39:41" x14ac:dyDescent="0.25">
      <c r="AM7111" s="2">
        <v>7108</v>
      </c>
      <c r="AN7111" s="33">
        <v>1.5005430138218626E-2</v>
      </c>
      <c r="AO7111" s="33">
        <v>1.0297761453460256E-3</v>
      </c>
    </row>
    <row r="7112" spans="39:41" x14ac:dyDescent="0.25">
      <c r="AM7112" s="2">
        <v>7109</v>
      </c>
      <c r="AN7112" s="33">
        <v>8.3544727330376201E-3</v>
      </c>
      <c r="AO7112" s="33">
        <v>7.0260617386871547E-4</v>
      </c>
    </row>
    <row r="7113" spans="39:41" x14ac:dyDescent="0.25">
      <c r="AM7113" s="2">
        <v>7110</v>
      </c>
      <c r="AN7113" s="33">
        <v>9.6632893172149039E-3</v>
      </c>
      <c r="AO7113" s="33">
        <v>7.7577478279243202E-4</v>
      </c>
    </row>
    <row r="7114" spans="39:41" x14ac:dyDescent="0.25">
      <c r="AM7114" s="2">
        <v>7111</v>
      </c>
      <c r="AN7114" s="33">
        <v>1.0529182960971665E-2</v>
      </c>
      <c r="AO7114" s="33">
        <v>3.7529903476357694E-4</v>
      </c>
    </row>
    <row r="7115" spans="39:41" x14ac:dyDescent="0.25">
      <c r="AM7115" s="2">
        <v>7112</v>
      </c>
      <c r="AN7115" s="33">
        <v>1.4030598198147956E-2</v>
      </c>
      <c r="AO7115" s="33">
        <v>7.8299969647473784E-4</v>
      </c>
    </row>
    <row r="7116" spans="39:41" x14ac:dyDescent="0.25">
      <c r="AM7116" s="2">
        <v>7113</v>
      </c>
      <c r="AN7116" s="33">
        <v>1.5344770171639552E-2</v>
      </c>
      <c r="AO7116" s="33">
        <v>1.1527230093796557E-3</v>
      </c>
    </row>
    <row r="7117" spans="39:41" x14ac:dyDescent="0.25">
      <c r="AM7117" s="2">
        <v>7114</v>
      </c>
      <c r="AN7117" s="33">
        <v>1.1677702245263277E-2</v>
      </c>
      <c r="AO7117" s="33">
        <v>1.0322794088952452E-3</v>
      </c>
    </row>
    <row r="7118" spans="39:41" x14ac:dyDescent="0.25">
      <c r="AM7118" s="2">
        <v>7115</v>
      </c>
      <c r="AN7118" s="33">
        <v>1.3351597633503435E-2</v>
      </c>
      <c r="AO7118" s="33">
        <v>1.4180700130356661E-4</v>
      </c>
    </row>
    <row r="7119" spans="39:41" x14ac:dyDescent="0.25">
      <c r="AM7119" s="2">
        <v>7116</v>
      </c>
      <c r="AN7119" s="33">
        <v>1.4997439632091679E-2</v>
      </c>
      <c r="AO7119" s="33">
        <v>1.3803430739201556E-3</v>
      </c>
    </row>
    <row r="7120" spans="39:41" x14ac:dyDescent="0.25">
      <c r="AM7120" s="2">
        <v>7117</v>
      </c>
      <c r="AN7120" s="33">
        <v>1.2300010068340316E-2</v>
      </c>
      <c r="AO7120" s="33">
        <v>1.0459734273825564E-3</v>
      </c>
    </row>
    <row r="7121" spans="39:41" x14ac:dyDescent="0.25">
      <c r="AM7121" s="2">
        <v>7118</v>
      </c>
      <c r="AN7121" s="33">
        <v>1.3361793389213065E-2</v>
      </c>
      <c r="AO7121" s="33">
        <v>4.9674658157910405E-4</v>
      </c>
    </row>
    <row r="7122" spans="39:41" x14ac:dyDescent="0.25">
      <c r="AM7122" s="2">
        <v>7119</v>
      </c>
      <c r="AN7122" s="33">
        <v>9.7796842278361044E-3</v>
      </c>
      <c r="AO7122" s="33">
        <v>5.3555383327144178E-4</v>
      </c>
    </row>
    <row r="7123" spans="39:41" x14ac:dyDescent="0.25">
      <c r="AM7123" s="2">
        <v>7120</v>
      </c>
      <c r="AN7123" s="33">
        <v>1.2178041808283073E-2</v>
      </c>
      <c r="AO7123" s="33">
        <v>9.4235438366126645E-4</v>
      </c>
    </row>
    <row r="7124" spans="39:41" x14ac:dyDescent="0.25">
      <c r="AM7124" s="2">
        <v>7121</v>
      </c>
      <c r="AN7124" s="33">
        <v>1.4356783217266024E-2</v>
      </c>
      <c r="AO7124" s="33">
        <v>1.3884442613312231E-3</v>
      </c>
    </row>
    <row r="7125" spans="39:41" x14ac:dyDescent="0.25">
      <c r="AM7125" s="2">
        <v>7122</v>
      </c>
      <c r="AN7125" s="33">
        <v>1.4387628022623326E-2</v>
      </c>
      <c r="AO7125" s="33">
        <v>1.2891449411542041E-3</v>
      </c>
    </row>
    <row r="7126" spans="39:41" x14ac:dyDescent="0.25">
      <c r="AM7126" s="2">
        <v>7123</v>
      </c>
      <c r="AN7126" s="33">
        <v>1.1996522344366082E-2</v>
      </c>
      <c r="AO7126" s="33">
        <v>9.2561240930193189E-4</v>
      </c>
    </row>
    <row r="7127" spans="39:41" x14ac:dyDescent="0.25">
      <c r="AM7127" s="2">
        <v>7124</v>
      </c>
      <c r="AN7127" s="33">
        <v>1.4082992241550279E-2</v>
      </c>
      <c r="AO7127" s="33">
        <v>9.9601772265899349E-4</v>
      </c>
    </row>
    <row r="7128" spans="39:41" x14ac:dyDescent="0.25">
      <c r="AM7128" s="2">
        <v>7125</v>
      </c>
      <c r="AN7128" s="33">
        <v>1.1563144925968638E-2</v>
      </c>
      <c r="AO7128" s="33">
        <v>9.6348395640732107E-4</v>
      </c>
    </row>
    <row r="7129" spans="39:41" x14ac:dyDescent="0.25">
      <c r="AM7129" s="2">
        <v>7126</v>
      </c>
      <c r="AN7129" s="33">
        <v>1.2457287999302173E-2</v>
      </c>
      <c r="AO7129" s="33">
        <v>9.0532148176783412E-4</v>
      </c>
    </row>
    <row r="7130" spans="39:41" x14ac:dyDescent="0.25">
      <c r="AM7130" s="2">
        <v>7127</v>
      </c>
      <c r="AN7130" s="33">
        <v>1.1632003933236596E-2</v>
      </c>
      <c r="AO7130" s="33">
        <v>7.5150712796928924E-4</v>
      </c>
    </row>
    <row r="7131" spans="39:41" x14ac:dyDescent="0.25">
      <c r="AM7131" s="2">
        <v>7128</v>
      </c>
      <c r="AN7131" s="33">
        <v>1.2308085071983945E-2</v>
      </c>
      <c r="AO7131" s="33">
        <v>8.6660863761181886E-4</v>
      </c>
    </row>
    <row r="7132" spans="39:41" x14ac:dyDescent="0.25">
      <c r="AM7132" s="2">
        <v>7129</v>
      </c>
      <c r="AN7132" s="33">
        <v>1.4096604460871446E-2</v>
      </c>
      <c r="AO7132" s="33">
        <v>1.2220337955815034E-3</v>
      </c>
    </row>
    <row r="7133" spans="39:41" x14ac:dyDescent="0.25">
      <c r="AM7133" s="2">
        <v>7130</v>
      </c>
      <c r="AN7133" s="33">
        <v>1.3344635755546142E-2</v>
      </c>
      <c r="AO7133" s="33">
        <v>1.3239386945501821E-3</v>
      </c>
    </row>
    <row r="7134" spans="39:41" x14ac:dyDescent="0.25">
      <c r="AM7134" s="2">
        <v>7131</v>
      </c>
      <c r="AN7134" s="33">
        <v>9.4194346102824001E-3</v>
      </c>
      <c r="AO7134" s="33">
        <v>9.5906180397227242E-4</v>
      </c>
    </row>
    <row r="7135" spans="39:41" x14ac:dyDescent="0.25">
      <c r="AM7135" s="2">
        <v>7132</v>
      </c>
      <c r="AN7135" s="33">
        <v>7.4951251867418659E-3</v>
      </c>
      <c r="AO7135" s="33">
        <v>5.7868535288980278E-4</v>
      </c>
    </row>
    <row r="7136" spans="39:41" x14ac:dyDescent="0.25">
      <c r="AM7136" s="2">
        <v>7133</v>
      </c>
      <c r="AN7136" s="33">
        <v>1.0803593116858329E-2</v>
      </c>
      <c r="AO7136" s="33">
        <v>7.1761036637820071E-4</v>
      </c>
    </row>
    <row r="7137" spans="39:41" x14ac:dyDescent="0.25">
      <c r="AM7137" s="2">
        <v>7134</v>
      </c>
      <c r="AN7137" s="33">
        <v>9.2925309002960792E-3</v>
      </c>
      <c r="AO7137" s="33">
        <v>4.8917256040162144E-4</v>
      </c>
    </row>
    <row r="7138" spans="39:41" x14ac:dyDescent="0.25">
      <c r="AM7138" s="2">
        <v>7135</v>
      </c>
      <c r="AN7138" s="33">
        <v>1.0213311001895179E-2</v>
      </c>
      <c r="AO7138" s="33">
        <v>9.8424097820831854E-4</v>
      </c>
    </row>
    <row r="7139" spans="39:41" x14ac:dyDescent="0.25">
      <c r="AM7139" s="2">
        <v>7136</v>
      </c>
      <c r="AN7139" s="33">
        <v>1.034165975715807E-2</v>
      </c>
      <c r="AO7139" s="33">
        <v>9.3849254699692895E-4</v>
      </c>
    </row>
    <row r="7140" spans="39:41" x14ac:dyDescent="0.25">
      <c r="AM7140" s="2">
        <v>7137</v>
      </c>
      <c r="AN7140" s="33">
        <v>1.3704567251967815E-2</v>
      </c>
      <c r="AO7140" s="33">
        <v>4.6812036326285191E-4</v>
      </c>
    </row>
    <row r="7141" spans="39:41" x14ac:dyDescent="0.25">
      <c r="AM7141" s="2">
        <v>7138</v>
      </c>
      <c r="AN7141" s="33">
        <v>9.9405791231518912E-3</v>
      </c>
      <c r="AO7141" s="33">
        <v>8.339544619149705E-4</v>
      </c>
    </row>
    <row r="7142" spans="39:41" x14ac:dyDescent="0.25">
      <c r="AM7142" s="2">
        <v>7139</v>
      </c>
      <c r="AN7142" s="33">
        <v>9.2557617234142065E-3</v>
      </c>
      <c r="AO7142" s="33">
        <v>7.9298466261980185E-4</v>
      </c>
    </row>
    <row r="7143" spans="39:41" x14ac:dyDescent="0.25">
      <c r="AM7143" s="2">
        <v>7140</v>
      </c>
      <c r="AN7143" s="33">
        <v>1.7033353604179732E-2</v>
      </c>
      <c r="AO7143" s="33">
        <v>1.6027093819968705E-3</v>
      </c>
    </row>
    <row r="7144" spans="39:41" x14ac:dyDescent="0.25">
      <c r="AM7144" s="2">
        <v>7141</v>
      </c>
      <c r="AN7144" s="33">
        <v>1.2442041896921958E-2</v>
      </c>
      <c r="AO7144" s="33">
        <v>1.1652352600324933E-3</v>
      </c>
    </row>
    <row r="7145" spans="39:41" x14ac:dyDescent="0.25">
      <c r="AM7145" s="2">
        <v>7142</v>
      </c>
      <c r="AN7145" s="33">
        <v>1.4157318881476979E-2</v>
      </c>
      <c r="AO7145" s="33">
        <v>1.2305795118840179E-3</v>
      </c>
    </row>
    <row r="7146" spans="39:41" x14ac:dyDescent="0.25">
      <c r="AM7146" s="2">
        <v>7143</v>
      </c>
      <c r="AN7146" s="33">
        <v>8.6606729348904562E-3</v>
      </c>
      <c r="AO7146" s="33">
        <v>3.3661838239057353E-4</v>
      </c>
    </row>
    <row r="7147" spans="39:41" x14ac:dyDescent="0.25">
      <c r="AM7147" s="2">
        <v>7144</v>
      </c>
      <c r="AN7147" s="33">
        <v>1.0240997643497991E-2</v>
      </c>
      <c r="AO7147" s="33">
        <v>5.3835829716281254E-4</v>
      </c>
    </row>
    <row r="7148" spans="39:41" x14ac:dyDescent="0.25">
      <c r="AM7148" s="2">
        <v>7145</v>
      </c>
      <c r="AN7148" s="33">
        <v>9.3108214879441594E-3</v>
      </c>
      <c r="AO7148" s="33">
        <v>4.4372047477508192E-4</v>
      </c>
    </row>
    <row r="7149" spans="39:41" x14ac:dyDescent="0.25">
      <c r="AM7149" s="2">
        <v>7146</v>
      </c>
      <c r="AN7149" s="33">
        <v>1.0047593272035681E-2</v>
      </c>
      <c r="AO7149" s="33">
        <v>6.0311131095399707E-4</v>
      </c>
    </row>
    <row r="7150" spans="39:41" x14ac:dyDescent="0.25">
      <c r="AM7150" s="2">
        <v>7147</v>
      </c>
      <c r="AN7150" s="33">
        <v>1.3316463823619873E-2</v>
      </c>
      <c r="AO7150" s="33">
        <v>1.2765951805748146E-3</v>
      </c>
    </row>
    <row r="7151" spans="39:41" x14ac:dyDescent="0.25">
      <c r="AM7151" s="2">
        <v>7148</v>
      </c>
      <c r="AN7151" s="33">
        <v>1.0396189754581455E-2</v>
      </c>
      <c r="AO7151" s="33">
        <v>5.8432841724788756E-4</v>
      </c>
    </row>
    <row r="7152" spans="39:41" x14ac:dyDescent="0.25">
      <c r="AM7152" s="2">
        <v>7149</v>
      </c>
      <c r="AN7152" s="33">
        <v>1.2104125986286275E-2</v>
      </c>
      <c r="AO7152" s="33">
        <v>8.9451123997640145E-4</v>
      </c>
    </row>
    <row r="7153" spans="39:41" x14ac:dyDescent="0.25">
      <c r="AM7153" s="2">
        <v>7150</v>
      </c>
      <c r="AN7153" s="33">
        <v>9.6768513631848643E-3</v>
      </c>
      <c r="AO7153" s="33">
        <v>5.8805528702704079E-4</v>
      </c>
    </row>
    <row r="7154" spans="39:41" x14ac:dyDescent="0.25">
      <c r="AM7154" s="2">
        <v>7151</v>
      </c>
      <c r="AN7154" s="33">
        <v>8.3573639611285236E-3</v>
      </c>
      <c r="AO7154" s="33">
        <v>2.1569834801522507E-4</v>
      </c>
    </row>
    <row r="7155" spans="39:41" x14ac:dyDescent="0.25">
      <c r="AM7155" s="2">
        <v>7152</v>
      </c>
      <c r="AN7155" s="33">
        <v>1.1719405384050207E-2</v>
      </c>
      <c r="AO7155" s="33">
        <v>8.6678906988172332E-4</v>
      </c>
    </row>
    <row r="7156" spans="39:41" x14ac:dyDescent="0.25">
      <c r="AM7156" s="2">
        <v>7153</v>
      </c>
      <c r="AN7156" s="33">
        <v>1.0641363461738844E-2</v>
      </c>
      <c r="AO7156" s="33">
        <v>4.4980090882480522E-4</v>
      </c>
    </row>
    <row r="7157" spans="39:41" x14ac:dyDescent="0.25">
      <c r="AM7157" s="2">
        <v>7154</v>
      </c>
      <c r="AN7157" s="33">
        <v>1.1134886231293467E-2</v>
      </c>
      <c r="AO7157" s="33">
        <v>1.3054754749994529E-4</v>
      </c>
    </row>
    <row r="7158" spans="39:41" x14ac:dyDescent="0.25">
      <c r="AM7158" s="2">
        <v>7155</v>
      </c>
      <c r="AN7158" s="33">
        <v>1.2531774737829326E-2</v>
      </c>
      <c r="AO7158" s="33">
        <v>1.0428011226174126E-3</v>
      </c>
    </row>
    <row r="7159" spans="39:41" x14ac:dyDescent="0.25">
      <c r="AM7159" s="2">
        <v>7156</v>
      </c>
      <c r="AN7159" s="33">
        <v>1.218106589609514E-2</v>
      </c>
      <c r="AO7159" s="33">
        <v>1.1034777960775225E-3</v>
      </c>
    </row>
    <row r="7160" spans="39:41" x14ac:dyDescent="0.25">
      <c r="AM7160" s="2">
        <v>7157</v>
      </c>
      <c r="AN7160" s="33">
        <v>1.2142378292168689E-2</v>
      </c>
      <c r="AO7160" s="33">
        <v>7.988929585002342E-4</v>
      </c>
    </row>
    <row r="7161" spans="39:41" x14ac:dyDescent="0.25">
      <c r="AM7161" s="2">
        <v>7158</v>
      </c>
      <c r="AN7161" s="33">
        <v>1.3838460764350179E-2</v>
      </c>
      <c r="AO7161" s="33">
        <v>1.385028068033376E-3</v>
      </c>
    </row>
    <row r="7162" spans="39:41" x14ac:dyDescent="0.25">
      <c r="AM7162" s="2">
        <v>7159</v>
      </c>
      <c r="AN7162" s="33">
        <v>9.403659899198542E-3</v>
      </c>
      <c r="AO7162" s="33">
        <v>3.1957633333903022E-4</v>
      </c>
    </row>
    <row r="7163" spans="39:41" x14ac:dyDescent="0.25">
      <c r="AM7163" s="2">
        <v>7160</v>
      </c>
      <c r="AN7163" s="33">
        <v>1.2796252668339874E-2</v>
      </c>
      <c r="AO7163" s="33">
        <v>7.010599609450055E-4</v>
      </c>
    </row>
    <row r="7164" spans="39:41" x14ac:dyDescent="0.25">
      <c r="AM7164" s="2">
        <v>7161</v>
      </c>
      <c r="AN7164" s="33">
        <v>1.5625328899343562E-2</v>
      </c>
      <c r="AO7164" s="33">
        <v>1.3298678766035194E-3</v>
      </c>
    </row>
    <row r="7165" spans="39:41" x14ac:dyDescent="0.25">
      <c r="AM7165" s="2">
        <v>7162</v>
      </c>
      <c r="AN7165" s="33">
        <v>8.8733817477616942E-3</v>
      </c>
      <c r="AO7165" s="33">
        <v>3.3157755750018745E-4</v>
      </c>
    </row>
    <row r="7166" spans="39:41" x14ac:dyDescent="0.25">
      <c r="AM7166" s="2">
        <v>7163</v>
      </c>
      <c r="AN7166" s="33">
        <v>1.1091129110258582E-2</v>
      </c>
      <c r="AO7166" s="33">
        <v>8.3088860460527297E-4</v>
      </c>
    </row>
    <row r="7167" spans="39:41" x14ac:dyDescent="0.25">
      <c r="AM7167" s="2">
        <v>7164</v>
      </c>
      <c r="AN7167" s="33">
        <v>1.3038615553845915E-2</v>
      </c>
      <c r="AO7167" s="33">
        <v>4.4724830893442277E-4</v>
      </c>
    </row>
    <row r="7168" spans="39:41" x14ac:dyDescent="0.25">
      <c r="AM7168" s="2">
        <v>7165</v>
      </c>
      <c r="AN7168" s="33">
        <v>1.0310036575639454E-2</v>
      </c>
      <c r="AO7168" s="33">
        <v>9.4816746521808094E-4</v>
      </c>
    </row>
    <row r="7169" spans="39:41" x14ac:dyDescent="0.25">
      <c r="AM7169" s="2">
        <v>7166</v>
      </c>
      <c r="AN7169" s="33">
        <v>1.1547188148756281E-2</v>
      </c>
      <c r="AO7169" s="33">
        <v>7.6732668707706661E-4</v>
      </c>
    </row>
    <row r="7170" spans="39:41" x14ac:dyDescent="0.25">
      <c r="AM7170" s="2">
        <v>7167</v>
      </c>
      <c r="AN7170" s="33">
        <v>1.1260391600326575E-2</v>
      </c>
      <c r="AO7170" s="33">
        <v>8.2513184813437284E-4</v>
      </c>
    </row>
    <row r="7171" spans="39:41" x14ac:dyDescent="0.25">
      <c r="AM7171" s="2">
        <v>7168</v>
      </c>
      <c r="AN7171" s="33">
        <v>1.4968394127014038E-2</v>
      </c>
      <c r="AO7171" s="33">
        <v>1.1646402523887633E-3</v>
      </c>
    </row>
    <row r="7172" spans="39:41" x14ac:dyDescent="0.25">
      <c r="AM7172" s="2">
        <v>7169</v>
      </c>
      <c r="AN7172" s="33">
        <v>1.07718672127391E-2</v>
      </c>
      <c r="AO7172" s="33">
        <v>7.1945016908012323E-4</v>
      </c>
    </row>
    <row r="7173" spans="39:41" x14ac:dyDescent="0.25">
      <c r="AM7173" s="2">
        <v>7170</v>
      </c>
      <c r="AN7173" s="33">
        <v>1.4426387380852944E-2</v>
      </c>
      <c r="AO7173" s="33">
        <v>1.3265348735878619E-3</v>
      </c>
    </row>
    <row r="7174" spans="39:41" x14ac:dyDescent="0.25">
      <c r="AM7174" s="2">
        <v>7171</v>
      </c>
      <c r="AN7174" s="33">
        <v>1.2645312198536053E-2</v>
      </c>
      <c r="AO7174" s="33">
        <v>1.1242870653977129E-3</v>
      </c>
    </row>
    <row r="7175" spans="39:41" x14ac:dyDescent="0.25">
      <c r="AM7175" s="2">
        <v>7172</v>
      </c>
      <c r="AN7175" s="33">
        <v>1.2602190565492848E-2</v>
      </c>
      <c r="AO7175" s="33">
        <v>1.2553741777159304E-3</v>
      </c>
    </row>
    <row r="7176" spans="39:41" x14ac:dyDescent="0.25">
      <c r="AM7176" s="2">
        <v>7173</v>
      </c>
      <c r="AN7176" s="33">
        <v>9.7334258842167124E-3</v>
      </c>
      <c r="AO7176" s="33">
        <v>6.0106413050815572E-4</v>
      </c>
    </row>
    <row r="7177" spans="39:41" x14ac:dyDescent="0.25">
      <c r="AM7177" s="2">
        <v>7174</v>
      </c>
      <c r="AN7177" s="33">
        <v>1.2121192614801492E-2</v>
      </c>
      <c r="AO7177" s="33">
        <v>1.0601624633046957E-3</v>
      </c>
    </row>
    <row r="7178" spans="39:41" x14ac:dyDescent="0.25">
      <c r="AM7178" s="2">
        <v>7175</v>
      </c>
      <c r="AN7178" s="33">
        <v>8.0687111474752465E-3</v>
      </c>
      <c r="AO7178" s="33">
        <v>5.8742212239352857E-4</v>
      </c>
    </row>
    <row r="7179" spans="39:41" x14ac:dyDescent="0.25">
      <c r="AM7179" s="2">
        <v>7176</v>
      </c>
      <c r="AN7179" s="33">
        <v>1.2551021451650848E-2</v>
      </c>
      <c r="AO7179" s="33">
        <v>8.7373692857251051E-4</v>
      </c>
    </row>
    <row r="7180" spans="39:41" x14ac:dyDescent="0.25">
      <c r="AM7180" s="2">
        <v>7177</v>
      </c>
      <c r="AN7180" s="33">
        <v>1.3782453316424725E-2</v>
      </c>
      <c r="AO7180" s="33">
        <v>1.1903315186427212E-3</v>
      </c>
    </row>
    <row r="7181" spans="39:41" x14ac:dyDescent="0.25">
      <c r="AM7181" s="2">
        <v>7178</v>
      </c>
      <c r="AN7181" s="33">
        <v>1.2494116506283284E-2</v>
      </c>
      <c r="AO7181" s="33">
        <v>1.0918036163939026E-3</v>
      </c>
    </row>
    <row r="7182" spans="39:41" x14ac:dyDescent="0.25">
      <c r="AM7182" s="2">
        <v>7179</v>
      </c>
      <c r="AN7182" s="33">
        <v>1.2261544776989619E-2</v>
      </c>
      <c r="AO7182" s="33">
        <v>9.4475677928182499E-4</v>
      </c>
    </row>
    <row r="7183" spans="39:41" x14ac:dyDescent="0.25">
      <c r="AM7183" s="2">
        <v>7180</v>
      </c>
      <c r="AN7183" s="33">
        <v>1.1995733595315783E-2</v>
      </c>
      <c r="AO7183" s="33">
        <v>7.8509266115488544E-4</v>
      </c>
    </row>
    <row r="7184" spans="39:41" x14ac:dyDescent="0.25">
      <c r="AM7184" s="2">
        <v>7181</v>
      </c>
      <c r="AN7184" s="33">
        <v>9.570160032211247E-3</v>
      </c>
      <c r="AO7184" s="33">
        <v>4.8847100818214494E-4</v>
      </c>
    </row>
    <row r="7185" spans="39:41" x14ac:dyDescent="0.25">
      <c r="AM7185" s="2">
        <v>7182</v>
      </c>
      <c r="AN7185" s="33">
        <v>1.1126092124493317E-2</v>
      </c>
      <c r="AO7185" s="33">
        <v>6.9373930802180237E-4</v>
      </c>
    </row>
    <row r="7186" spans="39:41" x14ac:dyDescent="0.25">
      <c r="AM7186" s="2">
        <v>7183</v>
      </c>
      <c r="AN7186" s="33">
        <v>1.3081643632663082E-2</v>
      </c>
      <c r="AO7186" s="33">
        <v>1.2226166795192702E-3</v>
      </c>
    </row>
    <row r="7187" spans="39:41" x14ac:dyDescent="0.25">
      <c r="AM7187" s="2">
        <v>7184</v>
      </c>
      <c r="AN7187" s="33">
        <v>1.0592711724545862E-2</v>
      </c>
      <c r="AO7187" s="33">
        <v>5.2979254068940304E-4</v>
      </c>
    </row>
    <row r="7188" spans="39:41" x14ac:dyDescent="0.25">
      <c r="AM7188" s="2">
        <v>7185</v>
      </c>
      <c r="AN7188" s="33">
        <v>1.606775588067651E-2</v>
      </c>
      <c r="AO7188" s="33">
        <v>1.2089286369231721E-3</v>
      </c>
    </row>
    <row r="7189" spans="39:41" x14ac:dyDescent="0.25">
      <c r="AM7189" s="2">
        <v>7186</v>
      </c>
      <c r="AN7189" s="33">
        <v>1.1705568453546535E-2</v>
      </c>
      <c r="AO7189" s="33">
        <v>1.0410253938344205E-3</v>
      </c>
    </row>
    <row r="7190" spans="39:41" x14ac:dyDescent="0.25">
      <c r="AM7190" s="2">
        <v>7187</v>
      </c>
      <c r="AN7190" s="33">
        <v>9.1307917596272162E-3</v>
      </c>
      <c r="AO7190" s="33">
        <v>6.9256101374731217E-4</v>
      </c>
    </row>
    <row r="7191" spans="39:41" x14ac:dyDescent="0.25">
      <c r="AM7191" s="2">
        <v>7188</v>
      </c>
      <c r="AN7191" s="33">
        <v>1.2435670479705258E-2</v>
      </c>
      <c r="AO7191" s="33">
        <v>6.431641528921938E-4</v>
      </c>
    </row>
    <row r="7192" spans="39:41" x14ac:dyDescent="0.25">
      <c r="AM7192" s="2">
        <v>7189</v>
      </c>
      <c r="AN7192" s="33">
        <v>9.3871387437073611E-3</v>
      </c>
      <c r="AO7192" s="33">
        <v>8.2854889878765912E-4</v>
      </c>
    </row>
    <row r="7193" spans="39:41" x14ac:dyDescent="0.25">
      <c r="AM7193" s="2">
        <v>7190</v>
      </c>
      <c r="AN7193" s="33">
        <v>1.1344967503023717E-2</v>
      </c>
      <c r="AO7193" s="33">
        <v>6.8842835211638774E-4</v>
      </c>
    </row>
    <row r="7194" spans="39:41" x14ac:dyDescent="0.25">
      <c r="AM7194" s="2">
        <v>7191</v>
      </c>
      <c r="AN7194" s="33">
        <v>1.323459570123907E-2</v>
      </c>
      <c r="AO7194" s="33">
        <v>1.0621561514241938E-3</v>
      </c>
    </row>
    <row r="7195" spans="39:41" x14ac:dyDescent="0.25">
      <c r="AM7195" s="2">
        <v>7192</v>
      </c>
      <c r="AN7195" s="33">
        <v>1.1367721248982028E-2</v>
      </c>
      <c r="AO7195" s="33">
        <v>1.0106997039307456E-3</v>
      </c>
    </row>
    <row r="7196" spans="39:41" x14ac:dyDescent="0.25">
      <c r="AM7196" s="2">
        <v>7193</v>
      </c>
      <c r="AN7196" s="33">
        <v>1.4826573203126489E-2</v>
      </c>
      <c r="AO7196" s="33">
        <v>9.5229543120012468E-4</v>
      </c>
    </row>
    <row r="7197" spans="39:41" x14ac:dyDescent="0.25">
      <c r="AM7197" s="2">
        <v>7194</v>
      </c>
      <c r="AN7197" s="33">
        <v>9.3849979082819869E-3</v>
      </c>
      <c r="AO7197" s="33">
        <v>6.8546329057521426E-4</v>
      </c>
    </row>
    <row r="7198" spans="39:41" x14ac:dyDescent="0.25">
      <c r="AM7198" s="2">
        <v>7195</v>
      </c>
      <c r="AN7198" s="33">
        <v>1.1133715031359006E-2</v>
      </c>
      <c r="AO7198" s="33">
        <v>7.0930248290242094E-4</v>
      </c>
    </row>
    <row r="7199" spans="39:41" x14ac:dyDescent="0.25">
      <c r="AM7199" s="2">
        <v>7196</v>
      </c>
      <c r="AN7199" s="33">
        <v>9.0632494986269737E-3</v>
      </c>
      <c r="AO7199" s="33">
        <v>6.6181329889614614E-4</v>
      </c>
    </row>
    <row r="7200" spans="39:41" x14ac:dyDescent="0.25">
      <c r="AM7200" s="2">
        <v>7197</v>
      </c>
      <c r="AN7200" s="33">
        <v>1.2074241795769838E-2</v>
      </c>
      <c r="AO7200" s="33">
        <v>9.4044201752164743E-4</v>
      </c>
    </row>
    <row r="7201" spans="39:41" x14ac:dyDescent="0.25">
      <c r="AM7201" s="2">
        <v>7198</v>
      </c>
      <c r="AN7201" s="33">
        <v>8.8842562298860443E-3</v>
      </c>
      <c r="AO7201" s="33">
        <v>5.5453859853772387E-4</v>
      </c>
    </row>
    <row r="7202" spans="39:41" x14ac:dyDescent="0.25">
      <c r="AM7202" s="2">
        <v>7199</v>
      </c>
      <c r="AN7202" s="33">
        <v>1.1186677757805651E-2</v>
      </c>
      <c r="AO7202" s="33">
        <v>6.3353370877281413E-4</v>
      </c>
    </row>
    <row r="7203" spans="39:41" x14ac:dyDescent="0.25">
      <c r="AM7203" s="2">
        <v>7200</v>
      </c>
      <c r="AN7203" s="33">
        <v>1.3847392367678964E-2</v>
      </c>
      <c r="AO7203" s="33">
        <v>1.2069833602621649E-3</v>
      </c>
    </row>
    <row r="7204" spans="39:41" x14ac:dyDescent="0.25">
      <c r="AM7204" s="2">
        <v>7201</v>
      </c>
      <c r="AN7204" s="33">
        <v>1.1827685235859848E-2</v>
      </c>
      <c r="AO7204" s="33">
        <v>1.1047457036256882E-3</v>
      </c>
    </row>
    <row r="7205" spans="39:41" x14ac:dyDescent="0.25">
      <c r="AM7205" s="2">
        <v>7202</v>
      </c>
      <c r="AN7205" s="33">
        <v>1.436940877596591E-2</v>
      </c>
      <c r="AO7205" s="33">
        <v>1.1507175264251497E-3</v>
      </c>
    </row>
    <row r="7206" spans="39:41" x14ac:dyDescent="0.25">
      <c r="AM7206" s="2">
        <v>7203</v>
      </c>
      <c r="AN7206" s="33">
        <v>8.6414533822925729E-3</v>
      </c>
      <c r="AO7206" s="33">
        <v>6.0862465586945303E-4</v>
      </c>
    </row>
    <row r="7207" spans="39:41" x14ac:dyDescent="0.25">
      <c r="AM7207" s="2">
        <v>7204</v>
      </c>
      <c r="AN7207" s="33">
        <v>8.1385549069355623E-3</v>
      </c>
      <c r="AO7207" s="33">
        <v>5.3790622068159734E-4</v>
      </c>
    </row>
    <row r="7208" spans="39:41" x14ac:dyDescent="0.25">
      <c r="AM7208" s="2">
        <v>7205</v>
      </c>
      <c r="AN7208" s="33">
        <v>1.0980298264900988E-2</v>
      </c>
      <c r="AO7208" s="33">
        <v>9.7675040583405687E-4</v>
      </c>
    </row>
    <row r="7209" spans="39:41" x14ac:dyDescent="0.25">
      <c r="AM7209" s="2">
        <v>7206</v>
      </c>
      <c r="AN7209" s="33">
        <v>1.1117221905889672E-2</v>
      </c>
      <c r="AO7209" s="33">
        <v>8.5075835865832078E-4</v>
      </c>
    </row>
    <row r="7210" spans="39:41" x14ac:dyDescent="0.25">
      <c r="AM7210" s="2">
        <v>7207</v>
      </c>
      <c r="AN7210" s="33">
        <v>1.3502438998487864E-2</v>
      </c>
      <c r="AO7210" s="33">
        <v>1.103509921425772E-3</v>
      </c>
    </row>
    <row r="7211" spans="39:41" x14ac:dyDescent="0.25">
      <c r="AM7211" s="2">
        <v>7208</v>
      </c>
      <c r="AN7211" s="33">
        <v>1.4255900511941795E-2</v>
      </c>
      <c r="AO7211" s="33">
        <v>1.1282863869126918E-3</v>
      </c>
    </row>
    <row r="7212" spans="39:41" x14ac:dyDescent="0.25">
      <c r="AM7212" s="2">
        <v>7209</v>
      </c>
      <c r="AN7212" s="33">
        <v>1.0044919317203157E-2</v>
      </c>
      <c r="AO7212" s="33">
        <v>7.5717491790374184E-4</v>
      </c>
    </row>
    <row r="7213" spans="39:41" x14ac:dyDescent="0.25">
      <c r="AM7213" s="2">
        <v>7210</v>
      </c>
      <c r="AN7213" s="33">
        <v>1.1786987546542232E-2</v>
      </c>
      <c r="AO7213" s="33">
        <v>7.1960240851422219E-4</v>
      </c>
    </row>
    <row r="7214" spans="39:41" x14ac:dyDescent="0.25">
      <c r="AM7214" s="2">
        <v>7211</v>
      </c>
      <c r="AN7214" s="33">
        <v>1.2165222271484527E-2</v>
      </c>
      <c r="AO7214" s="33">
        <v>1.0515066017211848E-3</v>
      </c>
    </row>
    <row r="7215" spans="39:41" x14ac:dyDescent="0.25">
      <c r="AM7215" s="2">
        <v>7212</v>
      </c>
      <c r="AN7215" s="33">
        <v>1.0107352612701129E-2</v>
      </c>
      <c r="AO7215" s="33">
        <v>9.9067486325350534E-4</v>
      </c>
    </row>
    <row r="7216" spans="39:41" x14ac:dyDescent="0.25">
      <c r="AM7216" s="2">
        <v>7213</v>
      </c>
      <c r="AN7216" s="33">
        <v>1.1875457094287547E-2</v>
      </c>
      <c r="AO7216" s="33">
        <v>6.9017894279560152E-4</v>
      </c>
    </row>
    <row r="7217" spans="39:41" x14ac:dyDescent="0.25">
      <c r="AM7217" s="2">
        <v>7214</v>
      </c>
      <c r="AN7217" s="33">
        <v>1.2042069876849252E-2</v>
      </c>
      <c r="AO7217" s="33">
        <v>9.194200971913909E-4</v>
      </c>
    </row>
    <row r="7218" spans="39:41" x14ac:dyDescent="0.25">
      <c r="AM7218" s="2">
        <v>7215</v>
      </c>
      <c r="AN7218" s="33">
        <v>1.1104319050644323E-2</v>
      </c>
      <c r="AO7218" s="33">
        <v>8.0988260435693998E-4</v>
      </c>
    </row>
    <row r="7219" spans="39:41" x14ac:dyDescent="0.25">
      <c r="AM7219" s="2">
        <v>7216</v>
      </c>
      <c r="AN7219" s="33">
        <v>1.0628163705665461E-2</v>
      </c>
      <c r="AO7219" s="33">
        <v>9.3144149835188556E-4</v>
      </c>
    </row>
    <row r="7220" spans="39:41" x14ac:dyDescent="0.25">
      <c r="AM7220" s="2">
        <v>7217</v>
      </c>
      <c r="AN7220" s="33">
        <v>1.0703495603619086E-2</v>
      </c>
      <c r="AO7220" s="33">
        <v>9.4693378989419222E-4</v>
      </c>
    </row>
    <row r="7221" spans="39:41" x14ac:dyDescent="0.25">
      <c r="AM7221" s="2">
        <v>7218</v>
      </c>
      <c r="AN7221" s="33">
        <v>7.5910242622655695E-3</v>
      </c>
      <c r="AO7221" s="33">
        <v>3.5239146116948402E-4</v>
      </c>
    </row>
    <row r="7222" spans="39:41" x14ac:dyDescent="0.25">
      <c r="AM7222" s="2">
        <v>7219</v>
      </c>
      <c r="AN7222" s="33">
        <v>1.143451474837104E-2</v>
      </c>
      <c r="AO7222" s="33">
        <v>9.7426354354457183E-4</v>
      </c>
    </row>
    <row r="7223" spans="39:41" x14ac:dyDescent="0.25">
      <c r="AM7223" s="2">
        <v>7220</v>
      </c>
      <c r="AN7223" s="33">
        <v>1.5635358941543789E-2</v>
      </c>
      <c r="AO7223" s="33">
        <v>1.5852519714370404E-3</v>
      </c>
    </row>
    <row r="7224" spans="39:41" x14ac:dyDescent="0.25">
      <c r="AM7224" s="2">
        <v>7221</v>
      </c>
      <c r="AN7224" s="33">
        <v>1.1999654107482756E-2</v>
      </c>
      <c r="AO7224" s="33">
        <v>5.6349290910109743E-4</v>
      </c>
    </row>
    <row r="7225" spans="39:41" x14ac:dyDescent="0.25">
      <c r="AM7225" s="2">
        <v>7222</v>
      </c>
      <c r="AN7225" s="33">
        <v>7.878665279090407E-3</v>
      </c>
      <c r="AO7225" s="33">
        <v>3.5537429390713056E-4</v>
      </c>
    </row>
    <row r="7226" spans="39:41" x14ac:dyDescent="0.25">
      <c r="AM7226" s="2">
        <v>7223</v>
      </c>
      <c r="AN7226" s="33">
        <v>1.0722522035506112E-2</v>
      </c>
      <c r="AO7226" s="33">
        <v>7.3307311426687319E-4</v>
      </c>
    </row>
    <row r="7227" spans="39:41" x14ac:dyDescent="0.25">
      <c r="AM7227" s="2">
        <v>7224</v>
      </c>
      <c r="AN7227" s="33">
        <v>1.0076920227187846E-2</v>
      </c>
      <c r="AO7227" s="33">
        <v>8.239314467533861E-4</v>
      </c>
    </row>
    <row r="7228" spans="39:41" x14ac:dyDescent="0.25">
      <c r="AM7228" s="2">
        <v>7225</v>
      </c>
      <c r="AN7228" s="33">
        <v>8.4814910771955562E-3</v>
      </c>
      <c r="AO7228" s="33">
        <v>4.1949975228872978E-4</v>
      </c>
    </row>
    <row r="7229" spans="39:41" x14ac:dyDescent="0.25">
      <c r="AM7229" s="2">
        <v>7226</v>
      </c>
      <c r="AN7229" s="33">
        <v>1.0905925958978518E-2</v>
      </c>
      <c r="AO7229" s="33">
        <v>6.0167393304627929E-4</v>
      </c>
    </row>
    <row r="7230" spans="39:41" x14ac:dyDescent="0.25">
      <c r="AM7230" s="2">
        <v>7227</v>
      </c>
      <c r="AN7230" s="33">
        <v>1.4690310026525443E-2</v>
      </c>
      <c r="AO7230" s="33">
        <v>1.1673669339158858E-3</v>
      </c>
    </row>
    <row r="7231" spans="39:41" x14ac:dyDescent="0.25">
      <c r="AM7231" s="2">
        <v>7228</v>
      </c>
      <c r="AN7231" s="33">
        <v>1.1934155905472197E-2</v>
      </c>
      <c r="AO7231" s="33">
        <v>9.8057278864334342E-4</v>
      </c>
    </row>
    <row r="7232" spans="39:41" x14ac:dyDescent="0.25">
      <c r="AM7232" s="2">
        <v>7229</v>
      </c>
      <c r="AN7232" s="33">
        <v>1.0820664682604744E-2</v>
      </c>
      <c r="AO7232" s="33">
        <v>5.8850056539246152E-4</v>
      </c>
    </row>
    <row r="7233" spans="39:41" x14ac:dyDescent="0.25">
      <c r="AM7233" s="2">
        <v>7230</v>
      </c>
      <c r="AN7233" s="33">
        <v>1.203607100379969E-2</v>
      </c>
      <c r="AO7233" s="33">
        <v>1.2519109769232181E-3</v>
      </c>
    </row>
    <row r="7234" spans="39:41" x14ac:dyDescent="0.25">
      <c r="AM7234" s="2">
        <v>7231</v>
      </c>
      <c r="AN7234" s="33">
        <v>1.5798614293407946E-2</v>
      </c>
      <c r="AO7234" s="33">
        <v>1.5523315942676695E-3</v>
      </c>
    </row>
    <row r="7235" spans="39:41" x14ac:dyDescent="0.25">
      <c r="AM7235" s="2">
        <v>7232</v>
      </c>
      <c r="AN7235" s="33">
        <v>1.1736603704470184E-2</v>
      </c>
      <c r="AO7235" s="33">
        <v>1.0103898335985346E-3</v>
      </c>
    </row>
    <row r="7236" spans="39:41" x14ac:dyDescent="0.25">
      <c r="AM7236" s="2">
        <v>7233</v>
      </c>
      <c r="AN7236" s="33">
        <v>1.0543949463924188E-2</v>
      </c>
      <c r="AO7236" s="33">
        <v>8.8669862369673586E-4</v>
      </c>
    </row>
    <row r="7237" spans="39:41" x14ac:dyDescent="0.25">
      <c r="AM7237" s="2">
        <v>7234</v>
      </c>
      <c r="AN7237" s="33">
        <v>9.4368484017590976E-3</v>
      </c>
      <c r="AO7237" s="33">
        <v>4.7941148344652913E-4</v>
      </c>
    </row>
    <row r="7238" spans="39:41" x14ac:dyDescent="0.25">
      <c r="AM7238" s="2">
        <v>7235</v>
      </c>
      <c r="AN7238" s="33">
        <v>1.1981473273045695E-2</v>
      </c>
      <c r="AO7238" s="33">
        <v>1.0678365501845674E-3</v>
      </c>
    </row>
    <row r="7239" spans="39:41" x14ac:dyDescent="0.25">
      <c r="AM7239" s="2">
        <v>7236</v>
      </c>
      <c r="AN7239" s="33">
        <v>1.0530394317966443E-2</v>
      </c>
      <c r="AO7239" s="33">
        <v>7.1277478367935817E-4</v>
      </c>
    </row>
    <row r="7240" spans="39:41" x14ac:dyDescent="0.25">
      <c r="AM7240" s="2">
        <v>7237</v>
      </c>
      <c r="AN7240" s="33">
        <v>1.0594561258859866E-2</v>
      </c>
      <c r="AO7240" s="33">
        <v>9.9081729165814399E-4</v>
      </c>
    </row>
    <row r="7241" spans="39:41" x14ac:dyDescent="0.25">
      <c r="AM7241" s="2">
        <v>7238</v>
      </c>
      <c r="AN7241" s="33">
        <v>1.1178968128274763E-2</v>
      </c>
      <c r="AO7241" s="33">
        <v>7.8296673461092706E-4</v>
      </c>
    </row>
    <row r="7242" spans="39:41" x14ac:dyDescent="0.25">
      <c r="AM7242" s="2">
        <v>7239</v>
      </c>
      <c r="AN7242" s="33">
        <v>1.191350681159945E-2</v>
      </c>
      <c r="AO7242" s="33">
        <v>6.2795179209304834E-4</v>
      </c>
    </row>
    <row r="7243" spans="39:41" x14ac:dyDescent="0.25">
      <c r="AM7243" s="2">
        <v>7240</v>
      </c>
      <c r="AN7243" s="33">
        <v>1.4331412741487909E-2</v>
      </c>
      <c r="AO7243" s="33">
        <v>1.2164502343401209E-3</v>
      </c>
    </row>
    <row r="7244" spans="39:41" x14ac:dyDescent="0.25">
      <c r="AM7244" s="2">
        <v>7241</v>
      </c>
      <c r="AN7244" s="33">
        <v>9.9512817316756812E-3</v>
      </c>
      <c r="AO7244" s="33">
        <v>5.382209372136377E-4</v>
      </c>
    </row>
    <row r="7245" spans="39:41" x14ac:dyDescent="0.25">
      <c r="AM7245" s="2">
        <v>7242</v>
      </c>
      <c r="AN7245" s="33">
        <v>1.2647219556486644E-2</v>
      </c>
      <c r="AO7245" s="33">
        <v>9.5341269409253827E-4</v>
      </c>
    </row>
    <row r="7246" spans="39:41" x14ac:dyDescent="0.25">
      <c r="AM7246" s="2">
        <v>7243</v>
      </c>
      <c r="AN7246" s="33">
        <v>7.6113990868617795E-3</v>
      </c>
      <c r="AO7246" s="33">
        <v>5.0332652757301372E-4</v>
      </c>
    </row>
    <row r="7247" spans="39:41" x14ac:dyDescent="0.25">
      <c r="AM7247" s="2">
        <v>7244</v>
      </c>
      <c r="AN7247" s="33">
        <v>1.4209190040657545E-2</v>
      </c>
      <c r="AO7247" s="33">
        <v>1.2675505202623435E-3</v>
      </c>
    </row>
    <row r="7248" spans="39:41" x14ac:dyDescent="0.25">
      <c r="AM7248" s="2">
        <v>7245</v>
      </c>
      <c r="AN7248" s="33">
        <v>9.9412904002308053E-3</v>
      </c>
      <c r="AO7248" s="33">
        <v>8.2748186685404962E-4</v>
      </c>
    </row>
    <row r="7249" spans="39:41" x14ac:dyDescent="0.25">
      <c r="AM7249" s="2">
        <v>7246</v>
      </c>
      <c r="AN7249" s="33">
        <v>1.2184044694128628E-2</v>
      </c>
      <c r="AO7249" s="33">
        <v>8.3675676718108572E-4</v>
      </c>
    </row>
    <row r="7250" spans="39:41" x14ac:dyDescent="0.25">
      <c r="AM7250" s="2">
        <v>7247</v>
      </c>
      <c r="AN7250" s="33">
        <v>1.0651535792066558E-2</v>
      </c>
      <c r="AO7250" s="33">
        <v>7.4785502428800343E-4</v>
      </c>
    </row>
    <row r="7251" spans="39:41" x14ac:dyDescent="0.25">
      <c r="AM7251" s="2">
        <v>7248</v>
      </c>
      <c r="AN7251" s="33">
        <v>1.1623647850457277E-2</v>
      </c>
      <c r="AO7251" s="33">
        <v>7.8906118480812082E-4</v>
      </c>
    </row>
    <row r="7252" spans="39:41" x14ac:dyDescent="0.25">
      <c r="AM7252" s="2">
        <v>7249</v>
      </c>
      <c r="AN7252" s="33">
        <v>9.2628774075997119E-3</v>
      </c>
      <c r="AO7252" s="33">
        <v>8.2991727612726689E-4</v>
      </c>
    </row>
    <row r="7253" spans="39:41" x14ac:dyDescent="0.25">
      <c r="AM7253" s="2">
        <v>7250</v>
      </c>
      <c r="AN7253" s="33">
        <v>8.2693861302705306E-3</v>
      </c>
      <c r="AO7253" s="33">
        <v>5.397529011818659E-4</v>
      </c>
    </row>
    <row r="7254" spans="39:41" x14ac:dyDescent="0.25">
      <c r="AM7254" s="2">
        <v>7251</v>
      </c>
      <c r="AN7254" s="33">
        <v>1.0713980041278387E-2</v>
      </c>
      <c r="AO7254" s="33">
        <v>9.0753303315567609E-4</v>
      </c>
    </row>
    <row r="7255" spans="39:41" x14ac:dyDescent="0.25">
      <c r="AM7255" s="2">
        <v>7252</v>
      </c>
      <c r="AN7255" s="33">
        <v>1.3045654975674623E-2</v>
      </c>
      <c r="AO7255" s="33">
        <v>1.0884874389463894E-3</v>
      </c>
    </row>
    <row r="7256" spans="39:41" x14ac:dyDescent="0.25">
      <c r="AM7256" s="2">
        <v>7253</v>
      </c>
      <c r="AN7256" s="33">
        <v>1.2853197573183567E-2</v>
      </c>
      <c r="AO7256" s="33">
        <v>8.3922730857399471E-4</v>
      </c>
    </row>
    <row r="7257" spans="39:41" x14ac:dyDescent="0.25">
      <c r="AM7257" s="2">
        <v>7254</v>
      </c>
      <c r="AN7257" s="33">
        <v>1.1578776680927119E-2</v>
      </c>
      <c r="AO7257" s="33">
        <v>8.9449936353638935E-4</v>
      </c>
    </row>
    <row r="7258" spans="39:41" x14ac:dyDescent="0.25">
      <c r="AM7258" s="2">
        <v>7255</v>
      </c>
      <c r="AN7258" s="33">
        <v>8.7182757747016268E-3</v>
      </c>
      <c r="AO7258" s="33">
        <v>3.674872557221983E-4</v>
      </c>
    </row>
    <row r="7259" spans="39:41" x14ac:dyDescent="0.25">
      <c r="AM7259" s="2">
        <v>7256</v>
      </c>
      <c r="AN7259" s="33">
        <v>1.1309451316918784E-2</v>
      </c>
      <c r="AO7259" s="33">
        <v>1.0443033851820686E-3</v>
      </c>
    </row>
    <row r="7260" spans="39:41" x14ac:dyDescent="0.25">
      <c r="AM7260" s="2">
        <v>7257</v>
      </c>
      <c r="AN7260" s="33">
        <v>1.2074577326985582E-2</v>
      </c>
      <c r="AO7260" s="33">
        <v>7.6021847350542118E-4</v>
      </c>
    </row>
    <row r="7261" spans="39:41" x14ac:dyDescent="0.25">
      <c r="AM7261" s="2">
        <v>7258</v>
      </c>
      <c r="AN7261" s="33">
        <v>1.3432429227242481E-2</v>
      </c>
      <c r="AO7261" s="33">
        <v>1.0126315961335242E-3</v>
      </c>
    </row>
    <row r="7262" spans="39:41" x14ac:dyDescent="0.25">
      <c r="AM7262" s="2">
        <v>7259</v>
      </c>
      <c r="AN7262" s="33">
        <v>1.1068634451890639E-2</v>
      </c>
      <c r="AO7262" s="33">
        <v>9.4902036591414313E-4</v>
      </c>
    </row>
    <row r="7263" spans="39:41" x14ac:dyDescent="0.25">
      <c r="AM7263" s="2">
        <v>7260</v>
      </c>
      <c r="AN7263" s="33">
        <v>1.0794899827862621E-2</v>
      </c>
      <c r="AO7263" s="33">
        <v>5.598599970964705E-4</v>
      </c>
    </row>
    <row r="7264" spans="39:41" x14ac:dyDescent="0.25">
      <c r="AM7264" s="2">
        <v>7261</v>
      </c>
      <c r="AN7264" s="33">
        <v>1.9303388757879361E-2</v>
      </c>
      <c r="AO7264" s="33">
        <v>1.332854167893294E-3</v>
      </c>
    </row>
    <row r="7265" spans="39:41" x14ac:dyDescent="0.25">
      <c r="AM7265" s="2">
        <v>7262</v>
      </c>
      <c r="AN7265" s="33">
        <v>1.3520280482176699E-2</v>
      </c>
      <c r="AO7265" s="33">
        <v>1.3622617432419086E-3</v>
      </c>
    </row>
    <row r="7266" spans="39:41" x14ac:dyDescent="0.25">
      <c r="AM7266" s="2">
        <v>7263</v>
      </c>
      <c r="AN7266" s="33">
        <v>1.6661348609154771E-2</v>
      </c>
      <c r="AO7266" s="33">
        <v>1.4679917380973071E-3</v>
      </c>
    </row>
    <row r="7267" spans="39:41" x14ac:dyDescent="0.25">
      <c r="AM7267" s="2">
        <v>7264</v>
      </c>
      <c r="AN7267" s="33">
        <v>1.2456638470172244E-2</v>
      </c>
      <c r="AO7267" s="33">
        <v>1.1778506341473816E-3</v>
      </c>
    </row>
    <row r="7268" spans="39:41" x14ac:dyDescent="0.25">
      <c r="AM7268" s="2">
        <v>7265</v>
      </c>
      <c r="AN7268" s="33">
        <v>1.0621218660304152E-2</v>
      </c>
      <c r="AO7268" s="33">
        <v>1.0289030715223504E-3</v>
      </c>
    </row>
    <row r="7269" spans="39:41" x14ac:dyDescent="0.25">
      <c r="AM7269" s="2">
        <v>7266</v>
      </c>
      <c r="AN7269" s="33">
        <v>1.0219051539106756E-2</v>
      </c>
      <c r="AO7269" s="33">
        <v>9.6568725846783341E-4</v>
      </c>
    </row>
    <row r="7270" spans="39:41" x14ac:dyDescent="0.25">
      <c r="AM7270" s="2">
        <v>7267</v>
      </c>
      <c r="AN7270" s="33">
        <v>1.2789265921482357E-2</v>
      </c>
      <c r="AO7270" s="33">
        <v>9.9689689126096688E-4</v>
      </c>
    </row>
    <row r="7271" spans="39:41" x14ac:dyDescent="0.25">
      <c r="AM7271" s="2">
        <v>7268</v>
      </c>
      <c r="AN7271" s="33">
        <v>1.2229189626880506E-2</v>
      </c>
      <c r="AO7271" s="33">
        <v>8.3173834599307745E-4</v>
      </c>
    </row>
    <row r="7272" spans="39:41" x14ac:dyDescent="0.25">
      <c r="AM7272" s="2">
        <v>7269</v>
      </c>
      <c r="AN7272" s="33">
        <v>1.15555939363982E-2</v>
      </c>
      <c r="AO7272" s="33">
        <v>8.9494128317561459E-4</v>
      </c>
    </row>
    <row r="7273" spans="39:41" x14ac:dyDescent="0.25">
      <c r="AM7273" s="2">
        <v>7270</v>
      </c>
      <c r="AN7273" s="33">
        <v>1.1694438387121014E-2</v>
      </c>
      <c r="AO7273" s="33">
        <v>5.9155202278672169E-4</v>
      </c>
    </row>
    <row r="7274" spans="39:41" x14ac:dyDescent="0.25">
      <c r="AM7274" s="2">
        <v>7271</v>
      </c>
      <c r="AN7274" s="33">
        <v>1.1886020296018169E-2</v>
      </c>
      <c r="AO7274" s="33">
        <v>7.269110054890477E-4</v>
      </c>
    </row>
    <row r="7275" spans="39:41" x14ac:dyDescent="0.25">
      <c r="AM7275" s="2">
        <v>7272</v>
      </c>
      <c r="AN7275" s="33">
        <v>8.534509408729506E-3</v>
      </c>
      <c r="AO7275" s="33">
        <v>4.6409063438290575E-4</v>
      </c>
    </row>
    <row r="7276" spans="39:41" x14ac:dyDescent="0.25">
      <c r="AM7276" s="2">
        <v>7273</v>
      </c>
      <c r="AN7276" s="33">
        <v>1.2277589334339426E-2</v>
      </c>
      <c r="AO7276" s="33">
        <v>1.0266995634107981E-3</v>
      </c>
    </row>
    <row r="7277" spans="39:41" x14ac:dyDescent="0.25">
      <c r="AM7277" s="2">
        <v>7274</v>
      </c>
      <c r="AN7277" s="33">
        <v>1.3472398859461113E-2</v>
      </c>
      <c r="AO7277" s="33">
        <v>9.09237387978202E-4</v>
      </c>
    </row>
    <row r="7278" spans="39:41" x14ac:dyDescent="0.25">
      <c r="AM7278" s="2">
        <v>7275</v>
      </c>
      <c r="AN7278" s="33">
        <v>8.7241139169709526E-3</v>
      </c>
      <c r="AO7278" s="33">
        <v>4.8779315885885379E-4</v>
      </c>
    </row>
    <row r="7279" spans="39:41" x14ac:dyDescent="0.25">
      <c r="AM7279" s="2">
        <v>7276</v>
      </c>
      <c r="AN7279" s="33">
        <v>9.5459871375783451E-3</v>
      </c>
      <c r="AO7279" s="33">
        <v>3.9241784234558016E-4</v>
      </c>
    </row>
    <row r="7280" spans="39:41" x14ac:dyDescent="0.25">
      <c r="AM7280" s="2">
        <v>7277</v>
      </c>
      <c r="AN7280" s="33">
        <v>1.0062712813044057E-2</v>
      </c>
      <c r="AO7280" s="33">
        <v>5.7544993917718135E-4</v>
      </c>
    </row>
    <row r="7281" spans="39:41" x14ac:dyDescent="0.25">
      <c r="AM7281" s="2">
        <v>7278</v>
      </c>
      <c r="AN7281" s="33">
        <v>1.0277140002510461E-2</v>
      </c>
      <c r="AO7281" s="33">
        <v>8.228556050773045E-4</v>
      </c>
    </row>
    <row r="7282" spans="39:41" x14ac:dyDescent="0.25">
      <c r="AM7282" s="2">
        <v>7279</v>
      </c>
      <c r="AN7282" s="33">
        <v>1.2200085261762585E-2</v>
      </c>
      <c r="AO7282" s="33">
        <v>7.4788175546686684E-4</v>
      </c>
    </row>
    <row r="7283" spans="39:41" x14ac:dyDescent="0.25">
      <c r="AM7283" s="2">
        <v>7280</v>
      </c>
      <c r="AN7283" s="33">
        <v>1.0168694491383306E-2</v>
      </c>
      <c r="AO7283" s="33">
        <v>4.8580548015191201E-4</v>
      </c>
    </row>
    <row r="7284" spans="39:41" x14ac:dyDescent="0.25">
      <c r="AM7284" s="2">
        <v>7281</v>
      </c>
      <c r="AN7284" s="33">
        <v>8.8483044577447271E-3</v>
      </c>
      <c r="AO7284" s="33">
        <v>7.8284405844350697E-4</v>
      </c>
    </row>
    <row r="7285" spans="39:41" x14ac:dyDescent="0.25">
      <c r="AM7285" s="2">
        <v>7282</v>
      </c>
      <c r="AN7285" s="33">
        <v>1.2532545668239671E-2</v>
      </c>
      <c r="AO7285" s="33">
        <v>1.0716899108492133E-3</v>
      </c>
    </row>
    <row r="7286" spans="39:41" x14ac:dyDescent="0.25">
      <c r="AM7286" s="2">
        <v>7283</v>
      </c>
      <c r="AN7286" s="33">
        <v>1.3422302302296591E-2</v>
      </c>
      <c r="AO7286" s="33">
        <v>9.7978315553344172E-4</v>
      </c>
    </row>
    <row r="7287" spans="39:41" x14ac:dyDescent="0.25">
      <c r="AM7287" s="2">
        <v>7284</v>
      </c>
      <c r="AN7287" s="33">
        <v>1.3518317427278041E-2</v>
      </c>
      <c r="AO7287" s="33">
        <v>9.8820647179811961E-4</v>
      </c>
    </row>
    <row r="7288" spans="39:41" x14ac:dyDescent="0.25">
      <c r="AM7288" s="2">
        <v>7285</v>
      </c>
      <c r="AN7288" s="33">
        <v>9.6297406292650944E-3</v>
      </c>
      <c r="AO7288" s="33">
        <v>8.2948076857510683E-4</v>
      </c>
    </row>
    <row r="7289" spans="39:41" x14ac:dyDescent="0.25">
      <c r="AM7289" s="2">
        <v>7286</v>
      </c>
      <c r="AN7289" s="33">
        <v>1.5620674288045998E-2</v>
      </c>
      <c r="AO7289" s="33">
        <v>1.1399916579094851E-3</v>
      </c>
    </row>
    <row r="7290" spans="39:41" x14ac:dyDescent="0.25">
      <c r="AM7290" s="2">
        <v>7287</v>
      </c>
      <c r="AN7290" s="33">
        <v>1.2422325865218568E-2</v>
      </c>
      <c r="AO7290" s="33">
        <v>1.0931741213287887E-3</v>
      </c>
    </row>
    <row r="7291" spans="39:41" x14ac:dyDescent="0.25">
      <c r="AM7291" s="2">
        <v>7288</v>
      </c>
      <c r="AN7291" s="33">
        <v>8.342484617111184E-3</v>
      </c>
      <c r="AO7291" s="33">
        <v>7.8356759059728732E-4</v>
      </c>
    </row>
    <row r="7292" spans="39:41" x14ac:dyDescent="0.25">
      <c r="AM7292" s="2">
        <v>7289</v>
      </c>
      <c r="AN7292" s="33">
        <v>1.1995726747096962E-2</v>
      </c>
      <c r="AO7292" s="33">
        <v>6.1423009253598702E-4</v>
      </c>
    </row>
    <row r="7293" spans="39:41" x14ac:dyDescent="0.25">
      <c r="AM7293" s="2">
        <v>7290</v>
      </c>
      <c r="AN7293" s="33">
        <v>1.1514338067204503E-2</v>
      </c>
      <c r="AO7293" s="33">
        <v>4.2401907708061254E-4</v>
      </c>
    </row>
    <row r="7294" spans="39:41" x14ac:dyDescent="0.25">
      <c r="AM7294" s="2">
        <v>7291</v>
      </c>
      <c r="AN7294" s="33">
        <v>9.3139344274513446E-3</v>
      </c>
      <c r="AO7294" s="33">
        <v>7.5674022631764084E-4</v>
      </c>
    </row>
    <row r="7295" spans="39:41" x14ac:dyDescent="0.25">
      <c r="AM7295" s="2">
        <v>7292</v>
      </c>
      <c r="AN7295" s="33">
        <v>8.3876053385687262E-3</v>
      </c>
      <c r="AO7295" s="33">
        <v>6.0678746002490913E-4</v>
      </c>
    </row>
    <row r="7296" spans="39:41" x14ac:dyDescent="0.25">
      <c r="AM7296" s="2">
        <v>7293</v>
      </c>
      <c r="AN7296" s="33">
        <v>1.1754532965058722E-2</v>
      </c>
      <c r="AO7296" s="33">
        <v>9.5513494088766211E-4</v>
      </c>
    </row>
    <row r="7297" spans="39:41" x14ac:dyDescent="0.25">
      <c r="AM7297" s="2">
        <v>7294</v>
      </c>
      <c r="AN7297" s="33">
        <v>9.9373314883539794E-3</v>
      </c>
      <c r="AO7297" s="33">
        <v>7.6093135133323286E-4</v>
      </c>
    </row>
    <row r="7298" spans="39:41" x14ac:dyDescent="0.25">
      <c r="AM7298" s="2">
        <v>7295</v>
      </c>
      <c r="AN7298" s="33">
        <v>1.2865501238509639E-2</v>
      </c>
      <c r="AO7298" s="33">
        <v>1.0901336672009395E-3</v>
      </c>
    </row>
    <row r="7299" spans="39:41" x14ac:dyDescent="0.25">
      <c r="AM7299" s="2">
        <v>7296</v>
      </c>
      <c r="AN7299" s="33">
        <v>1.3203692913395449E-2</v>
      </c>
      <c r="AO7299" s="33">
        <v>8.2758409775540503E-4</v>
      </c>
    </row>
    <row r="7300" spans="39:41" x14ac:dyDescent="0.25">
      <c r="AM7300" s="2">
        <v>7297</v>
      </c>
      <c r="AN7300" s="33">
        <v>1.4229209368940539E-2</v>
      </c>
      <c r="AO7300" s="33">
        <v>1.2444890261658007E-3</v>
      </c>
    </row>
    <row r="7301" spans="39:41" x14ac:dyDescent="0.25">
      <c r="AM7301" s="2">
        <v>7298</v>
      </c>
      <c r="AN7301" s="33">
        <v>1.0508596934341752E-2</v>
      </c>
      <c r="AO7301" s="33">
        <v>3.2109825372619437E-4</v>
      </c>
    </row>
    <row r="7302" spans="39:41" x14ac:dyDescent="0.25">
      <c r="AM7302" s="2">
        <v>7299</v>
      </c>
      <c r="AN7302" s="33">
        <v>1.0820568431423967E-2</v>
      </c>
      <c r="AO7302" s="33">
        <v>6.0539979846244434E-4</v>
      </c>
    </row>
    <row r="7303" spans="39:41" x14ac:dyDescent="0.25">
      <c r="AM7303" s="2">
        <v>7300</v>
      </c>
      <c r="AN7303" s="33">
        <v>1.2249118710523142E-2</v>
      </c>
      <c r="AO7303" s="33">
        <v>1.0429898716793936E-3</v>
      </c>
    </row>
    <row r="7304" spans="39:41" x14ac:dyDescent="0.25">
      <c r="AM7304" s="2">
        <v>7301</v>
      </c>
      <c r="AN7304" s="33">
        <v>8.592600366804308E-3</v>
      </c>
      <c r="AO7304" s="33">
        <v>6.5567409446563711E-4</v>
      </c>
    </row>
    <row r="7305" spans="39:41" x14ac:dyDescent="0.25">
      <c r="AM7305" s="2">
        <v>7302</v>
      </c>
      <c r="AN7305" s="33">
        <v>1.2708429918093917E-2</v>
      </c>
      <c r="AO7305" s="33">
        <v>8.0494150014374737E-4</v>
      </c>
    </row>
    <row r="7306" spans="39:41" x14ac:dyDescent="0.25">
      <c r="AM7306" s="2">
        <v>7303</v>
      </c>
      <c r="AN7306" s="33">
        <v>1.1183937371982214E-2</v>
      </c>
      <c r="AO7306" s="33">
        <v>5.5000299286707898E-4</v>
      </c>
    </row>
    <row r="7307" spans="39:41" x14ac:dyDescent="0.25">
      <c r="AM7307" s="2">
        <v>7304</v>
      </c>
      <c r="AN7307" s="33">
        <v>1.7625198693784441E-2</v>
      </c>
      <c r="AO7307" s="33">
        <v>1.7390666238807403E-3</v>
      </c>
    </row>
    <row r="7308" spans="39:41" x14ac:dyDescent="0.25">
      <c r="AM7308" s="2">
        <v>7305</v>
      </c>
      <c r="AN7308" s="33">
        <v>1.3085632232703957E-2</v>
      </c>
      <c r="AO7308" s="33">
        <v>7.0610165763425499E-4</v>
      </c>
    </row>
    <row r="7309" spans="39:41" x14ac:dyDescent="0.25">
      <c r="AM7309" s="2">
        <v>7306</v>
      </c>
      <c r="AN7309" s="33">
        <v>1.3867780679321208E-2</v>
      </c>
      <c r="AO7309" s="33">
        <v>1.0105023254256191E-3</v>
      </c>
    </row>
    <row r="7310" spans="39:41" x14ac:dyDescent="0.25">
      <c r="AM7310" s="2">
        <v>7307</v>
      </c>
      <c r="AN7310" s="33">
        <v>1.1453837911748933E-2</v>
      </c>
      <c r="AO7310" s="33">
        <v>4.0211341204045189E-4</v>
      </c>
    </row>
    <row r="7311" spans="39:41" x14ac:dyDescent="0.25">
      <c r="AM7311" s="2">
        <v>7308</v>
      </c>
      <c r="AN7311" s="33">
        <v>1.1058253001816325E-2</v>
      </c>
      <c r="AO7311" s="33">
        <v>8.9432129190065719E-4</v>
      </c>
    </row>
    <row r="7312" spans="39:41" x14ac:dyDescent="0.25">
      <c r="AM7312" s="2">
        <v>7309</v>
      </c>
      <c r="AN7312" s="33">
        <v>1.2430474815990921E-2</v>
      </c>
      <c r="AO7312" s="33">
        <v>8.5684798806705254E-4</v>
      </c>
    </row>
    <row r="7313" spans="39:41" x14ac:dyDescent="0.25">
      <c r="AM7313" s="2">
        <v>7310</v>
      </c>
      <c r="AN7313" s="33">
        <v>1.1852266465414886E-2</v>
      </c>
      <c r="AO7313" s="33">
        <v>9.6312806221004424E-4</v>
      </c>
    </row>
    <row r="7314" spans="39:41" x14ac:dyDescent="0.25">
      <c r="AM7314" s="2">
        <v>7311</v>
      </c>
      <c r="AN7314" s="33">
        <v>1.2075807348650828E-2</v>
      </c>
      <c r="AO7314" s="33">
        <v>1.0396891806586706E-3</v>
      </c>
    </row>
    <row r="7315" spans="39:41" x14ac:dyDescent="0.25">
      <c r="AM7315" s="2">
        <v>7312</v>
      </c>
      <c r="AN7315" s="33">
        <v>9.5780428050505368E-3</v>
      </c>
      <c r="AO7315" s="33">
        <v>9.7967528454809293E-4</v>
      </c>
    </row>
    <row r="7316" spans="39:41" x14ac:dyDescent="0.25">
      <c r="AM7316" s="2">
        <v>7313</v>
      </c>
      <c r="AN7316" s="33">
        <v>1.2351904083828042E-2</v>
      </c>
      <c r="AO7316" s="33">
        <v>4.2451971522988426E-4</v>
      </c>
    </row>
    <row r="7317" spans="39:41" x14ac:dyDescent="0.25">
      <c r="AM7317" s="2">
        <v>7314</v>
      </c>
      <c r="AN7317" s="33">
        <v>1.2333238025936191E-2</v>
      </c>
      <c r="AO7317" s="33">
        <v>1.0966022358451504E-3</v>
      </c>
    </row>
    <row r="7318" spans="39:41" x14ac:dyDescent="0.25">
      <c r="AM7318" s="2">
        <v>7315</v>
      </c>
      <c r="AN7318" s="33">
        <v>1.246289851481925E-2</v>
      </c>
      <c r="AO7318" s="33">
        <v>9.7704980487367792E-4</v>
      </c>
    </row>
    <row r="7319" spans="39:41" x14ac:dyDescent="0.25">
      <c r="AM7319" s="2">
        <v>7316</v>
      </c>
      <c r="AN7319" s="33">
        <v>1.2640223942918116E-2</v>
      </c>
      <c r="AO7319" s="33">
        <v>8.6326035480798228E-4</v>
      </c>
    </row>
    <row r="7320" spans="39:41" x14ac:dyDescent="0.25">
      <c r="AM7320" s="2">
        <v>7317</v>
      </c>
      <c r="AN7320" s="33">
        <v>1.4496069663667371E-2</v>
      </c>
      <c r="AO7320" s="33">
        <v>1.312078492958228E-3</v>
      </c>
    </row>
    <row r="7321" spans="39:41" x14ac:dyDescent="0.25">
      <c r="AM7321" s="2">
        <v>7318</v>
      </c>
      <c r="AN7321" s="33">
        <v>1.3786559807430973E-2</v>
      </c>
      <c r="AO7321" s="33">
        <v>8.5280539799730535E-4</v>
      </c>
    </row>
    <row r="7322" spans="39:41" x14ac:dyDescent="0.25">
      <c r="AM7322" s="2">
        <v>7319</v>
      </c>
      <c r="AN7322" s="33">
        <v>8.9721686294412899E-3</v>
      </c>
      <c r="AO7322" s="33">
        <v>4.5833389598996376E-4</v>
      </c>
    </row>
    <row r="7323" spans="39:41" x14ac:dyDescent="0.25">
      <c r="AM7323" s="2">
        <v>7320</v>
      </c>
      <c r="AN7323" s="33">
        <v>1.2433085227478295E-2</v>
      </c>
      <c r="AO7323" s="33">
        <v>9.4973100715669472E-4</v>
      </c>
    </row>
    <row r="7324" spans="39:41" x14ac:dyDescent="0.25">
      <c r="AM7324" s="2">
        <v>7321</v>
      </c>
      <c r="AN7324" s="33">
        <v>9.791268294947298E-3</v>
      </c>
      <c r="AO7324" s="33">
        <v>8.6480807538888676E-4</v>
      </c>
    </row>
    <row r="7325" spans="39:41" x14ac:dyDescent="0.25">
      <c r="AM7325" s="2">
        <v>7322</v>
      </c>
      <c r="AN7325" s="33">
        <v>1.3038152554724436E-2</v>
      </c>
      <c r="AO7325" s="33">
        <v>1.2787604243413031E-3</v>
      </c>
    </row>
    <row r="7326" spans="39:41" x14ac:dyDescent="0.25">
      <c r="AM7326" s="2">
        <v>7323</v>
      </c>
      <c r="AN7326" s="33">
        <v>1.4339716892577651E-2</v>
      </c>
      <c r="AO7326" s="33">
        <v>1.3065521948821312E-3</v>
      </c>
    </row>
    <row r="7327" spans="39:41" x14ac:dyDescent="0.25">
      <c r="AM7327" s="2">
        <v>7324</v>
      </c>
      <c r="AN7327" s="33">
        <v>1.3063525295848014E-2</v>
      </c>
      <c r="AO7327" s="33">
        <v>1.1216123939579259E-3</v>
      </c>
    </row>
    <row r="7328" spans="39:41" x14ac:dyDescent="0.25">
      <c r="AM7328" s="2">
        <v>7325</v>
      </c>
      <c r="AN7328" s="33">
        <v>8.4452173823506491E-3</v>
      </c>
      <c r="AO7328" s="33">
        <v>7.6950113238698041E-4</v>
      </c>
    </row>
    <row r="7329" spans="39:41" x14ac:dyDescent="0.25">
      <c r="AM7329" s="2">
        <v>7326</v>
      </c>
      <c r="AN7329" s="33">
        <v>9.9240196576942021E-3</v>
      </c>
      <c r="AO7329" s="33">
        <v>6.621715196452573E-4</v>
      </c>
    </row>
    <row r="7330" spans="39:41" x14ac:dyDescent="0.25">
      <c r="AM7330" s="2">
        <v>7327</v>
      </c>
      <c r="AN7330" s="33">
        <v>1.2539392569026676E-2</v>
      </c>
      <c r="AO7330" s="33">
        <v>8.2429045775019266E-4</v>
      </c>
    </row>
    <row r="7331" spans="39:41" x14ac:dyDescent="0.25">
      <c r="AM7331" s="2">
        <v>7328</v>
      </c>
      <c r="AN7331" s="33">
        <v>1.2289453113068451E-2</v>
      </c>
      <c r="AO7331" s="33">
        <v>1.0682953876722529E-3</v>
      </c>
    </row>
    <row r="7332" spans="39:41" x14ac:dyDescent="0.25">
      <c r="AM7332" s="2">
        <v>7329</v>
      </c>
      <c r="AN7332" s="33">
        <v>1.0079068175326474E-2</v>
      </c>
      <c r="AO7332" s="33">
        <v>5.3984266147415172E-4</v>
      </c>
    </row>
    <row r="7333" spans="39:41" x14ac:dyDescent="0.25">
      <c r="AM7333" s="2">
        <v>7330</v>
      </c>
      <c r="AN7333" s="33">
        <v>8.8449187368656399E-3</v>
      </c>
      <c r="AO7333" s="33">
        <v>7.6771638767778071E-4</v>
      </c>
    </row>
    <row r="7334" spans="39:41" x14ac:dyDescent="0.25">
      <c r="AM7334" s="2">
        <v>7331</v>
      </c>
      <c r="AN7334" s="33">
        <v>1.317740154809836E-2</v>
      </c>
      <c r="AO7334" s="33">
        <v>7.8234321763680768E-4</v>
      </c>
    </row>
    <row r="7335" spans="39:41" x14ac:dyDescent="0.25">
      <c r="AM7335" s="2">
        <v>7332</v>
      </c>
      <c r="AN7335" s="33">
        <v>1.537612097295965E-2</v>
      </c>
      <c r="AO7335" s="33">
        <v>1.4763429784881781E-3</v>
      </c>
    </row>
    <row r="7336" spans="39:41" x14ac:dyDescent="0.25">
      <c r="AM7336" s="2">
        <v>7333</v>
      </c>
      <c r="AN7336" s="33">
        <v>1.0930168612840657E-2</v>
      </c>
      <c r="AO7336" s="33">
        <v>1.041738121109181E-3</v>
      </c>
    </row>
    <row r="7337" spans="39:41" x14ac:dyDescent="0.25">
      <c r="AM7337" s="2">
        <v>7334</v>
      </c>
      <c r="AN7337" s="33">
        <v>1.2921017627040643E-2</v>
      </c>
      <c r="AO7337" s="33">
        <v>8.100298908835028E-4</v>
      </c>
    </row>
    <row r="7338" spans="39:41" x14ac:dyDescent="0.25">
      <c r="AM7338" s="2">
        <v>7335</v>
      </c>
      <c r="AN7338" s="33">
        <v>1.5575994073915543E-2</v>
      </c>
      <c r="AO7338" s="33">
        <v>1.4141030014086405E-3</v>
      </c>
    </row>
    <row r="7339" spans="39:41" x14ac:dyDescent="0.25">
      <c r="AM7339" s="2">
        <v>7336</v>
      </c>
      <c r="AN7339" s="33">
        <v>8.8246825429937371E-3</v>
      </c>
      <c r="AO7339" s="33">
        <v>5.7152336651023036E-4</v>
      </c>
    </row>
    <row r="7340" spans="39:41" x14ac:dyDescent="0.25">
      <c r="AM7340" s="2">
        <v>7337</v>
      </c>
      <c r="AN7340" s="33">
        <v>1.4185599755448372E-2</v>
      </c>
      <c r="AO7340" s="33">
        <v>1.126992793242106E-3</v>
      </c>
    </row>
    <row r="7341" spans="39:41" x14ac:dyDescent="0.25">
      <c r="AM7341" s="2">
        <v>7338</v>
      </c>
      <c r="AN7341" s="33">
        <v>1.2431369815409167E-2</v>
      </c>
      <c r="AO7341" s="33">
        <v>1.0826785925192638E-3</v>
      </c>
    </row>
    <row r="7342" spans="39:41" x14ac:dyDescent="0.25">
      <c r="AM7342" s="2">
        <v>7339</v>
      </c>
      <c r="AN7342" s="33">
        <v>1.2855880814009435E-2</v>
      </c>
      <c r="AO7342" s="33">
        <v>9.2235172531330049E-4</v>
      </c>
    </row>
    <row r="7343" spans="39:41" x14ac:dyDescent="0.25">
      <c r="AM7343" s="2">
        <v>7340</v>
      </c>
      <c r="AN7343" s="33">
        <v>1.2410769295817536E-2</v>
      </c>
      <c r="AO7343" s="33">
        <v>9.8425541646651152E-4</v>
      </c>
    </row>
    <row r="7344" spans="39:41" x14ac:dyDescent="0.25">
      <c r="AM7344" s="2">
        <v>7341</v>
      </c>
      <c r="AN7344" s="33">
        <v>1.2260876976414516E-2</v>
      </c>
      <c r="AO7344" s="33">
        <v>9.1495938332562842E-4</v>
      </c>
    </row>
    <row r="7345" spans="39:41" x14ac:dyDescent="0.25">
      <c r="AM7345" s="2">
        <v>7342</v>
      </c>
      <c r="AN7345" s="33">
        <v>1.3777463653306182E-2</v>
      </c>
      <c r="AO7345" s="33">
        <v>1.2801400686585718E-3</v>
      </c>
    </row>
    <row r="7346" spans="39:41" x14ac:dyDescent="0.25">
      <c r="AM7346" s="2">
        <v>7343</v>
      </c>
      <c r="AN7346" s="33">
        <v>9.8971998879604454E-3</v>
      </c>
      <c r="AO7346" s="33">
        <v>7.6572393064780692E-4</v>
      </c>
    </row>
    <row r="7347" spans="39:41" x14ac:dyDescent="0.25">
      <c r="AM7347" s="2">
        <v>7344</v>
      </c>
      <c r="AN7347" s="33">
        <v>1.4156106864038478E-2</v>
      </c>
      <c r="AO7347" s="33">
        <v>1.051479661957302E-3</v>
      </c>
    </row>
    <row r="7348" spans="39:41" x14ac:dyDescent="0.25">
      <c r="AM7348" s="2">
        <v>7345</v>
      </c>
      <c r="AN7348" s="33">
        <v>9.609914127546533E-3</v>
      </c>
      <c r="AO7348" s="33">
        <v>2.2340934996913152E-4</v>
      </c>
    </row>
    <row r="7349" spans="39:41" x14ac:dyDescent="0.25">
      <c r="AM7349" s="2">
        <v>7346</v>
      </c>
      <c r="AN7349" s="33">
        <v>1.0993022100396698E-2</v>
      </c>
      <c r="AO7349" s="33">
        <v>2.9220840408261943E-4</v>
      </c>
    </row>
    <row r="7350" spans="39:41" x14ac:dyDescent="0.25">
      <c r="AM7350" s="2">
        <v>7347</v>
      </c>
      <c r="AN7350" s="33">
        <v>9.6474362535826468E-3</v>
      </c>
      <c r="AO7350" s="33">
        <v>3.3083869958543501E-4</v>
      </c>
    </row>
    <row r="7351" spans="39:41" x14ac:dyDescent="0.25">
      <c r="AM7351" s="2">
        <v>7348</v>
      </c>
      <c r="AN7351" s="33">
        <v>1.371608151597779E-2</v>
      </c>
      <c r="AO7351" s="33">
        <v>1.0513090468239762E-3</v>
      </c>
    </row>
    <row r="7352" spans="39:41" x14ac:dyDescent="0.25">
      <c r="AM7352" s="2">
        <v>7349</v>
      </c>
      <c r="AN7352" s="33">
        <v>8.5830698874584492E-3</v>
      </c>
      <c r="AO7352" s="33">
        <v>4.8509337292390522E-4</v>
      </c>
    </row>
    <row r="7353" spans="39:41" x14ac:dyDescent="0.25">
      <c r="AM7353" s="2">
        <v>7350</v>
      </c>
      <c r="AN7353" s="33">
        <v>1.1129787084941001E-2</v>
      </c>
      <c r="AO7353" s="33">
        <v>8.2155962624334356E-4</v>
      </c>
    </row>
    <row r="7354" spans="39:41" x14ac:dyDescent="0.25">
      <c r="AM7354" s="2">
        <v>7351</v>
      </c>
      <c r="AN7354" s="33">
        <v>1.4561276805157813E-2</v>
      </c>
      <c r="AO7354" s="33">
        <v>1.3218299295487874E-3</v>
      </c>
    </row>
    <row r="7355" spans="39:41" x14ac:dyDescent="0.25">
      <c r="AM7355" s="2">
        <v>7352</v>
      </c>
      <c r="AN7355" s="33">
        <v>1.1607127878789656E-2</v>
      </c>
      <c r="AO7355" s="33">
        <v>8.8645511444578322E-4</v>
      </c>
    </row>
    <row r="7356" spans="39:41" x14ac:dyDescent="0.25">
      <c r="AM7356" s="2">
        <v>7353</v>
      </c>
      <c r="AN7356" s="33">
        <v>1.3220540689261385E-2</v>
      </c>
      <c r="AO7356" s="33">
        <v>1.1381358929093404E-3</v>
      </c>
    </row>
    <row r="7357" spans="39:41" x14ac:dyDescent="0.25">
      <c r="AM7357" s="2">
        <v>7354</v>
      </c>
      <c r="AN7357" s="33">
        <v>8.7047176292358117E-3</v>
      </c>
      <c r="AO7357" s="33">
        <v>4.9306154569168275E-4</v>
      </c>
    </row>
    <row r="7358" spans="39:41" x14ac:dyDescent="0.25">
      <c r="AM7358" s="2">
        <v>7355</v>
      </c>
      <c r="AN7358" s="33">
        <v>1.2737332366471298E-2</v>
      </c>
      <c r="AO7358" s="33">
        <v>9.9714221821021131E-4</v>
      </c>
    </row>
    <row r="7359" spans="39:41" x14ac:dyDescent="0.25">
      <c r="AM7359" s="2">
        <v>7356</v>
      </c>
      <c r="AN7359" s="33">
        <v>9.5419392085982144E-3</v>
      </c>
      <c r="AO7359" s="33">
        <v>8.2035641846271495E-4</v>
      </c>
    </row>
    <row r="7360" spans="39:41" x14ac:dyDescent="0.25">
      <c r="AM7360" s="2">
        <v>7357</v>
      </c>
      <c r="AN7360" s="33">
        <v>1.1990198029262119E-2</v>
      </c>
      <c r="AO7360" s="33">
        <v>1.1107303894708643E-3</v>
      </c>
    </row>
    <row r="7361" spans="39:41" x14ac:dyDescent="0.25">
      <c r="AM7361" s="2">
        <v>7358</v>
      </c>
      <c r="AN7361" s="33">
        <v>8.2521684458219877E-3</v>
      </c>
      <c r="AO7361" s="33">
        <v>4.5520491176224433E-4</v>
      </c>
    </row>
    <row r="7362" spans="39:41" x14ac:dyDescent="0.25">
      <c r="AM7362" s="2">
        <v>7359</v>
      </c>
      <c r="AN7362" s="33">
        <v>1.2392101606821686E-2</v>
      </c>
      <c r="AO7362" s="33">
        <v>8.1029100441927905E-4</v>
      </c>
    </row>
    <row r="7363" spans="39:41" x14ac:dyDescent="0.25">
      <c r="AM7363" s="2">
        <v>7360</v>
      </c>
      <c r="AN7363" s="33">
        <v>1.1553007855865055E-2</v>
      </c>
      <c r="AO7363" s="33">
        <v>9.5368705902271753E-4</v>
      </c>
    </row>
    <row r="7364" spans="39:41" x14ac:dyDescent="0.25">
      <c r="AM7364" s="2">
        <v>7361</v>
      </c>
      <c r="AN7364" s="33">
        <v>1.1227534099305637E-2</v>
      </c>
      <c r="AO7364" s="33">
        <v>4.6465806957313882E-4</v>
      </c>
    </row>
    <row r="7365" spans="39:41" x14ac:dyDescent="0.25">
      <c r="AM7365" s="2">
        <v>7362</v>
      </c>
      <c r="AN7365" s="33">
        <v>1.4053992064886207E-2</v>
      </c>
      <c r="AO7365" s="33">
        <v>9.6006621009856613E-4</v>
      </c>
    </row>
    <row r="7366" spans="39:41" x14ac:dyDescent="0.25">
      <c r="AM7366" s="2">
        <v>7363</v>
      </c>
      <c r="AN7366" s="33">
        <v>1.4451653971567516E-2</v>
      </c>
      <c r="AO7366" s="33">
        <v>9.9076765164760093E-4</v>
      </c>
    </row>
    <row r="7367" spans="39:41" x14ac:dyDescent="0.25">
      <c r="AM7367" s="2">
        <v>7364</v>
      </c>
      <c r="AN7367" s="33">
        <v>1.2185897717809081E-2</v>
      </c>
      <c r="AO7367" s="33">
        <v>8.1186550161923459E-4</v>
      </c>
    </row>
    <row r="7368" spans="39:41" x14ac:dyDescent="0.25">
      <c r="AM7368" s="2">
        <v>7365</v>
      </c>
      <c r="AN7368" s="33">
        <v>1.0051769303332783E-2</v>
      </c>
      <c r="AO7368" s="33">
        <v>6.2873532046576542E-4</v>
      </c>
    </row>
    <row r="7369" spans="39:41" x14ac:dyDescent="0.25">
      <c r="AM7369" s="2">
        <v>7366</v>
      </c>
      <c r="AN7369" s="33">
        <v>1.0692071814998835E-2</v>
      </c>
      <c r="AO7369" s="33">
        <v>5.6045084057314222E-4</v>
      </c>
    </row>
    <row r="7370" spans="39:41" x14ac:dyDescent="0.25">
      <c r="AM7370" s="2">
        <v>7367</v>
      </c>
      <c r="AN7370" s="33">
        <v>1.0264039595651834E-2</v>
      </c>
      <c r="AO7370" s="33">
        <v>7.6863539304593688E-4</v>
      </c>
    </row>
    <row r="7371" spans="39:41" x14ac:dyDescent="0.25">
      <c r="AM7371" s="2">
        <v>7368</v>
      </c>
      <c r="AN7371" s="33">
        <v>1.2434381641050016E-2</v>
      </c>
      <c r="AO7371" s="33">
        <v>9.8188545047334249E-4</v>
      </c>
    </row>
    <row r="7372" spans="39:41" x14ac:dyDescent="0.25">
      <c r="AM7372" s="2">
        <v>7369</v>
      </c>
      <c r="AN7372" s="33">
        <v>1.204869111949684E-2</v>
      </c>
      <c r="AO7372" s="33">
        <v>9.4563574801992455E-4</v>
      </c>
    </row>
    <row r="7373" spans="39:41" x14ac:dyDescent="0.25">
      <c r="AM7373" s="2">
        <v>7370</v>
      </c>
      <c r="AN7373" s="33">
        <v>1.6090675872578737E-2</v>
      </c>
      <c r="AO7373" s="33">
        <v>1.1698595791211747E-3</v>
      </c>
    </row>
    <row r="7374" spans="39:41" x14ac:dyDescent="0.25">
      <c r="AM7374" s="2">
        <v>7371</v>
      </c>
      <c r="AN7374" s="33">
        <v>1.1750458404993931E-2</v>
      </c>
      <c r="AO7374" s="33">
        <v>9.457362138977852E-4</v>
      </c>
    </row>
    <row r="7375" spans="39:41" x14ac:dyDescent="0.25">
      <c r="AM7375" s="2">
        <v>7372</v>
      </c>
      <c r="AN7375" s="33">
        <v>1.1272351324282526E-2</v>
      </c>
      <c r="AO7375" s="33">
        <v>1.0737938636702052E-3</v>
      </c>
    </row>
    <row r="7376" spans="39:41" x14ac:dyDescent="0.25">
      <c r="AM7376" s="2">
        <v>7373</v>
      </c>
      <c r="AN7376" s="33">
        <v>1.1998426941583987E-2</v>
      </c>
      <c r="AO7376" s="33">
        <v>9.7916059267863075E-4</v>
      </c>
    </row>
    <row r="7377" spans="39:41" x14ac:dyDescent="0.25">
      <c r="AM7377" s="2">
        <v>7374</v>
      </c>
      <c r="AN7377" s="33">
        <v>1.4430649189978658E-2</v>
      </c>
      <c r="AO7377" s="33">
        <v>1.1990820104434976E-3</v>
      </c>
    </row>
    <row r="7378" spans="39:41" x14ac:dyDescent="0.25">
      <c r="AM7378" s="2">
        <v>7375</v>
      </c>
      <c r="AN7378" s="33">
        <v>7.5472354500471647E-3</v>
      </c>
      <c r="AO7378" s="33">
        <v>2.0317040442284053E-4</v>
      </c>
    </row>
    <row r="7379" spans="39:41" x14ac:dyDescent="0.25">
      <c r="AM7379" s="2">
        <v>7376</v>
      </c>
      <c r="AN7379" s="33">
        <v>9.3323215156661914E-3</v>
      </c>
      <c r="AO7379" s="33">
        <v>4.0970162776778871E-4</v>
      </c>
    </row>
    <row r="7380" spans="39:41" x14ac:dyDescent="0.25">
      <c r="AM7380" s="2">
        <v>7377</v>
      </c>
      <c r="AN7380" s="33">
        <v>9.8227271798627842E-3</v>
      </c>
      <c r="AO7380" s="33">
        <v>9.6489451968995686E-4</v>
      </c>
    </row>
    <row r="7381" spans="39:41" x14ac:dyDescent="0.25">
      <c r="AM7381" s="2">
        <v>7378</v>
      </c>
      <c r="AN7381" s="33">
        <v>9.0884686367088616E-3</v>
      </c>
      <c r="AO7381" s="33">
        <v>7.3919265861336269E-4</v>
      </c>
    </row>
    <row r="7382" spans="39:41" x14ac:dyDescent="0.25">
      <c r="AM7382" s="2">
        <v>7379</v>
      </c>
      <c r="AN7382" s="33">
        <v>1.0059560388392588E-2</v>
      </c>
      <c r="AO7382" s="33">
        <v>6.745725918147474E-4</v>
      </c>
    </row>
    <row r="7383" spans="39:41" x14ac:dyDescent="0.25">
      <c r="AM7383" s="2">
        <v>7380</v>
      </c>
      <c r="AN7383" s="33">
        <v>1.2187441847724545E-2</v>
      </c>
      <c r="AO7383" s="33">
        <v>1.0206875376808043E-3</v>
      </c>
    </row>
    <row r="7384" spans="39:41" x14ac:dyDescent="0.25">
      <c r="AM7384" s="2">
        <v>7381</v>
      </c>
      <c r="AN7384" s="33">
        <v>1.0020678593846959E-2</v>
      </c>
      <c r="AO7384" s="33">
        <v>4.6342088101425697E-4</v>
      </c>
    </row>
    <row r="7385" spans="39:41" x14ac:dyDescent="0.25">
      <c r="AM7385" s="2">
        <v>7382</v>
      </c>
      <c r="AN7385" s="33">
        <v>7.7598190323955761E-3</v>
      </c>
      <c r="AO7385" s="33">
        <v>7.1169356003308491E-4</v>
      </c>
    </row>
    <row r="7386" spans="39:41" x14ac:dyDescent="0.25">
      <c r="AM7386" s="2">
        <v>7383</v>
      </c>
      <c r="AN7386" s="33">
        <v>1.2606191643553749E-2</v>
      </c>
      <c r="AO7386" s="33">
        <v>1.1337919173705629E-3</v>
      </c>
    </row>
    <row r="7387" spans="39:41" x14ac:dyDescent="0.25">
      <c r="AM7387" s="2">
        <v>7384</v>
      </c>
      <c r="AN7387" s="33">
        <v>1.0277077775857386E-2</v>
      </c>
      <c r="AO7387" s="33">
        <v>4.3399417117733586E-4</v>
      </c>
    </row>
    <row r="7388" spans="39:41" x14ac:dyDescent="0.25">
      <c r="AM7388" s="2">
        <v>7385</v>
      </c>
      <c r="AN7388" s="33">
        <v>8.1971164688605918E-3</v>
      </c>
      <c r="AO7388" s="33">
        <v>2.9698736188243615E-4</v>
      </c>
    </row>
    <row r="7389" spans="39:41" x14ac:dyDescent="0.25">
      <c r="AM7389" s="2">
        <v>7386</v>
      </c>
      <c r="AN7389" s="33">
        <v>8.1478272822306397E-3</v>
      </c>
      <c r="AO7389" s="33">
        <v>2.8674918987090691E-4</v>
      </c>
    </row>
    <row r="7390" spans="39:41" x14ac:dyDescent="0.25">
      <c r="AM7390" s="2">
        <v>7387</v>
      </c>
      <c r="AN7390" s="33">
        <v>1.0268482046495692E-2</v>
      </c>
      <c r="AO7390" s="33">
        <v>9.3459179257926895E-4</v>
      </c>
    </row>
    <row r="7391" spans="39:41" x14ac:dyDescent="0.25">
      <c r="AM7391" s="2">
        <v>7388</v>
      </c>
      <c r="AN7391" s="33">
        <v>1.6128472107192763E-2</v>
      </c>
      <c r="AO7391" s="33">
        <v>1.4228444239591524E-3</v>
      </c>
    </row>
    <row r="7392" spans="39:41" x14ac:dyDescent="0.25">
      <c r="AM7392" s="2">
        <v>7389</v>
      </c>
      <c r="AN7392" s="33">
        <v>8.5077228507801621E-3</v>
      </c>
      <c r="AO7392" s="33">
        <v>3.4415421266324574E-4</v>
      </c>
    </row>
    <row r="7393" spans="39:41" x14ac:dyDescent="0.25">
      <c r="AM7393" s="2">
        <v>7390</v>
      </c>
      <c r="AN7393" s="33">
        <v>1.3905265602766937E-2</v>
      </c>
      <c r="AO7393" s="33">
        <v>7.5030394999930667E-4</v>
      </c>
    </row>
    <row r="7394" spans="39:41" x14ac:dyDescent="0.25">
      <c r="AM7394" s="2">
        <v>7391</v>
      </c>
      <c r="AN7394" s="33">
        <v>9.9068382259891435E-3</v>
      </c>
      <c r="AO7394" s="33">
        <v>6.8033048401054663E-4</v>
      </c>
    </row>
    <row r="7395" spans="39:41" x14ac:dyDescent="0.25">
      <c r="AM7395" s="2">
        <v>7392</v>
      </c>
      <c r="AN7395" s="33">
        <v>8.1616975714321176E-3</v>
      </c>
      <c r="AO7395" s="33">
        <v>4.3279066568020416E-4</v>
      </c>
    </row>
    <row r="7396" spans="39:41" x14ac:dyDescent="0.25">
      <c r="AM7396" s="2">
        <v>7393</v>
      </c>
      <c r="AN7396" s="33">
        <v>1.0498314116135015E-2</v>
      </c>
      <c r="AO7396" s="33">
        <v>5.0722889040252849E-4</v>
      </c>
    </row>
    <row r="7397" spans="39:41" x14ac:dyDescent="0.25">
      <c r="AM7397" s="2">
        <v>7394</v>
      </c>
      <c r="AN7397" s="33">
        <v>1.1668171012821466E-2</v>
      </c>
      <c r="AO7397" s="33">
        <v>7.9723895402637702E-4</v>
      </c>
    </row>
    <row r="7398" spans="39:41" x14ac:dyDescent="0.25">
      <c r="AM7398" s="2">
        <v>7395</v>
      </c>
      <c r="AN7398" s="33">
        <v>1.3121102256905893E-2</v>
      </c>
      <c r="AO7398" s="33">
        <v>1.3089101475011356E-3</v>
      </c>
    </row>
    <row r="7399" spans="39:41" x14ac:dyDescent="0.25">
      <c r="AM7399" s="2">
        <v>7396</v>
      </c>
      <c r="AN7399" s="33">
        <v>1.139905847614351E-2</v>
      </c>
      <c r="AO7399" s="33">
        <v>6.7935505970722525E-4</v>
      </c>
    </row>
    <row r="7400" spans="39:41" x14ac:dyDescent="0.25">
      <c r="AM7400" s="2">
        <v>7397</v>
      </c>
      <c r="AN7400" s="33">
        <v>1.0111716652686727E-2</v>
      </c>
      <c r="AO7400" s="33">
        <v>5.1730885064553357E-4</v>
      </c>
    </row>
    <row r="7401" spans="39:41" x14ac:dyDescent="0.25">
      <c r="AM7401" s="2">
        <v>7398</v>
      </c>
      <c r="AN7401" s="33">
        <v>9.8165441665709965E-3</v>
      </c>
      <c r="AO7401" s="33">
        <v>3.3569164867347084E-4</v>
      </c>
    </row>
    <row r="7402" spans="39:41" x14ac:dyDescent="0.25">
      <c r="AM7402" s="2">
        <v>7399</v>
      </c>
      <c r="AN7402" s="33">
        <v>1.3120832147634681E-2</v>
      </c>
      <c r="AO7402" s="33">
        <v>9.5000410860878858E-4</v>
      </c>
    </row>
    <row r="7403" spans="39:41" x14ac:dyDescent="0.25">
      <c r="AM7403" s="2">
        <v>7400</v>
      </c>
      <c r="AN7403" s="33">
        <v>1.0231473120358391E-2</v>
      </c>
      <c r="AO7403" s="33">
        <v>5.8528620508614996E-4</v>
      </c>
    </row>
    <row r="7404" spans="39:41" x14ac:dyDescent="0.25">
      <c r="AM7404" s="2">
        <v>7401</v>
      </c>
      <c r="AN7404" s="33">
        <v>1.0903764448330218E-2</v>
      </c>
      <c r="AO7404" s="33">
        <v>5.0475568181417691E-4</v>
      </c>
    </row>
    <row r="7405" spans="39:41" x14ac:dyDescent="0.25">
      <c r="AM7405" s="2">
        <v>7402</v>
      </c>
      <c r="AN7405" s="33">
        <v>1.3001976910592551E-2</v>
      </c>
      <c r="AO7405" s="33">
        <v>1.145107722869312E-3</v>
      </c>
    </row>
    <row r="7406" spans="39:41" x14ac:dyDescent="0.25">
      <c r="AM7406" s="2">
        <v>7403</v>
      </c>
      <c r="AN7406" s="33">
        <v>8.3332180100495479E-3</v>
      </c>
      <c r="AO7406" s="33">
        <v>6.7961998858553755E-4</v>
      </c>
    </row>
    <row r="7407" spans="39:41" x14ac:dyDescent="0.25">
      <c r="AM7407" s="2">
        <v>7404</v>
      </c>
      <c r="AN7407" s="33">
        <v>9.7449062732618257E-3</v>
      </c>
      <c r="AO7407" s="33">
        <v>3.0707632892148162E-4</v>
      </c>
    </row>
    <row r="7408" spans="39:41" x14ac:dyDescent="0.25">
      <c r="AM7408" s="2">
        <v>7405</v>
      </c>
      <c r="AN7408" s="33">
        <v>1.2656100096269047E-2</v>
      </c>
      <c r="AO7408" s="33">
        <v>1.0328967322130772E-3</v>
      </c>
    </row>
    <row r="7409" spans="39:41" x14ac:dyDescent="0.25">
      <c r="AM7409" s="2">
        <v>7406</v>
      </c>
      <c r="AN7409" s="33">
        <v>1.3009977829615436E-2</v>
      </c>
      <c r="AO7409" s="33">
        <v>8.2645871426908547E-4</v>
      </c>
    </row>
    <row r="7410" spans="39:41" x14ac:dyDescent="0.25">
      <c r="AM7410" s="2">
        <v>7407</v>
      </c>
      <c r="AN7410" s="33">
        <v>1.1619353044836611E-2</v>
      </c>
      <c r="AO7410" s="33">
        <v>6.2699992925838784E-4</v>
      </c>
    </row>
    <row r="7411" spans="39:41" x14ac:dyDescent="0.25">
      <c r="AM7411" s="2">
        <v>7408</v>
      </c>
      <c r="AN7411" s="33">
        <v>1.2192212722903533E-2</v>
      </c>
      <c r="AO7411" s="33">
        <v>9.469333438121998E-4</v>
      </c>
    </row>
    <row r="7412" spans="39:41" x14ac:dyDescent="0.25">
      <c r="AM7412" s="2">
        <v>7409</v>
      </c>
      <c r="AN7412" s="33">
        <v>1.1895767441398961E-2</v>
      </c>
      <c r="AO7412" s="33">
        <v>1.0124385476031562E-3</v>
      </c>
    </row>
    <row r="7413" spans="39:41" x14ac:dyDescent="0.25">
      <c r="AM7413" s="2">
        <v>7410</v>
      </c>
      <c r="AN7413" s="33">
        <v>1.1608653846721452E-2</v>
      </c>
      <c r="AO7413" s="33">
        <v>1.0273529430848548E-3</v>
      </c>
    </row>
    <row r="7414" spans="39:41" x14ac:dyDescent="0.25">
      <c r="AM7414" s="2">
        <v>7411</v>
      </c>
      <c r="AN7414" s="33">
        <v>8.4261723022347034E-3</v>
      </c>
      <c r="AO7414" s="33">
        <v>5.6269617452997826E-4</v>
      </c>
    </row>
    <row r="7415" spans="39:41" x14ac:dyDescent="0.25">
      <c r="AM7415" s="2">
        <v>7412</v>
      </c>
      <c r="AN7415" s="33">
        <v>1.0911576215454242E-2</v>
      </c>
      <c r="AO7415" s="33">
        <v>5.6486088307755068E-4</v>
      </c>
    </row>
    <row r="7416" spans="39:41" x14ac:dyDescent="0.25">
      <c r="AM7416" s="2">
        <v>7413</v>
      </c>
      <c r="AN7416" s="33">
        <v>1.1244338755560487E-2</v>
      </c>
      <c r="AO7416" s="33">
        <v>9.4811807698388028E-4</v>
      </c>
    </row>
    <row r="7417" spans="39:41" x14ac:dyDescent="0.25">
      <c r="AM7417" s="2">
        <v>7414</v>
      </c>
      <c r="AN7417" s="33">
        <v>9.5931997054042924E-3</v>
      </c>
      <c r="AO7417" s="33">
        <v>4.3402830762074023E-4</v>
      </c>
    </row>
    <row r="7418" spans="39:41" x14ac:dyDescent="0.25">
      <c r="AM7418" s="2">
        <v>7415</v>
      </c>
      <c r="AN7418" s="33">
        <v>1.0408740572096937E-2</v>
      </c>
      <c r="AO7418" s="33">
        <v>8.0519331541252851E-4</v>
      </c>
    </row>
    <row r="7419" spans="39:41" x14ac:dyDescent="0.25">
      <c r="AM7419" s="2">
        <v>7416</v>
      </c>
      <c r="AN7419" s="33">
        <v>1.4783724878645049E-2</v>
      </c>
      <c r="AO7419" s="33">
        <v>1.4809393774914228E-3</v>
      </c>
    </row>
    <row r="7420" spans="39:41" x14ac:dyDescent="0.25">
      <c r="AM7420" s="2">
        <v>7417</v>
      </c>
      <c r="AN7420" s="33">
        <v>1.055720013920622E-2</v>
      </c>
      <c r="AO7420" s="33">
        <v>6.423166467563183E-4</v>
      </c>
    </row>
    <row r="7421" spans="39:41" x14ac:dyDescent="0.25">
      <c r="AM7421" s="2">
        <v>7418</v>
      </c>
      <c r="AN7421" s="33">
        <v>1.5168461913204413E-2</v>
      </c>
      <c r="AO7421" s="33">
        <v>1.2680725289559759E-3</v>
      </c>
    </row>
    <row r="7422" spans="39:41" x14ac:dyDescent="0.25">
      <c r="AM7422" s="2">
        <v>7419</v>
      </c>
      <c r="AN7422" s="33">
        <v>1.3323394087158142E-2</v>
      </c>
      <c r="AO7422" s="33">
        <v>9.9443451254035455E-4</v>
      </c>
    </row>
    <row r="7423" spans="39:41" x14ac:dyDescent="0.25">
      <c r="AM7423" s="2">
        <v>7420</v>
      </c>
      <c r="AN7423" s="33">
        <v>1.3461581104857394E-2</v>
      </c>
      <c r="AO7423" s="33">
        <v>1.2092234598290856E-3</v>
      </c>
    </row>
    <row r="7424" spans="39:41" x14ac:dyDescent="0.25">
      <c r="AM7424" s="2">
        <v>7421</v>
      </c>
      <c r="AN7424" s="33">
        <v>9.2448661350884708E-3</v>
      </c>
      <c r="AO7424" s="33">
        <v>6.5246547085876037E-4</v>
      </c>
    </row>
    <row r="7425" spans="39:41" x14ac:dyDescent="0.25">
      <c r="AM7425" s="2">
        <v>7422</v>
      </c>
      <c r="AN7425" s="33">
        <v>1.3365980021294107E-2</v>
      </c>
      <c r="AO7425" s="33">
        <v>1.189254953853372E-3</v>
      </c>
    </row>
    <row r="7426" spans="39:41" x14ac:dyDescent="0.25">
      <c r="AM7426" s="2">
        <v>7423</v>
      </c>
      <c r="AN7426" s="33">
        <v>1.2551640510717289E-2</v>
      </c>
      <c r="AO7426" s="33">
        <v>1.2146572981166569E-3</v>
      </c>
    </row>
    <row r="7427" spans="39:41" x14ac:dyDescent="0.25">
      <c r="AM7427" s="2">
        <v>7424</v>
      </c>
      <c r="AN7427" s="33">
        <v>1.241330350283746E-2</v>
      </c>
      <c r="AO7427" s="33">
        <v>6.3096610427221386E-4</v>
      </c>
    </row>
    <row r="7428" spans="39:41" x14ac:dyDescent="0.25">
      <c r="AM7428" s="2">
        <v>7425</v>
      </c>
      <c r="AN7428" s="33">
        <v>8.6863706004221986E-3</v>
      </c>
      <c r="AO7428" s="33">
        <v>4.141931211129333E-4</v>
      </c>
    </row>
    <row r="7429" spans="39:41" x14ac:dyDescent="0.25">
      <c r="AM7429" s="2">
        <v>7426</v>
      </c>
      <c r="AN7429" s="33">
        <v>1.1965897224614688E-2</v>
      </c>
      <c r="AO7429" s="33">
        <v>1.0170930331551622E-3</v>
      </c>
    </row>
    <row r="7430" spans="39:41" x14ac:dyDescent="0.25">
      <c r="AM7430" s="2">
        <v>7427</v>
      </c>
      <c r="AN7430" s="33">
        <v>9.765446804705355E-3</v>
      </c>
      <c r="AO7430" s="33">
        <v>7.8306809462503149E-4</v>
      </c>
    </row>
    <row r="7431" spans="39:41" x14ac:dyDescent="0.25">
      <c r="AM7431" s="2">
        <v>7428</v>
      </c>
      <c r="AN7431" s="33">
        <v>1.024295299437147E-2</v>
      </c>
      <c r="AO7431" s="33">
        <v>9.2270662449288993E-4</v>
      </c>
    </row>
    <row r="7432" spans="39:41" x14ac:dyDescent="0.25">
      <c r="AM7432" s="2">
        <v>7429</v>
      </c>
      <c r="AN7432" s="33">
        <v>1.5503003683477108E-2</v>
      </c>
      <c r="AO7432" s="33">
        <v>1.0442398561099284E-3</v>
      </c>
    </row>
    <row r="7433" spans="39:41" x14ac:dyDescent="0.25">
      <c r="AM7433" s="2">
        <v>7430</v>
      </c>
      <c r="AN7433" s="33">
        <v>1.3787939282193157E-2</v>
      </c>
      <c r="AO7433" s="33">
        <v>1.141052033178905E-3</v>
      </c>
    </row>
    <row r="7434" spans="39:41" x14ac:dyDescent="0.25">
      <c r="AM7434" s="2">
        <v>7431</v>
      </c>
      <c r="AN7434" s="33">
        <v>1.3961204703671567E-2</v>
      </c>
      <c r="AO7434" s="33">
        <v>1.1558497824542694E-3</v>
      </c>
    </row>
    <row r="7435" spans="39:41" x14ac:dyDescent="0.25">
      <c r="AM7435" s="2">
        <v>7432</v>
      </c>
      <c r="AN7435" s="33">
        <v>1.3055467061898652E-2</v>
      </c>
      <c r="AO7435" s="33">
        <v>1.3324269038127929E-3</v>
      </c>
    </row>
    <row r="7436" spans="39:41" x14ac:dyDescent="0.25">
      <c r="AM7436" s="2">
        <v>7433</v>
      </c>
      <c r="AN7436" s="33">
        <v>1.1744735900701958E-2</v>
      </c>
      <c r="AO7436" s="33">
        <v>1.033885645011449E-3</v>
      </c>
    </row>
    <row r="7437" spans="39:41" x14ac:dyDescent="0.25">
      <c r="AM7437" s="2">
        <v>7434</v>
      </c>
      <c r="AN7437" s="33">
        <v>8.0496350079350097E-3</v>
      </c>
      <c r="AO7437" s="33">
        <v>3.3294943160919074E-4</v>
      </c>
    </row>
    <row r="7438" spans="39:41" x14ac:dyDescent="0.25">
      <c r="AM7438" s="2">
        <v>7435</v>
      </c>
      <c r="AN7438" s="33">
        <v>1.1557955018086546E-2</v>
      </c>
      <c r="AO7438" s="33">
        <v>9.820236649014393E-4</v>
      </c>
    </row>
    <row r="7439" spans="39:41" x14ac:dyDescent="0.25">
      <c r="AM7439" s="2">
        <v>7436</v>
      </c>
      <c r="AN7439" s="33">
        <v>1.3112813642217124E-2</v>
      </c>
      <c r="AO7439" s="33">
        <v>9.4121339187853157E-4</v>
      </c>
    </row>
    <row r="7440" spans="39:41" x14ac:dyDescent="0.25">
      <c r="AM7440" s="2">
        <v>7437</v>
      </c>
      <c r="AN7440" s="33">
        <v>1.2686406736608532E-2</v>
      </c>
      <c r="AO7440" s="33">
        <v>1.0079935001985579E-3</v>
      </c>
    </row>
    <row r="7441" spans="39:41" x14ac:dyDescent="0.25">
      <c r="AM7441" s="2">
        <v>7438</v>
      </c>
      <c r="AN7441" s="33">
        <v>8.5525247019834234E-3</v>
      </c>
      <c r="AO7441" s="33">
        <v>5.3469103534389416E-4</v>
      </c>
    </row>
    <row r="7442" spans="39:41" x14ac:dyDescent="0.25">
      <c r="AM7442" s="2">
        <v>7439</v>
      </c>
      <c r="AN7442" s="33">
        <v>1.2668035748849197E-2</v>
      </c>
      <c r="AO7442" s="33">
        <v>1.1757463571182825E-3</v>
      </c>
    </row>
    <row r="7443" spans="39:41" x14ac:dyDescent="0.25">
      <c r="AM7443" s="2">
        <v>7440</v>
      </c>
      <c r="AN7443" s="33">
        <v>1.3350827182147081E-2</v>
      </c>
      <c r="AO7443" s="33">
        <v>1.352805811644887E-3</v>
      </c>
    </row>
    <row r="7444" spans="39:41" x14ac:dyDescent="0.25">
      <c r="AM7444" s="2">
        <v>7441</v>
      </c>
      <c r="AN7444" s="33">
        <v>1.0900719410387748E-2</v>
      </c>
      <c r="AO7444" s="33">
        <v>1.1426144585252767E-3</v>
      </c>
    </row>
    <row r="7445" spans="39:41" x14ac:dyDescent="0.25">
      <c r="AM7445" s="2">
        <v>7442</v>
      </c>
      <c r="AN7445" s="33">
        <v>8.6358884582731377E-3</v>
      </c>
      <c r="AO7445" s="33">
        <v>5.9795235750425418E-4</v>
      </c>
    </row>
    <row r="7446" spans="39:41" x14ac:dyDescent="0.25">
      <c r="AM7446" s="2">
        <v>7443</v>
      </c>
      <c r="AN7446" s="33">
        <v>1.1596538767219926E-2</v>
      </c>
      <c r="AO7446" s="33">
        <v>8.0275333232182719E-4</v>
      </c>
    </row>
    <row r="7447" spans="39:41" x14ac:dyDescent="0.25">
      <c r="AM7447" s="2">
        <v>7444</v>
      </c>
      <c r="AN7447" s="33">
        <v>9.1437007778294391E-3</v>
      </c>
      <c r="AO7447" s="33">
        <v>5.5404949954663836E-4</v>
      </c>
    </row>
    <row r="7448" spans="39:41" x14ac:dyDescent="0.25">
      <c r="AM7448" s="2">
        <v>7445</v>
      </c>
      <c r="AN7448" s="33">
        <v>1.1236549308962231E-2</v>
      </c>
      <c r="AO7448" s="33">
        <v>2.680771595906324E-4</v>
      </c>
    </row>
    <row r="7449" spans="39:41" x14ac:dyDescent="0.25">
      <c r="AM7449" s="2">
        <v>7446</v>
      </c>
      <c r="AN7449" s="33">
        <v>1.5194400688097527E-2</v>
      </c>
      <c r="AO7449" s="33">
        <v>1.1690511798626226E-3</v>
      </c>
    </row>
    <row r="7450" spans="39:41" x14ac:dyDescent="0.25">
      <c r="AM7450" s="2">
        <v>7447</v>
      </c>
      <c r="AN7450" s="33">
        <v>1.2445775593826673E-2</v>
      </c>
      <c r="AO7450" s="33">
        <v>1.1007184508894361E-3</v>
      </c>
    </row>
    <row r="7451" spans="39:41" x14ac:dyDescent="0.25">
      <c r="AM7451" s="2">
        <v>7448</v>
      </c>
      <c r="AN7451" s="33">
        <v>1.3067674440416992E-2</v>
      </c>
      <c r="AO7451" s="33">
        <v>1.1169236212875042E-3</v>
      </c>
    </row>
    <row r="7452" spans="39:41" x14ac:dyDescent="0.25">
      <c r="AM7452" s="2">
        <v>7449</v>
      </c>
      <c r="AN7452" s="33">
        <v>1.0258305998009767E-2</v>
      </c>
      <c r="AO7452" s="33">
        <v>6.6904608481671763E-4</v>
      </c>
    </row>
    <row r="7453" spans="39:41" x14ac:dyDescent="0.25">
      <c r="AM7453" s="2">
        <v>7450</v>
      </c>
      <c r="AN7453" s="33">
        <v>1.1928463047709007E-2</v>
      </c>
      <c r="AO7453" s="33">
        <v>1.0546822107492465E-3</v>
      </c>
    </row>
    <row r="7454" spans="39:41" x14ac:dyDescent="0.25">
      <c r="AM7454" s="2">
        <v>7451</v>
      </c>
      <c r="AN7454" s="33">
        <v>1.343128067099501E-2</v>
      </c>
      <c r="AO7454" s="33">
        <v>1.1998185183646854E-3</v>
      </c>
    </row>
    <row r="7455" spans="39:41" x14ac:dyDescent="0.25">
      <c r="AM7455" s="2">
        <v>7452</v>
      </c>
      <c r="AN7455" s="33">
        <v>1.4332887827010032E-2</v>
      </c>
      <c r="AO7455" s="33">
        <v>8.1590107155831803E-4</v>
      </c>
    </row>
    <row r="7456" spans="39:41" x14ac:dyDescent="0.25">
      <c r="AM7456" s="2">
        <v>7453</v>
      </c>
      <c r="AN7456" s="33">
        <v>1.019643468507159E-2</v>
      </c>
      <c r="AO7456" s="33">
        <v>4.9581881541147801E-4</v>
      </c>
    </row>
    <row r="7457" spans="39:41" x14ac:dyDescent="0.25">
      <c r="AM7457" s="2">
        <v>7454</v>
      </c>
      <c r="AN7457" s="33">
        <v>1.0759594793633981E-2</v>
      </c>
      <c r="AO7457" s="33">
        <v>8.4738198171568132E-4</v>
      </c>
    </row>
    <row r="7458" spans="39:41" x14ac:dyDescent="0.25">
      <c r="AM7458" s="2">
        <v>7455</v>
      </c>
      <c r="AN7458" s="33">
        <v>8.7793144357306875E-3</v>
      </c>
      <c r="AO7458" s="33">
        <v>6.0775014687412918E-4</v>
      </c>
    </row>
    <row r="7459" spans="39:41" x14ac:dyDescent="0.25">
      <c r="AM7459" s="2">
        <v>7456</v>
      </c>
      <c r="AN7459" s="33">
        <v>1.2117003529545511E-2</v>
      </c>
      <c r="AO7459" s="33">
        <v>8.5898708154100644E-4</v>
      </c>
    </row>
    <row r="7460" spans="39:41" x14ac:dyDescent="0.25">
      <c r="AM7460" s="2">
        <v>7457</v>
      </c>
      <c r="AN7460" s="33">
        <v>1.5402783800923693E-2</v>
      </c>
      <c r="AO7460" s="33">
        <v>1.3283718497216792E-3</v>
      </c>
    </row>
    <row r="7461" spans="39:41" x14ac:dyDescent="0.25">
      <c r="AM7461" s="2">
        <v>7458</v>
      </c>
      <c r="AN7461" s="33">
        <v>9.5990784451100517E-3</v>
      </c>
      <c r="AO7461" s="33">
        <v>8.9788159670276967E-4</v>
      </c>
    </row>
    <row r="7462" spans="39:41" x14ac:dyDescent="0.25">
      <c r="AM7462" s="2">
        <v>7459</v>
      </c>
      <c r="AN7462" s="33">
        <v>1.0018477889670216E-2</v>
      </c>
      <c r="AO7462" s="33">
        <v>4.9710718529915774E-4</v>
      </c>
    </row>
    <row r="7463" spans="39:41" x14ac:dyDescent="0.25">
      <c r="AM7463" s="2">
        <v>7460</v>
      </c>
      <c r="AN7463" s="33">
        <v>1.23417902969388E-2</v>
      </c>
      <c r="AO7463" s="33">
        <v>1.0872499214514661E-3</v>
      </c>
    </row>
    <row r="7464" spans="39:41" x14ac:dyDescent="0.25">
      <c r="AM7464" s="2">
        <v>7461</v>
      </c>
      <c r="AN7464" s="33">
        <v>9.3588099543829885E-3</v>
      </c>
      <c r="AO7464" s="33">
        <v>3.4728502521449073E-4</v>
      </c>
    </row>
    <row r="7465" spans="39:41" x14ac:dyDescent="0.25">
      <c r="AM7465" s="2">
        <v>7462</v>
      </c>
      <c r="AN7465" s="33">
        <v>8.1435006045660341E-3</v>
      </c>
      <c r="AO7465" s="33">
        <v>3.4321906684420901E-4</v>
      </c>
    </row>
    <row r="7466" spans="39:41" x14ac:dyDescent="0.25">
      <c r="AM7466" s="2">
        <v>7463</v>
      </c>
      <c r="AN7466" s="33">
        <v>1.0258586764180341E-2</v>
      </c>
      <c r="AO7466" s="33">
        <v>4.6815439702566254E-4</v>
      </c>
    </row>
    <row r="7467" spans="39:41" x14ac:dyDescent="0.25">
      <c r="AM7467" s="2">
        <v>7464</v>
      </c>
      <c r="AN7467" s="33">
        <v>1.096234252640222E-2</v>
      </c>
      <c r="AO7467" s="33">
        <v>9.5132465261312991E-4</v>
      </c>
    </row>
    <row r="7468" spans="39:41" x14ac:dyDescent="0.25">
      <c r="AM7468" s="2">
        <v>7465</v>
      </c>
      <c r="AN7468" s="33">
        <v>1.3507146906008547E-2</v>
      </c>
      <c r="AO7468" s="33">
        <v>1.0810069010335345E-3</v>
      </c>
    </row>
    <row r="7469" spans="39:41" x14ac:dyDescent="0.25">
      <c r="AM7469" s="2">
        <v>7466</v>
      </c>
      <c r="AN7469" s="33">
        <v>1.496577198513685E-2</v>
      </c>
      <c r="AO7469" s="33">
        <v>1.2212821171734894E-3</v>
      </c>
    </row>
    <row r="7470" spans="39:41" x14ac:dyDescent="0.25">
      <c r="AM7470" s="2">
        <v>7467</v>
      </c>
      <c r="AN7470" s="33">
        <v>9.1609311254440481E-3</v>
      </c>
      <c r="AO7470" s="33">
        <v>4.6589836883919494E-4</v>
      </c>
    </row>
    <row r="7471" spans="39:41" x14ac:dyDescent="0.25">
      <c r="AM7471" s="2">
        <v>7468</v>
      </c>
      <c r="AN7471" s="33">
        <v>1.0803985667475931E-2</v>
      </c>
      <c r="AO7471" s="33">
        <v>1.0854857574788788E-3</v>
      </c>
    </row>
    <row r="7472" spans="39:41" x14ac:dyDescent="0.25">
      <c r="AM7472" s="2">
        <v>7469</v>
      </c>
      <c r="AN7472" s="33">
        <v>8.424934414097817E-3</v>
      </c>
      <c r="AO7472" s="33">
        <v>5.0756297261332389E-4</v>
      </c>
    </row>
    <row r="7473" spans="39:41" x14ac:dyDescent="0.25">
      <c r="AM7473" s="2">
        <v>7470</v>
      </c>
      <c r="AN7473" s="33">
        <v>9.2609530247877263E-3</v>
      </c>
      <c r="AO7473" s="33">
        <v>5.60136154431664E-4</v>
      </c>
    </row>
    <row r="7474" spans="39:41" x14ac:dyDescent="0.25">
      <c r="AM7474" s="2">
        <v>7471</v>
      </c>
      <c r="AN7474" s="33">
        <v>8.8906031185198298E-3</v>
      </c>
      <c r="AO7474" s="33">
        <v>4.5209402367524883E-4</v>
      </c>
    </row>
    <row r="7475" spans="39:41" x14ac:dyDescent="0.25">
      <c r="AM7475" s="2">
        <v>7472</v>
      </c>
      <c r="AN7475" s="33">
        <v>1.1604181535328262E-2</v>
      </c>
      <c r="AO7475" s="33">
        <v>8.3406900074490251E-4</v>
      </c>
    </row>
    <row r="7476" spans="39:41" x14ac:dyDescent="0.25">
      <c r="AM7476" s="2">
        <v>7473</v>
      </c>
      <c r="AN7476" s="33">
        <v>1.6242152526899027E-2</v>
      </c>
      <c r="AO7476" s="33">
        <v>1.1979327649240491E-3</v>
      </c>
    </row>
    <row r="7477" spans="39:41" x14ac:dyDescent="0.25">
      <c r="AM7477" s="2">
        <v>7474</v>
      </c>
      <c r="AN7477" s="33">
        <v>1.2581743233505601E-2</v>
      </c>
      <c r="AO7477" s="33">
        <v>8.6148441151820637E-4</v>
      </c>
    </row>
    <row r="7478" spans="39:41" x14ac:dyDescent="0.25">
      <c r="AM7478" s="2">
        <v>7475</v>
      </c>
      <c r="AN7478" s="33">
        <v>1.4290046455445227E-2</v>
      </c>
      <c r="AO7478" s="33">
        <v>1.4905444720925249E-3</v>
      </c>
    </row>
    <row r="7479" spans="39:41" x14ac:dyDescent="0.25">
      <c r="AM7479" s="2">
        <v>7476</v>
      </c>
      <c r="AN7479" s="33">
        <v>1.2898334644268799E-2</v>
      </c>
      <c r="AO7479" s="33">
        <v>1.0199742067582911E-3</v>
      </c>
    </row>
    <row r="7480" spans="39:41" x14ac:dyDescent="0.25">
      <c r="AM7480" s="2">
        <v>7477</v>
      </c>
      <c r="AN7480" s="33">
        <v>1.1775536712005933E-2</v>
      </c>
      <c r="AO7480" s="33">
        <v>7.1875613480581265E-4</v>
      </c>
    </row>
    <row r="7481" spans="39:41" x14ac:dyDescent="0.25">
      <c r="AM7481" s="2">
        <v>7478</v>
      </c>
      <c r="AN7481" s="33">
        <v>1.3051667824175868E-2</v>
      </c>
      <c r="AO7481" s="33">
        <v>1.2701190283532385E-3</v>
      </c>
    </row>
    <row r="7482" spans="39:41" x14ac:dyDescent="0.25">
      <c r="AM7482" s="2">
        <v>7479</v>
      </c>
      <c r="AN7482" s="33">
        <v>1.0567518908104149E-2</v>
      </c>
      <c r="AO7482" s="33">
        <v>9.0810083740677447E-4</v>
      </c>
    </row>
    <row r="7483" spans="39:41" x14ac:dyDescent="0.25">
      <c r="AM7483" s="2">
        <v>7480</v>
      </c>
      <c r="AN7483" s="33">
        <v>1.3152027026946242E-2</v>
      </c>
      <c r="AO7483" s="33">
        <v>1.2051750975366152E-3</v>
      </c>
    </row>
    <row r="7484" spans="39:41" x14ac:dyDescent="0.25">
      <c r="AM7484" s="2">
        <v>7481</v>
      </c>
      <c r="AN7484" s="33">
        <v>1.3095949297624202E-2</v>
      </c>
      <c r="AO7484" s="33">
        <v>1.1705890925728854E-3</v>
      </c>
    </row>
    <row r="7485" spans="39:41" x14ac:dyDescent="0.25">
      <c r="AM7485" s="2">
        <v>7482</v>
      </c>
      <c r="AN7485" s="33">
        <v>1.0879121379697647E-2</v>
      </c>
      <c r="AO7485" s="33">
        <v>1.0042365463803226E-3</v>
      </c>
    </row>
    <row r="7486" spans="39:41" x14ac:dyDescent="0.25">
      <c r="AM7486" s="2">
        <v>7483</v>
      </c>
      <c r="AN7486" s="33">
        <v>1.2100391118799913E-2</v>
      </c>
      <c r="AO7486" s="33">
        <v>9.315884301988529E-4</v>
      </c>
    </row>
    <row r="7487" spans="39:41" x14ac:dyDescent="0.25">
      <c r="AM7487" s="2">
        <v>7484</v>
      </c>
      <c r="AN7487" s="33">
        <v>9.4229439935719379E-3</v>
      </c>
      <c r="AO7487" s="33">
        <v>6.6544666060315821E-4</v>
      </c>
    </row>
    <row r="7488" spans="39:41" x14ac:dyDescent="0.25">
      <c r="AM7488" s="2">
        <v>7485</v>
      </c>
      <c r="AN7488" s="33">
        <v>1.1874256711664928E-2</v>
      </c>
      <c r="AO7488" s="33">
        <v>9.4468478380877949E-4</v>
      </c>
    </row>
    <row r="7489" spans="39:41" x14ac:dyDescent="0.25">
      <c r="AM7489" s="2">
        <v>7486</v>
      </c>
      <c r="AN7489" s="33">
        <v>1.3747407899760965E-2</v>
      </c>
      <c r="AO7489" s="33">
        <v>1.3555454050361408E-3</v>
      </c>
    </row>
    <row r="7490" spans="39:41" x14ac:dyDescent="0.25">
      <c r="AM7490" s="2">
        <v>7487</v>
      </c>
      <c r="AN7490" s="33">
        <v>1.27649540024668E-2</v>
      </c>
      <c r="AO7490" s="33">
        <v>1.1545703037489884E-3</v>
      </c>
    </row>
    <row r="7491" spans="39:41" x14ac:dyDescent="0.25">
      <c r="AM7491" s="2">
        <v>7488</v>
      </c>
      <c r="AN7491" s="33">
        <v>1.1497024215681679E-2</v>
      </c>
      <c r="AO7491" s="33">
        <v>8.7936516897020979E-4</v>
      </c>
    </row>
    <row r="7492" spans="39:41" x14ac:dyDescent="0.25">
      <c r="AM7492" s="2">
        <v>7489</v>
      </c>
      <c r="AN7492" s="33">
        <v>1.2502383484621717E-2</v>
      </c>
      <c r="AO7492" s="33">
        <v>6.9723832946265061E-4</v>
      </c>
    </row>
    <row r="7493" spans="39:41" x14ac:dyDescent="0.25">
      <c r="AM7493" s="2">
        <v>7490</v>
      </c>
      <c r="AN7493" s="33">
        <v>1.2445516579967718E-2</v>
      </c>
      <c r="AO7493" s="33">
        <v>1.0707634371245223E-3</v>
      </c>
    </row>
    <row r="7494" spans="39:41" x14ac:dyDescent="0.25">
      <c r="AM7494" s="2">
        <v>7491</v>
      </c>
      <c r="AN7494" s="33">
        <v>8.7421772820253495E-3</v>
      </c>
      <c r="AO7494" s="33">
        <v>7.1651421039693503E-4</v>
      </c>
    </row>
    <row r="7495" spans="39:41" x14ac:dyDescent="0.25">
      <c r="AM7495" s="2">
        <v>7492</v>
      </c>
      <c r="AN7495" s="33">
        <v>1.1616956458114404E-2</v>
      </c>
      <c r="AO7495" s="33">
        <v>5.0030292951925898E-4</v>
      </c>
    </row>
    <row r="7496" spans="39:41" x14ac:dyDescent="0.25">
      <c r="AM7496" s="2">
        <v>7493</v>
      </c>
      <c r="AN7496" s="33">
        <v>1.1857475441947625E-2</v>
      </c>
      <c r="AO7496" s="33">
        <v>3.6623593347243809E-4</v>
      </c>
    </row>
    <row r="7497" spans="39:41" x14ac:dyDescent="0.25">
      <c r="AM7497" s="2">
        <v>7494</v>
      </c>
      <c r="AN7497" s="33">
        <v>1.4181686087412951E-2</v>
      </c>
      <c r="AO7497" s="33">
        <v>1.4361210273334103E-3</v>
      </c>
    </row>
    <row r="7498" spans="39:41" x14ac:dyDescent="0.25">
      <c r="AM7498" s="2">
        <v>7495</v>
      </c>
      <c r="AN7498" s="33">
        <v>1.0883646464156526E-2</v>
      </c>
      <c r="AO7498" s="33">
        <v>1.0760789625204139E-3</v>
      </c>
    </row>
    <row r="7499" spans="39:41" x14ac:dyDescent="0.25">
      <c r="AM7499" s="2">
        <v>7496</v>
      </c>
      <c r="AN7499" s="33">
        <v>1.0657850801992391E-2</v>
      </c>
      <c r="AO7499" s="33">
        <v>3.1237454307319072E-4</v>
      </c>
    </row>
    <row r="7500" spans="39:41" x14ac:dyDescent="0.25">
      <c r="AM7500" s="2">
        <v>7497</v>
      </c>
      <c r="AN7500" s="33">
        <v>1.4115069871708694E-2</v>
      </c>
      <c r="AO7500" s="33">
        <v>6.3049931272044011E-4</v>
      </c>
    </row>
    <row r="7501" spans="39:41" x14ac:dyDescent="0.25">
      <c r="AM7501" s="2">
        <v>7498</v>
      </c>
      <c r="AN7501" s="33">
        <v>1.1643986898475744E-2</v>
      </c>
      <c r="AO7501" s="33">
        <v>7.8008436525447186E-4</v>
      </c>
    </row>
    <row r="7502" spans="39:41" x14ac:dyDescent="0.25">
      <c r="AM7502" s="2">
        <v>7499</v>
      </c>
      <c r="AN7502" s="33">
        <v>9.3311046082713029E-3</v>
      </c>
      <c r="AO7502" s="33">
        <v>7.0361919936736675E-4</v>
      </c>
    </row>
    <row r="7503" spans="39:41" x14ac:dyDescent="0.25">
      <c r="AM7503" s="2">
        <v>7500</v>
      </c>
      <c r="AN7503" s="33">
        <v>1.1516894760273524E-2</v>
      </c>
      <c r="AO7503" s="33">
        <v>1.0663774924130104E-3</v>
      </c>
    </row>
    <row r="7504" spans="39:41" x14ac:dyDescent="0.25">
      <c r="AM7504" s="2">
        <v>7501</v>
      </c>
      <c r="AN7504" s="33">
        <v>9.3985280824179229E-3</v>
      </c>
      <c r="AO7504" s="33">
        <v>9.2883966531494896E-4</v>
      </c>
    </row>
    <row r="7505" spans="39:41" x14ac:dyDescent="0.25">
      <c r="AM7505" s="2">
        <v>7502</v>
      </c>
      <c r="AN7505" s="33">
        <v>1.5640992711429248E-2</v>
      </c>
      <c r="AO7505" s="33">
        <v>1.2276596365105698E-3</v>
      </c>
    </row>
    <row r="7506" spans="39:41" x14ac:dyDescent="0.25">
      <c r="AM7506" s="2">
        <v>7503</v>
      </c>
      <c r="AN7506" s="33">
        <v>1.2067895167726762E-2</v>
      </c>
      <c r="AO7506" s="33">
        <v>6.9443853768475102E-4</v>
      </c>
    </row>
    <row r="7507" spans="39:41" x14ac:dyDescent="0.25">
      <c r="AM7507" s="2">
        <v>7504</v>
      </c>
      <c r="AN7507" s="33">
        <v>1.0106174741410434E-2</v>
      </c>
      <c r="AO7507" s="33">
        <v>6.6039374717722927E-4</v>
      </c>
    </row>
    <row r="7508" spans="39:41" x14ac:dyDescent="0.25">
      <c r="AM7508" s="2">
        <v>7505</v>
      </c>
      <c r="AN7508" s="33">
        <v>7.8369877203113419E-3</v>
      </c>
      <c r="AO7508" s="33">
        <v>4.4417931192858063E-4</v>
      </c>
    </row>
    <row r="7509" spans="39:41" x14ac:dyDescent="0.25">
      <c r="AM7509" s="2">
        <v>7506</v>
      </c>
      <c r="AN7509" s="33">
        <v>1.1638463117840343E-2</v>
      </c>
      <c r="AO7509" s="33">
        <v>1.0093015667292109E-3</v>
      </c>
    </row>
    <row r="7510" spans="39:41" x14ac:dyDescent="0.25">
      <c r="AM7510" s="2">
        <v>7507</v>
      </c>
      <c r="AN7510" s="33">
        <v>1.2775817638844104E-2</v>
      </c>
      <c r="AO7510" s="33">
        <v>4.2472253332149568E-4</v>
      </c>
    </row>
    <row r="7511" spans="39:41" x14ac:dyDescent="0.25">
      <c r="AM7511" s="2">
        <v>7508</v>
      </c>
      <c r="AN7511" s="33">
        <v>7.8184103392057221E-3</v>
      </c>
      <c r="AO7511" s="33">
        <v>5.9480991101087976E-4</v>
      </c>
    </row>
    <row r="7512" spans="39:41" x14ac:dyDescent="0.25">
      <c r="AM7512" s="2">
        <v>7509</v>
      </c>
      <c r="AN7512" s="33">
        <v>9.7346317179682999E-3</v>
      </c>
      <c r="AO7512" s="33">
        <v>6.9694403231355354E-4</v>
      </c>
    </row>
    <row r="7513" spans="39:41" x14ac:dyDescent="0.25">
      <c r="AM7513" s="2">
        <v>7510</v>
      </c>
      <c r="AN7513" s="33">
        <v>1.3920767951514609E-2</v>
      </c>
      <c r="AO7513" s="33">
        <v>1.1226027480765737E-3</v>
      </c>
    </row>
    <row r="7514" spans="39:41" x14ac:dyDescent="0.25">
      <c r="AM7514" s="2">
        <v>7511</v>
      </c>
      <c r="AN7514" s="33">
        <v>1.2419897265126323E-2</v>
      </c>
      <c r="AO7514" s="33">
        <v>9.5931009959496813E-4</v>
      </c>
    </row>
    <row r="7515" spans="39:41" x14ac:dyDescent="0.25">
      <c r="AM7515" s="2">
        <v>7512</v>
      </c>
      <c r="AN7515" s="33">
        <v>1.2536050396036672E-2</v>
      </c>
      <c r="AO7515" s="33">
        <v>4.3780790921270915E-4</v>
      </c>
    </row>
    <row r="7516" spans="39:41" x14ac:dyDescent="0.25">
      <c r="AM7516" s="2">
        <v>7513</v>
      </c>
      <c r="AN7516" s="33">
        <v>1.3305961024549196E-2</v>
      </c>
      <c r="AO7516" s="33">
        <v>1.2758939823872464E-3</v>
      </c>
    </row>
    <row r="7517" spans="39:41" x14ac:dyDescent="0.25">
      <c r="AM7517" s="2">
        <v>7514</v>
      </c>
      <c r="AN7517" s="33">
        <v>1.2044381378781889E-2</v>
      </c>
      <c r="AO7517" s="33">
        <v>2.5960616694583705E-4</v>
      </c>
    </row>
    <row r="7518" spans="39:41" x14ac:dyDescent="0.25">
      <c r="AM7518" s="2">
        <v>7515</v>
      </c>
      <c r="AN7518" s="33">
        <v>1.4904122686634446E-2</v>
      </c>
      <c r="AO7518" s="33">
        <v>1.2754101052879041E-3</v>
      </c>
    </row>
    <row r="7519" spans="39:41" x14ac:dyDescent="0.25">
      <c r="AM7519" s="2">
        <v>7516</v>
      </c>
      <c r="AN7519" s="33">
        <v>9.7361422058838132E-3</v>
      </c>
      <c r="AO7519" s="33">
        <v>9.7979913212905634E-4</v>
      </c>
    </row>
    <row r="7520" spans="39:41" x14ac:dyDescent="0.25">
      <c r="AM7520" s="2">
        <v>7517</v>
      </c>
      <c r="AN7520" s="33">
        <v>1.267522798296488E-2</v>
      </c>
      <c r="AO7520" s="33">
        <v>9.1524689235108212E-4</v>
      </c>
    </row>
    <row r="7521" spans="39:41" x14ac:dyDescent="0.25">
      <c r="AM7521" s="2">
        <v>7518</v>
      </c>
      <c r="AN7521" s="33">
        <v>1.2050237247754982E-2</v>
      </c>
      <c r="AO7521" s="33">
        <v>1.0465923942252111E-3</v>
      </c>
    </row>
    <row r="7522" spans="39:41" x14ac:dyDescent="0.25">
      <c r="AM7522" s="2">
        <v>7519</v>
      </c>
      <c r="AN7522" s="33">
        <v>1.2202073992729271E-2</v>
      </c>
      <c r="AO7522" s="33">
        <v>9.9011954298041131E-4</v>
      </c>
    </row>
    <row r="7523" spans="39:41" x14ac:dyDescent="0.25">
      <c r="AM7523" s="2">
        <v>7520</v>
      </c>
      <c r="AN7523" s="33">
        <v>1.1871481258711607E-2</v>
      </c>
      <c r="AO7523" s="33">
        <v>9.1192149937911456E-4</v>
      </c>
    </row>
    <row r="7524" spans="39:41" x14ac:dyDescent="0.25">
      <c r="AM7524" s="2">
        <v>7521</v>
      </c>
      <c r="AN7524" s="33">
        <v>9.0422327055146301E-3</v>
      </c>
      <c r="AO7524" s="33">
        <v>5.1889650823840376E-4</v>
      </c>
    </row>
    <row r="7525" spans="39:41" x14ac:dyDescent="0.25">
      <c r="AM7525" s="2">
        <v>7522</v>
      </c>
      <c r="AN7525" s="33">
        <v>1.0705345753126528E-2</v>
      </c>
      <c r="AO7525" s="33">
        <v>4.4605102882750417E-4</v>
      </c>
    </row>
    <row r="7526" spans="39:41" x14ac:dyDescent="0.25">
      <c r="AM7526" s="2">
        <v>7523</v>
      </c>
      <c r="AN7526" s="33">
        <v>1.4664672769578686E-2</v>
      </c>
      <c r="AO7526" s="33">
        <v>1.0840096407356914E-3</v>
      </c>
    </row>
    <row r="7527" spans="39:41" x14ac:dyDescent="0.25">
      <c r="AM7527" s="2">
        <v>7524</v>
      </c>
      <c r="AN7527" s="33">
        <v>1.2468693806334214E-2</v>
      </c>
      <c r="AO7527" s="33">
        <v>9.5256191212096024E-4</v>
      </c>
    </row>
    <row r="7528" spans="39:41" x14ac:dyDescent="0.25">
      <c r="AM7528" s="2">
        <v>7525</v>
      </c>
      <c r="AN7528" s="33">
        <v>9.2168842105453449E-3</v>
      </c>
      <c r="AO7528" s="33">
        <v>2.0482012320056518E-4</v>
      </c>
    </row>
    <row r="7529" spans="39:41" x14ac:dyDescent="0.25">
      <c r="AM7529" s="2">
        <v>7526</v>
      </c>
      <c r="AN7529" s="33">
        <v>8.6801319288579131E-3</v>
      </c>
      <c r="AO7529" s="33">
        <v>1.4750637444301806E-4</v>
      </c>
    </row>
    <row r="7530" spans="39:41" x14ac:dyDescent="0.25">
      <c r="AM7530" s="2">
        <v>7527</v>
      </c>
      <c r="AN7530" s="33">
        <v>1.2143217056552419E-2</v>
      </c>
      <c r="AO7530" s="33">
        <v>7.4445568350351365E-4</v>
      </c>
    </row>
    <row r="7531" spans="39:41" x14ac:dyDescent="0.25">
      <c r="AM7531" s="2">
        <v>7528</v>
      </c>
      <c r="AN7531" s="33">
        <v>1.3818808722271866E-2</v>
      </c>
      <c r="AO7531" s="33">
        <v>1.0144577591091831E-3</v>
      </c>
    </row>
    <row r="7532" spans="39:41" x14ac:dyDescent="0.25">
      <c r="AM7532" s="2">
        <v>7529</v>
      </c>
      <c r="AN7532" s="33">
        <v>1.3111743398557012E-2</v>
      </c>
      <c r="AO7532" s="33">
        <v>6.3507482558690441E-4</v>
      </c>
    </row>
    <row r="7533" spans="39:41" x14ac:dyDescent="0.25">
      <c r="AM7533" s="2">
        <v>7530</v>
      </c>
      <c r="AN7533" s="33">
        <v>1.2052664258560533E-2</v>
      </c>
      <c r="AO7533" s="33">
        <v>7.8040064441798869E-4</v>
      </c>
    </row>
    <row r="7534" spans="39:41" x14ac:dyDescent="0.25">
      <c r="AM7534" s="2">
        <v>7531</v>
      </c>
      <c r="AN7534" s="33">
        <v>8.9605183575897085E-3</v>
      </c>
      <c r="AO7534" s="33">
        <v>3.9060844075689211E-4</v>
      </c>
    </row>
    <row r="7535" spans="39:41" x14ac:dyDescent="0.25">
      <c r="AM7535" s="2">
        <v>7532</v>
      </c>
      <c r="AN7535" s="33">
        <v>8.8684284489354021E-3</v>
      </c>
      <c r="AO7535" s="33">
        <v>4.9114107482916148E-4</v>
      </c>
    </row>
    <row r="7536" spans="39:41" x14ac:dyDescent="0.25">
      <c r="AM7536" s="2">
        <v>7533</v>
      </c>
      <c r="AN7536" s="33">
        <v>8.4528437829649705E-3</v>
      </c>
      <c r="AO7536" s="33">
        <v>3.7001098507160484E-4</v>
      </c>
    </row>
    <row r="7537" spans="39:41" x14ac:dyDescent="0.25">
      <c r="AM7537" s="2">
        <v>7534</v>
      </c>
      <c r="AN7537" s="33">
        <v>1.1046061634177687E-2</v>
      </c>
      <c r="AO7537" s="33">
        <v>7.143996142851515E-4</v>
      </c>
    </row>
    <row r="7538" spans="39:41" x14ac:dyDescent="0.25">
      <c r="AM7538" s="2">
        <v>7535</v>
      </c>
      <c r="AN7538" s="33">
        <v>1.2070865407633406E-2</v>
      </c>
      <c r="AO7538" s="33">
        <v>1.1564473702201981E-3</v>
      </c>
    </row>
    <row r="7539" spans="39:41" x14ac:dyDescent="0.25">
      <c r="AM7539" s="2">
        <v>7536</v>
      </c>
      <c r="AN7539" s="33">
        <v>1.2738012441099938E-2</v>
      </c>
      <c r="AO7539" s="33">
        <v>1.037031305685876E-3</v>
      </c>
    </row>
    <row r="7540" spans="39:41" x14ac:dyDescent="0.25">
      <c r="AM7540" s="2">
        <v>7537</v>
      </c>
      <c r="AN7540" s="33">
        <v>9.0620507022943549E-3</v>
      </c>
      <c r="AO7540" s="33">
        <v>6.278935837946472E-4</v>
      </c>
    </row>
    <row r="7541" spans="39:41" x14ac:dyDescent="0.25">
      <c r="AM7541" s="2">
        <v>7538</v>
      </c>
      <c r="AN7541" s="33">
        <v>1.0248768093661747E-2</v>
      </c>
      <c r="AO7541" s="33">
        <v>2.3765849838447726E-4</v>
      </c>
    </row>
    <row r="7542" spans="39:41" x14ac:dyDescent="0.25">
      <c r="AM7542" s="2">
        <v>7539</v>
      </c>
      <c r="AN7542" s="33">
        <v>1.0006357764580226E-2</v>
      </c>
      <c r="AO7542" s="33">
        <v>5.8401709951866343E-4</v>
      </c>
    </row>
    <row r="7543" spans="39:41" x14ac:dyDescent="0.25">
      <c r="AM7543" s="2">
        <v>7540</v>
      </c>
      <c r="AN7543" s="33">
        <v>1.3035824360469007E-2</v>
      </c>
      <c r="AO7543" s="33">
        <v>1.0796774640013584E-3</v>
      </c>
    </row>
    <row r="7544" spans="39:41" x14ac:dyDescent="0.25">
      <c r="AM7544" s="2">
        <v>7541</v>
      </c>
      <c r="AN7544" s="33">
        <v>1.6936353117773605E-2</v>
      </c>
      <c r="AO7544" s="33">
        <v>1.439256203720987E-3</v>
      </c>
    </row>
    <row r="7545" spans="39:41" x14ac:dyDescent="0.25">
      <c r="AM7545" s="2">
        <v>7542</v>
      </c>
      <c r="AN7545" s="33">
        <v>1.3429259184148265E-2</v>
      </c>
      <c r="AO7545" s="33">
        <v>1.1230017701701412E-3</v>
      </c>
    </row>
    <row r="7546" spans="39:41" x14ac:dyDescent="0.25">
      <c r="AM7546" s="2">
        <v>7543</v>
      </c>
      <c r="AN7546" s="33">
        <v>1.4582800922313304E-2</v>
      </c>
      <c r="AO7546" s="33">
        <v>9.3018433833347508E-4</v>
      </c>
    </row>
    <row r="7547" spans="39:41" x14ac:dyDescent="0.25">
      <c r="AM7547" s="2">
        <v>7544</v>
      </c>
      <c r="AN7547" s="33">
        <v>1.1291273264447515E-2</v>
      </c>
      <c r="AO7547" s="33">
        <v>3.565687368824802E-4</v>
      </c>
    </row>
    <row r="7548" spans="39:41" x14ac:dyDescent="0.25">
      <c r="AM7548" s="2">
        <v>7545</v>
      </c>
      <c r="AN7548" s="33">
        <v>1.5075608046605732E-2</v>
      </c>
      <c r="AO7548" s="33">
        <v>1.3353823371977352E-3</v>
      </c>
    </row>
    <row r="7549" spans="39:41" x14ac:dyDescent="0.25">
      <c r="AM7549" s="2">
        <v>7546</v>
      </c>
      <c r="AN7549" s="33">
        <v>1.1102376449345603E-2</v>
      </c>
      <c r="AO7549" s="33">
        <v>8.0159692885623803E-4</v>
      </c>
    </row>
    <row r="7550" spans="39:41" x14ac:dyDescent="0.25">
      <c r="AM7550" s="2">
        <v>7547</v>
      </c>
      <c r="AN7550" s="33">
        <v>9.7081834944534786E-3</v>
      </c>
      <c r="AO7550" s="33">
        <v>8.8310077170140953E-4</v>
      </c>
    </row>
    <row r="7551" spans="39:41" x14ac:dyDescent="0.25">
      <c r="AM7551" s="2">
        <v>7548</v>
      </c>
      <c r="AN7551" s="33">
        <v>1.2740869961354255E-2</v>
      </c>
      <c r="AO7551" s="33">
        <v>8.4886382928994893E-4</v>
      </c>
    </row>
    <row r="7552" spans="39:41" x14ac:dyDescent="0.25">
      <c r="AM7552" s="2">
        <v>7549</v>
      </c>
      <c r="AN7552" s="33">
        <v>1.177534013674816E-2</v>
      </c>
      <c r="AO7552" s="33">
        <v>7.7382939661506552E-4</v>
      </c>
    </row>
    <row r="7553" spans="39:41" x14ac:dyDescent="0.25">
      <c r="AM7553" s="2">
        <v>7550</v>
      </c>
      <c r="AN7553" s="33">
        <v>1.2056358738466296E-2</v>
      </c>
      <c r="AO7553" s="33">
        <v>8.5643315507217567E-4</v>
      </c>
    </row>
    <row r="7554" spans="39:41" x14ac:dyDescent="0.25">
      <c r="AM7554" s="2">
        <v>7551</v>
      </c>
      <c r="AN7554" s="33">
        <v>1.124933277872891E-2</v>
      </c>
      <c r="AO7554" s="33">
        <v>5.3443916930969392E-4</v>
      </c>
    </row>
    <row r="7555" spans="39:41" x14ac:dyDescent="0.25">
      <c r="AM7555" s="2">
        <v>7552</v>
      </c>
      <c r="AN7555" s="33">
        <v>1.6430617776928998E-2</v>
      </c>
      <c r="AO7555" s="33">
        <v>1.4861744804818755E-3</v>
      </c>
    </row>
    <row r="7556" spans="39:41" x14ac:dyDescent="0.25">
      <c r="AM7556" s="2">
        <v>7553</v>
      </c>
      <c r="AN7556" s="33">
        <v>1.1917173663003261E-2</v>
      </c>
      <c r="AO7556" s="33">
        <v>8.3887157994920524E-4</v>
      </c>
    </row>
    <row r="7557" spans="39:41" x14ac:dyDescent="0.25">
      <c r="AM7557" s="2">
        <v>7554</v>
      </c>
      <c r="AN7557" s="33">
        <v>1.0126842003497614E-2</v>
      </c>
      <c r="AO7557" s="33">
        <v>8.303043280666341E-4</v>
      </c>
    </row>
    <row r="7558" spans="39:41" x14ac:dyDescent="0.25">
      <c r="AM7558" s="2">
        <v>7555</v>
      </c>
      <c r="AN7558" s="33">
        <v>1.3045987700520709E-2</v>
      </c>
      <c r="AO7558" s="33">
        <v>1.0636239319866828E-3</v>
      </c>
    </row>
    <row r="7559" spans="39:41" x14ac:dyDescent="0.25">
      <c r="AM7559" s="2">
        <v>7556</v>
      </c>
      <c r="AN7559" s="33">
        <v>1.270922721040214E-2</v>
      </c>
      <c r="AO7559" s="33">
        <v>-5.8254119829558807E-6</v>
      </c>
    </row>
    <row r="7560" spans="39:41" x14ac:dyDescent="0.25">
      <c r="AM7560" s="2">
        <v>7557</v>
      </c>
      <c r="AN7560" s="33">
        <v>1.3011778976099347E-2</v>
      </c>
      <c r="AO7560" s="33">
        <v>9.1949746076067909E-4</v>
      </c>
    </row>
    <row r="7561" spans="39:41" x14ac:dyDescent="0.25">
      <c r="AM7561" s="2">
        <v>7558</v>
      </c>
      <c r="AN7561" s="33">
        <v>8.4071689804166953E-3</v>
      </c>
      <c r="AO7561" s="33">
        <v>7.2511012277129134E-4</v>
      </c>
    </row>
    <row r="7562" spans="39:41" x14ac:dyDescent="0.25">
      <c r="AM7562" s="2">
        <v>7559</v>
      </c>
      <c r="AN7562" s="33">
        <v>1.3659318301886866E-2</v>
      </c>
      <c r="AO7562" s="33">
        <v>9.9355772280281516E-4</v>
      </c>
    </row>
    <row r="7563" spans="39:41" x14ac:dyDescent="0.25">
      <c r="AM7563" s="2">
        <v>7560</v>
      </c>
      <c r="AN7563" s="33">
        <v>1.197156960869228E-2</v>
      </c>
      <c r="AO7563" s="33">
        <v>5.6836118331546651E-4</v>
      </c>
    </row>
    <row r="7564" spans="39:41" x14ac:dyDescent="0.25">
      <c r="AM7564" s="2">
        <v>7561</v>
      </c>
      <c r="AN7564" s="33">
        <v>7.9370014271323217E-3</v>
      </c>
      <c r="AO7564" s="33">
        <v>4.2423009078148568E-4</v>
      </c>
    </row>
    <row r="7565" spans="39:41" x14ac:dyDescent="0.25">
      <c r="AM7565" s="2">
        <v>7562</v>
      </c>
      <c r="AN7565" s="33">
        <v>9.7837917295544325E-3</v>
      </c>
      <c r="AO7565" s="33">
        <v>3.8120489373733046E-4</v>
      </c>
    </row>
    <row r="7566" spans="39:41" x14ac:dyDescent="0.25">
      <c r="AM7566" s="2">
        <v>7563</v>
      </c>
      <c r="AN7566" s="33">
        <v>1.1406685212982933E-2</v>
      </c>
      <c r="AO7566" s="33">
        <v>9.8510131202185903E-4</v>
      </c>
    </row>
    <row r="7567" spans="39:41" x14ac:dyDescent="0.25">
      <c r="AM7567" s="2">
        <v>7564</v>
      </c>
      <c r="AN7567" s="33">
        <v>1.6661341884567464E-2</v>
      </c>
      <c r="AO7567" s="33">
        <v>1.4328937133316461E-3</v>
      </c>
    </row>
    <row r="7568" spans="39:41" x14ac:dyDescent="0.25">
      <c r="AM7568" s="2">
        <v>7565</v>
      </c>
      <c r="AN7568" s="33">
        <v>1.2489466934906969E-2</v>
      </c>
      <c r="AO7568" s="33">
        <v>9.8454720286495932E-4</v>
      </c>
    </row>
    <row r="7569" spans="39:41" x14ac:dyDescent="0.25">
      <c r="AM7569" s="2">
        <v>7566</v>
      </c>
      <c r="AN7569" s="33">
        <v>9.5531048723922034E-3</v>
      </c>
      <c r="AO7569" s="33">
        <v>7.7468207071239217E-4</v>
      </c>
    </row>
    <row r="7570" spans="39:41" x14ac:dyDescent="0.25">
      <c r="AM7570" s="2">
        <v>7567</v>
      </c>
      <c r="AN7570" s="33">
        <v>1.3113011536533648E-2</v>
      </c>
      <c r="AO7570" s="33">
        <v>6.1669140176114187E-4</v>
      </c>
    </row>
    <row r="7571" spans="39:41" x14ac:dyDescent="0.25">
      <c r="AM7571" s="2">
        <v>7568</v>
      </c>
      <c r="AN7571" s="33">
        <v>1.2495703192033311E-2</v>
      </c>
      <c r="AO7571" s="33">
        <v>9.060095851609344E-4</v>
      </c>
    </row>
    <row r="7572" spans="39:41" x14ac:dyDescent="0.25">
      <c r="AM7572" s="2">
        <v>7569</v>
      </c>
      <c r="AN7572" s="33">
        <v>1.1862488175641173E-2</v>
      </c>
      <c r="AO7572" s="33">
        <v>8.5830054730024136E-4</v>
      </c>
    </row>
    <row r="7573" spans="39:41" x14ac:dyDescent="0.25">
      <c r="AM7573" s="2">
        <v>7570</v>
      </c>
      <c r="AN7573" s="33">
        <v>1.1593287938602844E-2</v>
      </c>
      <c r="AO7573" s="33">
        <v>1.1487806752711349E-3</v>
      </c>
    </row>
    <row r="7574" spans="39:41" x14ac:dyDescent="0.25">
      <c r="AM7574" s="2">
        <v>7571</v>
      </c>
      <c r="AN7574" s="33">
        <v>1.2028893239070125E-2</v>
      </c>
      <c r="AO7574" s="33">
        <v>4.7658835993967519E-4</v>
      </c>
    </row>
    <row r="7575" spans="39:41" x14ac:dyDescent="0.25">
      <c r="AM7575" s="2">
        <v>7572</v>
      </c>
      <c r="AN7575" s="33">
        <v>9.1677999036805131E-3</v>
      </c>
      <c r="AO7575" s="33">
        <v>7.796098287891107E-4</v>
      </c>
    </row>
    <row r="7576" spans="39:41" x14ac:dyDescent="0.25">
      <c r="AM7576" s="2">
        <v>7573</v>
      </c>
      <c r="AN7576" s="33">
        <v>1.1628969941925638E-2</v>
      </c>
      <c r="AO7576" s="33">
        <v>5.9677563461774802E-4</v>
      </c>
    </row>
    <row r="7577" spans="39:41" x14ac:dyDescent="0.25">
      <c r="AM7577" s="2">
        <v>7574</v>
      </c>
      <c r="AN7577" s="33">
        <v>1.1791965210439785E-2</v>
      </c>
      <c r="AO7577" s="33">
        <v>1.0947812328244678E-3</v>
      </c>
    </row>
    <row r="7578" spans="39:41" x14ac:dyDescent="0.25">
      <c r="AM7578" s="2">
        <v>7575</v>
      </c>
      <c r="AN7578" s="33">
        <v>1.1395728301117064E-2</v>
      </c>
      <c r="AO7578" s="33">
        <v>7.3562548041653701E-4</v>
      </c>
    </row>
    <row r="7579" spans="39:41" x14ac:dyDescent="0.25">
      <c r="AM7579" s="2">
        <v>7576</v>
      </c>
      <c r="AN7579" s="33">
        <v>1.6512739000492133E-2</v>
      </c>
      <c r="AO7579" s="33">
        <v>1.3497401388089636E-3</v>
      </c>
    </row>
    <row r="7580" spans="39:41" x14ac:dyDescent="0.25">
      <c r="AM7580" s="2">
        <v>7577</v>
      </c>
      <c r="AN7580" s="33">
        <v>1.3141284912543506E-2</v>
      </c>
      <c r="AO7580" s="33">
        <v>9.4954466220853961E-4</v>
      </c>
    </row>
    <row r="7581" spans="39:41" x14ac:dyDescent="0.25">
      <c r="AM7581" s="2">
        <v>7578</v>
      </c>
      <c r="AN7581" s="33">
        <v>1.336997975855617E-2</v>
      </c>
      <c r="AO7581" s="33">
        <v>1.2624943748266654E-3</v>
      </c>
    </row>
    <row r="7582" spans="39:41" x14ac:dyDescent="0.25">
      <c r="AM7582" s="2">
        <v>7579</v>
      </c>
      <c r="AN7582" s="33">
        <v>1.0098752911822773E-2</v>
      </c>
      <c r="AO7582" s="33">
        <v>5.873933793647168E-4</v>
      </c>
    </row>
    <row r="7583" spans="39:41" x14ac:dyDescent="0.25">
      <c r="AM7583" s="2">
        <v>7580</v>
      </c>
      <c r="AN7583" s="33">
        <v>8.7341346023352522E-3</v>
      </c>
      <c r="AO7583" s="33">
        <v>4.9392604336144269E-4</v>
      </c>
    </row>
    <row r="7584" spans="39:41" x14ac:dyDescent="0.25">
      <c r="AM7584" s="2">
        <v>7581</v>
      </c>
      <c r="AN7584" s="33">
        <v>1.4821801664600067E-2</v>
      </c>
      <c r="AO7584" s="33">
        <v>1.1263212882762622E-3</v>
      </c>
    </row>
    <row r="7585" spans="39:41" x14ac:dyDescent="0.25">
      <c r="AM7585" s="2">
        <v>7582</v>
      </c>
      <c r="AN7585" s="33">
        <v>9.6830830709581771E-3</v>
      </c>
      <c r="AO7585" s="33">
        <v>5.2483339506727929E-4</v>
      </c>
    </row>
    <row r="7586" spans="39:41" x14ac:dyDescent="0.25">
      <c r="AM7586" s="2">
        <v>7583</v>
      </c>
      <c r="AN7586" s="33">
        <v>1.145325396641648E-2</v>
      </c>
      <c r="AO7586" s="33">
        <v>7.8815676471216927E-4</v>
      </c>
    </row>
    <row r="7587" spans="39:41" x14ac:dyDescent="0.25">
      <c r="AM7587" s="2">
        <v>7584</v>
      </c>
      <c r="AN7587" s="33">
        <v>1.1682260591661831E-2</v>
      </c>
      <c r="AO7587" s="33">
        <v>6.7310687470951069E-4</v>
      </c>
    </row>
    <row r="7588" spans="39:41" x14ac:dyDescent="0.25">
      <c r="AM7588" s="2">
        <v>7585</v>
      </c>
      <c r="AN7588" s="33">
        <v>1.1635940651720789E-2</v>
      </c>
      <c r="AO7588" s="33">
        <v>2.5990309270356436E-4</v>
      </c>
    </row>
    <row r="7589" spans="39:41" x14ac:dyDescent="0.25">
      <c r="AM7589" s="2">
        <v>7586</v>
      </c>
      <c r="AN7589" s="33">
        <v>1.0995010980778295E-2</v>
      </c>
      <c r="AO7589" s="33">
        <v>7.5375744413044181E-4</v>
      </c>
    </row>
    <row r="7590" spans="39:41" x14ac:dyDescent="0.25">
      <c r="AM7590" s="2">
        <v>7587</v>
      </c>
      <c r="AN7590" s="33">
        <v>1.6116576136519355E-2</v>
      </c>
      <c r="AO7590" s="33">
        <v>1.5323520080615023E-3</v>
      </c>
    </row>
    <row r="7591" spans="39:41" x14ac:dyDescent="0.25">
      <c r="AM7591" s="2">
        <v>7588</v>
      </c>
      <c r="AN7591" s="33">
        <v>1.3088856384857833E-2</v>
      </c>
      <c r="AO7591" s="33">
        <v>1.0775517987188497E-3</v>
      </c>
    </row>
    <row r="7592" spans="39:41" x14ac:dyDescent="0.25">
      <c r="AM7592" s="2">
        <v>7589</v>
      </c>
      <c r="AN7592" s="33">
        <v>1.0113140328670351E-2</v>
      </c>
      <c r="AO7592" s="33">
        <v>6.4786876620351222E-4</v>
      </c>
    </row>
    <row r="7593" spans="39:41" x14ac:dyDescent="0.25">
      <c r="AM7593" s="2">
        <v>7590</v>
      </c>
      <c r="AN7593" s="33">
        <v>1.5329860356611689E-2</v>
      </c>
      <c r="AO7593" s="33">
        <v>1.5771375298756002E-3</v>
      </c>
    </row>
    <row r="7594" spans="39:41" x14ac:dyDescent="0.25">
      <c r="AM7594" s="2">
        <v>7591</v>
      </c>
      <c r="AN7594" s="33">
        <v>1.3528973357411041E-2</v>
      </c>
      <c r="AO7594" s="33">
        <v>1.2901227753719924E-3</v>
      </c>
    </row>
    <row r="7595" spans="39:41" x14ac:dyDescent="0.25">
      <c r="AM7595" s="2">
        <v>7592</v>
      </c>
      <c r="AN7595" s="33">
        <v>9.2105748041281417E-3</v>
      </c>
      <c r="AO7595" s="33">
        <v>3.4010528829404738E-4</v>
      </c>
    </row>
    <row r="7596" spans="39:41" x14ac:dyDescent="0.25">
      <c r="AM7596" s="2">
        <v>7593</v>
      </c>
      <c r="AN7596" s="33">
        <v>1.0579138926408284E-2</v>
      </c>
      <c r="AO7596" s="33">
        <v>8.8741022367852345E-4</v>
      </c>
    </row>
    <row r="7597" spans="39:41" x14ac:dyDescent="0.25">
      <c r="AM7597" s="2">
        <v>7594</v>
      </c>
      <c r="AN7597" s="33">
        <v>1.4536892601753053E-2</v>
      </c>
      <c r="AO7597" s="33">
        <v>1.2894553374128365E-3</v>
      </c>
    </row>
    <row r="7598" spans="39:41" x14ac:dyDescent="0.25">
      <c r="AM7598" s="2">
        <v>7595</v>
      </c>
      <c r="AN7598" s="33">
        <v>1.5687077947029393E-2</v>
      </c>
      <c r="AO7598" s="33">
        <v>1.3183788965570732E-3</v>
      </c>
    </row>
    <row r="7599" spans="39:41" x14ac:dyDescent="0.25">
      <c r="AM7599" s="2">
        <v>7596</v>
      </c>
      <c r="AN7599" s="33">
        <v>1.1781627455832805E-2</v>
      </c>
      <c r="AO7599" s="33">
        <v>1.1642656686269531E-3</v>
      </c>
    </row>
    <row r="7600" spans="39:41" x14ac:dyDescent="0.25">
      <c r="AM7600" s="2">
        <v>7597</v>
      </c>
      <c r="AN7600" s="33">
        <v>9.9907624076288216E-3</v>
      </c>
      <c r="AO7600" s="33">
        <v>5.3237041493201171E-4</v>
      </c>
    </row>
    <row r="7601" spans="39:41" x14ac:dyDescent="0.25">
      <c r="AM7601" s="2">
        <v>7598</v>
      </c>
      <c r="AN7601" s="33">
        <v>9.7207348184704875E-3</v>
      </c>
      <c r="AO7601" s="33">
        <v>6.4220934686255932E-4</v>
      </c>
    </row>
    <row r="7602" spans="39:41" x14ac:dyDescent="0.25">
      <c r="AM7602" s="2">
        <v>7599</v>
      </c>
      <c r="AN7602" s="33">
        <v>1.1649224788069235E-2</v>
      </c>
      <c r="AO7602" s="33">
        <v>7.1109222084929662E-4</v>
      </c>
    </row>
    <row r="7603" spans="39:41" x14ac:dyDescent="0.25">
      <c r="AM7603" s="2">
        <v>7600</v>
      </c>
      <c r="AN7603" s="33">
        <v>1.550995225599263E-2</v>
      </c>
      <c r="AO7603" s="33">
        <v>1.6167484339878282E-3</v>
      </c>
    </row>
    <row r="7604" spans="39:41" x14ac:dyDescent="0.25">
      <c r="AM7604" s="2">
        <v>7601</v>
      </c>
      <c r="AN7604" s="33">
        <v>9.8550477549197869E-3</v>
      </c>
      <c r="AO7604" s="33">
        <v>8.8297093927346918E-4</v>
      </c>
    </row>
    <row r="7605" spans="39:41" x14ac:dyDescent="0.25">
      <c r="AM7605" s="2">
        <v>7602</v>
      </c>
      <c r="AN7605" s="33">
        <v>1.0061529434236821E-2</v>
      </c>
      <c r="AO7605" s="33">
        <v>8.9892528948437936E-4</v>
      </c>
    </row>
    <row r="7606" spans="39:41" x14ac:dyDescent="0.25">
      <c r="AM7606" s="2">
        <v>7603</v>
      </c>
      <c r="AN7606" s="33">
        <v>1.0044722036629861E-2</v>
      </c>
      <c r="AO7606" s="33">
        <v>7.1154295725170587E-4</v>
      </c>
    </row>
    <row r="7607" spans="39:41" x14ac:dyDescent="0.25">
      <c r="AM7607" s="2">
        <v>7604</v>
      </c>
      <c r="AN7607" s="33">
        <v>1.3153716774785105E-2</v>
      </c>
      <c r="AO7607" s="33">
        <v>1.1486168042619937E-3</v>
      </c>
    </row>
    <row r="7608" spans="39:41" x14ac:dyDescent="0.25">
      <c r="AM7608" s="2">
        <v>7605</v>
      </c>
      <c r="AN7608" s="33">
        <v>1.2418644427936989E-2</v>
      </c>
      <c r="AO7608" s="33">
        <v>7.9561756626801965E-4</v>
      </c>
    </row>
    <row r="7609" spans="39:41" x14ac:dyDescent="0.25">
      <c r="AM7609" s="2">
        <v>7606</v>
      </c>
      <c r="AN7609" s="33">
        <v>8.9353847416835195E-3</v>
      </c>
      <c r="AO7609" s="33">
        <v>8.7548160451030022E-4</v>
      </c>
    </row>
    <row r="7610" spans="39:41" x14ac:dyDescent="0.25">
      <c r="AM7610" s="2">
        <v>7607</v>
      </c>
      <c r="AN7610" s="33">
        <v>1.0618981446482939E-2</v>
      </c>
      <c r="AO7610" s="33">
        <v>7.5845279745630375E-4</v>
      </c>
    </row>
    <row r="7611" spans="39:41" x14ac:dyDescent="0.25">
      <c r="AM7611" s="2">
        <v>7608</v>
      </c>
      <c r="AN7611" s="33">
        <v>1.2266214080448907E-2</v>
      </c>
      <c r="AO7611" s="33">
        <v>1.0604469408143772E-3</v>
      </c>
    </row>
    <row r="7612" spans="39:41" x14ac:dyDescent="0.25">
      <c r="AM7612" s="2">
        <v>7609</v>
      </c>
      <c r="AN7612" s="33">
        <v>1.4521580572822268E-2</v>
      </c>
      <c r="AO7612" s="33">
        <v>1.3085727650668354E-3</v>
      </c>
    </row>
    <row r="7613" spans="39:41" x14ac:dyDescent="0.25">
      <c r="AM7613" s="2">
        <v>7610</v>
      </c>
      <c r="AN7613" s="33">
        <v>8.2563192666703419E-3</v>
      </c>
      <c r="AO7613" s="33">
        <v>5.3075661367428127E-4</v>
      </c>
    </row>
    <row r="7614" spans="39:41" x14ac:dyDescent="0.25">
      <c r="AM7614" s="2">
        <v>7611</v>
      </c>
      <c r="AN7614" s="33">
        <v>1.1539186023463467E-2</v>
      </c>
      <c r="AO7614" s="33">
        <v>5.5414625523910008E-4</v>
      </c>
    </row>
    <row r="7615" spans="39:41" x14ac:dyDescent="0.25">
      <c r="AM7615" s="2">
        <v>7612</v>
      </c>
      <c r="AN7615" s="33">
        <v>9.3305044235017752E-3</v>
      </c>
      <c r="AO7615" s="33">
        <v>3.1915088787287085E-4</v>
      </c>
    </row>
    <row r="7616" spans="39:41" x14ac:dyDescent="0.25">
      <c r="AM7616" s="2">
        <v>7613</v>
      </c>
      <c r="AN7616" s="33">
        <v>9.7324341688037833E-3</v>
      </c>
      <c r="AO7616" s="33">
        <v>8.2912411903147455E-4</v>
      </c>
    </row>
    <row r="7617" spans="39:41" x14ac:dyDescent="0.25">
      <c r="AM7617" s="2">
        <v>7614</v>
      </c>
      <c r="AN7617" s="33">
        <v>1.1249670607329213E-2</v>
      </c>
      <c r="AO7617" s="33">
        <v>1.0554671741283259E-3</v>
      </c>
    </row>
    <row r="7618" spans="39:41" x14ac:dyDescent="0.25">
      <c r="AM7618" s="2">
        <v>7615</v>
      </c>
      <c r="AN7618" s="33">
        <v>8.247978457506841E-3</v>
      </c>
      <c r="AO7618" s="33">
        <v>3.7896106538584087E-4</v>
      </c>
    </row>
    <row r="7619" spans="39:41" x14ac:dyDescent="0.25">
      <c r="AM7619" s="2">
        <v>7616</v>
      </c>
      <c r="AN7619" s="33">
        <v>8.79296636636402E-3</v>
      </c>
      <c r="AO7619" s="33">
        <v>6.8718775652287908E-4</v>
      </c>
    </row>
    <row r="7620" spans="39:41" x14ac:dyDescent="0.25">
      <c r="AM7620" s="2">
        <v>7617</v>
      </c>
      <c r="AN7620" s="33">
        <v>1.6056789056247165E-2</v>
      </c>
      <c r="AO7620" s="33">
        <v>1.5790284604882301E-3</v>
      </c>
    </row>
    <row r="7621" spans="39:41" x14ac:dyDescent="0.25">
      <c r="AM7621" s="2">
        <v>7618</v>
      </c>
      <c r="AN7621" s="33">
        <v>7.504469175386351E-3</v>
      </c>
      <c r="AO7621" s="33">
        <v>4.6580113932042608E-4</v>
      </c>
    </row>
    <row r="7622" spans="39:41" x14ac:dyDescent="0.25">
      <c r="AM7622" s="2">
        <v>7619</v>
      </c>
      <c r="AN7622" s="33">
        <v>1.2090610665357153E-2</v>
      </c>
      <c r="AO7622" s="33">
        <v>1.1386262979285072E-3</v>
      </c>
    </row>
    <row r="7623" spans="39:41" x14ac:dyDescent="0.25">
      <c r="AM7623" s="2">
        <v>7620</v>
      </c>
      <c r="AN7623" s="33">
        <v>1.1380473898838133E-2</v>
      </c>
      <c r="AO7623" s="33">
        <v>9.0247929845985674E-4</v>
      </c>
    </row>
    <row r="7624" spans="39:41" x14ac:dyDescent="0.25">
      <c r="AM7624" s="2">
        <v>7621</v>
      </c>
      <c r="AN7624" s="33">
        <v>1.2570444584807598E-2</v>
      </c>
      <c r="AO7624" s="33">
        <v>1.1919921710707806E-3</v>
      </c>
    </row>
    <row r="7625" spans="39:41" x14ac:dyDescent="0.25">
      <c r="AM7625" s="2">
        <v>7622</v>
      </c>
      <c r="AN7625" s="33">
        <v>1.1217996536114348E-2</v>
      </c>
      <c r="AO7625" s="33">
        <v>6.6590247607204573E-4</v>
      </c>
    </row>
    <row r="7626" spans="39:41" x14ac:dyDescent="0.25">
      <c r="AM7626" s="2">
        <v>7623</v>
      </c>
      <c r="AN7626" s="33">
        <v>1.2397959802529964E-2</v>
      </c>
      <c r="AO7626" s="33">
        <v>1.1470142593077621E-3</v>
      </c>
    </row>
    <row r="7627" spans="39:41" x14ac:dyDescent="0.25">
      <c r="AM7627" s="2">
        <v>7624</v>
      </c>
      <c r="AN7627" s="33">
        <v>1.3732779466486876E-2</v>
      </c>
      <c r="AO7627" s="33">
        <v>1.2127406494783714E-3</v>
      </c>
    </row>
    <row r="7628" spans="39:41" x14ac:dyDescent="0.25">
      <c r="AM7628" s="2">
        <v>7625</v>
      </c>
      <c r="AN7628" s="33">
        <v>9.3114033685888116E-3</v>
      </c>
      <c r="AO7628" s="33">
        <v>7.6120264211892346E-4</v>
      </c>
    </row>
    <row r="7629" spans="39:41" x14ac:dyDescent="0.25">
      <c r="AM7629" s="2">
        <v>7626</v>
      </c>
      <c r="AN7629" s="33">
        <v>1.0803610805184554E-2</v>
      </c>
      <c r="AO7629" s="33">
        <v>7.5056230950551397E-4</v>
      </c>
    </row>
    <row r="7630" spans="39:41" x14ac:dyDescent="0.25">
      <c r="AM7630" s="2">
        <v>7627</v>
      </c>
      <c r="AN7630" s="33">
        <v>1.3503384378248098E-2</v>
      </c>
      <c r="AO7630" s="33">
        <v>8.4481663688416354E-4</v>
      </c>
    </row>
    <row r="7631" spans="39:41" x14ac:dyDescent="0.25">
      <c r="AM7631" s="2">
        <v>7628</v>
      </c>
      <c r="AN7631" s="33">
        <v>1.1390408539195302E-2</v>
      </c>
      <c r="AO7631" s="33">
        <v>8.3054033092402424E-4</v>
      </c>
    </row>
    <row r="7632" spans="39:41" x14ac:dyDescent="0.25">
      <c r="AM7632" s="2">
        <v>7629</v>
      </c>
      <c r="AN7632" s="33">
        <v>1.0428525717379261E-2</v>
      </c>
      <c r="AO7632" s="33">
        <v>8.7291058791625872E-4</v>
      </c>
    </row>
    <row r="7633" spans="39:41" x14ac:dyDescent="0.25">
      <c r="AM7633" s="2">
        <v>7630</v>
      </c>
      <c r="AN7633" s="33">
        <v>9.3525287545311534E-3</v>
      </c>
      <c r="AO7633" s="33">
        <v>5.0133744038858381E-4</v>
      </c>
    </row>
    <row r="7634" spans="39:41" x14ac:dyDescent="0.25">
      <c r="AM7634" s="2">
        <v>7631</v>
      </c>
      <c r="AN7634" s="33">
        <v>1.1956766756464935E-2</v>
      </c>
      <c r="AO7634" s="33">
        <v>5.6863907549996708E-4</v>
      </c>
    </row>
    <row r="7635" spans="39:41" x14ac:dyDescent="0.25">
      <c r="AM7635" s="2">
        <v>7632</v>
      </c>
      <c r="AN7635" s="33">
        <v>1.4956222810688116E-2</v>
      </c>
      <c r="AO7635" s="33">
        <v>1.4647277169002834E-3</v>
      </c>
    </row>
    <row r="7636" spans="39:41" x14ac:dyDescent="0.25">
      <c r="AM7636" s="2">
        <v>7633</v>
      </c>
      <c r="AN7636" s="33">
        <v>1.0949059116153542E-2</v>
      </c>
      <c r="AO7636" s="33">
        <v>9.3096691808126984E-4</v>
      </c>
    </row>
    <row r="7637" spans="39:41" x14ac:dyDescent="0.25">
      <c r="AM7637" s="2">
        <v>7634</v>
      </c>
      <c r="AN7637" s="33">
        <v>1.2461836284359115E-2</v>
      </c>
      <c r="AO7637" s="33">
        <v>1.2671395321986827E-3</v>
      </c>
    </row>
    <row r="7638" spans="39:41" x14ac:dyDescent="0.25">
      <c r="AM7638" s="2">
        <v>7635</v>
      </c>
      <c r="AN7638" s="33">
        <v>1.6375772599162348E-2</v>
      </c>
      <c r="AO7638" s="33">
        <v>1.2192195630568814E-3</v>
      </c>
    </row>
    <row r="7639" spans="39:41" x14ac:dyDescent="0.25">
      <c r="AM7639" s="2">
        <v>7636</v>
      </c>
      <c r="AN7639" s="33">
        <v>1.3977431216082241E-2</v>
      </c>
      <c r="AO7639" s="33">
        <v>1.0257048201476895E-3</v>
      </c>
    </row>
    <row r="7640" spans="39:41" x14ac:dyDescent="0.25">
      <c r="AM7640" s="2">
        <v>7637</v>
      </c>
      <c r="AN7640" s="33">
        <v>1.273571821628409E-2</v>
      </c>
      <c r="AO7640" s="33">
        <v>9.5966856910517163E-4</v>
      </c>
    </row>
    <row r="7641" spans="39:41" x14ac:dyDescent="0.25">
      <c r="AM7641" s="2">
        <v>7638</v>
      </c>
      <c r="AN7641" s="33">
        <v>1.270913524381488E-2</v>
      </c>
      <c r="AO7641" s="33">
        <v>1.1228759952686494E-3</v>
      </c>
    </row>
    <row r="7642" spans="39:41" x14ac:dyDescent="0.25">
      <c r="AM7642" s="2">
        <v>7639</v>
      </c>
      <c r="AN7642" s="33">
        <v>1.2720543027236865E-2</v>
      </c>
      <c r="AO7642" s="33">
        <v>9.4283307925825579E-4</v>
      </c>
    </row>
    <row r="7643" spans="39:41" x14ac:dyDescent="0.25">
      <c r="AM7643" s="2">
        <v>7640</v>
      </c>
      <c r="AN7643" s="33">
        <v>1.398964382291867E-2</v>
      </c>
      <c r="AO7643" s="33">
        <v>7.7369757048682429E-4</v>
      </c>
    </row>
    <row r="7644" spans="39:41" x14ac:dyDescent="0.25">
      <c r="AM7644" s="2">
        <v>7641</v>
      </c>
      <c r="AN7644" s="33">
        <v>8.9146111404372341E-3</v>
      </c>
      <c r="AO7644" s="33">
        <v>5.8193249542905462E-4</v>
      </c>
    </row>
    <row r="7645" spans="39:41" x14ac:dyDescent="0.25">
      <c r="AM7645" s="2">
        <v>7642</v>
      </c>
      <c r="AN7645" s="33">
        <v>1.0609168574414537E-2</v>
      </c>
      <c r="AO7645" s="33">
        <v>8.8482694118277745E-4</v>
      </c>
    </row>
    <row r="7646" spans="39:41" x14ac:dyDescent="0.25">
      <c r="AM7646" s="2">
        <v>7643</v>
      </c>
      <c r="AN7646" s="33">
        <v>1.0676200085833134E-2</v>
      </c>
      <c r="AO7646" s="33">
        <v>7.456315208623531E-4</v>
      </c>
    </row>
    <row r="7647" spans="39:41" x14ac:dyDescent="0.25">
      <c r="AM7647" s="2">
        <v>7644</v>
      </c>
      <c r="AN7647" s="33">
        <v>1.2107165233093322E-2</v>
      </c>
      <c r="AO7647" s="33">
        <v>9.5283101568158072E-4</v>
      </c>
    </row>
    <row r="7648" spans="39:41" x14ac:dyDescent="0.25">
      <c r="AM7648" s="2">
        <v>7645</v>
      </c>
      <c r="AN7648" s="33">
        <v>1.0644547429251396E-2</v>
      </c>
      <c r="AO7648" s="33">
        <v>5.7399340796330785E-4</v>
      </c>
    </row>
    <row r="7649" spans="39:41" x14ac:dyDescent="0.25">
      <c r="AM7649" s="2">
        <v>7646</v>
      </c>
      <c r="AN7649" s="33">
        <v>1.0739502988975863E-2</v>
      </c>
      <c r="AO7649" s="33">
        <v>3.7644507131207662E-4</v>
      </c>
    </row>
    <row r="7650" spans="39:41" x14ac:dyDescent="0.25">
      <c r="AM7650" s="2">
        <v>7647</v>
      </c>
      <c r="AN7650" s="33">
        <v>8.4403905436838903E-3</v>
      </c>
      <c r="AO7650" s="33">
        <v>5.7598982343126735E-4</v>
      </c>
    </row>
    <row r="7651" spans="39:41" x14ac:dyDescent="0.25">
      <c r="AM7651" s="2">
        <v>7648</v>
      </c>
      <c r="AN7651" s="33">
        <v>1.5852651537176483E-2</v>
      </c>
      <c r="AO7651" s="33">
        <v>1.3175117336530688E-3</v>
      </c>
    </row>
    <row r="7652" spans="39:41" x14ac:dyDescent="0.25">
      <c r="AM7652" s="2">
        <v>7649</v>
      </c>
      <c r="AN7652" s="33">
        <v>1.1387817190071578E-2</v>
      </c>
      <c r="AO7652" s="33">
        <v>7.42759484357922E-4</v>
      </c>
    </row>
    <row r="7653" spans="39:41" x14ac:dyDescent="0.25">
      <c r="AM7653" s="2">
        <v>7650</v>
      </c>
      <c r="AN7653" s="33">
        <v>9.4231211932389886E-3</v>
      </c>
      <c r="AO7653" s="33">
        <v>8.1448485783213332E-4</v>
      </c>
    </row>
    <row r="7654" spans="39:41" x14ac:dyDescent="0.25">
      <c r="AM7654" s="2">
        <v>7651</v>
      </c>
      <c r="AN7654" s="33">
        <v>1.0767419262798995E-2</v>
      </c>
      <c r="AO7654" s="33">
        <v>5.8717275256624864E-4</v>
      </c>
    </row>
    <row r="7655" spans="39:41" x14ac:dyDescent="0.25">
      <c r="AM7655" s="2">
        <v>7652</v>
      </c>
      <c r="AN7655" s="33">
        <v>9.5867807447414816E-3</v>
      </c>
      <c r="AO7655" s="33">
        <v>4.5811342312746114E-4</v>
      </c>
    </row>
    <row r="7656" spans="39:41" x14ac:dyDescent="0.25">
      <c r="AM7656" s="2">
        <v>7653</v>
      </c>
      <c r="AN7656" s="33">
        <v>1.0191827009688098E-2</v>
      </c>
      <c r="AO7656" s="33">
        <v>5.3262344742343345E-4</v>
      </c>
    </row>
    <row r="7657" spans="39:41" x14ac:dyDescent="0.25">
      <c r="AM7657" s="2">
        <v>7654</v>
      </c>
      <c r="AN7657" s="33">
        <v>8.7289572955215507E-3</v>
      </c>
      <c r="AO7657" s="33">
        <v>4.4272134549063537E-4</v>
      </c>
    </row>
    <row r="7658" spans="39:41" x14ac:dyDescent="0.25">
      <c r="AM7658" s="2">
        <v>7655</v>
      </c>
      <c r="AN7658" s="33">
        <v>1.4049041616047191E-2</v>
      </c>
      <c r="AO7658" s="33">
        <v>1.0332896004632364E-3</v>
      </c>
    </row>
    <row r="7659" spans="39:41" x14ac:dyDescent="0.25">
      <c r="AM7659" s="2">
        <v>7656</v>
      </c>
      <c r="AN7659" s="33">
        <v>1.142119337407122E-2</v>
      </c>
      <c r="AO7659" s="33">
        <v>1.0852327078175934E-3</v>
      </c>
    </row>
    <row r="7660" spans="39:41" x14ac:dyDescent="0.25">
      <c r="AM7660" s="2">
        <v>7657</v>
      </c>
      <c r="AN7660" s="33">
        <v>1.0681765212059701E-2</v>
      </c>
      <c r="AO7660" s="33">
        <v>6.4391930952152751E-4</v>
      </c>
    </row>
    <row r="7661" spans="39:41" x14ac:dyDescent="0.25">
      <c r="AM7661" s="2">
        <v>7658</v>
      </c>
      <c r="AN7661" s="33">
        <v>1.3111569801033162E-2</v>
      </c>
      <c r="AO7661" s="33">
        <v>1.057754727497522E-3</v>
      </c>
    </row>
    <row r="7662" spans="39:41" x14ac:dyDescent="0.25">
      <c r="AM7662" s="2">
        <v>7659</v>
      </c>
      <c r="AN7662" s="33">
        <v>1.458004359378433E-2</v>
      </c>
      <c r="AO7662" s="33">
        <v>9.6181166410703013E-4</v>
      </c>
    </row>
    <row r="7663" spans="39:41" x14ac:dyDescent="0.25">
      <c r="AM7663" s="2">
        <v>7660</v>
      </c>
      <c r="AN7663" s="33">
        <v>9.7504023425193289E-3</v>
      </c>
      <c r="AO7663" s="33">
        <v>5.3018502530997685E-4</v>
      </c>
    </row>
    <row r="7664" spans="39:41" x14ac:dyDescent="0.25">
      <c r="AM7664" s="2">
        <v>7661</v>
      </c>
      <c r="AN7664" s="33">
        <v>1.1736284008299083E-2</v>
      </c>
      <c r="AO7664" s="33">
        <v>2.7434775261797042E-4</v>
      </c>
    </row>
    <row r="7665" spans="39:41" x14ac:dyDescent="0.25">
      <c r="AM7665" s="2">
        <v>7662</v>
      </c>
      <c r="AN7665" s="33">
        <v>1.0712227739365907E-2</v>
      </c>
      <c r="AO7665" s="33">
        <v>4.627929116220688E-4</v>
      </c>
    </row>
    <row r="7666" spans="39:41" x14ac:dyDescent="0.25">
      <c r="AM7666" s="2">
        <v>7663</v>
      </c>
      <c r="AN7666" s="33">
        <v>1.5079590800531971E-2</v>
      </c>
      <c r="AO7666" s="33">
        <v>1.119947950245112E-3</v>
      </c>
    </row>
    <row r="7667" spans="39:41" x14ac:dyDescent="0.25">
      <c r="AM7667" s="2">
        <v>7664</v>
      </c>
      <c r="AN7667" s="33">
        <v>1.0325578457858879E-2</v>
      </c>
      <c r="AO7667" s="33">
        <v>7.9282372765846756E-4</v>
      </c>
    </row>
    <row r="7668" spans="39:41" x14ac:dyDescent="0.25">
      <c r="AM7668" s="2">
        <v>7665</v>
      </c>
      <c r="AN7668" s="33">
        <v>1.3746445722971999E-2</v>
      </c>
      <c r="AO7668" s="33">
        <v>1.1516217882751741E-3</v>
      </c>
    </row>
    <row r="7669" spans="39:41" x14ac:dyDescent="0.25">
      <c r="AM7669" s="2">
        <v>7666</v>
      </c>
      <c r="AN7669" s="33">
        <v>1.2452725144453558E-2</v>
      </c>
      <c r="AO7669" s="33">
        <v>8.5830269031760844E-4</v>
      </c>
    </row>
    <row r="7670" spans="39:41" x14ac:dyDescent="0.25">
      <c r="AM7670" s="2">
        <v>7667</v>
      </c>
      <c r="AN7670" s="33">
        <v>8.040641964398916E-3</v>
      </c>
      <c r="AO7670" s="33">
        <v>6.071255967886359E-4</v>
      </c>
    </row>
    <row r="7671" spans="39:41" x14ac:dyDescent="0.25">
      <c r="AM7671" s="2">
        <v>7668</v>
      </c>
      <c r="AN7671" s="33">
        <v>1.2698653603435505E-2</v>
      </c>
      <c r="AO7671" s="33">
        <v>1.0019234205301676E-3</v>
      </c>
    </row>
    <row r="7672" spans="39:41" x14ac:dyDescent="0.25">
      <c r="AM7672" s="2">
        <v>7669</v>
      </c>
      <c r="AN7672" s="33">
        <v>9.2070402959830398E-3</v>
      </c>
      <c r="AO7672" s="33">
        <v>8.1316173668080356E-4</v>
      </c>
    </row>
    <row r="7673" spans="39:41" x14ac:dyDescent="0.25">
      <c r="AM7673" s="2">
        <v>7670</v>
      </c>
      <c r="AN7673" s="33">
        <v>1.4559094629282026E-2</v>
      </c>
      <c r="AO7673" s="33">
        <v>1.4624830501423697E-3</v>
      </c>
    </row>
    <row r="7674" spans="39:41" x14ac:dyDescent="0.25">
      <c r="AM7674" s="2">
        <v>7671</v>
      </c>
      <c r="AN7674" s="33">
        <v>1.2689453581068608E-2</v>
      </c>
      <c r="AO7674" s="33">
        <v>8.0817798598453088E-4</v>
      </c>
    </row>
    <row r="7675" spans="39:41" x14ac:dyDescent="0.25">
      <c r="AM7675" s="2">
        <v>7672</v>
      </c>
      <c r="AN7675" s="33">
        <v>1.3498453890056187E-2</v>
      </c>
      <c r="AO7675" s="33">
        <v>6.9526798913478673E-4</v>
      </c>
    </row>
    <row r="7676" spans="39:41" x14ac:dyDescent="0.25">
      <c r="AM7676" s="2">
        <v>7673</v>
      </c>
      <c r="AN7676" s="33">
        <v>1.0352459483631513E-2</v>
      </c>
      <c r="AO7676" s="33">
        <v>7.0780404445551384E-4</v>
      </c>
    </row>
    <row r="7677" spans="39:41" x14ac:dyDescent="0.25">
      <c r="AM7677" s="2">
        <v>7674</v>
      </c>
      <c r="AN7677" s="33">
        <v>1.2818339479276733E-2</v>
      </c>
      <c r="AO7677" s="33">
        <v>1.1839335499895542E-3</v>
      </c>
    </row>
    <row r="7678" spans="39:41" x14ac:dyDescent="0.25">
      <c r="AM7678" s="2">
        <v>7675</v>
      </c>
      <c r="AN7678" s="33">
        <v>9.9913586805913598E-3</v>
      </c>
      <c r="AO7678" s="33">
        <v>9.604935549410936E-4</v>
      </c>
    </row>
    <row r="7679" spans="39:41" x14ac:dyDescent="0.25">
      <c r="AM7679" s="2">
        <v>7676</v>
      </c>
      <c r="AN7679" s="33">
        <v>1.2204504335919918E-2</v>
      </c>
      <c r="AO7679" s="33">
        <v>1.2302614807323247E-3</v>
      </c>
    </row>
    <row r="7680" spans="39:41" x14ac:dyDescent="0.25">
      <c r="AM7680" s="2">
        <v>7677</v>
      </c>
      <c r="AN7680" s="33">
        <v>1.0788822643407249E-2</v>
      </c>
      <c r="AO7680" s="33">
        <v>9.2811080566049654E-4</v>
      </c>
    </row>
    <row r="7681" spans="39:41" x14ac:dyDescent="0.25">
      <c r="AM7681" s="2">
        <v>7678</v>
      </c>
      <c r="AN7681" s="33">
        <v>1.0861147019965533E-2</v>
      </c>
      <c r="AO7681" s="33">
        <v>6.0856942799317843E-4</v>
      </c>
    </row>
    <row r="7682" spans="39:41" x14ac:dyDescent="0.25">
      <c r="AM7682" s="2">
        <v>7679</v>
      </c>
      <c r="AN7682" s="33">
        <v>9.0124871548822039E-3</v>
      </c>
      <c r="AO7682" s="33">
        <v>5.736672982222553E-4</v>
      </c>
    </row>
    <row r="7683" spans="39:41" x14ac:dyDescent="0.25">
      <c r="AM7683" s="2">
        <v>7680</v>
      </c>
      <c r="AN7683" s="33">
        <v>9.1858211793952264E-3</v>
      </c>
      <c r="AO7683" s="33">
        <v>5.9191024306252146E-4</v>
      </c>
    </row>
    <row r="7684" spans="39:41" x14ac:dyDescent="0.25">
      <c r="AM7684" s="2">
        <v>7681</v>
      </c>
      <c r="AN7684" s="33">
        <v>9.4321035583769686E-3</v>
      </c>
      <c r="AO7684" s="33">
        <v>7.3240916441640546E-4</v>
      </c>
    </row>
    <row r="7685" spans="39:41" x14ac:dyDescent="0.25">
      <c r="AM7685" s="2">
        <v>7682</v>
      </c>
      <c r="AN7685" s="33">
        <v>9.3166463698879272E-3</v>
      </c>
      <c r="AO7685" s="33">
        <v>6.1085976498153032E-4</v>
      </c>
    </row>
    <row r="7686" spans="39:41" x14ac:dyDescent="0.25">
      <c r="AM7686" s="2">
        <v>7683</v>
      </c>
      <c r="AN7686" s="33">
        <v>1.3240282241136384E-2</v>
      </c>
      <c r="AO7686" s="33">
        <v>8.5163375516055461E-4</v>
      </c>
    </row>
    <row r="7687" spans="39:41" x14ac:dyDescent="0.25">
      <c r="AM7687" s="2">
        <v>7684</v>
      </c>
      <c r="AN7687" s="33">
        <v>1.0482912275850471E-2</v>
      </c>
      <c r="AO7687" s="33">
        <v>2.5637727473766769E-4</v>
      </c>
    </row>
    <row r="7688" spans="39:41" x14ac:dyDescent="0.25">
      <c r="AM7688" s="2">
        <v>7685</v>
      </c>
      <c r="AN7688" s="33">
        <v>1.1848020920994774E-2</v>
      </c>
      <c r="AO7688" s="33">
        <v>9.2221088440052755E-4</v>
      </c>
    </row>
    <row r="7689" spans="39:41" x14ac:dyDescent="0.25">
      <c r="AM7689" s="2">
        <v>7686</v>
      </c>
      <c r="AN7689" s="33">
        <v>1.0542718728680876E-2</v>
      </c>
      <c r="AO7689" s="33">
        <v>7.0913996715324596E-4</v>
      </c>
    </row>
    <row r="7690" spans="39:41" x14ac:dyDescent="0.25">
      <c r="AM7690" s="2">
        <v>7687</v>
      </c>
      <c r="AN7690" s="33">
        <v>1.0249195408631909E-2</v>
      </c>
      <c r="AO7690" s="33">
        <v>7.3340949169627687E-4</v>
      </c>
    </row>
    <row r="7691" spans="39:41" x14ac:dyDescent="0.25">
      <c r="AM7691" s="2">
        <v>7688</v>
      </c>
      <c r="AN7691" s="33">
        <v>1.2396536997741544E-2</v>
      </c>
      <c r="AO7691" s="33">
        <v>3.45854042840279E-4</v>
      </c>
    </row>
    <row r="7692" spans="39:41" x14ac:dyDescent="0.25">
      <c r="AM7692" s="2">
        <v>7689</v>
      </c>
      <c r="AN7692" s="33">
        <v>1.246647316819074E-2</v>
      </c>
      <c r="AO7692" s="33">
        <v>1.2554172144314116E-3</v>
      </c>
    </row>
    <row r="7693" spans="39:41" x14ac:dyDescent="0.25">
      <c r="AM7693" s="2">
        <v>7690</v>
      </c>
      <c r="AN7693" s="33">
        <v>1.2389569423156003E-2</v>
      </c>
      <c r="AO7693" s="33">
        <v>1.0466672475632089E-3</v>
      </c>
    </row>
    <row r="7694" spans="39:41" x14ac:dyDescent="0.25">
      <c r="AM7694" s="2">
        <v>7691</v>
      </c>
      <c r="AN7694" s="33">
        <v>1.1392070942177914E-2</v>
      </c>
      <c r="AO7694" s="33">
        <v>8.9091912057200268E-4</v>
      </c>
    </row>
    <row r="7695" spans="39:41" x14ac:dyDescent="0.25">
      <c r="AM7695" s="2">
        <v>7692</v>
      </c>
      <c r="AN7695" s="33">
        <v>1.4252175708527883E-2</v>
      </c>
      <c r="AO7695" s="33">
        <v>1.2599348751025261E-3</v>
      </c>
    </row>
    <row r="7696" spans="39:41" x14ac:dyDescent="0.25">
      <c r="AM7696" s="2">
        <v>7693</v>
      </c>
      <c r="AN7696" s="33">
        <v>1.2290117822120597E-2</v>
      </c>
      <c r="AO7696" s="33">
        <v>4.9028271650623908E-4</v>
      </c>
    </row>
    <row r="7697" spans="39:41" x14ac:dyDescent="0.25">
      <c r="AM7697" s="2">
        <v>7694</v>
      </c>
      <c r="AN7697" s="33">
        <v>1.1033436122874992E-2</v>
      </c>
      <c r="AO7697" s="33">
        <v>9.4982509350881566E-4</v>
      </c>
    </row>
    <row r="7698" spans="39:41" x14ac:dyDescent="0.25">
      <c r="AM7698" s="2">
        <v>7695</v>
      </c>
      <c r="AN7698" s="33">
        <v>1.5134383266781784E-2</v>
      </c>
      <c r="AO7698" s="33">
        <v>1.1859957202653925E-3</v>
      </c>
    </row>
    <row r="7699" spans="39:41" x14ac:dyDescent="0.25">
      <c r="AM7699" s="2">
        <v>7696</v>
      </c>
      <c r="AN7699" s="33">
        <v>8.4452704313231104E-3</v>
      </c>
      <c r="AO7699" s="33">
        <v>3.2832481807537904E-4</v>
      </c>
    </row>
    <row r="7700" spans="39:41" x14ac:dyDescent="0.25">
      <c r="AM7700" s="2">
        <v>7697</v>
      </c>
      <c r="AN7700" s="33">
        <v>1.03542841286934E-2</v>
      </c>
      <c r="AO7700" s="33">
        <v>7.1587030923358033E-4</v>
      </c>
    </row>
    <row r="7701" spans="39:41" x14ac:dyDescent="0.25">
      <c r="AM7701" s="2">
        <v>7698</v>
      </c>
      <c r="AN7701" s="33">
        <v>9.923033405412637E-3</v>
      </c>
      <c r="AO7701" s="33">
        <v>5.3470569754844057E-4</v>
      </c>
    </row>
    <row r="7702" spans="39:41" x14ac:dyDescent="0.25">
      <c r="AM7702" s="2">
        <v>7699</v>
      </c>
      <c r="AN7702" s="33">
        <v>1.0949015710543193E-2</v>
      </c>
      <c r="AO7702" s="33">
        <v>7.2883637070085257E-4</v>
      </c>
    </row>
    <row r="7703" spans="39:41" x14ac:dyDescent="0.25">
      <c r="AM7703" s="2">
        <v>7700</v>
      </c>
      <c r="AN7703" s="33">
        <v>1.2238390643751438E-2</v>
      </c>
      <c r="AO7703" s="33">
        <v>5.8342271716994333E-4</v>
      </c>
    </row>
    <row r="7704" spans="39:41" x14ac:dyDescent="0.25">
      <c r="AM7704" s="2">
        <v>7701</v>
      </c>
      <c r="AN7704" s="33">
        <v>1.4152828419502037E-2</v>
      </c>
      <c r="AO7704" s="33">
        <v>1.231840271615338E-3</v>
      </c>
    </row>
    <row r="7705" spans="39:41" x14ac:dyDescent="0.25">
      <c r="AM7705" s="2">
        <v>7702</v>
      </c>
      <c r="AN7705" s="33">
        <v>1.2882894569599899E-2</v>
      </c>
      <c r="AO7705" s="33">
        <v>7.9669015394648443E-4</v>
      </c>
    </row>
    <row r="7706" spans="39:41" x14ac:dyDescent="0.25">
      <c r="AM7706" s="2">
        <v>7703</v>
      </c>
      <c r="AN7706" s="33">
        <v>1.4306990763070692E-2</v>
      </c>
      <c r="AO7706" s="33">
        <v>1.258191962876039E-3</v>
      </c>
    </row>
    <row r="7707" spans="39:41" x14ac:dyDescent="0.25">
      <c r="AM7707" s="2">
        <v>7704</v>
      </c>
      <c r="AN7707" s="33">
        <v>1.3118353347928218E-2</v>
      </c>
      <c r="AO7707" s="33">
        <v>1.2437781965008716E-3</v>
      </c>
    </row>
    <row r="7708" spans="39:41" x14ac:dyDescent="0.25">
      <c r="AM7708" s="2">
        <v>7705</v>
      </c>
      <c r="AN7708" s="33">
        <v>1.1145619639718399E-2</v>
      </c>
      <c r="AO7708" s="33">
        <v>4.8082918267910622E-4</v>
      </c>
    </row>
    <row r="7709" spans="39:41" x14ac:dyDescent="0.25">
      <c r="AM7709" s="2">
        <v>7706</v>
      </c>
      <c r="AN7709" s="33">
        <v>9.1737043528531247E-3</v>
      </c>
      <c r="AO7709" s="33">
        <v>4.0194641341145462E-4</v>
      </c>
    </row>
    <row r="7710" spans="39:41" x14ac:dyDescent="0.25">
      <c r="AM7710" s="2">
        <v>7707</v>
      </c>
      <c r="AN7710" s="33">
        <v>1.1167027705742173E-2</v>
      </c>
      <c r="AO7710" s="33">
        <v>9.1237954382829658E-4</v>
      </c>
    </row>
    <row r="7711" spans="39:41" x14ac:dyDescent="0.25">
      <c r="AM7711" s="2">
        <v>7708</v>
      </c>
      <c r="AN7711" s="33">
        <v>9.4218831834551459E-3</v>
      </c>
      <c r="AO7711" s="33">
        <v>6.6596684526545836E-4</v>
      </c>
    </row>
    <row r="7712" spans="39:41" x14ac:dyDescent="0.25">
      <c r="AM7712" s="2">
        <v>7709</v>
      </c>
      <c r="AN7712" s="33">
        <v>1.2865729718239254E-2</v>
      </c>
      <c r="AO7712" s="33">
        <v>1.0641446935350668E-3</v>
      </c>
    </row>
    <row r="7713" spans="39:41" x14ac:dyDescent="0.25">
      <c r="AM7713" s="2">
        <v>7710</v>
      </c>
      <c r="AN7713" s="33">
        <v>9.409291353068264E-3</v>
      </c>
      <c r="AO7713" s="33">
        <v>4.220148974302439E-4</v>
      </c>
    </row>
    <row r="7714" spans="39:41" x14ac:dyDescent="0.25">
      <c r="AM7714" s="2">
        <v>7711</v>
      </c>
      <c r="AN7714" s="33">
        <v>1.0496689363883958E-2</v>
      </c>
      <c r="AO7714" s="33">
        <v>5.1177320661066616E-4</v>
      </c>
    </row>
    <row r="7715" spans="39:41" x14ac:dyDescent="0.25">
      <c r="AM7715" s="2">
        <v>7712</v>
      </c>
      <c r="AN7715" s="33">
        <v>1.1313418939052191E-2</v>
      </c>
      <c r="AO7715" s="33">
        <v>8.3251267904776017E-4</v>
      </c>
    </row>
    <row r="7716" spans="39:41" x14ac:dyDescent="0.25">
      <c r="AM7716" s="2">
        <v>7713</v>
      </c>
      <c r="AN7716" s="33">
        <v>1.0001681344946205E-2</v>
      </c>
      <c r="AO7716" s="33">
        <v>5.6444901987109822E-4</v>
      </c>
    </row>
    <row r="7717" spans="39:41" x14ac:dyDescent="0.25">
      <c r="AM7717" s="2">
        <v>7714</v>
      </c>
      <c r="AN7717" s="33">
        <v>1.1777365969998276E-2</v>
      </c>
      <c r="AO7717" s="33">
        <v>7.3553328882314326E-4</v>
      </c>
    </row>
    <row r="7718" spans="39:41" x14ac:dyDescent="0.25">
      <c r="AM7718" s="2">
        <v>7715</v>
      </c>
      <c r="AN7718" s="33">
        <v>1.275126630712612E-2</v>
      </c>
      <c r="AO7718" s="33">
        <v>8.6978039974567949E-4</v>
      </c>
    </row>
    <row r="7719" spans="39:41" x14ac:dyDescent="0.25">
      <c r="AM7719" s="2">
        <v>7716</v>
      </c>
      <c r="AN7719" s="33">
        <v>1.2504838685261302E-2</v>
      </c>
      <c r="AO7719" s="33">
        <v>7.6243209938397366E-4</v>
      </c>
    </row>
    <row r="7720" spans="39:41" x14ac:dyDescent="0.25">
      <c r="AM7720" s="2">
        <v>7717</v>
      </c>
      <c r="AN7720" s="33">
        <v>1.2932217990688218E-2</v>
      </c>
      <c r="AO7720" s="33">
        <v>9.1518654909716033E-4</v>
      </c>
    </row>
    <row r="7721" spans="39:41" x14ac:dyDescent="0.25">
      <c r="AM7721" s="2">
        <v>7718</v>
      </c>
      <c r="AN7721" s="33">
        <v>1.1503267432126384E-2</v>
      </c>
      <c r="AO7721" s="33">
        <v>9.0232496236669374E-4</v>
      </c>
    </row>
    <row r="7722" spans="39:41" x14ac:dyDescent="0.25">
      <c r="AM7722" s="2">
        <v>7719</v>
      </c>
      <c r="AN7722" s="33">
        <v>1.0527204608577086E-2</v>
      </c>
      <c r="AO7722" s="33">
        <v>3.5286385627268072E-4</v>
      </c>
    </row>
    <row r="7723" spans="39:41" x14ac:dyDescent="0.25">
      <c r="AM7723" s="2">
        <v>7720</v>
      </c>
      <c r="AN7723" s="33">
        <v>1.3469384641295254E-2</v>
      </c>
      <c r="AO7723" s="33">
        <v>1.0367088169573532E-3</v>
      </c>
    </row>
    <row r="7724" spans="39:41" x14ac:dyDescent="0.25">
      <c r="AM7724" s="2">
        <v>7721</v>
      </c>
      <c r="AN7724" s="33">
        <v>1.2200805201926396E-2</v>
      </c>
      <c r="AO7724" s="33">
        <v>1.1767488445379129E-3</v>
      </c>
    </row>
    <row r="7725" spans="39:41" x14ac:dyDescent="0.25">
      <c r="AM7725" s="2">
        <v>7722</v>
      </c>
      <c r="AN7725" s="33">
        <v>9.8265490503557755E-3</v>
      </c>
      <c r="AO7725" s="33">
        <v>8.3087064065483381E-4</v>
      </c>
    </row>
    <row r="7726" spans="39:41" x14ac:dyDescent="0.25">
      <c r="AM7726" s="2">
        <v>7723</v>
      </c>
      <c r="AN7726" s="33">
        <v>1.3919687923636541E-2</v>
      </c>
      <c r="AO7726" s="33">
        <v>1.0119180905169554E-3</v>
      </c>
    </row>
    <row r="7727" spans="39:41" x14ac:dyDescent="0.25">
      <c r="AM7727" s="2">
        <v>7724</v>
      </c>
      <c r="AN7727" s="33">
        <v>1.1460067742761473E-2</v>
      </c>
      <c r="AO7727" s="33">
        <v>6.1627552976025889E-4</v>
      </c>
    </row>
    <row r="7728" spans="39:41" x14ac:dyDescent="0.25">
      <c r="AM7728" s="2">
        <v>7725</v>
      </c>
      <c r="AN7728" s="33">
        <v>1.364599517348686E-2</v>
      </c>
      <c r="AO7728" s="33">
        <v>8.2337434741228111E-4</v>
      </c>
    </row>
    <row r="7729" spans="39:41" x14ac:dyDescent="0.25">
      <c r="AM7729" s="2">
        <v>7726</v>
      </c>
      <c r="AN7729" s="33">
        <v>1.1220767106416535E-2</v>
      </c>
      <c r="AO7729" s="33">
        <v>9.640963106984945E-4</v>
      </c>
    </row>
    <row r="7730" spans="39:41" x14ac:dyDescent="0.25">
      <c r="AM7730" s="2">
        <v>7727</v>
      </c>
      <c r="AN7730" s="33">
        <v>1.1403554128245117E-2</v>
      </c>
      <c r="AO7730" s="33">
        <v>1.1262414691014676E-3</v>
      </c>
    </row>
    <row r="7731" spans="39:41" x14ac:dyDescent="0.25">
      <c r="AM7731" s="2">
        <v>7728</v>
      </c>
      <c r="AN7731" s="33">
        <v>1.31628057270252E-2</v>
      </c>
      <c r="AO7731" s="33">
        <v>5.8215706002755826E-4</v>
      </c>
    </row>
    <row r="7732" spans="39:41" x14ac:dyDescent="0.25">
      <c r="AM7732" s="2">
        <v>7729</v>
      </c>
      <c r="AN7732" s="33">
        <v>1.228340324048148E-2</v>
      </c>
      <c r="AO7732" s="33">
        <v>7.8114002638622214E-4</v>
      </c>
    </row>
    <row r="7733" spans="39:41" x14ac:dyDescent="0.25">
      <c r="AM7733" s="2">
        <v>7730</v>
      </c>
      <c r="AN7733" s="33">
        <v>1.0454216748200519E-2</v>
      </c>
      <c r="AO7733" s="33">
        <v>1.0091604103328422E-3</v>
      </c>
    </row>
    <row r="7734" spans="39:41" x14ac:dyDescent="0.25">
      <c r="AM7734" s="2">
        <v>7731</v>
      </c>
      <c r="AN7734" s="33">
        <v>1.3138041079519436E-2</v>
      </c>
      <c r="AO7734" s="33">
        <v>1.1346484086177486E-3</v>
      </c>
    </row>
    <row r="7735" spans="39:41" x14ac:dyDescent="0.25">
      <c r="AM7735" s="2">
        <v>7732</v>
      </c>
      <c r="AN7735" s="33">
        <v>8.595669275925746E-3</v>
      </c>
      <c r="AO7735" s="33">
        <v>7.2403705630450248E-4</v>
      </c>
    </row>
    <row r="7736" spans="39:41" x14ac:dyDescent="0.25">
      <c r="AM7736" s="2">
        <v>7733</v>
      </c>
      <c r="AN7736" s="33">
        <v>1.343979150535303E-2</v>
      </c>
      <c r="AO7736" s="33">
        <v>7.1892627000364178E-4</v>
      </c>
    </row>
    <row r="7737" spans="39:41" x14ac:dyDescent="0.25">
      <c r="AM7737" s="2">
        <v>7734</v>
      </c>
      <c r="AN7737" s="33">
        <v>1.4048787463103854E-2</v>
      </c>
      <c r="AO7737" s="33">
        <v>1.3462623584695763E-3</v>
      </c>
    </row>
    <row r="7738" spans="39:41" x14ac:dyDescent="0.25">
      <c r="AM7738" s="2">
        <v>7735</v>
      </c>
      <c r="AN7738" s="33">
        <v>1.2797070148287078E-2</v>
      </c>
      <c r="AO7738" s="33">
        <v>9.3767082050823757E-4</v>
      </c>
    </row>
    <row r="7739" spans="39:41" x14ac:dyDescent="0.25">
      <c r="AM7739" s="2">
        <v>7736</v>
      </c>
      <c r="AN7739" s="33">
        <v>1.0522706827477945E-2</v>
      </c>
      <c r="AO7739" s="33">
        <v>7.1344944566090326E-4</v>
      </c>
    </row>
    <row r="7740" spans="39:41" x14ac:dyDescent="0.25">
      <c r="AM7740" s="2">
        <v>7737</v>
      </c>
      <c r="AN7740" s="33">
        <v>7.9992531379090639E-3</v>
      </c>
      <c r="AO7740" s="33">
        <v>4.1073921746994784E-4</v>
      </c>
    </row>
    <row r="7741" spans="39:41" x14ac:dyDescent="0.25">
      <c r="AM7741" s="2">
        <v>7738</v>
      </c>
      <c r="AN7741" s="33">
        <v>1.4432608779959758E-2</v>
      </c>
      <c r="AO7741" s="33">
        <v>1.1517758229848119E-3</v>
      </c>
    </row>
    <row r="7742" spans="39:41" x14ac:dyDescent="0.25">
      <c r="AM7742" s="2">
        <v>7739</v>
      </c>
      <c r="AN7742" s="33">
        <v>1.2308791810907289E-2</v>
      </c>
      <c r="AO7742" s="33">
        <v>9.3248863605789774E-4</v>
      </c>
    </row>
    <row r="7743" spans="39:41" x14ac:dyDescent="0.25">
      <c r="AM7743" s="2">
        <v>7740</v>
      </c>
      <c r="AN7743" s="33">
        <v>9.0167885660863371E-3</v>
      </c>
      <c r="AO7743" s="33">
        <v>3.8494001453789125E-4</v>
      </c>
    </row>
    <row r="7744" spans="39:41" x14ac:dyDescent="0.25">
      <c r="AM7744" s="2">
        <v>7741</v>
      </c>
      <c r="AN7744" s="33">
        <v>1.3481178140845628E-2</v>
      </c>
      <c r="AO7744" s="33">
        <v>1.3135244679294176E-3</v>
      </c>
    </row>
    <row r="7745" spans="39:41" x14ac:dyDescent="0.25">
      <c r="AM7745" s="2">
        <v>7742</v>
      </c>
      <c r="AN7745" s="33">
        <v>1.0522938599081351E-2</v>
      </c>
      <c r="AO7745" s="33">
        <v>8.7772490078260874E-4</v>
      </c>
    </row>
    <row r="7746" spans="39:41" x14ac:dyDescent="0.25">
      <c r="AM7746" s="2">
        <v>7743</v>
      </c>
      <c r="AN7746" s="33">
        <v>1.2841235279422918E-2</v>
      </c>
      <c r="AO7746" s="33">
        <v>1.292276542029992E-3</v>
      </c>
    </row>
    <row r="7747" spans="39:41" x14ac:dyDescent="0.25">
      <c r="AM7747" s="2">
        <v>7744</v>
      </c>
      <c r="AN7747" s="33">
        <v>1.1225142805172757E-2</v>
      </c>
      <c r="AO7747" s="33">
        <v>2.1234860535301393E-4</v>
      </c>
    </row>
    <row r="7748" spans="39:41" x14ac:dyDescent="0.25">
      <c r="AM7748" s="2">
        <v>7745</v>
      </c>
      <c r="AN7748" s="33">
        <v>1.3415150904212195E-2</v>
      </c>
      <c r="AO7748" s="33">
        <v>1.378944561358275E-3</v>
      </c>
    </row>
    <row r="7749" spans="39:41" x14ac:dyDescent="0.25">
      <c r="AM7749" s="2">
        <v>7746</v>
      </c>
      <c r="AN7749" s="33">
        <v>9.3983645029635347E-3</v>
      </c>
      <c r="AO7749" s="33">
        <v>7.3338332766436027E-4</v>
      </c>
    </row>
    <row r="7750" spans="39:41" x14ac:dyDescent="0.25">
      <c r="AM7750" s="2">
        <v>7747</v>
      </c>
      <c r="AN7750" s="33">
        <v>9.8333125139163126E-3</v>
      </c>
      <c r="AO7750" s="33">
        <v>8.8785546399372398E-4</v>
      </c>
    </row>
    <row r="7751" spans="39:41" x14ac:dyDescent="0.25">
      <c r="AM7751" s="2">
        <v>7748</v>
      </c>
      <c r="AN7751" s="33">
        <v>1.3505962914209042E-2</v>
      </c>
      <c r="AO7751" s="33">
        <v>5.9754482689026826E-4</v>
      </c>
    </row>
    <row r="7752" spans="39:41" x14ac:dyDescent="0.25">
      <c r="AM7752" s="2">
        <v>7749</v>
      </c>
      <c r="AN7752" s="33">
        <v>1.0186604746302388E-2</v>
      </c>
      <c r="AO7752" s="33">
        <v>7.1570631392830261E-4</v>
      </c>
    </row>
    <row r="7753" spans="39:41" x14ac:dyDescent="0.25">
      <c r="AM7753" s="2">
        <v>7750</v>
      </c>
      <c r="AN7753" s="33">
        <v>1.2947613587317726E-2</v>
      </c>
      <c r="AO7753" s="33">
        <v>8.398193616467502E-4</v>
      </c>
    </row>
    <row r="7754" spans="39:41" x14ac:dyDescent="0.25">
      <c r="AM7754" s="2">
        <v>7751</v>
      </c>
      <c r="AN7754" s="33">
        <v>8.8809544785995887E-3</v>
      </c>
      <c r="AO7754" s="33">
        <v>5.1544651932565987E-4</v>
      </c>
    </row>
    <row r="7755" spans="39:41" x14ac:dyDescent="0.25">
      <c r="AM7755" s="2">
        <v>7752</v>
      </c>
      <c r="AN7755" s="33">
        <v>1.0924922555414851E-2</v>
      </c>
      <c r="AO7755" s="33">
        <v>7.2829104504394605E-4</v>
      </c>
    </row>
    <row r="7756" spans="39:41" x14ac:dyDescent="0.25">
      <c r="AM7756" s="2">
        <v>7753</v>
      </c>
      <c r="AN7756" s="33">
        <v>1.1723213560438218E-2</v>
      </c>
      <c r="AO7756" s="33">
        <v>8.7261220726694497E-4</v>
      </c>
    </row>
    <row r="7757" spans="39:41" x14ac:dyDescent="0.25">
      <c r="AM7757" s="2">
        <v>7754</v>
      </c>
      <c r="AN7757" s="33">
        <v>1.2168503727203003E-2</v>
      </c>
      <c r="AO7757" s="33">
        <v>1.073131932023389E-3</v>
      </c>
    </row>
    <row r="7758" spans="39:41" x14ac:dyDescent="0.25">
      <c r="AM7758" s="2">
        <v>7755</v>
      </c>
      <c r="AN7758" s="33">
        <v>1.2391637260822177E-2</v>
      </c>
      <c r="AO7758" s="33">
        <v>1.1946961611346027E-3</v>
      </c>
    </row>
    <row r="7759" spans="39:41" x14ac:dyDescent="0.25">
      <c r="AM7759" s="2">
        <v>7756</v>
      </c>
      <c r="AN7759" s="33">
        <v>1.2318836769695873E-2</v>
      </c>
      <c r="AO7759" s="33">
        <v>6.4891180595227135E-4</v>
      </c>
    </row>
    <row r="7760" spans="39:41" x14ac:dyDescent="0.25">
      <c r="AM7760" s="2">
        <v>7757</v>
      </c>
      <c r="AN7760" s="33">
        <v>9.442212019686886E-3</v>
      </c>
      <c r="AO7760" s="33">
        <v>5.2892504350511799E-4</v>
      </c>
    </row>
    <row r="7761" spans="39:41" x14ac:dyDescent="0.25">
      <c r="AM7761" s="2">
        <v>7758</v>
      </c>
      <c r="AN7761" s="33">
        <v>1.5259922569032594E-2</v>
      </c>
      <c r="AO7761" s="33">
        <v>1.3191929646452908E-3</v>
      </c>
    </row>
    <row r="7762" spans="39:41" x14ac:dyDescent="0.25">
      <c r="AM7762" s="2">
        <v>7759</v>
      </c>
      <c r="AN7762" s="33">
        <v>1.0932257024984401E-2</v>
      </c>
      <c r="AO7762" s="33">
        <v>5.5261335659722698E-4</v>
      </c>
    </row>
    <row r="7763" spans="39:41" x14ac:dyDescent="0.25">
      <c r="AM7763" s="2">
        <v>7760</v>
      </c>
      <c r="AN7763" s="33">
        <v>1.1714886471409707E-2</v>
      </c>
      <c r="AO7763" s="33">
        <v>3.060566939077568E-4</v>
      </c>
    </row>
    <row r="7764" spans="39:41" x14ac:dyDescent="0.25">
      <c r="AM7764" s="2">
        <v>7761</v>
      </c>
      <c r="AN7764" s="33">
        <v>1.6690826686018456E-2</v>
      </c>
      <c r="AO7764" s="33">
        <v>1.3083467283678504E-3</v>
      </c>
    </row>
    <row r="7765" spans="39:41" x14ac:dyDescent="0.25">
      <c r="AM7765" s="2">
        <v>7762</v>
      </c>
      <c r="AN7765" s="33">
        <v>1.4619142748261125E-2</v>
      </c>
      <c r="AO7765" s="33">
        <v>1.19826861425444E-3</v>
      </c>
    </row>
    <row r="7766" spans="39:41" x14ac:dyDescent="0.25">
      <c r="AM7766" s="2">
        <v>7763</v>
      </c>
      <c r="AN7766" s="33">
        <v>1.3246912637416413E-2</v>
      </c>
      <c r="AO7766" s="33">
        <v>1.246777682103499E-3</v>
      </c>
    </row>
    <row r="7767" spans="39:41" x14ac:dyDescent="0.25">
      <c r="AM7767" s="2">
        <v>7764</v>
      </c>
      <c r="AN7767" s="33">
        <v>7.4072909975253709E-3</v>
      </c>
      <c r="AO7767" s="33">
        <v>9.1282446501114793E-5</v>
      </c>
    </row>
    <row r="7768" spans="39:41" x14ac:dyDescent="0.25">
      <c r="AM7768" s="2">
        <v>7765</v>
      </c>
      <c r="AN7768" s="33">
        <v>1.3599165034816596E-2</v>
      </c>
      <c r="AO7768" s="33">
        <v>1.1424133161002607E-3</v>
      </c>
    </row>
    <row r="7769" spans="39:41" x14ac:dyDescent="0.25">
      <c r="AM7769" s="2">
        <v>7766</v>
      </c>
      <c r="AN7769" s="33">
        <v>1.2743965889053037E-2</v>
      </c>
      <c r="AO7769" s="33">
        <v>1.0256920372929499E-3</v>
      </c>
    </row>
    <row r="7770" spans="39:41" x14ac:dyDescent="0.25">
      <c r="AM7770" s="2">
        <v>7767</v>
      </c>
      <c r="AN7770" s="33">
        <v>9.6449503489552182E-3</v>
      </c>
      <c r="AO7770" s="33">
        <v>6.9321895914090212E-4</v>
      </c>
    </row>
    <row r="7771" spans="39:41" x14ac:dyDescent="0.25">
      <c r="AM7771" s="2">
        <v>7768</v>
      </c>
      <c r="AN7771" s="33">
        <v>7.7413679948763236E-3</v>
      </c>
      <c r="AO7771" s="33">
        <v>5.9659844866150513E-4</v>
      </c>
    </row>
    <row r="7772" spans="39:41" x14ac:dyDescent="0.25">
      <c r="AM7772" s="2">
        <v>7769</v>
      </c>
      <c r="AN7772" s="33">
        <v>1.1543127197066365E-2</v>
      </c>
      <c r="AO7772" s="33">
        <v>9.9052186116424133E-4</v>
      </c>
    </row>
    <row r="7773" spans="39:41" x14ac:dyDescent="0.25">
      <c r="AM7773" s="2">
        <v>7770</v>
      </c>
      <c r="AN7773" s="33">
        <v>1.5808287863041826E-2</v>
      </c>
      <c r="AO7773" s="33">
        <v>1.3860058876208994E-3</v>
      </c>
    </row>
    <row r="7774" spans="39:41" x14ac:dyDescent="0.25">
      <c r="AM7774" s="2">
        <v>7771</v>
      </c>
      <c r="AN7774" s="33">
        <v>9.2676637041655893E-3</v>
      </c>
      <c r="AO7774" s="33">
        <v>4.3840780405313032E-4</v>
      </c>
    </row>
    <row r="7775" spans="39:41" x14ac:dyDescent="0.25">
      <c r="AM7775" s="2">
        <v>7772</v>
      </c>
      <c r="AN7775" s="33">
        <v>1.1543521389686326E-2</v>
      </c>
      <c r="AO7775" s="33">
        <v>8.541301219904113E-4</v>
      </c>
    </row>
    <row r="7776" spans="39:41" x14ac:dyDescent="0.25">
      <c r="AM7776" s="2">
        <v>7773</v>
      </c>
      <c r="AN7776" s="33">
        <v>1.1788941796656648E-2</v>
      </c>
      <c r="AO7776" s="33">
        <v>8.5140708222439796E-4</v>
      </c>
    </row>
    <row r="7777" spans="39:41" x14ac:dyDescent="0.25">
      <c r="AM7777" s="2">
        <v>7774</v>
      </c>
      <c r="AN7777" s="33">
        <v>1.1865088607088995E-2</v>
      </c>
      <c r="AO7777" s="33">
        <v>1.1909834839079114E-3</v>
      </c>
    </row>
    <row r="7778" spans="39:41" x14ac:dyDescent="0.25">
      <c r="AM7778" s="2">
        <v>7775</v>
      </c>
      <c r="AN7778" s="33">
        <v>9.6852456215561159E-3</v>
      </c>
      <c r="AO7778" s="33">
        <v>6.5361103411328654E-4</v>
      </c>
    </row>
    <row r="7779" spans="39:41" x14ac:dyDescent="0.25">
      <c r="AM7779" s="2">
        <v>7776</v>
      </c>
      <c r="AN7779" s="33">
        <v>8.7292073683152577E-3</v>
      </c>
      <c r="AO7779" s="33">
        <v>6.221840812061796E-4</v>
      </c>
    </row>
    <row r="7780" spans="39:41" x14ac:dyDescent="0.25">
      <c r="AM7780" s="2">
        <v>7777</v>
      </c>
      <c r="AN7780" s="33">
        <v>1.1011386619452572E-2</v>
      </c>
      <c r="AO7780" s="33">
        <v>9.5516350327244453E-4</v>
      </c>
    </row>
    <row r="7781" spans="39:41" x14ac:dyDescent="0.25">
      <c r="AM7781" s="2">
        <v>7778</v>
      </c>
      <c r="AN7781" s="33">
        <v>1.1785836265794769E-2</v>
      </c>
      <c r="AO7781" s="33">
        <v>9.1158253090071562E-4</v>
      </c>
    </row>
    <row r="7782" spans="39:41" x14ac:dyDescent="0.25">
      <c r="AM7782" s="2">
        <v>7779</v>
      </c>
      <c r="AN7782" s="33">
        <v>1.1333698220612868E-2</v>
      </c>
      <c r="AO7782" s="33">
        <v>1.1079509049573143E-3</v>
      </c>
    </row>
    <row r="7783" spans="39:41" x14ac:dyDescent="0.25">
      <c r="AM7783" s="2">
        <v>7780</v>
      </c>
      <c r="AN7783" s="33">
        <v>1.2652882469183419E-2</v>
      </c>
      <c r="AO7783" s="33">
        <v>7.5524797796373225E-4</v>
      </c>
    </row>
    <row r="7784" spans="39:41" x14ac:dyDescent="0.25">
      <c r="AM7784" s="2">
        <v>7781</v>
      </c>
      <c r="AN7784" s="33">
        <v>1.010414773186618E-2</v>
      </c>
      <c r="AO7784" s="33">
        <v>9.9207477871199041E-4</v>
      </c>
    </row>
    <row r="7785" spans="39:41" x14ac:dyDescent="0.25">
      <c r="AM7785" s="2">
        <v>7782</v>
      </c>
      <c r="AN7785" s="33">
        <v>9.4567536919227379E-3</v>
      </c>
      <c r="AO7785" s="33">
        <v>6.1767294754078497E-4</v>
      </c>
    </row>
    <row r="7786" spans="39:41" x14ac:dyDescent="0.25">
      <c r="AM7786" s="2">
        <v>7783</v>
      </c>
      <c r="AN7786" s="33">
        <v>9.1044653494054602E-3</v>
      </c>
      <c r="AO7786" s="33">
        <v>2.1975904673119799E-4</v>
      </c>
    </row>
    <row r="7787" spans="39:41" x14ac:dyDescent="0.25">
      <c r="AM7787" s="2">
        <v>7784</v>
      </c>
      <c r="AN7787" s="33">
        <v>1.4198800954309766E-2</v>
      </c>
      <c r="AO7787" s="33">
        <v>1.1726544536051332E-3</v>
      </c>
    </row>
    <row r="7788" spans="39:41" x14ac:dyDescent="0.25">
      <c r="AM7788" s="2">
        <v>7785</v>
      </c>
      <c r="AN7788" s="33">
        <v>9.1162298503504827E-3</v>
      </c>
      <c r="AO7788" s="33">
        <v>8.7561013089977439E-4</v>
      </c>
    </row>
    <row r="7789" spans="39:41" x14ac:dyDescent="0.25">
      <c r="AM7789" s="2">
        <v>7786</v>
      </c>
      <c r="AN7789" s="33">
        <v>1.6055881541188435E-2</v>
      </c>
      <c r="AO7789" s="33">
        <v>1.6977609622924725E-3</v>
      </c>
    </row>
    <row r="7790" spans="39:41" x14ac:dyDescent="0.25">
      <c r="AM7790" s="2">
        <v>7787</v>
      </c>
      <c r="AN7790" s="33">
        <v>1.1543914047009534E-2</v>
      </c>
      <c r="AO7790" s="33">
        <v>1.0780534377020862E-3</v>
      </c>
    </row>
    <row r="7791" spans="39:41" x14ac:dyDescent="0.25">
      <c r="AM7791" s="2">
        <v>7788</v>
      </c>
      <c r="AN7791" s="33">
        <v>7.957277151800812E-3</v>
      </c>
      <c r="AO7791" s="33">
        <v>3.6373171197268584E-4</v>
      </c>
    </row>
    <row r="7792" spans="39:41" x14ac:dyDescent="0.25">
      <c r="AM7792" s="2">
        <v>7789</v>
      </c>
      <c r="AN7792" s="33">
        <v>1.0898172626419516E-2</v>
      </c>
      <c r="AO7792" s="33">
        <v>6.9965829513994788E-4</v>
      </c>
    </row>
    <row r="7793" spans="39:41" x14ac:dyDescent="0.25">
      <c r="AM7793" s="2">
        <v>7790</v>
      </c>
      <c r="AN7793" s="33">
        <v>9.7909320852678124E-3</v>
      </c>
      <c r="AO7793" s="33">
        <v>7.3965947459890763E-4</v>
      </c>
    </row>
    <row r="7794" spans="39:41" x14ac:dyDescent="0.25">
      <c r="AM7794" s="2">
        <v>7791</v>
      </c>
      <c r="AN7794" s="33">
        <v>1.4688733156497208E-2</v>
      </c>
      <c r="AO7794" s="33">
        <v>1.1091361742009648E-3</v>
      </c>
    </row>
    <row r="7795" spans="39:41" x14ac:dyDescent="0.25">
      <c r="AM7795" s="2">
        <v>7792</v>
      </c>
      <c r="AN7795" s="33">
        <v>1.036364268586672E-2</v>
      </c>
      <c r="AO7795" s="33">
        <v>8.265109988276273E-4</v>
      </c>
    </row>
    <row r="7796" spans="39:41" x14ac:dyDescent="0.25">
      <c r="AM7796" s="2">
        <v>7793</v>
      </c>
      <c r="AN7796" s="33">
        <v>1.3536409941391133E-2</v>
      </c>
      <c r="AO7796" s="33">
        <v>1.0902940927541194E-3</v>
      </c>
    </row>
    <row r="7797" spans="39:41" x14ac:dyDescent="0.25">
      <c r="AM7797" s="2">
        <v>7794</v>
      </c>
      <c r="AN7797" s="33">
        <v>1.0905857288598081E-2</v>
      </c>
      <c r="AO7797" s="33">
        <v>8.565200051206469E-4</v>
      </c>
    </row>
    <row r="7798" spans="39:41" x14ac:dyDescent="0.25">
      <c r="AM7798" s="2">
        <v>7795</v>
      </c>
      <c r="AN7798" s="33">
        <v>1.1443704018631909E-2</v>
      </c>
      <c r="AO7798" s="33">
        <v>9.1717009870712855E-4</v>
      </c>
    </row>
    <row r="7799" spans="39:41" x14ac:dyDescent="0.25">
      <c r="AM7799" s="2">
        <v>7796</v>
      </c>
      <c r="AN7799" s="33">
        <v>1.2350400876800687E-2</v>
      </c>
      <c r="AO7799" s="33">
        <v>1.0514127275918959E-3</v>
      </c>
    </row>
    <row r="7800" spans="39:41" x14ac:dyDescent="0.25">
      <c r="AM7800" s="2">
        <v>7797</v>
      </c>
      <c r="AN7800" s="33">
        <v>1.0165053478592269E-2</v>
      </c>
      <c r="AO7800" s="33">
        <v>7.9772134884514628E-4</v>
      </c>
    </row>
    <row r="7801" spans="39:41" x14ac:dyDescent="0.25">
      <c r="AM7801" s="2">
        <v>7798</v>
      </c>
      <c r="AN7801" s="33">
        <v>1.8483726345582995E-2</v>
      </c>
      <c r="AO7801" s="33">
        <v>1.6184996109404937E-3</v>
      </c>
    </row>
    <row r="7802" spans="39:41" x14ac:dyDescent="0.25">
      <c r="AM7802" s="2">
        <v>7799</v>
      </c>
      <c r="AN7802" s="33">
        <v>9.4932020782094485E-3</v>
      </c>
      <c r="AO7802" s="33">
        <v>7.8057505455839072E-4</v>
      </c>
    </row>
    <row r="7803" spans="39:41" x14ac:dyDescent="0.25">
      <c r="AM7803" s="2">
        <v>7800</v>
      </c>
      <c r="AN7803" s="33">
        <v>1.0248680204360183E-2</v>
      </c>
      <c r="AO7803" s="33">
        <v>4.503912343724711E-4</v>
      </c>
    </row>
    <row r="7804" spans="39:41" x14ac:dyDescent="0.25">
      <c r="AM7804" s="2">
        <v>7801</v>
      </c>
      <c r="AN7804" s="33">
        <v>1.0961451957993149E-2</v>
      </c>
      <c r="AO7804" s="33">
        <v>7.9411698207853816E-4</v>
      </c>
    </row>
    <row r="7805" spans="39:41" x14ac:dyDescent="0.25">
      <c r="AM7805" s="2">
        <v>7802</v>
      </c>
      <c r="AN7805" s="33">
        <v>8.7580828770303654E-3</v>
      </c>
      <c r="AO7805" s="33">
        <v>6.8543259906397023E-4</v>
      </c>
    </row>
    <row r="7806" spans="39:41" x14ac:dyDescent="0.25">
      <c r="AM7806" s="2">
        <v>7803</v>
      </c>
      <c r="AN7806" s="33">
        <v>1.24544420692027E-2</v>
      </c>
      <c r="AO7806" s="33">
        <v>9.7827891264673571E-4</v>
      </c>
    </row>
    <row r="7807" spans="39:41" x14ac:dyDescent="0.25">
      <c r="AM7807" s="2">
        <v>7804</v>
      </c>
      <c r="AN7807" s="33">
        <v>9.8726500292560474E-3</v>
      </c>
      <c r="AO7807" s="33">
        <v>5.071652545119771E-4</v>
      </c>
    </row>
    <row r="7808" spans="39:41" x14ac:dyDescent="0.25">
      <c r="AM7808" s="2">
        <v>7805</v>
      </c>
      <c r="AN7808" s="33">
        <v>9.6027910439169303E-3</v>
      </c>
      <c r="AO7808" s="33">
        <v>5.3379445774466669E-4</v>
      </c>
    </row>
    <row r="7809" spans="39:41" x14ac:dyDescent="0.25">
      <c r="AM7809" s="2">
        <v>7806</v>
      </c>
      <c r="AN7809" s="33">
        <v>1.1902015285557947E-2</v>
      </c>
      <c r="AO7809" s="33">
        <v>3.0024585435991071E-4</v>
      </c>
    </row>
    <row r="7810" spans="39:41" x14ac:dyDescent="0.25">
      <c r="AM7810" s="2">
        <v>7807</v>
      </c>
      <c r="AN7810" s="33">
        <v>1.3876778592920721E-2</v>
      </c>
      <c r="AO7810" s="33">
        <v>1.3561086411220385E-3</v>
      </c>
    </row>
    <row r="7811" spans="39:41" x14ac:dyDescent="0.25">
      <c r="AM7811" s="2">
        <v>7808</v>
      </c>
      <c r="AN7811" s="33">
        <v>1.4891509799446095E-2</v>
      </c>
      <c r="AO7811" s="33">
        <v>1.1728999866275284E-3</v>
      </c>
    </row>
    <row r="7812" spans="39:41" x14ac:dyDescent="0.25">
      <c r="AM7812" s="2">
        <v>7809</v>
      </c>
      <c r="AN7812" s="33">
        <v>1.2101247132510084E-2</v>
      </c>
      <c r="AO7812" s="33">
        <v>8.5364034940468088E-4</v>
      </c>
    </row>
    <row r="7813" spans="39:41" x14ac:dyDescent="0.25">
      <c r="AM7813" s="2">
        <v>7810</v>
      </c>
      <c r="AN7813" s="33">
        <v>1.0386034265686704E-2</v>
      </c>
      <c r="AO7813" s="33">
        <v>7.1117180869351192E-4</v>
      </c>
    </row>
    <row r="7814" spans="39:41" x14ac:dyDescent="0.25">
      <c r="AM7814" s="2">
        <v>7811</v>
      </c>
      <c r="AN7814" s="33">
        <v>1.2923686124535295E-2</v>
      </c>
      <c r="AO7814" s="33">
        <v>1.0915308823022845E-3</v>
      </c>
    </row>
    <row r="7815" spans="39:41" x14ac:dyDescent="0.25">
      <c r="AM7815" s="2">
        <v>7812</v>
      </c>
      <c r="AN7815" s="33">
        <v>9.8241232407751834E-3</v>
      </c>
      <c r="AO7815" s="33">
        <v>3.3053855517907075E-4</v>
      </c>
    </row>
    <row r="7816" spans="39:41" x14ac:dyDescent="0.25">
      <c r="AM7816" s="2">
        <v>7813</v>
      </c>
      <c r="AN7816" s="33">
        <v>8.9256114565952355E-3</v>
      </c>
      <c r="AO7816" s="33">
        <v>6.3847681394155187E-4</v>
      </c>
    </row>
    <row r="7817" spans="39:41" x14ac:dyDescent="0.25">
      <c r="AM7817" s="2">
        <v>7814</v>
      </c>
      <c r="AN7817" s="33">
        <v>9.9410374939626484E-3</v>
      </c>
      <c r="AO7817" s="33">
        <v>4.6898300219834249E-4</v>
      </c>
    </row>
    <row r="7818" spans="39:41" x14ac:dyDescent="0.25">
      <c r="AM7818" s="2">
        <v>7815</v>
      </c>
      <c r="AN7818" s="33">
        <v>1.2636196913716365E-2</v>
      </c>
      <c r="AO7818" s="33">
        <v>1.0000868500922911E-3</v>
      </c>
    </row>
    <row r="7819" spans="39:41" x14ac:dyDescent="0.25">
      <c r="AM7819" s="2">
        <v>7816</v>
      </c>
      <c r="AN7819" s="33">
        <v>9.3808651329358849E-3</v>
      </c>
      <c r="AO7819" s="33">
        <v>2.7414178770396552E-4</v>
      </c>
    </row>
    <row r="7820" spans="39:41" x14ac:dyDescent="0.25">
      <c r="AM7820" s="2">
        <v>7817</v>
      </c>
      <c r="AN7820" s="33">
        <v>1.0691091352117625E-2</v>
      </c>
      <c r="AO7820" s="33">
        <v>2.8444072116802336E-4</v>
      </c>
    </row>
    <row r="7821" spans="39:41" x14ac:dyDescent="0.25">
      <c r="AM7821" s="2">
        <v>7818</v>
      </c>
      <c r="AN7821" s="33">
        <v>1.33568265834892E-2</v>
      </c>
      <c r="AO7821" s="33">
        <v>1.0150123380081554E-3</v>
      </c>
    </row>
    <row r="7822" spans="39:41" x14ac:dyDescent="0.25">
      <c r="AM7822" s="2">
        <v>7819</v>
      </c>
      <c r="AN7822" s="33">
        <v>1.2457876249836485E-2</v>
      </c>
      <c r="AO7822" s="33">
        <v>1.190040930866407E-3</v>
      </c>
    </row>
    <row r="7823" spans="39:41" x14ac:dyDescent="0.25">
      <c r="AM7823" s="2">
        <v>7820</v>
      </c>
      <c r="AN7823" s="33">
        <v>1.2796623620670137E-2</v>
      </c>
      <c r="AO7823" s="33">
        <v>9.5585482372434157E-4</v>
      </c>
    </row>
    <row r="7824" spans="39:41" x14ac:dyDescent="0.25">
      <c r="AM7824" s="2">
        <v>7821</v>
      </c>
      <c r="AN7824" s="33">
        <v>1.115983142512297E-2</v>
      </c>
      <c r="AO7824" s="33">
        <v>5.5469879972654124E-4</v>
      </c>
    </row>
    <row r="7825" spans="39:41" x14ac:dyDescent="0.25">
      <c r="AM7825" s="2">
        <v>7822</v>
      </c>
      <c r="AN7825" s="33">
        <v>1.3156009791637195E-2</v>
      </c>
      <c r="AO7825" s="33">
        <v>1.2411941695468804E-3</v>
      </c>
    </row>
    <row r="7826" spans="39:41" x14ac:dyDescent="0.25">
      <c r="AM7826" s="2">
        <v>7823</v>
      </c>
      <c r="AN7826" s="33">
        <v>9.9741766329475741E-3</v>
      </c>
      <c r="AO7826" s="33">
        <v>5.4110464686247845E-4</v>
      </c>
    </row>
    <row r="7827" spans="39:41" x14ac:dyDescent="0.25">
      <c r="AM7827" s="2">
        <v>7824</v>
      </c>
      <c r="AN7827" s="33">
        <v>1.2044925143529825E-2</v>
      </c>
      <c r="AO7827" s="33">
        <v>1.0133103718300166E-3</v>
      </c>
    </row>
    <row r="7828" spans="39:41" x14ac:dyDescent="0.25">
      <c r="AM7828" s="2">
        <v>7825</v>
      </c>
      <c r="AN7828" s="33">
        <v>9.2410115496661394E-3</v>
      </c>
      <c r="AO7828" s="33">
        <v>5.6395051842237406E-4</v>
      </c>
    </row>
    <row r="7829" spans="39:41" x14ac:dyDescent="0.25">
      <c r="AM7829" s="2">
        <v>7826</v>
      </c>
      <c r="AN7829" s="33">
        <v>9.8786476608930356E-3</v>
      </c>
      <c r="AO7829" s="33">
        <v>7.3948007366944071E-4</v>
      </c>
    </row>
    <row r="7830" spans="39:41" x14ac:dyDescent="0.25">
      <c r="AM7830" s="2">
        <v>7827</v>
      </c>
      <c r="AN7830" s="33">
        <v>9.9927187450863774E-3</v>
      </c>
      <c r="AO7830" s="33">
        <v>2.9803041773915817E-4</v>
      </c>
    </row>
    <row r="7831" spans="39:41" x14ac:dyDescent="0.25">
      <c r="AM7831" s="2">
        <v>7828</v>
      </c>
      <c r="AN7831" s="33">
        <v>8.9350827498686121E-3</v>
      </c>
      <c r="AO7831" s="33">
        <v>5.7527674199799636E-4</v>
      </c>
    </row>
    <row r="7832" spans="39:41" x14ac:dyDescent="0.25">
      <c r="AM7832" s="2">
        <v>7829</v>
      </c>
      <c r="AN7832" s="33">
        <v>1.2102094360289839E-2</v>
      </c>
      <c r="AO7832" s="33">
        <v>1.0229489269510134E-3</v>
      </c>
    </row>
    <row r="7833" spans="39:41" x14ac:dyDescent="0.25">
      <c r="AM7833" s="2">
        <v>7830</v>
      </c>
      <c r="AN7833" s="33">
        <v>1.0472998790148185E-2</v>
      </c>
      <c r="AO7833" s="33">
        <v>7.7526412272443967E-4</v>
      </c>
    </row>
    <row r="7834" spans="39:41" x14ac:dyDescent="0.25">
      <c r="AM7834" s="2">
        <v>7831</v>
      </c>
      <c r="AN7834" s="33">
        <v>1.1991939390248226E-2</v>
      </c>
      <c r="AO7834" s="33">
        <v>1.0317897363690284E-3</v>
      </c>
    </row>
    <row r="7835" spans="39:41" x14ac:dyDescent="0.25">
      <c r="AM7835" s="2">
        <v>7832</v>
      </c>
      <c r="AN7835" s="33">
        <v>9.357375247729019E-3</v>
      </c>
      <c r="AO7835" s="33">
        <v>4.4938274091871545E-4</v>
      </c>
    </row>
    <row r="7836" spans="39:41" x14ac:dyDescent="0.25">
      <c r="AM7836" s="2">
        <v>7833</v>
      </c>
      <c r="AN7836" s="33">
        <v>1.0426008225733922E-2</v>
      </c>
      <c r="AO7836" s="33">
        <v>7.0227542971303038E-4</v>
      </c>
    </row>
    <row r="7837" spans="39:41" x14ac:dyDescent="0.25">
      <c r="AM7837" s="2">
        <v>7834</v>
      </c>
      <c r="AN7837" s="33">
        <v>1.3630417031441413E-2</v>
      </c>
      <c r="AO7837" s="33">
        <v>1.1633650344839556E-3</v>
      </c>
    </row>
    <row r="7838" spans="39:41" x14ac:dyDescent="0.25">
      <c r="AM7838" s="2">
        <v>7835</v>
      </c>
      <c r="AN7838" s="33">
        <v>7.7401776809191787E-3</v>
      </c>
      <c r="AO7838" s="33">
        <v>3.9326236769876045E-4</v>
      </c>
    </row>
    <row r="7839" spans="39:41" x14ac:dyDescent="0.25">
      <c r="AM7839" s="2">
        <v>7836</v>
      </c>
      <c r="AN7839" s="33">
        <v>1.1775890095895096E-2</v>
      </c>
      <c r="AO7839" s="33">
        <v>7.9414771646826279E-4</v>
      </c>
    </row>
    <row r="7840" spans="39:41" x14ac:dyDescent="0.25">
      <c r="AM7840" s="2">
        <v>7837</v>
      </c>
      <c r="AN7840" s="33">
        <v>1.0050445857282746E-2</v>
      </c>
      <c r="AO7840" s="33">
        <v>7.278695241483105E-4</v>
      </c>
    </row>
    <row r="7841" spans="39:41" x14ac:dyDescent="0.25">
      <c r="AM7841" s="2">
        <v>7838</v>
      </c>
      <c r="AN7841" s="33">
        <v>1.2035743429514448E-2</v>
      </c>
      <c r="AO7841" s="33">
        <v>1.2048945800833817E-3</v>
      </c>
    </row>
    <row r="7842" spans="39:41" x14ac:dyDescent="0.25">
      <c r="AM7842" s="2">
        <v>7839</v>
      </c>
      <c r="AN7842" s="33">
        <v>1.0533263120730529E-2</v>
      </c>
      <c r="AO7842" s="33">
        <v>9.3218275513568742E-4</v>
      </c>
    </row>
    <row r="7843" spans="39:41" x14ac:dyDescent="0.25">
      <c r="AM7843" s="2">
        <v>7840</v>
      </c>
      <c r="AN7843" s="33">
        <v>1.1287892245159538E-2</v>
      </c>
      <c r="AO7843" s="33">
        <v>5.4486651202207564E-4</v>
      </c>
    </row>
    <row r="7844" spans="39:41" x14ac:dyDescent="0.25">
      <c r="AM7844" s="2">
        <v>7841</v>
      </c>
      <c r="AN7844" s="33">
        <v>1.2768516370445716E-2</v>
      </c>
      <c r="AO7844" s="33">
        <v>9.6742044541986752E-4</v>
      </c>
    </row>
    <row r="7845" spans="39:41" x14ac:dyDescent="0.25">
      <c r="AM7845" s="2">
        <v>7842</v>
      </c>
      <c r="AN7845" s="33">
        <v>1.242519477719794E-2</v>
      </c>
      <c r="AO7845" s="33">
        <v>1.1758524323696271E-3</v>
      </c>
    </row>
    <row r="7846" spans="39:41" x14ac:dyDescent="0.25">
      <c r="AM7846" s="2">
        <v>7843</v>
      </c>
      <c r="AN7846" s="33">
        <v>1.6313944154545686E-2</v>
      </c>
      <c r="AO7846" s="33">
        <v>1.1915187589297399E-3</v>
      </c>
    </row>
    <row r="7847" spans="39:41" x14ac:dyDescent="0.25">
      <c r="AM7847" s="2">
        <v>7844</v>
      </c>
      <c r="AN7847" s="33">
        <v>1.1544312976436061E-2</v>
      </c>
      <c r="AO7847" s="33">
        <v>1.0809369790064382E-3</v>
      </c>
    </row>
    <row r="7848" spans="39:41" x14ac:dyDescent="0.25">
      <c r="AM7848" s="2">
        <v>7845</v>
      </c>
      <c r="AN7848" s="33">
        <v>1.2095434175111365E-2</v>
      </c>
      <c r="AO7848" s="33">
        <v>1.1107969751860114E-3</v>
      </c>
    </row>
    <row r="7849" spans="39:41" x14ac:dyDescent="0.25">
      <c r="AM7849" s="2">
        <v>7846</v>
      </c>
      <c r="AN7849" s="33">
        <v>1.0441980674924363E-2</v>
      </c>
      <c r="AO7849" s="33">
        <v>3.0177100222837107E-4</v>
      </c>
    </row>
    <row r="7850" spans="39:41" x14ac:dyDescent="0.25">
      <c r="AM7850" s="2">
        <v>7847</v>
      </c>
      <c r="AN7850" s="33">
        <v>1.0764092871246638E-2</v>
      </c>
      <c r="AO7850" s="33">
        <v>7.2333910393554217E-4</v>
      </c>
    </row>
    <row r="7851" spans="39:41" x14ac:dyDescent="0.25">
      <c r="AM7851" s="2">
        <v>7848</v>
      </c>
      <c r="AN7851" s="33">
        <v>1.169381250334618E-2</v>
      </c>
      <c r="AO7851" s="33">
        <v>1.008146843772141E-3</v>
      </c>
    </row>
    <row r="7852" spans="39:41" x14ac:dyDescent="0.25">
      <c r="AM7852" s="2">
        <v>7849</v>
      </c>
      <c r="AN7852" s="33">
        <v>1.2279293137205874E-2</v>
      </c>
      <c r="AO7852" s="33">
        <v>8.0548230554005511E-4</v>
      </c>
    </row>
    <row r="7853" spans="39:41" x14ac:dyDescent="0.25">
      <c r="AM7853" s="2">
        <v>7850</v>
      </c>
      <c r="AN7853" s="33">
        <v>1.2718451867395219E-2</v>
      </c>
      <c r="AO7853" s="33">
        <v>1.1512458090364799E-3</v>
      </c>
    </row>
    <row r="7854" spans="39:41" x14ac:dyDescent="0.25">
      <c r="AM7854" s="2">
        <v>7851</v>
      </c>
      <c r="AN7854" s="33">
        <v>1.2468146703754041E-2</v>
      </c>
      <c r="AO7854" s="33">
        <v>4.5519556913892304E-4</v>
      </c>
    </row>
    <row r="7855" spans="39:41" x14ac:dyDescent="0.25">
      <c r="AM7855" s="2">
        <v>7852</v>
      </c>
      <c r="AN7855" s="33">
        <v>8.6674419676223673E-3</v>
      </c>
      <c r="AO7855" s="33">
        <v>3.7638317605892416E-4</v>
      </c>
    </row>
    <row r="7856" spans="39:41" x14ac:dyDescent="0.25">
      <c r="AM7856" s="2">
        <v>7853</v>
      </c>
      <c r="AN7856" s="33">
        <v>9.9924674645182968E-3</v>
      </c>
      <c r="AO7856" s="33">
        <v>2.4379110545575089E-4</v>
      </c>
    </row>
    <row r="7857" spans="39:41" x14ac:dyDescent="0.25">
      <c r="AM7857" s="2">
        <v>7854</v>
      </c>
      <c r="AN7857" s="33">
        <v>1.1125461358829077E-2</v>
      </c>
      <c r="AO7857" s="33">
        <v>1.0832363901621637E-3</v>
      </c>
    </row>
    <row r="7858" spans="39:41" x14ac:dyDescent="0.25">
      <c r="AM7858" s="2">
        <v>7855</v>
      </c>
      <c r="AN7858" s="33">
        <v>1.1681293040312964E-2</v>
      </c>
      <c r="AO7858" s="33">
        <v>1.183452185244368E-3</v>
      </c>
    </row>
    <row r="7859" spans="39:41" x14ac:dyDescent="0.25">
      <c r="AM7859" s="2">
        <v>7856</v>
      </c>
      <c r="AN7859" s="33">
        <v>1.4766752800043772E-2</v>
      </c>
      <c r="AO7859" s="33">
        <v>1.2384043314435933E-3</v>
      </c>
    </row>
    <row r="7860" spans="39:41" x14ac:dyDescent="0.25">
      <c r="AM7860" s="2">
        <v>7857</v>
      </c>
      <c r="AN7860" s="33">
        <v>1.1477197059808011E-2</v>
      </c>
      <c r="AO7860" s="33">
        <v>6.5941268222201874E-4</v>
      </c>
    </row>
    <row r="7861" spans="39:41" x14ac:dyDescent="0.25">
      <c r="AM7861" s="2">
        <v>7858</v>
      </c>
      <c r="AN7861" s="33">
        <v>1.0123631723190935E-2</v>
      </c>
      <c r="AO7861" s="33">
        <v>4.543697181332183E-4</v>
      </c>
    </row>
    <row r="7862" spans="39:41" x14ac:dyDescent="0.25">
      <c r="AM7862" s="2">
        <v>7859</v>
      </c>
      <c r="AN7862" s="33">
        <v>9.9525451098555102E-3</v>
      </c>
      <c r="AO7862" s="33">
        <v>7.2391691421823964E-4</v>
      </c>
    </row>
    <row r="7863" spans="39:41" x14ac:dyDescent="0.25">
      <c r="AM7863" s="2">
        <v>7860</v>
      </c>
      <c r="AN7863" s="33">
        <v>1.1500345405780115E-2</v>
      </c>
      <c r="AO7863" s="33">
        <v>1.0268638742374776E-3</v>
      </c>
    </row>
    <row r="7864" spans="39:41" x14ac:dyDescent="0.25">
      <c r="AM7864" s="2">
        <v>7861</v>
      </c>
      <c r="AN7864" s="33">
        <v>1.0803523145975751E-2</v>
      </c>
      <c r="AO7864" s="33">
        <v>8.149255446513945E-4</v>
      </c>
    </row>
    <row r="7865" spans="39:41" x14ac:dyDescent="0.25">
      <c r="AM7865" s="2">
        <v>7862</v>
      </c>
      <c r="AN7865" s="33">
        <v>9.269822572246865E-3</v>
      </c>
      <c r="AO7865" s="33">
        <v>6.9138804008623124E-4</v>
      </c>
    </row>
    <row r="7866" spans="39:41" x14ac:dyDescent="0.25">
      <c r="AM7866" s="2">
        <v>7863</v>
      </c>
      <c r="AN7866" s="33">
        <v>1.1745247372671637E-2</v>
      </c>
      <c r="AO7866" s="33">
        <v>6.6050151837310548E-4</v>
      </c>
    </row>
    <row r="7867" spans="39:41" x14ac:dyDescent="0.25">
      <c r="AM7867" s="2">
        <v>7864</v>
      </c>
      <c r="AN7867" s="33">
        <v>1.0193581325366354E-2</v>
      </c>
      <c r="AO7867" s="33">
        <v>8.710628623732295E-4</v>
      </c>
    </row>
    <row r="7868" spans="39:41" x14ac:dyDescent="0.25">
      <c r="AM7868" s="2">
        <v>7865</v>
      </c>
      <c r="AN7868" s="33">
        <v>8.3915380448348013E-3</v>
      </c>
      <c r="AO7868" s="33">
        <v>6.3118562897163653E-4</v>
      </c>
    </row>
    <row r="7869" spans="39:41" x14ac:dyDescent="0.25">
      <c r="AM7869" s="2">
        <v>7866</v>
      </c>
      <c r="AN7869" s="33">
        <v>1.4268070506201049E-2</v>
      </c>
      <c r="AO7869" s="33">
        <v>1.1530042359829786E-3</v>
      </c>
    </row>
    <row r="7870" spans="39:41" x14ac:dyDescent="0.25">
      <c r="AM7870" s="2">
        <v>7867</v>
      </c>
      <c r="AN7870" s="33">
        <v>1.3114160768664384E-2</v>
      </c>
      <c r="AO7870" s="33">
        <v>9.0536509168977816E-4</v>
      </c>
    </row>
    <row r="7871" spans="39:41" x14ac:dyDescent="0.25">
      <c r="AM7871" s="2">
        <v>7868</v>
      </c>
      <c r="AN7871" s="33">
        <v>1.2289642031936552E-2</v>
      </c>
      <c r="AO7871" s="33">
        <v>1.0124607459852319E-3</v>
      </c>
    </row>
    <row r="7872" spans="39:41" x14ac:dyDescent="0.25">
      <c r="AM7872" s="2">
        <v>7869</v>
      </c>
      <c r="AN7872" s="33">
        <v>1.2314075443106328E-2</v>
      </c>
      <c r="AO7872" s="33">
        <v>9.6920215000981149E-4</v>
      </c>
    </row>
    <row r="7873" spans="39:41" x14ac:dyDescent="0.25">
      <c r="AM7873" s="2">
        <v>7870</v>
      </c>
      <c r="AN7873" s="33">
        <v>1.2660421595959832E-2</v>
      </c>
      <c r="AO7873" s="33">
        <v>8.6634550514926663E-4</v>
      </c>
    </row>
    <row r="7874" spans="39:41" x14ac:dyDescent="0.25">
      <c r="AM7874" s="2">
        <v>7871</v>
      </c>
      <c r="AN7874" s="33">
        <v>1.2777979502377027E-2</v>
      </c>
      <c r="AO7874" s="33">
        <v>9.6201802611511563E-4</v>
      </c>
    </row>
    <row r="7875" spans="39:41" x14ac:dyDescent="0.25">
      <c r="AM7875" s="2">
        <v>7872</v>
      </c>
      <c r="AN7875" s="33">
        <v>1.0454731987336954E-2</v>
      </c>
      <c r="AO7875" s="33">
        <v>7.6553157861331174E-4</v>
      </c>
    </row>
    <row r="7876" spans="39:41" x14ac:dyDescent="0.25">
      <c r="AM7876" s="2">
        <v>7873</v>
      </c>
      <c r="AN7876" s="33">
        <v>1.4346388127179732E-2</v>
      </c>
      <c r="AO7876" s="33">
        <v>1.363285551389727E-3</v>
      </c>
    </row>
    <row r="7877" spans="39:41" x14ac:dyDescent="0.25">
      <c r="AM7877" s="2">
        <v>7874</v>
      </c>
      <c r="AN7877" s="33">
        <v>1.0681828163036543E-2</v>
      </c>
      <c r="AO7877" s="33">
        <v>8.3190377795130434E-4</v>
      </c>
    </row>
    <row r="7878" spans="39:41" x14ac:dyDescent="0.25">
      <c r="AM7878" s="2">
        <v>7875</v>
      </c>
      <c r="AN7878" s="33">
        <v>1.7410127739164814E-2</v>
      </c>
      <c r="AO7878" s="33">
        <v>1.6560887902284712E-3</v>
      </c>
    </row>
    <row r="7879" spans="39:41" x14ac:dyDescent="0.25">
      <c r="AM7879" s="2">
        <v>7876</v>
      </c>
      <c r="AN7879" s="33">
        <v>1.0414920066601668E-2</v>
      </c>
      <c r="AO7879" s="33">
        <v>8.9681436905835095E-4</v>
      </c>
    </row>
    <row r="7880" spans="39:41" x14ac:dyDescent="0.25">
      <c r="AM7880" s="2">
        <v>7877</v>
      </c>
      <c r="AN7880" s="33">
        <v>1.2919226788401321E-2</v>
      </c>
      <c r="AO7880" s="33">
        <v>8.5028328117026683E-4</v>
      </c>
    </row>
    <row r="7881" spans="39:41" x14ac:dyDescent="0.25">
      <c r="AM7881" s="2">
        <v>7878</v>
      </c>
      <c r="AN7881" s="33">
        <v>1.1294779275234925E-2</v>
      </c>
      <c r="AO7881" s="33">
        <v>9.5938015355399473E-4</v>
      </c>
    </row>
    <row r="7882" spans="39:41" x14ac:dyDescent="0.25">
      <c r="AM7882" s="2">
        <v>7879</v>
      </c>
      <c r="AN7882" s="33">
        <v>1.3879362746503639E-2</v>
      </c>
      <c r="AO7882" s="33">
        <v>1.174347090520585E-3</v>
      </c>
    </row>
    <row r="7883" spans="39:41" x14ac:dyDescent="0.25">
      <c r="AM7883" s="2">
        <v>7880</v>
      </c>
      <c r="AN7883" s="33">
        <v>9.6631059088323583E-3</v>
      </c>
      <c r="AO7883" s="33">
        <v>5.7359302179352408E-4</v>
      </c>
    </row>
    <row r="7884" spans="39:41" x14ac:dyDescent="0.25">
      <c r="AM7884" s="2">
        <v>7881</v>
      </c>
      <c r="AN7884" s="33">
        <v>8.38712432763517E-3</v>
      </c>
      <c r="AO7884" s="33">
        <v>7.6717090570835311E-4</v>
      </c>
    </row>
    <row r="7885" spans="39:41" x14ac:dyDescent="0.25">
      <c r="AM7885" s="2">
        <v>7882</v>
      </c>
      <c r="AN7885" s="33">
        <v>1.0418694643558567E-2</v>
      </c>
      <c r="AO7885" s="33">
        <v>7.4824463928904294E-4</v>
      </c>
    </row>
    <row r="7886" spans="39:41" x14ac:dyDescent="0.25">
      <c r="AM7886" s="2">
        <v>7883</v>
      </c>
      <c r="AN7886" s="33">
        <v>1.4158848428468594E-2</v>
      </c>
      <c r="AO7886" s="33">
        <v>1.1868201667499224E-3</v>
      </c>
    </row>
    <row r="7887" spans="39:41" x14ac:dyDescent="0.25">
      <c r="AM7887" s="2">
        <v>7884</v>
      </c>
      <c r="AN7887" s="33">
        <v>1.1786064192007286E-2</v>
      </c>
      <c r="AO7887" s="33">
        <v>8.9407012603449898E-4</v>
      </c>
    </row>
    <row r="7888" spans="39:41" x14ac:dyDescent="0.25">
      <c r="AM7888" s="2">
        <v>7885</v>
      </c>
      <c r="AN7888" s="33">
        <v>1.148368281833665E-2</v>
      </c>
      <c r="AO7888" s="33">
        <v>9.1980887500769796E-4</v>
      </c>
    </row>
    <row r="7889" spans="39:41" x14ac:dyDescent="0.25">
      <c r="AM7889" s="2">
        <v>7886</v>
      </c>
      <c r="AN7889" s="33">
        <v>1.0329473330429032E-2</v>
      </c>
      <c r="AO7889" s="33">
        <v>9.0474648582151952E-4</v>
      </c>
    </row>
    <row r="7890" spans="39:41" x14ac:dyDescent="0.25">
      <c r="AM7890" s="2">
        <v>7887</v>
      </c>
      <c r="AN7890" s="33">
        <v>1.3321812964238542E-2</v>
      </c>
      <c r="AO7890" s="33">
        <v>1.2586255733071162E-3</v>
      </c>
    </row>
    <row r="7891" spans="39:41" x14ac:dyDescent="0.25">
      <c r="AM7891" s="2">
        <v>7888</v>
      </c>
      <c r="AN7891" s="33">
        <v>1.2836620893886057E-2</v>
      </c>
      <c r="AO7891" s="33">
        <v>1.3808073083519915E-3</v>
      </c>
    </row>
    <row r="7892" spans="39:41" x14ac:dyDescent="0.25">
      <c r="AM7892" s="2">
        <v>7889</v>
      </c>
      <c r="AN7892" s="33">
        <v>1.3955140016316822E-2</v>
      </c>
      <c r="AO7892" s="33">
        <v>1.2925630346789535E-3</v>
      </c>
    </row>
    <row r="7893" spans="39:41" x14ac:dyDescent="0.25">
      <c r="AM7893" s="2">
        <v>7890</v>
      </c>
      <c r="AN7893" s="33">
        <v>8.9604084559881027E-3</v>
      </c>
      <c r="AO7893" s="33">
        <v>7.7594646774719472E-4</v>
      </c>
    </row>
    <row r="7894" spans="39:41" x14ac:dyDescent="0.25">
      <c r="AM7894" s="2">
        <v>7891</v>
      </c>
      <c r="AN7894" s="33">
        <v>1.0401296486011794E-2</v>
      </c>
      <c r="AO7894" s="33">
        <v>5.2102459045288724E-4</v>
      </c>
    </row>
    <row r="7895" spans="39:41" x14ac:dyDescent="0.25">
      <c r="AM7895" s="2">
        <v>7892</v>
      </c>
      <c r="AN7895" s="33">
        <v>1.0155225722123412E-2</v>
      </c>
      <c r="AO7895" s="33">
        <v>4.7365412258121759E-4</v>
      </c>
    </row>
    <row r="7896" spans="39:41" x14ac:dyDescent="0.25">
      <c r="AM7896" s="2">
        <v>7893</v>
      </c>
      <c r="AN7896" s="33">
        <v>1.3682542220316419E-2</v>
      </c>
      <c r="AO7896" s="33">
        <v>9.3622075624433493E-4</v>
      </c>
    </row>
    <row r="7897" spans="39:41" x14ac:dyDescent="0.25">
      <c r="AM7897" s="2">
        <v>7894</v>
      </c>
      <c r="AN7897" s="33">
        <v>1.2590349700361053E-2</v>
      </c>
      <c r="AO7897" s="33">
        <v>9.3505935901878391E-4</v>
      </c>
    </row>
    <row r="7898" spans="39:41" x14ac:dyDescent="0.25">
      <c r="AM7898" s="2">
        <v>7895</v>
      </c>
      <c r="AN7898" s="33">
        <v>1.2197058924204873E-2</v>
      </c>
      <c r="AO7898" s="33">
        <v>1.0731497551919951E-3</v>
      </c>
    </row>
    <row r="7899" spans="39:41" x14ac:dyDescent="0.25">
      <c r="AM7899" s="2">
        <v>7896</v>
      </c>
      <c r="AN7899" s="33">
        <v>1.256755252316091E-2</v>
      </c>
      <c r="AO7899" s="33">
        <v>1.012100213473847E-3</v>
      </c>
    </row>
    <row r="7900" spans="39:41" x14ac:dyDescent="0.25">
      <c r="AM7900" s="2">
        <v>7897</v>
      </c>
      <c r="AN7900" s="33">
        <v>1.3136549432690487E-2</v>
      </c>
      <c r="AO7900" s="33">
        <v>1.2587553779410275E-3</v>
      </c>
    </row>
    <row r="7901" spans="39:41" x14ac:dyDescent="0.25">
      <c r="AM7901" s="2">
        <v>7898</v>
      </c>
      <c r="AN7901" s="33">
        <v>1.4193367790359112E-2</v>
      </c>
      <c r="AO7901" s="33">
        <v>1.3797591857876142E-3</v>
      </c>
    </row>
    <row r="7902" spans="39:41" x14ac:dyDescent="0.25">
      <c r="AM7902" s="2">
        <v>7899</v>
      </c>
      <c r="AN7902" s="33">
        <v>1.0616555072053791E-2</v>
      </c>
      <c r="AO7902" s="33">
        <v>8.308117836322345E-4</v>
      </c>
    </row>
    <row r="7903" spans="39:41" x14ac:dyDescent="0.25">
      <c r="AM7903" s="2">
        <v>7900</v>
      </c>
      <c r="AN7903" s="33">
        <v>1.1757086787197148E-2</v>
      </c>
      <c r="AO7903" s="33">
        <v>6.9262630384555582E-4</v>
      </c>
    </row>
    <row r="7904" spans="39:41" x14ac:dyDescent="0.25">
      <c r="AM7904" s="2">
        <v>7901</v>
      </c>
      <c r="AN7904" s="33">
        <v>1.525574507784571E-2</v>
      </c>
      <c r="AO7904" s="33">
        <v>1.3314651355815939E-3</v>
      </c>
    </row>
    <row r="7905" spans="39:41" x14ac:dyDescent="0.25">
      <c r="AM7905" s="2">
        <v>7902</v>
      </c>
      <c r="AN7905" s="33">
        <v>1.1475199167757053E-2</v>
      </c>
      <c r="AO7905" s="33">
        <v>7.1944401539060586E-4</v>
      </c>
    </row>
    <row r="7906" spans="39:41" x14ac:dyDescent="0.25">
      <c r="AM7906" s="2">
        <v>7903</v>
      </c>
      <c r="AN7906" s="33">
        <v>1.2818461538714427E-2</v>
      </c>
      <c r="AO7906" s="33">
        <v>7.6642154190709416E-4</v>
      </c>
    </row>
    <row r="7907" spans="39:41" x14ac:dyDescent="0.25">
      <c r="AM7907" s="2">
        <v>7904</v>
      </c>
      <c r="AN7907" s="33">
        <v>1.1743257471739732E-2</v>
      </c>
      <c r="AO7907" s="33">
        <v>6.8428661668114548E-4</v>
      </c>
    </row>
    <row r="7908" spans="39:41" x14ac:dyDescent="0.25">
      <c r="AM7908" s="2">
        <v>7905</v>
      </c>
      <c r="AN7908" s="33">
        <v>9.0331073514700669E-3</v>
      </c>
      <c r="AO7908" s="33">
        <v>6.5051960931284368E-4</v>
      </c>
    </row>
    <row r="7909" spans="39:41" x14ac:dyDescent="0.25">
      <c r="AM7909" s="2">
        <v>7906</v>
      </c>
      <c r="AN7909" s="33">
        <v>1.1324937908035508E-2</v>
      </c>
      <c r="AO7909" s="33">
        <v>8.8495412306150117E-4</v>
      </c>
    </row>
    <row r="7910" spans="39:41" x14ac:dyDescent="0.25">
      <c r="AM7910" s="2">
        <v>7907</v>
      </c>
      <c r="AN7910" s="33">
        <v>1.066459949789382E-2</v>
      </c>
      <c r="AO7910" s="33">
        <v>1.6415006053237328E-4</v>
      </c>
    </row>
    <row r="7911" spans="39:41" x14ac:dyDescent="0.25">
      <c r="AM7911" s="2">
        <v>7908</v>
      </c>
      <c r="AN7911" s="33">
        <v>1.293048171439598E-2</v>
      </c>
      <c r="AO7911" s="33">
        <v>8.8650222940297823E-4</v>
      </c>
    </row>
    <row r="7912" spans="39:41" x14ac:dyDescent="0.25">
      <c r="AM7912" s="2">
        <v>7909</v>
      </c>
      <c r="AN7912" s="33">
        <v>1.0286312619584547E-2</v>
      </c>
      <c r="AO7912" s="33">
        <v>9.8561360042065415E-4</v>
      </c>
    </row>
    <row r="7913" spans="39:41" x14ac:dyDescent="0.25">
      <c r="AM7913" s="2">
        <v>7910</v>
      </c>
      <c r="AN7913" s="33">
        <v>1.0773394558613368E-2</v>
      </c>
      <c r="AO7913" s="33">
        <v>5.9396846319018917E-4</v>
      </c>
    </row>
    <row r="7914" spans="39:41" x14ac:dyDescent="0.25">
      <c r="AM7914" s="2">
        <v>7911</v>
      </c>
      <c r="AN7914" s="33">
        <v>7.3802902810570737E-3</v>
      </c>
      <c r="AO7914" s="33">
        <v>5.0498461988214408E-4</v>
      </c>
    </row>
    <row r="7915" spans="39:41" x14ac:dyDescent="0.25">
      <c r="AM7915" s="2">
        <v>7912</v>
      </c>
      <c r="AN7915" s="33">
        <v>1.2640993229546118E-2</v>
      </c>
      <c r="AO7915" s="33">
        <v>9.906774764957499E-4</v>
      </c>
    </row>
    <row r="7916" spans="39:41" x14ac:dyDescent="0.25">
      <c r="AM7916" s="2">
        <v>7913</v>
      </c>
      <c r="AN7916" s="33">
        <v>1.08188267984018E-2</v>
      </c>
      <c r="AO7916" s="33">
        <v>8.7394273631900778E-4</v>
      </c>
    </row>
    <row r="7917" spans="39:41" x14ac:dyDescent="0.25">
      <c r="AM7917" s="2">
        <v>7914</v>
      </c>
      <c r="AN7917" s="33">
        <v>1.3795799426146241E-2</v>
      </c>
      <c r="AO7917" s="33">
        <v>1.2665793066097685E-3</v>
      </c>
    </row>
    <row r="7918" spans="39:41" x14ac:dyDescent="0.25">
      <c r="AM7918" s="2">
        <v>7915</v>
      </c>
      <c r="AN7918" s="33">
        <v>1.1754482964229046E-2</v>
      </c>
      <c r="AO7918" s="33">
        <v>9.4051279923212971E-4</v>
      </c>
    </row>
    <row r="7919" spans="39:41" x14ac:dyDescent="0.25">
      <c r="AM7919" s="2">
        <v>7916</v>
      </c>
      <c r="AN7919" s="33">
        <v>9.0179785171839808E-3</v>
      </c>
      <c r="AO7919" s="33">
        <v>5.8609491610458737E-4</v>
      </c>
    </row>
    <row r="7920" spans="39:41" x14ac:dyDescent="0.25">
      <c r="AM7920" s="2">
        <v>7917</v>
      </c>
      <c r="AN7920" s="33">
        <v>1.0944572884826982E-2</v>
      </c>
      <c r="AO7920" s="33">
        <v>5.0674185364003605E-4</v>
      </c>
    </row>
    <row r="7921" spans="39:41" x14ac:dyDescent="0.25">
      <c r="AM7921" s="2">
        <v>7918</v>
      </c>
      <c r="AN7921" s="33">
        <v>7.6311802400826642E-3</v>
      </c>
      <c r="AO7921" s="33">
        <v>5.3869067332739783E-4</v>
      </c>
    </row>
    <row r="7922" spans="39:41" x14ac:dyDescent="0.25">
      <c r="AM7922" s="2">
        <v>7919</v>
      </c>
      <c r="AN7922" s="33">
        <v>1.5576332154924401E-2</v>
      </c>
      <c r="AO7922" s="33">
        <v>1.2171088872764495E-3</v>
      </c>
    </row>
    <row r="7923" spans="39:41" x14ac:dyDescent="0.25">
      <c r="AM7923" s="2">
        <v>7920</v>
      </c>
      <c r="AN7923" s="33">
        <v>8.6623914085701692E-3</v>
      </c>
      <c r="AO7923" s="33">
        <v>3.2689496616483736E-4</v>
      </c>
    </row>
    <row r="7924" spans="39:41" x14ac:dyDescent="0.25">
      <c r="AM7924" s="2">
        <v>7921</v>
      </c>
      <c r="AN7924" s="33">
        <v>1.2210272767565797E-2</v>
      </c>
      <c r="AO7924" s="33">
        <v>1.2831646420581983E-3</v>
      </c>
    </row>
    <row r="7925" spans="39:41" x14ac:dyDescent="0.25">
      <c r="AM7925" s="2">
        <v>7922</v>
      </c>
      <c r="AN7925" s="33">
        <v>9.1222052987561669E-3</v>
      </c>
      <c r="AO7925" s="33">
        <v>4.0135603633803584E-4</v>
      </c>
    </row>
    <row r="7926" spans="39:41" x14ac:dyDescent="0.25">
      <c r="AM7926" s="2">
        <v>7923</v>
      </c>
      <c r="AN7926" s="33">
        <v>1.3134324096007106E-2</v>
      </c>
      <c r="AO7926" s="33">
        <v>8.9287238924449066E-4</v>
      </c>
    </row>
    <row r="7927" spans="39:41" x14ac:dyDescent="0.25">
      <c r="AM7927" s="2">
        <v>7924</v>
      </c>
      <c r="AN7927" s="33">
        <v>9.4583064028149998E-3</v>
      </c>
      <c r="AO7927" s="33">
        <v>7.4821674308550221E-4</v>
      </c>
    </row>
    <row r="7928" spans="39:41" x14ac:dyDescent="0.25">
      <c r="AM7928" s="2">
        <v>7925</v>
      </c>
      <c r="AN7928" s="33">
        <v>1.1594524650045518E-2</v>
      </c>
      <c r="AO7928" s="33">
        <v>1.1609689897221925E-3</v>
      </c>
    </row>
    <row r="7929" spans="39:41" x14ac:dyDescent="0.25">
      <c r="AM7929" s="2">
        <v>7926</v>
      </c>
      <c r="AN7929" s="33">
        <v>1.2009654083157189E-2</v>
      </c>
      <c r="AO7929" s="33">
        <v>2.6580742363943019E-4</v>
      </c>
    </row>
    <row r="7930" spans="39:41" x14ac:dyDescent="0.25">
      <c r="AM7930" s="2">
        <v>7927</v>
      </c>
      <c r="AN7930" s="33">
        <v>1.2580795829416907E-2</v>
      </c>
      <c r="AO7930" s="33">
        <v>1.2793341034459333E-3</v>
      </c>
    </row>
    <row r="7931" spans="39:41" x14ac:dyDescent="0.25">
      <c r="AM7931" s="2">
        <v>7928</v>
      </c>
      <c r="AN7931" s="33">
        <v>9.6388922790718815E-3</v>
      </c>
      <c r="AO7931" s="33">
        <v>3.9623870229337128E-4</v>
      </c>
    </row>
    <row r="7932" spans="39:41" x14ac:dyDescent="0.25">
      <c r="AM7932" s="2">
        <v>7929</v>
      </c>
      <c r="AN7932" s="33">
        <v>1.3595365017889455E-2</v>
      </c>
      <c r="AO7932" s="33">
        <v>1.360894920923813E-3</v>
      </c>
    </row>
    <row r="7933" spans="39:41" x14ac:dyDescent="0.25">
      <c r="AM7933" s="2">
        <v>7930</v>
      </c>
      <c r="AN7933" s="33">
        <v>1.2176356575173556E-2</v>
      </c>
      <c r="AO7933" s="33">
        <v>9.5710891518585714E-4</v>
      </c>
    </row>
    <row r="7934" spans="39:41" x14ac:dyDescent="0.25">
      <c r="AM7934" s="2">
        <v>7931</v>
      </c>
      <c r="AN7934" s="33">
        <v>1.3322686601462902E-2</v>
      </c>
      <c r="AO7934" s="33">
        <v>1.1479867565110575E-3</v>
      </c>
    </row>
    <row r="7935" spans="39:41" x14ac:dyDescent="0.25">
      <c r="AM7935" s="2">
        <v>7932</v>
      </c>
      <c r="AN7935" s="33">
        <v>1.340134546558795E-2</v>
      </c>
      <c r="AO7935" s="33">
        <v>1.284866270306273E-3</v>
      </c>
    </row>
    <row r="7936" spans="39:41" x14ac:dyDescent="0.25">
      <c r="AM7936" s="2">
        <v>7933</v>
      </c>
      <c r="AN7936" s="33">
        <v>1.1716054174875205E-2</v>
      </c>
      <c r="AO7936" s="33">
        <v>7.0937712323072344E-4</v>
      </c>
    </row>
    <row r="7937" spans="39:41" x14ac:dyDescent="0.25">
      <c r="AM7937" s="2">
        <v>7934</v>
      </c>
      <c r="AN7937" s="33">
        <v>1.3171537249653146E-2</v>
      </c>
      <c r="AO7937" s="33">
        <v>9.0393395145361044E-4</v>
      </c>
    </row>
    <row r="7938" spans="39:41" x14ac:dyDescent="0.25">
      <c r="AM7938" s="2">
        <v>7935</v>
      </c>
      <c r="AN7938" s="33">
        <v>1.2301595426160794E-2</v>
      </c>
      <c r="AO7938" s="33">
        <v>1.0764483953634029E-3</v>
      </c>
    </row>
    <row r="7939" spans="39:41" x14ac:dyDescent="0.25">
      <c r="AM7939" s="2">
        <v>7936</v>
      </c>
      <c r="AN7939" s="33">
        <v>1.1013816342809565E-2</v>
      </c>
      <c r="AO7939" s="33">
        <v>9.129819552024461E-4</v>
      </c>
    </row>
    <row r="7940" spans="39:41" x14ac:dyDescent="0.25">
      <c r="AM7940" s="2">
        <v>7937</v>
      </c>
      <c r="AN7940" s="33">
        <v>1.2160062258832403E-2</v>
      </c>
      <c r="AO7940" s="33">
        <v>1.159889757693935E-3</v>
      </c>
    </row>
    <row r="7941" spans="39:41" x14ac:dyDescent="0.25">
      <c r="AM7941" s="2">
        <v>7938</v>
      </c>
      <c r="AN7941" s="33">
        <v>9.4038921592631344E-3</v>
      </c>
      <c r="AO7941" s="33">
        <v>4.2350389726831524E-4</v>
      </c>
    </row>
    <row r="7942" spans="39:41" x14ac:dyDescent="0.25">
      <c r="AM7942" s="2">
        <v>7939</v>
      </c>
      <c r="AN7942" s="33">
        <v>7.9766036050646534E-3</v>
      </c>
      <c r="AO7942" s="33">
        <v>4.4386578311387908E-4</v>
      </c>
    </row>
    <row r="7943" spans="39:41" x14ac:dyDescent="0.25">
      <c r="AM7943" s="2">
        <v>7940</v>
      </c>
      <c r="AN7943" s="33">
        <v>1.2584941328165089E-2</v>
      </c>
      <c r="AO7943" s="33">
        <v>1.2988314065261535E-3</v>
      </c>
    </row>
    <row r="7944" spans="39:41" x14ac:dyDescent="0.25">
      <c r="AM7944" s="2">
        <v>7941</v>
      </c>
      <c r="AN7944" s="33">
        <v>1.3456843704931463E-2</v>
      </c>
      <c r="AO7944" s="33">
        <v>1.3434210945530997E-3</v>
      </c>
    </row>
    <row r="7945" spans="39:41" x14ac:dyDescent="0.25">
      <c r="AM7945" s="2">
        <v>7942</v>
      </c>
      <c r="AN7945" s="33">
        <v>1.1538872307095957E-2</v>
      </c>
      <c r="AO7945" s="33">
        <v>1.0824126041931227E-3</v>
      </c>
    </row>
    <row r="7946" spans="39:41" x14ac:dyDescent="0.25">
      <c r="AM7946" s="2">
        <v>7943</v>
      </c>
      <c r="AN7946" s="33">
        <v>1.4780154822367306E-2</v>
      </c>
      <c r="AO7946" s="33">
        <v>1.5194092958471777E-3</v>
      </c>
    </row>
    <row r="7947" spans="39:41" x14ac:dyDescent="0.25">
      <c r="AM7947" s="2">
        <v>7944</v>
      </c>
      <c r="AN7947" s="33">
        <v>1.0676723659903251E-2</v>
      </c>
      <c r="AO7947" s="33">
        <v>8.1474540948243078E-4</v>
      </c>
    </row>
    <row r="7948" spans="39:41" x14ac:dyDescent="0.25">
      <c r="AM7948" s="2">
        <v>7945</v>
      </c>
      <c r="AN7948" s="33">
        <v>1.2842774734641715E-2</v>
      </c>
      <c r="AO7948" s="33">
        <v>1.139886639301306E-3</v>
      </c>
    </row>
    <row r="7949" spans="39:41" x14ac:dyDescent="0.25">
      <c r="AM7949" s="2">
        <v>7946</v>
      </c>
      <c r="AN7949" s="33">
        <v>1.1918300700344185E-2</v>
      </c>
      <c r="AO7949" s="33">
        <v>9.6063939203325103E-4</v>
      </c>
    </row>
    <row r="7950" spans="39:41" x14ac:dyDescent="0.25">
      <c r="AM7950" s="2">
        <v>7947</v>
      </c>
      <c r="AN7950" s="33">
        <v>1.0541786764194486E-2</v>
      </c>
      <c r="AO7950" s="33">
        <v>6.693653676345993E-4</v>
      </c>
    </row>
    <row r="7951" spans="39:41" x14ac:dyDescent="0.25">
      <c r="AM7951" s="2">
        <v>7948</v>
      </c>
      <c r="AN7951" s="33">
        <v>8.5906548009879249E-3</v>
      </c>
      <c r="AO7951" s="33">
        <v>7.201762158725001E-4</v>
      </c>
    </row>
    <row r="7952" spans="39:41" x14ac:dyDescent="0.25">
      <c r="AM7952" s="2">
        <v>7949</v>
      </c>
      <c r="AN7952" s="33">
        <v>1.1609159682680985E-2</v>
      </c>
      <c r="AO7952" s="33">
        <v>1.0491536372706383E-3</v>
      </c>
    </row>
    <row r="7953" spans="39:41" x14ac:dyDescent="0.25">
      <c r="AM7953" s="2">
        <v>7950</v>
      </c>
      <c r="AN7953" s="33">
        <v>9.6989775690472825E-3</v>
      </c>
      <c r="AO7953" s="33">
        <v>5.4979769738929484E-4</v>
      </c>
    </row>
    <row r="7954" spans="39:41" x14ac:dyDescent="0.25">
      <c r="AM7954" s="2">
        <v>7951</v>
      </c>
      <c r="AN7954" s="33">
        <v>1.3854726006645076E-2</v>
      </c>
      <c r="AO7954" s="33">
        <v>1.0251587267994741E-3</v>
      </c>
    </row>
    <row r="7955" spans="39:41" x14ac:dyDescent="0.25">
      <c r="AM7955" s="2">
        <v>7952</v>
      </c>
      <c r="AN7955" s="33">
        <v>7.6737529336033655E-3</v>
      </c>
      <c r="AO7955" s="33">
        <v>5.9550551570282427E-4</v>
      </c>
    </row>
    <row r="7956" spans="39:41" x14ac:dyDescent="0.25">
      <c r="AM7956" s="2">
        <v>7953</v>
      </c>
      <c r="AN7956" s="33">
        <v>1.1340175020117183E-2</v>
      </c>
      <c r="AO7956" s="33">
        <v>1.0182267366970763E-3</v>
      </c>
    </row>
    <row r="7957" spans="39:41" x14ac:dyDescent="0.25">
      <c r="AM7957" s="2">
        <v>7954</v>
      </c>
      <c r="AN7957" s="33">
        <v>1.1465555470156969E-2</v>
      </c>
      <c r="AO7957" s="33">
        <v>8.6513816384336227E-4</v>
      </c>
    </row>
    <row r="7958" spans="39:41" x14ac:dyDescent="0.25">
      <c r="AM7958" s="2">
        <v>7955</v>
      </c>
      <c r="AN7958" s="33">
        <v>1.0852845580752508E-2</v>
      </c>
      <c r="AO7958" s="33">
        <v>7.7416165647613581E-4</v>
      </c>
    </row>
    <row r="7959" spans="39:41" x14ac:dyDescent="0.25">
      <c r="AM7959" s="2">
        <v>7956</v>
      </c>
      <c r="AN7959" s="33">
        <v>1.4394153187780881E-2</v>
      </c>
      <c r="AO7959" s="33">
        <v>1.3356251717876418E-3</v>
      </c>
    </row>
    <row r="7960" spans="39:41" x14ac:dyDescent="0.25">
      <c r="AM7960" s="2">
        <v>7957</v>
      </c>
      <c r="AN7960" s="33">
        <v>9.3300485553615507E-3</v>
      </c>
      <c r="AO7960" s="33">
        <v>6.8242116932664895E-4</v>
      </c>
    </row>
    <row r="7961" spans="39:41" x14ac:dyDescent="0.25">
      <c r="AM7961" s="2">
        <v>7958</v>
      </c>
      <c r="AN7961" s="33">
        <v>1.2132871577816057E-2</v>
      </c>
      <c r="AO7961" s="33">
        <v>8.6684172740886646E-4</v>
      </c>
    </row>
    <row r="7962" spans="39:41" x14ac:dyDescent="0.25">
      <c r="AM7962" s="2">
        <v>7959</v>
      </c>
      <c r="AN7962" s="33">
        <v>1.3438604596866088E-2</v>
      </c>
      <c r="AO7962" s="33">
        <v>1.2269848580757964E-3</v>
      </c>
    </row>
    <row r="7963" spans="39:41" x14ac:dyDescent="0.25">
      <c r="AM7963" s="2">
        <v>7960</v>
      </c>
      <c r="AN7963" s="33">
        <v>9.9643256621906456E-3</v>
      </c>
      <c r="AO7963" s="33">
        <v>4.1740594274172781E-4</v>
      </c>
    </row>
    <row r="7964" spans="39:41" x14ac:dyDescent="0.25">
      <c r="AM7964" s="2">
        <v>7961</v>
      </c>
      <c r="AN7964" s="33">
        <v>1.0414910727444739E-2</v>
      </c>
      <c r="AO7964" s="33">
        <v>3.568753807689629E-4</v>
      </c>
    </row>
    <row r="7965" spans="39:41" x14ac:dyDescent="0.25">
      <c r="AM7965" s="2">
        <v>7962</v>
      </c>
      <c r="AN7965" s="33">
        <v>1.3670155973817759E-2</v>
      </c>
      <c r="AO7965" s="33">
        <v>8.9760549895964389E-4</v>
      </c>
    </row>
    <row r="7966" spans="39:41" x14ac:dyDescent="0.25">
      <c r="AM7966" s="2">
        <v>7963</v>
      </c>
      <c r="AN7966" s="33">
        <v>8.7254479595266898E-3</v>
      </c>
      <c r="AO7966" s="33">
        <v>3.9521386497838769E-4</v>
      </c>
    </row>
    <row r="7967" spans="39:41" x14ac:dyDescent="0.25">
      <c r="AM7967" s="2">
        <v>7964</v>
      </c>
      <c r="AN7967" s="33">
        <v>1.2473600063207387E-2</v>
      </c>
      <c r="AO7967" s="33">
        <v>9.5546166852457566E-4</v>
      </c>
    </row>
    <row r="7968" spans="39:41" x14ac:dyDescent="0.25">
      <c r="AM7968" s="2">
        <v>7965</v>
      </c>
      <c r="AN7968" s="33">
        <v>1.0076825767091648E-2</v>
      </c>
      <c r="AO7968" s="33">
        <v>8.4276699171640247E-4</v>
      </c>
    </row>
    <row r="7969" spans="39:41" x14ac:dyDescent="0.25">
      <c r="AM7969" s="2">
        <v>7966</v>
      </c>
      <c r="AN7969" s="33">
        <v>1.2122161728094464E-2</v>
      </c>
      <c r="AO7969" s="33">
        <v>8.2737885649512258E-4</v>
      </c>
    </row>
    <row r="7970" spans="39:41" x14ac:dyDescent="0.25">
      <c r="AM7970" s="2">
        <v>7967</v>
      </c>
      <c r="AN7970" s="33">
        <v>1.2701478329844008E-2</v>
      </c>
      <c r="AO7970" s="33">
        <v>9.934704974950703E-4</v>
      </c>
    </row>
    <row r="7971" spans="39:41" x14ac:dyDescent="0.25">
      <c r="AM7971" s="2">
        <v>7968</v>
      </c>
      <c r="AN7971" s="33">
        <v>1.1966336887352758E-2</v>
      </c>
      <c r="AO7971" s="33">
        <v>5.4942557813501261E-4</v>
      </c>
    </row>
    <row r="7972" spans="39:41" x14ac:dyDescent="0.25">
      <c r="AM7972" s="2">
        <v>7969</v>
      </c>
      <c r="AN7972" s="33">
        <v>1.3276056238376386E-2</v>
      </c>
      <c r="AO7972" s="33">
        <v>6.8437594848594775E-4</v>
      </c>
    </row>
    <row r="7973" spans="39:41" x14ac:dyDescent="0.25">
      <c r="AM7973" s="2">
        <v>7970</v>
      </c>
      <c r="AN7973" s="33">
        <v>1.2840458843682099E-2</v>
      </c>
      <c r="AO7973" s="33">
        <v>1.3053727877778819E-3</v>
      </c>
    </row>
    <row r="7974" spans="39:41" x14ac:dyDescent="0.25">
      <c r="AM7974" s="2">
        <v>7971</v>
      </c>
      <c r="AN7974" s="33">
        <v>1.2761476073028145E-2</v>
      </c>
      <c r="AO7974" s="33">
        <v>1.1630060414087231E-3</v>
      </c>
    </row>
    <row r="7975" spans="39:41" x14ac:dyDescent="0.25">
      <c r="AM7975" s="2">
        <v>7972</v>
      </c>
      <c r="AN7975" s="33">
        <v>1.373753477260202E-2</v>
      </c>
      <c r="AO7975" s="33">
        <v>9.7404330495731587E-4</v>
      </c>
    </row>
    <row r="7976" spans="39:41" x14ac:dyDescent="0.25">
      <c r="AM7976" s="2">
        <v>7973</v>
      </c>
      <c r="AN7976" s="33">
        <v>8.10996808467997E-3</v>
      </c>
      <c r="AO7976" s="33">
        <v>6.7321924819128401E-4</v>
      </c>
    </row>
    <row r="7977" spans="39:41" x14ac:dyDescent="0.25">
      <c r="AM7977" s="2">
        <v>7974</v>
      </c>
      <c r="AN7977" s="33">
        <v>1.0954867313049317E-2</v>
      </c>
      <c r="AO7977" s="33">
        <v>9.3536393355196114E-4</v>
      </c>
    </row>
    <row r="7978" spans="39:41" x14ac:dyDescent="0.25">
      <c r="AM7978" s="2">
        <v>7975</v>
      </c>
      <c r="AN7978" s="33">
        <v>1.4444684131205468E-2</v>
      </c>
      <c r="AO7978" s="33">
        <v>9.2639780772208456E-4</v>
      </c>
    </row>
    <row r="7979" spans="39:41" x14ac:dyDescent="0.25">
      <c r="AM7979" s="2">
        <v>7976</v>
      </c>
      <c r="AN7979" s="33">
        <v>1.0729667336504611E-2</v>
      </c>
      <c r="AO7979" s="33">
        <v>2.8693966251329634E-4</v>
      </c>
    </row>
    <row r="7980" spans="39:41" x14ac:dyDescent="0.25">
      <c r="AM7980" s="2">
        <v>7977</v>
      </c>
      <c r="AN7980" s="33">
        <v>9.1260746988989887E-3</v>
      </c>
      <c r="AO7980" s="33">
        <v>4.9326089308354909E-4</v>
      </c>
    </row>
    <row r="7981" spans="39:41" x14ac:dyDescent="0.25">
      <c r="AM7981" s="2">
        <v>7978</v>
      </c>
      <c r="AN7981" s="33">
        <v>1.3032070545315575E-2</v>
      </c>
      <c r="AO7981" s="33">
        <v>1.0026577264051614E-3</v>
      </c>
    </row>
    <row r="7982" spans="39:41" x14ac:dyDescent="0.25">
      <c r="AM7982" s="2">
        <v>7979</v>
      </c>
      <c r="AN7982" s="33">
        <v>1.2209439389486662E-2</v>
      </c>
      <c r="AO7982" s="33">
        <v>1.1405416555707495E-3</v>
      </c>
    </row>
    <row r="7983" spans="39:41" x14ac:dyDescent="0.25">
      <c r="AM7983" s="2">
        <v>7980</v>
      </c>
      <c r="AN7983" s="33">
        <v>1.3296546083935367E-2</v>
      </c>
      <c r="AO7983" s="33">
        <v>1.3469894792071196E-3</v>
      </c>
    </row>
    <row r="7984" spans="39:41" x14ac:dyDescent="0.25">
      <c r="AM7984" s="2">
        <v>7981</v>
      </c>
      <c r="AN7984" s="33">
        <v>8.7292335049176609E-3</v>
      </c>
      <c r="AO7984" s="33">
        <v>5.8344733064040857E-4</v>
      </c>
    </row>
    <row r="7985" spans="39:41" x14ac:dyDescent="0.25">
      <c r="AM7985" s="2">
        <v>7982</v>
      </c>
      <c r="AN7985" s="33">
        <v>8.3510783662858745E-3</v>
      </c>
      <c r="AO7985" s="33">
        <v>6.6005331795052113E-4</v>
      </c>
    </row>
    <row r="7986" spans="39:41" x14ac:dyDescent="0.25">
      <c r="AM7986" s="2">
        <v>7983</v>
      </c>
      <c r="AN7986" s="33">
        <v>1.0277759967315454E-2</v>
      </c>
      <c r="AO7986" s="33">
        <v>6.0577707178365958E-4</v>
      </c>
    </row>
    <row r="7987" spans="39:41" x14ac:dyDescent="0.25">
      <c r="AM7987" s="2">
        <v>7984</v>
      </c>
      <c r="AN7987" s="33">
        <v>1.0265555883611076E-2</v>
      </c>
      <c r="AO7987" s="33">
        <v>2.8202502191395219E-4</v>
      </c>
    </row>
    <row r="7988" spans="39:41" x14ac:dyDescent="0.25">
      <c r="AM7988" s="2">
        <v>7985</v>
      </c>
      <c r="AN7988" s="33">
        <v>9.7699009091041927E-3</v>
      </c>
      <c r="AO7988" s="33">
        <v>8.8077974881649182E-4</v>
      </c>
    </row>
    <row r="7989" spans="39:41" x14ac:dyDescent="0.25">
      <c r="AM7989" s="2">
        <v>7986</v>
      </c>
      <c r="AN7989" s="33">
        <v>1.1598629492061334E-2</v>
      </c>
      <c r="AO7989" s="33">
        <v>7.0259422270736954E-4</v>
      </c>
    </row>
    <row r="7990" spans="39:41" x14ac:dyDescent="0.25">
      <c r="AM7990" s="2">
        <v>7987</v>
      </c>
      <c r="AN7990" s="33">
        <v>8.7183234454639904E-3</v>
      </c>
      <c r="AO7990" s="33">
        <v>5.2352260249141148E-4</v>
      </c>
    </row>
    <row r="7991" spans="39:41" x14ac:dyDescent="0.25">
      <c r="AM7991" s="2">
        <v>7988</v>
      </c>
      <c r="AN7991" s="33">
        <v>1.5446720770610645E-2</v>
      </c>
      <c r="AO7991" s="33">
        <v>1.0695675652206658E-3</v>
      </c>
    </row>
    <row r="7992" spans="39:41" x14ac:dyDescent="0.25">
      <c r="AM7992" s="2">
        <v>7989</v>
      </c>
      <c r="AN7992" s="33">
        <v>1.5079302459945983E-2</v>
      </c>
      <c r="AO7992" s="33">
        <v>1.3959923699595816E-3</v>
      </c>
    </row>
    <row r="7993" spans="39:41" x14ac:dyDescent="0.25">
      <c r="AM7993" s="2">
        <v>7990</v>
      </c>
      <c r="AN7993" s="33">
        <v>1.4119744370493119E-2</v>
      </c>
      <c r="AO7993" s="33">
        <v>1.0782310572132853E-3</v>
      </c>
    </row>
    <row r="7994" spans="39:41" x14ac:dyDescent="0.25">
      <c r="AM7994" s="2">
        <v>7991</v>
      </c>
      <c r="AN7994" s="33">
        <v>8.6505077234202039E-3</v>
      </c>
      <c r="AO7994" s="33">
        <v>5.8741859696922615E-4</v>
      </c>
    </row>
    <row r="7995" spans="39:41" x14ac:dyDescent="0.25">
      <c r="AM7995" s="2">
        <v>7992</v>
      </c>
      <c r="AN7995" s="33">
        <v>1.1102586581924643E-2</v>
      </c>
      <c r="AO7995" s="33">
        <v>1.0491850929348833E-3</v>
      </c>
    </row>
    <row r="7996" spans="39:41" x14ac:dyDescent="0.25">
      <c r="AM7996" s="2">
        <v>7993</v>
      </c>
      <c r="AN7996" s="33">
        <v>1.5129071302217877E-2</v>
      </c>
      <c r="AO7996" s="33">
        <v>9.7094544248861017E-4</v>
      </c>
    </row>
    <row r="7997" spans="39:41" x14ac:dyDescent="0.25">
      <c r="AM7997" s="2">
        <v>7994</v>
      </c>
      <c r="AN7997" s="33">
        <v>1.313334418145538E-2</v>
      </c>
      <c r="AO7997" s="33">
        <v>1.2384968530637112E-3</v>
      </c>
    </row>
    <row r="7998" spans="39:41" x14ac:dyDescent="0.25">
      <c r="AM7998" s="2">
        <v>7995</v>
      </c>
      <c r="AN7998" s="33">
        <v>1.5318157935907427E-2</v>
      </c>
      <c r="AO7998" s="33">
        <v>1.2602694446760133E-3</v>
      </c>
    </row>
    <row r="7999" spans="39:41" x14ac:dyDescent="0.25">
      <c r="AM7999" s="2">
        <v>7996</v>
      </c>
      <c r="AN7999" s="33">
        <v>9.8231496128493908E-3</v>
      </c>
      <c r="AO7999" s="33">
        <v>7.4277126424714102E-4</v>
      </c>
    </row>
    <row r="8000" spans="39:41" x14ac:dyDescent="0.25">
      <c r="AM8000" s="2">
        <v>7997</v>
      </c>
      <c r="AN8000" s="33">
        <v>1.0669950740577392E-2</v>
      </c>
      <c r="AO8000" s="33">
        <v>6.3904950211416366E-4</v>
      </c>
    </row>
    <row r="8001" spans="39:41" x14ac:dyDescent="0.25">
      <c r="AM8001" s="2">
        <v>7998</v>
      </c>
      <c r="AN8001" s="33">
        <v>9.1825394923573094E-3</v>
      </c>
      <c r="AO8001" s="33">
        <v>6.9829634492831751E-4</v>
      </c>
    </row>
    <row r="8002" spans="39:41" x14ac:dyDescent="0.25">
      <c r="AM8002" s="2">
        <v>7999</v>
      </c>
      <c r="AN8002" s="33">
        <v>1.4727616312650224E-2</v>
      </c>
      <c r="AO8002" s="33">
        <v>1.1818325120810827E-3</v>
      </c>
    </row>
    <row r="8003" spans="39:41" x14ac:dyDescent="0.25">
      <c r="AM8003" s="2">
        <v>8000</v>
      </c>
      <c r="AN8003" s="33">
        <v>1.062404521292741E-2</v>
      </c>
      <c r="AO8003" s="33">
        <v>2.4233456679497597E-4</v>
      </c>
    </row>
    <row r="8004" spans="39:41" x14ac:dyDescent="0.25">
      <c r="AM8004" s="2">
        <v>8001</v>
      </c>
      <c r="AN8004" s="33">
        <v>9.9220369086579999E-3</v>
      </c>
      <c r="AO8004" s="33">
        <v>8.2104148306925539E-4</v>
      </c>
    </row>
    <row r="8005" spans="39:41" x14ac:dyDescent="0.25">
      <c r="AM8005" s="2">
        <v>8002</v>
      </c>
      <c r="AN8005" s="33">
        <v>1.3177051340343771E-2</v>
      </c>
      <c r="AO8005" s="33">
        <v>1.2145147684664282E-3</v>
      </c>
    </row>
    <row r="8006" spans="39:41" x14ac:dyDescent="0.25">
      <c r="AM8006" s="2">
        <v>8003</v>
      </c>
      <c r="AN8006" s="33">
        <v>1.0499317932191995E-2</v>
      </c>
      <c r="AO8006" s="33">
        <v>4.824387195466541E-4</v>
      </c>
    </row>
    <row r="8007" spans="39:41" x14ac:dyDescent="0.25">
      <c r="AM8007" s="2">
        <v>8004</v>
      </c>
      <c r="AN8007" s="33">
        <v>1.0160124887157812E-2</v>
      </c>
      <c r="AO8007" s="33">
        <v>8.4342624264592233E-4</v>
      </c>
    </row>
    <row r="8008" spans="39:41" x14ac:dyDescent="0.25">
      <c r="AM8008" s="2">
        <v>8005</v>
      </c>
      <c r="AN8008" s="33">
        <v>1.150129930987227E-2</v>
      </c>
      <c r="AO8008" s="33">
        <v>1.0769266312037153E-3</v>
      </c>
    </row>
    <row r="8009" spans="39:41" x14ac:dyDescent="0.25">
      <c r="AM8009" s="2">
        <v>8006</v>
      </c>
      <c r="AN8009" s="33">
        <v>6.418410452560681E-3</v>
      </c>
      <c r="AO8009" s="33">
        <v>2.5180520337535862E-4</v>
      </c>
    </row>
    <row r="8010" spans="39:41" x14ac:dyDescent="0.25">
      <c r="AM8010" s="2">
        <v>8007</v>
      </c>
      <c r="AN8010" s="33">
        <v>1.1116613701018518E-2</v>
      </c>
      <c r="AO8010" s="33">
        <v>1.1702716649324338E-3</v>
      </c>
    </row>
    <row r="8011" spans="39:41" x14ac:dyDescent="0.25">
      <c r="AM8011" s="2">
        <v>8008</v>
      </c>
      <c r="AN8011" s="33">
        <v>1.5260867220780983E-2</v>
      </c>
      <c r="AO8011" s="33">
        <v>1.2136309573337685E-3</v>
      </c>
    </row>
    <row r="8012" spans="39:41" x14ac:dyDescent="0.25">
      <c r="AM8012" s="2">
        <v>8009</v>
      </c>
      <c r="AN8012" s="33">
        <v>1.176455021461472E-2</v>
      </c>
      <c r="AO8012" s="33">
        <v>6.9312709655582332E-4</v>
      </c>
    </row>
    <row r="8013" spans="39:41" x14ac:dyDescent="0.25">
      <c r="AM8013" s="2">
        <v>8010</v>
      </c>
      <c r="AN8013" s="33">
        <v>1.0016632317163201E-2</v>
      </c>
      <c r="AO8013" s="33">
        <v>5.5618189438393865E-4</v>
      </c>
    </row>
    <row r="8014" spans="39:41" x14ac:dyDescent="0.25">
      <c r="AM8014" s="2">
        <v>8011</v>
      </c>
      <c r="AN8014" s="33">
        <v>9.5931667402239674E-3</v>
      </c>
      <c r="AO8014" s="33">
        <v>4.1096038776472737E-4</v>
      </c>
    </row>
    <row r="8015" spans="39:41" x14ac:dyDescent="0.25">
      <c r="AM8015" s="2">
        <v>8012</v>
      </c>
      <c r="AN8015" s="33">
        <v>1.2141264086968079E-2</v>
      </c>
      <c r="AO8015" s="33">
        <v>9.1907770181411629E-4</v>
      </c>
    </row>
    <row r="8016" spans="39:41" x14ac:dyDescent="0.25">
      <c r="AM8016" s="2">
        <v>8013</v>
      </c>
      <c r="AN8016" s="33">
        <v>1.0433399503919432E-2</v>
      </c>
      <c r="AO8016" s="33">
        <v>7.3667000149547955E-4</v>
      </c>
    </row>
    <row r="8017" spans="39:41" x14ac:dyDescent="0.25">
      <c r="AM8017" s="2">
        <v>8014</v>
      </c>
      <c r="AN8017" s="33">
        <v>1.3243846170059033E-2</v>
      </c>
      <c r="AO8017" s="33">
        <v>1.3188549545931022E-3</v>
      </c>
    </row>
    <row r="8018" spans="39:41" x14ac:dyDescent="0.25">
      <c r="AM8018" s="2">
        <v>8015</v>
      </c>
      <c r="AN8018" s="33">
        <v>1.6503580614310832E-2</v>
      </c>
      <c r="AO8018" s="33">
        <v>1.5951897186289709E-3</v>
      </c>
    </row>
    <row r="8019" spans="39:41" x14ac:dyDescent="0.25">
      <c r="AM8019" s="2">
        <v>8016</v>
      </c>
      <c r="AN8019" s="33">
        <v>1.5179401374378933E-2</v>
      </c>
      <c r="AO8019" s="33">
        <v>1.6344501069157199E-3</v>
      </c>
    </row>
    <row r="8020" spans="39:41" x14ac:dyDescent="0.25">
      <c r="AM8020" s="2">
        <v>8017</v>
      </c>
      <c r="AN8020" s="33">
        <v>1.0424710597361955E-2</v>
      </c>
      <c r="AO8020" s="33">
        <v>9.3374044560330985E-4</v>
      </c>
    </row>
    <row r="8021" spans="39:41" x14ac:dyDescent="0.25">
      <c r="AM8021" s="2">
        <v>8018</v>
      </c>
      <c r="AN8021" s="33">
        <v>1.6681929893640771E-2</v>
      </c>
      <c r="AO8021" s="33">
        <v>1.2098788731515465E-3</v>
      </c>
    </row>
    <row r="8022" spans="39:41" x14ac:dyDescent="0.25">
      <c r="AM8022" s="2">
        <v>8019</v>
      </c>
      <c r="AN8022" s="33">
        <v>1.2553172749854583E-2</v>
      </c>
      <c r="AO8022" s="33">
        <v>1.2252293819907092E-3</v>
      </c>
    </row>
    <row r="8023" spans="39:41" x14ac:dyDescent="0.25">
      <c r="AM8023" s="2">
        <v>8020</v>
      </c>
      <c r="AN8023" s="33">
        <v>1.2457801762171082E-2</v>
      </c>
      <c r="AO8023" s="33">
        <v>3.3599114418460978E-4</v>
      </c>
    </row>
    <row r="8024" spans="39:41" x14ac:dyDescent="0.25">
      <c r="AM8024" s="2">
        <v>8021</v>
      </c>
      <c r="AN8024" s="33">
        <v>8.2407615874289363E-3</v>
      </c>
      <c r="AO8024" s="33">
        <v>5.8301132623411777E-4</v>
      </c>
    </row>
    <row r="8025" spans="39:41" x14ac:dyDescent="0.25">
      <c r="AM8025" s="2">
        <v>8022</v>
      </c>
      <c r="AN8025" s="33">
        <v>1.1810266983771687E-2</v>
      </c>
      <c r="AO8025" s="33">
        <v>7.1849830015774678E-4</v>
      </c>
    </row>
    <row r="8026" spans="39:41" x14ac:dyDescent="0.25">
      <c r="AM8026" s="2">
        <v>8023</v>
      </c>
      <c r="AN8026" s="33">
        <v>1.4433745152650525E-2</v>
      </c>
      <c r="AO8026" s="33">
        <v>1.1084129606609224E-3</v>
      </c>
    </row>
    <row r="8027" spans="39:41" x14ac:dyDescent="0.25">
      <c r="AM8027" s="2">
        <v>8024</v>
      </c>
      <c r="AN8027" s="33">
        <v>1.0637911147606297E-2</v>
      </c>
      <c r="AO8027" s="33">
        <v>8.5118434341605194E-4</v>
      </c>
    </row>
    <row r="8028" spans="39:41" x14ac:dyDescent="0.25">
      <c r="AM8028" s="2">
        <v>8025</v>
      </c>
      <c r="AN8028" s="33">
        <v>9.0696607148547589E-3</v>
      </c>
      <c r="AO8028" s="33">
        <v>2.9301830772746697E-4</v>
      </c>
    </row>
    <row r="8029" spans="39:41" x14ac:dyDescent="0.25">
      <c r="AM8029" s="2">
        <v>8026</v>
      </c>
      <c r="AN8029" s="33">
        <v>7.8513619620254379E-3</v>
      </c>
      <c r="AO8029" s="33">
        <v>1.870247377119928E-4</v>
      </c>
    </row>
    <row r="8030" spans="39:41" x14ac:dyDescent="0.25">
      <c r="AM8030" s="2">
        <v>8027</v>
      </c>
      <c r="AN8030" s="33">
        <v>9.5087245190451173E-3</v>
      </c>
      <c r="AO8030" s="33">
        <v>6.3708926695966788E-4</v>
      </c>
    </row>
    <row r="8031" spans="39:41" x14ac:dyDescent="0.25">
      <c r="AM8031" s="2">
        <v>8028</v>
      </c>
      <c r="AN8031" s="33">
        <v>1.5025153264905047E-2</v>
      </c>
      <c r="AO8031" s="33">
        <v>1.0129167490126418E-3</v>
      </c>
    </row>
    <row r="8032" spans="39:41" x14ac:dyDescent="0.25">
      <c r="AM8032" s="2">
        <v>8029</v>
      </c>
      <c r="AN8032" s="33">
        <v>1.4158240027521134E-2</v>
      </c>
      <c r="AO8032" s="33">
        <v>1.344160862436321E-3</v>
      </c>
    </row>
    <row r="8033" spans="39:41" x14ac:dyDescent="0.25">
      <c r="AM8033" s="2">
        <v>8030</v>
      </c>
      <c r="AN8033" s="33">
        <v>1.3194338463317159E-2</v>
      </c>
      <c r="AO8033" s="33">
        <v>7.6718150710710677E-4</v>
      </c>
    </row>
    <row r="8034" spans="39:41" x14ac:dyDescent="0.25">
      <c r="AM8034" s="2">
        <v>8031</v>
      </c>
      <c r="AN8034" s="33">
        <v>1.0822179047196231E-2</v>
      </c>
      <c r="AO8034" s="33">
        <v>8.0306571822497054E-4</v>
      </c>
    </row>
    <row r="8035" spans="39:41" x14ac:dyDescent="0.25">
      <c r="AM8035" s="2">
        <v>8032</v>
      </c>
      <c r="AN8035" s="33">
        <v>1.1548268806104049E-2</v>
      </c>
      <c r="AO8035" s="33">
        <v>6.1475408963745676E-4</v>
      </c>
    </row>
    <row r="8036" spans="39:41" x14ac:dyDescent="0.25">
      <c r="AM8036" s="2">
        <v>8033</v>
      </c>
      <c r="AN8036" s="33">
        <v>9.7730975821332527E-3</v>
      </c>
      <c r="AO8036" s="33">
        <v>5.7268223467683453E-4</v>
      </c>
    </row>
    <row r="8037" spans="39:41" x14ac:dyDescent="0.25">
      <c r="AM8037" s="2">
        <v>8034</v>
      </c>
      <c r="AN8037" s="33">
        <v>1.3239057698846219E-2</v>
      </c>
      <c r="AO8037" s="33">
        <v>1.1444085630395156E-3</v>
      </c>
    </row>
    <row r="8038" spans="39:41" x14ac:dyDescent="0.25">
      <c r="AM8038" s="2">
        <v>8035</v>
      </c>
      <c r="AN8038" s="33">
        <v>1.2820577062137076E-2</v>
      </c>
      <c r="AO8038" s="33">
        <v>1.2033311360975876E-3</v>
      </c>
    </row>
    <row r="8039" spans="39:41" x14ac:dyDescent="0.25">
      <c r="AM8039" s="2">
        <v>8036</v>
      </c>
      <c r="AN8039" s="33">
        <v>9.9525063573257418E-3</v>
      </c>
      <c r="AO8039" s="33">
        <v>4.6038042041342562E-4</v>
      </c>
    </row>
    <row r="8040" spans="39:41" x14ac:dyDescent="0.25">
      <c r="AM8040" s="2">
        <v>8037</v>
      </c>
      <c r="AN8040" s="33">
        <v>1.5818006873008935E-2</v>
      </c>
      <c r="AO8040" s="33">
        <v>1.0291507863610381E-3</v>
      </c>
    </row>
    <row r="8041" spans="39:41" x14ac:dyDescent="0.25">
      <c r="AM8041" s="2">
        <v>8038</v>
      </c>
      <c r="AN8041" s="33">
        <v>1.6058062436866211E-2</v>
      </c>
      <c r="AO8041" s="33">
        <v>1.2770214669004707E-3</v>
      </c>
    </row>
    <row r="8042" spans="39:41" x14ac:dyDescent="0.25">
      <c r="AM8042" s="2">
        <v>8039</v>
      </c>
      <c r="AN8042" s="33">
        <v>9.9150722990029947E-3</v>
      </c>
      <c r="AO8042" s="33">
        <v>4.1232236581851341E-4</v>
      </c>
    </row>
    <row r="8043" spans="39:41" x14ac:dyDescent="0.25">
      <c r="AM8043" s="2">
        <v>8040</v>
      </c>
      <c r="AN8043" s="33">
        <v>8.0147131657239256E-3</v>
      </c>
      <c r="AO8043" s="33">
        <v>4.4952431439958951E-4</v>
      </c>
    </row>
    <row r="8044" spans="39:41" x14ac:dyDescent="0.25">
      <c r="AM8044" s="2">
        <v>8041</v>
      </c>
      <c r="AN8044" s="33">
        <v>1.1117387350053805E-2</v>
      </c>
      <c r="AO8044" s="33">
        <v>6.233490979634153E-4</v>
      </c>
    </row>
    <row r="8045" spans="39:41" x14ac:dyDescent="0.25">
      <c r="AM8045" s="2">
        <v>8042</v>
      </c>
      <c r="AN8045" s="33">
        <v>1.0347036343260492E-2</v>
      </c>
      <c r="AO8045" s="33">
        <v>9.2812005239919994E-4</v>
      </c>
    </row>
    <row r="8046" spans="39:41" x14ac:dyDescent="0.25">
      <c r="AM8046" s="2">
        <v>8043</v>
      </c>
      <c r="AN8046" s="33">
        <v>1.0775119569072058E-2</v>
      </c>
      <c r="AO8046" s="33">
        <v>8.8263362876057731E-4</v>
      </c>
    </row>
    <row r="8047" spans="39:41" x14ac:dyDescent="0.25">
      <c r="AM8047" s="2">
        <v>8044</v>
      </c>
      <c r="AN8047" s="33">
        <v>1.0765252790431562E-2</v>
      </c>
      <c r="AO8047" s="33">
        <v>4.6370278621877148E-4</v>
      </c>
    </row>
    <row r="8048" spans="39:41" x14ac:dyDescent="0.25">
      <c r="AM8048" s="2">
        <v>8045</v>
      </c>
      <c r="AN8048" s="33">
        <v>1.0235822838617212E-2</v>
      </c>
      <c r="AO8048" s="33">
        <v>7.8393461783008063E-4</v>
      </c>
    </row>
    <row r="8049" spans="39:41" x14ac:dyDescent="0.25">
      <c r="AM8049" s="2">
        <v>8046</v>
      </c>
      <c r="AN8049" s="33">
        <v>1.1405794132563478E-2</v>
      </c>
      <c r="AO8049" s="33">
        <v>8.0740125704360202E-4</v>
      </c>
    </row>
    <row r="8050" spans="39:41" x14ac:dyDescent="0.25">
      <c r="AM8050" s="2">
        <v>8047</v>
      </c>
      <c r="AN8050" s="33">
        <v>8.1309645038972183E-3</v>
      </c>
      <c r="AO8050" s="33">
        <v>3.4522051558403318E-4</v>
      </c>
    </row>
    <row r="8051" spans="39:41" x14ac:dyDescent="0.25">
      <c r="AM8051" s="2">
        <v>8048</v>
      </c>
      <c r="AN8051" s="33">
        <v>9.5689715516449267E-3</v>
      </c>
      <c r="AO8051" s="33">
        <v>4.9964722136892588E-4</v>
      </c>
    </row>
    <row r="8052" spans="39:41" x14ac:dyDescent="0.25">
      <c r="AM8052" s="2">
        <v>8049</v>
      </c>
      <c r="AN8052" s="33">
        <v>8.4900434989944595E-3</v>
      </c>
      <c r="AO8052" s="33">
        <v>5.62764557063828E-4</v>
      </c>
    </row>
    <row r="8053" spans="39:41" x14ac:dyDescent="0.25">
      <c r="AM8053" s="2">
        <v>8050</v>
      </c>
      <c r="AN8053" s="33">
        <v>1.1691979751165191E-2</v>
      </c>
      <c r="AO8053" s="33">
        <v>1.031438282295787E-3</v>
      </c>
    </row>
    <row r="8054" spans="39:41" x14ac:dyDescent="0.25">
      <c r="AM8054" s="2">
        <v>8051</v>
      </c>
      <c r="AN8054" s="33">
        <v>1.4615439892900144E-2</v>
      </c>
      <c r="AO8054" s="33">
        <v>1.1595589715511854E-3</v>
      </c>
    </row>
    <row r="8055" spans="39:41" x14ac:dyDescent="0.25">
      <c r="AM8055" s="2">
        <v>8052</v>
      </c>
      <c r="AN8055" s="33">
        <v>9.0034273306274226E-3</v>
      </c>
      <c r="AO8055" s="33">
        <v>5.7626660162661645E-4</v>
      </c>
    </row>
    <row r="8056" spans="39:41" x14ac:dyDescent="0.25">
      <c r="AM8056" s="2">
        <v>8053</v>
      </c>
      <c r="AN8056" s="33">
        <v>1.2285085880930533E-2</v>
      </c>
      <c r="AO8056" s="33">
        <v>1.0867613640941098E-3</v>
      </c>
    </row>
    <row r="8057" spans="39:41" x14ac:dyDescent="0.25">
      <c r="AM8057" s="2">
        <v>8054</v>
      </c>
      <c r="AN8057" s="33">
        <v>1.033743464875053E-2</v>
      </c>
      <c r="AO8057" s="33">
        <v>8.6142170460908106E-4</v>
      </c>
    </row>
    <row r="8058" spans="39:41" x14ac:dyDescent="0.25">
      <c r="AM8058" s="2">
        <v>8055</v>
      </c>
      <c r="AN8058" s="33">
        <v>1.210296994764664E-2</v>
      </c>
      <c r="AO8058" s="33">
        <v>7.0184464001201167E-4</v>
      </c>
    </row>
    <row r="8059" spans="39:41" x14ac:dyDescent="0.25">
      <c r="AM8059" s="2">
        <v>8056</v>
      </c>
      <c r="AN8059" s="33">
        <v>1.1002847372940562E-2</v>
      </c>
      <c r="AO8059" s="33">
        <v>8.9664829472258715E-4</v>
      </c>
    </row>
    <row r="8060" spans="39:41" x14ac:dyDescent="0.25">
      <c r="AM8060" s="2">
        <v>8057</v>
      </c>
      <c r="AN8060" s="33">
        <v>1.3224939824543853E-2</v>
      </c>
      <c r="AO8060" s="33">
        <v>8.4606002214670573E-4</v>
      </c>
    </row>
    <row r="8061" spans="39:41" x14ac:dyDescent="0.25">
      <c r="AM8061" s="2">
        <v>8058</v>
      </c>
      <c r="AN8061" s="33">
        <v>1.2003193499979187E-2</v>
      </c>
      <c r="AO8061" s="33">
        <v>4.4806822318678089E-4</v>
      </c>
    </row>
    <row r="8062" spans="39:41" x14ac:dyDescent="0.25">
      <c r="AM8062" s="2">
        <v>8059</v>
      </c>
      <c r="AN8062" s="33">
        <v>1.3370066925786447E-2</v>
      </c>
      <c r="AO8062" s="33">
        <v>1.1464080257364215E-3</v>
      </c>
    </row>
    <row r="8063" spans="39:41" x14ac:dyDescent="0.25">
      <c r="AM8063" s="2">
        <v>8060</v>
      </c>
      <c r="AN8063" s="33">
        <v>9.5964317139223508E-3</v>
      </c>
      <c r="AO8063" s="33">
        <v>3.9207209666156204E-4</v>
      </c>
    </row>
    <row r="8064" spans="39:41" x14ac:dyDescent="0.25">
      <c r="AM8064" s="2">
        <v>8061</v>
      </c>
      <c r="AN8064" s="33">
        <v>9.0058748541266588E-3</v>
      </c>
      <c r="AO8064" s="33">
        <v>8.3907627551070693E-4</v>
      </c>
    </row>
    <row r="8065" spans="39:41" x14ac:dyDescent="0.25">
      <c r="AM8065" s="2">
        <v>8062</v>
      </c>
      <c r="AN8065" s="33">
        <v>1.2699321646693544E-2</v>
      </c>
      <c r="AO8065" s="33">
        <v>8.1542537068151331E-4</v>
      </c>
    </row>
    <row r="8066" spans="39:41" x14ac:dyDescent="0.25">
      <c r="AM8066" s="2">
        <v>8063</v>
      </c>
      <c r="AN8066" s="33">
        <v>1.6833956617344398E-2</v>
      </c>
      <c r="AO8066" s="33">
        <v>1.386596788647043E-3</v>
      </c>
    </row>
    <row r="8067" spans="39:41" x14ac:dyDescent="0.25">
      <c r="AM8067" s="2">
        <v>8064</v>
      </c>
      <c r="AN8067" s="33">
        <v>1.5587002215571555E-2</v>
      </c>
      <c r="AO8067" s="33">
        <v>1.1119916692672758E-3</v>
      </c>
    </row>
    <row r="8068" spans="39:41" x14ac:dyDescent="0.25">
      <c r="AM8068" s="2">
        <v>8065</v>
      </c>
      <c r="AN8068" s="33">
        <v>1.1271598913620026E-2</v>
      </c>
      <c r="AO8068" s="33">
        <v>9.5470105094804718E-4</v>
      </c>
    </row>
    <row r="8069" spans="39:41" x14ac:dyDescent="0.25">
      <c r="AM8069" s="2">
        <v>8066</v>
      </c>
      <c r="AN8069" s="33">
        <v>1.1299111479733438E-2</v>
      </c>
      <c r="AO8069" s="33">
        <v>7.0961980132782342E-4</v>
      </c>
    </row>
    <row r="8070" spans="39:41" x14ac:dyDescent="0.25">
      <c r="AM8070" s="2">
        <v>8067</v>
      </c>
      <c r="AN8070" s="33">
        <v>9.7679168817529031E-3</v>
      </c>
      <c r="AO8070" s="33">
        <v>3.6253656575889779E-4</v>
      </c>
    </row>
    <row r="8071" spans="39:41" x14ac:dyDescent="0.25">
      <c r="AM8071" s="2">
        <v>8068</v>
      </c>
      <c r="AN8071" s="33">
        <v>1.3069749337290852E-2</v>
      </c>
      <c r="AO8071" s="33">
        <v>1.1894580900722966E-3</v>
      </c>
    </row>
    <row r="8072" spans="39:41" x14ac:dyDescent="0.25">
      <c r="AM8072" s="2">
        <v>8069</v>
      </c>
      <c r="AN8072" s="33">
        <v>1.0629658250351939E-2</v>
      </c>
      <c r="AO8072" s="33">
        <v>9.5506690321216486E-4</v>
      </c>
    </row>
    <row r="8073" spans="39:41" x14ac:dyDescent="0.25">
      <c r="AM8073" s="2">
        <v>8070</v>
      </c>
      <c r="AN8073" s="33">
        <v>9.3396552609823925E-3</v>
      </c>
      <c r="AO8073" s="33">
        <v>5.6516937051179195E-4</v>
      </c>
    </row>
    <row r="8074" spans="39:41" x14ac:dyDescent="0.25">
      <c r="AM8074" s="2">
        <v>8071</v>
      </c>
      <c r="AN8074" s="33">
        <v>1.3198158490352182E-2</v>
      </c>
      <c r="AO8074" s="33">
        <v>1.1177635892734659E-3</v>
      </c>
    </row>
    <row r="8075" spans="39:41" x14ac:dyDescent="0.25">
      <c r="AM8075" s="2">
        <v>8072</v>
      </c>
      <c r="AN8075" s="33">
        <v>9.3884788111358725E-3</v>
      </c>
      <c r="AO8075" s="33">
        <v>8.0332773046837215E-4</v>
      </c>
    </row>
    <row r="8076" spans="39:41" x14ac:dyDescent="0.25">
      <c r="AM8076" s="2">
        <v>8073</v>
      </c>
      <c r="AN8076" s="33">
        <v>1.2462334136841637E-2</v>
      </c>
      <c r="AO8076" s="33">
        <v>1.0507465824352339E-3</v>
      </c>
    </row>
    <row r="8077" spans="39:41" x14ac:dyDescent="0.25">
      <c r="AM8077" s="2">
        <v>8074</v>
      </c>
      <c r="AN8077" s="33">
        <v>1.2819588788595591E-2</v>
      </c>
      <c r="AO8077" s="33">
        <v>1.0381496135327226E-3</v>
      </c>
    </row>
    <row r="8078" spans="39:41" x14ac:dyDescent="0.25">
      <c r="AM8078" s="2">
        <v>8075</v>
      </c>
      <c r="AN8078" s="33">
        <v>9.06806244597912E-3</v>
      </c>
      <c r="AO8078" s="33">
        <v>7.096834136846664E-4</v>
      </c>
    </row>
    <row r="8079" spans="39:41" x14ac:dyDescent="0.25">
      <c r="AM8079" s="2">
        <v>8076</v>
      </c>
      <c r="AN8079" s="33">
        <v>1.0582385724145677E-2</v>
      </c>
      <c r="AO8079" s="33">
        <v>5.7304421460919509E-4</v>
      </c>
    </row>
    <row r="8080" spans="39:41" x14ac:dyDescent="0.25">
      <c r="AM8080" s="2">
        <v>8077</v>
      </c>
      <c r="AN8080" s="33">
        <v>1.0814805482598064E-2</v>
      </c>
      <c r="AO8080" s="33">
        <v>7.6039830196101741E-4</v>
      </c>
    </row>
    <row r="8081" spans="39:41" x14ac:dyDescent="0.25">
      <c r="AM8081" s="2">
        <v>8078</v>
      </c>
      <c r="AN8081" s="33">
        <v>1.101371578265997E-2</v>
      </c>
      <c r="AO8081" s="33">
        <v>8.1670280498141094E-4</v>
      </c>
    </row>
    <row r="8082" spans="39:41" x14ac:dyDescent="0.25">
      <c r="AM8082" s="2">
        <v>8079</v>
      </c>
      <c r="AN8082" s="33">
        <v>8.5491719773420054E-3</v>
      </c>
      <c r="AO8082" s="33">
        <v>8.9391217408715806E-4</v>
      </c>
    </row>
    <row r="8083" spans="39:41" x14ac:dyDescent="0.25">
      <c r="AM8083" s="2">
        <v>8080</v>
      </c>
      <c r="AN8083" s="33">
        <v>1.1168543025620797E-2</v>
      </c>
      <c r="AO8083" s="33">
        <v>9.8322045786958332E-4</v>
      </c>
    </row>
    <row r="8084" spans="39:41" x14ac:dyDescent="0.25">
      <c r="AM8084" s="2">
        <v>8081</v>
      </c>
      <c r="AN8084" s="33">
        <v>1.6319355505936262E-2</v>
      </c>
      <c r="AO8084" s="33">
        <v>1.3375264824362699E-3</v>
      </c>
    </row>
    <row r="8085" spans="39:41" x14ac:dyDescent="0.25">
      <c r="AM8085" s="2">
        <v>8082</v>
      </c>
      <c r="AN8085" s="33">
        <v>9.0827578106430062E-3</v>
      </c>
      <c r="AO8085" s="33">
        <v>8.1534685556115631E-4</v>
      </c>
    </row>
    <row r="8086" spans="39:41" x14ac:dyDescent="0.25">
      <c r="AM8086" s="2">
        <v>8083</v>
      </c>
      <c r="AN8086" s="33">
        <v>9.7838330175178245E-3</v>
      </c>
      <c r="AO8086" s="33">
        <v>9.0970940838157668E-4</v>
      </c>
    </row>
    <row r="8087" spans="39:41" x14ac:dyDescent="0.25">
      <c r="AM8087" s="2">
        <v>8084</v>
      </c>
      <c r="AN8087" s="33">
        <v>1.6123626620033436E-2</v>
      </c>
      <c r="AO8087" s="33">
        <v>1.5448364031597651E-3</v>
      </c>
    </row>
    <row r="8088" spans="39:41" x14ac:dyDescent="0.25">
      <c r="AM8088" s="2">
        <v>8085</v>
      </c>
      <c r="AN8088" s="33">
        <v>7.939872197743808E-3</v>
      </c>
      <c r="AO8088" s="33">
        <v>3.7572830977051662E-4</v>
      </c>
    </row>
    <row r="8089" spans="39:41" x14ac:dyDescent="0.25">
      <c r="AM8089" s="2">
        <v>8086</v>
      </c>
      <c r="AN8089" s="33">
        <v>1.0585018400382021E-2</v>
      </c>
      <c r="AO8089" s="33">
        <v>7.9157408296673772E-4</v>
      </c>
    </row>
    <row r="8090" spans="39:41" x14ac:dyDescent="0.25">
      <c r="AM8090" s="2">
        <v>8087</v>
      </c>
      <c r="AN8090" s="33">
        <v>9.0143011364513109E-3</v>
      </c>
      <c r="AO8090" s="33">
        <v>3.8190693398845943E-4</v>
      </c>
    </row>
    <row r="8091" spans="39:41" x14ac:dyDescent="0.25">
      <c r="AM8091" s="2">
        <v>8088</v>
      </c>
      <c r="AN8091" s="33">
        <v>1.20414018524227E-2</v>
      </c>
      <c r="AO8091" s="33">
        <v>5.2172180137361216E-4</v>
      </c>
    </row>
    <row r="8092" spans="39:41" x14ac:dyDescent="0.25">
      <c r="AM8092" s="2">
        <v>8089</v>
      </c>
      <c r="AN8092" s="33">
        <v>1.108964539278298E-2</v>
      </c>
      <c r="AO8092" s="33">
        <v>5.1736516552147098E-4</v>
      </c>
    </row>
    <row r="8093" spans="39:41" x14ac:dyDescent="0.25">
      <c r="AM8093" s="2">
        <v>8090</v>
      </c>
      <c r="AN8093" s="33">
        <v>1.4801692451236879E-2</v>
      </c>
      <c r="AO8093" s="33">
        <v>1.3954279594723706E-3</v>
      </c>
    </row>
    <row r="8094" spans="39:41" x14ac:dyDescent="0.25">
      <c r="AM8094" s="2">
        <v>8091</v>
      </c>
      <c r="AN8094" s="33">
        <v>8.6121615894934143E-3</v>
      </c>
      <c r="AO8094" s="33">
        <v>6.1186848960976593E-4</v>
      </c>
    </row>
    <row r="8095" spans="39:41" x14ac:dyDescent="0.25">
      <c r="AM8095" s="2">
        <v>8092</v>
      </c>
      <c r="AN8095" s="33">
        <v>1.2076270390612225E-2</v>
      </c>
      <c r="AO8095" s="33">
        <v>7.0945278036188704E-4</v>
      </c>
    </row>
    <row r="8096" spans="39:41" x14ac:dyDescent="0.25">
      <c r="AM8096" s="2">
        <v>8093</v>
      </c>
      <c r="AN8096" s="33">
        <v>1.1860892668726652E-2</v>
      </c>
      <c r="AO8096" s="33">
        <v>8.5152676489192185E-4</v>
      </c>
    </row>
    <row r="8097" spans="39:41" x14ac:dyDescent="0.25">
      <c r="AM8097" s="2">
        <v>8094</v>
      </c>
      <c r="AN8097" s="33">
        <v>9.3409070475387115E-3</v>
      </c>
      <c r="AO8097" s="33">
        <v>6.0224946797471227E-4</v>
      </c>
    </row>
    <row r="8098" spans="39:41" x14ac:dyDescent="0.25">
      <c r="AM8098" s="2">
        <v>8095</v>
      </c>
      <c r="AN8098" s="33">
        <v>1.6247130639481636E-2</v>
      </c>
      <c r="AO8098" s="33">
        <v>1.6044601131256584E-3</v>
      </c>
    </row>
    <row r="8099" spans="39:41" x14ac:dyDescent="0.25">
      <c r="AM8099" s="2">
        <v>8096</v>
      </c>
      <c r="AN8099" s="33">
        <v>1.1817613177357461E-2</v>
      </c>
      <c r="AO8099" s="33">
        <v>2.0346329740789342E-4</v>
      </c>
    </row>
    <row r="8100" spans="39:41" x14ac:dyDescent="0.25">
      <c r="AM8100" s="2">
        <v>8097</v>
      </c>
      <c r="AN8100" s="33">
        <v>7.8050330516105841E-3</v>
      </c>
      <c r="AO8100" s="33">
        <v>3.4458786413436268E-4</v>
      </c>
    </row>
    <row r="8101" spans="39:41" x14ac:dyDescent="0.25">
      <c r="AM8101" s="2">
        <v>8098</v>
      </c>
      <c r="AN8101" s="33">
        <v>1.1114140962037578E-2</v>
      </c>
      <c r="AO8101" s="33">
        <v>7.7769860469995792E-4</v>
      </c>
    </row>
    <row r="8102" spans="39:41" x14ac:dyDescent="0.25">
      <c r="AM8102" s="2">
        <v>8099</v>
      </c>
      <c r="AN8102" s="33">
        <v>9.2463273606873085E-3</v>
      </c>
      <c r="AO8102" s="33">
        <v>7.995695943564063E-4</v>
      </c>
    </row>
    <row r="8103" spans="39:41" x14ac:dyDescent="0.25">
      <c r="AM8103" s="2">
        <v>8100</v>
      </c>
      <c r="AN8103" s="33">
        <v>8.2742493376803776E-3</v>
      </c>
      <c r="AO8103" s="33">
        <v>4.043228656801971E-4</v>
      </c>
    </row>
    <row r="8104" spans="39:41" x14ac:dyDescent="0.25">
      <c r="AM8104" s="2">
        <v>8101</v>
      </c>
      <c r="AN8104" s="33">
        <v>1.289883059791822E-2</v>
      </c>
      <c r="AO8104" s="33">
        <v>1.2597034449180792E-3</v>
      </c>
    </row>
    <row r="8105" spans="39:41" x14ac:dyDescent="0.25">
      <c r="AM8105" s="2">
        <v>8102</v>
      </c>
      <c r="AN8105" s="33">
        <v>1.3912508271766376E-2</v>
      </c>
      <c r="AO8105" s="33">
        <v>9.8995147979846765E-4</v>
      </c>
    </row>
    <row r="8106" spans="39:41" x14ac:dyDescent="0.25">
      <c r="AM8106" s="2">
        <v>8103</v>
      </c>
      <c r="AN8106" s="33">
        <v>1.1521493283203184E-2</v>
      </c>
      <c r="AO8106" s="33">
        <v>8.8728792556412421E-4</v>
      </c>
    </row>
    <row r="8107" spans="39:41" x14ac:dyDescent="0.25">
      <c r="AM8107" s="2">
        <v>8104</v>
      </c>
      <c r="AN8107" s="33">
        <v>1.0412089178013052E-2</v>
      </c>
      <c r="AO8107" s="33">
        <v>6.3902320017494266E-4</v>
      </c>
    </row>
    <row r="8108" spans="39:41" x14ac:dyDescent="0.25">
      <c r="AM8108" s="2">
        <v>8105</v>
      </c>
      <c r="AN8108" s="33">
        <v>1.092752909117284E-2</v>
      </c>
      <c r="AO8108" s="33">
        <v>8.5688626525567231E-4</v>
      </c>
    </row>
    <row r="8109" spans="39:41" x14ac:dyDescent="0.25">
      <c r="AM8109" s="2">
        <v>8106</v>
      </c>
      <c r="AN8109" s="33">
        <v>1.0267696340045363E-2</v>
      </c>
      <c r="AO8109" s="33">
        <v>6.7355570742966655E-4</v>
      </c>
    </row>
    <row r="8110" spans="39:41" x14ac:dyDescent="0.25">
      <c r="AM8110" s="2">
        <v>8107</v>
      </c>
      <c r="AN8110" s="33">
        <v>9.5049406760685084E-3</v>
      </c>
      <c r="AO8110" s="33">
        <v>7.4617238836563807E-4</v>
      </c>
    </row>
    <row r="8111" spans="39:41" x14ac:dyDescent="0.25">
      <c r="AM8111" s="2">
        <v>8108</v>
      </c>
      <c r="AN8111" s="33">
        <v>1.1930459290506111E-2</v>
      </c>
      <c r="AO8111" s="33">
        <v>7.0611469843710967E-4</v>
      </c>
    </row>
    <row r="8112" spans="39:41" x14ac:dyDescent="0.25">
      <c r="AM8112" s="2">
        <v>8109</v>
      </c>
      <c r="AN8112" s="33">
        <v>1.1824612692018155E-2</v>
      </c>
      <c r="AO8112" s="33">
        <v>5.5493588523643277E-4</v>
      </c>
    </row>
    <row r="8113" spans="39:41" x14ac:dyDescent="0.25">
      <c r="AM8113" s="2">
        <v>8110</v>
      </c>
      <c r="AN8113" s="33">
        <v>1.0423541775065603E-2</v>
      </c>
      <c r="AO8113" s="33">
        <v>8.570906821206278E-4</v>
      </c>
    </row>
    <row r="8114" spans="39:41" x14ac:dyDescent="0.25">
      <c r="AM8114" s="2">
        <v>8111</v>
      </c>
      <c r="AN8114" s="33">
        <v>1.0493573055425651E-2</v>
      </c>
      <c r="AO8114" s="33">
        <v>8.6357429064085685E-4</v>
      </c>
    </row>
    <row r="8115" spans="39:41" x14ac:dyDescent="0.25">
      <c r="AM8115" s="2">
        <v>8112</v>
      </c>
      <c r="AN8115" s="33">
        <v>1.2031675282597866E-2</v>
      </c>
      <c r="AO8115" s="33">
        <v>6.5042117486514492E-4</v>
      </c>
    </row>
    <row r="8116" spans="39:41" x14ac:dyDescent="0.25">
      <c r="AM8116" s="2">
        <v>8113</v>
      </c>
      <c r="AN8116" s="33">
        <v>1.5170802163165971E-2</v>
      </c>
      <c r="AO8116" s="33">
        <v>1.3036272636472012E-3</v>
      </c>
    </row>
    <row r="8117" spans="39:41" x14ac:dyDescent="0.25">
      <c r="AM8117" s="2">
        <v>8114</v>
      </c>
      <c r="AN8117" s="33">
        <v>1.3315003843858865E-2</v>
      </c>
      <c r="AO8117" s="33">
        <v>1.3145951798325987E-3</v>
      </c>
    </row>
    <row r="8118" spans="39:41" x14ac:dyDescent="0.25">
      <c r="AM8118" s="2">
        <v>8115</v>
      </c>
      <c r="AN8118" s="33">
        <v>1.1931968590509302E-2</v>
      </c>
      <c r="AO8118" s="33">
        <v>1.0142940231002619E-3</v>
      </c>
    </row>
    <row r="8119" spans="39:41" x14ac:dyDescent="0.25">
      <c r="AM8119" s="2">
        <v>8116</v>
      </c>
      <c r="AN8119" s="33">
        <v>1.1700677039731053E-2</v>
      </c>
      <c r="AO8119" s="33">
        <v>7.1475459671931671E-4</v>
      </c>
    </row>
    <row r="8120" spans="39:41" x14ac:dyDescent="0.25">
      <c r="AM8120" s="2">
        <v>8117</v>
      </c>
      <c r="AN8120" s="33">
        <v>1.1794675392446682E-2</v>
      </c>
      <c r="AO8120" s="33">
        <v>1.0533743611852214E-3</v>
      </c>
    </row>
    <row r="8121" spans="39:41" x14ac:dyDescent="0.25">
      <c r="AM8121" s="2">
        <v>8118</v>
      </c>
      <c r="AN8121" s="33">
        <v>9.4063335871598479E-3</v>
      </c>
      <c r="AO8121" s="33">
        <v>1.9736638605786339E-4</v>
      </c>
    </row>
    <row r="8122" spans="39:41" x14ac:dyDescent="0.25">
      <c r="AM8122" s="2">
        <v>8119</v>
      </c>
      <c r="AN8122" s="33">
        <v>1.1192883584013704E-2</v>
      </c>
      <c r="AO8122" s="33">
        <v>5.0564381227338057E-4</v>
      </c>
    </row>
    <row r="8123" spans="39:41" x14ac:dyDescent="0.25">
      <c r="AM8123" s="2">
        <v>8120</v>
      </c>
      <c r="AN8123" s="33">
        <v>1.1694441108726906E-2</v>
      </c>
      <c r="AO8123" s="33">
        <v>9.1801255700342413E-4</v>
      </c>
    </row>
    <row r="8124" spans="39:41" x14ac:dyDescent="0.25">
      <c r="AM8124" s="2">
        <v>8121</v>
      </c>
      <c r="AN8124" s="33">
        <v>1.0277986131225162E-2</v>
      </c>
      <c r="AO8124" s="33">
        <v>7.6026904958108072E-4</v>
      </c>
    </row>
    <row r="8125" spans="39:41" x14ac:dyDescent="0.25">
      <c r="AM8125" s="2">
        <v>8122</v>
      </c>
      <c r="AN8125" s="33">
        <v>9.7728135369683378E-3</v>
      </c>
      <c r="AO8125" s="33">
        <v>6.9315060360331437E-4</v>
      </c>
    </row>
    <row r="8126" spans="39:41" x14ac:dyDescent="0.25">
      <c r="AM8126" s="2">
        <v>8123</v>
      </c>
      <c r="AN8126" s="33">
        <v>1.0451957982639044E-2</v>
      </c>
      <c r="AO8126" s="33">
        <v>5.5963564786991728E-4</v>
      </c>
    </row>
    <row r="8127" spans="39:41" x14ac:dyDescent="0.25">
      <c r="AM8127" s="2">
        <v>8124</v>
      </c>
      <c r="AN8127" s="33">
        <v>1.384780858654356E-2</v>
      </c>
      <c r="AO8127" s="33">
        <v>1.2790302538918785E-3</v>
      </c>
    </row>
    <row r="8128" spans="39:41" x14ac:dyDescent="0.25">
      <c r="AM8128" s="2">
        <v>8125</v>
      </c>
      <c r="AN8128" s="33">
        <v>1.2955314835827176E-2</v>
      </c>
      <c r="AO8128" s="33">
        <v>9.5568007564414935E-4</v>
      </c>
    </row>
    <row r="8129" spans="39:41" x14ac:dyDescent="0.25">
      <c r="AM8129" s="2">
        <v>8126</v>
      </c>
      <c r="AN8129" s="33">
        <v>1.1511512656637093E-2</v>
      </c>
      <c r="AO8129" s="33">
        <v>9.4414339753726454E-4</v>
      </c>
    </row>
    <row r="8130" spans="39:41" x14ac:dyDescent="0.25">
      <c r="AM8130" s="2">
        <v>8127</v>
      </c>
      <c r="AN8130" s="33">
        <v>8.4317730049790277E-3</v>
      </c>
      <c r="AO8130" s="33">
        <v>5.8072916382387123E-4</v>
      </c>
    </row>
    <row r="8131" spans="39:41" x14ac:dyDescent="0.25">
      <c r="AM8131" s="2">
        <v>8128</v>
      </c>
      <c r="AN8131" s="33">
        <v>1.3567814287792706E-2</v>
      </c>
      <c r="AO8131" s="33">
        <v>1.2151103872042436E-3</v>
      </c>
    </row>
    <row r="8132" spans="39:41" x14ac:dyDescent="0.25">
      <c r="AM8132" s="2">
        <v>8129</v>
      </c>
      <c r="AN8132" s="33">
        <v>1.4159762916702328E-2</v>
      </c>
      <c r="AO8132" s="33">
        <v>1.0239070574662662E-3</v>
      </c>
    </row>
    <row r="8133" spans="39:41" x14ac:dyDescent="0.25">
      <c r="AM8133" s="2">
        <v>8130</v>
      </c>
      <c r="AN8133" s="33">
        <v>1.0552211693199587E-2</v>
      </c>
      <c r="AO8133" s="33">
        <v>2.5361009304740337E-4</v>
      </c>
    </row>
    <row r="8134" spans="39:41" x14ac:dyDescent="0.25">
      <c r="AM8134" s="2">
        <v>8131</v>
      </c>
      <c r="AN8134" s="33">
        <v>1.0518554444929624E-2</v>
      </c>
      <c r="AO8134" s="33">
        <v>5.3889632238436603E-4</v>
      </c>
    </row>
    <row r="8135" spans="39:41" x14ac:dyDescent="0.25">
      <c r="AM8135" s="2">
        <v>8132</v>
      </c>
      <c r="AN8135" s="33">
        <v>1.0729824270867111E-2</v>
      </c>
      <c r="AO8135" s="33">
        <v>4.6588085442922491E-4</v>
      </c>
    </row>
    <row r="8136" spans="39:41" x14ac:dyDescent="0.25">
      <c r="AM8136" s="2">
        <v>8133</v>
      </c>
      <c r="AN8136" s="33">
        <v>1.0221716539070974E-2</v>
      </c>
      <c r="AO8136" s="33">
        <v>5.6833028670074672E-4</v>
      </c>
    </row>
    <row r="8137" spans="39:41" x14ac:dyDescent="0.25">
      <c r="AM8137" s="2">
        <v>8134</v>
      </c>
      <c r="AN8137" s="33">
        <v>1.0103829449673848E-2</v>
      </c>
      <c r="AO8137" s="33">
        <v>4.5501938677289575E-4</v>
      </c>
    </row>
    <row r="8138" spans="39:41" x14ac:dyDescent="0.25">
      <c r="AM8138" s="2">
        <v>8135</v>
      </c>
      <c r="AN8138" s="33">
        <v>1.1285107407399438E-2</v>
      </c>
      <c r="AO8138" s="33">
        <v>4.8980716136433399E-4</v>
      </c>
    </row>
    <row r="8139" spans="39:41" x14ac:dyDescent="0.25">
      <c r="AM8139" s="2">
        <v>8136</v>
      </c>
      <c r="AN8139" s="33">
        <v>1.2148690330206434E-2</v>
      </c>
      <c r="AO8139" s="33">
        <v>9.0055801991113587E-4</v>
      </c>
    </row>
    <row r="8140" spans="39:41" x14ac:dyDescent="0.25">
      <c r="AM8140" s="2">
        <v>8137</v>
      </c>
      <c r="AN8140" s="33">
        <v>1.2244838681640061E-2</v>
      </c>
      <c r="AO8140" s="33">
        <v>1.0356433393483139E-3</v>
      </c>
    </row>
    <row r="8141" spans="39:41" x14ac:dyDescent="0.25">
      <c r="AM8141" s="2">
        <v>8138</v>
      </c>
      <c r="AN8141" s="33">
        <v>1.2002498338395619E-2</v>
      </c>
      <c r="AO8141" s="33">
        <v>9.3315418920121975E-4</v>
      </c>
    </row>
    <row r="8142" spans="39:41" x14ac:dyDescent="0.25">
      <c r="AM8142" s="2">
        <v>8139</v>
      </c>
      <c r="AN8142" s="33">
        <v>1.3075015873555385E-2</v>
      </c>
      <c r="AO8142" s="33">
        <v>1.2935158313254168E-3</v>
      </c>
    </row>
    <row r="8143" spans="39:41" x14ac:dyDescent="0.25">
      <c r="AM8143" s="2">
        <v>8140</v>
      </c>
      <c r="AN8143" s="33">
        <v>9.4366813179859975E-3</v>
      </c>
      <c r="AO8143" s="33">
        <v>9.3545525637680181E-4</v>
      </c>
    </row>
    <row r="8144" spans="39:41" x14ac:dyDescent="0.25">
      <c r="AM8144" s="2">
        <v>8141</v>
      </c>
      <c r="AN8144" s="33">
        <v>1.22642790826535E-2</v>
      </c>
      <c r="AO8144" s="33">
        <v>9.1775958601958223E-4</v>
      </c>
    </row>
    <row r="8145" spans="39:41" x14ac:dyDescent="0.25">
      <c r="AM8145" s="2">
        <v>8142</v>
      </c>
      <c r="AN8145" s="33">
        <v>1.1387238391053453E-2</v>
      </c>
      <c r="AO8145" s="33">
        <v>9.6896730457455519E-4</v>
      </c>
    </row>
    <row r="8146" spans="39:41" x14ac:dyDescent="0.25">
      <c r="AM8146" s="2">
        <v>8143</v>
      </c>
      <c r="AN8146" s="33">
        <v>1.1154306475694983E-2</v>
      </c>
      <c r="AO8146" s="33">
        <v>7.6506085687198767E-4</v>
      </c>
    </row>
    <row r="8147" spans="39:41" x14ac:dyDescent="0.25">
      <c r="AM8147" s="2">
        <v>8144</v>
      </c>
      <c r="AN8147" s="33">
        <v>9.1308548906583881E-3</v>
      </c>
      <c r="AO8147" s="33">
        <v>8.301402240797961E-4</v>
      </c>
    </row>
    <row r="8148" spans="39:41" x14ac:dyDescent="0.25">
      <c r="AM8148" s="2">
        <v>8145</v>
      </c>
      <c r="AN8148" s="33">
        <v>1.7611860504629217E-2</v>
      </c>
      <c r="AO8148" s="33">
        <v>1.6765290531049212E-3</v>
      </c>
    </row>
    <row r="8149" spans="39:41" x14ac:dyDescent="0.25">
      <c r="AM8149" s="2">
        <v>8146</v>
      </c>
      <c r="AN8149" s="33">
        <v>8.4958518580338718E-3</v>
      </c>
      <c r="AO8149" s="33">
        <v>6.450179461011215E-4</v>
      </c>
    </row>
    <row r="8150" spans="39:41" x14ac:dyDescent="0.25">
      <c r="AM8150" s="2">
        <v>8147</v>
      </c>
      <c r="AN8150" s="33">
        <v>9.6321621296503266E-3</v>
      </c>
      <c r="AO8150" s="33">
        <v>5.565982333783203E-4</v>
      </c>
    </row>
    <row r="8151" spans="39:41" x14ac:dyDescent="0.25">
      <c r="AM8151" s="2">
        <v>8148</v>
      </c>
      <c r="AN8151" s="33">
        <v>1.5377554135113016E-2</v>
      </c>
      <c r="AO8151" s="33">
        <v>1.4376926659991759E-3</v>
      </c>
    </row>
    <row r="8152" spans="39:41" x14ac:dyDescent="0.25">
      <c r="AM8152" s="2">
        <v>8149</v>
      </c>
      <c r="AN8152" s="33">
        <v>1.0425831986734231E-2</v>
      </c>
      <c r="AO8152" s="33">
        <v>6.6240778724357106E-4</v>
      </c>
    </row>
    <row r="8153" spans="39:41" x14ac:dyDescent="0.25">
      <c r="AM8153" s="2">
        <v>8150</v>
      </c>
      <c r="AN8153" s="33">
        <v>9.6434237223045234E-3</v>
      </c>
      <c r="AO8153" s="33">
        <v>8.2351431859728486E-4</v>
      </c>
    </row>
    <row r="8154" spans="39:41" x14ac:dyDescent="0.25">
      <c r="AM8154" s="2">
        <v>8151</v>
      </c>
      <c r="AN8154" s="33">
        <v>1.0216224876210425E-2</v>
      </c>
      <c r="AO8154" s="33">
        <v>6.2078868132598775E-4</v>
      </c>
    </row>
    <row r="8155" spans="39:41" x14ac:dyDescent="0.25">
      <c r="AM8155" s="2">
        <v>8152</v>
      </c>
      <c r="AN8155" s="33">
        <v>1.2942247293465308E-2</v>
      </c>
      <c r="AO8155" s="33">
        <v>7.2709193258461014E-4</v>
      </c>
    </row>
    <row r="8156" spans="39:41" x14ac:dyDescent="0.25">
      <c r="AM8156" s="2">
        <v>8153</v>
      </c>
      <c r="AN8156" s="33">
        <v>1.2662336035098132E-2</v>
      </c>
      <c r="AO8156" s="33">
        <v>1.1667907702271473E-3</v>
      </c>
    </row>
    <row r="8157" spans="39:41" x14ac:dyDescent="0.25">
      <c r="AM8157" s="2">
        <v>8154</v>
      </c>
      <c r="AN8157" s="33">
        <v>1.337505736054451E-2</v>
      </c>
      <c r="AO8157" s="33">
        <v>9.3952519407823935E-4</v>
      </c>
    </row>
    <row r="8158" spans="39:41" x14ac:dyDescent="0.25">
      <c r="AM8158" s="2">
        <v>8155</v>
      </c>
      <c r="AN8158" s="33">
        <v>1.4983860395259195E-2</v>
      </c>
      <c r="AO8158" s="33">
        <v>1.4003830851789512E-3</v>
      </c>
    </row>
    <row r="8159" spans="39:41" x14ac:dyDescent="0.25">
      <c r="AM8159" s="2">
        <v>8156</v>
      </c>
      <c r="AN8159" s="33">
        <v>1.2290138626421936E-2</v>
      </c>
      <c r="AO8159" s="33">
        <v>6.5399746415346135E-4</v>
      </c>
    </row>
    <row r="8160" spans="39:41" x14ac:dyDescent="0.25">
      <c r="AM8160" s="2">
        <v>8157</v>
      </c>
      <c r="AN8160" s="33">
        <v>1.2762898446094158E-2</v>
      </c>
      <c r="AO8160" s="33">
        <v>1.0209554463810942E-3</v>
      </c>
    </row>
    <row r="8161" spans="39:41" x14ac:dyDescent="0.25">
      <c r="AM8161" s="2">
        <v>8158</v>
      </c>
      <c r="AN8161" s="33">
        <v>9.5497191752083651E-3</v>
      </c>
      <c r="AO8161" s="33">
        <v>8.0242523504235131E-4</v>
      </c>
    </row>
    <row r="8162" spans="39:41" x14ac:dyDescent="0.25">
      <c r="AM8162" s="2">
        <v>8159</v>
      </c>
      <c r="AN8162" s="33">
        <v>9.1643808887528298E-3</v>
      </c>
      <c r="AO8162" s="33">
        <v>7.0476585930740864E-4</v>
      </c>
    </row>
    <row r="8163" spans="39:41" x14ac:dyDescent="0.25">
      <c r="AM8163" s="2">
        <v>8160</v>
      </c>
      <c r="AN8163" s="33">
        <v>1.0585546773939169E-2</v>
      </c>
      <c r="AO8163" s="33">
        <v>9.7865504194592757E-4</v>
      </c>
    </row>
    <row r="8164" spans="39:41" x14ac:dyDescent="0.25">
      <c r="AM8164" s="2">
        <v>8161</v>
      </c>
      <c r="AN8164" s="33">
        <v>1.6020710828393951E-2</v>
      </c>
      <c r="AO8164" s="33">
        <v>1.5020230850770549E-3</v>
      </c>
    </row>
    <row r="8165" spans="39:41" x14ac:dyDescent="0.25">
      <c r="AM8165" s="2">
        <v>8162</v>
      </c>
      <c r="AN8165" s="33">
        <v>1.2073588251451838E-2</v>
      </c>
      <c r="AO8165" s="33">
        <v>6.9054833893833229E-4</v>
      </c>
    </row>
    <row r="8166" spans="39:41" x14ac:dyDescent="0.25">
      <c r="AM8166" s="2">
        <v>8163</v>
      </c>
      <c r="AN8166" s="33">
        <v>1.4208548417203549E-2</v>
      </c>
      <c r="AO8166" s="33">
        <v>1.3888551233730111E-3</v>
      </c>
    </row>
    <row r="8167" spans="39:41" x14ac:dyDescent="0.25">
      <c r="AM8167" s="2">
        <v>8164</v>
      </c>
      <c r="AN8167" s="33">
        <v>1.1982923743011254E-2</v>
      </c>
      <c r="AO8167" s="33">
        <v>9.9628392431899779E-4</v>
      </c>
    </row>
    <row r="8168" spans="39:41" x14ac:dyDescent="0.25">
      <c r="AM8168" s="2">
        <v>8165</v>
      </c>
      <c r="AN8168" s="33">
        <v>1.255650223224492E-2</v>
      </c>
      <c r="AO8168" s="33">
        <v>1.1334889874758999E-3</v>
      </c>
    </row>
    <row r="8169" spans="39:41" x14ac:dyDescent="0.25">
      <c r="AM8169" s="2">
        <v>8166</v>
      </c>
      <c r="AN8169" s="33">
        <v>1.0995667068720075E-2</v>
      </c>
      <c r="AO8169" s="33">
        <v>7.3146869351596079E-4</v>
      </c>
    </row>
    <row r="8170" spans="39:41" x14ac:dyDescent="0.25">
      <c r="AM8170" s="2">
        <v>8167</v>
      </c>
      <c r="AN8170" s="33">
        <v>7.8853749103687237E-3</v>
      </c>
      <c r="AO8170" s="33">
        <v>6.436535941228979E-4</v>
      </c>
    </row>
    <row r="8171" spans="39:41" x14ac:dyDescent="0.25">
      <c r="AM8171" s="2">
        <v>8168</v>
      </c>
      <c r="AN8171" s="33">
        <v>1.110282560207447E-2</v>
      </c>
      <c r="AO8171" s="33">
        <v>8.899804520469505E-4</v>
      </c>
    </row>
    <row r="8172" spans="39:41" x14ac:dyDescent="0.25">
      <c r="AM8172" s="2">
        <v>8169</v>
      </c>
      <c r="AN8172" s="33">
        <v>1.1198432869945197E-2</v>
      </c>
      <c r="AO8172" s="33">
        <v>7.7075067314221249E-4</v>
      </c>
    </row>
    <row r="8173" spans="39:41" x14ac:dyDescent="0.25">
      <c r="AM8173" s="2">
        <v>8170</v>
      </c>
      <c r="AN8173" s="33">
        <v>1.145710023656126E-2</v>
      </c>
      <c r="AO8173" s="33">
        <v>7.7641849188230818E-4</v>
      </c>
    </row>
    <row r="8174" spans="39:41" x14ac:dyDescent="0.25">
      <c r="AM8174" s="2">
        <v>8171</v>
      </c>
      <c r="AN8174" s="33">
        <v>1.0975073623808567E-2</v>
      </c>
      <c r="AO8174" s="33">
        <v>3.8705150888664752E-4</v>
      </c>
    </row>
    <row r="8175" spans="39:41" x14ac:dyDescent="0.25">
      <c r="AM8175" s="2">
        <v>8172</v>
      </c>
      <c r="AN8175" s="33">
        <v>9.6545387413808775E-3</v>
      </c>
      <c r="AO8175" s="33">
        <v>7.5897578840206526E-4</v>
      </c>
    </row>
    <row r="8176" spans="39:41" x14ac:dyDescent="0.25">
      <c r="AM8176" s="2">
        <v>8173</v>
      </c>
      <c r="AN8176" s="33">
        <v>9.7391436732966984E-3</v>
      </c>
      <c r="AO8176" s="33">
        <v>5.2622184471035798E-4</v>
      </c>
    </row>
    <row r="8177" spans="39:41" x14ac:dyDescent="0.25">
      <c r="AM8177" s="2">
        <v>8174</v>
      </c>
      <c r="AN8177" s="33">
        <v>1.1456054855544916E-2</v>
      </c>
      <c r="AO8177" s="33">
        <v>9.8960686830661766E-4</v>
      </c>
    </row>
    <row r="8178" spans="39:41" x14ac:dyDescent="0.25">
      <c r="AM8178" s="2">
        <v>8175</v>
      </c>
      <c r="AN8178" s="33">
        <v>9.3910879905676498E-3</v>
      </c>
      <c r="AO8178" s="33">
        <v>8.2189970276510139E-4</v>
      </c>
    </row>
    <row r="8179" spans="39:41" x14ac:dyDescent="0.25">
      <c r="AM8179" s="2">
        <v>8176</v>
      </c>
      <c r="AN8179" s="33">
        <v>1.033307744796526E-2</v>
      </c>
      <c r="AO8179" s="33">
        <v>6.6261004481145023E-4</v>
      </c>
    </row>
    <row r="8180" spans="39:41" x14ac:dyDescent="0.25">
      <c r="AM8180" s="2">
        <v>8177</v>
      </c>
      <c r="AN8180" s="33">
        <v>1.1682312150187795E-2</v>
      </c>
      <c r="AO8180" s="33">
        <v>1.1587158309607621E-3</v>
      </c>
    </row>
    <row r="8181" spans="39:41" x14ac:dyDescent="0.25">
      <c r="AM8181" s="2">
        <v>8178</v>
      </c>
      <c r="AN8181" s="33">
        <v>1.0028111337273203E-2</v>
      </c>
      <c r="AO8181" s="33">
        <v>5.0308257341046968E-4</v>
      </c>
    </row>
    <row r="8182" spans="39:41" x14ac:dyDescent="0.25">
      <c r="AM8182" s="2">
        <v>8179</v>
      </c>
      <c r="AN8182" s="33">
        <v>1.1084737312143085E-2</v>
      </c>
      <c r="AO8182" s="33">
        <v>7.3208205045786521E-4</v>
      </c>
    </row>
    <row r="8183" spans="39:41" x14ac:dyDescent="0.25">
      <c r="AM8183" s="2">
        <v>8180</v>
      </c>
      <c r="AN8183" s="33">
        <v>9.4433509724751608E-3</v>
      </c>
      <c r="AO8183" s="33">
        <v>6.8698300615667831E-4</v>
      </c>
    </row>
    <row r="8184" spans="39:41" x14ac:dyDescent="0.25">
      <c r="AM8184" s="2">
        <v>8181</v>
      </c>
      <c r="AN8184" s="33">
        <v>1.037303274388055E-2</v>
      </c>
      <c r="AO8184" s="33">
        <v>5.920433582900607E-4</v>
      </c>
    </row>
    <row r="8185" spans="39:41" x14ac:dyDescent="0.25">
      <c r="AM8185" s="2">
        <v>8182</v>
      </c>
      <c r="AN8185" s="33">
        <v>1.2989100785334707E-2</v>
      </c>
      <c r="AO8185" s="33">
        <v>1.0615606865456786E-3</v>
      </c>
    </row>
    <row r="8186" spans="39:41" x14ac:dyDescent="0.25">
      <c r="AM8186" s="2">
        <v>8183</v>
      </c>
      <c r="AN8186" s="33">
        <v>9.5148025881495336E-3</v>
      </c>
      <c r="AO8186" s="33">
        <v>5.0001185926212811E-4</v>
      </c>
    </row>
    <row r="8187" spans="39:41" x14ac:dyDescent="0.25">
      <c r="AM8187" s="2">
        <v>8184</v>
      </c>
      <c r="AN8187" s="33">
        <v>1.0678409302811009E-2</v>
      </c>
      <c r="AO8187" s="33">
        <v>8.0023052877309538E-4</v>
      </c>
    </row>
    <row r="8188" spans="39:41" x14ac:dyDescent="0.25">
      <c r="AM8188" s="2">
        <v>8185</v>
      </c>
      <c r="AN8188" s="33">
        <v>1.3645248644938492E-2</v>
      </c>
      <c r="AO8188" s="33">
        <v>1.2357102088585109E-3</v>
      </c>
    </row>
    <row r="8189" spans="39:41" x14ac:dyDescent="0.25">
      <c r="AM8189" s="2">
        <v>8186</v>
      </c>
      <c r="AN8189" s="33">
        <v>1.1701444573247507E-2</v>
      </c>
      <c r="AO8189" s="33">
        <v>1.0274029901528145E-3</v>
      </c>
    </row>
    <row r="8190" spans="39:41" x14ac:dyDescent="0.25">
      <c r="AM8190" s="2">
        <v>8187</v>
      </c>
      <c r="AN8190" s="33">
        <v>1.4935005351614041E-2</v>
      </c>
      <c r="AO8190" s="33">
        <v>9.8314473384832415E-4</v>
      </c>
    </row>
    <row r="8191" spans="39:41" x14ac:dyDescent="0.25">
      <c r="AM8191" s="2">
        <v>8188</v>
      </c>
      <c r="AN8191" s="33">
        <v>9.7373244112231826E-3</v>
      </c>
      <c r="AO8191" s="33">
        <v>7.9104264674959848E-4</v>
      </c>
    </row>
    <row r="8192" spans="39:41" x14ac:dyDescent="0.25">
      <c r="AM8192" s="2">
        <v>8189</v>
      </c>
      <c r="AN8192" s="33">
        <v>9.4302323257498422E-3</v>
      </c>
      <c r="AO8192" s="33">
        <v>5.353728725309649E-4</v>
      </c>
    </row>
    <row r="8193" spans="39:41" x14ac:dyDescent="0.25">
      <c r="AM8193" s="2">
        <v>8190</v>
      </c>
      <c r="AN8193" s="33">
        <v>9.9276701400619009E-3</v>
      </c>
      <c r="AO8193" s="33">
        <v>9.3874749515644826E-4</v>
      </c>
    </row>
    <row r="8194" spans="39:41" x14ac:dyDescent="0.25">
      <c r="AM8194" s="2">
        <v>8191</v>
      </c>
      <c r="AN8194" s="33">
        <v>1.2043498675679682E-2</v>
      </c>
      <c r="AO8194" s="33">
        <v>7.2631892083924112E-4</v>
      </c>
    </row>
    <row r="8195" spans="39:41" x14ac:dyDescent="0.25">
      <c r="AM8195" s="2">
        <v>8192</v>
      </c>
      <c r="AN8195" s="33">
        <v>1.0100106857953808E-2</v>
      </c>
      <c r="AO8195" s="33">
        <v>5.7455950760244856E-4</v>
      </c>
    </row>
    <row r="8196" spans="39:41" x14ac:dyDescent="0.25">
      <c r="AM8196" s="2">
        <v>8193</v>
      </c>
      <c r="AN8196" s="33">
        <v>1.2007470583353953E-2</v>
      </c>
      <c r="AO8196" s="33">
        <v>6.8350803309279152E-4</v>
      </c>
    </row>
    <row r="8197" spans="39:41" x14ac:dyDescent="0.25">
      <c r="AM8197" s="2">
        <v>8194</v>
      </c>
      <c r="AN8197" s="33">
        <v>9.3311592282399724E-3</v>
      </c>
      <c r="AO8197" s="33">
        <v>6.3596729558446205E-4</v>
      </c>
    </row>
    <row r="8198" spans="39:41" x14ac:dyDescent="0.25">
      <c r="AM8198" s="2">
        <v>8195</v>
      </c>
      <c r="AN8198" s="33">
        <v>1.1922351248408174E-2</v>
      </c>
      <c r="AO8198" s="33">
        <v>1.0142392418483776E-3</v>
      </c>
    </row>
    <row r="8199" spans="39:41" x14ac:dyDescent="0.25">
      <c r="AM8199" s="2">
        <v>8196</v>
      </c>
      <c r="AN8199" s="33">
        <v>1.0741829963706184E-2</v>
      </c>
      <c r="AO8199" s="33">
        <v>8.8250796730044388E-4</v>
      </c>
    </row>
    <row r="8200" spans="39:41" x14ac:dyDescent="0.25">
      <c r="AM8200" s="2">
        <v>8197</v>
      </c>
      <c r="AN8200" s="33">
        <v>1.010481160315221E-2</v>
      </c>
      <c r="AO8200" s="33">
        <v>7.3508424838595026E-4</v>
      </c>
    </row>
    <row r="8201" spans="39:41" x14ac:dyDescent="0.25">
      <c r="AM8201" s="2">
        <v>8198</v>
      </c>
      <c r="AN8201" s="33">
        <v>1.1083431543207961E-2</v>
      </c>
      <c r="AO8201" s="33">
        <v>6.0095230609807058E-4</v>
      </c>
    </row>
    <row r="8202" spans="39:41" x14ac:dyDescent="0.25">
      <c r="AM8202" s="2">
        <v>8199</v>
      </c>
      <c r="AN8202" s="33">
        <v>1.112601943859642E-2</v>
      </c>
      <c r="AO8202" s="33">
        <v>2.6420396565754781E-4</v>
      </c>
    </row>
    <row r="8203" spans="39:41" x14ac:dyDescent="0.25">
      <c r="AM8203" s="2">
        <v>8200</v>
      </c>
      <c r="AN8203" s="33">
        <v>1.3790502187572589E-2</v>
      </c>
      <c r="AO8203" s="33">
        <v>1.0825822919094505E-3</v>
      </c>
    </row>
    <row r="8204" spans="39:41" x14ac:dyDescent="0.25">
      <c r="AM8204" s="2">
        <v>8201</v>
      </c>
      <c r="AN8204" s="33">
        <v>1.0669694184125417E-2</v>
      </c>
      <c r="AO8204" s="33">
        <v>3.2690226311912627E-4</v>
      </c>
    </row>
    <row r="8205" spans="39:41" x14ac:dyDescent="0.25">
      <c r="AM8205" s="2">
        <v>8202</v>
      </c>
      <c r="AN8205" s="33">
        <v>9.844687449993117E-3</v>
      </c>
      <c r="AO8205" s="33">
        <v>4.7820986283976128E-4</v>
      </c>
    </row>
    <row r="8206" spans="39:41" x14ac:dyDescent="0.25">
      <c r="AM8206" s="2">
        <v>8203</v>
      </c>
      <c r="AN8206" s="33">
        <v>1.1755214885933951E-2</v>
      </c>
      <c r="AO8206" s="33">
        <v>1.0461242930696092E-3</v>
      </c>
    </row>
    <row r="8207" spans="39:41" x14ac:dyDescent="0.25">
      <c r="AM8207" s="2">
        <v>8204</v>
      </c>
      <c r="AN8207" s="33">
        <v>9.0343131376787594E-3</v>
      </c>
      <c r="AO8207" s="33">
        <v>5.4674840621591811E-4</v>
      </c>
    </row>
    <row r="8208" spans="39:41" x14ac:dyDescent="0.25">
      <c r="AM8208" s="2">
        <v>8205</v>
      </c>
      <c r="AN8208" s="33">
        <v>1.4393938132996118E-2</v>
      </c>
      <c r="AO8208" s="33">
        <v>1.2879523729606851E-3</v>
      </c>
    </row>
    <row r="8209" spans="39:41" x14ac:dyDescent="0.25">
      <c r="AM8209" s="2">
        <v>8206</v>
      </c>
      <c r="AN8209" s="33">
        <v>9.9664440155726643E-3</v>
      </c>
      <c r="AO8209" s="33">
        <v>5.9193060929851134E-4</v>
      </c>
    </row>
    <row r="8210" spans="39:41" x14ac:dyDescent="0.25">
      <c r="AM8210" s="2">
        <v>8207</v>
      </c>
      <c r="AN8210" s="33">
        <v>1.1658588999632239E-2</v>
      </c>
      <c r="AO8210" s="33">
        <v>5.3527044735792232E-4</v>
      </c>
    </row>
    <row r="8211" spans="39:41" x14ac:dyDescent="0.25">
      <c r="AM8211" s="2">
        <v>8208</v>
      </c>
      <c r="AN8211" s="33">
        <v>1.03652763289024E-2</v>
      </c>
      <c r="AO8211" s="33">
        <v>8.0448406889809909E-4</v>
      </c>
    </row>
    <row r="8212" spans="39:41" x14ac:dyDescent="0.25">
      <c r="AM8212" s="2">
        <v>8209</v>
      </c>
      <c r="AN8212" s="33">
        <v>1.0499971601108762E-2</v>
      </c>
      <c r="AO8212" s="33">
        <v>7.5788650345732774E-4</v>
      </c>
    </row>
    <row r="8213" spans="39:41" x14ac:dyDescent="0.25">
      <c r="AM8213" s="2">
        <v>8210</v>
      </c>
      <c r="AN8213" s="33">
        <v>9.1613721581181723E-3</v>
      </c>
      <c r="AO8213" s="33">
        <v>8.3827408812152773E-4</v>
      </c>
    </row>
    <row r="8214" spans="39:41" x14ac:dyDescent="0.25">
      <c r="AM8214" s="2">
        <v>8211</v>
      </c>
      <c r="AN8214" s="33">
        <v>1.3855829863225918E-2</v>
      </c>
      <c r="AO8214" s="33">
        <v>1.267619898912055E-3</v>
      </c>
    </row>
    <row r="8215" spans="39:41" x14ac:dyDescent="0.25">
      <c r="AM8215" s="2">
        <v>8212</v>
      </c>
      <c r="AN8215" s="33">
        <v>1.3113845422240136E-2</v>
      </c>
      <c r="AO8215" s="33">
        <v>1.2192670244221449E-3</v>
      </c>
    </row>
    <row r="8216" spans="39:41" x14ac:dyDescent="0.25">
      <c r="AM8216" s="2">
        <v>8213</v>
      </c>
      <c r="AN8216" s="33">
        <v>1.175994688775304E-2</v>
      </c>
      <c r="AO8216" s="33">
        <v>4.2689247605718923E-4</v>
      </c>
    </row>
    <row r="8217" spans="39:41" x14ac:dyDescent="0.25">
      <c r="AM8217" s="2">
        <v>8214</v>
      </c>
      <c r="AN8217" s="33">
        <v>1.455853777428304E-2</v>
      </c>
      <c r="AO8217" s="33">
        <v>1.4601667485707322E-3</v>
      </c>
    </row>
    <row r="8218" spans="39:41" x14ac:dyDescent="0.25">
      <c r="AM8218" s="2">
        <v>8215</v>
      </c>
      <c r="AN8218" s="33">
        <v>1.1272739421977783E-2</v>
      </c>
      <c r="AO8218" s="33">
        <v>9.3198773897847922E-4</v>
      </c>
    </row>
    <row r="8219" spans="39:41" x14ac:dyDescent="0.25">
      <c r="AM8219" s="2">
        <v>8216</v>
      </c>
      <c r="AN8219" s="33">
        <v>1.3287246376040474E-2</v>
      </c>
      <c r="AO8219" s="33">
        <v>9.8878458907157335E-4</v>
      </c>
    </row>
    <row r="8220" spans="39:41" x14ac:dyDescent="0.25">
      <c r="AM8220" s="2">
        <v>8217</v>
      </c>
      <c r="AN8220" s="33">
        <v>1.4113180374098686E-2</v>
      </c>
      <c r="AO8220" s="33">
        <v>7.3774462020052237E-4</v>
      </c>
    </row>
    <row r="8221" spans="39:41" x14ac:dyDescent="0.25">
      <c r="AM8221" s="2">
        <v>8218</v>
      </c>
      <c r="AN8221" s="33">
        <v>8.7535849345111074E-3</v>
      </c>
      <c r="AO8221" s="33">
        <v>6.8297584977689951E-4</v>
      </c>
    </row>
    <row r="8222" spans="39:41" x14ac:dyDescent="0.25">
      <c r="AM8222" s="2">
        <v>8219</v>
      </c>
      <c r="AN8222" s="33">
        <v>1.1760396052956257E-2</v>
      </c>
      <c r="AO8222" s="33">
        <v>1.1105100220415321E-3</v>
      </c>
    </row>
    <row r="8223" spans="39:41" x14ac:dyDescent="0.25">
      <c r="AM8223" s="2">
        <v>8220</v>
      </c>
      <c r="AN8223" s="33">
        <v>1.1150087843126422E-2</v>
      </c>
      <c r="AO8223" s="33">
        <v>5.6601794464569677E-4</v>
      </c>
    </row>
    <row r="8224" spans="39:41" x14ac:dyDescent="0.25">
      <c r="AM8224" s="2">
        <v>8221</v>
      </c>
      <c r="AN8224" s="33">
        <v>1.2587117009424624E-2</v>
      </c>
      <c r="AO8224" s="33">
        <v>1.264878076217376E-3</v>
      </c>
    </row>
    <row r="8225" spans="39:41" x14ac:dyDescent="0.25">
      <c r="AM8225" s="2">
        <v>8222</v>
      </c>
      <c r="AN8225" s="33">
        <v>9.742956367398253E-3</v>
      </c>
      <c r="AO8225" s="33">
        <v>6.9890371371721203E-4</v>
      </c>
    </row>
    <row r="8226" spans="39:41" x14ac:dyDescent="0.25">
      <c r="AM8226" s="2">
        <v>8223</v>
      </c>
      <c r="AN8226" s="33">
        <v>9.4586406258814568E-3</v>
      </c>
      <c r="AO8226" s="33">
        <v>5.0595017230022305E-4</v>
      </c>
    </row>
    <row r="8227" spans="39:41" x14ac:dyDescent="0.25">
      <c r="AM8227" s="2">
        <v>8224</v>
      </c>
      <c r="AN8227" s="33">
        <v>9.3608846084288558E-3</v>
      </c>
      <c r="AO8227" s="33">
        <v>6.0416444324821073E-4</v>
      </c>
    </row>
    <row r="8228" spans="39:41" x14ac:dyDescent="0.25">
      <c r="AM8228" s="2">
        <v>8225</v>
      </c>
      <c r="AN8228" s="33">
        <v>1.1281169521063674E-2</v>
      </c>
      <c r="AO8228" s="33">
        <v>9.1122637073999763E-4</v>
      </c>
    </row>
    <row r="8229" spans="39:41" x14ac:dyDescent="0.25">
      <c r="AM8229" s="2">
        <v>8226</v>
      </c>
      <c r="AN8229" s="33">
        <v>1.2180764867545341E-2</v>
      </c>
      <c r="AO8229" s="33">
        <v>8.7021342882639811E-4</v>
      </c>
    </row>
    <row r="8230" spans="39:41" x14ac:dyDescent="0.25">
      <c r="AM8230" s="2">
        <v>8227</v>
      </c>
      <c r="AN8230" s="33">
        <v>1.602129995957095E-2</v>
      </c>
      <c r="AO8230" s="33">
        <v>1.1183635999257361E-3</v>
      </c>
    </row>
    <row r="8231" spans="39:41" x14ac:dyDescent="0.25">
      <c r="AM8231" s="2">
        <v>8228</v>
      </c>
      <c r="AN8231" s="33">
        <v>1.1541637460220395E-2</v>
      </c>
      <c r="AO8231" s="33">
        <v>8.718409151355108E-4</v>
      </c>
    </row>
    <row r="8232" spans="39:41" x14ac:dyDescent="0.25">
      <c r="AM8232" s="2">
        <v>8229</v>
      </c>
      <c r="AN8232" s="33">
        <v>8.2140573714642034E-3</v>
      </c>
      <c r="AO8232" s="33">
        <v>2.6892869066062102E-4</v>
      </c>
    </row>
    <row r="8233" spans="39:41" x14ac:dyDescent="0.25">
      <c r="AM8233" s="2">
        <v>8230</v>
      </c>
      <c r="AN8233" s="33">
        <v>1.2595465985791353E-2</v>
      </c>
      <c r="AO8233" s="33">
        <v>1.3213404438622283E-3</v>
      </c>
    </row>
    <row r="8234" spans="39:41" x14ac:dyDescent="0.25">
      <c r="AM8234" s="2">
        <v>8231</v>
      </c>
      <c r="AN8234" s="33">
        <v>9.5865928894402867E-3</v>
      </c>
      <c r="AO8234" s="33">
        <v>6.3897177321743713E-4</v>
      </c>
    </row>
    <row r="8235" spans="39:41" x14ac:dyDescent="0.25">
      <c r="AM8235" s="2">
        <v>8232</v>
      </c>
      <c r="AN8235" s="33">
        <v>1.2117565594618886E-2</v>
      </c>
      <c r="AO8235" s="33">
        <v>9.2712946035634035E-4</v>
      </c>
    </row>
    <row r="8236" spans="39:41" x14ac:dyDescent="0.25">
      <c r="AM8236" s="2">
        <v>8233</v>
      </c>
      <c r="AN8236" s="33">
        <v>1.3491509032933485E-2</v>
      </c>
      <c r="AO8236" s="33">
        <v>1.2768582056509067E-3</v>
      </c>
    </row>
    <row r="8237" spans="39:41" x14ac:dyDescent="0.25">
      <c r="AM8237" s="2">
        <v>8234</v>
      </c>
      <c r="AN8237" s="33">
        <v>1.3416756018714711E-2</v>
      </c>
      <c r="AO8237" s="33">
        <v>1.3105416609755906E-3</v>
      </c>
    </row>
    <row r="8238" spans="39:41" x14ac:dyDescent="0.25">
      <c r="AM8238" s="2">
        <v>8235</v>
      </c>
      <c r="AN8238" s="33">
        <v>1.1521336215109911E-2</v>
      </c>
      <c r="AO8238" s="33">
        <v>1.0576611934514177E-3</v>
      </c>
    </row>
    <row r="8239" spans="39:41" x14ac:dyDescent="0.25">
      <c r="AM8239" s="2">
        <v>8236</v>
      </c>
      <c r="AN8239" s="33">
        <v>1.1507799309930324E-2</v>
      </c>
      <c r="AO8239" s="33">
        <v>7.557517913326314E-4</v>
      </c>
    </row>
    <row r="8240" spans="39:41" x14ac:dyDescent="0.25">
      <c r="AM8240" s="2">
        <v>8237</v>
      </c>
      <c r="AN8240" s="33">
        <v>1.3156409170468732E-2</v>
      </c>
      <c r="AO8240" s="33">
        <v>1.2448505997605451E-3</v>
      </c>
    </row>
    <row r="8241" spans="39:41" x14ac:dyDescent="0.25">
      <c r="AM8241" s="2">
        <v>8238</v>
      </c>
      <c r="AN8241" s="33">
        <v>9.0336336626786161E-3</v>
      </c>
      <c r="AO8241" s="33">
        <v>7.0693923363466973E-4</v>
      </c>
    </row>
    <row r="8242" spans="39:41" x14ac:dyDescent="0.25">
      <c r="AM8242" s="2">
        <v>8239</v>
      </c>
      <c r="AN8242" s="33">
        <v>7.8197219167198753E-3</v>
      </c>
      <c r="AO8242" s="33">
        <v>2.6965331814736329E-4</v>
      </c>
    </row>
    <row r="8243" spans="39:41" x14ac:dyDescent="0.25">
      <c r="AM8243" s="2">
        <v>8240</v>
      </c>
      <c r="AN8243" s="33">
        <v>1.3836284099818314E-2</v>
      </c>
      <c r="AO8243" s="33">
        <v>8.8958477833644381E-4</v>
      </c>
    </row>
    <row r="8244" spans="39:41" x14ac:dyDescent="0.25">
      <c r="AM8244" s="2">
        <v>8241</v>
      </c>
      <c r="AN8244" s="33">
        <v>1.2895121676633384E-2</v>
      </c>
      <c r="AO8244" s="33">
        <v>7.5648448038969935E-4</v>
      </c>
    </row>
    <row r="8245" spans="39:41" x14ac:dyDescent="0.25">
      <c r="AM8245" s="2">
        <v>8242</v>
      </c>
      <c r="AN8245" s="33">
        <v>1.2037502066158104E-2</v>
      </c>
      <c r="AO8245" s="33">
        <v>7.0099664760102289E-4</v>
      </c>
    </row>
    <row r="8246" spans="39:41" x14ac:dyDescent="0.25">
      <c r="AM8246" s="2">
        <v>8243</v>
      </c>
      <c r="AN8246" s="33">
        <v>1.1222904480967057E-2</v>
      </c>
      <c r="AO8246" s="33">
        <v>9.1830581852059767E-4</v>
      </c>
    </row>
    <row r="8247" spans="39:41" x14ac:dyDescent="0.25">
      <c r="AM8247" s="2">
        <v>8244</v>
      </c>
      <c r="AN8247" s="33">
        <v>9.064618477185574E-3</v>
      </c>
      <c r="AO8247" s="33">
        <v>6.7388682526942848E-4</v>
      </c>
    </row>
    <row r="8248" spans="39:41" x14ac:dyDescent="0.25">
      <c r="AM8248" s="2">
        <v>8245</v>
      </c>
      <c r="AN8248" s="33">
        <v>1.0274491742960109E-2</v>
      </c>
      <c r="AO8248" s="33">
        <v>4.5884293069240178E-4</v>
      </c>
    </row>
    <row r="8249" spans="39:41" x14ac:dyDescent="0.25">
      <c r="AM8249" s="2">
        <v>8246</v>
      </c>
      <c r="AN8249" s="33">
        <v>1.2407888421672113E-2</v>
      </c>
      <c r="AO8249" s="33">
        <v>9.7686919868335753E-4</v>
      </c>
    </row>
    <row r="8250" spans="39:41" x14ac:dyDescent="0.25">
      <c r="AM8250" s="2">
        <v>8247</v>
      </c>
      <c r="AN8250" s="33">
        <v>1.3330803852260808E-2</v>
      </c>
      <c r="AO8250" s="33">
        <v>1.1673164841319041E-3</v>
      </c>
    </row>
    <row r="8251" spans="39:41" x14ac:dyDescent="0.25">
      <c r="AM8251" s="2">
        <v>8248</v>
      </c>
      <c r="AN8251" s="33">
        <v>1.0263553543067287E-2</v>
      </c>
      <c r="AO8251" s="33">
        <v>5.7323145760843552E-4</v>
      </c>
    </row>
    <row r="8252" spans="39:41" x14ac:dyDescent="0.25">
      <c r="AM8252" s="2">
        <v>8249</v>
      </c>
      <c r="AN8252" s="33">
        <v>1.0476911093469213E-2</v>
      </c>
      <c r="AO8252" s="33">
        <v>3.4375450475560942E-4</v>
      </c>
    </row>
    <row r="8253" spans="39:41" x14ac:dyDescent="0.25">
      <c r="AM8253" s="2">
        <v>8250</v>
      </c>
      <c r="AN8253" s="33">
        <v>9.607550411781525E-3</v>
      </c>
      <c r="AO8253" s="33">
        <v>4.7990415272004816E-4</v>
      </c>
    </row>
    <row r="8254" spans="39:41" x14ac:dyDescent="0.25">
      <c r="AM8254" s="2">
        <v>8251</v>
      </c>
      <c r="AN8254" s="33">
        <v>1.018032125550053E-2</v>
      </c>
      <c r="AO8254" s="33">
        <v>9.6204522843342042E-4</v>
      </c>
    </row>
    <row r="8255" spans="39:41" x14ac:dyDescent="0.25">
      <c r="AM8255" s="2">
        <v>8252</v>
      </c>
      <c r="AN8255" s="33">
        <v>1.1485708569611208E-2</v>
      </c>
      <c r="AO8255" s="33">
        <v>5.9308680769809856E-4</v>
      </c>
    </row>
    <row r="8256" spans="39:41" x14ac:dyDescent="0.25">
      <c r="AM8256" s="2">
        <v>8253</v>
      </c>
      <c r="AN8256" s="33">
        <v>1.2536901149432574E-2</v>
      </c>
      <c r="AO8256" s="33">
        <v>1.2893308783434331E-3</v>
      </c>
    </row>
    <row r="8257" spans="39:41" x14ac:dyDescent="0.25">
      <c r="AM8257" s="2">
        <v>8254</v>
      </c>
      <c r="AN8257" s="33">
        <v>1.1132109500513594E-2</v>
      </c>
      <c r="AO8257" s="33">
        <v>9.3805681268220543E-4</v>
      </c>
    </row>
    <row r="8258" spans="39:41" x14ac:dyDescent="0.25">
      <c r="AM8258" s="2">
        <v>8255</v>
      </c>
      <c r="AN8258" s="33">
        <v>1.1820104694171064E-2</v>
      </c>
      <c r="AO8258" s="33">
        <v>7.9835464942168432E-4</v>
      </c>
    </row>
    <row r="8259" spans="39:41" x14ac:dyDescent="0.25">
      <c r="AM8259" s="2">
        <v>8256</v>
      </c>
      <c r="AN8259" s="33">
        <v>1.4515427226034357E-2</v>
      </c>
      <c r="AO8259" s="33">
        <v>1.1674290446724363E-3</v>
      </c>
    </row>
    <row r="8260" spans="39:41" x14ac:dyDescent="0.25">
      <c r="AM8260" s="2">
        <v>8257</v>
      </c>
      <c r="AN8260" s="33">
        <v>1.3470014724206024E-2</v>
      </c>
      <c r="AO8260" s="33">
        <v>1.1496750775437552E-3</v>
      </c>
    </row>
    <row r="8261" spans="39:41" x14ac:dyDescent="0.25">
      <c r="AM8261" s="2">
        <v>8258</v>
      </c>
      <c r="AN8261" s="33">
        <v>1.0998855444411062E-2</v>
      </c>
      <c r="AO8261" s="33">
        <v>7.6289458022556786E-4</v>
      </c>
    </row>
    <row r="8262" spans="39:41" x14ac:dyDescent="0.25">
      <c r="AM8262" s="2">
        <v>8259</v>
      </c>
      <c r="AN8262" s="33">
        <v>9.5058752642402707E-3</v>
      </c>
      <c r="AO8262" s="33">
        <v>4.5869279228407425E-4</v>
      </c>
    </row>
    <row r="8263" spans="39:41" x14ac:dyDescent="0.25">
      <c r="AM8263" s="2">
        <v>8260</v>
      </c>
      <c r="AN8263" s="33">
        <v>1.3043022599961606E-2</v>
      </c>
      <c r="AO8263" s="33">
        <v>1.1469880843174855E-3</v>
      </c>
    </row>
    <row r="8264" spans="39:41" x14ac:dyDescent="0.25">
      <c r="AM8264" s="2">
        <v>8261</v>
      </c>
      <c r="AN8264" s="33">
        <v>1.1717667513885569E-2</v>
      </c>
      <c r="AO8264" s="33">
        <v>1.1151815281846716E-3</v>
      </c>
    </row>
    <row r="8265" spans="39:41" x14ac:dyDescent="0.25">
      <c r="AM8265" s="2">
        <v>8262</v>
      </c>
      <c r="AN8265" s="33">
        <v>1.0668886627803909E-2</v>
      </c>
      <c r="AO8265" s="33">
        <v>7.0619019390852974E-4</v>
      </c>
    </row>
    <row r="8266" spans="39:41" x14ac:dyDescent="0.25">
      <c r="AM8266" s="2">
        <v>8263</v>
      </c>
      <c r="AN8266" s="33">
        <v>1.0970520399714499E-2</v>
      </c>
      <c r="AO8266" s="33">
        <v>9.100153932618619E-4</v>
      </c>
    </row>
    <row r="8267" spans="39:41" x14ac:dyDescent="0.25">
      <c r="AM8267" s="2">
        <v>8264</v>
      </c>
      <c r="AN8267" s="33">
        <v>1.2302918418857004E-2</v>
      </c>
      <c r="AO8267" s="33">
        <v>1.1756972224104497E-3</v>
      </c>
    </row>
    <row r="8268" spans="39:41" x14ac:dyDescent="0.25">
      <c r="AM8268" s="2">
        <v>8265</v>
      </c>
      <c r="AN8268" s="33">
        <v>1.2179256156745193E-2</v>
      </c>
      <c r="AO8268" s="33">
        <v>6.2788028230026393E-4</v>
      </c>
    </row>
    <row r="8269" spans="39:41" x14ac:dyDescent="0.25">
      <c r="AM8269" s="2">
        <v>8266</v>
      </c>
      <c r="AN8269" s="33">
        <v>1.3989612142561617E-2</v>
      </c>
      <c r="AO8269" s="33">
        <v>1.2834036237936795E-3</v>
      </c>
    </row>
    <row r="8270" spans="39:41" x14ac:dyDescent="0.25">
      <c r="AM8270" s="2">
        <v>8267</v>
      </c>
      <c r="AN8270" s="33">
        <v>9.8619169730996201E-3</v>
      </c>
      <c r="AO8270" s="33">
        <v>8.2799215843372355E-4</v>
      </c>
    </row>
    <row r="8271" spans="39:41" x14ac:dyDescent="0.25">
      <c r="AM8271" s="2">
        <v>8268</v>
      </c>
      <c r="AN8271" s="33">
        <v>9.1395162945022597E-3</v>
      </c>
      <c r="AO8271" s="33">
        <v>1.7274586148304866E-4</v>
      </c>
    </row>
    <row r="8272" spans="39:41" x14ac:dyDescent="0.25">
      <c r="AM8272" s="2">
        <v>8269</v>
      </c>
      <c r="AN8272" s="33">
        <v>1.3340853325923755E-2</v>
      </c>
      <c r="AO8272" s="33">
        <v>9.4160679016413984E-4</v>
      </c>
    </row>
    <row r="8273" spans="39:41" x14ac:dyDescent="0.25">
      <c r="AM8273" s="2">
        <v>8270</v>
      </c>
      <c r="AN8273" s="33">
        <v>1.4535124037176031E-2</v>
      </c>
      <c r="AO8273" s="33">
        <v>9.3875613397943693E-4</v>
      </c>
    </row>
    <row r="8274" spans="39:41" x14ac:dyDescent="0.25">
      <c r="AM8274" s="2">
        <v>8271</v>
      </c>
      <c r="AN8274" s="33">
        <v>1.1285425554899468E-2</v>
      </c>
      <c r="AO8274" s="33">
        <v>5.3061757775246278E-4</v>
      </c>
    </row>
    <row r="8275" spans="39:41" x14ac:dyDescent="0.25">
      <c r="AM8275" s="2">
        <v>8272</v>
      </c>
      <c r="AN8275" s="33">
        <v>1.0452891353429373E-2</v>
      </c>
      <c r="AO8275" s="33">
        <v>6.0887838019416942E-4</v>
      </c>
    </row>
    <row r="8276" spans="39:41" x14ac:dyDescent="0.25">
      <c r="AM8276" s="2">
        <v>8273</v>
      </c>
      <c r="AN8276" s="33">
        <v>8.3055062930591315E-3</v>
      </c>
      <c r="AO8276" s="33">
        <v>3.8449544780119391E-4</v>
      </c>
    </row>
    <row r="8277" spans="39:41" x14ac:dyDescent="0.25">
      <c r="AM8277" s="2">
        <v>8274</v>
      </c>
      <c r="AN8277" s="33">
        <v>1.1385863403852616E-2</v>
      </c>
      <c r="AO8277" s="33">
        <v>8.4226804193823638E-4</v>
      </c>
    </row>
    <row r="8278" spans="39:41" x14ac:dyDescent="0.25">
      <c r="AM8278" s="2">
        <v>8275</v>
      </c>
      <c r="AN8278" s="33">
        <v>1.1485159322095959E-2</v>
      </c>
      <c r="AO8278" s="33">
        <v>7.103349946476344E-4</v>
      </c>
    </row>
    <row r="8279" spans="39:41" x14ac:dyDescent="0.25">
      <c r="AM8279" s="2">
        <v>8276</v>
      </c>
      <c r="AN8279" s="33">
        <v>1.4692407254046721E-2</v>
      </c>
      <c r="AO8279" s="33">
        <v>1.3272312137304397E-3</v>
      </c>
    </row>
    <row r="8280" spans="39:41" x14ac:dyDescent="0.25">
      <c r="AM8280" s="2">
        <v>8277</v>
      </c>
      <c r="AN8280" s="33">
        <v>1.1759346917117811E-2</v>
      </c>
      <c r="AO8280" s="33">
        <v>8.0647547672983602E-4</v>
      </c>
    </row>
    <row r="8281" spans="39:41" x14ac:dyDescent="0.25">
      <c r="AM8281" s="2">
        <v>8278</v>
      </c>
      <c r="AN8281" s="33">
        <v>1.0516278884560609E-2</v>
      </c>
      <c r="AO8281" s="33">
        <v>9.1620773512086614E-4</v>
      </c>
    </row>
    <row r="8282" spans="39:41" x14ac:dyDescent="0.25">
      <c r="AM8282" s="2">
        <v>8279</v>
      </c>
      <c r="AN8282" s="33">
        <v>1.3517121928189589E-2</v>
      </c>
      <c r="AO8282" s="33">
        <v>9.5877079315836501E-4</v>
      </c>
    </row>
    <row r="8283" spans="39:41" x14ac:dyDescent="0.25">
      <c r="AM8283" s="2">
        <v>8280</v>
      </c>
      <c r="AN8283" s="33">
        <v>8.820485235944352E-3</v>
      </c>
      <c r="AO8283" s="33">
        <v>6.5973451689957635E-4</v>
      </c>
    </row>
    <row r="8284" spans="39:41" x14ac:dyDescent="0.25">
      <c r="AM8284" s="2">
        <v>8281</v>
      </c>
      <c r="AN8284" s="33">
        <v>1.138854215769745E-2</v>
      </c>
      <c r="AO8284" s="33">
        <v>1.9498181656849739E-4</v>
      </c>
    </row>
    <row r="8285" spans="39:41" x14ac:dyDescent="0.25">
      <c r="AM8285" s="2">
        <v>8282</v>
      </c>
      <c r="AN8285" s="33">
        <v>1.3928065837576518E-2</v>
      </c>
      <c r="AO8285" s="33">
        <v>1.186910499960118E-3</v>
      </c>
    </row>
    <row r="8286" spans="39:41" x14ac:dyDescent="0.25">
      <c r="AM8286" s="2">
        <v>8283</v>
      </c>
      <c r="AN8286" s="33">
        <v>1.1856985986340862E-2</v>
      </c>
      <c r="AO8286" s="33">
        <v>7.3266521246681331E-4</v>
      </c>
    </row>
    <row r="8287" spans="39:41" x14ac:dyDescent="0.25">
      <c r="AM8287" s="2">
        <v>8284</v>
      </c>
      <c r="AN8287" s="33">
        <v>1.0509601747066076E-2</v>
      </c>
      <c r="AO8287" s="33">
        <v>8.3901991469614585E-4</v>
      </c>
    </row>
    <row r="8288" spans="39:41" x14ac:dyDescent="0.25">
      <c r="AM8288" s="2">
        <v>8285</v>
      </c>
      <c r="AN8288" s="33">
        <v>9.9100871236669479E-3</v>
      </c>
      <c r="AO8288" s="33">
        <v>6.285635337784153E-4</v>
      </c>
    </row>
    <row r="8289" spans="39:41" x14ac:dyDescent="0.25">
      <c r="AM8289" s="2">
        <v>8286</v>
      </c>
      <c r="AN8289" s="33">
        <v>1.0612213332285585E-2</v>
      </c>
      <c r="AO8289" s="33">
        <v>7.6807337615017674E-4</v>
      </c>
    </row>
    <row r="8290" spans="39:41" x14ac:dyDescent="0.25">
      <c r="AM8290" s="2">
        <v>8287</v>
      </c>
      <c r="AN8290" s="33">
        <v>1.2026362796195532E-2</v>
      </c>
      <c r="AO8290" s="33">
        <v>3.1299258892319689E-4</v>
      </c>
    </row>
    <row r="8291" spans="39:41" x14ac:dyDescent="0.25">
      <c r="AM8291" s="2">
        <v>8288</v>
      </c>
      <c r="AN8291" s="33">
        <v>9.9527586564981396E-3</v>
      </c>
      <c r="AO8291" s="33">
        <v>7.9535399733916465E-4</v>
      </c>
    </row>
    <row r="8292" spans="39:41" x14ac:dyDescent="0.25">
      <c r="AM8292" s="2">
        <v>8289</v>
      </c>
      <c r="AN8292" s="33">
        <v>1.226125002726863E-2</v>
      </c>
      <c r="AO8292" s="33">
        <v>1.05340768378478E-3</v>
      </c>
    </row>
    <row r="8293" spans="39:41" x14ac:dyDescent="0.25">
      <c r="AM8293" s="2">
        <v>8290</v>
      </c>
      <c r="AN8293" s="33">
        <v>8.7980035553378699E-3</v>
      </c>
      <c r="AO8293" s="33">
        <v>7.9408335556758612E-4</v>
      </c>
    </row>
    <row r="8294" spans="39:41" x14ac:dyDescent="0.25">
      <c r="AM8294" s="2">
        <v>8291</v>
      </c>
      <c r="AN8294" s="33">
        <v>1.2200791744768865E-2</v>
      </c>
      <c r="AO8294" s="33">
        <v>7.1499717087683057E-4</v>
      </c>
    </row>
    <row r="8295" spans="39:41" x14ac:dyDescent="0.25">
      <c r="AM8295" s="2">
        <v>8292</v>
      </c>
      <c r="AN8295" s="33">
        <v>1.3456640933211998E-2</v>
      </c>
      <c r="AO8295" s="33">
        <v>1.1346779306472474E-3</v>
      </c>
    </row>
    <row r="8296" spans="39:41" x14ac:dyDescent="0.25">
      <c r="AM8296" s="2">
        <v>8293</v>
      </c>
      <c r="AN8296" s="33">
        <v>1.0235224080800777E-2</v>
      </c>
      <c r="AO8296" s="33">
        <v>5.0232077661596197E-4</v>
      </c>
    </row>
    <row r="8297" spans="39:41" x14ac:dyDescent="0.25">
      <c r="AM8297" s="2">
        <v>8294</v>
      </c>
      <c r="AN8297" s="33">
        <v>1.6048938421408362E-2</v>
      </c>
      <c r="AO8297" s="33">
        <v>7.7195801827609499E-5</v>
      </c>
    </row>
    <row r="8298" spans="39:41" x14ac:dyDescent="0.25">
      <c r="AM8298" s="2">
        <v>8295</v>
      </c>
      <c r="AN8298" s="33">
        <v>1.0696950229552351E-2</v>
      </c>
      <c r="AO8298" s="33">
        <v>6.1088283118271736E-4</v>
      </c>
    </row>
    <row r="8299" spans="39:41" x14ac:dyDescent="0.25">
      <c r="AM8299" s="2">
        <v>8296</v>
      </c>
      <c r="AN8299" s="33">
        <v>1.1778617900505729E-2</v>
      </c>
      <c r="AO8299" s="33">
        <v>8.0398548756821714E-4</v>
      </c>
    </row>
    <row r="8300" spans="39:41" x14ac:dyDescent="0.25">
      <c r="AM8300" s="2">
        <v>8297</v>
      </c>
      <c r="AN8300" s="33">
        <v>1.2657847202696913E-2</v>
      </c>
      <c r="AO8300" s="33">
        <v>5.857664341959788E-4</v>
      </c>
    </row>
    <row r="8301" spans="39:41" x14ac:dyDescent="0.25">
      <c r="AM8301" s="2">
        <v>8298</v>
      </c>
      <c r="AN8301" s="33">
        <v>8.7823366124860983E-3</v>
      </c>
      <c r="AO8301" s="33">
        <v>7.2419670245482302E-4</v>
      </c>
    </row>
    <row r="8302" spans="39:41" x14ac:dyDescent="0.25">
      <c r="AM8302" s="2">
        <v>8299</v>
      </c>
      <c r="AN8302" s="33">
        <v>1.4741496624749596E-2</v>
      </c>
      <c r="AO8302" s="33">
        <v>1.2095897620275113E-3</v>
      </c>
    </row>
    <row r="8303" spans="39:41" x14ac:dyDescent="0.25">
      <c r="AM8303" s="2">
        <v>8300</v>
      </c>
      <c r="AN8303" s="33">
        <v>1.0502004815588826E-2</v>
      </c>
      <c r="AO8303" s="33">
        <v>7.9033826987670282E-4</v>
      </c>
    </row>
    <row r="8304" spans="39:41" x14ac:dyDescent="0.25">
      <c r="AM8304" s="2">
        <v>8301</v>
      </c>
      <c r="AN8304" s="33">
        <v>1.2144970841464268E-2</v>
      </c>
      <c r="AO8304" s="33">
        <v>7.0343363231070277E-4</v>
      </c>
    </row>
    <row r="8305" spans="39:41" x14ac:dyDescent="0.25">
      <c r="AM8305" s="2">
        <v>8302</v>
      </c>
      <c r="AN8305" s="33">
        <v>8.8863179226092472E-3</v>
      </c>
      <c r="AO8305" s="33">
        <v>2.9814773338663464E-4</v>
      </c>
    </row>
    <row r="8306" spans="39:41" x14ac:dyDescent="0.25">
      <c r="AM8306" s="2">
        <v>8303</v>
      </c>
      <c r="AN8306" s="33">
        <v>1.0789788539126634E-2</v>
      </c>
      <c r="AO8306" s="33">
        <v>4.1613040962614373E-4</v>
      </c>
    </row>
    <row r="8307" spans="39:41" x14ac:dyDescent="0.25">
      <c r="AM8307" s="2">
        <v>8304</v>
      </c>
      <c r="AN8307" s="33">
        <v>1.5111273189882833E-2</v>
      </c>
      <c r="AO8307" s="33">
        <v>1.1335550615656493E-3</v>
      </c>
    </row>
    <row r="8308" spans="39:41" x14ac:dyDescent="0.25">
      <c r="AM8308" s="2">
        <v>8305</v>
      </c>
      <c r="AN8308" s="33">
        <v>9.3542399502908862E-3</v>
      </c>
      <c r="AO8308" s="33">
        <v>4.5666860123378918E-4</v>
      </c>
    </row>
    <row r="8309" spans="39:41" x14ac:dyDescent="0.25">
      <c r="AM8309" s="2">
        <v>8306</v>
      </c>
      <c r="AN8309" s="33">
        <v>1.1252080928444579E-2</v>
      </c>
      <c r="AO8309" s="33">
        <v>9.8269701709821286E-4</v>
      </c>
    </row>
    <row r="8310" spans="39:41" x14ac:dyDescent="0.25">
      <c r="AM8310" s="2">
        <v>8307</v>
      </c>
      <c r="AN8310" s="33">
        <v>1.031796622589516E-2</v>
      </c>
      <c r="AO8310" s="33">
        <v>3.6818147665655925E-4</v>
      </c>
    </row>
    <row r="8311" spans="39:41" x14ac:dyDescent="0.25">
      <c r="AM8311" s="2">
        <v>8308</v>
      </c>
      <c r="AN8311" s="33">
        <v>9.7182760919196018E-3</v>
      </c>
      <c r="AO8311" s="33">
        <v>5.7849664203997973E-4</v>
      </c>
    </row>
    <row r="8312" spans="39:41" x14ac:dyDescent="0.25">
      <c r="AM8312" s="2">
        <v>8309</v>
      </c>
      <c r="AN8312" s="33">
        <v>1.3599459809540106E-2</v>
      </c>
      <c r="AO8312" s="33">
        <v>1.313279474757238E-3</v>
      </c>
    </row>
    <row r="8313" spans="39:41" x14ac:dyDescent="0.25">
      <c r="AM8313" s="2">
        <v>8310</v>
      </c>
      <c r="AN8313" s="33">
        <v>8.4829629522110307E-3</v>
      </c>
      <c r="AO8313" s="33">
        <v>8.4034009555605132E-4</v>
      </c>
    </row>
    <row r="8314" spans="39:41" x14ac:dyDescent="0.25">
      <c r="AM8314" s="2">
        <v>8311</v>
      </c>
      <c r="AN8314" s="33">
        <v>1.2776767701476175E-2</v>
      </c>
      <c r="AO8314" s="33">
        <v>7.4386095411982758E-4</v>
      </c>
    </row>
    <row r="8315" spans="39:41" x14ac:dyDescent="0.25">
      <c r="AM8315" s="2">
        <v>8312</v>
      </c>
      <c r="AN8315" s="33">
        <v>1.098992524543147E-2</v>
      </c>
      <c r="AO8315" s="33">
        <v>4.8964799473211434E-4</v>
      </c>
    </row>
    <row r="8316" spans="39:41" x14ac:dyDescent="0.25">
      <c r="AM8316" s="2">
        <v>8313</v>
      </c>
      <c r="AN8316" s="33">
        <v>1.083059918566931E-2</v>
      </c>
      <c r="AO8316" s="33">
        <v>5.8845686087484689E-4</v>
      </c>
    </row>
    <row r="8317" spans="39:41" x14ac:dyDescent="0.25">
      <c r="AM8317" s="2">
        <v>8314</v>
      </c>
      <c r="AN8317" s="33">
        <v>1.3749474268369742E-2</v>
      </c>
      <c r="AO8317" s="33">
        <v>9.9375501339820857E-4</v>
      </c>
    </row>
    <row r="8318" spans="39:41" x14ac:dyDescent="0.25">
      <c r="AM8318" s="2">
        <v>8315</v>
      </c>
      <c r="AN8318" s="33">
        <v>9.2961008953991071E-3</v>
      </c>
      <c r="AO8318" s="33">
        <v>6.305792754767093E-4</v>
      </c>
    </row>
    <row r="8319" spans="39:41" x14ac:dyDescent="0.25">
      <c r="AM8319" s="2">
        <v>8316</v>
      </c>
      <c r="AN8319" s="33">
        <v>1.0008514643886879E-2</v>
      </c>
      <c r="AO8319" s="33">
        <v>6.7521410100213237E-4</v>
      </c>
    </row>
    <row r="8320" spans="39:41" x14ac:dyDescent="0.25">
      <c r="AM8320" s="2">
        <v>8317</v>
      </c>
      <c r="AN8320" s="33">
        <v>1.3387077767175669E-2</v>
      </c>
      <c r="AO8320" s="33">
        <v>1.9971577992005873E-4</v>
      </c>
    </row>
    <row r="8321" spans="39:41" x14ac:dyDescent="0.25">
      <c r="AM8321" s="2">
        <v>8318</v>
      </c>
      <c r="AN8321" s="33">
        <v>1.331634351984457E-2</v>
      </c>
      <c r="AO8321" s="33">
        <v>9.9079346666165963E-4</v>
      </c>
    </row>
    <row r="8322" spans="39:41" x14ac:dyDescent="0.25">
      <c r="AM8322" s="2">
        <v>8319</v>
      </c>
      <c r="AN8322" s="33">
        <v>1.1505435297936205E-2</v>
      </c>
      <c r="AO8322" s="33">
        <v>7.5713032087616316E-4</v>
      </c>
    </row>
    <row r="8323" spans="39:41" x14ac:dyDescent="0.25">
      <c r="AM8323" s="2">
        <v>8320</v>
      </c>
      <c r="AN8323" s="33">
        <v>1.0449171945581185E-2</v>
      </c>
      <c r="AO8323" s="33">
        <v>5.8168442470487853E-4</v>
      </c>
    </row>
    <row r="8324" spans="39:41" x14ac:dyDescent="0.25">
      <c r="AM8324" s="2">
        <v>8321</v>
      </c>
      <c r="AN8324" s="33">
        <v>9.6913122072532776E-3</v>
      </c>
      <c r="AO8324" s="33">
        <v>7.8190370525323463E-4</v>
      </c>
    </row>
    <row r="8325" spans="39:41" x14ac:dyDescent="0.25">
      <c r="AM8325" s="2">
        <v>8322</v>
      </c>
      <c r="AN8325" s="33">
        <v>1.0238186937119068E-2</v>
      </c>
      <c r="AO8325" s="33">
        <v>8.2588286788185786E-4</v>
      </c>
    </row>
    <row r="8326" spans="39:41" x14ac:dyDescent="0.25">
      <c r="AM8326" s="2">
        <v>8323</v>
      </c>
      <c r="AN8326" s="33">
        <v>1.3003455465642697E-2</v>
      </c>
      <c r="AO8326" s="33">
        <v>7.5326124595856468E-4</v>
      </c>
    </row>
    <row r="8327" spans="39:41" x14ac:dyDescent="0.25">
      <c r="AM8327" s="2">
        <v>8324</v>
      </c>
      <c r="AN8327" s="33">
        <v>7.8376216285896676E-3</v>
      </c>
      <c r="AO8327" s="33">
        <v>5.3065555593951154E-4</v>
      </c>
    </row>
    <row r="8328" spans="39:41" x14ac:dyDescent="0.25">
      <c r="AM8328" s="2">
        <v>8325</v>
      </c>
      <c r="AN8328" s="33">
        <v>1.7115970801918252E-2</v>
      </c>
      <c r="AO8328" s="33">
        <v>1.7154793302671947E-3</v>
      </c>
    </row>
    <row r="8329" spans="39:41" x14ac:dyDescent="0.25">
      <c r="AM8329" s="2">
        <v>8326</v>
      </c>
      <c r="AN8329" s="33">
        <v>1.5007970944460793E-2</v>
      </c>
      <c r="AO8329" s="33">
        <v>1.2878067538343082E-3</v>
      </c>
    </row>
    <row r="8330" spans="39:41" x14ac:dyDescent="0.25">
      <c r="AM8330" s="2">
        <v>8327</v>
      </c>
      <c r="AN8330" s="33">
        <v>1.1412515740296378E-2</v>
      </c>
      <c r="AO8330" s="33">
        <v>6.4079218470497132E-4</v>
      </c>
    </row>
    <row r="8331" spans="39:41" x14ac:dyDescent="0.25">
      <c r="AM8331" s="2">
        <v>8328</v>
      </c>
      <c r="AN8331" s="33">
        <v>8.2384484952364358E-3</v>
      </c>
      <c r="AO8331" s="33">
        <v>5.1334530375094542E-4</v>
      </c>
    </row>
    <row r="8332" spans="39:41" x14ac:dyDescent="0.25">
      <c r="AM8332" s="2">
        <v>8329</v>
      </c>
      <c r="AN8332" s="33">
        <v>1.2777171999448477E-2</v>
      </c>
      <c r="AO8332" s="33">
        <v>8.5905356529732829E-4</v>
      </c>
    </row>
    <row r="8333" spans="39:41" x14ac:dyDescent="0.25">
      <c r="AM8333" s="2">
        <v>8330</v>
      </c>
      <c r="AN8333" s="33">
        <v>1.1835637174009057E-2</v>
      </c>
      <c r="AO8333" s="33">
        <v>1.0519342415590816E-3</v>
      </c>
    </row>
    <row r="8334" spans="39:41" x14ac:dyDescent="0.25">
      <c r="AM8334" s="2">
        <v>8331</v>
      </c>
      <c r="AN8334" s="33">
        <v>1.1403176368375506E-2</v>
      </c>
      <c r="AO8334" s="33">
        <v>7.5695262510846778E-4</v>
      </c>
    </row>
    <row r="8335" spans="39:41" x14ac:dyDescent="0.25">
      <c r="AM8335" s="2">
        <v>8332</v>
      </c>
      <c r="AN8335" s="33">
        <v>9.6629681568065288E-3</v>
      </c>
      <c r="AO8335" s="33">
        <v>4.6091337755164221E-4</v>
      </c>
    </row>
    <row r="8336" spans="39:41" x14ac:dyDescent="0.25">
      <c r="AM8336" s="2">
        <v>8333</v>
      </c>
      <c r="AN8336" s="33">
        <v>8.493431631460744E-3</v>
      </c>
      <c r="AO8336" s="33">
        <v>7.1267539207173138E-4</v>
      </c>
    </row>
    <row r="8337" spans="39:41" x14ac:dyDescent="0.25">
      <c r="AM8337" s="2">
        <v>8334</v>
      </c>
      <c r="AN8337" s="33">
        <v>1.2851703659193019E-2</v>
      </c>
      <c r="AO8337" s="33">
        <v>1.3139514009759413E-3</v>
      </c>
    </row>
    <row r="8338" spans="39:41" x14ac:dyDescent="0.25">
      <c r="AM8338" s="2">
        <v>8335</v>
      </c>
      <c r="AN8338" s="33">
        <v>1.307362060933613E-2</v>
      </c>
      <c r="AO8338" s="33">
        <v>1.0602787459937494E-3</v>
      </c>
    </row>
    <row r="8339" spans="39:41" x14ac:dyDescent="0.25">
      <c r="AM8339" s="2">
        <v>8336</v>
      </c>
      <c r="AN8339" s="33">
        <v>1.3272465553902716E-2</v>
      </c>
      <c r="AO8339" s="33">
        <v>8.1367969081276635E-4</v>
      </c>
    </row>
    <row r="8340" spans="39:41" x14ac:dyDescent="0.25">
      <c r="AM8340" s="2">
        <v>8337</v>
      </c>
      <c r="AN8340" s="33">
        <v>1.3014398840030528E-2</v>
      </c>
      <c r="AO8340" s="33">
        <v>8.5984696797222781E-4</v>
      </c>
    </row>
    <row r="8341" spans="39:41" x14ac:dyDescent="0.25">
      <c r="AM8341" s="2">
        <v>8338</v>
      </c>
      <c r="AN8341" s="33">
        <v>1.1544800673544062E-2</v>
      </c>
      <c r="AO8341" s="33">
        <v>1.0786667964165868E-3</v>
      </c>
    </row>
    <row r="8342" spans="39:41" x14ac:dyDescent="0.25">
      <c r="AM8342" s="2">
        <v>8339</v>
      </c>
      <c r="AN8342" s="33">
        <v>9.6213579762477446E-3</v>
      </c>
      <c r="AO8342" s="33">
        <v>8.9055118456158764E-4</v>
      </c>
    </row>
    <row r="8343" spans="39:41" x14ac:dyDescent="0.25">
      <c r="AM8343" s="2">
        <v>8340</v>
      </c>
      <c r="AN8343" s="33">
        <v>1.0046388356094055E-2</v>
      </c>
      <c r="AO8343" s="33">
        <v>2.5310720590700306E-4</v>
      </c>
    </row>
    <row r="8344" spans="39:41" x14ac:dyDescent="0.25">
      <c r="AM8344" s="2">
        <v>8341</v>
      </c>
      <c r="AN8344" s="33">
        <v>1.0993539620388782E-2</v>
      </c>
      <c r="AO8344" s="33">
        <v>5.4100313887966143E-4</v>
      </c>
    </row>
    <row r="8345" spans="39:41" x14ac:dyDescent="0.25">
      <c r="AM8345" s="2">
        <v>8342</v>
      </c>
      <c r="AN8345" s="33">
        <v>1.0975962050579048E-2</v>
      </c>
      <c r="AO8345" s="33">
        <v>1.1964856905371938E-3</v>
      </c>
    </row>
    <row r="8346" spans="39:41" x14ac:dyDescent="0.25">
      <c r="AM8346" s="2">
        <v>8343</v>
      </c>
      <c r="AN8346" s="33">
        <v>9.8120899888207158E-3</v>
      </c>
      <c r="AO8346" s="33">
        <v>4.6166439783374336E-4</v>
      </c>
    </row>
    <row r="8347" spans="39:41" x14ac:dyDescent="0.25">
      <c r="AM8347" s="2">
        <v>8344</v>
      </c>
      <c r="AN8347" s="33">
        <v>1.1422329252941451E-2</v>
      </c>
      <c r="AO8347" s="33">
        <v>5.8006301320109746E-4</v>
      </c>
    </row>
    <row r="8348" spans="39:41" x14ac:dyDescent="0.25">
      <c r="AM8348" s="2">
        <v>8345</v>
      </c>
      <c r="AN8348" s="33">
        <v>1.4248497118860835E-2</v>
      </c>
      <c r="AO8348" s="33">
        <v>1.5283873180253788E-3</v>
      </c>
    </row>
    <row r="8349" spans="39:41" x14ac:dyDescent="0.25">
      <c r="AM8349" s="2">
        <v>8346</v>
      </c>
      <c r="AN8349" s="33">
        <v>1.2121675648642931E-2</v>
      </c>
      <c r="AO8349" s="33">
        <v>1.1431704298991126E-3</v>
      </c>
    </row>
    <row r="8350" spans="39:41" x14ac:dyDescent="0.25">
      <c r="AM8350" s="2">
        <v>8347</v>
      </c>
      <c r="AN8350" s="33">
        <v>1.0170270839817839E-2</v>
      </c>
      <c r="AO8350" s="33">
        <v>7.484954570499625E-4</v>
      </c>
    </row>
    <row r="8351" spans="39:41" x14ac:dyDescent="0.25">
      <c r="AM8351" s="2">
        <v>8348</v>
      </c>
      <c r="AN8351" s="33">
        <v>1.1669675302897553E-2</v>
      </c>
      <c r="AO8351" s="33">
        <v>6.2168930218571854E-4</v>
      </c>
    </row>
    <row r="8352" spans="39:41" x14ac:dyDescent="0.25">
      <c r="AM8352" s="2">
        <v>8349</v>
      </c>
      <c r="AN8352" s="33">
        <v>1.4784069915412316E-2</v>
      </c>
      <c r="AO8352" s="33">
        <v>9.9162391272270738E-4</v>
      </c>
    </row>
    <row r="8353" spans="39:41" x14ac:dyDescent="0.25">
      <c r="AM8353" s="2">
        <v>8350</v>
      </c>
      <c r="AN8353" s="33">
        <v>1.1967463320700495E-2</v>
      </c>
      <c r="AO8353" s="33">
        <v>6.8104867573553758E-4</v>
      </c>
    </row>
    <row r="8354" spans="39:41" x14ac:dyDescent="0.25">
      <c r="AM8354" s="2">
        <v>8351</v>
      </c>
      <c r="AN8354" s="33">
        <v>1.6647860798223512E-2</v>
      </c>
      <c r="AO8354" s="33">
        <v>1.7522017101680616E-3</v>
      </c>
    </row>
    <row r="8355" spans="39:41" x14ac:dyDescent="0.25">
      <c r="AM8355" s="2">
        <v>8352</v>
      </c>
      <c r="AN8355" s="33">
        <v>1.3218641246243796E-2</v>
      </c>
      <c r="AO8355" s="33">
        <v>7.4418183199759051E-4</v>
      </c>
    </row>
    <row r="8356" spans="39:41" x14ac:dyDescent="0.25">
      <c r="AM8356" s="2">
        <v>8353</v>
      </c>
      <c r="AN8356" s="33">
        <v>1.2608993498586152E-2</v>
      </c>
      <c r="AO8356" s="33">
        <v>1.0172158244280026E-3</v>
      </c>
    </row>
    <row r="8357" spans="39:41" x14ac:dyDescent="0.25">
      <c r="AM8357" s="2">
        <v>8354</v>
      </c>
      <c r="AN8357" s="33">
        <v>1.1288180418677263E-2</v>
      </c>
      <c r="AO8357" s="33">
        <v>5.9727699629596824E-4</v>
      </c>
    </row>
    <row r="8358" spans="39:41" x14ac:dyDescent="0.25">
      <c r="AM8358" s="2">
        <v>8355</v>
      </c>
      <c r="AN8358" s="33">
        <v>1.0527488284061363E-2</v>
      </c>
      <c r="AO8358" s="33">
        <v>3.3586630993640628E-4</v>
      </c>
    </row>
    <row r="8359" spans="39:41" x14ac:dyDescent="0.25">
      <c r="AM8359" s="2">
        <v>8356</v>
      </c>
      <c r="AN8359" s="33">
        <v>1.4626125447192955E-2</v>
      </c>
      <c r="AO8359" s="33">
        <v>8.8854688041201839E-4</v>
      </c>
    </row>
    <row r="8360" spans="39:41" x14ac:dyDescent="0.25">
      <c r="AM8360" s="2">
        <v>8357</v>
      </c>
      <c r="AN8360" s="33">
        <v>1.2357856520884241E-2</v>
      </c>
      <c r="AO8360" s="33">
        <v>1.0643815833144671E-3</v>
      </c>
    </row>
    <row r="8361" spans="39:41" x14ac:dyDescent="0.25">
      <c r="AM8361" s="2">
        <v>8358</v>
      </c>
      <c r="AN8361" s="33">
        <v>1.1531672851293414E-2</v>
      </c>
      <c r="AO8361" s="33">
        <v>1.1165639959763681E-3</v>
      </c>
    </row>
    <row r="8362" spans="39:41" x14ac:dyDescent="0.25">
      <c r="AM8362" s="2">
        <v>8359</v>
      </c>
      <c r="AN8362" s="33">
        <v>1.3285050144175871E-2</v>
      </c>
      <c r="AO8362" s="33">
        <v>1.0479940457088954E-3</v>
      </c>
    </row>
    <row r="8363" spans="39:41" x14ac:dyDescent="0.25">
      <c r="AM8363" s="2">
        <v>8360</v>
      </c>
      <c r="AN8363" s="33">
        <v>1.590234396804803E-2</v>
      </c>
      <c r="AO8363" s="33">
        <v>1.6896069377637477E-3</v>
      </c>
    </row>
    <row r="8364" spans="39:41" x14ac:dyDescent="0.25">
      <c r="AM8364" s="2">
        <v>8361</v>
      </c>
      <c r="AN8364" s="33">
        <v>1.2944484137692981E-2</v>
      </c>
      <c r="AO8364" s="33">
        <v>9.4736326765051579E-4</v>
      </c>
    </row>
    <row r="8365" spans="39:41" x14ac:dyDescent="0.25">
      <c r="AM8365" s="2">
        <v>8362</v>
      </c>
      <c r="AN8365" s="33">
        <v>1.1924162289004368E-2</v>
      </c>
      <c r="AO8365" s="33">
        <v>9.5226038672838523E-4</v>
      </c>
    </row>
    <row r="8366" spans="39:41" x14ac:dyDescent="0.25">
      <c r="AM8366" s="2">
        <v>8363</v>
      </c>
      <c r="AN8366" s="33">
        <v>1.2574332153911945E-2</v>
      </c>
      <c r="AO8366" s="33">
        <v>1.2853773620073758E-3</v>
      </c>
    </row>
    <row r="8367" spans="39:41" x14ac:dyDescent="0.25">
      <c r="AM8367" s="2">
        <v>8364</v>
      </c>
      <c r="AN8367" s="33">
        <v>1.0715503994105339E-2</v>
      </c>
      <c r="AO8367" s="33">
        <v>9.1738518868744398E-4</v>
      </c>
    </row>
    <row r="8368" spans="39:41" x14ac:dyDescent="0.25">
      <c r="AM8368" s="2">
        <v>8365</v>
      </c>
      <c r="AN8368" s="33">
        <v>1.151683555272962E-2</v>
      </c>
      <c r="AO8368" s="33">
        <v>4.8350752284017978E-4</v>
      </c>
    </row>
    <row r="8369" spans="39:41" x14ac:dyDescent="0.25">
      <c r="AM8369" s="2">
        <v>8366</v>
      </c>
      <c r="AN8369" s="33">
        <v>1.1916075896316594E-2</v>
      </c>
      <c r="AO8369" s="33">
        <v>7.4995492978781981E-4</v>
      </c>
    </row>
    <row r="8370" spans="39:41" x14ac:dyDescent="0.25">
      <c r="AM8370" s="2">
        <v>8367</v>
      </c>
      <c r="AN8370" s="33">
        <v>1.2306425082457299E-2</v>
      </c>
      <c r="AO8370" s="33">
        <v>9.7453697431226869E-4</v>
      </c>
    </row>
    <row r="8371" spans="39:41" x14ac:dyDescent="0.25">
      <c r="AM8371" s="2">
        <v>8368</v>
      </c>
      <c r="AN8371" s="33">
        <v>1.2130530136727449E-2</v>
      </c>
      <c r="AO8371" s="33">
        <v>7.5265686444646904E-4</v>
      </c>
    </row>
    <row r="8372" spans="39:41" x14ac:dyDescent="0.25">
      <c r="AM8372" s="2">
        <v>8369</v>
      </c>
      <c r="AN8372" s="33">
        <v>9.7526346291346381E-3</v>
      </c>
      <c r="AO8372" s="33">
        <v>6.2769992575286901E-4</v>
      </c>
    </row>
    <row r="8373" spans="39:41" x14ac:dyDescent="0.25">
      <c r="AM8373" s="2">
        <v>8370</v>
      </c>
      <c r="AN8373" s="33">
        <v>1.1293237590428858E-2</v>
      </c>
      <c r="AO8373" s="33">
        <v>8.6261682261360318E-4</v>
      </c>
    </row>
    <row r="8374" spans="39:41" x14ac:dyDescent="0.25">
      <c r="AM8374" s="2">
        <v>8371</v>
      </c>
      <c r="AN8374" s="33">
        <v>1.2902083218324065E-2</v>
      </c>
      <c r="AO8374" s="33">
        <v>5.6420380669882178E-4</v>
      </c>
    </row>
    <row r="8375" spans="39:41" x14ac:dyDescent="0.25">
      <c r="AM8375" s="2">
        <v>8372</v>
      </c>
      <c r="AN8375" s="33">
        <v>1.0975395691518557E-2</v>
      </c>
      <c r="AO8375" s="33">
        <v>8.0711551045038895E-4</v>
      </c>
    </row>
    <row r="8376" spans="39:41" x14ac:dyDescent="0.25">
      <c r="AM8376" s="2">
        <v>8373</v>
      </c>
      <c r="AN8376" s="33">
        <v>1.7249299682057108E-2</v>
      </c>
      <c r="AO8376" s="33">
        <v>1.6419403680578335E-3</v>
      </c>
    </row>
    <row r="8377" spans="39:41" x14ac:dyDescent="0.25">
      <c r="AM8377" s="2">
        <v>8374</v>
      </c>
      <c r="AN8377" s="33">
        <v>1.0964297045601633E-2</v>
      </c>
      <c r="AO8377" s="33">
        <v>7.9380252248259574E-4</v>
      </c>
    </row>
    <row r="8378" spans="39:41" x14ac:dyDescent="0.25">
      <c r="AM8378" s="2">
        <v>8375</v>
      </c>
      <c r="AN8378" s="33">
        <v>1.0663991603328638E-2</v>
      </c>
      <c r="AO8378" s="33">
        <v>9.2835929716630428E-4</v>
      </c>
    </row>
    <row r="8379" spans="39:41" x14ac:dyDescent="0.25">
      <c r="AM8379" s="2">
        <v>8376</v>
      </c>
      <c r="AN8379" s="33">
        <v>1.0150806530170175E-2</v>
      </c>
      <c r="AO8379" s="33">
        <v>2.5756102042834533E-4</v>
      </c>
    </row>
    <row r="8380" spans="39:41" x14ac:dyDescent="0.25">
      <c r="AM8380" s="2">
        <v>8377</v>
      </c>
      <c r="AN8380" s="33">
        <v>1.240478066321553E-2</v>
      </c>
      <c r="AO8380" s="33">
        <v>1.2122528212510867E-3</v>
      </c>
    </row>
    <row r="8381" spans="39:41" x14ac:dyDescent="0.25">
      <c r="AM8381" s="2">
        <v>8378</v>
      </c>
      <c r="AN8381" s="33">
        <v>8.9408585842083808E-3</v>
      </c>
      <c r="AO8381" s="33">
        <v>6.3590005906529671E-4</v>
      </c>
    </row>
    <row r="8382" spans="39:41" x14ac:dyDescent="0.25">
      <c r="AM8382" s="2">
        <v>8379</v>
      </c>
      <c r="AN8382" s="33">
        <v>9.599112029892113E-3</v>
      </c>
      <c r="AO8382" s="33">
        <v>1.3009603411268372E-4</v>
      </c>
    </row>
    <row r="8383" spans="39:41" x14ac:dyDescent="0.25">
      <c r="AM8383" s="2">
        <v>8380</v>
      </c>
      <c r="AN8383" s="33">
        <v>1.2873743119394638E-2</v>
      </c>
      <c r="AO8383" s="33">
        <v>1.1761567765721675E-3</v>
      </c>
    </row>
    <row r="8384" spans="39:41" x14ac:dyDescent="0.25">
      <c r="AM8384" s="2">
        <v>8381</v>
      </c>
      <c r="AN8384" s="33">
        <v>1.2718607562366565E-2</v>
      </c>
      <c r="AO8384" s="33">
        <v>7.9849637785563957E-4</v>
      </c>
    </row>
    <row r="8385" spans="39:41" x14ac:dyDescent="0.25">
      <c r="AM8385" s="2">
        <v>8382</v>
      </c>
      <c r="AN8385" s="33">
        <v>1.0197572733540494E-2</v>
      </c>
      <c r="AO8385" s="33">
        <v>2.6479665770554023E-4</v>
      </c>
    </row>
    <row r="8386" spans="39:41" x14ac:dyDescent="0.25">
      <c r="AM8386" s="2">
        <v>8383</v>
      </c>
      <c r="AN8386" s="33">
        <v>1.0028965295670987E-2</v>
      </c>
      <c r="AO8386" s="33">
        <v>8.3374519382327719E-4</v>
      </c>
    </row>
    <row r="8387" spans="39:41" x14ac:dyDescent="0.25">
      <c r="AM8387" s="2">
        <v>8384</v>
      </c>
      <c r="AN8387" s="33">
        <v>1.2877300941601031E-2</v>
      </c>
      <c r="AO8387" s="33">
        <v>1.0018090919695004E-3</v>
      </c>
    </row>
    <row r="8388" spans="39:41" x14ac:dyDescent="0.25">
      <c r="AM8388" s="2">
        <v>8385</v>
      </c>
      <c r="AN8388" s="33">
        <v>1.2765688887347942E-2</v>
      </c>
      <c r="AO8388" s="33">
        <v>1.0997728044658871E-3</v>
      </c>
    </row>
    <row r="8389" spans="39:41" x14ac:dyDescent="0.25">
      <c r="AM8389" s="2">
        <v>8386</v>
      </c>
      <c r="AN8389" s="33">
        <v>7.6081307610442739E-3</v>
      </c>
      <c r="AO8389" s="33">
        <v>4.3741590829058974E-4</v>
      </c>
    </row>
    <row r="8390" spans="39:41" x14ac:dyDescent="0.25">
      <c r="AM8390" s="2">
        <v>8387</v>
      </c>
      <c r="AN8390" s="33">
        <v>1.1137293098073774E-2</v>
      </c>
      <c r="AO8390" s="33">
        <v>7.0133554762206833E-4</v>
      </c>
    </row>
    <row r="8391" spans="39:41" x14ac:dyDescent="0.25">
      <c r="AM8391" s="2">
        <v>8388</v>
      </c>
      <c r="AN8391" s="33">
        <v>1.2418971503178456E-2</v>
      </c>
      <c r="AO8391" s="33">
        <v>8.0223456078806754E-4</v>
      </c>
    </row>
    <row r="8392" spans="39:41" x14ac:dyDescent="0.25">
      <c r="AM8392" s="2">
        <v>8389</v>
      </c>
      <c r="AN8392" s="33">
        <v>1.3749954008878811E-2</v>
      </c>
      <c r="AO8392" s="33">
        <v>1.4380240268440363E-3</v>
      </c>
    </row>
    <row r="8393" spans="39:41" x14ac:dyDescent="0.25">
      <c r="AM8393" s="2">
        <v>8390</v>
      </c>
      <c r="AN8393" s="33">
        <v>1.3661665350488393E-2</v>
      </c>
      <c r="AO8393" s="33">
        <v>1.353332676383219E-3</v>
      </c>
    </row>
    <row r="8394" spans="39:41" x14ac:dyDescent="0.25">
      <c r="AM8394" s="2">
        <v>8391</v>
      </c>
      <c r="AN8394" s="33">
        <v>1.3304603950313309E-2</v>
      </c>
      <c r="AO8394" s="33">
        <v>9.5004414559299549E-4</v>
      </c>
    </row>
    <row r="8395" spans="39:41" x14ac:dyDescent="0.25">
      <c r="AM8395" s="2">
        <v>8392</v>
      </c>
      <c r="AN8395" s="33">
        <v>1.0576049369293005E-2</v>
      </c>
      <c r="AO8395" s="33">
        <v>5.2584537488697351E-4</v>
      </c>
    </row>
    <row r="8396" spans="39:41" x14ac:dyDescent="0.25">
      <c r="AM8396" s="2">
        <v>8393</v>
      </c>
      <c r="AN8396" s="33">
        <v>1.1324089334449481E-2</v>
      </c>
      <c r="AO8396" s="33">
        <v>6.6737729992618201E-4</v>
      </c>
    </row>
    <row r="8397" spans="39:41" x14ac:dyDescent="0.25">
      <c r="AM8397" s="2">
        <v>8394</v>
      </c>
      <c r="AN8397" s="33">
        <v>1.2658493674765866E-2</v>
      </c>
      <c r="AO8397" s="33">
        <v>9.7767440040998641E-4</v>
      </c>
    </row>
    <row r="8398" spans="39:41" x14ac:dyDescent="0.25">
      <c r="AM8398" s="2">
        <v>8395</v>
      </c>
      <c r="AN8398" s="33">
        <v>1.0653565947883291E-2</v>
      </c>
      <c r="AO8398" s="33">
        <v>9.6698734069198449E-4</v>
      </c>
    </row>
    <row r="8399" spans="39:41" x14ac:dyDescent="0.25">
      <c r="AM8399" s="2">
        <v>8396</v>
      </c>
      <c r="AN8399" s="33">
        <v>1.0399260245482855E-2</v>
      </c>
      <c r="AO8399" s="33">
        <v>8.5465685840104835E-4</v>
      </c>
    </row>
    <row r="8400" spans="39:41" x14ac:dyDescent="0.25">
      <c r="AM8400" s="2">
        <v>8397</v>
      </c>
      <c r="AN8400" s="33">
        <v>1.4195189682653831E-2</v>
      </c>
      <c r="AO8400" s="33">
        <v>1.377989647932665E-3</v>
      </c>
    </row>
    <row r="8401" spans="39:41" x14ac:dyDescent="0.25">
      <c r="AM8401" s="2">
        <v>8398</v>
      </c>
      <c r="AN8401" s="33">
        <v>1.1886788400321488E-2</v>
      </c>
      <c r="AO8401" s="33">
        <v>9.0239587978640211E-4</v>
      </c>
    </row>
    <row r="8402" spans="39:41" x14ac:dyDescent="0.25">
      <c r="AM8402" s="2">
        <v>8399</v>
      </c>
      <c r="AN8402" s="33">
        <v>8.7648004675127348E-3</v>
      </c>
      <c r="AO8402" s="33">
        <v>6.6652622942305843E-4</v>
      </c>
    </row>
    <row r="8403" spans="39:41" x14ac:dyDescent="0.25">
      <c r="AM8403" s="2">
        <v>8400</v>
      </c>
      <c r="AN8403" s="33">
        <v>1.2549355225167593E-2</v>
      </c>
      <c r="AO8403" s="33">
        <v>8.8620898209516516E-4</v>
      </c>
    </row>
    <row r="8404" spans="39:41" x14ac:dyDescent="0.25">
      <c r="AM8404" s="2">
        <v>8401</v>
      </c>
      <c r="AN8404" s="33">
        <v>1.0913414991566877E-2</v>
      </c>
      <c r="AO8404" s="33">
        <v>6.5676220490775133E-4</v>
      </c>
    </row>
    <row r="8405" spans="39:41" x14ac:dyDescent="0.25">
      <c r="AM8405" s="2">
        <v>8402</v>
      </c>
      <c r="AN8405" s="33">
        <v>1.1420160682138351E-2</v>
      </c>
      <c r="AO8405" s="33">
        <v>7.9919464462574604E-4</v>
      </c>
    </row>
    <row r="8406" spans="39:41" x14ac:dyDescent="0.25">
      <c r="AM8406" s="2">
        <v>8403</v>
      </c>
      <c r="AN8406" s="33">
        <v>1.2698495408018123E-2</v>
      </c>
      <c r="AO8406" s="33">
        <v>7.5087939968747905E-4</v>
      </c>
    </row>
    <row r="8407" spans="39:41" x14ac:dyDescent="0.25">
      <c r="AM8407" s="2">
        <v>8404</v>
      </c>
      <c r="AN8407" s="33">
        <v>1.1554802358994979E-2</v>
      </c>
      <c r="AO8407" s="33">
        <v>1.0422481631213859E-3</v>
      </c>
    </row>
    <row r="8408" spans="39:41" x14ac:dyDescent="0.25">
      <c r="AM8408" s="2">
        <v>8405</v>
      </c>
      <c r="AN8408" s="33">
        <v>8.4089663994340747E-3</v>
      </c>
      <c r="AO8408" s="33">
        <v>4.3228573504157104E-4</v>
      </c>
    </row>
    <row r="8409" spans="39:41" x14ac:dyDescent="0.25">
      <c r="AM8409" s="2">
        <v>8406</v>
      </c>
      <c r="AN8409" s="33">
        <v>1.2894505141853E-2</v>
      </c>
      <c r="AO8409" s="33">
        <v>8.3215547807814359E-4</v>
      </c>
    </row>
    <row r="8410" spans="39:41" x14ac:dyDescent="0.25">
      <c r="AM8410" s="2">
        <v>8407</v>
      </c>
      <c r="AN8410" s="33">
        <v>9.7110529927037139E-3</v>
      </c>
      <c r="AO8410" s="33">
        <v>6.5200211536634814E-4</v>
      </c>
    </row>
    <row r="8411" spans="39:41" x14ac:dyDescent="0.25">
      <c r="AM8411" s="2">
        <v>8408</v>
      </c>
      <c r="AN8411" s="33">
        <v>8.085792105141586E-3</v>
      </c>
      <c r="AO8411" s="33">
        <v>6.3928752161034237E-4</v>
      </c>
    </row>
    <row r="8412" spans="39:41" x14ac:dyDescent="0.25">
      <c r="AM8412" s="2">
        <v>8409</v>
      </c>
      <c r="AN8412" s="33">
        <v>1.2522145171738228E-2</v>
      </c>
      <c r="AO8412" s="33">
        <v>9.8704242814945647E-4</v>
      </c>
    </row>
    <row r="8413" spans="39:41" x14ac:dyDescent="0.25">
      <c r="AM8413" s="2">
        <v>8410</v>
      </c>
      <c r="AN8413" s="33">
        <v>1.4029696740808064E-2</v>
      </c>
      <c r="AO8413" s="33">
        <v>8.9430555310862408E-4</v>
      </c>
    </row>
    <row r="8414" spans="39:41" x14ac:dyDescent="0.25">
      <c r="AM8414" s="2">
        <v>8411</v>
      </c>
      <c r="AN8414" s="33">
        <v>1.4727200052324894E-2</v>
      </c>
      <c r="AO8414" s="33">
        <v>1.0296768017583147E-3</v>
      </c>
    </row>
    <row r="8415" spans="39:41" x14ac:dyDescent="0.25">
      <c r="AM8415" s="2">
        <v>8412</v>
      </c>
      <c r="AN8415" s="33">
        <v>9.9374762525716274E-3</v>
      </c>
      <c r="AO8415" s="33">
        <v>8.8981607992571717E-4</v>
      </c>
    </row>
    <row r="8416" spans="39:41" x14ac:dyDescent="0.25">
      <c r="AM8416" s="2">
        <v>8413</v>
      </c>
      <c r="AN8416" s="33">
        <v>1.0624831860408352E-2</v>
      </c>
      <c r="AO8416" s="33">
        <v>5.0814479542249597E-4</v>
      </c>
    </row>
    <row r="8417" spans="39:41" x14ac:dyDescent="0.25">
      <c r="AM8417" s="2">
        <v>8414</v>
      </c>
      <c r="AN8417" s="33">
        <v>1.2446062336784431E-2</v>
      </c>
      <c r="AO8417" s="33">
        <v>1.069648650776736E-3</v>
      </c>
    </row>
    <row r="8418" spans="39:41" x14ac:dyDescent="0.25">
      <c r="AM8418" s="2">
        <v>8415</v>
      </c>
      <c r="AN8418" s="33">
        <v>1.3170513233766435E-2</v>
      </c>
      <c r="AO8418" s="33">
        <v>1.2518158461746842E-3</v>
      </c>
    </row>
    <row r="8419" spans="39:41" x14ac:dyDescent="0.25">
      <c r="AM8419" s="2">
        <v>8416</v>
      </c>
      <c r="AN8419" s="33">
        <v>1.2352119070233909E-2</v>
      </c>
      <c r="AO8419" s="33">
        <v>1.0660174219961137E-3</v>
      </c>
    </row>
    <row r="8420" spans="39:41" x14ac:dyDescent="0.25">
      <c r="AM8420" s="2">
        <v>8417</v>
      </c>
      <c r="AN8420" s="33">
        <v>1.5838153107715826E-2</v>
      </c>
      <c r="AO8420" s="33">
        <v>1.5142996989591204E-3</v>
      </c>
    </row>
    <row r="8421" spans="39:41" x14ac:dyDescent="0.25">
      <c r="AM8421" s="2">
        <v>8418</v>
      </c>
      <c r="AN8421" s="33">
        <v>1.0741902477254839E-2</v>
      </c>
      <c r="AO8421" s="33">
        <v>5.6208456076887981E-4</v>
      </c>
    </row>
    <row r="8422" spans="39:41" x14ac:dyDescent="0.25">
      <c r="AM8422" s="2">
        <v>8419</v>
      </c>
      <c r="AN8422" s="33">
        <v>7.483609701415447E-3</v>
      </c>
      <c r="AO8422" s="33">
        <v>5.9646298261143414E-4</v>
      </c>
    </row>
    <row r="8423" spans="39:41" x14ac:dyDescent="0.25">
      <c r="AM8423" s="2">
        <v>8420</v>
      </c>
      <c r="AN8423" s="33">
        <v>1.0456937978516937E-2</v>
      </c>
      <c r="AO8423" s="33">
        <v>9.1358100011180196E-4</v>
      </c>
    </row>
    <row r="8424" spans="39:41" x14ac:dyDescent="0.25">
      <c r="AM8424" s="2">
        <v>8421</v>
      </c>
      <c r="AN8424" s="33">
        <v>1.5284866474858654E-2</v>
      </c>
      <c r="AO8424" s="33">
        <v>1.3041541352740707E-3</v>
      </c>
    </row>
    <row r="8425" spans="39:41" x14ac:dyDescent="0.25">
      <c r="AM8425" s="2">
        <v>8422</v>
      </c>
      <c r="AN8425" s="33">
        <v>1.1997075438700794E-2</v>
      </c>
      <c r="AO8425" s="33">
        <v>7.7840647468399387E-4</v>
      </c>
    </row>
    <row r="8426" spans="39:41" x14ac:dyDescent="0.25">
      <c r="AM8426" s="2">
        <v>8423</v>
      </c>
      <c r="AN8426" s="33">
        <v>1.4696600243374772E-2</v>
      </c>
      <c r="AO8426" s="33">
        <v>1.3704206347279388E-3</v>
      </c>
    </row>
    <row r="8427" spans="39:41" x14ac:dyDescent="0.25">
      <c r="AM8427" s="2">
        <v>8424</v>
      </c>
      <c r="AN8427" s="33">
        <v>1.0069862733350407E-2</v>
      </c>
      <c r="AO8427" s="33">
        <v>5.990827645970336E-4</v>
      </c>
    </row>
    <row r="8428" spans="39:41" x14ac:dyDescent="0.25">
      <c r="AM8428" s="2">
        <v>8425</v>
      </c>
      <c r="AN8428" s="33">
        <v>1.2751495070284492E-2</v>
      </c>
      <c r="AO8428" s="33">
        <v>9.0438159971452587E-4</v>
      </c>
    </row>
    <row r="8429" spans="39:41" x14ac:dyDescent="0.25">
      <c r="AM8429" s="2">
        <v>8426</v>
      </c>
      <c r="AN8429" s="33">
        <v>1.0539159733824301E-2</v>
      </c>
      <c r="AO8429" s="33">
        <v>7.4953247516634585E-4</v>
      </c>
    </row>
    <row r="8430" spans="39:41" x14ac:dyDescent="0.25">
      <c r="AM8430" s="2">
        <v>8427</v>
      </c>
      <c r="AN8430" s="33">
        <v>1.1592119503469517E-2</v>
      </c>
      <c r="AO8430" s="33">
        <v>1.0528611336666025E-3</v>
      </c>
    </row>
    <row r="8431" spans="39:41" x14ac:dyDescent="0.25">
      <c r="AM8431" s="2">
        <v>8428</v>
      </c>
      <c r="AN8431" s="33">
        <v>1.2193608820834546E-2</v>
      </c>
      <c r="AO8431" s="33">
        <v>4.1263547248390276E-4</v>
      </c>
    </row>
    <row r="8432" spans="39:41" x14ac:dyDescent="0.25">
      <c r="AM8432" s="2">
        <v>8429</v>
      </c>
      <c r="AN8432" s="33">
        <v>1.160933962840687E-2</v>
      </c>
      <c r="AO8432" s="33">
        <v>1.0762453626914008E-3</v>
      </c>
    </row>
    <row r="8433" spans="39:41" x14ac:dyDescent="0.25">
      <c r="AM8433" s="2">
        <v>8430</v>
      </c>
      <c r="AN8433" s="33">
        <v>1.1498406998918548E-2</v>
      </c>
      <c r="AO8433" s="33">
        <v>9.55073183179042E-4</v>
      </c>
    </row>
    <row r="8434" spans="39:41" x14ac:dyDescent="0.25">
      <c r="AM8434" s="2">
        <v>8431</v>
      </c>
      <c r="AN8434" s="33">
        <v>9.4172753263666586E-3</v>
      </c>
      <c r="AO8434" s="33">
        <v>6.7638193990099806E-4</v>
      </c>
    </row>
    <row r="8435" spans="39:41" x14ac:dyDescent="0.25">
      <c r="AM8435" s="2">
        <v>8432</v>
      </c>
      <c r="AN8435" s="33">
        <v>1.0921073556900611E-2</v>
      </c>
      <c r="AO8435" s="33">
        <v>6.4102803000988897E-4</v>
      </c>
    </row>
    <row r="8436" spans="39:41" x14ac:dyDescent="0.25">
      <c r="AM8436" s="2">
        <v>8433</v>
      </c>
      <c r="AN8436" s="33">
        <v>8.4467092955998122E-3</v>
      </c>
      <c r="AO8436" s="33">
        <v>6.5845065323678756E-4</v>
      </c>
    </row>
    <row r="8437" spans="39:41" x14ac:dyDescent="0.25">
      <c r="AM8437" s="2">
        <v>8434</v>
      </c>
      <c r="AN8437" s="33">
        <v>9.1402243819075409E-3</v>
      </c>
      <c r="AO8437" s="33">
        <v>8.0553741814728638E-4</v>
      </c>
    </row>
    <row r="8438" spans="39:41" x14ac:dyDescent="0.25">
      <c r="AM8438" s="2">
        <v>8435</v>
      </c>
      <c r="AN8438" s="33">
        <v>1.2956175505107369E-2</v>
      </c>
      <c r="AO8438" s="33">
        <v>9.6529471595116739E-4</v>
      </c>
    </row>
    <row r="8439" spans="39:41" x14ac:dyDescent="0.25">
      <c r="AM8439" s="2">
        <v>8436</v>
      </c>
      <c r="AN8439" s="33">
        <v>1.0409399159787841E-2</v>
      </c>
      <c r="AO8439" s="33">
        <v>9.8105577231073944E-4</v>
      </c>
    </row>
    <row r="8440" spans="39:41" x14ac:dyDescent="0.25">
      <c r="AM8440" s="2">
        <v>8437</v>
      </c>
      <c r="AN8440" s="33">
        <v>1.0112182015023757E-2</v>
      </c>
      <c r="AO8440" s="33">
        <v>3.9465762107008476E-4</v>
      </c>
    </row>
    <row r="8441" spans="39:41" x14ac:dyDescent="0.25">
      <c r="AM8441" s="2">
        <v>8438</v>
      </c>
      <c r="AN8441" s="33">
        <v>1.3020550344480668E-2</v>
      </c>
      <c r="AO8441" s="33">
        <v>1.1523790369746549E-3</v>
      </c>
    </row>
    <row r="8442" spans="39:41" x14ac:dyDescent="0.25">
      <c r="AM8442" s="2">
        <v>8439</v>
      </c>
      <c r="AN8442" s="33">
        <v>1.2767143144550895E-2</v>
      </c>
      <c r="AO8442" s="33">
        <v>9.4044277836987137E-4</v>
      </c>
    </row>
    <row r="8443" spans="39:41" x14ac:dyDescent="0.25">
      <c r="AM8443" s="2">
        <v>8440</v>
      </c>
      <c r="AN8443" s="33">
        <v>1.4387661038681179E-2</v>
      </c>
      <c r="AO8443" s="33">
        <v>1.17679372683034E-3</v>
      </c>
    </row>
    <row r="8444" spans="39:41" x14ac:dyDescent="0.25">
      <c r="AM8444" s="2">
        <v>8441</v>
      </c>
      <c r="AN8444" s="33">
        <v>1.0113857853677619E-2</v>
      </c>
      <c r="AO8444" s="33">
        <v>4.3924789436461701E-4</v>
      </c>
    </row>
    <row r="8445" spans="39:41" x14ac:dyDescent="0.25">
      <c r="AM8445" s="2">
        <v>8442</v>
      </c>
      <c r="AN8445" s="33">
        <v>1.3218428521123782E-2</v>
      </c>
      <c r="AO8445" s="33">
        <v>1.0798699896626108E-3</v>
      </c>
    </row>
    <row r="8446" spans="39:41" x14ac:dyDescent="0.25">
      <c r="AM8446" s="2">
        <v>8443</v>
      </c>
      <c r="AN8446" s="33">
        <v>1.0446047711045587E-2</v>
      </c>
      <c r="AO8446" s="33">
        <v>6.5719995157216657E-4</v>
      </c>
    </row>
    <row r="8447" spans="39:41" x14ac:dyDescent="0.25">
      <c r="AM8447" s="2">
        <v>8444</v>
      </c>
      <c r="AN8447" s="33">
        <v>1.1173855105971024E-2</v>
      </c>
      <c r="AO8447" s="33">
        <v>9.9948162389852766E-4</v>
      </c>
    </row>
    <row r="8448" spans="39:41" x14ac:dyDescent="0.25">
      <c r="AM8448" s="2">
        <v>8445</v>
      </c>
      <c r="AN8448" s="33">
        <v>1.1442928004832636E-2</v>
      </c>
      <c r="AO8448" s="33">
        <v>9.8948746108494827E-4</v>
      </c>
    </row>
    <row r="8449" spans="39:41" x14ac:dyDescent="0.25">
      <c r="AM8449" s="2">
        <v>8446</v>
      </c>
      <c r="AN8449" s="33">
        <v>1.1349066260457129E-2</v>
      </c>
      <c r="AO8449" s="33">
        <v>6.0692094008359414E-4</v>
      </c>
    </row>
    <row r="8450" spans="39:41" x14ac:dyDescent="0.25">
      <c r="AM8450" s="2">
        <v>8447</v>
      </c>
      <c r="AN8450" s="33">
        <v>1.2249170874585271E-2</v>
      </c>
      <c r="AO8450" s="33">
        <v>1.2843540002575628E-3</v>
      </c>
    </row>
    <row r="8451" spans="39:41" x14ac:dyDescent="0.25">
      <c r="AM8451" s="2">
        <v>8448</v>
      </c>
      <c r="AN8451" s="33">
        <v>1.1434633987358847E-2</v>
      </c>
      <c r="AO8451" s="33">
        <v>4.8928175174436071E-4</v>
      </c>
    </row>
    <row r="8452" spans="39:41" x14ac:dyDescent="0.25">
      <c r="AM8452" s="2">
        <v>8449</v>
      </c>
      <c r="AN8452" s="33">
        <v>1.670511074130478E-2</v>
      </c>
      <c r="AO8452" s="33">
        <v>1.4147174632724538E-3</v>
      </c>
    </row>
    <row r="8453" spans="39:41" x14ac:dyDescent="0.25">
      <c r="AM8453" s="2">
        <v>8450</v>
      </c>
      <c r="AN8453" s="33">
        <v>9.1667846220103728E-3</v>
      </c>
      <c r="AO8453" s="33">
        <v>4.2191331355057276E-4</v>
      </c>
    </row>
    <row r="8454" spans="39:41" x14ac:dyDescent="0.25">
      <c r="AM8454" s="2">
        <v>8451</v>
      </c>
      <c r="AN8454" s="33">
        <v>2.1791595656572071E-2</v>
      </c>
      <c r="AO8454" s="33">
        <v>2.0565789959981762E-3</v>
      </c>
    </row>
    <row r="8455" spans="39:41" x14ac:dyDescent="0.25">
      <c r="AM8455" s="2">
        <v>8452</v>
      </c>
      <c r="AN8455" s="33">
        <v>1.1721919308241404E-2</v>
      </c>
      <c r="AO8455" s="33">
        <v>1.1085653922792162E-3</v>
      </c>
    </row>
    <row r="8456" spans="39:41" x14ac:dyDescent="0.25">
      <c r="AM8456" s="2">
        <v>8453</v>
      </c>
      <c r="AN8456" s="33">
        <v>1.2799567494641378E-2</v>
      </c>
      <c r="AO8456" s="33">
        <v>1.2840929378808873E-4</v>
      </c>
    </row>
    <row r="8457" spans="39:41" x14ac:dyDescent="0.25">
      <c r="AM8457" s="2">
        <v>8454</v>
      </c>
      <c r="AN8457" s="33">
        <v>1.6707430893184126E-2</v>
      </c>
      <c r="AO8457" s="33">
        <v>1.5657997492192868E-3</v>
      </c>
    </row>
    <row r="8458" spans="39:41" x14ac:dyDescent="0.25">
      <c r="AM8458" s="2">
        <v>8455</v>
      </c>
      <c r="AN8458" s="33">
        <v>1.3494597077242612E-2</v>
      </c>
      <c r="AO8458" s="33">
        <v>1.1394135528204757E-3</v>
      </c>
    </row>
    <row r="8459" spans="39:41" x14ac:dyDescent="0.25">
      <c r="AM8459" s="2">
        <v>8456</v>
      </c>
      <c r="AN8459" s="33">
        <v>8.9286186592740253E-3</v>
      </c>
      <c r="AO8459" s="33">
        <v>8.202716255278858E-4</v>
      </c>
    </row>
    <row r="8460" spans="39:41" x14ac:dyDescent="0.25">
      <c r="AM8460" s="2">
        <v>8457</v>
      </c>
      <c r="AN8460" s="33">
        <v>1.4320218039571019E-2</v>
      </c>
      <c r="AO8460" s="33">
        <v>1.4262932018474345E-3</v>
      </c>
    </row>
    <row r="8461" spans="39:41" x14ac:dyDescent="0.25">
      <c r="AM8461" s="2">
        <v>8458</v>
      </c>
      <c r="AN8461" s="33">
        <v>1.5411922709693018E-2</v>
      </c>
      <c r="AO8461" s="33">
        <v>1.4339050646900743E-3</v>
      </c>
    </row>
    <row r="8462" spans="39:41" x14ac:dyDescent="0.25">
      <c r="AM8462" s="2">
        <v>8459</v>
      </c>
      <c r="AN8462" s="33">
        <v>1.0047466474823389E-2</v>
      </c>
      <c r="AO8462" s="33">
        <v>7.5683713632961123E-4</v>
      </c>
    </row>
    <row r="8463" spans="39:41" x14ac:dyDescent="0.25">
      <c r="AM8463" s="2">
        <v>8460</v>
      </c>
      <c r="AN8463" s="33">
        <v>1.7384937148838691E-2</v>
      </c>
      <c r="AO8463" s="33">
        <v>1.5552550910596851E-3</v>
      </c>
    </row>
    <row r="8464" spans="39:41" x14ac:dyDescent="0.25">
      <c r="AM8464" s="2">
        <v>8461</v>
      </c>
      <c r="AN8464" s="33">
        <v>1.3257468500658575E-2</v>
      </c>
      <c r="AO8464" s="33">
        <v>2.627744113605471E-4</v>
      </c>
    </row>
    <row r="8465" spans="39:41" x14ac:dyDescent="0.25">
      <c r="AM8465" s="2">
        <v>8462</v>
      </c>
      <c r="AN8465" s="33">
        <v>1.5687096353501129E-2</v>
      </c>
      <c r="AO8465" s="33">
        <v>1.2779641870804142E-3</v>
      </c>
    </row>
    <row r="8466" spans="39:41" x14ac:dyDescent="0.25">
      <c r="AM8466" s="2">
        <v>8463</v>
      </c>
      <c r="AN8466" s="33">
        <v>1.1619893166190189E-2</v>
      </c>
      <c r="AO8466" s="33">
        <v>4.1032921380024809E-4</v>
      </c>
    </row>
    <row r="8467" spans="39:41" x14ac:dyDescent="0.25">
      <c r="AM8467" s="2">
        <v>8464</v>
      </c>
      <c r="AN8467" s="33">
        <v>1.4503697248638569E-2</v>
      </c>
      <c r="AO8467" s="33">
        <v>1.220465087407744E-3</v>
      </c>
    </row>
    <row r="8468" spans="39:41" x14ac:dyDescent="0.25">
      <c r="AM8468" s="2">
        <v>8465</v>
      </c>
      <c r="AN8468" s="33">
        <v>1.3720073753497446E-2</v>
      </c>
      <c r="AO8468" s="33">
        <v>7.7002457058891586E-4</v>
      </c>
    </row>
    <row r="8469" spans="39:41" x14ac:dyDescent="0.25">
      <c r="AM8469" s="2">
        <v>8466</v>
      </c>
      <c r="AN8469" s="33">
        <v>1.2570861710804163E-2</v>
      </c>
      <c r="AO8469" s="33">
        <v>5.322612404606526E-4</v>
      </c>
    </row>
    <row r="8470" spans="39:41" x14ac:dyDescent="0.25">
      <c r="AM8470" s="2">
        <v>8467</v>
      </c>
      <c r="AN8470" s="33">
        <v>1.5152025590909654E-2</v>
      </c>
      <c r="AO8470" s="33">
        <v>1.3332831207353614E-3</v>
      </c>
    </row>
    <row r="8471" spans="39:41" x14ac:dyDescent="0.25">
      <c r="AM8471" s="2">
        <v>8468</v>
      </c>
      <c r="AN8471" s="33">
        <v>9.6277651664726255E-3</v>
      </c>
      <c r="AO8471" s="33">
        <v>5.1545480499273636E-4</v>
      </c>
    </row>
    <row r="8472" spans="39:41" x14ac:dyDescent="0.25">
      <c r="AM8472" s="2">
        <v>8469</v>
      </c>
      <c r="AN8472" s="33">
        <v>1.1496352738593171E-2</v>
      </c>
      <c r="AO8472" s="33">
        <v>8.2324738410503894E-4</v>
      </c>
    </row>
    <row r="8473" spans="39:41" x14ac:dyDescent="0.25">
      <c r="AM8473" s="2">
        <v>8470</v>
      </c>
      <c r="AN8473" s="33">
        <v>8.8782050973796271E-3</v>
      </c>
      <c r="AO8473" s="33">
        <v>2.877520584812853E-4</v>
      </c>
    </row>
    <row r="8474" spans="39:41" x14ac:dyDescent="0.25">
      <c r="AM8474" s="2">
        <v>8471</v>
      </c>
      <c r="AN8474" s="33">
        <v>1.1092921540402641E-2</v>
      </c>
      <c r="AO8474" s="33">
        <v>8.0626736741503952E-4</v>
      </c>
    </row>
    <row r="8475" spans="39:41" x14ac:dyDescent="0.25">
      <c r="AM8475" s="2">
        <v>8472</v>
      </c>
      <c r="AN8475" s="33">
        <v>1.2189624099427514E-2</v>
      </c>
      <c r="AO8475" s="33">
        <v>9.6059368192113386E-4</v>
      </c>
    </row>
    <row r="8476" spans="39:41" x14ac:dyDescent="0.25">
      <c r="AM8476" s="2">
        <v>8473</v>
      </c>
      <c r="AN8476" s="33">
        <v>1.1174222916420097E-2</v>
      </c>
      <c r="AO8476" s="33">
        <v>6.6037069915189043E-4</v>
      </c>
    </row>
    <row r="8477" spans="39:41" x14ac:dyDescent="0.25">
      <c r="AM8477" s="2">
        <v>8474</v>
      </c>
      <c r="AN8477" s="33">
        <v>9.3149952752722594E-3</v>
      </c>
      <c r="AO8477" s="33">
        <v>2.2096637202875983E-4</v>
      </c>
    </row>
    <row r="8478" spans="39:41" x14ac:dyDescent="0.25">
      <c r="AM8478" s="2">
        <v>8475</v>
      </c>
      <c r="AN8478" s="33">
        <v>1.2404725386032189E-2</v>
      </c>
      <c r="AO8478" s="33">
        <v>1.1778012481993025E-3</v>
      </c>
    </row>
    <row r="8479" spans="39:41" x14ac:dyDescent="0.25">
      <c r="AM8479" s="2">
        <v>8476</v>
      </c>
      <c r="AN8479" s="33">
        <v>9.2397983484786752E-3</v>
      </c>
      <c r="AO8479" s="33">
        <v>7.7440864461275139E-4</v>
      </c>
    </row>
    <row r="8480" spans="39:41" x14ac:dyDescent="0.25">
      <c r="AM8480" s="2">
        <v>8477</v>
      </c>
      <c r="AN8480" s="33">
        <v>1.3134547304398409E-2</v>
      </c>
      <c r="AO8480" s="33">
        <v>1.3342206992037154E-3</v>
      </c>
    </row>
    <row r="8481" spans="39:41" x14ac:dyDescent="0.25">
      <c r="AM8481" s="2">
        <v>8478</v>
      </c>
      <c r="AN8481" s="33">
        <v>1.3631729493263543E-2</v>
      </c>
      <c r="AO8481" s="33">
        <v>9.9201815264702057E-4</v>
      </c>
    </row>
    <row r="8482" spans="39:41" x14ac:dyDescent="0.25">
      <c r="AM8482" s="2">
        <v>8479</v>
      </c>
      <c r="AN8482" s="33">
        <v>1.0816043026343782E-2</v>
      </c>
      <c r="AO8482" s="33">
        <v>9.7164526025418781E-4</v>
      </c>
    </row>
    <row r="8483" spans="39:41" x14ac:dyDescent="0.25">
      <c r="AM8483" s="2">
        <v>8480</v>
      </c>
      <c r="AN8483" s="33">
        <v>1.3770781638279841E-2</v>
      </c>
      <c r="AO8483" s="33">
        <v>1.0764141611504059E-3</v>
      </c>
    </row>
    <row r="8484" spans="39:41" x14ac:dyDescent="0.25">
      <c r="AM8484" s="2">
        <v>8481</v>
      </c>
      <c r="AN8484" s="33">
        <v>1.2031564946770367E-2</v>
      </c>
      <c r="AO8484" s="33">
        <v>1.0128436224423202E-3</v>
      </c>
    </row>
    <row r="8485" spans="39:41" x14ac:dyDescent="0.25">
      <c r="AM8485" s="2">
        <v>8482</v>
      </c>
      <c r="AN8485" s="33">
        <v>7.7932300740556903E-3</v>
      </c>
      <c r="AO8485" s="33">
        <v>4.9041096372336873E-4</v>
      </c>
    </row>
    <row r="8486" spans="39:41" x14ac:dyDescent="0.25">
      <c r="AM8486" s="2">
        <v>8483</v>
      </c>
      <c r="AN8486" s="33">
        <v>1.209796507972725E-2</v>
      </c>
      <c r="AO8486" s="33">
        <v>1.0400092028096134E-3</v>
      </c>
    </row>
    <row r="8487" spans="39:41" x14ac:dyDescent="0.25">
      <c r="AM8487" s="2">
        <v>8484</v>
      </c>
      <c r="AN8487" s="33">
        <v>1.0637251866090953E-2</v>
      </c>
      <c r="AO8487" s="33">
        <v>3.6104657537083828E-4</v>
      </c>
    </row>
    <row r="8488" spans="39:41" x14ac:dyDescent="0.25">
      <c r="AM8488" s="2">
        <v>8485</v>
      </c>
      <c r="AN8488" s="33">
        <v>7.1552072876919885E-3</v>
      </c>
      <c r="AO8488" s="33">
        <v>5.4080049890589221E-4</v>
      </c>
    </row>
    <row r="8489" spans="39:41" x14ac:dyDescent="0.25">
      <c r="AM8489" s="2">
        <v>8486</v>
      </c>
      <c r="AN8489" s="33">
        <v>1.2641137439180428E-2</v>
      </c>
      <c r="AO8489" s="33">
        <v>7.4124675289409428E-4</v>
      </c>
    </row>
    <row r="8490" spans="39:41" x14ac:dyDescent="0.25">
      <c r="AM8490" s="2">
        <v>8487</v>
      </c>
      <c r="AN8490" s="33">
        <v>1.217702505484306E-2</v>
      </c>
      <c r="AO8490" s="33">
        <v>8.3703802237605274E-4</v>
      </c>
    </row>
    <row r="8491" spans="39:41" x14ac:dyDescent="0.25">
      <c r="AM8491" s="2">
        <v>8488</v>
      </c>
      <c r="AN8491" s="33">
        <v>1.0755860192394067E-2</v>
      </c>
      <c r="AO8491" s="33">
        <v>5.8895043060359985E-4</v>
      </c>
    </row>
    <row r="8492" spans="39:41" x14ac:dyDescent="0.25">
      <c r="AM8492" s="2">
        <v>8489</v>
      </c>
      <c r="AN8492" s="33">
        <v>1.1417888018788461E-2</v>
      </c>
      <c r="AO8492" s="33">
        <v>8.7862842026024306E-4</v>
      </c>
    </row>
    <row r="8493" spans="39:41" x14ac:dyDescent="0.25">
      <c r="AM8493" s="2">
        <v>8490</v>
      </c>
      <c r="AN8493" s="33">
        <v>9.4393919590095472E-3</v>
      </c>
      <c r="AO8493" s="33">
        <v>9.0772574263559024E-4</v>
      </c>
    </row>
    <row r="8494" spans="39:41" x14ac:dyDescent="0.25">
      <c r="AM8494" s="2">
        <v>8491</v>
      </c>
      <c r="AN8494" s="33">
        <v>1.0422636954346667E-2</v>
      </c>
      <c r="AO8494" s="33">
        <v>7.5852752146477755E-4</v>
      </c>
    </row>
    <row r="8495" spans="39:41" x14ac:dyDescent="0.25">
      <c r="AM8495" s="2">
        <v>8492</v>
      </c>
      <c r="AN8495" s="33">
        <v>1.2979818742502027E-2</v>
      </c>
      <c r="AO8495" s="33">
        <v>1.0134216253951181E-3</v>
      </c>
    </row>
    <row r="8496" spans="39:41" x14ac:dyDescent="0.25">
      <c r="AM8496" s="2">
        <v>8493</v>
      </c>
      <c r="AN8496" s="33">
        <v>1.3326518195418916E-2</v>
      </c>
      <c r="AO8496" s="33">
        <v>1.1284845642770193E-3</v>
      </c>
    </row>
    <row r="8497" spans="39:41" x14ac:dyDescent="0.25">
      <c r="AM8497" s="2">
        <v>8494</v>
      </c>
      <c r="AN8497" s="33">
        <v>1.1120334408756581E-2</v>
      </c>
      <c r="AO8497" s="33">
        <v>7.1855744771464312E-4</v>
      </c>
    </row>
    <row r="8498" spans="39:41" x14ac:dyDescent="0.25">
      <c r="AM8498" s="2">
        <v>8495</v>
      </c>
      <c r="AN8498" s="33">
        <v>1.1846428056462244E-2</v>
      </c>
      <c r="AO8498" s="33">
        <v>6.1576530997902378E-4</v>
      </c>
    </row>
    <row r="8499" spans="39:41" x14ac:dyDescent="0.25">
      <c r="AM8499" s="2">
        <v>8496</v>
      </c>
      <c r="AN8499" s="33">
        <v>1.0394406377464527E-2</v>
      </c>
      <c r="AO8499" s="33">
        <v>1.9241064039223822E-4</v>
      </c>
    </row>
    <row r="8500" spans="39:41" x14ac:dyDescent="0.25">
      <c r="AM8500" s="2">
        <v>8497</v>
      </c>
      <c r="AN8500" s="33">
        <v>1.5396149297996988E-2</v>
      </c>
      <c r="AO8500" s="33">
        <v>1.1260627019811604E-3</v>
      </c>
    </row>
    <row r="8501" spans="39:41" x14ac:dyDescent="0.25">
      <c r="AM8501" s="2">
        <v>8498</v>
      </c>
      <c r="AN8501" s="33">
        <v>1.2728128696579844E-2</v>
      </c>
      <c r="AO8501" s="33">
        <v>9.6404253900381068E-4</v>
      </c>
    </row>
    <row r="8502" spans="39:41" x14ac:dyDescent="0.25">
      <c r="AM8502" s="2">
        <v>8499</v>
      </c>
      <c r="AN8502" s="33">
        <v>7.9680269524310659E-3</v>
      </c>
      <c r="AO8502" s="33">
        <v>6.6001862799099412E-4</v>
      </c>
    </row>
    <row r="8503" spans="39:41" x14ac:dyDescent="0.25">
      <c r="AM8503" s="2">
        <v>8500</v>
      </c>
      <c r="AN8503" s="33">
        <v>1.3196863045442906E-2</v>
      </c>
      <c r="AO8503" s="33">
        <v>9.84948986037032E-4</v>
      </c>
    </row>
    <row r="8504" spans="39:41" x14ac:dyDescent="0.25">
      <c r="AM8504" s="2">
        <v>8501</v>
      </c>
      <c r="AN8504" s="33">
        <v>1.210635433538472E-2</v>
      </c>
      <c r="AO8504" s="33">
        <v>1.2207798191294708E-3</v>
      </c>
    </row>
    <row r="8505" spans="39:41" x14ac:dyDescent="0.25">
      <c r="AM8505" s="2">
        <v>8502</v>
      </c>
      <c r="AN8505" s="33">
        <v>1.3166677992742478E-2</v>
      </c>
      <c r="AO8505" s="33">
        <v>1.2883104218136051E-3</v>
      </c>
    </row>
    <row r="8506" spans="39:41" x14ac:dyDescent="0.25">
      <c r="AM8506" s="2">
        <v>8503</v>
      </c>
      <c r="AN8506" s="33">
        <v>1.3390124215190769E-2</v>
      </c>
      <c r="AO8506" s="33">
        <v>1.0191473920101056E-3</v>
      </c>
    </row>
    <row r="8507" spans="39:41" x14ac:dyDescent="0.25">
      <c r="AM8507" s="2">
        <v>8504</v>
      </c>
      <c r="AN8507" s="33">
        <v>1.3408985591058112E-2</v>
      </c>
      <c r="AO8507" s="33">
        <v>9.3844620027527543E-4</v>
      </c>
    </row>
    <row r="8508" spans="39:41" x14ac:dyDescent="0.25">
      <c r="AM8508" s="2">
        <v>8505</v>
      </c>
      <c r="AN8508" s="33">
        <v>1.1069038832745367E-2</v>
      </c>
      <c r="AO8508" s="33">
        <v>3.523403471004168E-4</v>
      </c>
    </row>
    <row r="8509" spans="39:41" x14ac:dyDescent="0.25">
      <c r="AM8509" s="2">
        <v>8506</v>
      </c>
      <c r="AN8509" s="33">
        <v>1.353964548468092E-2</v>
      </c>
      <c r="AO8509" s="33">
        <v>1.024513963393837E-3</v>
      </c>
    </row>
    <row r="8510" spans="39:41" x14ac:dyDescent="0.25">
      <c r="AM8510" s="2">
        <v>8507</v>
      </c>
      <c r="AN8510" s="33">
        <v>9.3394922168207432E-3</v>
      </c>
      <c r="AO8510" s="33">
        <v>7.8366566533664864E-4</v>
      </c>
    </row>
    <row r="8511" spans="39:41" x14ac:dyDescent="0.25">
      <c r="AM8511" s="2">
        <v>8508</v>
      </c>
      <c r="AN8511" s="33">
        <v>1.2505338145190214E-2</v>
      </c>
      <c r="AO8511" s="33">
        <v>7.5135605421095713E-4</v>
      </c>
    </row>
    <row r="8512" spans="39:41" x14ac:dyDescent="0.25">
      <c r="AM8512" s="2">
        <v>8509</v>
      </c>
      <c r="AN8512" s="33">
        <v>1.0484775927463254E-2</v>
      </c>
      <c r="AO8512" s="33">
        <v>8.2980263548986248E-4</v>
      </c>
    </row>
    <row r="8513" spans="39:41" x14ac:dyDescent="0.25">
      <c r="AM8513" s="2">
        <v>8510</v>
      </c>
      <c r="AN8513" s="33">
        <v>9.7333661406805959E-3</v>
      </c>
      <c r="AO8513" s="33">
        <v>8.3329695744292819E-4</v>
      </c>
    </row>
    <row r="8514" spans="39:41" x14ac:dyDescent="0.25">
      <c r="AM8514" s="2">
        <v>8511</v>
      </c>
      <c r="AN8514" s="33">
        <v>1.0067113257673042E-2</v>
      </c>
      <c r="AO8514" s="33">
        <v>8.6666752512861453E-4</v>
      </c>
    </row>
    <row r="8515" spans="39:41" x14ac:dyDescent="0.25">
      <c r="AM8515" s="2">
        <v>8512</v>
      </c>
      <c r="AN8515" s="33">
        <v>9.9671467782094566E-3</v>
      </c>
      <c r="AO8515" s="33">
        <v>6.4598432118332326E-4</v>
      </c>
    </row>
    <row r="8516" spans="39:41" x14ac:dyDescent="0.25">
      <c r="AM8516" s="2">
        <v>8513</v>
      </c>
      <c r="AN8516" s="33">
        <v>1.5150902004475802E-2</v>
      </c>
      <c r="AO8516" s="33">
        <v>1.1826419444427158E-3</v>
      </c>
    </row>
    <row r="8517" spans="39:41" x14ac:dyDescent="0.25">
      <c r="AM8517" s="2">
        <v>8514</v>
      </c>
      <c r="AN8517" s="33">
        <v>1.3402449776108202E-2</v>
      </c>
      <c r="AO8517" s="33">
        <v>1.0528488422931739E-3</v>
      </c>
    </row>
    <row r="8518" spans="39:41" x14ac:dyDescent="0.25">
      <c r="AM8518" s="2">
        <v>8515</v>
      </c>
      <c r="AN8518" s="33">
        <v>1.0812895660889769E-2</v>
      </c>
      <c r="AO8518" s="33">
        <v>5.3402034017156145E-4</v>
      </c>
    </row>
    <row r="8519" spans="39:41" x14ac:dyDescent="0.25">
      <c r="AM8519" s="2">
        <v>8516</v>
      </c>
      <c r="AN8519" s="33">
        <v>1.3174072468347136E-2</v>
      </c>
      <c r="AO8519" s="33">
        <v>1.2628187777427092E-3</v>
      </c>
    </row>
    <row r="8520" spans="39:41" x14ac:dyDescent="0.25">
      <c r="AM8520" s="2">
        <v>8517</v>
      </c>
      <c r="AN8520" s="33">
        <v>1.1716405598064967E-2</v>
      </c>
      <c r="AO8520" s="33">
        <v>1.0829994485057519E-3</v>
      </c>
    </row>
    <row r="8521" spans="39:41" x14ac:dyDescent="0.25">
      <c r="AM8521" s="2">
        <v>8518</v>
      </c>
      <c r="AN8521" s="33">
        <v>1.435541481299675E-2</v>
      </c>
      <c r="AO8521" s="33">
        <v>1.0909740115175087E-3</v>
      </c>
    </row>
    <row r="8522" spans="39:41" x14ac:dyDescent="0.25">
      <c r="AM8522" s="2">
        <v>8519</v>
      </c>
      <c r="AN8522" s="33">
        <v>1.0248863319010927E-2</v>
      </c>
      <c r="AO8522" s="33">
        <v>6.4786987665654524E-4</v>
      </c>
    </row>
    <row r="8523" spans="39:41" x14ac:dyDescent="0.25">
      <c r="AM8523" s="2">
        <v>8520</v>
      </c>
      <c r="AN8523" s="33">
        <v>1.0660344397961905E-2</v>
      </c>
      <c r="AO8523" s="33">
        <v>5.3547410655850657E-4</v>
      </c>
    </row>
    <row r="8524" spans="39:41" x14ac:dyDescent="0.25">
      <c r="AM8524" s="2">
        <v>8521</v>
      </c>
      <c r="AN8524" s="33">
        <v>9.4797928727217203E-3</v>
      </c>
      <c r="AO8524" s="33">
        <v>8.4908136038279599E-4</v>
      </c>
    </row>
    <row r="8525" spans="39:41" x14ac:dyDescent="0.25">
      <c r="AM8525" s="2">
        <v>8522</v>
      </c>
      <c r="AN8525" s="33">
        <v>8.9067938426721522E-3</v>
      </c>
      <c r="AO8525" s="33">
        <v>3.9899554885406042E-4</v>
      </c>
    </row>
    <row r="8526" spans="39:41" x14ac:dyDescent="0.25">
      <c r="AM8526" s="2">
        <v>8523</v>
      </c>
      <c r="AN8526" s="33">
        <v>1.7026275285145175E-2</v>
      </c>
      <c r="AO8526" s="33">
        <v>1.6796696440593444E-3</v>
      </c>
    </row>
    <row r="8527" spans="39:41" x14ac:dyDescent="0.25">
      <c r="AM8527" s="2">
        <v>8524</v>
      </c>
      <c r="AN8527" s="33">
        <v>1.3568742249017841E-2</v>
      </c>
      <c r="AO8527" s="33">
        <v>1.2382173317427975E-3</v>
      </c>
    </row>
    <row r="8528" spans="39:41" x14ac:dyDescent="0.25">
      <c r="AM8528" s="2">
        <v>8525</v>
      </c>
      <c r="AN8528" s="33">
        <v>8.4500521230829895E-3</v>
      </c>
      <c r="AO8528" s="33">
        <v>6.672735032979526E-4</v>
      </c>
    </row>
    <row r="8529" spans="39:41" x14ac:dyDescent="0.25">
      <c r="AM8529" s="2">
        <v>8526</v>
      </c>
      <c r="AN8529" s="33">
        <v>1.3332685963853539E-2</v>
      </c>
      <c r="AO8529" s="33">
        <v>1.2323608618534643E-3</v>
      </c>
    </row>
    <row r="8530" spans="39:41" x14ac:dyDescent="0.25">
      <c r="AM8530" s="2">
        <v>8527</v>
      </c>
      <c r="AN8530" s="33">
        <v>1.185680991264192E-2</v>
      </c>
      <c r="AO8530" s="33">
        <v>8.6349077791916763E-4</v>
      </c>
    </row>
    <row r="8531" spans="39:41" x14ac:dyDescent="0.25">
      <c r="AM8531" s="2">
        <v>8528</v>
      </c>
      <c r="AN8531" s="33">
        <v>9.906548802418003E-3</v>
      </c>
      <c r="AO8531" s="33">
        <v>3.7563498954400003E-4</v>
      </c>
    </row>
    <row r="8532" spans="39:41" x14ac:dyDescent="0.25">
      <c r="AM8532" s="2">
        <v>8529</v>
      </c>
      <c r="AN8532" s="33">
        <v>9.9895020383392735E-3</v>
      </c>
      <c r="AO8532" s="33">
        <v>4.8331460618747808E-4</v>
      </c>
    </row>
    <row r="8533" spans="39:41" x14ac:dyDescent="0.25">
      <c r="AM8533" s="2">
        <v>8530</v>
      </c>
      <c r="AN8533" s="33">
        <v>1.1076030334037866E-2</v>
      </c>
      <c r="AO8533" s="33">
        <v>7.3530006621195132E-4</v>
      </c>
    </row>
    <row r="8534" spans="39:41" x14ac:dyDescent="0.25">
      <c r="AM8534" s="2">
        <v>8531</v>
      </c>
      <c r="AN8534" s="33">
        <v>1.108595889619466E-2</v>
      </c>
      <c r="AO8534" s="33">
        <v>1.554032930038143E-4</v>
      </c>
    </row>
    <row r="8535" spans="39:41" x14ac:dyDescent="0.25">
      <c r="AM8535" s="2">
        <v>8532</v>
      </c>
      <c r="AN8535" s="33">
        <v>1.1342146713673534E-2</v>
      </c>
      <c r="AO8535" s="33">
        <v>4.7320622321072345E-4</v>
      </c>
    </row>
    <row r="8536" spans="39:41" x14ac:dyDescent="0.25">
      <c r="AM8536" s="2">
        <v>8533</v>
      </c>
      <c r="AN8536" s="33">
        <v>1.3197564117226362E-2</v>
      </c>
      <c r="AO8536" s="33">
        <v>9.4889135861336827E-4</v>
      </c>
    </row>
    <row r="8537" spans="39:41" x14ac:dyDescent="0.25">
      <c r="AM8537" s="2">
        <v>8534</v>
      </c>
      <c r="AN8537" s="33">
        <v>1.2170691819776222E-2</v>
      </c>
      <c r="AO8537" s="33">
        <v>8.1939078550845041E-4</v>
      </c>
    </row>
    <row r="8538" spans="39:41" x14ac:dyDescent="0.25">
      <c r="AM8538" s="2">
        <v>8535</v>
      </c>
      <c r="AN8538" s="33">
        <v>1.3693896216492748E-2</v>
      </c>
      <c r="AO8538" s="33">
        <v>1.0469813378592558E-3</v>
      </c>
    </row>
    <row r="8539" spans="39:41" x14ac:dyDescent="0.25">
      <c r="AM8539" s="2">
        <v>8536</v>
      </c>
      <c r="AN8539" s="33">
        <v>1.3331109906826568E-2</v>
      </c>
      <c r="AO8539" s="33">
        <v>1.2207931915317078E-3</v>
      </c>
    </row>
    <row r="8540" spans="39:41" x14ac:dyDescent="0.25">
      <c r="AM8540" s="2">
        <v>8537</v>
      </c>
      <c r="AN8540" s="33">
        <v>8.0520445695880377E-3</v>
      </c>
      <c r="AO8540" s="33">
        <v>6.4045712200077871E-4</v>
      </c>
    </row>
    <row r="8541" spans="39:41" x14ac:dyDescent="0.25">
      <c r="AM8541" s="2">
        <v>8538</v>
      </c>
      <c r="AN8541" s="33">
        <v>9.8421085402008376E-3</v>
      </c>
      <c r="AO8541" s="33">
        <v>8.3264361561865207E-4</v>
      </c>
    </row>
    <row r="8542" spans="39:41" x14ac:dyDescent="0.25">
      <c r="AM8542" s="2">
        <v>8539</v>
      </c>
      <c r="AN8542" s="33">
        <v>1.252386460386346E-2</v>
      </c>
      <c r="AO8542" s="33">
        <v>1.0462446465100347E-3</v>
      </c>
    </row>
    <row r="8543" spans="39:41" x14ac:dyDescent="0.25">
      <c r="AM8543" s="2">
        <v>8540</v>
      </c>
      <c r="AN8543" s="33">
        <v>1.2366117263260118E-2</v>
      </c>
      <c r="AO8543" s="33">
        <v>9.4050739497758822E-4</v>
      </c>
    </row>
    <row r="8544" spans="39:41" x14ac:dyDescent="0.25">
      <c r="AM8544" s="2">
        <v>8541</v>
      </c>
      <c r="AN8544" s="33">
        <v>1.1123139285005929E-2</v>
      </c>
      <c r="AO8544" s="33">
        <v>8.0927009962175351E-4</v>
      </c>
    </row>
    <row r="8545" spans="39:41" x14ac:dyDescent="0.25">
      <c r="AM8545" s="2">
        <v>8542</v>
      </c>
      <c r="AN8545" s="33">
        <v>1.0449885591655692E-2</v>
      </c>
      <c r="AO8545" s="33">
        <v>1.0468456610041134E-3</v>
      </c>
    </row>
    <row r="8546" spans="39:41" x14ac:dyDescent="0.25">
      <c r="AM8546" s="2">
        <v>8543</v>
      </c>
      <c r="AN8546" s="33">
        <v>1.3096942904724991E-2</v>
      </c>
      <c r="AO8546" s="33">
        <v>1.2496004975449261E-3</v>
      </c>
    </row>
    <row r="8547" spans="39:41" x14ac:dyDescent="0.25">
      <c r="AM8547" s="2">
        <v>8544</v>
      </c>
      <c r="AN8547" s="33">
        <v>1.0211107813481746E-2</v>
      </c>
      <c r="AO8547" s="33">
        <v>5.7129327354769465E-4</v>
      </c>
    </row>
    <row r="8548" spans="39:41" x14ac:dyDescent="0.25">
      <c r="AM8548" s="2">
        <v>8545</v>
      </c>
      <c r="AN8548" s="33">
        <v>1.3262020608496475E-2</v>
      </c>
      <c r="AO8548" s="33">
        <v>2.8464470824951868E-4</v>
      </c>
    </row>
    <row r="8549" spans="39:41" x14ac:dyDescent="0.25">
      <c r="AM8549" s="2">
        <v>8546</v>
      </c>
      <c r="AN8549" s="33">
        <v>1.3883267165812389E-2</v>
      </c>
      <c r="AO8549" s="33">
        <v>1.2147925579316585E-3</v>
      </c>
    </row>
    <row r="8550" spans="39:41" x14ac:dyDescent="0.25">
      <c r="AM8550" s="2">
        <v>8547</v>
      </c>
      <c r="AN8550" s="33">
        <v>1.2113192392459752E-2</v>
      </c>
      <c r="AO8550" s="33">
        <v>1.0940632234424453E-3</v>
      </c>
    </row>
    <row r="8551" spans="39:41" x14ac:dyDescent="0.25">
      <c r="AM8551" s="2">
        <v>8548</v>
      </c>
      <c r="AN8551" s="33">
        <v>1.1666788527515433E-2</v>
      </c>
      <c r="AO8551" s="33">
        <v>1.0781795612593863E-3</v>
      </c>
    </row>
    <row r="8552" spans="39:41" x14ac:dyDescent="0.25">
      <c r="AM8552" s="2">
        <v>8549</v>
      </c>
      <c r="AN8552" s="33">
        <v>1.4007728922314052E-2</v>
      </c>
      <c r="AO8552" s="33">
        <v>1.149168293056405E-3</v>
      </c>
    </row>
    <row r="8553" spans="39:41" x14ac:dyDescent="0.25">
      <c r="AM8553" s="2">
        <v>8550</v>
      </c>
      <c r="AN8553" s="33">
        <v>1.1782714009082536E-2</v>
      </c>
      <c r="AO8553" s="33">
        <v>6.2581520120938536E-4</v>
      </c>
    </row>
    <row r="8554" spans="39:41" x14ac:dyDescent="0.25">
      <c r="AM8554" s="2">
        <v>8551</v>
      </c>
      <c r="AN8554" s="33">
        <v>1.1938642383823965E-2</v>
      </c>
      <c r="AO8554" s="33">
        <v>4.1301763531724164E-4</v>
      </c>
    </row>
    <row r="8555" spans="39:41" x14ac:dyDescent="0.25">
      <c r="AM8555" s="2">
        <v>8552</v>
      </c>
      <c r="AN8555" s="33">
        <v>9.2121777222899034E-3</v>
      </c>
      <c r="AO8555" s="33">
        <v>7.1740470612002925E-4</v>
      </c>
    </row>
    <row r="8556" spans="39:41" x14ac:dyDescent="0.25">
      <c r="AM8556" s="2">
        <v>8553</v>
      </c>
      <c r="AN8556" s="33">
        <v>8.2696939379610958E-3</v>
      </c>
      <c r="AO8556" s="33">
        <v>6.3708738184840581E-4</v>
      </c>
    </row>
    <row r="8557" spans="39:41" x14ac:dyDescent="0.25">
      <c r="AM8557" s="2">
        <v>8554</v>
      </c>
      <c r="AN8557" s="33">
        <v>8.0122631637965045E-3</v>
      </c>
      <c r="AO8557" s="33">
        <v>3.6198824286685888E-4</v>
      </c>
    </row>
    <row r="8558" spans="39:41" x14ac:dyDescent="0.25">
      <c r="AM8558" s="2">
        <v>8555</v>
      </c>
      <c r="AN8558" s="33">
        <v>9.7633697525483891E-3</v>
      </c>
      <c r="AO8558" s="33">
        <v>8.1738138340235267E-4</v>
      </c>
    </row>
    <row r="8559" spans="39:41" x14ac:dyDescent="0.25">
      <c r="AM8559" s="2">
        <v>8556</v>
      </c>
      <c r="AN8559" s="33">
        <v>8.7576850795028811E-3</v>
      </c>
      <c r="AO8559" s="33">
        <v>3.4040007477614327E-4</v>
      </c>
    </row>
    <row r="8560" spans="39:41" x14ac:dyDescent="0.25">
      <c r="AM8560" s="2">
        <v>8557</v>
      </c>
      <c r="AN8560" s="33">
        <v>9.0224619171278726E-3</v>
      </c>
      <c r="AO8560" s="33">
        <v>7.1679126056855126E-4</v>
      </c>
    </row>
    <row r="8561" spans="39:41" x14ac:dyDescent="0.25">
      <c r="AM8561" s="2">
        <v>8558</v>
      </c>
      <c r="AN8561" s="33">
        <v>7.9934904222694978E-3</v>
      </c>
      <c r="AO8561" s="33">
        <v>6.7773428728025518E-4</v>
      </c>
    </row>
    <row r="8562" spans="39:41" x14ac:dyDescent="0.25">
      <c r="AM8562" s="2">
        <v>8559</v>
      </c>
      <c r="AN8562" s="33">
        <v>1.3730342600749283E-2</v>
      </c>
      <c r="AO8562" s="33">
        <v>1.1213517156415693E-3</v>
      </c>
    </row>
    <row r="8563" spans="39:41" x14ac:dyDescent="0.25">
      <c r="AM8563" s="2">
        <v>8560</v>
      </c>
      <c r="AN8563" s="33">
        <v>1.3487381373959448E-2</v>
      </c>
      <c r="AO8563" s="33">
        <v>1.0316593417706516E-3</v>
      </c>
    </row>
    <row r="8564" spans="39:41" x14ac:dyDescent="0.25">
      <c r="AM8564" s="2">
        <v>8561</v>
      </c>
      <c r="AN8564" s="33">
        <v>1.0851914457040934E-2</v>
      </c>
      <c r="AO8564" s="33">
        <v>1.0430635564595951E-3</v>
      </c>
    </row>
    <row r="8565" spans="39:41" x14ac:dyDescent="0.25">
      <c r="AM8565" s="2">
        <v>8562</v>
      </c>
      <c r="AN8565" s="33">
        <v>1.0592611218106524E-2</v>
      </c>
      <c r="AO8565" s="33">
        <v>4.0392994547033649E-4</v>
      </c>
    </row>
    <row r="8566" spans="39:41" x14ac:dyDescent="0.25">
      <c r="AM8566" s="2">
        <v>8563</v>
      </c>
      <c r="AN8566" s="33">
        <v>1.3265952100360008E-2</v>
      </c>
      <c r="AO8566" s="33">
        <v>5.2033162675272401E-4</v>
      </c>
    </row>
    <row r="8567" spans="39:41" x14ac:dyDescent="0.25">
      <c r="AM8567" s="2">
        <v>8564</v>
      </c>
      <c r="AN8567" s="33">
        <v>1.2984483232262421E-2</v>
      </c>
      <c r="AO8567" s="33">
        <v>1.0731192079559649E-3</v>
      </c>
    </row>
    <row r="8568" spans="39:41" x14ac:dyDescent="0.25">
      <c r="AM8568" s="2">
        <v>8565</v>
      </c>
      <c r="AN8568" s="33">
        <v>1.0394661789811957E-2</v>
      </c>
      <c r="AO8568" s="33">
        <v>3.9011362097213578E-4</v>
      </c>
    </row>
    <row r="8569" spans="39:41" x14ac:dyDescent="0.25">
      <c r="AM8569" s="2">
        <v>8566</v>
      </c>
      <c r="AN8569" s="33">
        <v>8.8529585614244947E-3</v>
      </c>
      <c r="AO8569" s="33">
        <v>8.3316064560304043E-4</v>
      </c>
    </row>
    <row r="8570" spans="39:41" x14ac:dyDescent="0.25">
      <c r="AM8570" s="2">
        <v>8567</v>
      </c>
      <c r="AN8570" s="33">
        <v>2.0110298940847923E-2</v>
      </c>
      <c r="AO8570" s="33">
        <v>2.0007731733318085E-3</v>
      </c>
    </row>
    <row r="8571" spans="39:41" x14ac:dyDescent="0.25">
      <c r="AM8571" s="2">
        <v>8568</v>
      </c>
      <c r="AN8571" s="33">
        <v>1.4257571201747832E-2</v>
      </c>
      <c r="AO8571" s="33">
        <v>1.2005004747819778E-3</v>
      </c>
    </row>
    <row r="8572" spans="39:41" x14ac:dyDescent="0.25">
      <c r="AM8572" s="2">
        <v>8569</v>
      </c>
      <c r="AN8572" s="33">
        <v>1.1679439960907123E-2</v>
      </c>
      <c r="AO8572" s="33">
        <v>2.8036814198749589E-4</v>
      </c>
    </row>
    <row r="8573" spans="39:41" x14ac:dyDescent="0.25">
      <c r="AM8573" s="2">
        <v>8570</v>
      </c>
      <c r="AN8573" s="33">
        <v>1.0586265939534056E-2</v>
      </c>
      <c r="AO8573" s="33">
        <v>4.9766584109241035E-4</v>
      </c>
    </row>
    <row r="8574" spans="39:41" x14ac:dyDescent="0.25">
      <c r="AM8574" s="2">
        <v>8571</v>
      </c>
      <c r="AN8574" s="33">
        <v>1.3712318929140939E-2</v>
      </c>
      <c r="AO8574" s="33">
        <v>9.2517229581452472E-4</v>
      </c>
    </row>
    <row r="8575" spans="39:41" x14ac:dyDescent="0.25">
      <c r="AM8575" s="2">
        <v>8572</v>
      </c>
      <c r="AN8575" s="33">
        <v>1.3673099088375294E-2</v>
      </c>
      <c r="AO8575" s="33">
        <v>1.3117612037582894E-3</v>
      </c>
    </row>
    <row r="8576" spans="39:41" x14ac:dyDescent="0.25">
      <c r="AM8576" s="2">
        <v>8573</v>
      </c>
      <c r="AN8576" s="33">
        <v>1.4520388620247376E-2</v>
      </c>
      <c r="AO8576" s="33">
        <v>1.2603018946353052E-3</v>
      </c>
    </row>
    <row r="8577" spans="39:41" x14ac:dyDescent="0.25">
      <c r="AM8577" s="2">
        <v>8574</v>
      </c>
      <c r="AN8577" s="33">
        <v>8.3037215871303166E-3</v>
      </c>
      <c r="AO8577" s="33">
        <v>6.031197739272419E-4</v>
      </c>
    </row>
    <row r="8578" spans="39:41" x14ac:dyDescent="0.25">
      <c r="AM8578" s="2">
        <v>8575</v>
      </c>
      <c r="AN8578" s="33">
        <v>8.1967121516814106E-3</v>
      </c>
      <c r="AO8578" s="33">
        <v>8.1575815763837293E-4</v>
      </c>
    </row>
    <row r="8579" spans="39:41" x14ac:dyDescent="0.25">
      <c r="AM8579" s="2">
        <v>8576</v>
      </c>
      <c r="AN8579" s="33">
        <v>1.1762508707316032E-2</v>
      </c>
      <c r="AO8579" s="33">
        <v>1.003026267166033E-3</v>
      </c>
    </row>
    <row r="8580" spans="39:41" x14ac:dyDescent="0.25">
      <c r="AM8580" s="2">
        <v>8577</v>
      </c>
      <c r="AN8580" s="33">
        <v>1.0867648745875674E-2</v>
      </c>
      <c r="AO8580" s="33">
        <v>8.1308250124241847E-4</v>
      </c>
    </row>
    <row r="8581" spans="39:41" x14ac:dyDescent="0.25">
      <c r="AM8581" s="2">
        <v>8578</v>
      </c>
      <c r="AN8581" s="33">
        <v>1.2427981283238418E-2</v>
      </c>
      <c r="AO8581" s="33">
        <v>8.0502961002562059E-4</v>
      </c>
    </row>
    <row r="8582" spans="39:41" x14ac:dyDescent="0.25">
      <c r="AM8582" s="2">
        <v>8579</v>
      </c>
      <c r="AN8582" s="33">
        <v>1.2971316369719028E-2</v>
      </c>
      <c r="AO8582" s="33">
        <v>1.2031533449953409E-3</v>
      </c>
    </row>
    <row r="8583" spans="39:41" x14ac:dyDescent="0.25">
      <c r="AM8583" s="2">
        <v>8580</v>
      </c>
      <c r="AN8583" s="33">
        <v>1.2938888807049005E-2</v>
      </c>
      <c r="AO8583" s="33">
        <v>9.0184422541785263E-4</v>
      </c>
    </row>
    <row r="8584" spans="39:41" x14ac:dyDescent="0.25">
      <c r="AM8584" s="2">
        <v>8581</v>
      </c>
      <c r="AN8584" s="33">
        <v>1.3149722709983705E-2</v>
      </c>
      <c r="AO8584" s="33">
        <v>1.2215620577403588E-3</v>
      </c>
    </row>
    <row r="8585" spans="39:41" x14ac:dyDescent="0.25">
      <c r="AM8585" s="2">
        <v>8582</v>
      </c>
      <c r="AN8585" s="33">
        <v>1.032897296462376E-2</v>
      </c>
      <c r="AO8585" s="33">
        <v>6.8741625368136231E-4</v>
      </c>
    </row>
    <row r="8586" spans="39:41" x14ac:dyDescent="0.25">
      <c r="AM8586" s="2">
        <v>8583</v>
      </c>
      <c r="AN8586" s="33">
        <v>1.1506796444162812E-2</v>
      </c>
      <c r="AO8586" s="33">
        <v>9.3327768116970911E-4</v>
      </c>
    </row>
    <row r="8587" spans="39:41" x14ac:dyDescent="0.25">
      <c r="AM8587" s="2">
        <v>8584</v>
      </c>
      <c r="AN8587" s="33">
        <v>9.7282270957646001E-3</v>
      </c>
      <c r="AO8587" s="33">
        <v>8.1461583434639165E-4</v>
      </c>
    </row>
    <row r="8588" spans="39:41" x14ac:dyDescent="0.25">
      <c r="AM8588" s="2">
        <v>8585</v>
      </c>
      <c r="AN8588" s="33">
        <v>1.0590393130763162E-2</v>
      </c>
      <c r="AO8588" s="33">
        <v>5.2465270806974923E-4</v>
      </c>
    </row>
    <row r="8589" spans="39:41" x14ac:dyDescent="0.25">
      <c r="AM8589" s="2">
        <v>8586</v>
      </c>
      <c r="AN8589" s="33">
        <v>8.2780419199213924E-3</v>
      </c>
      <c r="AO8589" s="33">
        <v>4.8938016717373848E-4</v>
      </c>
    </row>
    <row r="8590" spans="39:41" x14ac:dyDescent="0.25">
      <c r="AM8590" s="2">
        <v>8587</v>
      </c>
      <c r="AN8590" s="33">
        <v>1.2464541157568784E-2</v>
      </c>
      <c r="AO8590" s="33">
        <v>7.5632112973106705E-4</v>
      </c>
    </row>
    <row r="8591" spans="39:41" x14ac:dyDescent="0.25">
      <c r="AM8591" s="2">
        <v>8588</v>
      </c>
      <c r="AN8591" s="33">
        <v>1.0735348042443069E-2</v>
      </c>
      <c r="AO8591" s="33">
        <v>5.9634939134299493E-4</v>
      </c>
    </row>
    <row r="8592" spans="39:41" x14ac:dyDescent="0.25">
      <c r="AM8592" s="2">
        <v>8589</v>
      </c>
      <c r="AN8592" s="33">
        <v>1.3349956856932119E-2</v>
      </c>
      <c r="AO8592" s="33">
        <v>8.8844015627902715E-4</v>
      </c>
    </row>
    <row r="8593" spans="39:41" x14ac:dyDescent="0.25">
      <c r="AM8593" s="2">
        <v>8590</v>
      </c>
      <c r="AN8593" s="33">
        <v>1.1733488492468365E-2</v>
      </c>
      <c r="AO8593" s="33">
        <v>1.0488819701416081E-3</v>
      </c>
    </row>
    <row r="8594" spans="39:41" x14ac:dyDescent="0.25">
      <c r="AM8594" s="2">
        <v>8591</v>
      </c>
      <c r="AN8594" s="33">
        <v>1.1282492847457236E-2</v>
      </c>
      <c r="AO8594" s="33">
        <v>5.5569675420958525E-4</v>
      </c>
    </row>
    <row r="8595" spans="39:41" x14ac:dyDescent="0.25">
      <c r="AM8595" s="2">
        <v>8592</v>
      </c>
      <c r="AN8595" s="33">
        <v>1.1568901493928377E-2</v>
      </c>
      <c r="AO8595" s="33">
        <v>7.9752554078980377E-4</v>
      </c>
    </row>
    <row r="8596" spans="39:41" x14ac:dyDescent="0.25">
      <c r="AM8596" s="2">
        <v>8593</v>
      </c>
      <c r="AN8596" s="33">
        <v>1.2651523744242195E-2</v>
      </c>
      <c r="AO8596" s="33">
        <v>8.3543937008801882E-4</v>
      </c>
    </row>
    <row r="8597" spans="39:41" x14ac:dyDescent="0.25">
      <c r="AM8597" s="2">
        <v>8594</v>
      </c>
      <c r="AN8597" s="33">
        <v>1.6175395812214863E-2</v>
      </c>
      <c r="AO8597" s="33">
        <v>1.6695352097057452E-3</v>
      </c>
    </row>
    <row r="8598" spans="39:41" x14ac:dyDescent="0.25">
      <c r="AM8598" s="2">
        <v>8595</v>
      </c>
      <c r="AN8598" s="33">
        <v>1.3922816304198157E-2</v>
      </c>
      <c r="AO8598" s="33">
        <v>1.1675782433280594E-3</v>
      </c>
    </row>
    <row r="8599" spans="39:41" x14ac:dyDescent="0.25">
      <c r="AM8599" s="2">
        <v>8596</v>
      </c>
      <c r="AN8599" s="33">
        <v>1.3818197784530556E-2</v>
      </c>
      <c r="AO8599" s="33">
        <v>1.1514598725132111E-3</v>
      </c>
    </row>
    <row r="8600" spans="39:41" x14ac:dyDescent="0.25">
      <c r="AM8600" s="2">
        <v>8597</v>
      </c>
      <c r="AN8600" s="33">
        <v>1.3455184071354355E-2</v>
      </c>
      <c r="AO8600" s="33">
        <v>1.3667983787791537E-3</v>
      </c>
    </row>
    <row r="8601" spans="39:41" x14ac:dyDescent="0.25">
      <c r="AM8601" s="2">
        <v>8598</v>
      </c>
      <c r="AN8601" s="33">
        <v>1.4286554717990773E-2</v>
      </c>
      <c r="AO8601" s="33">
        <v>1.2435576102256475E-3</v>
      </c>
    </row>
    <row r="8602" spans="39:41" x14ac:dyDescent="0.25">
      <c r="AM8602" s="2">
        <v>8599</v>
      </c>
      <c r="AN8602" s="33">
        <v>1.0076868768654958E-2</v>
      </c>
      <c r="AO8602" s="33">
        <v>7.898830462041422E-4</v>
      </c>
    </row>
    <row r="8603" spans="39:41" x14ac:dyDescent="0.25">
      <c r="AM8603" s="2">
        <v>8600</v>
      </c>
      <c r="AN8603" s="33">
        <v>1.135738211950953E-2</v>
      </c>
      <c r="AO8603" s="33">
        <v>9.4226072520648936E-4</v>
      </c>
    </row>
    <row r="8604" spans="39:41" x14ac:dyDescent="0.25">
      <c r="AM8604" s="2">
        <v>8601</v>
      </c>
      <c r="AN8604" s="33">
        <v>1.0970044002645047E-2</v>
      </c>
      <c r="AO8604" s="33">
        <v>7.2692722225927288E-4</v>
      </c>
    </row>
    <row r="8605" spans="39:41" x14ac:dyDescent="0.25">
      <c r="AM8605" s="2">
        <v>8602</v>
      </c>
      <c r="AN8605" s="33">
        <v>1.1231094928697349E-2</v>
      </c>
      <c r="AO8605" s="33">
        <v>8.093912924050068E-4</v>
      </c>
    </row>
    <row r="8606" spans="39:41" x14ac:dyDescent="0.25">
      <c r="AM8606" s="2">
        <v>8603</v>
      </c>
      <c r="AN8606" s="33">
        <v>1.1701313684358464E-2</v>
      </c>
      <c r="AO8606" s="33">
        <v>5.0058205616022812E-4</v>
      </c>
    </row>
    <row r="8607" spans="39:41" x14ac:dyDescent="0.25">
      <c r="AM8607" s="2">
        <v>8604</v>
      </c>
      <c r="AN8607" s="33">
        <v>1.0381726176756166E-2</v>
      </c>
      <c r="AO8607" s="33">
        <v>5.662126749567775E-4</v>
      </c>
    </row>
    <row r="8608" spans="39:41" x14ac:dyDescent="0.25">
      <c r="AM8608" s="2">
        <v>8605</v>
      </c>
      <c r="AN8608" s="33">
        <v>1.1444309931303692E-2</v>
      </c>
      <c r="AO8608" s="33">
        <v>1.1144228808845655E-3</v>
      </c>
    </row>
    <row r="8609" spans="39:41" x14ac:dyDescent="0.25">
      <c r="AM8609" s="2">
        <v>8606</v>
      </c>
      <c r="AN8609" s="33">
        <v>1.3161990521218797E-2</v>
      </c>
      <c r="AO8609" s="33">
        <v>1.2175111187619555E-3</v>
      </c>
    </row>
    <row r="8610" spans="39:41" x14ac:dyDescent="0.25">
      <c r="AM8610" s="2">
        <v>8607</v>
      </c>
      <c r="AN8610" s="33">
        <v>1.2245908676590124E-2</v>
      </c>
      <c r="AO8610" s="33">
        <v>9.9278358250185807E-4</v>
      </c>
    </row>
    <row r="8611" spans="39:41" x14ac:dyDescent="0.25">
      <c r="AM8611" s="2">
        <v>8608</v>
      </c>
      <c r="AN8611" s="33">
        <v>1.3407371630469306E-2</v>
      </c>
      <c r="AO8611" s="33">
        <v>7.6887040430059295E-4</v>
      </c>
    </row>
    <row r="8612" spans="39:41" x14ac:dyDescent="0.25">
      <c r="AM8612" s="2">
        <v>8609</v>
      </c>
      <c r="AN8612" s="33">
        <v>1.3392599671913672E-2</v>
      </c>
      <c r="AO8612" s="33">
        <v>1.132990097387493E-3</v>
      </c>
    </row>
    <row r="8613" spans="39:41" x14ac:dyDescent="0.25">
      <c r="AM8613" s="2">
        <v>8610</v>
      </c>
      <c r="AN8613" s="33">
        <v>8.1307770167029659E-3</v>
      </c>
      <c r="AO8613" s="33">
        <v>5.4885547101589892E-4</v>
      </c>
    </row>
    <row r="8614" spans="39:41" x14ac:dyDescent="0.25">
      <c r="AM8614" s="2">
        <v>8611</v>
      </c>
      <c r="AN8614" s="33">
        <v>1.4265053679088587E-2</v>
      </c>
      <c r="AO8614" s="33">
        <v>1.3584439295535524E-3</v>
      </c>
    </row>
    <row r="8615" spans="39:41" x14ac:dyDescent="0.25">
      <c r="AM8615" s="2">
        <v>8612</v>
      </c>
      <c r="AN8615" s="33">
        <v>1.4305835952958493E-2</v>
      </c>
      <c r="AO8615" s="33">
        <v>1.1140343280411752E-3</v>
      </c>
    </row>
    <row r="8616" spans="39:41" x14ac:dyDescent="0.25">
      <c r="AM8616" s="2">
        <v>8613</v>
      </c>
      <c r="AN8616" s="33">
        <v>1.003038190104218E-2</v>
      </c>
      <c r="AO8616" s="33">
        <v>8.4988075114281029E-4</v>
      </c>
    </row>
    <row r="8617" spans="39:41" x14ac:dyDescent="0.25">
      <c r="AM8617" s="2">
        <v>8614</v>
      </c>
      <c r="AN8617" s="33">
        <v>1.1957100398336938E-2</v>
      </c>
      <c r="AO8617" s="33">
        <v>1.0068018166537048E-3</v>
      </c>
    </row>
    <row r="8618" spans="39:41" x14ac:dyDescent="0.25">
      <c r="AM8618" s="2">
        <v>8615</v>
      </c>
      <c r="AN8618" s="33">
        <v>1.358613233204079E-2</v>
      </c>
      <c r="AO8618" s="33">
        <v>8.5075105414419885E-4</v>
      </c>
    </row>
    <row r="8619" spans="39:41" x14ac:dyDescent="0.25">
      <c r="AM8619" s="2">
        <v>8616</v>
      </c>
      <c r="AN8619" s="33">
        <v>1.0619679996343235E-2</v>
      </c>
      <c r="AO8619" s="33">
        <v>9.0726859180615218E-4</v>
      </c>
    </row>
    <row r="8620" spans="39:41" x14ac:dyDescent="0.25">
      <c r="AM8620" s="2">
        <v>8617</v>
      </c>
      <c r="AN8620" s="33">
        <v>8.6149896007980085E-3</v>
      </c>
      <c r="AO8620" s="33">
        <v>7.2469386008827436E-4</v>
      </c>
    </row>
    <row r="8621" spans="39:41" x14ac:dyDescent="0.25">
      <c r="AM8621" s="2">
        <v>8618</v>
      </c>
      <c r="AN8621" s="33">
        <v>1.1815014796428443E-2</v>
      </c>
      <c r="AO8621" s="33">
        <v>2.2401198868482469E-4</v>
      </c>
    </row>
    <row r="8622" spans="39:41" x14ac:dyDescent="0.25">
      <c r="AM8622" s="2">
        <v>8619</v>
      </c>
      <c r="AN8622" s="33">
        <v>1.1731029587955978E-2</v>
      </c>
      <c r="AO8622" s="33">
        <v>7.6391170404064505E-4</v>
      </c>
    </row>
    <row r="8623" spans="39:41" x14ac:dyDescent="0.25">
      <c r="AM8623" s="2">
        <v>8620</v>
      </c>
      <c r="AN8623" s="33">
        <v>1.2000911507021072E-2</v>
      </c>
      <c r="AO8623" s="33">
        <v>9.3234697280508542E-4</v>
      </c>
    </row>
    <row r="8624" spans="39:41" x14ac:dyDescent="0.25">
      <c r="AM8624" s="2">
        <v>8621</v>
      </c>
      <c r="AN8624" s="33">
        <v>1.0361523210447041E-2</v>
      </c>
      <c r="AO8624" s="33">
        <v>6.681168521790649E-4</v>
      </c>
    </row>
    <row r="8625" spans="39:41" x14ac:dyDescent="0.25">
      <c r="AM8625" s="2">
        <v>8622</v>
      </c>
      <c r="AN8625" s="33">
        <v>8.2799892704378941E-3</v>
      </c>
      <c r="AO8625" s="33">
        <v>2.7919486854184768E-4</v>
      </c>
    </row>
    <row r="8626" spans="39:41" x14ac:dyDescent="0.25">
      <c r="AM8626" s="2">
        <v>8623</v>
      </c>
      <c r="AN8626" s="33">
        <v>9.1931363685139583E-3</v>
      </c>
      <c r="AO8626" s="33">
        <v>2.096019068807351E-4</v>
      </c>
    </row>
    <row r="8627" spans="39:41" x14ac:dyDescent="0.25">
      <c r="AM8627" s="2">
        <v>8624</v>
      </c>
      <c r="AN8627" s="33">
        <v>1.4039168797928001E-2</v>
      </c>
      <c r="AO8627" s="33">
        <v>1.2519996560791118E-3</v>
      </c>
    </row>
    <row r="8628" spans="39:41" x14ac:dyDescent="0.25">
      <c r="AM8628" s="2">
        <v>8625</v>
      </c>
      <c r="AN8628" s="33">
        <v>1.15177194917646E-2</v>
      </c>
      <c r="AO8628" s="33">
        <v>8.0660500057785727E-4</v>
      </c>
    </row>
    <row r="8629" spans="39:41" x14ac:dyDescent="0.25">
      <c r="AM8629" s="2">
        <v>8626</v>
      </c>
      <c r="AN8629" s="33">
        <v>1.1685466428920438E-2</v>
      </c>
      <c r="AO8629" s="33">
        <v>3.6764127679243618E-5</v>
      </c>
    </row>
    <row r="8630" spans="39:41" x14ac:dyDescent="0.25">
      <c r="AM8630" s="2">
        <v>8627</v>
      </c>
      <c r="AN8630" s="33">
        <v>9.5900416624369374E-3</v>
      </c>
      <c r="AO8630" s="33">
        <v>4.5118011831881078E-4</v>
      </c>
    </row>
    <row r="8631" spans="39:41" x14ac:dyDescent="0.25">
      <c r="AM8631" s="2">
        <v>8628</v>
      </c>
      <c r="AN8631" s="33">
        <v>1.3939241859288954E-2</v>
      </c>
      <c r="AO8631" s="33">
        <v>1.3693257974989805E-3</v>
      </c>
    </row>
    <row r="8632" spans="39:41" x14ac:dyDescent="0.25">
      <c r="AM8632" s="2">
        <v>8629</v>
      </c>
      <c r="AN8632" s="33">
        <v>8.7994611206620235E-3</v>
      </c>
      <c r="AO8632" s="33">
        <v>1.502723243108339E-4</v>
      </c>
    </row>
    <row r="8633" spans="39:41" x14ac:dyDescent="0.25">
      <c r="AM8633" s="2">
        <v>8630</v>
      </c>
      <c r="AN8633" s="33">
        <v>1.1480807860928893E-2</v>
      </c>
      <c r="AO8633" s="33">
        <v>7.8728927926867225E-4</v>
      </c>
    </row>
    <row r="8634" spans="39:41" x14ac:dyDescent="0.25">
      <c r="AM8634" s="2">
        <v>8631</v>
      </c>
      <c r="AN8634" s="33">
        <v>1.0246604759406641E-2</v>
      </c>
      <c r="AO8634" s="33">
        <v>9.0804070657438227E-4</v>
      </c>
    </row>
    <row r="8635" spans="39:41" x14ac:dyDescent="0.25">
      <c r="AM8635" s="2">
        <v>8632</v>
      </c>
      <c r="AN8635" s="33">
        <v>1.1912037986230474E-2</v>
      </c>
      <c r="AO8635" s="33">
        <v>8.4044367575148251E-4</v>
      </c>
    </row>
    <row r="8636" spans="39:41" x14ac:dyDescent="0.25">
      <c r="AM8636" s="2">
        <v>8633</v>
      </c>
      <c r="AN8636" s="33">
        <v>1.2202930893466558E-2</v>
      </c>
      <c r="AO8636" s="33">
        <v>1.2409838202596924E-3</v>
      </c>
    </row>
    <row r="8637" spans="39:41" x14ac:dyDescent="0.25">
      <c r="AM8637" s="2">
        <v>8634</v>
      </c>
      <c r="AN8637" s="33">
        <v>9.9859644333797782E-3</v>
      </c>
      <c r="AO8637" s="33">
        <v>7.8961586014477574E-4</v>
      </c>
    </row>
    <row r="8638" spans="39:41" x14ac:dyDescent="0.25">
      <c r="AM8638" s="2">
        <v>8635</v>
      </c>
      <c r="AN8638" s="33">
        <v>1.3933876878671314E-2</v>
      </c>
      <c r="AO8638" s="33">
        <v>1.2660345050823172E-3</v>
      </c>
    </row>
    <row r="8639" spans="39:41" x14ac:dyDescent="0.25">
      <c r="AM8639" s="2">
        <v>8636</v>
      </c>
      <c r="AN8639" s="33">
        <v>1.154418830069477E-2</v>
      </c>
      <c r="AO8639" s="33">
        <v>4.8116906610947525E-4</v>
      </c>
    </row>
    <row r="8640" spans="39:41" x14ac:dyDescent="0.25">
      <c r="AM8640" s="2">
        <v>8637</v>
      </c>
      <c r="AN8640" s="33">
        <v>1.2400692289430576E-2</v>
      </c>
      <c r="AO8640" s="33">
        <v>1.2037539619094396E-3</v>
      </c>
    </row>
    <row r="8641" spans="39:41" x14ac:dyDescent="0.25">
      <c r="AM8641" s="2">
        <v>8638</v>
      </c>
      <c r="AN8641" s="33">
        <v>1.487060480416374E-2</v>
      </c>
      <c r="AO8641" s="33">
        <v>1.3066427158971369E-3</v>
      </c>
    </row>
    <row r="8642" spans="39:41" x14ac:dyDescent="0.25">
      <c r="AM8642" s="2">
        <v>8639</v>
      </c>
      <c r="AN8642" s="33">
        <v>1.1730946216049344E-2</v>
      </c>
      <c r="AO8642" s="33">
        <v>9.5035542135997529E-4</v>
      </c>
    </row>
    <row r="8643" spans="39:41" x14ac:dyDescent="0.25">
      <c r="AM8643" s="2">
        <v>8640</v>
      </c>
      <c r="AN8643" s="33">
        <v>1.2220380352836189E-2</v>
      </c>
      <c r="AO8643" s="33">
        <v>4.7435497268095126E-4</v>
      </c>
    </row>
    <row r="8644" spans="39:41" x14ac:dyDescent="0.25">
      <c r="AM8644" s="2">
        <v>8641</v>
      </c>
      <c r="AN8644" s="33">
        <v>1.5680650345006552E-2</v>
      </c>
      <c r="AO8644" s="33">
        <v>1.4376098956567608E-3</v>
      </c>
    </row>
    <row r="8645" spans="39:41" x14ac:dyDescent="0.25">
      <c r="AM8645" s="2">
        <v>8642</v>
      </c>
      <c r="AN8645" s="33">
        <v>8.4468599867005487E-3</v>
      </c>
      <c r="AO8645" s="33">
        <v>5.5373490875910611E-4</v>
      </c>
    </row>
    <row r="8646" spans="39:41" x14ac:dyDescent="0.25">
      <c r="AM8646" s="2">
        <v>8643</v>
      </c>
      <c r="AN8646" s="33">
        <v>1.0963078884313813E-2</v>
      </c>
      <c r="AO8646" s="33">
        <v>7.0884936616111705E-4</v>
      </c>
    </row>
    <row r="8647" spans="39:41" x14ac:dyDescent="0.25">
      <c r="AM8647" s="2">
        <v>8644</v>
      </c>
      <c r="AN8647" s="33">
        <v>1.253200296112942E-2</v>
      </c>
      <c r="AO8647" s="33">
        <v>1.1755070568549247E-3</v>
      </c>
    </row>
    <row r="8648" spans="39:41" x14ac:dyDescent="0.25">
      <c r="AM8648" s="2">
        <v>8645</v>
      </c>
      <c r="AN8648" s="33">
        <v>1.3696806740762532E-2</v>
      </c>
      <c r="AO8648" s="33">
        <v>1.3010259493486693E-3</v>
      </c>
    </row>
    <row r="8649" spans="39:41" x14ac:dyDescent="0.25">
      <c r="AM8649" s="2">
        <v>8646</v>
      </c>
      <c r="AN8649" s="33">
        <v>1.2107999975335187E-2</v>
      </c>
      <c r="AO8649" s="33">
        <v>9.7578651750379131E-4</v>
      </c>
    </row>
    <row r="8650" spans="39:41" x14ac:dyDescent="0.25">
      <c r="AM8650" s="2">
        <v>8647</v>
      </c>
      <c r="AN8650" s="33">
        <v>1.1275296672455941E-2</v>
      </c>
      <c r="AO8650" s="33">
        <v>2.430102034247482E-4</v>
      </c>
    </row>
    <row r="8651" spans="39:41" x14ac:dyDescent="0.25">
      <c r="AM8651" s="2">
        <v>8648</v>
      </c>
      <c r="AN8651" s="33">
        <v>1.2538892733741385E-2</v>
      </c>
      <c r="AO8651" s="33">
        <v>2.3948560662505531E-4</v>
      </c>
    </row>
    <row r="8652" spans="39:41" x14ac:dyDescent="0.25">
      <c r="AM8652" s="2">
        <v>8649</v>
      </c>
      <c r="AN8652" s="33">
        <v>1.0472491343350748E-2</v>
      </c>
      <c r="AO8652" s="33">
        <v>4.8534236390530269E-4</v>
      </c>
    </row>
    <row r="8653" spans="39:41" x14ac:dyDescent="0.25">
      <c r="AM8653" s="2">
        <v>8650</v>
      </c>
      <c r="AN8653" s="33">
        <v>1.4721531183150352E-2</v>
      </c>
      <c r="AO8653" s="33">
        <v>1.4845093084967956E-3</v>
      </c>
    </row>
    <row r="8654" spans="39:41" x14ac:dyDescent="0.25">
      <c r="AM8654" s="2">
        <v>8651</v>
      </c>
      <c r="AN8654" s="33">
        <v>1.3281499864569378E-2</v>
      </c>
      <c r="AO8654" s="33">
        <v>8.5864293147437383E-4</v>
      </c>
    </row>
    <row r="8655" spans="39:41" x14ac:dyDescent="0.25">
      <c r="AM8655" s="2">
        <v>8652</v>
      </c>
      <c r="AN8655" s="33">
        <v>1.004184119528532E-2</v>
      </c>
      <c r="AO8655" s="33">
        <v>5.0128967054652968E-4</v>
      </c>
    </row>
    <row r="8656" spans="39:41" x14ac:dyDescent="0.25">
      <c r="AM8656" s="2">
        <v>8653</v>
      </c>
      <c r="AN8656" s="33">
        <v>9.3810110532438623E-3</v>
      </c>
      <c r="AO8656" s="33">
        <v>3.7937599045673106E-4</v>
      </c>
    </row>
    <row r="8657" spans="39:41" x14ac:dyDescent="0.25">
      <c r="AM8657" s="2">
        <v>8654</v>
      </c>
      <c r="AN8657" s="33">
        <v>1.0799720905774565E-2</v>
      </c>
      <c r="AO8657" s="33">
        <v>2.5869021580190543E-4</v>
      </c>
    </row>
    <row r="8658" spans="39:41" x14ac:dyDescent="0.25">
      <c r="AM8658" s="2">
        <v>8655</v>
      </c>
      <c r="AN8658" s="33">
        <v>1.0100910539975886E-2</v>
      </c>
      <c r="AO8658" s="33">
        <v>8.1800678251202602E-4</v>
      </c>
    </row>
    <row r="8659" spans="39:41" x14ac:dyDescent="0.25">
      <c r="AM8659" s="2">
        <v>8656</v>
      </c>
      <c r="AN8659" s="33">
        <v>1.0467537846257143E-2</v>
      </c>
      <c r="AO8659" s="33">
        <v>7.0762205059352577E-4</v>
      </c>
    </row>
    <row r="8660" spans="39:41" x14ac:dyDescent="0.25">
      <c r="AM8660" s="2">
        <v>8657</v>
      </c>
      <c r="AN8660" s="33">
        <v>1.2284974856721005E-2</v>
      </c>
      <c r="AO8660" s="33">
        <v>8.1679267635145151E-4</v>
      </c>
    </row>
    <row r="8661" spans="39:41" x14ac:dyDescent="0.25">
      <c r="AM8661" s="2">
        <v>8658</v>
      </c>
      <c r="AN8661" s="33">
        <v>1.5097971323193871E-2</v>
      </c>
      <c r="AO8661" s="33">
        <v>1.3627151334362809E-3</v>
      </c>
    </row>
    <row r="8662" spans="39:41" x14ac:dyDescent="0.25">
      <c r="AM8662" s="2">
        <v>8659</v>
      </c>
      <c r="AN8662" s="33">
        <v>1.3071163296213535E-2</v>
      </c>
      <c r="AO8662" s="33">
        <v>1.0502312469737047E-3</v>
      </c>
    </row>
    <row r="8663" spans="39:41" x14ac:dyDescent="0.25">
      <c r="AM8663" s="2">
        <v>8660</v>
      </c>
      <c r="AN8663" s="33">
        <v>8.9583939838595045E-3</v>
      </c>
      <c r="AO8663" s="33">
        <v>3.6237881716527588E-4</v>
      </c>
    </row>
    <row r="8664" spans="39:41" x14ac:dyDescent="0.25">
      <c r="AM8664" s="2">
        <v>8661</v>
      </c>
      <c r="AN8664" s="33">
        <v>1.1875085789068015E-2</v>
      </c>
      <c r="AO8664" s="33">
        <v>7.8476797330986989E-4</v>
      </c>
    </row>
    <row r="8665" spans="39:41" x14ac:dyDescent="0.25">
      <c r="AM8665" s="2">
        <v>8662</v>
      </c>
      <c r="AN8665" s="33">
        <v>1.6063810573149703E-2</v>
      </c>
      <c r="AO8665" s="33">
        <v>1.309861127563521E-3</v>
      </c>
    </row>
    <row r="8666" spans="39:41" x14ac:dyDescent="0.25">
      <c r="AM8666" s="2">
        <v>8663</v>
      </c>
      <c r="AN8666" s="33">
        <v>1.4698057579561248E-2</v>
      </c>
      <c r="AO8666" s="33">
        <v>1.1128599067732193E-3</v>
      </c>
    </row>
    <row r="8667" spans="39:41" x14ac:dyDescent="0.25">
      <c r="AM8667" s="2">
        <v>8664</v>
      </c>
      <c r="AN8667" s="33">
        <v>1.2291871399225945E-2</v>
      </c>
      <c r="AO8667" s="33">
        <v>7.712588186515421E-4</v>
      </c>
    </row>
    <row r="8668" spans="39:41" x14ac:dyDescent="0.25">
      <c r="AM8668" s="2">
        <v>8665</v>
      </c>
      <c r="AN8668" s="33">
        <v>1.2216160962241292E-2</v>
      </c>
      <c r="AO8668" s="33">
        <v>1.2300743336373259E-3</v>
      </c>
    </row>
    <row r="8669" spans="39:41" x14ac:dyDescent="0.25">
      <c r="AM8669" s="2">
        <v>8666</v>
      </c>
      <c r="AN8669" s="33">
        <v>1.5059548434419088E-2</v>
      </c>
      <c r="AO8669" s="33">
        <v>1.3733517349669426E-3</v>
      </c>
    </row>
    <row r="8670" spans="39:41" x14ac:dyDescent="0.25">
      <c r="AM8670" s="2">
        <v>8667</v>
      </c>
      <c r="AN8670" s="33">
        <v>1.1475886192122193E-2</v>
      </c>
      <c r="AO8670" s="33">
        <v>8.7192964658112351E-4</v>
      </c>
    </row>
    <row r="8671" spans="39:41" x14ac:dyDescent="0.25">
      <c r="AM8671" s="2">
        <v>8668</v>
      </c>
      <c r="AN8671" s="33">
        <v>9.6782137435616564E-3</v>
      </c>
      <c r="AO8671" s="33">
        <v>7.2759759629808282E-4</v>
      </c>
    </row>
    <row r="8672" spans="39:41" x14ac:dyDescent="0.25">
      <c r="AM8672" s="2">
        <v>8669</v>
      </c>
      <c r="AN8672" s="33">
        <v>1.2062029686216835E-2</v>
      </c>
      <c r="AO8672" s="33">
        <v>6.5866544044764213E-4</v>
      </c>
    </row>
    <row r="8673" spans="39:41" x14ac:dyDescent="0.25">
      <c r="AM8673" s="2">
        <v>8670</v>
      </c>
      <c r="AN8673" s="33">
        <v>1.3666105363183868E-2</v>
      </c>
      <c r="AO8673" s="33">
        <v>1.2012363826259512E-3</v>
      </c>
    </row>
    <row r="8674" spans="39:41" x14ac:dyDescent="0.25">
      <c r="AM8674" s="2">
        <v>8671</v>
      </c>
      <c r="AN8674" s="33">
        <v>9.9513675135472438E-3</v>
      </c>
      <c r="AO8674" s="33">
        <v>3.616655102930867E-4</v>
      </c>
    </row>
    <row r="8675" spans="39:41" x14ac:dyDescent="0.25">
      <c r="AM8675" s="2">
        <v>8672</v>
      </c>
      <c r="AN8675" s="33">
        <v>9.7837653272918011E-3</v>
      </c>
      <c r="AO8675" s="33">
        <v>5.511927016415909E-4</v>
      </c>
    </row>
    <row r="8676" spans="39:41" x14ac:dyDescent="0.25">
      <c r="AM8676" s="2">
        <v>8673</v>
      </c>
      <c r="AN8676" s="33">
        <v>1.4456414615405791E-2</v>
      </c>
      <c r="AO8676" s="33">
        <v>1.1745420248041511E-3</v>
      </c>
    </row>
    <row r="8677" spans="39:41" x14ac:dyDescent="0.25">
      <c r="AM8677" s="2">
        <v>8674</v>
      </c>
      <c r="AN8677" s="33">
        <v>1.1192960717374564E-2</v>
      </c>
      <c r="AO8677" s="33">
        <v>7.8490168941727095E-4</v>
      </c>
    </row>
    <row r="8678" spans="39:41" x14ac:dyDescent="0.25">
      <c r="AM8678" s="2">
        <v>8675</v>
      </c>
      <c r="AN8678" s="33">
        <v>1.3835265857540363E-2</v>
      </c>
      <c r="AO8678" s="33">
        <v>1.0812086604062377E-3</v>
      </c>
    </row>
    <row r="8679" spans="39:41" x14ac:dyDescent="0.25">
      <c r="AM8679" s="2">
        <v>8676</v>
      </c>
      <c r="AN8679" s="33">
        <v>1.2508750196870097E-2</v>
      </c>
      <c r="AO8679" s="33">
        <v>1.0089163656917066E-3</v>
      </c>
    </row>
    <row r="8680" spans="39:41" x14ac:dyDescent="0.25">
      <c r="AM8680" s="2">
        <v>8677</v>
      </c>
      <c r="AN8680" s="33">
        <v>1.0188289878766112E-2</v>
      </c>
      <c r="AO8680" s="33">
        <v>6.723951009390966E-4</v>
      </c>
    </row>
    <row r="8681" spans="39:41" x14ac:dyDescent="0.25">
      <c r="AM8681" s="2">
        <v>8678</v>
      </c>
      <c r="AN8681" s="33">
        <v>9.9346499450342803E-3</v>
      </c>
      <c r="AO8681" s="33">
        <v>3.1804562927887958E-4</v>
      </c>
    </row>
    <row r="8682" spans="39:41" x14ac:dyDescent="0.25">
      <c r="AM8682" s="2">
        <v>8679</v>
      </c>
      <c r="AN8682" s="33">
        <v>1.1466351106354359E-2</v>
      </c>
      <c r="AO8682" s="33">
        <v>5.6197143497128043E-4</v>
      </c>
    </row>
    <row r="8683" spans="39:41" x14ac:dyDescent="0.25">
      <c r="AM8683" s="2">
        <v>8680</v>
      </c>
      <c r="AN8683" s="33">
        <v>8.7901283552580881E-3</v>
      </c>
      <c r="AO8683" s="33">
        <v>2.5984464059770245E-4</v>
      </c>
    </row>
    <row r="8684" spans="39:41" x14ac:dyDescent="0.25">
      <c r="AM8684" s="2">
        <v>8681</v>
      </c>
      <c r="AN8684" s="33">
        <v>1.2001973745862874E-2</v>
      </c>
      <c r="AO8684" s="33">
        <v>9.3299149093315067E-4</v>
      </c>
    </row>
    <row r="8685" spans="39:41" x14ac:dyDescent="0.25">
      <c r="AM8685" s="2">
        <v>8682</v>
      </c>
      <c r="AN8685" s="33">
        <v>1.1128650291174897E-2</v>
      </c>
      <c r="AO8685" s="33">
        <v>6.6993466687806456E-4</v>
      </c>
    </row>
    <row r="8686" spans="39:41" x14ac:dyDescent="0.25">
      <c r="AM8686" s="2">
        <v>8683</v>
      </c>
      <c r="AN8686" s="33">
        <v>1.3049317919703872E-2</v>
      </c>
      <c r="AO8686" s="33">
        <v>9.5116083020213549E-4</v>
      </c>
    </row>
    <row r="8687" spans="39:41" x14ac:dyDescent="0.25">
      <c r="AM8687" s="2">
        <v>8684</v>
      </c>
      <c r="AN8687" s="33">
        <v>1.043837521253012E-2</v>
      </c>
      <c r="AO8687" s="33">
        <v>7.8319550337770235E-4</v>
      </c>
    </row>
    <row r="8688" spans="39:41" x14ac:dyDescent="0.25">
      <c r="AM8688" s="2">
        <v>8685</v>
      </c>
      <c r="AN8688" s="33">
        <v>1.3619805440315137E-2</v>
      </c>
      <c r="AO8688" s="33">
        <v>1.0363331112543347E-3</v>
      </c>
    </row>
    <row r="8689" spans="39:41" x14ac:dyDescent="0.25">
      <c r="AM8689" s="2">
        <v>8686</v>
      </c>
      <c r="AN8689" s="33">
        <v>1.2788758329350771E-2</v>
      </c>
      <c r="AO8689" s="33">
        <v>1.3406503184052244E-3</v>
      </c>
    </row>
    <row r="8690" spans="39:41" x14ac:dyDescent="0.25">
      <c r="AM8690" s="2">
        <v>8687</v>
      </c>
      <c r="AN8690" s="33">
        <v>9.2657155055869776E-3</v>
      </c>
      <c r="AO8690" s="33">
        <v>4.2036595471679056E-4</v>
      </c>
    </row>
    <row r="8691" spans="39:41" x14ac:dyDescent="0.25">
      <c r="AM8691" s="2">
        <v>8688</v>
      </c>
      <c r="AN8691" s="33">
        <v>1.3526129993568007E-2</v>
      </c>
      <c r="AO8691" s="33">
        <v>1.0365754540306582E-3</v>
      </c>
    </row>
    <row r="8692" spans="39:41" x14ac:dyDescent="0.25">
      <c r="AM8692" s="2">
        <v>8689</v>
      </c>
      <c r="AN8692" s="33">
        <v>1.0006583262916032E-2</v>
      </c>
      <c r="AO8692" s="33">
        <v>8.2132769790599651E-4</v>
      </c>
    </row>
    <row r="8693" spans="39:41" x14ac:dyDescent="0.25">
      <c r="AM8693" s="2">
        <v>8690</v>
      </c>
      <c r="AN8693" s="33">
        <v>1.0766627981829811E-2</v>
      </c>
      <c r="AO8693" s="33">
        <v>1.0305504181639775E-3</v>
      </c>
    </row>
    <row r="8694" spans="39:41" x14ac:dyDescent="0.25">
      <c r="AM8694" s="2">
        <v>8691</v>
      </c>
      <c r="AN8694" s="33">
        <v>9.4186577365230721E-3</v>
      </c>
      <c r="AO8694" s="33">
        <v>7.4474438050109134E-4</v>
      </c>
    </row>
    <row r="8695" spans="39:41" x14ac:dyDescent="0.25">
      <c r="AM8695" s="2">
        <v>8692</v>
      </c>
      <c r="AN8695" s="33">
        <v>1.2340083445524425E-2</v>
      </c>
      <c r="AO8695" s="33">
        <v>6.2029503533920019E-4</v>
      </c>
    </row>
    <row r="8696" spans="39:41" x14ac:dyDescent="0.25">
      <c r="AM8696" s="2">
        <v>8693</v>
      </c>
      <c r="AN8696" s="33">
        <v>1.181460389167951E-2</v>
      </c>
      <c r="AO8696" s="33">
        <v>4.8063365866162806E-4</v>
      </c>
    </row>
    <row r="8697" spans="39:41" x14ac:dyDescent="0.25">
      <c r="AM8697" s="2">
        <v>8694</v>
      </c>
      <c r="AN8697" s="33">
        <v>9.8226389799203548E-3</v>
      </c>
      <c r="AO8697" s="33">
        <v>4.4942944267111791E-4</v>
      </c>
    </row>
    <row r="8698" spans="39:41" x14ac:dyDescent="0.25">
      <c r="AM8698" s="2">
        <v>8695</v>
      </c>
      <c r="AN8698" s="33">
        <v>1.2644577859251641E-2</v>
      </c>
      <c r="AO8698" s="33">
        <v>1.2570278764912448E-3</v>
      </c>
    </row>
    <row r="8699" spans="39:41" x14ac:dyDescent="0.25">
      <c r="AM8699" s="2">
        <v>8696</v>
      </c>
      <c r="AN8699" s="33">
        <v>1.256903253688238E-2</v>
      </c>
      <c r="AO8699" s="33">
        <v>6.7660051031484298E-4</v>
      </c>
    </row>
    <row r="8700" spans="39:41" x14ac:dyDescent="0.25">
      <c r="AM8700" s="2">
        <v>8697</v>
      </c>
      <c r="AN8700" s="33">
        <v>1.4096801818937426E-2</v>
      </c>
      <c r="AO8700" s="33">
        <v>1.1439096664948648E-3</v>
      </c>
    </row>
    <row r="8701" spans="39:41" x14ac:dyDescent="0.25">
      <c r="AM8701" s="2">
        <v>8698</v>
      </c>
      <c r="AN8701" s="33">
        <v>8.2741879462247207E-3</v>
      </c>
      <c r="AO8701" s="33">
        <v>5.4335561191971686E-4</v>
      </c>
    </row>
    <row r="8702" spans="39:41" x14ac:dyDescent="0.25">
      <c r="AM8702" s="2">
        <v>8699</v>
      </c>
      <c r="AN8702" s="33">
        <v>1.2468100709313886E-2</v>
      </c>
      <c r="AO8702" s="33">
        <v>1.2020024862287458E-3</v>
      </c>
    </row>
    <row r="8703" spans="39:41" x14ac:dyDescent="0.25">
      <c r="AM8703" s="2">
        <v>8700</v>
      </c>
      <c r="AN8703" s="33">
        <v>1.0991829819718567E-2</v>
      </c>
      <c r="AO8703" s="33">
        <v>1.0637427541922821E-3</v>
      </c>
    </row>
    <row r="8704" spans="39:41" x14ac:dyDescent="0.25">
      <c r="AM8704" s="2">
        <v>8701</v>
      </c>
      <c r="AN8704" s="33">
        <v>1.1079555632749916E-2</v>
      </c>
      <c r="AO8704" s="33">
        <v>1.0244410232750948E-3</v>
      </c>
    </row>
    <row r="8705" spans="39:41" x14ac:dyDescent="0.25">
      <c r="AM8705" s="2">
        <v>8702</v>
      </c>
      <c r="AN8705" s="33">
        <v>8.8938637926864166E-3</v>
      </c>
      <c r="AO8705" s="33">
        <v>5.7048919091664087E-4</v>
      </c>
    </row>
    <row r="8706" spans="39:41" x14ac:dyDescent="0.25">
      <c r="AM8706" s="2">
        <v>8703</v>
      </c>
      <c r="AN8706" s="33">
        <v>1.3038916076954741E-2</v>
      </c>
      <c r="AO8706" s="33">
        <v>8.6978983919273715E-4</v>
      </c>
    </row>
    <row r="8707" spans="39:41" x14ac:dyDescent="0.25">
      <c r="AM8707" s="2">
        <v>8704</v>
      </c>
      <c r="AN8707" s="33">
        <v>1.0660457615137018E-2</v>
      </c>
      <c r="AO8707" s="33">
        <v>6.6992597782258119E-4</v>
      </c>
    </row>
    <row r="8708" spans="39:41" x14ac:dyDescent="0.25">
      <c r="AM8708" s="2">
        <v>8705</v>
      </c>
      <c r="AN8708" s="33">
        <v>1.0367782813720774E-2</v>
      </c>
      <c r="AO8708" s="33">
        <v>6.7764179461109241E-4</v>
      </c>
    </row>
    <row r="8709" spans="39:41" x14ac:dyDescent="0.25">
      <c r="AM8709" s="2">
        <v>8706</v>
      </c>
      <c r="AN8709" s="33">
        <v>1.2699656140774979E-2</v>
      </c>
      <c r="AO8709" s="33">
        <v>6.5713090338881028E-4</v>
      </c>
    </row>
    <row r="8710" spans="39:41" x14ac:dyDescent="0.25">
      <c r="AM8710" s="2">
        <v>8707</v>
      </c>
      <c r="AN8710" s="33">
        <v>1.0806696219161804E-2</v>
      </c>
      <c r="AO8710" s="33">
        <v>8.4788245104764682E-4</v>
      </c>
    </row>
    <row r="8711" spans="39:41" x14ac:dyDescent="0.25">
      <c r="AM8711" s="2">
        <v>8708</v>
      </c>
      <c r="AN8711" s="33">
        <v>9.9888850414271355E-3</v>
      </c>
      <c r="AO8711" s="33">
        <v>9.034595267523619E-4</v>
      </c>
    </row>
    <row r="8712" spans="39:41" x14ac:dyDescent="0.25">
      <c r="AM8712" s="2">
        <v>8709</v>
      </c>
      <c r="AN8712" s="33">
        <v>1.0974627642004646E-2</v>
      </c>
      <c r="AO8712" s="33">
        <v>6.2018909577660967E-4</v>
      </c>
    </row>
    <row r="8713" spans="39:41" x14ac:dyDescent="0.25">
      <c r="AM8713" s="2">
        <v>8710</v>
      </c>
      <c r="AN8713" s="33">
        <v>9.5493408143597965E-3</v>
      </c>
      <c r="AO8713" s="33">
        <v>8.0627501377274311E-4</v>
      </c>
    </row>
    <row r="8714" spans="39:41" x14ac:dyDescent="0.25">
      <c r="AM8714" s="2">
        <v>8711</v>
      </c>
      <c r="AN8714" s="33">
        <v>1.4912674629578897E-2</v>
      </c>
      <c r="AO8714" s="33">
        <v>1.5066836646739675E-3</v>
      </c>
    </row>
    <row r="8715" spans="39:41" x14ac:dyDescent="0.25">
      <c r="AM8715" s="2">
        <v>8712</v>
      </c>
      <c r="AN8715" s="33">
        <v>1.2069056731768901E-2</v>
      </c>
      <c r="AO8715" s="33">
        <v>1.0168822439290972E-4</v>
      </c>
    </row>
    <row r="8716" spans="39:41" x14ac:dyDescent="0.25">
      <c r="AM8716" s="2">
        <v>8713</v>
      </c>
      <c r="AN8716" s="33">
        <v>1.6141873695946014E-2</v>
      </c>
      <c r="AO8716" s="33">
        <v>1.5092026329499571E-3</v>
      </c>
    </row>
    <row r="8717" spans="39:41" x14ac:dyDescent="0.25">
      <c r="AM8717" s="2">
        <v>8714</v>
      </c>
      <c r="AN8717" s="33">
        <v>9.8562850778852931E-3</v>
      </c>
      <c r="AO8717" s="33">
        <v>4.1424366328579761E-4</v>
      </c>
    </row>
    <row r="8718" spans="39:41" x14ac:dyDescent="0.25">
      <c r="AM8718" s="2">
        <v>8715</v>
      </c>
      <c r="AN8718" s="33">
        <v>1.4133448398847011E-2</v>
      </c>
      <c r="AO8718" s="33">
        <v>9.6852546739145825E-4</v>
      </c>
    </row>
    <row r="8719" spans="39:41" x14ac:dyDescent="0.25">
      <c r="AM8719" s="2">
        <v>8716</v>
      </c>
      <c r="AN8719" s="33">
        <v>1.2277083385662756E-2</v>
      </c>
      <c r="AO8719" s="33">
        <v>1.0778532670577669E-3</v>
      </c>
    </row>
    <row r="8720" spans="39:41" x14ac:dyDescent="0.25">
      <c r="AM8720" s="2">
        <v>8717</v>
      </c>
      <c r="AN8720" s="33">
        <v>1.4111542793350484E-2</v>
      </c>
      <c r="AO8720" s="33">
        <v>6.7733429638317519E-4</v>
      </c>
    </row>
    <row r="8721" spans="39:41" x14ac:dyDescent="0.25">
      <c r="AM8721" s="2">
        <v>8718</v>
      </c>
      <c r="AN8721" s="33">
        <v>1.1704306222091423E-2</v>
      </c>
      <c r="AO8721" s="33">
        <v>5.9165564112663536E-4</v>
      </c>
    </row>
    <row r="8722" spans="39:41" x14ac:dyDescent="0.25">
      <c r="AM8722" s="2">
        <v>8719</v>
      </c>
      <c r="AN8722" s="33">
        <v>1.0648016079976978E-2</v>
      </c>
      <c r="AO8722" s="33">
        <v>5.2260471197125677E-4</v>
      </c>
    </row>
    <row r="8723" spans="39:41" x14ac:dyDescent="0.25">
      <c r="AM8723" s="2">
        <v>8720</v>
      </c>
      <c r="AN8723" s="33">
        <v>1.0198851496072773E-2</v>
      </c>
      <c r="AO8723" s="33">
        <v>7.0580414967521903E-4</v>
      </c>
    </row>
    <row r="8724" spans="39:41" x14ac:dyDescent="0.25">
      <c r="AM8724" s="2">
        <v>8721</v>
      </c>
      <c r="AN8724" s="33">
        <v>9.445295166394297E-3</v>
      </c>
      <c r="AO8724" s="33">
        <v>5.9895168113955873E-4</v>
      </c>
    </row>
    <row r="8725" spans="39:41" x14ac:dyDescent="0.25">
      <c r="AM8725" s="2">
        <v>8722</v>
      </c>
      <c r="AN8725" s="33">
        <v>9.5080267179691123E-3</v>
      </c>
      <c r="AO8725" s="33">
        <v>7.8151401774568499E-4</v>
      </c>
    </row>
    <row r="8726" spans="39:41" x14ac:dyDescent="0.25">
      <c r="AM8726" s="2">
        <v>8723</v>
      </c>
      <c r="AN8726" s="33">
        <v>1.1203257357678666E-2</v>
      </c>
      <c r="AO8726" s="33">
        <v>6.0867814829106181E-4</v>
      </c>
    </row>
    <row r="8727" spans="39:41" x14ac:dyDescent="0.25">
      <c r="AM8727" s="2">
        <v>8724</v>
      </c>
      <c r="AN8727" s="33">
        <v>9.6141399707741076E-3</v>
      </c>
      <c r="AO8727" s="33">
        <v>5.701488684993365E-4</v>
      </c>
    </row>
    <row r="8728" spans="39:41" x14ac:dyDescent="0.25">
      <c r="AM8728" s="2">
        <v>8725</v>
      </c>
      <c r="AN8728" s="33">
        <v>1.2955105778136588E-2</v>
      </c>
      <c r="AO8728" s="33">
        <v>1.0305107487399638E-3</v>
      </c>
    </row>
    <row r="8729" spans="39:41" x14ac:dyDescent="0.25">
      <c r="AM8729" s="2">
        <v>8726</v>
      </c>
      <c r="AN8729" s="33">
        <v>1.387844237788179E-2</v>
      </c>
      <c r="AO8729" s="33">
        <v>9.7905802310514203E-4</v>
      </c>
    </row>
    <row r="8730" spans="39:41" x14ac:dyDescent="0.25">
      <c r="AM8730" s="2">
        <v>8727</v>
      </c>
      <c r="AN8730" s="33">
        <v>1.058993499441125E-2</v>
      </c>
      <c r="AO8730" s="33">
        <v>7.9191802795044379E-4</v>
      </c>
    </row>
    <row r="8731" spans="39:41" x14ac:dyDescent="0.25">
      <c r="AM8731" s="2">
        <v>8728</v>
      </c>
      <c r="AN8731" s="33">
        <v>9.5233413993755216E-3</v>
      </c>
      <c r="AO8731" s="33">
        <v>7.8933374961270917E-4</v>
      </c>
    </row>
    <row r="8732" spans="39:41" x14ac:dyDescent="0.25">
      <c r="AM8732" s="2">
        <v>8729</v>
      </c>
      <c r="AN8732" s="33">
        <v>9.3433223363179087E-3</v>
      </c>
      <c r="AO8732" s="33">
        <v>4.9343305192270121E-4</v>
      </c>
    </row>
    <row r="8733" spans="39:41" x14ac:dyDescent="0.25">
      <c r="AM8733" s="2">
        <v>8730</v>
      </c>
      <c r="AN8733" s="33">
        <v>1.1675089953261204E-2</v>
      </c>
      <c r="AO8733" s="33">
        <v>9.2638696443638467E-4</v>
      </c>
    </row>
    <row r="8734" spans="39:41" x14ac:dyDescent="0.25">
      <c r="AM8734" s="2">
        <v>8731</v>
      </c>
      <c r="AN8734" s="33">
        <v>1.411294695344841E-2</v>
      </c>
      <c r="AO8734" s="33">
        <v>5.9176381190398071E-4</v>
      </c>
    </row>
    <row r="8735" spans="39:41" x14ac:dyDescent="0.25">
      <c r="AM8735" s="2">
        <v>8732</v>
      </c>
      <c r="AN8735" s="33">
        <v>1.0272049841377884E-2</v>
      </c>
      <c r="AO8735" s="33">
        <v>4.2334852552031036E-4</v>
      </c>
    </row>
    <row r="8736" spans="39:41" x14ac:dyDescent="0.25">
      <c r="AM8736" s="2">
        <v>8733</v>
      </c>
      <c r="AN8736" s="33">
        <v>1.015400457579013E-2</v>
      </c>
      <c r="AO8736" s="33">
        <v>7.8371221382597493E-4</v>
      </c>
    </row>
    <row r="8737" spans="39:41" x14ac:dyDescent="0.25">
      <c r="AM8737" s="2">
        <v>8734</v>
      </c>
      <c r="AN8737" s="33">
        <v>9.2890735317681297E-3</v>
      </c>
      <c r="AO8737" s="33">
        <v>7.4968227218216677E-4</v>
      </c>
    </row>
    <row r="8738" spans="39:41" x14ac:dyDescent="0.25">
      <c r="AM8738" s="2">
        <v>8735</v>
      </c>
      <c r="AN8738" s="33">
        <v>1.0019099425866878E-2</v>
      </c>
      <c r="AO8738" s="33">
        <v>6.3231464491151951E-4</v>
      </c>
    </row>
    <row r="8739" spans="39:41" x14ac:dyDescent="0.25">
      <c r="AM8739" s="2">
        <v>8736</v>
      </c>
      <c r="AN8739" s="33">
        <v>1.1243914226959856E-2</v>
      </c>
      <c r="AO8739" s="33">
        <v>6.1450028854785307E-4</v>
      </c>
    </row>
    <row r="8740" spans="39:41" x14ac:dyDescent="0.25">
      <c r="AM8740" s="2">
        <v>8737</v>
      </c>
      <c r="AN8740" s="33">
        <v>1.1774095838906084E-2</v>
      </c>
      <c r="AO8740" s="33">
        <v>5.771584961525904E-4</v>
      </c>
    </row>
    <row r="8741" spans="39:41" x14ac:dyDescent="0.25">
      <c r="AM8741" s="2">
        <v>8738</v>
      </c>
      <c r="AN8741" s="33">
        <v>1.2576572364183429E-2</v>
      </c>
      <c r="AO8741" s="33">
        <v>9.2177083738953828E-4</v>
      </c>
    </row>
    <row r="8742" spans="39:41" x14ac:dyDescent="0.25">
      <c r="AM8742" s="2">
        <v>8739</v>
      </c>
      <c r="AN8742" s="33">
        <v>1.4145776999306579E-2</v>
      </c>
      <c r="AO8742" s="33">
        <v>1.1194357738373672E-3</v>
      </c>
    </row>
    <row r="8743" spans="39:41" x14ac:dyDescent="0.25">
      <c r="AM8743" s="2">
        <v>8740</v>
      </c>
      <c r="AN8743" s="33">
        <v>1.2509085440861727E-2</v>
      </c>
      <c r="AO8743" s="33">
        <v>6.4778183554259621E-4</v>
      </c>
    </row>
    <row r="8744" spans="39:41" x14ac:dyDescent="0.25">
      <c r="AM8744" s="2">
        <v>8741</v>
      </c>
      <c r="AN8744" s="33">
        <v>1.3178792713038397E-2</v>
      </c>
      <c r="AO8744" s="33">
        <v>9.7480191356732982E-4</v>
      </c>
    </row>
    <row r="8745" spans="39:41" x14ac:dyDescent="0.25">
      <c r="AM8745" s="2">
        <v>8742</v>
      </c>
      <c r="AN8745" s="33">
        <v>1.1913307346175716E-2</v>
      </c>
      <c r="AO8745" s="33">
        <v>1.1060439150892786E-4</v>
      </c>
    </row>
    <row r="8746" spans="39:41" x14ac:dyDescent="0.25">
      <c r="AM8746" s="2">
        <v>8743</v>
      </c>
      <c r="AN8746" s="33">
        <v>1.3445641660182753E-2</v>
      </c>
      <c r="AO8746" s="33">
        <v>1.1235077168267093E-3</v>
      </c>
    </row>
    <row r="8747" spans="39:41" x14ac:dyDescent="0.25">
      <c r="AM8747" s="2">
        <v>8744</v>
      </c>
      <c r="AN8747" s="33">
        <v>1.3837606981194232E-2</v>
      </c>
      <c r="AO8747" s="33">
        <v>9.5337002954357455E-4</v>
      </c>
    </row>
    <row r="8748" spans="39:41" x14ac:dyDescent="0.25">
      <c r="AM8748" s="2">
        <v>8745</v>
      </c>
      <c r="AN8748" s="33">
        <v>1.1188365422401673E-2</v>
      </c>
      <c r="AO8748" s="33">
        <v>9.8925907443378936E-4</v>
      </c>
    </row>
    <row r="8749" spans="39:41" x14ac:dyDescent="0.25">
      <c r="AM8749" s="2">
        <v>8746</v>
      </c>
      <c r="AN8749" s="33">
        <v>1.2128445306404969E-2</v>
      </c>
      <c r="AO8749" s="33">
        <v>8.5308572309807855E-4</v>
      </c>
    </row>
    <row r="8750" spans="39:41" x14ac:dyDescent="0.25">
      <c r="AM8750" s="2">
        <v>8747</v>
      </c>
      <c r="AN8750" s="33">
        <v>1.1346687227089789E-2</v>
      </c>
      <c r="AO8750" s="33">
        <v>7.3056843594410397E-4</v>
      </c>
    </row>
    <row r="8751" spans="39:41" x14ac:dyDescent="0.25">
      <c r="AM8751" s="2">
        <v>8748</v>
      </c>
      <c r="AN8751" s="33">
        <v>1.5546034928004214E-2</v>
      </c>
      <c r="AO8751" s="33">
        <v>1.3991172080347852E-3</v>
      </c>
    </row>
    <row r="8752" spans="39:41" x14ac:dyDescent="0.25">
      <c r="AM8752" s="2">
        <v>8749</v>
      </c>
      <c r="AN8752" s="33">
        <v>1.1312756880210953E-2</v>
      </c>
      <c r="AO8752" s="33">
        <v>2.1329521339535026E-4</v>
      </c>
    </row>
    <row r="8753" spans="39:41" x14ac:dyDescent="0.25">
      <c r="AM8753" s="2">
        <v>8750</v>
      </c>
      <c r="AN8753" s="33">
        <v>1.1133947609681387E-2</v>
      </c>
      <c r="AO8753" s="33">
        <v>7.8789880320480788E-4</v>
      </c>
    </row>
    <row r="8754" spans="39:41" x14ac:dyDescent="0.25">
      <c r="AM8754" s="2">
        <v>8751</v>
      </c>
      <c r="AN8754" s="33">
        <v>1.7361200396119967E-2</v>
      </c>
      <c r="AO8754" s="33">
        <v>1.5540273817302767E-3</v>
      </c>
    </row>
    <row r="8755" spans="39:41" x14ac:dyDescent="0.25">
      <c r="AM8755" s="2">
        <v>8752</v>
      </c>
      <c r="AN8755" s="33">
        <v>1.0864059764363155E-2</v>
      </c>
      <c r="AO8755" s="33">
        <v>7.1696226907205307E-4</v>
      </c>
    </row>
    <row r="8756" spans="39:41" x14ac:dyDescent="0.25">
      <c r="AM8756" s="2">
        <v>8753</v>
      </c>
      <c r="AN8756" s="33">
        <v>1.2101627062728536E-2</v>
      </c>
      <c r="AO8756" s="33">
        <v>1.0363876127135229E-3</v>
      </c>
    </row>
    <row r="8757" spans="39:41" x14ac:dyDescent="0.25">
      <c r="AM8757" s="2">
        <v>8754</v>
      </c>
      <c r="AN8757" s="33">
        <v>1.4113669992505863E-2</v>
      </c>
      <c r="AO8757" s="33">
        <v>1.3957962634217939E-3</v>
      </c>
    </row>
    <row r="8758" spans="39:41" x14ac:dyDescent="0.25">
      <c r="AM8758" s="2">
        <v>8755</v>
      </c>
      <c r="AN8758" s="33">
        <v>1.0972602969450015E-2</v>
      </c>
      <c r="AO8758" s="33">
        <v>1.0255990080455387E-3</v>
      </c>
    </row>
    <row r="8759" spans="39:41" x14ac:dyDescent="0.25">
      <c r="AM8759" s="2">
        <v>8756</v>
      </c>
      <c r="AN8759" s="33">
        <v>1.7409824978897995E-2</v>
      </c>
      <c r="AO8759" s="33">
        <v>1.3122204078417977E-3</v>
      </c>
    </row>
    <row r="8760" spans="39:41" x14ac:dyDescent="0.25">
      <c r="AM8760" s="2">
        <v>8757</v>
      </c>
      <c r="AN8760" s="33">
        <v>9.488924369374676E-3</v>
      </c>
      <c r="AO8760" s="33">
        <v>4.2188608310217635E-4</v>
      </c>
    </row>
    <row r="8761" spans="39:41" x14ac:dyDescent="0.25">
      <c r="AM8761" s="2">
        <v>8758</v>
      </c>
      <c r="AN8761" s="33">
        <v>1.2591403964785124E-2</v>
      </c>
      <c r="AO8761" s="33">
        <v>5.7004627950305725E-4</v>
      </c>
    </row>
    <row r="8762" spans="39:41" x14ac:dyDescent="0.25">
      <c r="AM8762" s="2">
        <v>8759</v>
      </c>
      <c r="AN8762" s="33">
        <v>8.5276245782597796E-3</v>
      </c>
      <c r="AO8762" s="33">
        <v>5.12267015459507E-4</v>
      </c>
    </row>
    <row r="8763" spans="39:41" x14ac:dyDescent="0.25">
      <c r="AM8763" s="2">
        <v>8760</v>
      </c>
      <c r="AN8763" s="33">
        <v>1.0994820535534768E-2</v>
      </c>
      <c r="AO8763" s="33">
        <v>8.9029514531909252E-4</v>
      </c>
    </row>
    <row r="8764" spans="39:41" x14ac:dyDescent="0.25">
      <c r="AM8764" s="2">
        <v>8761</v>
      </c>
      <c r="AN8764" s="33">
        <v>1.085345514179345E-2</v>
      </c>
      <c r="AO8764" s="33">
        <v>7.4917121342916548E-4</v>
      </c>
    </row>
    <row r="8765" spans="39:41" x14ac:dyDescent="0.25">
      <c r="AM8765" s="2">
        <v>8762</v>
      </c>
      <c r="AN8765" s="33">
        <v>1.0875478469755168E-2</v>
      </c>
      <c r="AO8765" s="33">
        <v>1.0717524237628744E-3</v>
      </c>
    </row>
    <row r="8766" spans="39:41" x14ac:dyDescent="0.25">
      <c r="AM8766" s="2">
        <v>8763</v>
      </c>
      <c r="AN8766" s="33">
        <v>1.1448552299791921E-2</v>
      </c>
      <c r="AO8766" s="33">
        <v>1.0409670404174242E-3</v>
      </c>
    </row>
    <row r="8767" spans="39:41" x14ac:dyDescent="0.25">
      <c r="AM8767" s="2">
        <v>8764</v>
      </c>
      <c r="AN8767" s="33">
        <v>1.0826380222832992E-2</v>
      </c>
      <c r="AO8767" s="33">
        <v>8.6217203344647944E-4</v>
      </c>
    </row>
    <row r="8768" spans="39:41" x14ac:dyDescent="0.25">
      <c r="AM8768" s="2">
        <v>8765</v>
      </c>
      <c r="AN8768" s="33">
        <v>9.9035160850266101E-3</v>
      </c>
      <c r="AO8768" s="33">
        <v>7.2148017098446241E-4</v>
      </c>
    </row>
    <row r="8769" spans="39:41" x14ac:dyDescent="0.25">
      <c r="AM8769" s="2">
        <v>8766</v>
      </c>
      <c r="AN8769" s="33">
        <v>8.0759416452469181E-3</v>
      </c>
      <c r="AO8769" s="33">
        <v>7.2669693087864195E-4</v>
      </c>
    </row>
    <row r="8770" spans="39:41" x14ac:dyDescent="0.25">
      <c r="AM8770" s="2">
        <v>8767</v>
      </c>
      <c r="AN8770" s="33">
        <v>1.1681108020157182E-2</v>
      </c>
      <c r="AO8770" s="33">
        <v>1.0442383430444083E-3</v>
      </c>
    </row>
    <row r="8771" spans="39:41" x14ac:dyDescent="0.25">
      <c r="AM8771" s="2">
        <v>8768</v>
      </c>
      <c r="AN8771" s="33">
        <v>1.0418775274683555E-2</v>
      </c>
      <c r="AO8771" s="33">
        <v>6.9935929844534644E-4</v>
      </c>
    </row>
    <row r="8772" spans="39:41" x14ac:dyDescent="0.25">
      <c r="AM8772" s="2">
        <v>8769</v>
      </c>
      <c r="AN8772" s="33">
        <v>1.5771862807048464E-2</v>
      </c>
      <c r="AO8772" s="33">
        <v>1.4880974176131974E-3</v>
      </c>
    </row>
    <row r="8773" spans="39:41" x14ac:dyDescent="0.25">
      <c r="AM8773" s="2">
        <v>8770</v>
      </c>
      <c r="AN8773" s="33">
        <v>1.6137063006019633E-2</v>
      </c>
      <c r="AO8773" s="33">
        <v>-4.9133141040430452E-5</v>
      </c>
    </row>
    <row r="8774" spans="39:41" x14ac:dyDescent="0.25">
      <c r="AM8774" s="2">
        <v>8771</v>
      </c>
      <c r="AN8774" s="33">
        <v>1.2615269624644074E-2</v>
      </c>
      <c r="AO8774" s="33">
        <v>8.8652841400936285E-4</v>
      </c>
    </row>
    <row r="8775" spans="39:41" x14ac:dyDescent="0.25">
      <c r="AM8775" s="2">
        <v>8772</v>
      </c>
      <c r="AN8775" s="33">
        <v>9.8753636316863853E-3</v>
      </c>
      <c r="AO8775" s="33">
        <v>6.8721443307899715E-4</v>
      </c>
    </row>
    <row r="8776" spans="39:41" x14ac:dyDescent="0.25">
      <c r="AM8776" s="2">
        <v>8773</v>
      </c>
      <c r="AN8776" s="33">
        <v>1.2716472043227298E-2</v>
      </c>
      <c r="AO8776" s="33">
        <v>1.0185572307514982E-3</v>
      </c>
    </row>
    <row r="8777" spans="39:41" x14ac:dyDescent="0.25">
      <c r="AM8777" s="2">
        <v>8774</v>
      </c>
      <c r="AN8777" s="33">
        <v>1.1184269090105685E-2</v>
      </c>
      <c r="AO8777" s="33">
        <v>7.7538546003001231E-4</v>
      </c>
    </row>
    <row r="8778" spans="39:41" x14ac:dyDescent="0.25">
      <c r="AM8778" s="2">
        <v>8775</v>
      </c>
      <c r="AN8778" s="33">
        <v>9.7437485210198002E-3</v>
      </c>
      <c r="AO8778" s="33">
        <v>6.8973837835780577E-4</v>
      </c>
    </row>
    <row r="8779" spans="39:41" x14ac:dyDescent="0.25">
      <c r="AM8779" s="2">
        <v>8776</v>
      </c>
      <c r="AN8779" s="33">
        <v>9.2255129170204613E-3</v>
      </c>
      <c r="AO8779" s="33">
        <v>5.0043416699865656E-4</v>
      </c>
    </row>
    <row r="8780" spans="39:41" x14ac:dyDescent="0.25">
      <c r="AM8780" s="2">
        <v>8777</v>
      </c>
      <c r="AN8780" s="33">
        <v>1.7433694205485118E-2</v>
      </c>
      <c r="AO8780" s="33">
        <v>1.6410588663305795E-3</v>
      </c>
    </row>
    <row r="8781" spans="39:41" x14ac:dyDescent="0.25">
      <c r="AM8781" s="2">
        <v>8778</v>
      </c>
      <c r="AN8781" s="33">
        <v>1.169094638810219E-2</v>
      </c>
      <c r="AO8781" s="33">
        <v>1.0534525305926873E-3</v>
      </c>
    </row>
    <row r="8782" spans="39:41" x14ac:dyDescent="0.25">
      <c r="AM8782" s="2">
        <v>8779</v>
      </c>
      <c r="AN8782" s="33">
        <v>1.0430843629676874E-2</v>
      </c>
      <c r="AO8782" s="33">
        <v>7.1697685311055206E-4</v>
      </c>
    </row>
    <row r="8783" spans="39:41" x14ac:dyDescent="0.25">
      <c r="AM8783" s="2">
        <v>8780</v>
      </c>
      <c r="AN8783" s="33">
        <v>1.1874308028491281E-2</v>
      </c>
      <c r="AO8783" s="33">
        <v>1.0393611218131136E-3</v>
      </c>
    </row>
    <row r="8784" spans="39:41" x14ac:dyDescent="0.25">
      <c r="AM8784" s="2">
        <v>8781</v>
      </c>
      <c r="AN8784" s="33">
        <v>1.4463037193915064E-2</v>
      </c>
      <c r="AO8784" s="33">
        <v>1.1354128970355365E-3</v>
      </c>
    </row>
    <row r="8785" spans="39:41" x14ac:dyDescent="0.25">
      <c r="AM8785" s="2">
        <v>8782</v>
      </c>
      <c r="AN8785" s="33">
        <v>1.1116102907406998E-2</v>
      </c>
      <c r="AO8785" s="33">
        <v>1.8612489185860292E-4</v>
      </c>
    </row>
    <row r="8786" spans="39:41" x14ac:dyDescent="0.25">
      <c r="AM8786" s="2">
        <v>8783</v>
      </c>
      <c r="AN8786" s="33">
        <v>1.4548915034873761E-2</v>
      </c>
      <c r="AO8786" s="33">
        <v>1.3731156185516067E-3</v>
      </c>
    </row>
    <row r="8787" spans="39:41" x14ac:dyDescent="0.25">
      <c r="AM8787" s="2">
        <v>8784</v>
      </c>
      <c r="AN8787" s="33">
        <v>8.9782064933250309E-3</v>
      </c>
      <c r="AO8787" s="33">
        <v>7.9752983503934502E-4</v>
      </c>
    </row>
    <row r="8788" spans="39:41" x14ac:dyDescent="0.25">
      <c r="AM8788" s="2">
        <v>8785</v>
      </c>
      <c r="AN8788" s="33">
        <v>7.5379073531055647E-3</v>
      </c>
      <c r="AO8788" s="33">
        <v>6.5852678012684419E-4</v>
      </c>
    </row>
    <row r="8789" spans="39:41" x14ac:dyDescent="0.25">
      <c r="AM8789" s="2">
        <v>8786</v>
      </c>
      <c r="AN8789" s="33">
        <v>9.6652456207457754E-3</v>
      </c>
      <c r="AO8789" s="33">
        <v>8.8721953221314049E-5</v>
      </c>
    </row>
    <row r="8790" spans="39:41" x14ac:dyDescent="0.25">
      <c r="AM8790" s="2">
        <v>8787</v>
      </c>
      <c r="AN8790" s="33">
        <v>1.0634997918985702E-2</v>
      </c>
      <c r="AO8790" s="33">
        <v>4.2181238858541583E-4</v>
      </c>
    </row>
    <row r="8791" spans="39:41" x14ac:dyDescent="0.25">
      <c r="AM8791" s="2">
        <v>8788</v>
      </c>
      <c r="AN8791" s="33">
        <v>1.2312672278270086E-2</v>
      </c>
      <c r="AO8791" s="33">
        <v>1.0323743911830811E-3</v>
      </c>
    </row>
    <row r="8792" spans="39:41" x14ac:dyDescent="0.25">
      <c r="AM8792" s="2">
        <v>8789</v>
      </c>
      <c r="AN8792" s="33">
        <v>7.7398551302930588E-3</v>
      </c>
      <c r="AO8792" s="33">
        <v>6.0598447087913685E-4</v>
      </c>
    </row>
    <row r="8793" spans="39:41" x14ac:dyDescent="0.25">
      <c r="AM8793" s="2">
        <v>8790</v>
      </c>
      <c r="AN8793" s="33">
        <v>1.0950870658284789E-2</v>
      </c>
      <c r="AO8793" s="33">
        <v>3.9183795857821683E-4</v>
      </c>
    </row>
    <row r="8794" spans="39:41" x14ac:dyDescent="0.25">
      <c r="AM8794" s="2">
        <v>8791</v>
      </c>
      <c r="AN8794" s="33">
        <v>1.1092536292308018E-2</v>
      </c>
      <c r="AO8794" s="33">
        <v>7.3922856401493402E-4</v>
      </c>
    </row>
    <row r="8795" spans="39:41" x14ac:dyDescent="0.25">
      <c r="AM8795" s="2">
        <v>8792</v>
      </c>
      <c r="AN8795" s="33">
        <v>9.4723540657361289E-3</v>
      </c>
      <c r="AO8795" s="33">
        <v>8.033343775775396E-4</v>
      </c>
    </row>
    <row r="8796" spans="39:41" x14ac:dyDescent="0.25">
      <c r="AM8796" s="2">
        <v>8793</v>
      </c>
      <c r="AN8796" s="33">
        <v>9.139092376981163E-3</v>
      </c>
      <c r="AO8796" s="33">
        <v>4.5173225417123055E-4</v>
      </c>
    </row>
    <row r="8797" spans="39:41" x14ac:dyDescent="0.25">
      <c r="AM8797" s="2">
        <v>8794</v>
      </c>
      <c r="AN8797" s="33">
        <v>9.4545815988152579E-3</v>
      </c>
      <c r="AO8797" s="33">
        <v>3.8393269859129513E-4</v>
      </c>
    </row>
    <row r="8798" spans="39:41" x14ac:dyDescent="0.25">
      <c r="AM8798" s="2">
        <v>8795</v>
      </c>
      <c r="AN8798" s="33">
        <v>9.984012068524872E-3</v>
      </c>
      <c r="AO8798" s="33">
        <v>6.6427502296613494E-4</v>
      </c>
    </row>
    <row r="8799" spans="39:41" x14ac:dyDescent="0.25">
      <c r="AM8799" s="2">
        <v>8796</v>
      </c>
      <c r="AN8799" s="33">
        <v>1.3031724303389898E-2</v>
      </c>
      <c r="AO8799" s="33">
        <v>8.5027377583129409E-4</v>
      </c>
    </row>
    <row r="8800" spans="39:41" x14ac:dyDescent="0.25">
      <c r="AM8800" s="2">
        <v>8797</v>
      </c>
      <c r="AN8800" s="33">
        <v>1.2226823553812096E-2</v>
      </c>
      <c r="AO8800" s="33">
        <v>1.1334272704731137E-3</v>
      </c>
    </row>
    <row r="8801" spans="39:41" x14ac:dyDescent="0.25">
      <c r="AM8801" s="2">
        <v>8798</v>
      </c>
      <c r="AN8801" s="33">
        <v>1.2346142062370986E-2</v>
      </c>
      <c r="AO8801" s="33">
        <v>9.3201514589432929E-4</v>
      </c>
    </row>
    <row r="8802" spans="39:41" x14ac:dyDescent="0.25">
      <c r="AM8802" s="2">
        <v>8799</v>
      </c>
      <c r="AN8802" s="33">
        <v>8.9938553443287775E-3</v>
      </c>
      <c r="AO8802" s="33">
        <v>7.0374524056065818E-4</v>
      </c>
    </row>
    <row r="8803" spans="39:41" x14ac:dyDescent="0.25">
      <c r="AM8803" s="2">
        <v>8800</v>
      </c>
      <c r="AN8803" s="33">
        <v>1.0642631338500099E-2</v>
      </c>
      <c r="AO8803" s="33">
        <v>6.12973678534362E-4</v>
      </c>
    </row>
    <row r="8804" spans="39:41" x14ac:dyDescent="0.25">
      <c r="AM8804" s="2">
        <v>8801</v>
      </c>
      <c r="AN8804" s="33">
        <v>9.8966571072755319E-3</v>
      </c>
      <c r="AO8804" s="33">
        <v>8.0294641261396331E-4</v>
      </c>
    </row>
    <row r="8805" spans="39:41" x14ac:dyDescent="0.25">
      <c r="AM8805" s="2">
        <v>8802</v>
      </c>
      <c r="AN8805" s="33">
        <v>1.3872268852304182E-2</v>
      </c>
      <c r="AO8805" s="33">
        <v>1.3037867913393178E-3</v>
      </c>
    </row>
    <row r="8806" spans="39:41" x14ac:dyDescent="0.25">
      <c r="AM8806" s="2">
        <v>8803</v>
      </c>
      <c r="AN8806" s="33">
        <v>1.1189059163954778E-2</v>
      </c>
      <c r="AO8806" s="33">
        <v>7.7745873392066249E-4</v>
      </c>
    </row>
    <row r="8807" spans="39:41" x14ac:dyDescent="0.25">
      <c r="AM8807" s="2">
        <v>8804</v>
      </c>
      <c r="AN8807" s="33">
        <v>9.2265805381719513E-3</v>
      </c>
      <c r="AO8807" s="33">
        <v>4.4814244485042484E-4</v>
      </c>
    </row>
    <row r="8808" spans="39:41" x14ac:dyDescent="0.25">
      <c r="AM8808" s="2">
        <v>8805</v>
      </c>
      <c r="AN8808" s="33">
        <v>1.0361245516944714E-2</v>
      </c>
      <c r="AO8808" s="33">
        <v>9.7707350170414195E-4</v>
      </c>
    </row>
    <row r="8809" spans="39:41" x14ac:dyDescent="0.25">
      <c r="AM8809" s="2">
        <v>8806</v>
      </c>
      <c r="AN8809" s="33">
        <v>9.7810118985306588E-3</v>
      </c>
      <c r="AO8809" s="33">
        <v>7.7341983524873152E-4</v>
      </c>
    </row>
    <row r="8810" spans="39:41" x14ac:dyDescent="0.25">
      <c r="AM8810" s="2">
        <v>8807</v>
      </c>
      <c r="AN8810" s="33">
        <v>9.414633501002417E-3</v>
      </c>
      <c r="AO8810" s="33">
        <v>5.1715503431466964E-4</v>
      </c>
    </row>
    <row r="8811" spans="39:41" x14ac:dyDescent="0.25">
      <c r="AM8811" s="2">
        <v>8808</v>
      </c>
      <c r="AN8811" s="33">
        <v>1.4727783634668871E-2</v>
      </c>
      <c r="AO8811" s="33">
        <v>1.1596890329012449E-3</v>
      </c>
    </row>
    <row r="8812" spans="39:41" x14ac:dyDescent="0.25">
      <c r="AM8812" s="2">
        <v>8809</v>
      </c>
      <c r="AN8812" s="33">
        <v>1.76594691922114E-2</v>
      </c>
      <c r="AO8812" s="33">
        <v>1.7689832340306553E-3</v>
      </c>
    </row>
    <row r="8813" spans="39:41" x14ac:dyDescent="0.25">
      <c r="AM8813" s="2">
        <v>8810</v>
      </c>
      <c r="AN8813" s="33">
        <v>9.1657386062367931E-3</v>
      </c>
      <c r="AO8813" s="33">
        <v>4.3879651397972768E-4</v>
      </c>
    </row>
    <row r="8814" spans="39:41" x14ac:dyDescent="0.25">
      <c r="AM8814" s="2">
        <v>8811</v>
      </c>
      <c r="AN8814" s="33">
        <v>1.1737344895412765E-2</v>
      </c>
      <c r="AO8814" s="33">
        <v>7.7686409170143491E-4</v>
      </c>
    </row>
    <row r="8815" spans="39:41" x14ac:dyDescent="0.25">
      <c r="AM8815" s="2">
        <v>8812</v>
      </c>
      <c r="AN8815" s="33">
        <v>1.4756544107491396E-2</v>
      </c>
      <c r="AO8815" s="33">
        <v>1.2654272197271344E-3</v>
      </c>
    </row>
    <row r="8816" spans="39:41" x14ac:dyDescent="0.25">
      <c r="AM8816" s="2">
        <v>8813</v>
      </c>
      <c r="AN8816" s="33">
        <v>1.1168256859300825E-2</v>
      </c>
      <c r="AO8816" s="33">
        <v>7.5703741150181603E-4</v>
      </c>
    </row>
    <row r="8817" spans="39:41" x14ac:dyDescent="0.25">
      <c r="AM8817" s="2">
        <v>8814</v>
      </c>
      <c r="AN8817" s="33">
        <v>9.5154028477229657E-3</v>
      </c>
      <c r="AO8817" s="33">
        <v>4.0995036616123622E-4</v>
      </c>
    </row>
    <row r="8818" spans="39:41" x14ac:dyDescent="0.25">
      <c r="AM8818" s="2">
        <v>8815</v>
      </c>
      <c r="AN8818" s="33">
        <v>1.1960980709502944E-2</v>
      </c>
      <c r="AO8818" s="33">
        <v>9.1401248372594457E-4</v>
      </c>
    </row>
    <row r="8819" spans="39:41" x14ac:dyDescent="0.25">
      <c r="AM8819" s="2">
        <v>8816</v>
      </c>
      <c r="AN8819" s="33">
        <v>9.654475374063826E-3</v>
      </c>
      <c r="AO8819" s="33">
        <v>6.7329580985005233E-4</v>
      </c>
    </row>
    <row r="8820" spans="39:41" x14ac:dyDescent="0.25">
      <c r="AM8820" s="2">
        <v>8817</v>
      </c>
      <c r="AN8820" s="33">
        <v>1.4536209929104772E-2</v>
      </c>
      <c r="AO8820" s="33">
        <v>9.5025282775265901E-4</v>
      </c>
    </row>
    <row r="8821" spans="39:41" x14ac:dyDescent="0.25">
      <c r="AM8821" s="2">
        <v>8818</v>
      </c>
      <c r="AN8821" s="33">
        <v>1.0249365748813848E-2</v>
      </c>
      <c r="AO8821" s="33">
        <v>5.0807513824125186E-4</v>
      </c>
    </row>
    <row r="8822" spans="39:41" x14ac:dyDescent="0.25">
      <c r="AM8822" s="2">
        <v>8819</v>
      </c>
      <c r="AN8822" s="33">
        <v>1.2710478551797766E-2</v>
      </c>
      <c r="AO8822" s="33">
        <v>1.1881849019822358E-3</v>
      </c>
    </row>
    <row r="8823" spans="39:41" x14ac:dyDescent="0.25">
      <c r="AM8823" s="2">
        <v>8820</v>
      </c>
      <c r="AN8823" s="33">
        <v>1.0418510186105255E-2</v>
      </c>
      <c r="AO8823" s="33">
        <v>7.965124399206395E-4</v>
      </c>
    </row>
    <row r="8824" spans="39:41" x14ac:dyDescent="0.25">
      <c r="AM8824" s="2">
        <v>8821</v>
      </c>
      <c r="AN8824" s="33">
        <v>1.0077170236989336E-2</v>
      </c>
      <c r="AO8824" s="33">
        <v>4.7634305585350672E-4</v>
      </c>
    </row>
    <row r="8825" spans="39:41" x14ac:dyDescent="0.25">
      <c r="AM8825" s="2">
        <v>8822</v>
      </c>
      <c r="AN8825" s="33">
        <v>1.1873518723234821E-2</v>
      </c>
      <c r="AO8825" s="33">
        <v>9.0631730904604051E-4</v>
      </c>
    </row>
    <row r="8826" spans="39:41" x14ac:dyDescent="0.25">
      <c r="AM8826" s="2">
        <v>8823</v>
      </c>
      <c r="AN8826" s="33">
        <v>1.7914921801625398E-2</v>
      </c>
      <c r="AO8826" s="33">
        <v>1.7862530062676873E-3</v>
      </c>
    </row>
    <row r="8827" spans="39:41" x14ac:dyDescent="0.25">
      <c r="AM8827" s="2">
        <v>8824</v>
      </c>
      <c r="AN8827" s="33">
        <v>9.6321418799635069E-3</v>
      </c>
      <c r="AO8827" s="33">
        <v>6.1695438910721516E-4</v>
      </c>
    </row>
    <row r="8828" spans="39:41" x14ac:dyDescent="0.25">
      <c r="AM8828" s="2">
        <v>8825</v>
      </c>
      <c r="AN8828" s="33">
        <v>9.4537356245426949E-3</v>
      </c>
      <c r="AO8828" s="33">
        <v>2.4216134843590769E-4</v>
      </c>
    </row>
    <row r="8829" spans="39:41" x14ac:dyDescent="0.25">
      <c r="AM8829" s="2">
        <v>8826</v>
      </c>
      <c r="AN8829" s="33">
        <v>1.0294683962891338E-2</v>
      </c>
      <c r="AO8829" s="33">
        <v>9.1758632986018763E-4</v>
      </c>
    </row>
    <row r="8830" spans="39:41" x14ac:dyDescent="0.25">
      <c r="AM8830" s="2">
        <v>8827</v>
      </c>
      <c r="AN8830" s="33">
        <v>8.2228401099157678E-3</v>
      </c>
      <c r="AO8830" s="33">
        <v>4.4471358420684063E-4</v>
      </c>
    </row>
    <row r="8831" spans="39:41" x14ac:dyDescent="0.25">
      <c r="AM8831" s="2">
        <v>8828</v>
      </c>
      <c r="AN8831" s="33">
        <v>8.0156835260185369E-3</v>
      </c>
      <c r="AO8831" s="33">
        <v>5.4789079122231985E-4</v>
      </c>
    </row>
    <row r="8832" spans="39:41" x14ac:dyDescent="0.25">
      <c r="AM8832" s="2">
        <v>8829</v>
      </c>
      <c r="AN8832" s="33">
        <v>9.6445679814745489E-3</v>
      </c>
      <c r="AO8832" s="33">
        <v>9.8809338312007169E-4</v>
      </c>
    </row>
    <row r="8833" spans="39:41" x14ac:dyDescent="0.25">
      <c r="AM8833" s="2">
        <v>8830</v>
      </c>
      <c r="AN8833" s="33">
        <v>1.1115019264503125E-2</v>
      </c>
      <c r="AO8833" s="33">
        <v>9.2609646255382245E-4</v>
      </c>
    </row>
    <row r="8834" spans="39:41" x14ac:dyDescent="0.25">
      <c r="AM8834" s="2">
        <v>8831</v>
      </c>
      <c r="AN8834" s="33">
        <v>9.5530359718758139E-3</v>
      </c>
      <c r="AO8834" s="33">
        <v>6.0677133791093533E-4</v>
      </c>
    </row>
    <row r="8835" spans="39:41" x14ac:dyDescent="0.25">
      <c r="AM8835" s="2">
        <v>8832</v>
      </c>
      <c r="AN8835" s="33">
        <v>1.1445680091862226E-2</v>
      </c>
      <c r="AO8835" s="33">
        <v>6.8601296914925797E-4</v>
      </c>
    </row>
    <row r="8836" spans="39:41" x14ac:dyDescent="0.25">
      <c r="AM8836" s="2">
        <v>8833</v>
      </c>
      <c r="AN8836" s="33">
        <v>1.155618667166425E-2</v>
      </c>
      <c r="AO8836" s="33">
        <v>5.0947364222963111E-4</v>
      </c>
    </row>
    <row r="8837" spans="39:41" x14ac:dyDescent="0.25">
      <c r="AM8837" s="2">
        <v>8834</v>
      </c>
      <c r="AN8837" s="33">
        <v>1.2531773398682604E-2</v>
      </c>
      <c r="AO8837" s="33">
        <v>8.4363871239559809E-4</v>
      </c>
    </row>
    <row r="8838" spans="39:41" x14ac:dyDescent="0.25">
      <c r="AM8838" s="2">
        <v>8835</v>
      </c>
      <c r="AN8838" s="33">
        <v>1.5267305524514758E-2</v>
      </c>
      <c r="AO8838" s="33">
        <v>1.5889843714843132E-3</v>
      </c>
    </row>
    <row r="8839" spans="39:41" x14ac:dyDescent="0.25">
      <c r="AM8839" s="2">
        <v>8836</v>
      </c>
      <c r="AN8839" s="33">
        <v>9.9254179878773205E-3</v>
      </c>
      <c r="AO8839" s="33">
        <v>5.3970043994462733E-4</v>
      </c>
    </row>
    <row r="8840" spans="39:41" x14ac:dyDescent="0.25">
      <c r="AM8840" s="2">
        <v>8837</v>
      </c>
      <c r="AN8840" s="33">
        <v>1.4403129798223479E-2</v>
      </c>
      <c r="AO8840" s="33">
        <v>1.5310418239074693E-3</v>
      </c>
    </row>
    <row r="8841" spans="39:41" x14ac:dyDescent="0.25">
      <c r="AM8841" s="2">
        <v>8838</v>
      </c>
      <c r="AN8841" s="33">
        <v>1.2244713557577501E-2</v>
      </c>
      <c r="AO8841" s="33">
        <v>9.1126771269844746E-4</v>
      </c>
    </row>
    <row r="8842" spans="39:41" x14ac:dyDescent="0.25">
      <c r="AM8842" s="2">
        <v>8839</v>
      </c>
      <c r="AN8842" s="33">
        <v>1.3147738392273321E-2</v>
      </c>
      <c r="AO8842" s="33">
        <v>1.094834740575283E-3</v>
      </c>
    </row>
    <row r="8843" spans="39:41" x14ac:dyDescent="0.25">
      <c r="AM8843" s="2">
        <v>8840</v>
      </c>
      <c r="AN8843" s="33">
        <v>1.5540048529958588E-2</v>
      </c>
      <c r="AO8843" s="33">
        <v>1.534085591759448E-3</v>
      </c>
    </row>
    <row r="8844" spans="39:41" x14ac:dyDescent="0.25">
      <c r="AM8844" s="2">
        <v>8841</v>
      </c>
      <c r="AN8844" s="33">
        <v>9.9724777219791314E-3</v>
      </c>
      <c r="AO8844" s="33">
        <v>1.0360555547587504E-3</v>
      </c>
    </row>
    <row r="8845" spans="39:41" x14ac:dyDescent="0.25">
      <c r="AM8845" s="2">
        <v>8842</v>
      </c>
      <c r="AN8845" s="33">
        <v>1.1769427863501004E-2</v>
      </c>
      <c r="AO8845" s="33">
        <v>1.1451886285709333E-3</v>
      </c>
    </row>
    <row r="8846" spans="39:41" x14ac:dyDescent="0.25">
      <c r="AM8846" s="2">
        <v>8843</v>
      </c>
      <c r="AN8846" s="33">
        <v>1.3568032503165857E-2</v>
      </c>
      <c r="AO8846" s="33">
        <v>1.0895783984876514E-3</v>
      </c>
    </row>
    <row r="8847" spans="39:41" x14ac:dyDescent="0.25">
      <c r="AM8847" s="2">
        <v>8844</v>
      </c>
      <c r="AN8847" s="33">
        <v>1.1958090523439071E-2</v>
      </c>
      <c r="AO8847" s="33">
        <v>1.1397606130401409E-3</v>
      </c>
    </row>
    <row r="8848" spans="39:41" x14ac:dyDescent="0.25">
      <c r="AM8848" s="2">
        <v>8845</v>
      </c>
      <c r="AN8848" s="33">
        <v>1.0698341650191063E-2</v>
      </c>
      <c r="AO8848" s="33">
        <v>6.5852576320403152E-4</v>
      </c>
    </row>
    <row r="8849" spans="39:41" x14ac:dyDescent="0.25">
      <c r="AM8849" s="2">
        <v>8846</v>
      </c>
      <c r="AN8849" s="33">
        <v>1.2322490473683383E-2</v>
      </c>
      <c r="AO8849" s="33">
        <v>6.8587438868185629E-4</v>
      </c>
    </row>
    <row r="8850" spans="39:41" x14ac:dyDescent="0.25">
      <c r="AM8850" s="2">
        <v>8847</v>
      </c>
      <c r="AN8850" s="33">
        <v>1.0591233823757255E-2</v>
      </c>
      <c r="AO8850" s="33">
        <v>6.2773084740158061E-4</v>
      </c>
    </row>
    <row r="8851" spans="39:41" x14ac:dyDescent="0.25">
      <c r="AM8851" s="2">
        <v>8848</v>
      </c>
      <c r="AN8851" s="33">
        <v>1.1471365482301838E-2</v>
      </c>
      <c r="AO8851" s="33">
        <v>9.2558513147635382E-4</v>
      </c>
    </row>
    <row r="8852" spans="39:41" x14ac:dyDescent="0.25">
      <c r="AM8852" s="2">
        <v>8849</v>
      </c>
      <c r="AN8852" s="33">
        <v>1.0158201842728712E-2</v>
      </c>
      <c r="AO8852" s="33">
        <v>9.8274337063834153E-4</v>
      </c>
    </row>
    <row r="8853" spans="39:41" x14ac:dyDescent="0.25">
      <c r="AM8853" s="2">
        <v>8850</v>
      </c>
      <c r="AN8853" s="33">
        <v>9.5995735423407592E-3</v>
      </c>
      <c r="AO8853" s="33">
        <v>5.1873944484744116E-4</v>
      </c>
    </row>
    <row r="8854" spans="39:41" x14ac:dyDescent="0.25">
      <c r="AM8854" s="2">
        <v>8851</v>
      </c>
      <c r="AN8854" s="33">
        <v>1.2388854808842387E-2</v>
      </c>
      <c r="AO8854" s="33">
        <v>9.4353252218476718E-4</v>
      </c>
    </row>
    <row r="8855" spans="39:41" x14ac:dyDescent="0.25">
      <c r="AM8855" s="2">
        <v>8852</v>
      </c>
      <c r="AN8855" s="33">
        <v>1.3147052977819304E-2</v>
      </c>
      <c r="AO8855" s="33">
        <v>1.0039040642319589E-3</v>
      </c>
    </row>
    <row r="8856" spans="39:41" x14ac:dyDescent="0.25">
      <c r="AM8856" s="2">
        <v>8853</v>
      </c>
      <c r="AN8856" s="33">
        <v>1.2126344073733291E-2</v>
      </c>
      <c r="AO8856" s="33">
        <v>7.8075559458688239E-4</v>
      </c>
    </row>
    <row r="8857" spans="39:41" x14ac:dyDescent="0.25">
      <c r="AM8857" s="2">
        <v>8854</v>
      </c>
      <c r="AN8857" s="33">
        <v>8.8366806199015411E-3</v>
      </c>
      <c r="AO8857" s="33">
        <v>7.1226211354773997E-4</v>
      </c>
    </row>
    <row r="8858" spans="39:41" x14ac:dyDescent="0.25">
      <c r="AM8858" s="2">
        <v>8855</v>
      </c>
      <c r="AN8858" s="33">
        <v>1.1587123517564192E-2</v>
      </c>
      <c r="AO8858" s="33">
        <v>9.1670172991516251E-4</v>
      </c>
    </row>
    <row r="8859" spans="39:41" x14ac:dyDescent="0.25">
      <c r="AM8859" s="2">
        <v>8856</v>
      </c>
      <c r="AN8859" s="33">
        <v>1.1467642914356859E-2</v>
      </c>
      <c r="AO8859" s="33">
        <v>1.1310131813575665E-3</v>
      </c>
    </row>
    <row r="8860" spans="39:41" x14ac:dyDescent="0.25">
      <c r="AM8860" s="2">
        <v>8857</v>
      </c>
      <c r="AN8860" s="33">
        <v>9.241050663573969E-3</v>
      </c>
      <c r="AO8860" s="33">
        <v>3.5058889298745068E-4</v>
      </c>
    </row>
    <row r="8861" spans="39:41" x14ac:dyDescent="0.25">
      <c r="AM8861" s="2">
        <v>8858</v>
      </c>
      <c r="AN8861" s="33">
        <v>1.322484438640086E-2</v>
      </c>
      <c r="AO8861" s="33">
        <v>2.2389164047795278E-4</v>
      </c>
    </row>
    <row r="8862" spans="39:41" x14ac:dyDescent="0.25">
      <c r="AM8862" s="2">
        <v>8859</v>
      </c>
      <c r="AN8862" s="33">
        <v>9.105205743026909E-3</v>
      </c>
      <c r="AO8862" s="33">
        <v>7.4877183024649955E-4</v>
      </c>
    </row>
    <row r="8863" spans="39:41" x14ac:dyDescent="0.25">
      <c r="AM8863" s="2">
        <v>8860</v>
      </c>
      <c r="AN8863" s="33">
        <v>1.4269421043059225E-2</v>
      </c>
      <c r="AO8863" s="33">
        <v>1.0237064215510817E-3</v>
      </c>
    </row>
    <row r="8864" spans="39:41" x14ac:dyDescent="0.25">
      <c r="AM8864" s="2">
        <v>8861</v>
      </c>
      <c r="AN8864" s="33">
        <v>9.7545366458363422E-3</v>
      </c>
      <c r="AO8864" s="33">
        <v>7.2102525343908778E-4</v>
      </c>
    </row>
    <row r="8865" spans="39:41" x14ac:dyDescent="0.25">
      <c r="AM8865" s="2">
        <v>8862</v>
      </c>
      <c r="AN8865" s="33">
        <v>1.3977171873139774E-2</v>
      </c>
      <c r="AO8865" s="33">
        <v>1.1813242353843013E-3</v>
      </c>
    </row>
    <row r="8866" spans="39:41" x14ac:dyDescent="0.25">
      <c r="AM8866" s="2">
        <v>8863</v>
      </c>
      <c r="AN8866" s="33">
        <v>1.1013066284385373E-2</v>
      </c>
      <c r="AO8866" s="33">
        <v>8.4743732083123423E-4</v>
      </c>
    </row>
    <row r="8867" spans="39:41" x14ac:dyDescent="0.25">
      <c r="AM8867" s="2">
        <v>8864</v>
      </c>
      <c r="AN8867" s="33">
        <v>1.1849744282734118E-2</v>
      </c>
      <c r="AO8867" s="33">
        <v>9.7899395260670776E-4</v>
      </c>
    </row>
    <row r="8868" spans="39:41" x14ac:dyDescent="0.25">
      <c r="AM8868" s="2">
        <v>8865</v>
      </c>
      <c r="AN8868" s="33">
        <v>1.1265589440859709E-2</v>
      </c>
      <c r="AO8868" s="33">
        <v>5.4243345758656406E-4</v>
      </c>
    </row>
    <row r="8869" spans="39:41" x14ac:dyDescent="0.25">
      <c r="AM8869" s="2">
        <v>8866</v>
      </c>
      <c r="AN8869" s="33">
        <v>1.2012895893729931E-2</v>
      </c>
      <c r="AO8869" s="33">
        <v>8.7195193115356185E-4</v>
      </c>
    </row>
    <row r="8870" spans="39:41" x14ac:dyDescent="0.25">
      <c r="AM8870" s="2">
        <v>8867</v>
      </c>
      <c r="AN8870" s="33">
        <v>1.1206590199071526E-2</v>
      </c>
      <c r="AO8870" s="33">
        <v>4.4017083574283288E-4</v>
      </c>
    </row>
    <row r="8871" spans="39:41" x14ac:dyDescent="0.25">
      <c r="AM8871" s="2">
        <v>8868</v>
      </c>
      <c r="AN8871" s="33">
        <v>7.0480545301489835E-3</v>
      </c>
      <c r="AO8871" s="33">
        <v>3.7867157269874289E-4</v>
      </c>
    </row>
    <row r="8872" spans="39:41" x14ac:dyDescent="0.25">
      <c r="AM8872" s="2">
        <v>8869</v>
      </c>
      <c r="AN8872" s="33">
        <v>1.2063245559105387E-2</v>
      </c>
      <c r="AO8872" s="33">
        <v>1.1856081569704634E-3</v>
      </c>
    </row>
    <row r="8873" spans="39:41" x14ac:dyDescent="0.25">
      <c r="AM8873" s="2">
        <v>8870</v>
      </c>
      <c r="AN8873" s="33">
        <v>1.1863278663002951E-2</v>
      </c>
      <c r="AO8873" s="33">
        <v>5.8750762198613645E-4</v>
      </c>
    </row>
    <row r="8874" spans="39:41" x14ac:dyDescent="0.25">
      <c r="AM8874" s="2">
        <v>8871</v>
      </c>
      <c r="AN8874" s="33">
        <v>1.0167948609359836E-2</v>
      </c>
      <c r="AO8874" s="33">
        <v>3.7296843368395664E-4</v>
      </c>
    </row>
    <row r="8875" spans="39:41" x14ac:dyDescent="0.25">
      <c r="AM8875" s="2">
        <v>8872</v>
      </c>
      <c r="AN8875" s="33">
        <v>1.5537164225750522E-2</v>
      </c>
      <c r="AO8875" s="33">
        <v>1.3094026370375593E-3</v>
      </c>
    </row>
    <row r="8876" spans="39:41" x14ac:dyDescent="0.25">
      <c r="AM8876" s="2">
        <v>8873</v>
      </c>
      <c r="AN8876" s="33">
        <v>1.3498665553013985E-2</v>
      </c>
      <c r="AO8876" s="33">
        <v>1.2066864143656392E-3</v>
      </c>
    </row>
    <row r="8877" spans="39:41" x14ac:dyDescent="0.25">
      <c r="AM8877" s="2">
        <v>8874</v>
      </c>
      <c r="AN8877" s="33">
        <v>9.2127861280752437E-3</v>
      </c>
      <c r="AO8877" s="33">
        <v>6.2609414608323568E-4</v>
      </c>
    </row>
    <row r="8878" spans="39:41" x14ac:dyDescent="0.25">
      <c r="AM8878" s="2">
        <v>8875</v>
      </c>
      <c r="AN8878" s="33">
        <v>1.1960534724170883E-2</v>
      </c>
      <c r="AO8878" s="33">
        <v>1.1193852109516848E-3</v>
      </c>
    </row>
    <row r="8879" spans="39:41" x14ac:dyDescent="0.25">
      <c r="AM8879" s="2">
        <v>8876</v>
      </c>
      <c r="AN8879" s="33">
        <v>1.1488752203275459E-2</v>
      </c>
      <c r="AO8879" s="33">
        <v>8.9528479003497699E-4</v>
      </c>
    </row>
    <row r="8880" spans="39:41" x14ac:dyDescent="0.25">
      <c r="AM8880" s="2">
        <v>8877</v>
      </c>
      <c r="AN8880" s="33">
        <v>1.1618256820420376E-2</v>
      </c>
      <c r="AO8880" s="33">
        <v>1.2016355056252718E-3</v>
      </c>
    </row>
    <row r="8881" spans="39:41" x14ac:dyDescent="0.25">
      <c r="AM8881" s="2">
        <v>8878</v>
      </c>
      <c r="AN8881" s="33">
        <v>1.3774619696065582E-2</v>
      </c>
      <c r="AO8881" s="33">
        <v>1.3135642153010907E-3</v>
      </c>
    </row>
    <row r="8882" spans="39:41" x14ac:dyDescent="0.25">
      <c r="AM8882" s="2">
        <v>8879</v>
      </c>
      <c r="AN8882" s="33">
        <v>1.2308881077474269E-2</v>
      </c>
      <c r="AO8882" s="33">
        <v>9.1719727975130569E-4</v>
      </c>
    </row>
    <row r="8883" spans="39:41" x14ac:dyDescent="0.25">
      <c r="AM8883" s="2">
        <v>8880</v>
      </c>
      <c r="AN8883" s="33">
        <v>1.2898823593107926E-2</v>
      </c>
      <c r="AO8883" s="33">
        <v>9.9250345138732969E-4</v>
      </c>
    </row>
    <row r="8884" spans="39:41" x14ac:dyDescent="0.25">
      <c r="AM8884" s="2">
        <v>8881</v>
      </c>
      <c r="AN8884" s="33">
        <v>8.9157313031960235E-3</v>
      </c>
      <c r="AO8884" s="33">
        <v>6.0643924497492193E-4</v>
      </c>
    </row>
    <row r="8885" spans="39:41" x14ac:dyDescent="0.25">
      <c r="AM8885" s="2">
        <v>8882</v>
      </c>
      <c r="AN8885" s="33">
        <v>1.2498460363893774E-2</v>
      </c>
      <c r="AO8885" s="33">
        <v>7.5048457075213072E-4</v>
      </c>
    </row>
    <row r="8886" spans="39:41" x14ac:dyDescent="0.25">
      <c r="AM8886" s="2">
        <v>8883</v>
      </c>
      <c r="AN8886" s="33">
        <v>8.7196868714979302E-3</v>
      </c>
      <c r="AO8886" s="33">
        <v>5.4657927487305124E-4</v>
      </c>
    </row>
    <row r="8887" spans="39:41" x14ac:dyDescent="0.25">
      <c r="AM8887" s="2">
        <v>8884</v>
      </c>
      <c r="AN8887" s="33">
        <v>1.1219070608975442E-2</v>
      </c>
      <c r="AO8887" s="33">
        <v>4.3286672480368659E-4</v>
      </c>
    </row>
    <row r="8888" spans="39:41" x14ac:dyDescent="0.25">
      <c r="AM8888" s="2">
        <v>8885</v>
      </c>
      <c r="AN8888" s="33">
        <v>1.230307148082976E-2</v>
      </c>
      <c r="AO8888" s="33">
        <v>1.0804128795065054E-3</v>
      </c>
    </row>
    <row r="8889" spans="39:41" x14ac:dyDescent="0.25">
      <c r="AM8889" s="2">
        <v>8886</v>
      </c>
      <c r="AN8889" s="33">
        <v>1.2722958894982468E-2</v>
      </c>
      <c r="AO8889" s="33">
        <v>7.0403859443400076E-4</v>
      </c>
    </row>
    <row r="8890" spans="39:41" x14ac:dyDescent="0.25">
      <c r="AM8890" s="2">
        <v>8887</v>
      </c>
      <c r="AN8890" s="33">
        <v>1.1026882963448977E-2</v>
      </c>
      <c r="AO8890" s="33">
        <v>5.1398562046729485E-4</v>
      </c>
    </row>
    <row r="8891" spans="39:41" x14ac:dyDescent="0.25">
      <c r="AM8891" s="2">
        <v>8888</v>
      </c>
      <c r="AN8891" s="33">
        <v>1.3057704831882131E-2</v>
      </c>
      <c r="AO8891" s="33">
        <v>1.0187134395392792E-3</v>
      </c>
    </row>
    <row r="8892" spans="39:41" x14ac:dyDescent="0.25">
      <c r="AM8892" s="2">
        <v>8889</v>
      </c>
      <c r="AN8892" s="33">
        <v>1.2263169402367192E-2</v>
      </c>
      <c r="AO8892" s="33">
        <v>8.5672173868439421E-4</v>
      </c>
    </row>
    <row r="8893" spans="39:41" x14ac:dyDescent="0.25">
      <c r="AM8893" s="2">
        <v>8890</v>
      </c>
      <c r="AN8893" s="33">
        <v>1.4860374810708158E-2</v>
      </c>
      <c r="AO8893" s="33">
        <v>1.3390642826301247E-3</v>
      </c>
    </row>
    <row r="8894" spans="39:41" x14ac:dyDescent="0.25">
      <c r="AM8894" s="2">
        <v>8891</v>
      </c>
      <c r="AN8894" s="33">
        <v>9.9756854951339735E-3</v>
      </c>
      <c r="AO8894" s="33">
        <v>5.0970639871795228E-4</v>
      </c>
    </row>
    <row r="8895" spans="39:41" x14ac:dyDescent="0.25">
      <c r="AM8895" s="2">
        <v>8892</v>
      </c>
      <c r="AN8895" s="33">
        <v>9.1892558086699039E-3</v>
      </c>
      <c r="AO8895" s="33">
        <v>4.0809773630248633E-4</v>
      </c>
    </row>
    <row r="8896" spans="39:41" x14ac:dyDescent="0.25">
      <c r="AM8896" s="2">
        <v>8893</v>
      </c>
      <c r="AN8896" s="33">
        <v>9.4225493785237285E-3</v>
      </c>
      <c r="AO8896" s="33">
        <v>3.8587697220507269E-4</v>
      </c>
    </row>
    <row r="8897" spans="39:41" x14ac:dyDescent="0.25">
      <c r="AM8897" s="2">
        <v>8894</v>
      </c>
      <c r="AN8897" s="33">
        <v>1.0955656958204874E-2</v>
      </c>
      <c r="AO8897" s="33">
        <v>5.3673785653574058E-4</v>
      </c>
    </row>
    <row r="8898" spans="39:41" x14ac:dyDescent="0.25">
      <c r="AM8898" s="2">
        <v>8895</v>
      </c>
      <c r="AN8898" s="33">
        <v>9.9294100541046926E-3</v>
      </c>
      <c r="AO8898" s="33">
        <v>6.9191291200289696E-4</v>
      </c>
    </row>
    <row r="8899" spans="39:41" x14ac:dyDescent="0.25">
      <c r="AM8899" s="2">
        <v>8896</v>
      </c>
      <c r="AN8899" s="33">
        <v>1.3342347993799481E-2</v>
      </c>
      <c r="AO8899" s="33">
        <v>9.9419639612710869E-4</v>
      </c>
    </row>
    <row r="8900" spans="39:41" x14ac:dyDescent="0.25">
      <c r="AM8900" s="2">
        <v>8897</v>
      </c>
      <c r="AN8900" s="33">
        <v>1.1218676528334259E-2</v>
      </c>
      <c r="AO8900" s="33">
        <v>8.9098549126597696E-4</v>
      </c>
    </row>
    <row r="8901" spans="39:41" x14ac:dyDescent="0.25">
      <c r="AM8901" s="2">
        <v>8898</v>
      </c>
      <c r="AN8901" s="33">
        <v>1.7017859018854109E-2</v>
      </c>
      <c r="AO8901" s="33">
        <v>1.5653408462268149E-3</v>
      </c>
    </row>
    <row r="8902" spans="39:41" x14ac:dyDescent="0.25">
      <c r="AM8902" s="2">
        <v>8899</v>
      </c>
      <c r="AN8902" s="33">
        <v>1.2986643370215373E-2</v>
      </c>
      <c r="AO8902" s="33">
        <v>1.0378274862284723E-3</v>
      </c>
    </row>
    <row r="8903" spans="39:41" x14ac:dyDescent="0.25">
      <c r="AM8903" s="2">
        <v>8900</v>
      </c>
      <c r="AN8903" s="33">
        <v>1.0914780553593828E-2</v>
      </c>
      <c r="AO8903" s="33">
        <v>4.6464398266192713E-4</v>
      </c>
    </row>
    <row r="8904" spans="39:41" x14ac:dyDescent="0.25">
      <c r="AM8904" s="2">
        <v>8901</v>
      </c>
      <c r="AN8904" s="33">
        <v>1.3738628410041738E-2</v>
      </c>
      <c r="AO8904" s="33">
        <v>1.2088007093936435E-3</v>
      </c>
    </row>
    <row r="8905" spans="39:41" x14ac:dyDescent="0.25">
      <c r="AM8905" s="2">
        <v>8902</v>
      </c>
      <c r="AN8905" s="33">
        <v>9.8763454393091098E-3</v>
      </c>
      <c r="AO8905" s="33">
        <v>4.4128130032718583E-4</v>
      </c>
    </row>
    <row r="8906" spans="39:41" x14ac:dyDescent="0.25">
      <c r="AM8906" s="2">
        <v>8903</v>
      </c>
      <c r="AN8906" s="33">
        <v>7.9477622727017888E-3</v>
      </c>
      <c r="AO8906" s="33">
        <v>7.0490287984953371E-4</v>
      </c>
    </row>
    <row r="8907" spans="39:41" x14ac:dyDescent="0.25">
      <c r="AM8907" s="2">
        <v>8904</v>
      </c>
      <c r="AN8907" s="33">
        <v>9.8329351460281246E-3</v>
      </c>
      <c r="AO8907" s="33">
        <v>6.8922029182168351E-4</v>
      </c>
    </row>
    <row r="8908" spans="39:41" x14ac:dyDescent="0.25">
      <c r="AM8908" s="2">
        <v>8905</v>
      </c>
      <c r="AN8908" s="33">
        <v>1.0959122293551289E-2</v>
      </c>
      <c r="AO8908" s="33">
        <v>7.9394248301876665E-4</v>
      </c>
    </row>
    <row r="8909" spans="39:41" x14ac:dyDescent="0.25">
      <c r="AM8909" s="2">
        <v>8906</v>
      </c>
      <c r="AN8909" s="33">
        <v>9.5614896551165455E-3</v>
      </c>
      <c r="AO8909" s="33">
        <v>8.3632140669556059E-4</v>
      </c>
    </row>
    <row r="8910" spans="39:41" x14ac:dyDescent="0.25">
      <c r="AM8910" s="2">
        <v>8907</v>
      </c>
      <c r="AN8910" s="33">
        <v>1.3183977324292231E-2</v>
      </c>
      <c r="AO8910" s="33">
        <v>6.1904601067296668E-4</v>
      </c>
    </row>
    <row r="8911" spans="39:41" x14ac:dyDescent="0.25">
      <c r="AM8911" s="2">
        <v>8908</v>
      </c>
      <c r="AN8911" s="33">
        <v>1.3152548774011709E-2</v>
      </c>
      <c r="AO8911" s="33">
        <v>1.1220881598374885E-3</v>
      </c>
    </row>
    <row r="8912" spans="39:41" x14ac:dyDescent="0.25">
      <c r="AM8912" s="2">
        <v>8909</v>
      </c>
      <c r="AN8912" s="33">
        <v>9.0268258778186915E-3</v>
      </c>
      <c r="AO8912" s="33">
        <v>4.8254362549078622E-4</v>
      </c>
    </row>
    <row r="8913" spans="39:41" x14ac:dyDescent="0.25">
      <c r="AM8913" s="2">
        <v>8910</v>
      </c>
      <c r="AN8913" s="33">
        <v>1.4114375523582223E-2</v>
      </c>
      <c r="AO8913" s="33">
        <v>1.3074441577196833E-3</v>
      </c>
    </row>
    <row r="8914" spans="39:41" x14ac:dyDescent="0.25">
      <c r="AM8914" s="2">
        <v>8911</v>
      </c>
      <c r="AN8914" s="33">
        <v>1.2798186055986689E-2</v>
      </c>
      <c r="AO8914" s="33">
        <v>9.8624589704979378E-4</v>
      </c>
    </row>
    <row r="8915" spans="39:41" x14ac:dyDescent="0.25">
      <c r="AM8915" s="2">
        <v>8912</v>
      </c>
      <c r="AN8915" s="33">
        <v>9.3405537832281036E-3</v>
      </c>
      <c r="AO8915" s="33">
        <v>9.1144731462831528E-4</v>
      </c>
    </row>
    <row r="8916" spans="39:41" x14ac:dyDescent="0.25">
      <c r="AM8916" s="2">
        <v>8913</v>
      </c>
      <c r="AN8916" s="33">
        <v>1.2839171357407206E-2</v>
      </c>
      <c r="AO8916" s="33">
        <v>8.521338734403947E-4</v>
      </c>
    </row>
    <row r="8917" spans="39:41" x14ac:dyDescent="0.25">
      <c r="AM8917" s="2">
        <v>8914</v>
      </c>
      <c r="AN8917" s="33">
        <v>9.7759079700795552E-3</v>
      </c>
      <c r="AO8917" s="33">
        <v>3.5318201354549649E-4</v>
      </c>
    </row>
    <row r="8918" spans="39:41" x14ac:dyDescent="0.25">
      <c r="AM8918" s="2">
        <v>8915</v>
      </c>
      <c r="AN8918" s="33">
        <v>1.0428465501967967E-2</v>
      </c>
      <c r="AO8918" s="33">
        <v>1.0100496498075845E-3</v>
      </c>
    </row>
    <row r="8919" spans="39:41" x14ac:dyDescent="0.25">
      <c r="AM8919" s="2">
        <v>8916</v>
      </c>
      <c r="AN8919" s="33">
        <v>1.0920902346559272E-2</v>
      </c>
      <c r="AO8919" s="33">
        <v>1.0073268572232958E-3</v>
      </c>
    </row>
    <row r="8920" spans="39:41" x14ac:dyDescent="0.25">
      <c r="AM8920" s="2">
        <v>8917</v>
      </c>
      <c r="AN8920" s="33">
        <v>1.0935149015640456E-2</v>
      </c>
      <c r="AO8920" s="33">
        <v>9.407859563927472E-4</v>
      </c>
    </row>
    <row r="8921" spans="39:41" x14ac:dyDescent="0.25">
      <c r="AM8921" s="2">
        <v>8918</v>
      </c>
      <c r="AN8921" s="33">
        <v>1.2867404805314821E-2</v>
      </c>
      <c r="AO8921" s="33">
        <v>8.6389323073997521E-4</v>
      </c>
    </row>
    <row r="8922" spans="39:41" x14ac:dyDescent="0.25">
      <c r="AM8922" s="2">
        <v>8919</v>
      </c>
      <c r="AN8922" s="33">
        <v>1.3883520968073076E-2</v>
      </c>
      <c r="AO8922" s="33">
        <v>1.1942739327107188E-3</v>
      </c>
    </row>
    <row r="8923" spans="39:41" x14ac:dyDescent="0.25">
      <c r="AM8923" s="2">
        <v>8920</v>
      </c>
      <c r="AN8923" s="33">
        <v>1.1771818959012826E-2</v>
      </c>
      <c r="AO8923" s="33">
        <v>9.1338369008744675E-4</v>
      </c>
    </row>
    <row r="8924" spans="39:41" x14ac:dyDescent="0.25">
      <c r="AM8924" s="2">
        <v>8921</v>
      </c>
      <c r="AN8924" s="33">
        <v>1.2763588814476028E-2</v>
      </c>
      <c r="AO8924" s="33">
        <v>4.4738567207183835E-4</v>
      </c>
    </row>
    <row r="8925" spans="39:41" x14ac:dyDescent="0.25">
      <c r="AM8925" s="2">
        <v>8922</v>
      </c>
      <c r="AN8925" s="33">
        <v>1.2994671093086944E-2</v>
      </c>
      <c r="AO8925" s="33">
        <v>1.0322209574316647E-3</v>
      </c>
    </row>
    <row r="8926" spans="39:41" x14ac:dyDescent="0.25">
      <c r="AM8926" s="2">
        <v>8923</v>
      </c>
      <c r="AN8926" s="33">
        <v>1.1779330335576314E-2</v>
      </c>
      <c r="AO8926" s="33">
        <v>5.8762712850730556E-4</v>
      </c>
    </row>
    <row r="8927" spans="39:41" x14ac:dyDescent="0.25">
      <c r="AM8927" s="2">
        <v>8924</v>
      </c>
      <c r="AN8927" s="33">
        <v>1.2107897245198899E-2</v>
      </c>
      <c r="AO8927" s="33">
        <v>8.1364783996705394E-4</v>
      </c>
    </row>
    <row r="8928" spans="39:41" x14ac:dyDescent="0.25">
      <c r="AM8928" s="2">
        <v>8925</v>
      </c>
      <c r="AN8928" s="33">
        <v>1.0573897573709795E-2</v>
      </c>
      <c r="AO8928" s="33">
        <v>2.0573287811682432E-4</v>
      </c>
    </row>
    <row r="8929" spans="39:41" x14ac:dyDescent="0.25">
      <c r="AM8929" s="2">
        <v>8926</v>
      </c>
      <c r="AN8929" s="33">
        <v>1.013100270159765E-2</v>
      </c>
      <c r="AO8929" s="33">
        <v>5.0965798264853649E-4</v>
      </c>
    </row>
    <row r="8930" spans="39:41" x14ac:dyDescent="0.25">
      <c r="AM8930" s="2">
        <v>8927</v>
      </c>
      <c r="AN8930" s="33">
        <v>1.2532200297383488E-2</v>
      </c>
      <c r="AO8930" s="33">
        <v>1.1569146968029812E-3</v>
      </c>
    </row>
    <row r="8931" spans="39:41" x14ac:dyDescent="0.25">
      <c r="AM8931" s="2">
        <v>8928</v>
      </c>
      <c r="AN8931" s="33">
        <v>1.4487244062425936E-2</v>
      </c>
      <c r="AO8931" s="33">
        <v>1.1082579766785038E-3</v>
      </c>
    </row>
    <row r="8932" spans="39:41" x14ac:dyDescent="0.25">
      <c r="AM8932" s="2">
        <v>8929</v>
      </c>
      <c r="AN8932" s="33">
        <v>1.3217158232993853E-2</v>
      </c>
      <c r="AO8932" s="33">
        <v>1.2237064042249605E-3</v>
      </c>
    </row>
    <row r="8933" spans="39:41" x14ac:dyDescent="0.25">
      <c r="AM8933" s="2">
        <v>8930</v>
      </c>
      <c r="AN8933" s="33">
        <v>9.5345089612327173E-3</v>
      </c>
      <c r="AO8933" s="33">
        <v>5.5126725291076235E-4</v>
      </c>
    </row>
    <row r="8934" spans="39:41" x14ac:dyDescent="0.25">
      <c r="AM8934" s="2">
        <v>8931</v>
      </c>
      <c r="AN8934" s="33">
        <v>1.2764755991566972E-2</v>
      </c>
      <c r="AO8934" s="33">
        <v>1.204097812409706E-3</v>
      </c>
    </row>
    <row r="8935" spans="39:41" x14ac:dyDescent="0.25">
      <c r="AM8935" s="2">
        <v>8932</v>
      </c>
      <c r="AN8935" s="33">
        <v>9.8490884091364025E-3</v>
      </c>
      <c r="AO8935" s="33">
        <v>5.534233431137562E-4</v>
      </c>
    </row>
    <row r="8936" spans="39:41" x14ac:dyDescent="0.25">
      <c r="AM8936" s="2">
        <v>8933</v>
      </c>
      <c r="AN8936" s="33">
        <v>1.0609860245103298E-2</v>
      </c>
      <c r="AO8936" s="33">
        <v>6.0025620900149967E-4</v>
      </c>
    </row>
    <row r="8937" spans="39:41" x14ac:dyDescent="0.25">
      <c r="AM8937" s="2">
        <v>8934</v>
      </c>
      <c r="AN8937" s="33">
        <v>1.4175935388581126E-2</v>
      </c>
      <c r="AO8937" s="33">
        <v>1.4594879004031322E-3</v>
      </c>
    </row>
    <row r="8938" spans="39:41" x14ac:dyDescent="0.25">
      <c r="AM8938" s="2">
        <v>8935</v>
      </c>
      <c r="AN8938" s="33">
        <v>1.0575136903110497E-2</v>
      </c>
      <c r="AO8938" s="33">
        <v>4.0308925533093508E-4</v>
      </c>
    </row>
    <row r="8939" spans="39:41" x14ac:dyDescent="0.25">
      <c r="AM8939" s="2">
        <v>8936</v>
      </c>
      <c r="AN8939" s="33">
        <v>1.3196353769205194E-2</v>
      </c>
      <c r="AO8939" s="33">
        <v>1.171751846751118E-3</v>
      </c>
    </row>
    <row r="8940" spans="39:41" x14ac:dyDescent="0.25">
      <c r="AM8940" s="2">
        <v>8937</v>
      </c>
      <c r="AN8940" s="33">
        <v>9.8030110529947131E-3</v>
      </c>
      <c r="AO8940" s="33">
        <v>6.9010859179970748E-4</v>
      </c>
    </row>
    <row r="8941" spans="39:41" x14ac:dyDescent="0.25">
      <c r="AM8941" s="2">
        <v>8938</v>
      </c>
      <c r="AN8941" s="33">
        <v>8.4005225247050282E-3</v>
      </c>
      <c r="AO8941" s="33">
        <v>7.4595392658446935E-4</v>
      </c>
    </row>
    <row r="8942" spans="39:41" x14ac:dyDescent="0.25">
      <c r="AM8942" s="2">
        <v>8939</v>
      </c>
      <c r="AN8942" s="33">
        <v>1.0838957055124799E-2</v>
      </c>
      <c r="AO8942" s="33">
        <v>3.9066610202243934E-4</v>
      </c>
    </row>
    <row r="8943" spans="39:41" x14ac:dyDescent="0.25">
      <c r="AM8943" s="2">
        <v>8940</v>
      </c>
      <c r="AN8943" s="33">
        <v>1.3501331065113397E-2</v>
      </c>
      <c r="AO8943" s="33">
        <v>1.0530057477974365E-3</v>
      </c>
    </row>
    <row r="8944" spans="39:41" x14ac:dyDescent="0.25">
      <c r="AM8944" s="2">
        <v>8941</v>
      </c>
      <c r="AN8944" s="33">
        <v>1.3534818319881972E-2</v>
      </c>
      <c r="AO8944" s="33">
        <v>9.9664712245979255E-4</v>
      </c>
    </row>
    <row r="8945" spans="39:41" x14ac:dyDescent="0.25">
      <c r="AM8945" s="2">
        <v>8942</v>
      </c>
      <c r="AN8945" s="33">
        <v>1.3743399925133938E-2</v>
      </c>
      <c r="AO8945" s="33">
        <v>1.5009650324050734E-3</v>
      </c>
    </row>
    <row r="8946" spans="39:41" x14ac:dyDescent="0.25">
      <c r="AM8946" s="2">
        <v>8943</v>
      </c>
      <c r="AN8946" s="33">
        <v>1.1771279484824235E-2</v>
      </c>
      <c r="AO8946" s="33">
        <v>1.0654450854739768E-3</v>
      </c>
    </row>
    <row r="8947" spans="39:41" x14ac:dyDescent="0.25">
      <c r="AM8947" s="2">
        <v>8944</v>
      </c>
      <c r="AN8947" s="33">
        <v>9.6111456838540079E-3</v>
      </c>
      <c r="AO8947" s="33">
        <v>6.7411406146341321E-4</v>
      </c>
    </row>
    <row r="8948" spans="39:41" x14ac:dyDescent="0.25">
      <c r="AM8948" s="2">
        <v>8945</v>
      </c>
      <c r="AN8948" s="33">
        <v>1.437533883626105E-2</v>
      </c>
      <c r="AO8948" s="33">
        <v>1.4866724667874937E-3</v>
      </c>
    </row>
    <row r="8949" spans="39:41" x14ac:dyDescent="0.25">
      <c r="AM8949" s="2">
        <v>8946</v>
      </c>
      <c r="AN8949" s="33">
        <v>1.151124157812433E-2</v>
      </c>
      <c r="AO8949" s="33">
        <v>8.8383068739648571E-4</v>
      </c>
    </row>
    <row r="8950" spans="39:41" x14ac:dyDescent="0.25">
      <c r="AM8950" s="2">
        <v>8947</v>
      </c>
      <c r="AN8950" s="33">
        <v>8.8436117264260542E-3</v>
      </c>
      <c r="AO8950" s="33">
        <v>9.5013744706373845E-5</v>
      </c>
    </row>
    <row r="8951" spans="39:41" x14ac:dyDescent="0.25">
      <c r="AM8951" s="2">
        <v>8948</v>
      </c>
      <c r="AN8951" s="33">
        <v>1.418201778278321E-2</v>
      </c>
      <c r="AO8951" s="33">
        <v>8.805045976067275E-4</v>
      </c>
    </row>
    <row r="8952" spans="39:41" x14ac:dyDescent="0.25">
      <c r="AM8952" s="2">
        <v>8949</v>
      </c>
      <c r="AN8952" s="33">
        <v>9.4855719240089422E-3</v>
      </c>
      <c r="AO8952" s="33">
        <v>8.7633116170000077E-4</v>
      </c>
    </row>
    <row r="8953" spans="39:41" x14ac:dyDescent="0.25">
      <c r="AM8953" s="2">
        <v>8950</v>
      </c>
      <c r="AN8953" s="33">
        <v>1.100718627851183E-2</v>
      </c>
      <c r="AO8953" s="33">
        <v>4.6634031989928071E-4</v>
      </c>
    </row>
    <row r="8954" spans="39:41" x14ac:dyDescent="0.25">
      <c r="AM8954" s="2">
        <v>8951</v>
      </c>
      <c r="AN8954" s="33">
        <v>9.4212030416590889E-3</v>
      </c>
      <c r="AO8954" s="33">
        <v>5.3768673369611591E-4</v>
      </c>
    </row>
    <row r="8955" spans="39:41" x14ac:dyDescent="0.25">
      <c r="AM8955" s="2">
        <v>8952</v>
      </c>
      <c r="AN8955" s="33">
        <v>1.1140846926539074E-2</v>
      </c>
      <c r="AO8955" s="33">
        <v>9.195806308558885E-4</v>
      </c>
    </row>
    <row r="8956" spans="39:41" x14ac:dyDescent="0.25">
      <c r="AM8956" s="2">
        <v>8953</v>
      </c>
      <c r="AN8956" s="33">
        <v>1.2085161751797682E-2</v>
      </c>
      <c r="AO8956" s="33">
        <v>1.0836042073291976E-3</v>
      </c>
    </row>
    <row r="8957" spans="39:41" x14ac:dyDescent="0.25">
      <c r="AM8957" s="2">
        <v>8954</v>
      </c>
      <c r="AN8957" s="33">
        <v>1.1713700941571559E-2</v>
      </c>
      <c r="AO8957" s="33">
        <v>7.438871154531396E-4</v>
      </c>
    </row>
    <row r="8958" spans="39:41" x14ac:dyDescent="0.25">
      <c r="AM8958" s="2">
        <v>8955</v>
      </c>
      <c r="AN8958" s="33">
        <v>1.1317592904957064E-2</v>
      </c>
      <c r="AO8958" s="33">
        <v>8.4479081076379203E-4</v>
      </c>
    </row>
    <row r="8959" spans="39:41" x14ac:dyDescent="0.25">
      <c r="AM8959" s="2">
        <v>8956</v>
      </c>
      <c r="AN8959" s="33">
        <v>1.0641229796354007E-2</v>
      </c>
      <c r="AO8959" s="33">
        <v>6.5936640467314633E-4</v>
      </c>
    </row>
    <row r="8960" spans="39:41" x14ac:dyDescent="0.25">
      <c r="AM8960" s="2">
        <v>8957</v>
      </c>
      <c r="AN8960" s="33">
        <v>1.1466923161218848E-2</v>
      </c>
      <c r="AO8960" s="33">
        <v>9.8678098803010048E-4</v>
      </c>
    </row>
    <row r="8961" spans="39:41" x14ac:dyDescent="0.25">
      <c r="AM8961" s="2">
        <v>8958</v>
      </c>
      <c r="AN8961" s="33">
        <v>1.000173674446897E-2</v>
      </c>
      <c r="AO8961" s="33">
        <v>6.4440688778377318E-4</v>
      </c>
    </row>
    <row r="8962" spans="39:41" x14ac:dyDescent="0.25">
      <c r="AM8962" s="2">
        <v>8959</v>
      </c>
      <c r="AN8962" s="33">
        <v>1.3768081722437878E-2</v>
      </c>
      <c r="AO8962" s="33">
        <v>1.1789967968961214E-3</v>
      </c>
    </row>
    <row r="8963" spans="39:41" x14ac:dyDescent="0.25">
      <c r="AM8963" s="2">
        <v>8960</v>
      </c>
      <c r="AN8963" s="33">
        <v>1.063673614224718E-2</v>
      </c>
      <c r="AO8963" s="33">
        <v>8.9716768643283216E-4</v>
      </c>
    </row>
    <row r="8964" spans="39:41" x14ac:dyDescent="0.25">
      <c r="AM8964" s="2">
        <v>8961</v>
      </c>
      <c r="AN8964" s="33">
        <v>1.1251255250943072E-2</v>
      </c>
      <c r="AO8964" s="33">
        <v>6.3166013001291865E-4</v>
      </c>
    </row>
    <row r="8965" spans="39:41" x14ac:dyDescent="0.25">
      <c r="AM8965" s="2">
        <v>8962</v>
      </c>
      <c r="AN8965" s="33">
        <v>1.3457844535421674E-2</v>
      </c>
      <c r="AO8965" s="33">
        <v>1.1018922331807513E-3</v>
      </c>
    </row>
    <row r="8966" spans="39:41" x14ac:dyDescent="0.25">
      <c r="AM8966" s="2">
        <v>8963</v>
      </c>
      <c r="AN8966" s="33">
        <v>9.5627031360107119E-3</v>
      </c>
      <c r="AO8966" s="33">
        <v>5.2408850052423602E-4</v>
      </c>
    </row>
    <row r="8967" spans="39:41" x14ac:dyDescent="0.25">
      <c r="AM8967" s="2">
        <v>8964</v>
      </c>
      <c r="AN8967" s="33">
        <v>1.196903500241215E-2</v>
      </c>
      <c r="AO8967" s="33">
        <v>9.923325717679796E-4</v>
      </c>
    </row>
    <row r="8968" spans="39:41" x14ac:dyDescent="0.25">
      <c r="AM8968" s="2">
        <v>8965</v>
      </c>
      <c r="AN8968" s="33">
        <v>1.4159752078192029E-2</v>
      </c>
      <c r="AO8968" s="33">
        <v>1.4344674598405606E-3</v>
      </c>
    </row>
    <row r="8969" spans="39:41" x14ac:dyDescent="0.25">
      <c r="AM8969" s="2">
        <v>8966</v>
      </c>
      <c r="AN8969" s="33">
        <v>7.9899599194051176E-3</v>
      </c>
      <c r="AO8969" s="33">
        <v>3.1489873770680534E-4</v>
      </c>
    </row>
    <row r="8970" spans="39:41" x14ac:dyDescent="0.25">
      <c r="AM8970" s="2">
        <v>8967</v>
      </c>
      <c r="AN8970" s="33">
        <v>1.6932245059960816E-2</v>
      </c>
      <c r="AO8970" s="33">
        <v>1.160352462375987E-3</v>
      </c>
    </row>
    <row r="8971" spans="39:41" x14ac:dyDescent="0.25">
      <c r="AM8971" s="2">
        <v>8968</v>
      </c>
      <c r="AN8971" s="33">
        <v>1.161104259680633E-2</v>
      </c>
      <c r="AO8971" s="33">
        <v>4.2517240727195989E-4</v>
      </c>
    </row>
    <row r="8972" spans="39:41" x14ac:dyDescent="0.25">
      <c r="AM8972" s="2">
        <v>8969</v>
      </c>
      <c r="AN8972" s="33">
        <v>1.3753935984708223E-2</v>
      </c>
      <c r="AO8972" s="33">
        <v>1.2337401775058849E-3</v>
      </c>
    </row>
    <row r="8973" spans="39:41" x14ac:dyDescent="0.25">
      <c r="AM8973" s="2">
        <v>8970</v>
      </c>
      <c r="AN8973" s="33">
        <v>9.6458471482446153E-3</v>
      </c>
      <c r="AO8973" s="33">
        <v>6.5865889225889167E-4</v>
      </c>
    </row>
    <row r="8974" spans="39:41" x14ac:dyDescent="0.25">
      <c r="AM8974" s="2">
        <v>8971</v>
      </c>
      <c r="AN8974" s="33">
        <v>1.2314715382969995E-2</v>
      </c>
      <c r="AO8974" s="33">
        <v>9.7822240016387594E-4</v>
      </c>
    </row>
    <row r="8975" spans="39:41" x14ac:dyDescent="0.25">
      <c r="AM8975" s="2">
        <v>8972</v>
      </c>
      <c r="AN8975" s="33">
        <v>9.5999805415607244E-3</v>
      </c>
      <c r="AO8975" s="33">
        <v>7.3927791415934934E-4</v>
      </c>
    </row>
    <row r="8976" spans="39:41" x14ac:dyDescent="0.25">
      <c r="AM8976" s="2">
        <v>8973</v>
      </c>
      <c r="AN8976" s="33">
        <v>1.4088192628092478E-2</v>
      </c>
      <c r="AO8976" s="33">
        <v>1.2898933243630517E-3</v>
      </c>
    </row>
    <row r="8977" spans="39:41" x14ac:dyDescent="0.25">
      <c r="AM8977" s="2">
        <v>8974</v>
      </c>
      <c r="AN8977" s="33">
        <v>1.3876414844242766E-2</v>
      </c>
      <c r="AO8977" s="33">
        <v>1.3472028332823423E-3</v>
      </c>
    </row>
    <row r="8978" spans="39:41" x14ac:dyDescent="0.25">
      <c r="AM8978" s="2">
        <v>8975</v>
      </c>
      <c r="AN8978" s="33">
        <v>1.1227204802940635E-2</v>
      </c>
      <c r="AO8978" s="33">
        <v>1.015526805676425E-3</v>
      </c>
    </row>
    <row r="8979" spans="39:41" x14ac:dyDescent="0.25">
      <c r="AM8979" s="2">
        <v>8976</v>
      </c>
      <c r="AN8979" s="33">
        <v>8.1056568779877738E-3</v>
      </c>
      <c r="AO8979" s="33">
        <v>5.2001235170935189E-4</v>
      </c>
    </row>
    <row r="8980" spans="39:41" x14ac:dyDescent="0.25">
      <c r="AM8980" s="2">
        <v>8977</v>
      </c>
      <c r="AN8980" s="33">
        <v>1.0755266336869141E-2</v>
      </c>
      <c r="AO8980" s="33">
        <v>5.8887916362622948E-4</v>
      </c>
    </row>
    <row r="8981" spans="39:41" x14ac:dyDescent="0.25">
      <c r="AM8981" s="2">
        <v>8978</v>
      </c>
      <c r="AN8981" s="33">
        <v>1.1959760271359863E-2</v>
      </c>
      <c r="AO8981" s="33">
        <v>6.2078977103765284E-4</v>
      </c>
    </row>
    <row r="8982" spans="39:41" x14ac:dyDescent="0.25">
      <c r="AM8982" s="2">
        <v>8979</v>
      </c>
      <c r="AN8982" s="33">
        <v>9.2738438579666807E-3</v>
      </c>
      <c r="AO8982" s="33">
        <v>4.5253418961431664E-4</v>
      </c>
    </row>
    <row r="8983" spans="39:41" x14ac:dyDescent="0.25">
      <c r="AM8983" s="2">
        <v>8980</v>
      </c>
      <c r="AN8983" s="33">
        <v>1.0227800867968385E-2</v>
      </c>
      <c r="AO8983" s="33">
        <v>1.5172455227226731E-4</v>
      </c>
    </row>
    <row r="8984" spans="39:41" x14ac:dyDescent="0.25">
      <c r="AM8984" s="2">
        <v>8981</v>
      </c>
      <c r="AN8984" s="33">
        <v>1.3056112959137337E-2</v>
      </c>
      <c r="AO8984" s="33">
        <v>8.3460689623295298E-4</v>
      </c>
    </row>
    <row r="8985" spans="39:41" x14ac:dyDescent="0.25">
      <c r="AM8985" s="2">
        <v>8982</v>
      </c>
      <c r="AN8985" s="33">
        <v>1.3686472809958437E-2</v>
      </c>
      <c r="AO8985" s="33">
        <v>1.0581654321181885E-3</v>
      </c>
    </row>
    <row r="8986" spans="39:41" x14ac:dyDescent="0.25">
      <c r="AM8986" s="2">
        <v>8983</v>
      </c>
      <c r="AN8986" s="33">
        <v>1.3915700485353672E-2</v>
      </c>
      <c r="AO8986" s="33">
        <v>1.0202988728900179E-3</v>
      </c>
    </row>
    <row r="8987" spans="39:41" x14ac:dyDescent="0.25">
      <c r="AM8987" s="2">
        <v>8984</v>
      </c>
      <c r="AN8987" s="33">
        <v>1.1433048058076725E-2</v>
      </c>
      <c r="AO8987" s="33">
        <v>6.9154429440782613E-4</v>
      </c>
    </row>
    <row r="8988" spans="39:41" x14ac:dyDescent="0.25">
      <c r="AM8988" s="2">
        <v>8985</v>
      </c>
      <c r="AN8988" s="33">
        <v>1.0136237876099857E-2</v>
      </c>
      <c r="AO8988" s="33">
        <v>7.7806689228653817E-4</v>
      </c>
    </row>
    <row r="8989" spans="39:41" x14ac:dyDescent="0.25">
      <c r="AM8989" s="2">
        <v>8986</v>
      </c>
      <c r="AN8989" s="33">
        <v>1.4617287339793695E-2</v>
      </c>
      <c r="AO8989" s="33">
        <v>1.0709246574852711E-3</v>
      </c>
    </row>
    <row r="8990" spans="39:41" x14ac:dyDescent="0.25">
      <c r="AM8990" s="2">
        <v>8987</v>
      </c>
      <c r="AN8990" s="33">
        <v>1.2561775460248788E-2</v>
      </c>
      <c r="AO8990" s="33">
        <v>1.0309126020333836E-3</v>
      </c>
    </row>
    <row r="8991" spans="39:41" x14ac:dyDescent="0.25">
      <c r="AM8991" s="2">
        <v>8988</v>
      </c>
      <c r="AN8991" s="33">
        <v>1.5619329155065278E-2</v>
      </c>
      <c r="AO8991" s="33">
        <v>1.6582856862763331E-3</v>
      </c>
    </row>
    <row r="8992" spans="39:41" x14ac:dyDescent="0.25">
      <c r="AM8992" s="2">
        <v>8989</v>
      </c>
      <c r="AN8992" s="33">
        <v>8.9482199591061091E-3</v>
      </c>
      <c r="AO8992" s="33">
        <v>5.2821025887778335E-4</v>
      </c>
    </row>
    <row r="8993" spans="39:41" x14ac:dyDescent="0.25">
      <c r="AM8993" s="2">
        <v>8990</v>
      </c>
      <c r="AN8993" s="33">
        <v>1.3102527860319613E-2</v>
      </c>
      <c r="AO8993" s="33">
        <v>6.7957130172573849E-4</v>
      </c>
    </row>
    <row r="8994" spans="39:41" x14ac:dyDescent="0.25">
      <c r="AM8994" s="2">
        <v>8991</v>
      </c>
      <c r="AN8994" s="33">
        <v>1.1911913089594755E-2</v>
      </c>
      <c r="AO8994" s="33">
        <v>1.8103720393743716E-4</v>
      </c>
    </row>
    <row r="8995" spans="39:41" x14ac:dyDescent="0.25">
      <c r="AM8995" s="2">
        <v>8992</v>
      </c>
      <c r="AN8995" s="33">
        <v>1.3881927086541408E-2</v>
      </c>
      <c r="AO8995" s="33">
        <v>9.8048192453772769E-4</v>
      </c>
    </row>
    <row r="8996" spans="39:41" x14ac:dyDescent="0.25">
      <c r="AM8996" s="2">
        <v>8993</v>
      </c>
      <c r="AN8996" s="33">
        <v>1.20514462371633E-2</v>
      </c>
      <c r="AO8996" s="33">
        <v>9.2360135663093943E-4</v>
      </c>
    </row>
    <row r="8997" spans="39:41" x14ac:dyDescent="0.25">
      <c r="AM8997" s="2">
        <v>8994</v>
      </c>
      <c r="AN8997" s="33">
        <v>9.152754790099386E-3</v>
      </c>
      <c r="AO8997" s="33">
        <v>3.9712862291709769E-4</v>
      </c>
    </row>
    <row r="8998" spans="39:41" x14ac:dyDescent="0.25">
      <c r="AM8998" s="2">
        <v>8995</v>
      </c>
      <c r="AN8998" s="33">
        <v>1.1463349897337018E-2</v>
      </c>
      <c r="AO8998" s="33">
        <v>8.006459674090718E-4</v>
      </c>
    </row>
    <row r="8999" spans="39:41" x14ac:dyDescent="0.25">
      <c r="AM8999" s="2">
        <v>8996</v>
      </c>
      <c r="AN8999" s="33">
        <v>8.9157629546152434E-3</v>
      </c>
      <c r="AO8999" s="33">
        <v>5.8944647559426079E-4</v>
      </c>
    </row>
    <row r="9000" spans="39:41" x14ac:dyDescent="0.25">
      <c r="AM9000" s="2">
        <v>8997</v>
      </c>
      <c r="AN9000" s="33">
        <v>1.4434343257795657E-2</v>
      </c>
      <c r="AO9000" s="33">
        <v>1.5085277632999161E-3</v>
      </c>
    </row>
    <row r="9001" spans="39:41" x14ac:dyDescent="0.25">
      <c r="AM9001" s="2">
        <v>8998</v>
      </c>
      <c r="AN9001" s="33">
        <v>1.285841690929145E-2</v>
      </c>
      <c r="AO9001" s="33">
        <v>1.1179330204730759E-3</v>
      </c>
    </row>
    <row r="9002" spans="39:41" x14ac:dyDescent="0.25">
      <c r="AM9002" s="2">
        <v>8999</v>
      </c>
      <c r="AN9002" s="33">
        <v>1.3718492554894249E-2</v>
      </c>
      <c r="AO9002" s="33">
        <v>1.025546547938522E-3</v>
      </c>
    </row>
    <row r="9003" spans="39:41" x14ac:dyDescent="0.25">
      <c r="AM9003" s="2">
        <v>9000</v>
      </c>
      <c r="AN9003" s="33">
        <v>1.3426659821834275E-2</v>
      </c>
      <c r="AO9003" s="33">
        <v>8.436433285691216E-4</v>
      </c>
    </row>
    <row r="9004" spans="39:41" x14ac:dyDescent="0.25">
      <c r="AM9004" s="2">
        <v>9001</v>
      </c>
      <c r="AN9004" s="33">
        <v>7.7119967967741237E-3</v>
      </c>
      <c r="AO9004" s="33">
        <v>3.4507268483756912E-4</v>
      </c>
    </row>
    <row r="9005" spans="39:41" x14ac:dyDescent="0.25">
      <c r="AM9005" s="2">
        <v>9002</v>
      </c>
      <c r="AN9005" s="33">
        <v>1.3555792316768367E-2</v>
      </c>
      <c r="AO9005" s="33">
        <v>9.9141370476308905E-4</v>
      </c>
    </row>
    <row r="9006" spans="39:41" x14ac:dyDescent="0.25">
      <c r="AM9006" s="2">
        <v>9003</v>
      </c>
      <c r="AN9006" s="33">
        <v>1.0876485648614315E-2</v>
      </c>
      <c r="AO9006" s="33">
        <v>7.974076022830756E-4</v>
      </c>
    </row>
    <row r="9007" spans="39:41" x14ac:dyDescent="0.25">
      <c r="AM9007" s="2">
        <v>9004</v>
      </c>
      <c r="AN9007" s="33">
        <v>1.1285908878632921E-2</v>
      </c>
      <c r="AO9007" s="33">
        <v>1.1354454661453271E-3</v>
      </c>
    </row>
    <row r="9008" spans="39:41" x14ac:dyDescent="0.25">
      <c r="AM9008" s="2">
        <v>9005</v>
      </c>
      <c r="AN9008" s="33">
        <v>8.1188852642795767E-3</v>
      </c>
      <c r="AO9008" s="33">
        <v>7.2435137692795741E-4</v>
      </c>
    </row>
    <row r="9009" spans="39:41" x14ac:dyDescent="0.25">
      <c r="AM9009" s="2">
        <v>9006</v>
      </c>
      <c r="AN9009" s="33">
        <v>1.0229235823856247E-2</v>
      </c>
      <c r="AO9009" s="33">
        <v>3.2810890778308381E-4</v>
      </c>
    </row>
    <row r="9010" spans="39:41" x14ac:dyDescent="0.25">
      <c r="AM9010" s="2">
        <v>9007</v>
      </c>
      <c r="AN9010" s="33">
        <v>1.0774416251395932E-2</v>
      </c>
      <c r="AO9010" s="33">
        <v>9.7913998220304759E-4</v>
      </c>
    </row>
    <row r="9011" spans="39:41" x14ac:dyDescent="0.25">
      <c r="AM9011" s="2">
        <v>9008</v>
      </c>
      <c r="AN9011" s="33">
        <v>1.4286465542099086E-2</v>
      </c>
      <c r="AO9011" s="33">
        <v>1.3206255759271931E-3</v>
      </c>
    </row>
    <row r="9012" spans="39:41" x14ac:dyDescent="0.25">
      <c r="AM9012" s="2">
        <v>9009</v>
      </c>
      <c r="AN9012" s="33">
        <v>1.1095741050474098E-2</v>
      </c>
      <c r="AO9012" s="33">
        <v>1.0380415069395109E-3</v>
      </c>
    </row>
    <row r="9013" spans="39:41" x14ac:dyDescent="0.25">
      <c r="AM9013" s="2">
        <v>9010</v>
      </c>
      <c r="AN9013" s="33">
        <v>1.0351708039844884E-2</v>
      </c>
      <c r="AO9013" s="33">
        <v>7.8903730838678239E-4</v>
      </c>
    </row>
    <row r="9014" spans="39:41" x14ac:dyDescent="0.25">
      <c r="AM9014" s="2">
        <v>9011</v>
      </c>
      <c r="AN9014" s="33">
        <v>1.034124899976596E-2</v>
      </c>
      <c r="AO9014" s="33">
        <v>8.7441072069850061E-4</v>
      </c>
    </row>
    <row r="9015" spans="39:41" x14ac:dyDescent="0.25">
      <c r="AM9015" s="2">
        <v>9012</v>
      </c>
      <c r="AN9015" s="33">
        <v>1.41940439290195E-2</v>
      </c>
      <c r="AO9015" s="33">
        <v>1.347241757162347E-3</v>
      </c>
    </row>
    <row r="9016" spans="39:41" x14ac:dyDescent="0.25">
      <c r="AM9016" s="2">
        <v>9013</v>
      </c>
      <c r="AN9016" s="33">
        <v>1.167969251762749E-2</v>
      </c>
      <c r="AO9016" s="33">
        <v>9.1022745076232742E-4</v>
      </c>
    </row>
    <row r="9017" spans="39:41" x14ac:dyDescent="0.25">
      <c r="AM9017" s="2">
        <v>9014</v>
      </c>
      <c r="AN9017" s="33">
        <v>1.0217341518944597E-2</v>
      </c>
      <c r="AO9017" s="33">
        <v>6.6586894523138515E-4</v>
      </c>
    </row>
    <row r="9018" spans="39:41" x14ac:dyDescent="0.25">
      <c r="AM9018" s="2">
        <v>9015</v>
      </c>
      <c r="AN9018" s="33">
        <v>1.0512143350202773E-2</v>
      </c>
      <c r="AO9018" s="33">
        <v>8.1575333943679389E-4</v>
      </c>
    </row>
    <row r="9019" spans="39:41" x14ac:dyDescent="0.25">
      <c r="AM9019" s="2">
        <v>9016</v>
      </c>
      <c r="AN9019" s="33">
        <v>1.3197692089898282E-2</v>
      </c>
      <c r="AO9019" s="33">
        <v>7.9644900481676999E-4</v>
      </c>
    </row>
    <row r="9020" spans="39:41" x14ac:dyDescent="0.25">
      <c r="AM9020" s="2">
        <v>9017</v>
      </c>
      <c r="AN9020" s="33">
        <v>1.2893244121901938E-2</v>
      </c>
      <c r="AO9020" s="33">
        <v>9.8033750455926954E-4</v>
      </c>
    </row>
    <row r="9021" spans="39:41" x14ac:dyDescent="0.25">
      <c r="AM9021" s="2">
        <v>9018</v>
      </c>
      <c r="AN9021" s="33">
        <v>1.2733742370526855E-2</v>
      </c>
      <c r="AO9021" s="33">
        <v>1.0012870209149141E-3</v>
      </c>
    </row>
    <row r="9022" spans="39:41" x14ac:dyDescent="0.25">
      <c r="AM9022" s="2">
        <v>9019</v>
      </c>
      <c r="AN9022" s="33">
        <v>1.7205584845393095E-2</v>
      </c>
      <c r="AO9022" s="33">
        <v>1.4048864014448595E-3</v>
      </c>
    </row>
    <row r="9023" spans="39:41" x14ac:dyDescent="0.25">
      <c r="AM9023" s="2">
        <v>9020</v>
      </c>
      <c r="AN9023" s="33">
        <v>7.724861857610614E-3</v>
      </c>
      <c r="AO9023" s="33">
        <v>6.4256422878946598E-4</v>
      </c>
    </row>
    <row r="9024" spans="39:41" x14ac:dyDescent="0.25">
      <c r="AM9024" s="2">
        <v>9021</v>
      </c>
      <c r="AN9024" s="33">
        <v>9.4601007212121203E-3</v>
      </c>
      <c r="AO9024" s="33">
        <v>1.0076366374954791E-3</v>
      </c>
    </row>
    <row r="9025" spans="39:41" x14ac:dyDescent="0.25">
      <c r="AM9025" s="2">
        <v>9022</v>
      </c>
      <c r="AN9025" s="33">
        <v>9.9130218957672444E-3</v>
      </c>
      <c r="AO9025" s="33">
        <v>1.057807500554763E-3</v>
      </c>
    </row>
    <row r="9026" spans="39:41" x14ac:dyDescent="0.25">
      <c r="AM9026" s="2">
        <v>9023</v>
      </c>
      <c r="AN9026" s="33">
        <v>7.6594440255520983E-3</v>
      </c>
      <c r="AO9026" s="33">
        <v>6.4135666026557197E-4</v>
      </c>
    </row>
    <row r="9027" spans="39:41" x14ac:dyDescent="0.25">
      <c r="AM9027" s="2">
        <v>9024</v>
      </c>
      <c r="AN9027" s="33">
        <v>8.6421475986385114E-3</v>
      </c>
      <c r="AO9027" s="33">
        <v>6.1821754864902813E-4</v>
      </c>
    </row>
    <row r="9028" spans="39:41" x14ac:dyDescent="0.25">
      <c r="AM9028" s="2">
        <v>9025</v>
      </c>
      <c r="AN9028" s="33">
        <v>1.04333994716156E-2</v>
      </c>
      <c r="AO9028" s="33">
        <v>7.5419673397104957E-4</v>
      </c>
    </row>
    <row r="9029" spans="39:41" x14ac:dyDescent="0.25">
      <c r="AM9029" s="2">
        <v>9026</v>
      </c>
      <c r="AN9029" s="33">
        <v>9.3165644314134426E-3</v>
      </c>
      <c r="AO9029" s="33">
        <v>4.5765113050346573E-4</v>
      </c>
    </row>
    <row r="9030" spans="39:41" x14ac:dyDescent="0.25">
      <c r="AM9030" s="2">
        <v>9027</v>
      </c>
      <c r="AN9030" s="33">
        <v>1.1261002343004933E-2</v>
      </c>
      <c r="AO9030" s="33">
        <v>9.8175309735657601E-5</v>
      </c>
    </row>
    <row r="9031" spans="39:41" x14ac:dyDescent="0.25">
      <c r="AM9031" s="2">
        <v>9028</v>
      </c>
      <c r="AN9031" s="33">
        <v>1.1767559780767637E-2</v>
      </c>
      <c r="AO9031" s="33">
        <v>5.9947808176126873E-4</v>
      </c>
    </row>
    <row r="9032" spans="39:41" x14ac:dyDescent="0.25">
      <c r="AM9032" s="2">
        <v>9029</v>
      </c>
      <c r="AN9032" s="33">
        <v>1.2559452812220418E-2</v>
      </c>
      <c r="AO9032" s="33">
        <v>1.0299821455956835E-3</v>
      </c>
    </row>
    <row r="9033" spans="39:41" x14ac:dyDescent="0.25">
      <c r="AM9033" s="2">
        <v>9030</v>
      </c>
      <c r="AN9033" s="33">
        <v>1.3561117127537744E-2</v>
      </c>
      <c r="AO9033" s="33">
        <v>1.1103622167102918E-3</v>
      </c>
    </row>
    <row r="9034" spans="39:41" x14ac:dyDescent="0.25">
      <c r="AM9034" s="2">
        <v>9031</v>
      </c>
      <c r="AN9034" s="33">
        <v>1.0595836846534689E-2</v>
      </c>
      <c r="AO9034" s="33">
        <v>9.422793739802982E-4</v>
      </c>
    </row>
    <row r="9035" spans="39:41" x14ac:dyDescent="0.25">
      <c r="AM9035" s="2">
        <v>9032</v>
      </c>
      <c r="AN9035" s="33">
        <v>1.0957313335101387E-2</v>
      </c>
      <c r="AO9035" s="33">
        <v>3.7462481425132028E-4</v>
      </c>
    </row>
    <row r="9036" spans="39:41" x14ac:dyDescent="0.25">
      <c r="AM9036" s="2">
        <v>9033</v>
      </c>
      <c r="AN9036" s="33">
        <v>1.2820620186890926E-2</v>
      </c>
      <c r="AO9036" s="33">
        <v>9.2718204211645868E-4</v>
      </c>
    </row>
    <row r="9037" spans="39:41" x14ac:dyDescent="0.25">
      <c r="AM9037" s="2">
        <v>9034</v>
      </c>
      <c r="AN9037" s="33">
        <v>1.1677528570189529E-2</v>
      </c>
      <c r="AO9037" s="33">
        <v>1.1075562728934958E-3</v>
      </c>
    </row>
    <row r="9038" spans="39:41" x14ac:dyDescent="0.25">
      <c r="AM9038" s="2">
        <v>9035</v>
      </c>
      <c r="AN9038" s="33">
        <v>9.7426441802535776E-3</v>
      </c>
      <c r="AO9038" s="33">
        <v>4.9492420144922296E-4</v>
      </c>
    </row>
    <row r="9039" spans="39:41" x14ac:dyDescent="0.25">
      <c r="AM9039" s="2">
        <v>9036</v>
      </c>
      <c r="AN9039" s="33">
        <v>9.6241963963281472E-3</v>
      </c>
      <c r="AO9039" s="33">
        <v>7.208078735942647E-4</v>
      </c>
    </row>
    <row r="9040" spans="39:41" x14ac:dyDescent="0.25">
      <c r="AM9040" s="2">
        <v>9037</v>
      </c>
      <c r="AN9040" s="33">
        <v>1.2244199216909694E-2</v>
      </c>
      <c r="AO9040" s="33">
        <v>1.0326980913749667E-3</v>
      </c>
    </row>
    <row r="9041" spans="39:41" x14ac:dyDescent="0.25">
      <c r="AM9041" s="2">
        <v>9038</v>
      </c>
      <c r="AN9041" s="33">
        <v>1.1725666218738042E-2</v>
      </c>
      <c r="AO9041" s="33">
        <v>1.5903723511875184E-4</v>
      </c>
    </row>
    <row r="9042" spans="39:41" x14ac:dyDescent="0.25">
      <c r="AM9042" s="2">
        <v>9039</v>
      </c>
      <c r="AN9042" s="33">
        <v>1.382166564855542E-2</v>
      </c>
      <c r="AO9042" s="33">
        <v>9.6400228601039553E-4</v>
      </c>
    </row>
    <row r="9043" spans="39:41" x14ac:dyDescent="0.25">
      <c r="AM9043" s="2">
        <v>9040</v>
      </c>
      <c r="AN9043" s="33">
        <v>1.2997689487140219E-2</v>
      </c>
      <c r="AO9043" s="33">
        <v>1.128349411294015E-3</v>
      </c>
    </row>
    <row r="9044" spans="39:41" x14ac:dyDescent="0.25">
      <c r="AM9044" s="2">
        <v>9041</v>
      </c>
      <c r="AN9044" s="33">
        <v>1.1720774161931628E-2</v>
      </c>
      <c r="AO9044" s="33">
        <v>6.6805682991547075E-4</v>
      </c>
    </row>
    <row r="9045" spans="39:41" x14ac:dyDescent="0.25">
      <c r="AM9045" s="2">
        <v>9042</v>
      </c>
      <c r="AN9045" s="33">
        <v>1.6436735322787659E-2</v>
      </c>
      <c r="AO9045" s="33">
        <v>1.192751594814942E-3</v>
      </c>
    </row>
    <row r="9046" spans="39:41" x14ac:dyDescent="0.25">
      <c r="AM9046" s="2">
        <v>9043</v>
      </c>
      <c r="AN9046" s="33">
        <v>1.4676220317622245E-2</v>
      </c>
      <c r="AO9046" s="33">
        <v>1.1648513374446479E-3</v>
      </c>
    </row>
    <row r="9047" spans="39:41" x14ac:dyDescent="0.25">
      <c r="AM9047" s="2">
        <v>9044</v>
      </c>
      <c r="AN9047" s="33">
        <v>1.0901706569657681E-2</v>
      </c>
      <c r="AO9047" s="33">
        <v>6.1573470291791642E-4</v>
      </c>
    </row>
    <row r="9048" spans="39:41" x14ac:dyDescent="0.25">
      <c r="AM9048" s="2">
        <v>9045</v>
      </c>
      <c r="AN9048" s="33">
        <v>1.1958413137976312E-2</v>
      </c>
      <c r="AO9048" s="33">
        <v>8.076566869975151E-4</v>
      </c>
    </row>
    <row r="9049" spans="39:41" x14ac:dyDescent="0.25">
      <c r="AM9049" s="2">
        <v>9046</v>
      </c>
      <c r="AN9049" s="33">
        <v>9.8232959439750068E-3</v>
      </c>
      <c r="AO9049" s="33">
        <v>7.3509746377695812E-4</v>
      </c>
    </row>
    <row r="9050" spans="39:41" x14ac:dyDescent="0.25">
      <c r="AM9050" s="2">
        <v>9047</v>
      </c>
      <c r="AN9050" s="33">
        <v>1.136560847132668E-2</v>
      </c>
      <c r="AO9050" s="33">
        <v>1.0078138697070639E-3</v>
      </c>
    </row>
    <row r="9051" spans="39:41" x14ac:dyDescent="0.25">
      <c r="AM9051" s="2">
        <v>9048</v>
      </c>
      <c r="AN9051" s="33">
        <v>1.1084868335232402E-2</v>
      </c>
      <c r="AO9051" s="33">
        <v>3.6612871966963439E-4</v>
      </c>
    </row>
    <row r="9052" spans="39:41" x14ac:dyDescent="0.25">
      <c r="AM9052" s="2">
        <v>9049</v>
      </c>
      <c r="AN9052" s="33">
        <v>1.6749311176057401E-2</v>
      </c>
      <c r="AO9052" s="33">
        <v>1.3016497966376031E-3</v>
      </c>
    </row>
    <row r="9053" spans="39:41" x14ac:dyDescent="0.25">
      <c r="AM9053" s="2">
        <v>9050</v>
      </c>
      <c r="AN9053" s="33">
        <v>1.1956575018025795E-2</v>
      </c>
      <c r="AO9053" s="33">
        <v>9.4853214960186776E-4</v>
      </c>
    </row>
    <row r="9054" spans="39:41" x14ac:dyDescent="0.25">
      <c r="AM9054" s="2">
        <v>9051</v>
      </c>
      <c r="AN9054" s="33">
        <v>1.3250750382587832E-2</v>
      </c>
      <c r="AO9054" s="33">
        <v>8.4278775520257041E-4</v>
      </c>
    </row>
    <row r="9055" spans="39:41" x14ac:dyDescent="0.25">
      <c r="AM9055" s="2">
        <v>9052</v>
      </c>
      <c r="AN9055" s="33">
        <v>1.4213146247528764E-2</v>
      </c>
      <c r="AO9055" s="33">
        <v>1.0404477608950114E-3</v>
      </c>
    </row>
    <row r="9056" spans="39:41" x14ac:dyDescent="0.25">
      <c r="AM9056" s="2">
        <v>9053</v>
      </c>
      <c r="AN9056" s="33">
        <v>1.3313939930674206E-2</v>
      </c>
      <c r="AO9056" s="33">
        <v>1.2391320792815607E-3</v>
      </c>
    </row>
    <row r="9057" spans="39:41" x14ac:dyDescent="0.25">
      <c r="AM9057" s="2">
        <v>9054</v>
      </c>
      <c r="AN9057" s="33">
        <v>1.0338981547421553E-2</v>
      </c>
      <c r="AO9057" s="33">
        <v>5.8108432249002855E-4</v>
      </c>
    </row>
    <row r="9058" spans="39:41" x14ac:dyDescent="0.25">
      <c r="AM9058" s="2">
        <v>9055</v>
      </c>
      <c r="AN9058" s="33">
        <v>1.0483275232716865E-2</v>
      </c>
      <c r="AO9058" s="33">
        <v>7.7869405565478928E-4</v>
      </c>
    </row>
    <row r="9059" spans="39:41" x14ac:dyDescent="0.25">
      <c r="AM9059" s="2">
        <v>9056</v>
      </c>
      <c r="AN9059" s="33">
        <v>1.1968189355606066E-2</v>
      </c>
      <c r="AO9059" s="33">
        <v>9.2617012445780206E-4</v>
      </c>
    </row>
    <row r="9060" spans="39:41" x14ac:dyDescent="0.25">
      <c r="AM9060" s="2">
        <v>9057</v>
      </c>
      <c r="AN9060" s="33">
        <v>1.2437141228480395E-2</v>
      </c>
      <c r="AO9060" s="33">
        <v>8.6150711466082995E-4</v>
      </c>
    </row>
    <row r="9061" spans="39:41" x14ac:dyDescent="0.25">
      <c r="AM9061" s="2">
        <v>9058</v>
      </c>
      <c r="AN9061" s="33">
        <v>1.5973304047804445E-2</v>
      </c>
      <c r="AO9061" s="33">
        <v>1.5331971365176271E-3</v>
      </c>
    </row>
    <row r="9062" spans="39:41" x14ac:dyDescent="0.25">
      <c r="AM9062" s="2">
        <v>9059</v>
      </c>
      <c r="AN9062" s="33">
        <v>1.303927175486622E-2</v>
      </c>
      <c r="AO9062" s="33">
        <v>5.1590531442009097E-4</v>
      </c>
    </row>
    <row r="9063" spans="39:41" x14ac:dyDescent="0.25">
      <c r="AM9063" s="2">
        <v>9060</v>
      </c>
      <c r="AN9063" s="33">
        <v>9.8538136282700708E-3</v>
      </c>
      <c r="AO9063" s="33">
        <v>9.1302913724084368E-4</v>
      </c>
    </row>
    <row r="9064" spans="39:41" x14ac:dyDescent="0.25">
      <c r="AM9064" s="2">
        <v>9061</v>
      </c>
      <c r="AN9064" s="33">
        <v>1.1075261686131972E-2</v>
      </c>
      <c r="AO9064" s="33">
        <v>5.580885225264121E-4</v>
      </c>
    </row>
    <row r="9065" spans="39:41" x14ac:dyDescent="0.25">
      <c r="AM9065" s="2">
        <v>9062</v>
      </c>
      <c r="AN9065" s="33">
        <v>1.1385506449950261E-2</v>
      </c>
      <c r="AO9065" s="33">
        <v>1.0704543452641636E-3</v>
      </c>
    </row>
    <row r="9066" spans="39:41" x14ac:dyDescent="0.25">
      <c r="AM9066" s="2">
        <v>9063</v>
      </c>
      <c r="AN9066" s="33">
        <v>9.2950256691156294E-3</v>
      </c>
      <c r="AO9066" s="33">
        <v>4.8781354482598004E-4</v>
      </c>
    </row>
    <row r="9067" spans="39:41" x14ac:dyDescent="0.25">
      <c r="AM9067" s="2">
        <v>9064</v>
      </c>
      <c r="AN9067" s="33">
        <v>1.2001936086398218E-2</v>
      </c>
      <c r="AO9067" s="33">
        <v>6.8609611806438441E-4</v>
      </c>
    </row>
    <row r="9068" spans="39:41" x14ac:dyDescent="0.25">
      <c r="AM9068" s="2">
        <v>9065</v>
      </c>
      <c r="AN9068" s="33">
        <v>1.0162638839654084E-2</v>
      </c>
      <c r="AO9068" s="33">
        <v>4.5249621671973812E-4</v>
      </c>
    </row>
    <row r="9069" spans="39:41" x14ac:dyDescent="0.25">
      <c r="AM9069" s="2">
        <v>9066</v>
      </c>
      <c r="AN9069" s="33">
        <v>1.2593779114013888E-2</v>
      </c>
      <c r="AO9069" s="33">
        <v>1.0219291965917691E-3</v>
      </c>
    </row>
    <row r="9070" spans="39:41" x14ac:dyDescent="0.25">
      <c r="AM9070" s="2">
        <v>9067</v>
      </c>
      <c r="AN9070" s="33">
        <v>1.3335665831100145E-2</v>
      </c>
      <c r="AO9070" s="33">
        <v>1.3334239453758527E-3</v>
      </c>
    </row>
    <row r="9071" spans="39:41" x14ac:dyDescent="0.25">
      <c r="AM9071" s="2">
        <v>9068</v>
      </c>
      <c r="AN9071" s="33">
        <v>1.2683153904318439E-2</v>
      </c>
      <c r="AO9071" s="33">
        <v>7.953962431918244E-4</v>
      </c>
    </row>
    <row r="9072" spans="39:41" x14ac:dyDescent="0.25">
      <c r="AM9072" s="2">
        <v>9069</v>
      </c>
      <c r="AN9072" s="33">
        <v>1.281195670100433E-2</v>
      </c>
      <c r="AO9072" s="33">
        <v>7.071873426101132E-4</v>
      </c>
    </row>
    <row r="9073" spans="39:41" x14ac:dyDescent="0.25">
      <c r="AM9073" s="2">
        <v>9070</v>
      </c>
      <c r="AN9073" s="33">
        <v>1.3897362244649254E-2</v>
      </c>
      <c r="AO9073" s="33">
        <v>7.7037251057733829E-4</v>
      </c>
    </row>
    <row r="9074" spans="39:41" x14ac:dyDescent="0.25">
      <c r="AM9074" s="2">
        <v>9071</v>
      </c>
      <c r="AN9074" s="33">
        <v>1.3166226464983024E-2</v>
      </c>
      <c r="AO9074" s="33">
        <v>1.2466548064242128E-3</v>
      </c>
    </row>
    <row r="9075" spans="39:41" x14ac:dyDescent="0.25">
      <c r="AM9075" s="2">
        <v>9072</v>
      </c>
      <c r="AN9075" s="33">
        <v>9.5057125813338313E-3</v>
      </c>
      <c r="AO9075" s="33">
        <v>5.1207392072596459E-4</v>
      </c>
    </row>
    <row r="9076" spans="39:41" x14ac:dyDescent="0.25">
      <c r="AM9076" s="2">
        <v>9073</v>
      </c>
      <c r="AN9076" s="33">
        <v>1.1293842173861195E-2</v>
      </c>
      <c r="AO9076" s="33">
        <v>7.6314855244212791E-4</v>
      </c>
    </row>
    <row r="9077" spans="39:41" x14ac:dyDescent="0.25">
      <c r="AM9077" s="2">
        <v>9074</v>
      </c>
      <c r="AN9077" s="33">
        <v>1.1707437224354066E-2</v>
      </c>
      <c r="AO9077" s="33">
        <v>2.5834873152318278E-4</v>
      </c>
    </row>
    <row r="9078" spans="39:41" x14ac:dyDescent="0.25">
      <c r="AM9078" s="2">
        <v>9075</v>
      </c>
      <c r="AN9078" s="33">
        <v>1.0469367490973505E-2</v>
      </c>
      <c r="AO9078" s="33">
        <v>9.5488060458244462E-4</v>
      </c>
    </row>
    <row r="9079" spans="39:41" x14ac:dyDescent="0.25">
      <c r="AM9079" s="2">
        <v>9076</v>
      </c>
      <c r="AN9079" s="33">
        <v>1.1310161454543576E-2</v>
      </c>
      <c r="AO9079" s="33">
        <v>6.9677899864759854E-4</v>
      </c>
    </row>
    <row r="9080" spans="39:41" x14ac:dyDescent="0.25">
      <c r="AM9080" s="2">
        <v>9077</v>
      </c>
      <c r="AN9080" s="33">
        <v>1.3688745930787543E-2</v>
      </c>
      <c r="AO9080" s="33">
        <v>1.0771996658279616E-3</v>
      </c>
    </row>
    <row r="9081" spans="39:41" x14ac:dyDescent="0.25">
      <c r="AM9081" s="2">
        <v>9078</v>
      </c>
      <c r="AN9081" s="33">
        <v>1.1288025513502517E-2</v>
      </c>
      <c r="AO9081" s="33">
        <v>9.0928350998666237E-4</v>
      </c>
    </row>
    <row r="9082" spans="39:41" x14ac:dyDescent="0.25">
      <c r="AM9082" s="2">
        <v>9079</v>
      </c>
      <c r="AN9082" s="33">
        <v>1.0902221615515077E-2</v>
      </c>
      <c r="AO9082" s="33">
        <v>9.7841371614005852E-4</v>
      </c>
    </row>
    <row r="9083" spans="39:41" x14ac:dyDescent="0.25">
      <c r="AM9083" s="2">
        <v>9080</v>
      </c>
      <c r="AN9083" s="33">
        <v>1.0986849509741175E-2</v>
      </c>
      <c r="AO9083" s="33">
        <v>2.6651560992579953E-4</v>
      </c>
    </row>
    <row r="9084" spans="39:41" x14ac:dyDescent="0.25">
      <c r="AM9084" s="2">
        <v>9081</v>
      </c>
      <c r="AN9084" s="33">
        <v>1.0448135144648452E-2</v>
      </c>
      <c r="AO9084" s="33">
        <v>6.0015584939390363E-4</v>
      </c>
    </row>
    <row r="9085" spans="39:41" x14ac:dyDescent="0.25">
      <c r="AM9085" s="2">
        <v>9082</v>
      </c>
      <c r="AN9085" s="33">
        <v>1.0218148718528532E-2</v>
      </c>
      <c r="AO9085" s="33">
        <v>1.0793143150849872E-3</v>
      </c>
    </row>
    <row r="9086" spans="39:41" x14ac:dyDescent="0.25">
      <c r="AM9086" s="2">
        <v>9083</v>
      </c>
      <c r="AN9086" s="33">
        <v>9.2977673179967836E-3</v>
      </c>
      <c r="AO9086" s="33">
        <v>6.9366633926648763E-4</v>
      </c>
    </row>
    <row r="9087" spans="39:41" x14ac:dyDescent="0.25">
      <c r="AM9087" s="2">
        <v>9084</v>
      </c>
      <c r="AN9087" s="33">
        <v>1.3700247937081555E-2</v>
      </c>
      <c r="AO9087" s="33">
        <v>1.0149796676379491E-3</v>
      </c>
    </row>
    <row r="9088" spans="39:41" x14ac:dyDescent="0.25">
      <c r="AM9088" s="2">
        <v>9085</v>
      </c>
      <c r="AN9088" s="33">
        <v>1.2471800203373398E-2</v>
      </c>
      <c r="AO9088" s="33">
        <v>8.4710169851448319E-4</v>
      </c>
    </row>
    <row r="9089" spans="39:41" x14ac:dyDescent="0.25">
      <c r="AM9089" s="2">
        <v>9086</v>
      </c>
      <c r="AN9089" s="33">
        <v>1.397199673156619E-2</v>
      </c>
      <c r="AO9089" s="33">
        <v>8.6757547737039895E-4</v>
      </c>
    </row>
    <row r="9090" spans="39:41" x14ac:dyDescent="0.25">
      <c r="AM9090" s="2">
        <v>9087</v>
      </c>
      <c r="AN9090" s="33">
        <v>1.4341918437182037E-2</v>
      </c>
      <c r="AO9090" s="33">
        <v>1.3115408325186447E-3</v>
      </c>
    </row>
    <row r="9091" spans="39:41" x14ac:dyDescent="0.25">
      <c r="AM9091" s="2">
        <v>9088</v>
      </c>
      <c r="AN9091" s="33">
        <v>1.7316181033072812E-2</v>
      </c>
      <c r="AO9091" s="33">
        <v>1.7467877349781516E-3</v>
      </c>
    </row>
    <row r="9092" spans="39:41" x14ac:dyDescent="0.25">
      <c r="AM9092" s="2">
        <v>9089</v>
      </c>
      <c r="AN9092" s="33">
        <v>1.0650418594443876E-2</v>
      </c>
      <c r="AO9092" s="33">
        <v>8.9142268944273457E-4</v>
      </c>
    </row>
    <row r="9093" spans="39:41" x14ac:dyDescent="0.25">
      <c r="AM9093" s="2">
        <v>9090</v>
      </c>
      <c r="AN9093" s="33">
        <v>1.338183572695332E-2</v>
      </c>
      <c r="AO9093" s="33">
        <v>4.7546986149056097E-4</v>
      </c>
    </row>
    <row r="9094" spans="39:41" x14ac:dyDescent="0.25">
      <c r="AM9094" s="2">
        <v>9091</v>
      </c>
      <c r="AN9094" s="33">
        <v>1.2060028370919797E-2</v>
      </c>
      <c r="AO9094" s="33">
        <v>1.0466607046196797E-3</v>
      </c>
    </row>
    <row r="9095" spans="39:41" x14ac:dyDescent="0.25">
      <c r="AM9095" s="2">
        <v>9092</v>
      </c>
      <c r="AN9095" s="33">
        <v>1.0981055861746471E-2</v>
      </c>
      <c r="AO9095" s="33">
        <v>5.0855799099159985E-4</v>
      </c>
    </row>
    <row r="9096" spans="39:41" x14ac:dyDescent="0.25">
      <c r="AM9096" s="2">
        <v>9093</v>
      </c>
      <c r="AN9096" s="33">
        <v>1.0296349459077371E-2</v>
      </c>
      <c r="AO9096" s="33">
        <v>8.3892933699115555E-4</v>
      </c>
    </row>
    <row r="9097" spans="39:41" x14ac:dyDescent="0.25">
      <c r="AM9097" s="2">
        <v>9094</v>
      </c>
      <c r="AN9097" s="33">
        <v>1.0502412199883565E-2</v>
      </c>
      <c r="AO9097" s="33">
        <v>5.0028052108442439E-4</v>
      </c>
    </row>
    <row r="9098" spans="39:41" x14ac:dyDescent="0.25">
      <c r="AM9098" s="2">
        <v>9095</v>
      </c>
      <c r="AN9098" s="33">
        <v>1.2434280703241667E-2</v>
      </c>
      <c r="AO9098" s="33">
        <v>9.8412633818168154E-4</v>
      </c>
    </row>
    <row r="9099" spans="39:41" x14ac:dyDescent="0.25">
      <c r="AM9099" s="2">
        <v>9096</v>
      </c>
      <c r="AN9099" s="33">
        <v>1.1688646881655242E-2</v>
      </c>
      <c r="AO9099" s="33">
        <v>2.5755130226202987E-4</v>
      </c>
    </row>
    <row r="9100" spans="39:41" x14ac:dyDescent="0.25">
      <c r="AM9100" s="2">
        <v>9097</v>
      </c>
      <c r="AN9100" s="33">
        <v>1.1180140622937129E-2</v>
      </c>
      <c r="AO9100" s="33">
        <v>9.8746301799506014E-4</v>
      </c>
    </row>
    <row r="9101" spans="39:41" x14ac:dyDescent="0.25">
      <c r="AM9101" s="2">
        <v>9098</v>
      </c>
      <c r="AN9101" s="33">
        <v>1.1632161739874679E-2</v>
      </c>
      <c r="AO9101" s="33">
        <v>8.8380564835303856E-4</v>
      </c>
    </row>
    <row r="9102" spans="39:41" x14ac:dyDescent="0.25">
      <c r="AM9102" s="2">
        <v>9099</v>
      </c>
      <c r="AN9102" s="33">
        <v>8.6180553050244878E-3</v>
      </c>
      <c r="AO9102" s="33">
        <v>6.7259449906308783E-4</v>
      </c>
    </row>
    <row r="9103" spans="39:41" x14ac:dyDescent="0.25">
      <c r="AM9103" s="2">
        <v>9100</v>
      </c>
      <c r="AN9103" s="33">
        <v>1.2000671554695348E-2</v>
      </c>
      <c r="AO9103" s="33">
        <v>1.1395263388296608E-3</v>
      </c>
    </row>
    <row r="9104" spans="39:41" x14ac:dyDescent="0.25">
      <c r="AM9104" s="2">
        <v>9101</v>
      </c>
      <c r="AN9104" s="33">
        <v>1.5992531518584197E-2</v>
      </c>
      <c r="AO9104" s="33">
        <v>1.5669178817683926E-3</v>
      </c>
    </row>
    <row r="9105" spans="39:41" x14ac:dyDescent="0.25">
      <c r="AM9105" s="2">
        <v>9102</v>
      </c>
      <c r="AN9105" s="33">
        <v>8.2565746279286735E-3</v>
      </c>
      <c r="AO9105" s="33">
        <v>7.4511679095956411E-4</v>
      </c>
    </row>
    <row r="9106" spans="39:41" x14ac:dyDescent="0.25">
      <c r="AM9106" s="2">
        <v>9103</v>
      </c>
      <c r="AN9106" s="33">
        <v>1.0642532984546992E-2</v>
      </c>
      <c r="AO9106" s="33">
        <v>9.8042853998093777E-4</v>
      </c>
    </row>
    <row r="9107" spans="39:41" x14ac:dyDescent="0.25">
      <c r="AM9107" s="2">
        <v>9104</v>
      </c>
      <c r="AN9107" s="33">
        <v>1.1653322007538597E-2</v>
      </c>
      <c r="AO9107" s="33">
        <v>9.4620498145546938E-4</v>
      </c>
    </row>
    <row r="9108" spans="39:41" x14ac:dyDescent="0.25">
      <c r="AM9108" s="2">
        <v>9105</v>
      </c>
      <c r="AN9108" s="33">
        <v>1.3989416060405095E-2</v>
      </c>
      <c r="AO9108" s="33">
        <v>1.081040917347549E-3</v>
      </c>
    </row>
    <row r="9109" spans="39:41" x14ac:dyDescent="0.25">
      <c r="AM9109" s="2">
        <v>9106</v>
      </c>
      <c r="AN9109" s="33">
        <v>8.9591772469847508E-3</v>
      </c>
      <c r="AO9109" s="33">
        <v>4.8061441505641846E-4</v>
      </c>
    </row>
    <row r="9110" spans="39:41" x14ac:dyDescent="0.25">
      <c r="AM9110" s="2">
        <v>9107</v>
      </c>
      <c r="AN9110" s="33">
        <v>1.1028092302026414E-2</v>
      </c>
      <c r="AO9110" s="33">
        <v>7.2853954187811069E-4</v>
      </c>
    </row>
    <row r="9111" spans="39:41" x14ac:dyDescent="0.25">
      <c r="AM9111" s="2">
        <v>9108</v>
      </c>
      <c r="AN9111" s="33">
        <v>9.5879097355292351E-3</v>
      </c>
      <c r="AO9111" s="33">
        <v>6.7656790838942042E-4</v>
      </c>
    </row>
    <row r="9112" spans="39:41" x14ac:dyDescent="0.25">
      <c r="AM9112" s="2">
        <v>9109</v>
      </c>
      <c r="AN9112" s="33">
        <v>9.98675975787385E-3</v>
      </c>
      <c r="AO9112" s="33">
        <v>7.6601420007305131E-4</v>
      </c>
    </row>
    <row r="9113" spans="39:41" x14ac:dyDescent="0.25">
      <c r="AM9113" s="2">
        <v>9110</v>
      </c>
      <c r="AN9113" s="33">
        <v>9.844398090782927E-3</v>
      </c>
      <c r="AO9113" s="33">
        <v>4.50267799586227E-4</v>
      </c>
    </row>
    <row r="9114" spans="39:41" x14ac:dyDescent="0.25">
      <c r="AM9114" s="2">
        <v>9111</v>
      </c>
      <c r="AN9114" s="33">
        <v>8.2883765323835349E-3</v>
      </c>
      <c r="AO9114" s="33">
        <v>1.8173001208001484E-4</v>
      </c>
    </row>
    <row r="9115" spans="39:41" x14ac:dyDescent="0.25">
      <c r="AM9115" s="2">
        <v>9112</v>
      </c>
      <c r="AN9115" s="33">
        <v>1.262445416775689E-2</v>
      </c>
      <c r="AO9115" s="33">
        <v>1.0353711925444227E-3</v>
      </c>
    </row>
    <row r="9116" spans="39:41" x14ac:dyDescent="0.25">
      <c r="AM9116" s="2">
        <v>9113</v>
      </c>
      <c r="AN9116" s="33">
        <v>1.3199367194448891E-2</v>
      </c>
      <c r="AO9116" s="33">
        <v>1.0407407090248361E-3</v>
      </c>
    </row>
    <row r="9117" spans="39:41" x14ac:dyDescent="0.25">
      <c r="AM9117" s="2">
        <v>9114</v>
      </c>
      <c r="AN9117" s="33">
        <v>1.0345212057176274E-2</v>
      </c>
      <c r="AO9117" s="33">
        <v>2.6283419835701141E-4</v>
      </c>
    </row>
    <row r="9118" spans="39:41" x14ac:dyDescent="0.25">
      <c r="AM9118" s="2">
        <v>9115</v>
      </c>
      <c r="AN9118" s="33">
        <v>1.1445214368519859E-2</v>
      </c>
      <c r="AO9118" s="33">
        <v>4.803451735436473E-4</v>
      </c>
    </row>
    <row r="9119" spans="39:41" x14ac:dyDescent="0.25">
      <c r="AM9119" s="2">
        <v>9116</v>
      </c>
      <c r="AN9119" s="33">
        <v>1.428836982444218E-2</v>
      </c>
      <c r="AO9119" s="33">
        <v>1.3723319213288035E-3</v>
      </c>
    </row>
    <row r="9120" spans="39:41" x14ac:dyDescent="0.25">
      <c r="AM9120" s="2">
        <v>9117</v>
      </c>
      <c r="AN9120" s="33">
        <v>1.0947057618805708E-2</v>
      </c>
      <c r="AO9120" s="33">
        <v>8.5081257698699719E-4</v>
      </c>
    </row>
    <row r="9121" spans="39:41" x14ac:dyDescent="0.25">
      <c r="AM9121" s="2">
        <v>9118</v>
      </c>
      <c r="AN9121" s="33">
        <v>1.188182908829678E-2</v>
      </c>
      <c r="AO9121" s="33">
        <v>1.0551388949873951E-3</v>
      </c>
    </row>
    <row r="9122" spans="39:41" x14ac:dyDescent="0.25">
      <c r="AM9122" s="2">
        <v>9119</v>
      </c>
      <c r="AN9122" s="33">
        <v>1.5896993527950775E-2</v>
      </c>
      <c r="AO9122" s="33">
        <v>1.4569890893747124E-3</v>
      </c>
    </row>
    <row r="9123" spans="39:41" x14ac:dyDescent="0.25">
      <c r="AM9123" s="2">
        <v>9120</v>
      </c>
      <c r="AN9123" s="33">
        <v>1.3371657883652015E-2</v>
      </c>
      <c r="AO9123" s="33">
        <v>8.6677041672087623E-4</v>
      </c>
    </row>
    <row r="9124" spans="39:41" x14ac:dyDescent="0.25">
      <c r="AM9124" s="2">
        <v>9121</v>
      </c>
      <c r="AN9124" s="33">
        <v>1.517508484189958E-2</v>
      </c>
      <c r="AO9124" s="33">
        <v>1.5412208123383206E-3</v>
      </c>
    </row>
    <row r="9125" spans="39:41" x14ac:dyDescent="0.25">
      <c r="AM9125" s="2">
        <v>9122</v>
      </c>
      <c r="AN9125" s="33">
        <v>9.3689041160580893E-3</v>
      </c>
      <c r="AO9125" s="33">
        <v>5.083563613050711E-4</v>
      </c>
    </row>
    <row r="9126" spans="39:41" x14ac:dyDescent="0.25">
      <c r="AM9126" s="2">
        <v>9123</v>
      </c>
      <c r="AN9126" s="33">
        <v>1.6353841552362757E-2</v>
      </c>
      <c r="AO9126" s="33">
        <v>1.4411465306967868E-3</v>
      </c>
    </row>
    <row r="9127" spans="39:41" x14ac:dyDescent="0.25">
      <c r="AM9127" s="2">
        <v>9124</v>
      </c>
      <c r="AN9127" s="33">
        <v>1.0910190882591309E-2</v>
      </c>
      <c r="AO9127" s="33">
        <v>1.6192906569933161E-4</v>
      </c>
    </row>
    <row r="9128" spans="39:41" x14ac:dyDescent="0.25">
      <c r="AM9128" s="2">
        <v>9125</v>
      </c>
      <c r="AN9128" s="33">
        <v>8.9293854377028685E-3</v>
      </c>
      <c r="AO9128" s="33">
        <v>5.3103480832768246E-4</v>
      </c>
    </row>
    <row r="9129" spans="39:41" x14ac:dyDescent="0.25">
      <c r="AM9129" s="2">
        <v>9126</v>
      </c>
      <c r="AN9129" s="33">
        <v>1.1364345984769503E-2</v>
      </c>
      <c r="AO9129" s="33">
        <v>1.0808329888556706E-3</v>
      </c>
    </row>
    <row r="9130" spans="39:41" x14ac:dyDescent="0.25">
      <c r="AM9130" s="2">
        <v>9127</v>
      </c>
      <c r="AN9130" s="33">
        <v>1.4385402270897497E-2</v>
      </c>
      <c r="AO9130" s="33">
        <v>1.0287657059404984E-3</v>
      </c>
    </row>
    <row r="9131" spans="39:41" x14ac:dyDescent="0.25">
      <c r="AM9131" s="2">
        <v>9128</v>
      </c>
      <c r="AN9131" s="33">
        <v>1.1015571007792621E-2</v>
      </c>
      <c r="AO9131" s="33">
        <v>7.501195297646764E-4</v>
      </c>
    </row>
    <row r="9132" spans="39:41" x14ac:dyDescent="0.25">
      <c r="AM9132" s="2">
        <v>9129</v>
      </c>
      <c r="AN9132" s="33">
        <v>1.025070212095614E-2</v>
      </c>
      <c r="AO9132" s="33">
        <v>3.4502805573387199E-4</v>
      </c>
    </row>
    <row r="9133" spans="39:41" x14ac:dyDescent="0.25">
      <c r="AM9133" s="2">
        <v>9130</v>
      </c>
      <c r="AN9133" s="33">
        <v>1.2193707343315187E-2</v>
      </c>
      <c r="AO9133" s="33">
        <v>1.1083781739282437E-3</v>
      </c>
    </row>
    <row r="9134" spans="39:41" x14ac:dyDescent="0.25">
      <c r="AM9134" s="2">
        <v>9131</v>
      </c>
      <c r="AN9134" s="33">
        <v>1.0845943344613737E-2</v>
      </c>
      <c r="AO9134" s="33">
        <v>7.5530415796735842E-4</v>
      </c>
    </row>
    <row r="9135" spans="39:41" x14ac:dyDescent="0.25">
      <c r="AM9135" s="2">
        <v>9132</v>
      </c>
      <c r="AN9135" s="33">
        <v>1.1302440433135674E-2</v>
      </c>
      <c r="AO9135" s="33">
        <v>6.3130952605265384E-4</v>
      </c>
    </row>
    <row r="9136" spans="39:41" x14ac:dyDescent="0.25">
      <c r="AM9136" s="2">
        <v>9133</v>
      </c>
      <c r="AN9136" s="33">
        <v>1.0099093724679813E-2</v>
      </c>
      <c r="AO9136" s="33">
        <v>6.7331123911760235E-4</v>
      </c>
    </row>
    <row r="9137" spans="39:41" x14ac:dyDescent="0.25">
      <c r="AM9137" s="2">
        <v>9134</v>
      </c>
      <c r="AN9137" s="33">
        <v>1.4307303798441444E-2</v>
      </c>
      <c r="AO9137" s="33">
        <v>7.967455700225775E-4</v>
      </c>
    </row>
    <row r="9138" spans="39:41" x14ac:dyDescent="0.25">
      <c r="AM9138" s="2">
        <v>9135</v>
      </c>
      <c r="AN9138" s="33">
        <v>1.15871448762986E-2</v>
      </c>
      <c r="AO9138" s="33">
        <v>9.3163294841293711E-4</v>
      </c>
    </row>
    <row r="9139" spans="39:41" x14ac:dyDescent="0.25">
      <c r="AM9139" s="2">
        <v>9136</v>
      </c>
      <c r="AN9139" s="33">
        <v>1.2254640427970887E-2</v>
      </c>
      <c r="AO9139" s="33">
        <v>4.848930478833348E-4</v>
      </c>
    </row>
    <row r="9140" spans="39:41" x14ac:dyDescent="0.25">
      <c r="AM9140" s="2">
        <v>9137</v>
      </c>
      <c r="AN9140" s="33">
        <v>1.0848243027829517E-2</v>
      </c>
      <c r="AO9140" s="33">
        <v>1.0628040479910158E-3</v>
      </c>
    </row>
    <row r="9141" spans="39:41" x14ac:dyDescent="0.25">
      <c r="AM9141" s="2">
        <v>9138</v>
      </c>
      <c r="AN9141" s="33">
        <v>1.087878678185418E-2</v>
      </c>
      <c r="AO9141" s="33">
        <v>7.7988072626128824E-4</v>
      </c>
    </row>
    <row r="9142" spans="39:41" x14ac:dyDescent="0.25">
      <c r="AM9142" s="2">
        <v>9139</v>
      </c>
      <c r="AN9142" s="33">
        <v>1.0306799848356986E-2</v>
      </c>
      <c r="AO9142" s="33">
        <v>1.3124422265236812E-4</v>
      </c>
    </row>
    <row r="9143" spans="39:41" x14ac:dyDescent="0.25">
      <c r="AM9143" s="2">
        <v>9140</v>
      </c>
      <c r="AN9143" s="33">
        <v>1.1197407542260771E-2</v>
      </c>
      <c r="AO9143" s="33">
        <v>1.1408745987980119E-3</v>
      </c>
    </row>
    <row r="9144" spans="39:41" x14ac:dyDescent="0.25">
      <c r="AM9144" s="2">
        <v>9141</v>
      </c>
      <c r="AN9144" s="33">
        <v>1.0513891730061588E-2</v>
      </c>
      <c r="AO9144" s="33">
        <v>7.0409747650269732E-4</v>
      </c>
    </row>
    <row r="9145" spans="39:41" x14ac:dyDescent="0.25">
      <c r="AM9145" s="2">
        <v>9142</v>
      </c>
      <c r="AN9145" s="33">
        <v>1.2470875996013066E-2</v>
      </c>
      <c r="AO9145" s="33">
        <v>9.651673404884873E-4</v>
      </c>
    </row>
    <row r="9146" spans="39:41" x14ac:dyDescent="0.25">
      <c r="AM9146" s="2">
        <v>9143</v>
      </c>
      <c r="AN9146" s="33">
        <v>1.1184945498306259E-2</v>
      </c>
      <c r="AO9146" s="33">
        <v>1.0469977741978317E-3</v>
      </c>
    </row>
    <row r="9147" spans="39:41" x14ac:dyDescent="0.25">
      <c r="AM9147" s="2">
        <v>9144</v>
      </c>
      <c r="AN9147" s="33">
        <v>9.9081122503952585E-3</v>
      </c>
      <c r="AO9147" s="33">
        <v>5.8869818423169557E-4</v>
      </c>
    </row>
    <row r="9148" spans="39:41" x14ac:dyDescent="0.25">
      <c r="AM9148" s="2">
        <v>9145</v>
      </c>
      <c r="AN9148" s="33">
        <v>1.3780166620479319E-2</v>
      </c>
      <c r="AO9148" s="33">
        <v>1.0763904177034781E-3</v>
      </c>
    </row>
    <row r="9149" spans="39:41" x14ac:dyDescent="0.25">
      <c r="AM9149" s="2">
        <v>9146</v>
      </c>
      <c r="AN9149" s="33">
        <v>1.154387958370673E-2</v>
      </c>
      <c r="AO9149" s="33">
        <v>9.1541551372756216E-4</v>
      </c>
    </row>
    <row r="9150" spans="39:41" x14ac:dyDescent="0.25">
      <c r="AM9150" s="2">
        <v>9147</v>
      </c>
      <c r="AN9150" s="33">
        <v>1.35656909327024E-2</v>
      </c>
      <c r="AO9150" s="33">
        <v>1.0604922296131596E-3</v>
      </c>
    </row>
    <row r="9151" spans="39:41" x14ac:dyDescent="0.25">
      <c r="AM9151" s="2">
        <v>9148</v>
      </c>
      <c r="AN9151" s="33">
        <v>1.1706237557100785E-2</v>
      </c>
      <c r="AO9151" s="33">
        <v>8.2794266835095132E-4</v>
      </c>
    </row>
    <row r="9152" spans="39:41" x14ac:dyDescent="0.25">
      <c r="AM9152" s="2">
        <v>9149</v>
      </c>
      <c r="AN9152" s="33">
        <v>1.1907703427321177E-2</v>
      </c>
      <c r="AO9152" s="33">
        <v>6.646111962268752E-4</v>
      </c>
    </row>
    <row r="9153" spans="39:41" x14ac:dyDescent="0.25">
      <c r="AM9153" s="2">
        <v>9150</v>
      </c>
      <c r="AN9153" s="33">
        <v>1.3619334028346926E-2</v>
      </c>
      <c r="AO9153" s="33">
        <v>1.1685925630011014E-3</v>
      </c>
    </row>
    <row r="9154" spans="39:41" x14ac:dyDescent="0.25">
      <c r="AM9154" s="2">
        <v>9151</v>
      </c>
      <c r="AN9154" s="33">
        <v>1.4609405421410461E-2</v>
      </c>
      <c r="AO9154" s="33">
        <v>1.5068107274986574E-3</v>
      </c>
    </row>
    <row r="9155" spans="39:41" x14ac:dyDescent="0.25">
      <c r="AM9155" s="2">
        <v>9152</v>
      </c>
      <c r="AN9155" s="33">
        <v>8.6017171064348644E-3</v>
      </c>
      <c r="AO9155" s="33">
        <v>5.2218547310048098E-4</v>
      </c>
    </row>
    <row r="9156" spans="39:41" x14ac:dyDescent="0.25">
      <c r="AM9156" s="2">
        <v>9153</v>
      </c>
      <c r="AN9156" s="33">
        <v>1.2601208261850624E-2</v>
      </c>
      <c r="AO9156" s="33">
        <v>1.23030800996825E-3</v>
      </c>
    </row>
    <row r="9157" spans="39:41" x14ac:dyDescent="0.25">
      <c r="AM9157" s="2">
        <v>9154</v>
      </c>
      <c r="AN9157" s="33">
        <v>1.2389979532116721E-2</v>
      </c>
      <c r="AO9157" s="33">
        <v>6.7967932337070227E-4</v>
      </c>
    </row>
    <row r="9158" spans="39:41" x14ac:dyDescent="0.25">
      <c r="AM9158" s="2">
        <v>9155</v>
      </c>
      <c r="AN9158" s="33">
        <v>1.086457098135429E-2</v>
      </c>
      <c r="AO9158" s="33">
        <v>7.9245890340262409E-4</v>
      </c>
    </row>
    <row r="9159" spans="39:41" x14ac:dyDescent="0.25">
      <c r="AM9159" s="2">
        <v>9156</v>
      </c>
      <c r="AN9159" s="33">
        <v>1.0201150350615971E-2</v>
      </c>
      <c r="AO9159" s="33">
        <v>5.2640058824038783E-4</v>
      </c>
    </row>
    <row r="9160" spans="39:41" x14ac:dyDescent="0.25">
      <c r="AM9160" s="2">
        <v>9157</v>
      </c>
      <c r="AN9160" s="33">
        <v>1.0866542286310909E-2</v>
      </c>
      <c r="AO9160" s="33">
        <v>9.7874320621861946E-4</v>
      </c>
    </row>
    <row r="9161" spans="39:41" x14ac:dyDescent="0.25">
      <c r="AM9161" s="2">
        <v>9158</v>
      </c>
      <c r="AN9161" s="33">
        <v>8.4093756842766963E-3</v>
      </c>
      <c r="AO9161" s="33">
        <v>5.4104312108252915E-4</v>
      </c>
    </row>
    <row r="9162" spans="39:41" x14ac:dyDescent="0.25">
      <c r="AM9162" s="2">
        <v>9159</v>
      </c>
      <c r="AN9162" s="33">
        <v>1.0042726613681895E-2</v>
      </c>
      <c r="AO9162" s="33">
        <v>5.0866296941839647E-4</v>
      </c>
    </row>
    <row r="9163" spans="39:41" x14ac:dyDescent="0.25">
      <c r="AM9163" s="2">
        <v>9160</v>
      </c>
      <c r="AN9163" s="33">
        <v>1.2439209273222174E-2</v>
      </c>
      <c r="AO9163" s="33">
        <v>8.5093884181528705E-4</v>
      </c>
    </row>
    <row r="9164" spans="39:41" x14ac:dyDescent="0.25">
      <c r="AM9164" s="2">
        <v>9161</v>
      </c>
      <c r="AN9164" s="33">
        <v>1.3310591708999193E-2</v>
      </c>
      <c r="AO9164" s="33">
        <v>1.18573268236846E-3</v>
      </c>
    </row>
    <row r="9165" spans="39:41" x14ac:dyDescent="0.25">
      <c r="AM9165" s="2">
        <v>9162</v>
      </c>
      <c r="AN9165" s="33">
        <v>1.2131529292077954E-2</v>
      </c>
      <c r="AO9165" s="33">
        <v>8.8691318219266593E-4</v>
      </c>
    </row>
    <row r="9166" spans="39:41" x14ac:dyDescent="0.25">
      <c r="AM9166" s="2">
        <v>9163</v>
      </c>
      <c r="AN9166" s="33">
        <v>1.0100534198103027E-2</v>
      </c>
      <c r="AO9166" s="33">
        <v>7.0867486153879979E-4</v>
      </c>
    </row>
    <row r="9167" spans="39:41" x14ac:dyDescent="0.25">
      <c r="AM9167" s="2">
        <v>9164</v>
      </c>
      <c r="AN9167" s="33">
        <v>1.035197960252067E-2</v>
      </c>
      <c r="AO9167" s="33">
        <v>6.3804015193368794E-4</v>
      </c>
    </row>
    <row r="9168" spans="39:41" x14ac:dyDescent="0.25">
      <c r="AM9168" s="2">
        <v>9165</v>
      </c>
      <c r="AN9168" s="33">
        <v>1.374262891622563E-2</v>
      </c>
      <c r="AO9168" s="33">
        <v>1.3670104877956E-3</v>
      </c>
    </row>
    <row r="9169" spans="39:41" x14ac:dyDescent="0.25">
      <c r="AM9169" s="2">
        <v>9166</v>
      </c>
      <c r="AN9169" s="33">
        <v>1.1385050799442095E-2</v>
      </c>
      <c r="AO9169" s="33">
        <v>1.0209159959722518E-3</v>
      </c>
    </row>
    <row r="9170" spans="39:41" x14ac:dyDescent="0.25">
      <c r="AM9170" s="2">
        <v>9167</v>
      </c>
      <c r="AN9170" s="33">
        <v>1.2210113044585904E-2</v>
      </c>
      <c r="AO9170" s="33">
        <v>1.0011400772300645E-3</v>
      </c>
    </row>
    <row r="9171" spans="39:41" x14ac:dyDescent="0.25">
      <c r="AM9171" s="2">
        <v>9168</v>
      </c>
      <c r="AN9171" s="33">
        <v>1.1786204585597718E-2</v>
      </c>
      <c r="AO9171" s="33">
        <v>3.9351417182664533E-4</v>
      </c>
    </row>
    <row r="9172" spans="39:41" x14ac:dyDescent="0.25">
      <c r="AM9172" s="2">
        <v>9169</v>
      </c>
      <c r="AN9172" s="33">
        <v>1.2657008534332782E-2</v>
      </c>
      <c r="AO9172" s="33">
        <v>1.1937795482108676E-3</v>
      </c>
    </row>
    <row r="9173" spans="39:41" x14ac:dyDescent="0.25">
      <c r="AM9173" s="2">
        <v>9170</v>
      </c>
      <c r="AN9173" s="33">
        <v>1.400653817436855E-2</v>
      </c>
      <c r="AO9173" s="33">
        <v>7.053926381918815E-4</v>
      </c>
    </row>
    <row r="9174" spans="39:41" x14ac:dyDescent="0.25">
      <c r="AM9174" s="2">
        <v>9171</v>
      </c>
      <c r="AN9174" s="33">
        <v>8.9272689831852055E-3</v>
      </c>
      <c r="AO9174" s="33">
        <v>6.5551165684119277E-4</v>
      </c>
    </row>
    <row r="9175" spans="39:41" x14ac:dyDescent="0.25">
      <c r="AM9175" s="2">
        <v>9172</v>
      </c>
      <c r="AN9175" s="33">
        <v>1.1820335144153836E-2</v>
      </c>
      <c r="AO9175" s="33">
        <v>9.0168843610359496E-4</v>
      </c>
    </row>
    <row r="9176" spans="39:41" x14ac:dyDescent="0.25">
      <c r="AM9176" s="2">
        <v>9173</v>
      </c>
      <c r="AN9176" s="33">
        <v>1.3531903157509935E-2</v>
      </c>
      <c r="AO9176" s="33">
        <v>7.856309661909526E-4</v>
      </c>
    </row>
    <row r="9177" spans="39:41" x14ac:dyDescent="0.25">
      <c r="AM9177" s="2">
        <v>9174</v>
      </c>
      <c r="AN9177" s="33">
        <v>1.056335345219901E-2</v>
      </c>
      <c r="AO9177" s="33">
        <v>7.4901806956254328E-4</v>
      </c>
    </row>
    <row r="9178" spans="39:41" x14ac:dyDescent="0.25">
      <c r="AM9178" s="2">
        <v>9175</v>
      </c>
      <c r="AN9178" s="33">
        <v>9.3194179869374467E-3</v>
      </c>
      <c r="AO9178" s="33">
        <v>6.3725023936017742E-4</v>
      </c>
    </row>
    <row r="9179" spans="39:41" x14ac:dyDescent="0.25">
      <c r="AM9179" s="2">
        <v>9176</v>
      </c>
      <c r="AN9179" s="33">
        <v>1.1051347669841075E-2</v>
      </c>
      <c r="AO9179" s="33">
        <v>7.2175757234461924E-4</v>
      </c>
    </row>
    <row r="9180" spans="39:41" x14ac:dyDescent="0.25">
      <c r="AM9180" s="2">
        <v>9177</v>
      </c>
      <c r="AN9180" s="33">
        <v>1.3267209845615115E-2</v>
      </c>
      <c r="AO9180" s="33">
        <v>1.0405059414782588E-3</v>
      </c>
    </row>
    <row r="9181" spans="39:41" x14ac:dyDescent="0.25">
      <c r="AM9181" s="2">
        <v>9178</v>
      </c>
      <c r="AN9181" s="33">
        <v>1.3583282731118024E-2</v>
      </c>
      <c r="AO9181" s="33">
        <v>3.0962583646269263E-4</v>
      </c>
    </row>
    <row r="9182" spans="39:41" x14ac:dyDescent="0.25">
      <c r="AM9182" s="2">
        <v>9179</v>
      </c>
      <c r="AN9182" s="33">
        <v>7.967170532600102E-3</v>
      </c>
      <c r="AO9182" s="33">
        <v>6.5646283823751934E-4</v>
      </c>
    </row>
    <row r="9183" spans="39:41" x14ac:dyDescent="0.25">
      <c r="AM9183" s="2">
        <v>9180</v>
      </c>
      <c r="AN9183" s="33">
        <v>8.7069288098952802E-3</v>
      </c>
      <c r="AO9183" s="33">
        <v>6.1170197977359903E-4</v>
      </c>
    </row>
    <row r="9184" spans="39:41" x14ac:dyDescent="0.25">
      <c r="AM9184" s="2">
        <v>9181</v>
      </c>
      <c r="AN9184" s="33">
        <v>1.2993914614568756E-2</v>
      </c>
      <c r="AO9184" s="33">
        <v>6.5672973514090181E-4</v>
      </c>
    </row>
    <row r="9185" spans="39:41" x14ac:dyDescent="0.25">
      <c r="AM9185" s="2">
        <v>9182</v>
      </c>
      <c r="AN9185" s="33">
        <v>1.2336076023865999E-2</v>
      </c>
      <c r="AO9185" s="33">
        <v>7.6684969037979229E-4</v>
      </c>
    </row>
    <row r="9186" spans="39:41" x14ac:dyDescent="0.25">
      <c r="AM9186" s="2">
        <v>9183</v>
      </c>
      <c r="AN9186" s="33">
        <v>8.7775322563421274E-3</v>
      </c>
      <c r="AO9186" s="33">
        <v>2.6210513310382294E-4</v>
      </c>
    </row>
    <row r="9187" spans="39:41" x14ac:dyDescent="0.25">
      <c r="AM9187" s="2">
        <v>9184</v>
      </c>
      <c r="AN9187" s="33">
        <v>1.1551858002899209E-2</v>
      </c>
      <c r="AO9187" s="33">
        <v>5.2072355874497375E-4</v>
      </c>
    </row>
    <row r="9188" spans="39:41" x14ac:dyDescent="0.25">
      <c r="AM9188" s="2">
        <v>9185</v>
      </c>
      <c r="AN9188" s="33">
        <v>1.0369461925148695E-2</v>
      </c>
      <c r="AO9188" s="33">
        <v>7.9011751699873832E-4</v>
      </c>
    </row>
    <row r="9189" spans="39:41" x14ac:dyDescent="0.25">
      <c r="AM9189" s="2">
        <v>9186</v>
      </c>
      <c r="AN9189" s="33">
        <v>8.1186485338325259E-3</v>
      </c>
      <c r="AO9189" s="33">
        <v>5.6429197137596802E-4</v>
      </c>
    </row>
    <row r="9190" spans="39:41" x14ac:dyDescent="0.25">
      <c r="AM9190" s="2">
        <v>9187</v>
      </c>
      <c r="AN9190" s="33">
        <v>1.1910015979343502E-2</v>
      </c>
      <c r="AO9190" s="33">
        <v>1.142202612778452E-3</v>
      </c>
    </row>
    <row r="9191" spans="39:41" x14ac:dyDescent="0.25">
      <c r="AM9191" s="2">
        <v>9188</v>
      </c>
      <c r="AN9191" s="33">
        <v>9.7087908016234709E-3</v>
      </c>
      <c r="AO9191" s="33">
        <v>7.3763347177427515E-4</v>
      </c>
    </row>
    <row r="9192" spans="39:41" x14ac:dyDescent="0.25">
      <c r="AM9192" s="2">
        <v>9189</v>
      </c>
      <c r="AN9192" s="33">
        <v>1.0694816957920546E-2</v>
      </c>
      <c r="AO9192" s="33">
        <v>9.7165958310939881E-4</v>
      </c>
    </row>
    <row r="9193" spans="39:41" x14ac:dyDescent="0.25">
      <c r="AM9193" s="2">
        <v>9190</v>
      </c>
      <c r="AN9193" s="33">
        <v>1.2166187822797811E-2</v>
      </c>
      <c r="AO9193" s="33">
        <v>8.9902287674769362E-4</v>
      </c>
    </row>
    <row r="9194" spans="39:41" x14ac:dyDescent="0.25">
      <c r="AM9194" s="2">
        <v>9191</v>
      </c>
      <c r="AN9194" s="33">
        <v>9.4647966708022273E-3</v>
      </c>
      <c r="AO9194" s="33">
        <v>3.1817397003608731E-4</v>
      </c>
    </row>
    <row r="9195" spans="39:41" x14ac:dyDescent="0.25">
      <c r="AM9195" s="2">
        <v>9192</v>
      </c>
      <c r="AN9195" s="33">
        <v>1.0206964670629823E-2</v>
      </c>
      <c r="AO9195" s="33">
        <v>5.2135624937494241E-4</v>
      </c>
    </row>
    <row r="9196" spans="39:41" x14ac:dyDescent="0.25">
      <c r="AM9196" s="2">
        <v>9193</v>
      </c>
      <c r="AN9196" s="33">
        <v>9.9865819873605211E-3</v>
      </c>
      <c r="AO9196" s="33">
        <v>6.0081889154181328E-4</v>
      </c>
    </row>
    <row r="9197" spans="39:41" x14ac:dyDescent="0.25">
      <c r="AM9197" s="2">
        <v>9194</v>
      </c>
      <c r="AN9197" s="33">
        <v>9.2786976328996067E-3</v>
      </c>
      <c r="AO9197" s="33">
        <v>8.2497060506446561E-4</v>
      </c>
    </row>
    <row r="9198" spans="39:41" x14ac:dyDescent="0.25">
      <c r="AM9198" s="2">
        <v>9195</v>
      </c>
      <c r="AN9198" s="33">
        <v>1.4743386851074103E-2</v>
      </c>
      <c r="AO9198" s="33">
        <v>9.8374726452981633E-4</v>
      </c>
    </row>
    <row r="9199" spans="39:41" x14ac:dyDescent="0.25">
      <c r="AM9199" s="2">
        <v>9196</v>
      </c>
      <c r="AN9199" s="33">
        <v>1.2159410364585005E-2</v>
      </c>
      <c r="AO9199" s="33">
        <v>6.529887028664229E-4</v>
      </c>
    </row>
    <row r="9200" spans="39:41" x14ac:dyDescent="0.25">
      <c r="AM9200" s="2">
        <v>9197</v>
      </c>
      <c r="AN9200" s="33">
        <v>1.0374762350206531E-2</v>
      </c>
      <c r="AO9200" s="33">
        <v>6.5950891479873487E-4</v>
      </c>
    </row>
    <row r="9201" spans="39:41" x14ac:dyDescent="0.25">
      <c r="AM9201" s="2">
        <v>9198</v>
      </c>
      <c r="AN9201" s="33">
        <v>7.5311067274726204E-3</v>
      </c>
      <c r="AO9201" s="33">
        <v>6.0624249374375584E-4</v>
      </c>
    </row>
    <row r="9202" spans="39:41" x14ac:dyDescent="0.25">
      <c r="AM9202" s="2">
        <v>9199</v>
      </c>
      <c r="AN9202" s="33">
        <v>1.1375655626007874E-2</v>
      </c>
      <c r="AO9202" s="33">
        <v>5.7350905031347901E-4</v>
      </c>
    </row>
    <row r="9203" spans="39:41" x14ac:dyDescent="0.25">
      <c r="AM9203" s="2">
        <v>9200</v>
      </c>
      <c r="AN9203" s="33">
        <v>1.2273716923278019E-2</v>
      </c>
      <c r="AO9203" s="33">
        <v>9.157900819430604E-4</v>
      </c>
    </row>
    <row r="9204" spans="39:41" x14ac:dyDescent="0.25">
      <c r="AM9204" s="2">
        <v>9201</v>
      </c>
      <c r="AN9204" s="33">
        <v>1.2988358879070839E-2</v>
      </c>
      <c r="AO9204" s="33">
        <v>1.1303962894968083E-3</v>
      </c>
    </row>
    <row r="9205" spans="39:41" x14ac:dyDescent="0.25">
      <c r="AM9205" s="2">
        <v>9202</v>
      </c>
      <c r="AN9205" s="33">
        <v>1.2743214992567838E-2</v>
      </c>
      <c r="AO9205" s="33">
        <v>8.4447113781891032E-4</v>
      </c>
    </row>
    <row r="9206" spans="39:41" x14ac:dyDescent="0.25">
      <c r="AM9206" s="2">
        <v>9203</v>
      </c>
      <c r="AN9206" s="33">
        <v>1.2251319046649625E-2</v>
      </c>
      <c r="AO9206" s="33">
        <v>6.2829965220533913E-4</v>
      </c>
    </row>
    <row r="9207" spans="39:41" x14ac:dyDescent="0.25">
      <c r="AM9207" s="2">
        <v>9204</v>
      </c>
      <c r="AN9207" s="33">
        <v>9.902241551618101E-3</v>
      </c>
      <c r="AO9207" s="33">
        <v>7.7281022970296972E-4</v>
      </c>
    </row>
    <row r="9208" spans="39:41" x14ac:dyDescent="0.25">
      <c r="AM9208" s="2">
        <v>9205</v>
      </c>
      <c r="AN9208" s="33">
        <v>1.6488167450908628E-2</v>
      </c>
      <c r="AO9208" s="33">
        <v>1.3977888836960756E-3</v>
      </c>
    </row>
    <row r="9209" spans="39:41" x14ac:dyDescent="0.25">
      <c r="AM9209" s="2">
        <v>9206</v>
      </c>
      <c r="AN9209" s="33">
        <v>1.5553102023470083E-2</v>
      </c>
      <c r="AO9209" s="33">
        <v>1.230046290299711E-3</v>
      </c>
    </row>
    <row r="9210" spans="39:41" x14ac:dyDescent="0.25">
      <c r="AM9210" s="2">
        <v>9207</v>
      </c>
      <c r="AN9210" s="33">
        <v>1.3935264404761233E-2</v>
      </c>
      <c r="AO9210" s="33">
        <v>1.2066167445141057E-3</v>
      </c>
    </row>
    <row r="9211" spans="39:41" x14ac:dyDescent="0.25">
      <c r="AM9211" s="2">
        <v>9208</v>
      </c>
      <c r="AN9211" s="33">
        <v>1.2220120885523727E-2</v>
      </c>
      <c r="AO9211" s="33">
        <v>7.0418344988609392E-4</v>
      </c>
    </row>
    <row r="9212" spans="39:41" x14ac:dyDescent="0.25">
      <c r="AM9212" s="2">
        <v>9209</v>
      </c>
      <c r="AN9212" s="33">
        <v>1.3912104056118658E-2</v>
      </c>
      <c r="AO9212" s="33">
        <v>9.4879610847444342E-4</v>
      </c>
    </row>
    <row r="9213" spans="39:41" x14ac:dyDescent="0.25">
      <c r="AM9213" s="2">
        <v>9210</v>
      </c>
      <c r="AN9213" s="33">
        <v>1.345142368842437E-2</v>
      </c>
      <c r="AO9213" s="33">
        <v>1.0802782501622365E-3</v>
      </c>
    </row>
    <row r="9214" spans="39:41" x14ac:dyDescent="0.25">
      <c r="AM9214" s="2">
        <v>9211</v>
      </c>
      <c r="AN9214" s="33">
        <v>9.9843792360339509E-3</v>
      </c>
      <c r="AO9214" s="33">
        <v>6.710783712545078E-4</v>
      </c>
    </row>
    <row r="9215" spans="39:41" x14ac:dyDescent="0.25">
      <c r="AM9215" s="2">
        <v>9212</v>
      </c>
      <c r="AN9215" s="33">
        <v>1.2555616323492476E-2</v>
      </c>
      <c r="AO9215" s="33">
        <v>8.5852982811819643E-4</v>
      </c>
    </row>
    <row r="9216" spans="39:41" x14ac:dyDescent="0.25">
      <c r="AM9216" s="2">
        <v>9213</v>
      </c>
      <c r="AN9216" s="33">
        <v>1.454151278055821E-2</v>
      </c>
      <c r="AO9216" s="33">
        <v>1.4472586158728517E-3</v>
      </c>
    </row>
    <row r="9217" spans="39:41" x14ac:dyDescent="0.25">
      <c r="AM9217" s="2">
        <v>9214</v>
      </c>
      <c r="AN9217" s="33">
        <v>1.3637586896138946E-2</v>
      </c>
      <c r="AO9217" s="33">
        <v>1.2227639580875303E-3</v>
      </c>
    </row>
    <row r="9218" spans="39:41" x14ac:dyDescent="0.25">
      <c r="AM9218" s="2">
        <v>9215</v>
      </c>
      <c r="AN9218" s="33">
        <v>1.6072770501597802E-2</v>
      </c>
      <c r="AO9218" s="33">
        <v>1.2738106173675852E-3</v>
      </c>
    </row>
    <row r="9219" spans="39:41" x14ac:dyDescent="0.25">
      <c r="AM9219" s="2">
        <v>9216</v>
      </c>
      <c r="AN9219" s="33">
        <v>1.0349822633094839E-2</v>
      </c>
      <c r="AO9219" s="33">
        <v>3.7264141267263489E-4</v>
      </c>
    </row>
    <row r="9220" spans="39:41" x14ac:dyDescent="0.25">
      <c r="AM9220" s="2">
        <v>9217</v>
      </c>
      <c r="AN9220" s="33">
        <v>8.9818963281729641E-3</v>
      </c>
      <c r="AO9220" s="33">
        <v>5.1420917107061824E-4</v>
      </c>
    </row>
    <row r="9221" spans="39:41" x14ac:dyDescent="0.25">
      <c r="AM9221" s="2">
        <v>9218</v>
      </c>
      <c r="AN9221" s="33">
        <v>9.6023205930454089E-3</v>
      </c>
      <c r="AO9221" s="33">
        <v>6.0138559937678851E-4</v>
      </c>
    </row>
    <row r="9222" spans="39:41" x14ac:dyDescent="0.25">
      <c r="AM9222" s="2">
        <v>9219</v>
      </c>
      <c r="AN9222" s="33">
        <v>1.0340053868055945E-2</v>
      </c>
      <c r="AO9222" s="33">
        <v>4.8046868773973057E-4</v>
      </c>
    </row>
    <row r="9223" spans="39:41" x14ac:dyDescent="0.25">
      <c r="AM9223" s="2">
        <v>9220</v>
      </c>
      <c r="AN9223" s="33">
        <v>1.2168035494687842E-2</v>
      </c>
      <c r="AO9223" s="33">
        <v>1.1123972182715798E-3</v>
      </c>
    </row>
    <row r="9224" spans="39:41" x14ac:dyDescent="0.25">
      <c r="AM9224" s="2">
        <v>9221</v>
      </c>
      <c r="AN9224" s="33">
        <v>1.10197140889372E-2</v>
      </c>
      <c r="AO9224" s="33">
        <v>4.601967127583595E-4</v>
      </c>
    </row>
    <row r="9225" spans="39:41" x14ac:dyDescent="0.25">
      <c r="AM9225" s="2">
        <v>9222</v>
      </c>
      <c r="AN9225" s="33">
        <v>1.4371874080215943E-2</v>
      </c>
      <c r="AO9225" s="33">
        <v>1.2661913662137408E-3</v>
      </c>
    </row>
    <row r="9226" spans="39:41" x14ac:dyDescent="0.25">
      <c r="AM9226" s="2">
        <v>9223</v>
      </c>
      <c r="AN9226" s="33">
        <v>1.1378134431310274E-2</v>
      </c>
      <c r="AO9226" s="33">
        <v>4.7920734470236566E-4</v>
      </c>
    </row>
    <row r="9227" spans="39:41" x14ac:dyDescent="0.25">
      <c r="AM9227" s="2">
        <v>9224</v>
      </c>
      <c r="AN9227" s="33">
        <v>8.9794287888191413E-3</v>
      </c>
      <c r="AO9227" s="33">
        <v>7.988639615978142E-4</v>
      </c>
    </row>
    <row r="9228" spans="39:41" x14ac:dyDescent="0.25">
      <c r="AM9228" s="2">
        <v>9225</v>
      </c>
      <c r="AN9228" s="33">
        <v>1.2761913065255117E-2</v>
      </c>
      <c r="AO9228" s="33">
        <v>1.0452331791905114E-3</v>
      </c>
    </row>
    <row r="9229" spans="39:41" x14ac:dyDescent="0.25">
      <c r="AM9229" s="2">
        <v>9226</v>
      </c>
      <c r="AN9229" s="33">
        <v>1.10278954198673E-2</v>
      </c>
      <c r="AO9229" s="33">
        <v>5.0530359673251098E-4</v>
      </c>
    </row>
    <row r="9230" spans="39:41" x14ac:dyDescent="0.25">
      <c r="AM9230" s="2">
        <v>9227</v>
      </c>
      <c r="AN9230" s="33">
        <v>1.197585556806844E-2</v>
      </c>
      <c r="AO9230" s="33">
        <v>7.0714959853242589E-4</v>
      </c>
    </row>
    <row r="9231" spans="39:41" x14ac:dyDescent="0.25">
      <c r="AM9231" s="2">
        <v>9228</v>
      </c>
      <c r="AN9231" s="33">
        <v>1.1509504152371005E-2</v>
      </c>
      <c r="AO9231" s="33">
        <v>1.0278297713172467E-3</v>
      </c>
    </row>
    <row r="9232" spans="39:41" x14ac:dyDescent="0.25">
      <c r="AM9232" s="2">
        <v>9229</v>
      </c>
      <c r="AN9232" s="33">
        <v>1.3472885895022815E-2</v>
      </c>
      <c r="AO9232" s="33">
        <v>1.2456036899505852E-3</v>
      </c>
    </row>
    <row r="9233" spans="39:41" x14ac:dyDescent="0.25">
      <c r="AM9233" s="2">
        <v>9230</v>
      </c>
      <c r="AN9233" s="33">
        <v>1.0555278786799795E-2</v>
      </c>
      <c r="AO9233" s="33">
        <v>7.982499372388112E-4</v>
      </c>
    </row>
    <row r="9234" spans="39:41" x14ac:dyDescent="0.25">
      <c r="AM9234" s="2">
        <v>9231</v>
      </c>
      <c r="AN9234" s="33">
        <v>1.1376117044945155E-2</v>
      </c>
      <c r="AO9234" s="33">
        <v>5.9860233831211752E-4</v>
      </c>
    </row>
    <row r="9235" spans="39:41" x14ac:dyDescent="0.25">
      <c r="AM9235" s="2">
        <v>9232</v>
      </c>
      <c r="AN9235" s="33">
        <v>9.740371829587962E-3</v>
      </c>
      <c r="AO9235" s="33">
        <v>5.7486568957874462E-4</v>
      </c>
    </row>
    <row r="9236" spans="39:41" x14ac:dyDescent="0.25">
      <c r="AM9236" s="2">
        <v>9233</v>
      </c>
      <c r="AN9236" s="33">
        <v>1.2862265736053034E-2</v>
      </c>
      <c r="AO9236" s="33">
        <v>9.1479996289269992E-4</v>
      </c>
    </row>
    <row r="9237" spans="39:41" x14ac:dyDescent="0.25">
      <c r="AM9237" s="2">
        <v>9234</v>
      </c>
      <c r="AN9237" s="33">
        <v>1.3100576460446101E-2</v>
      </c>
      <c r="AO9237" s="33">
        <v>1.0641984595740855E-3</v>
      </c>
    </row>
    <row r="9238" spans="39:41" x14ac:dyDescent="0.25">
      <c r="AM9238" s="2">
        <v>9235</v>
      </c>
      <c r="AN9238" s="33">
        <v>7.5652313462511167E-3</v>
      </c>
      <c r="AO9238" s="33">
        <v>5.8936455241674764E-4</v>
      </c>
    </row>
    <row r="9239" spans="39:41" x14ac:dyDescent="0.25">
      <c r="AM9239" s="2">
        <v>9236</v>
      </c>
      <c r="AN9239" s="33">
        <v>1.172964401108309E-2</v>
      </c>
      <c r="AO9239" s="33">
        <v>8.7466846139808738E-4</v>
      </c>
    </row>
    <row r="9240" spans="39:41" x14ac:dyDescent="0.25">
      <c r="AM9240" s="2">
        <v>9237</v>
      </c>
      <c r="AN9240" s="33">
        <v>1.1834982086805362E-2</v>
      </c>
      <c r="AO9240" s="33">
        <v>8.9774587763616939E-4</v>
      </c>
    </row>
    <row r="9241" spans="39:41" x14ac:dyDescent="0.25">
      <c r="AM9241" s="2">
        <v>9238</v>
      </c>
      <c r="AN9241" s="33">
        <v>1.2883829073891488E-2</v>
      </c>
      <c r="AO9241" s="33">
        <v>6.7697646848228945E-4</v>
      </c>
    </row>
    <row r="9242" spans="39:41" x14ac:dyDescent="0.25">
      <c r="AM9242" s="2">
        <v>9239</v>
      </c>
      <c r="AN9242" s="33">
        <v>1.2731566049188797E-2</v>
      </c>
      <c r="AO9242" s="33">
        <v>8.3492319862521415E-4</v>
      </c>
    </row>
    <row r="9243" spans="39:41" x14ac:dyDescent="0.25">
      <c r="AM9243" s="2">
        <v>9240</v>
      </c>
      <c r="AN9243" s="33">
        <v>1.1136103181611746E-2</v>
      </c>
      <c r="AO9243" s="33">
        <v>1.0046668636261029E-3</v>
      </c>
    </row>
    <row r="9244" spans="39:41" x14ac:dyDescent="0.25">
      <c r="AM9244" s="2">
        <v>9241</v>
      </c>
      <c r="AN9244" s="33">
        <v>1.2131943291600175E-2</v>
      </c>
      <c r="AO9244" s="33">
        <v>9.6081305975494907E-4</v>
      </c>
    </row>
    <row r="9245" spans="39:41" x14ac:dyDescent="0.25">
      <c r="AM9245" s="2">
        <v>9242</v>
      </c>
      <c r="AN9245" s="33">
        <v>1.2347391069184309E-2</v>
      </c>
      <c r="AO9245" s="33">
        <v>9.8793197830504553E-4</v>
      </c>
    </row>
    <row r="9246" spans="39:41" x14ac:dyDescent="0.25">
      <c r="AM9246" s="2">
        <v>9243</v>
      </c>
      <c r="AN9246" s="33">
        <v>8.6882609732101945E-3</v>
      </c>
      <c r="AO9246" s="33">
        <v>3.0276086144412904E-4</v>
      </c>
    </row>
    <row r="9247" spans="39:41" x14ac:dyDescent="0.25">
      <c r="AM9247" s="2">
        <v>9244</v>
      </c>
      <c r="AN9247" s="33">
        <v>1.3826057476524871E-2</v>
      </c>
      <c r="AO9247" s="33">
        <v>1.102329489696084E-3</v>
      </c>
    </row>
    <row r="9248" spans="39:41" x14ac:dyDescent="0.25">
      <c r="AM9248" s="2">
        <v>9245</v>
      </c>
      <c r="AN9248" s="33">
        <v>8.801560478849741E-3</v>
      </c>
      <c r="AO9248" s="33">
        <v>6.3475444501835405E-4</v>
      </c>
    </row>
    <row r="9249" spans="39:41" x14ac:dyDescent="0.25">
      <c r="AM9249" s="2">
        <v>9246</v>
      </c>
      <c r="AN9249" s="33">
        <v>1.1353664695318316E-2</v>
      </c>
      <c r="AO9249" s="33">
        <v>1.7278137601648411E-5</v>
      </c>
    </row>
    <row r="9250" spans="39:41" x14ac:dyDescent="0.25">
      <c r="AM9250" s="2">
        <v>9247</v>
      </c>
      <c r="AN9250" s="33">
        <v>1.4134914228258782E-2</v>
      </c>
      <c r="AO9250" s="33">
        <v>1.304673541954237E-3</v>
      </c>
    </row>
    <row r="9251" spans="39:41" x14ac:dyDescent="0.25">
      <c r="AM9251" s="2">
        <v>9248</v>
      </c>
      <c r="AN9251" s="33">
        <v>1.4451552632360476E-2</v>
      </c>
      <c r="AO9251" s="33">
        <v>1.1358612420137751E-3</v>
      </c>
    </row>
    <row r="9252" spans="39:41" x14ac:dyDescent="0.25">
      <c r="AM9252" s="2">
        <v>9249</v>
      </c>
      <c r="AN9252" s="33">
        <v>1.1174874261136515E-2</v>
      </c>
      <c r="AO9252" s="33">
        <v>6.1082711650219904E-4</v>
      </c>
    </row>
    <row r="9253" spans="39:41" x14ac:dyDescent="0.25">
      <c r="AM9253" s="2">
        <v>9250</v>
      </c>
      <c r="AN9253" s="33">
        <v>1.1293739971032737E-2</v>
      </c>
      <c r="AO9253" s="33">
        <v>4.8566404146751997E-4</v>
      </c>
    </row>
    <row r="9254" spans="39:41" x14ac:dyDescent="0.25">
      <c r="AM9254" s="2">
        <v>9251</v>
      </c>
      <c r="AN9254" s="33">
        <v>1.004206976966722E-2</v>
      </c>
      <c r="AO9254" s="33">
        <v>3.1438482839641821E-4</v>
      </c>
    </row>
    <row r="9255" spans="39:41" x14ac:dyDescent="0.25">
      <c r="AM9255" s="2">
        <v>9252</v>
      </c>
      <c r="AN9255" s="33">
        <v>9.3835202134870069E-3</v>
      </c>
      <c r="AO9255" s="33">
        <v>4.1604370019779406E-4</v>
      </c>
    </row>
    <row r="9256" spans="39:41" x14ac:dyDescent="0.25">
      <c r="AM9256" s="2">
        <v>9253</v>
      </c>
      <c r="AN9256" s="33">
        <v>1.2287005879805E-2</v>
      </c>
      <c r="AO9256" s="33">
        <v>6.3573315785227799E-4</v>
      </c>
    </row>
    <row r="9257" spans="39:41" x14ac:dyDescent="0.25">
      <c r="AM9257" s="2">
        <v>9254</v>
      </c>
      <c r="AN9257" s="33">
        <v>1.1221031964240574E-2</v>
      </c>
      <c r="AO9257" s="33">
        <v>9.5978027204512105E-4</v>
      </c>
    </row>
    <row r="9258" spans="39:41" x14ac:dyDescent="0.25">
      <c r="AM9258" s="2">
        <v>9255</v>
      </c>
      <c r="AN9258" s="33">
        <v>9.5396771659617963E-3</v>
      </c>
      <c r="AO9258" s="33">
        <v>7.3018664059503694E-4</v>
      </c>
    </row>
    <row r="9259" spans="39:41" x14ac:dyDescent="0.25">
      <c r="AM9259" s="2">
        <v>9256</v>
      </c>
      <c r="AN9259" s="33">
        <v>9.3524330101245716E-3</v>
      </c>
      <c r="AO9259" s="33">
        <v>8.41600885641898E-4</v>
      </c>
    </row>
    <row r="9260" spans="39:41" x14ac:dyDescent="0.25">
      <c r="AM9260" s="2">
        <v>9257</v>
      </c>
      <c r="AN9260" s="33">
        <v>1.2484364246246948E-2</v>
      </c>
      <c r="AO9260" s="33">
        <v>7.0801574439491744E-4</v>
      </c>
    </row>
    <row r="9261" spans="39:41" x14ac:dyDescent="0.25">
      <c r="AM9261" s="2">
        <v>9258</v>
      </c>
      <c r="AN9261" s="33">
        <v>1.2228468546623435E-2</v>
      </c>
      <c r="AO9261" s="33">
        <v>5.2475770372041662E-4</v>
      </c>
    </row>
    <row r="9262" spans="39:41" x14ac:dyDescent="0.25">
      <c r="AM9262" s="2">
        <v>9259</v>
      </c>
      <c r="AN9262" s="33">
        <v>1.0043285297109013E-2</v>
      </c>
      <c r="AO9262" s="33">
        <v>1.4965968041034781E-4</v>
      </c>
    </row>
    <row r="9263" spans="39:41" x14ac:dyDescent="0.25">
      <c r="AM9263" s="2">
        <v>9260</v>
      </c>
      <c r="AN9263" s="33">
        <v>7.4775506786128841E-3</v>
      </c>
      <c r="AO9263" s="33">
        <v>5.1273027894144154E-4</v>
      </c>
    </row>
    <row r="9264" spans="39:41" x14ac:dyDescent="0.25">
      <c r="AM9264" s="2">
        <v>9261</v>
      </c>
      <c r="AN9264" s="33">
        <v>1.1137777346796168E-2</v>
      </c>
      <c r="AO9264" s="33">
        <v>8.4662783438523264E-4</v>
      </c>
    </row>
    <row r="9265" spans="39:41" x14ac:dyDescent="0.25">
      <c r="AM9265" s="2">
        <v>9262</v>
      </c>
      <c r="AN9265" s="33">
        <v>1.3698150516725937E-2</v>
      </c>
      <c r="AO9265" s="33">
        <v>1.1236306389907785E-3</v>
      </c>
    </row>
    <row r="9266" spans="39:41" x14ac:dyDescent="0.25">
      <c r="AM9266" s="2">
        <v>9263</v>
      </c>
      <c r="AN9266" s="33">
        <v>1.1604804207847125E-2</v>
      </c>
      <c r="AO9266" s="33">
        <v>1.0753190287069744E-3</v>
      </c>
    </row>
    <row r="9267" spans="39:41" x14ac:dyDescent="0.25">
      <c r="AM9267" s="2">
        <v>9264</v>
      </c>
      <c r="AN9267" s="33">
        <v>1.2534735283642627E-2</v>
      </c>
      <c r="AO9267" s="33">
        <v>9.1698422801995126E-4</v>
      </c>
    </row>
    <row r="9268" spans="39:41" x14ac:dyDescent="0.25">
      <c r="AM9268" s="2">
        <v>9265</v>
      </c>
      <c r="AN9268" s="33">
        <v>1.0455695568601349E-2</v>
      </c>
      <c r="AO9268" s="33">
        <v>9.3453944436549749E-4</v>
      </c>
    </row>
    <row r="9269" spans="39:41" x14ac:dyDescent="0.25">
      <c r="AM9269" s="2">
        <v>9266</v>
      </c>
      <c r="AN9269" s="33">
        <v>9.9388874362903324E-3</v>
      </c>
      <c r="AO9269" s="33">
        <v>8.7466130667590656E-4</v>
      </c>
    </row>
    <row r="9270" spans="39:41" x14ac:dyDescent="0.25">
      <c r="AM9270" s="2">
        <v>9267</v>
      </c>
      <c r="AN9270" s="33">
        <v>1.1360144810747949E-2</v>
      </c>
      <c r="AO9270" s="33">
        <v>1.0172903413812259E-3</v>
      </c>
    </row>
    <row r="9271" spans="39:41" x14ac:dyDescent="0.25">
      <c r="AM9271" s="2">
        <v>9268</v>
      </c>
      <c r="AN9271" s="33">
        <v>1.2455549303796887E-2</v>
      </c>
      <c r="AO9271" s="33">
        <v>8.4758893435349922E-4</v>
      </c>
    </row>
    <row r="9272" spans="39:41" x14ac:dyDescent="0.25">
      <c r="AM9272" s="2">
        <v>9269</v>
      </c>
      <c r="AN9272" s="33">
        <v>1.0328446087105101E-2</v>
      </c>
      <c r="AO9272" s="33">
        <v>6.8356598184970659E-4</v>
      </c>
    </row>
    <row r="9273" spans="39:41" x14ac:dyDescent="0.25">
      <c r="AM9273" s="2">
        <v>9270</v>
      </c>
      <c r="AN9273" s="33">
        <v>8.9663016804718103E-3</v>
      </c>
      <c r="AO9273" s="33">
        <v>8.5288639535556249E-4</v>
      </c>
    </row>
    <row r="9274" spans="39:41" x14ac:dyDescent="0.25">
      <c r="AM9274" s="2">
        <v>9271</v>
      </c>
      <c r="AN9274" s="33">
        <v>8.0180807452224813E-3</v>
      </c>
      <c r="AO9274" s="33">
        <v>7.9944298571805355E-4</v>
      </c>
    </row>
    <row r="9275" spans="39:41" x14ac:dyDescent="0.25">
      <c r="AM9275" s="2">
        <v>9272</v>
      </c>
      <c r="AN9275" s="33">
        <v>1.1049606229298499E-2</v>
      </c>
      <c r="AO9275" s="33">
        <v>5.2476252913824322E-4</v>
      </c>
    </row>
    <row r="9276" spans="39:41" x14ac:dyDescent="0.25">
      <c r="AM9276" s="2">
        <v>9273</v>
      </c>
      <c r="AN9276" s="33">
        <v>1.1231874832294085E-2</v>
      </c>
      <c r="AO9276" s="33">
        <v>3.2748080955371053E-4</v>
      </c>
    </row>
    <row r="9277" spans="39:41" x14ac:dyDescent="0.25">
      <c r="AM9277" s="2">
        <v>9274</v>
      </c>
      <c r="AN9277" s="33">
        <v>1.3866772486089789E-2</v>
      </c>
      <c r="AO9277" s="33">
        <v>9.346087846989462E-4</v>
      </c>
    </row>
    <row r="9278" spans="39:41" x14ac:dyDescent="0.25">
      <c r="AM9278" s="2">
        <v>9275</v>
      </c>
      <c r="AN9278" s="33">
        <v>9.7938896220626809E-3</v>
      </c>
      <c r="AO9278" s="33">
        <v>8.2927998247792631E-4</v>
      </c>
    </row>
    <row r="9279" spans="39:41" x14ac:dyDescent="0.25">
      <c r="AM9279" s="2">
        <v>9276</v>
      </c>
      <c r="AN9279" s="33">
        <v>1.0273339587055537E-2</v>
      </c>
      <c r="AO9279" s="33">
        <v>6.0562644763463515E-4</v>
      </c>
    </row>
    <row r="9280" spans="39:41" x14ac:dyDescent="0.25">
      <c r="AM9280" s="2">
        <v>9277</v>
      </c>
      <c r="AN9280" s="33">
        <v>1.3702425075286385E-2</v>
      </c>
      <c r="AO9280" s="33">
        <v>8.6406008100996874E-4</v>
      </c>
    </row>
    <row r="9281" spans="39:41" x14ac:dyDescent="0.25">
      <c r="AM9281" s="2">
        <v>9278</v>
      </c>
      <c r="AN9281" s="33">
        <v>1.2283256316558537E-2</v>
      </c>
      <c r="AO9281" s="33">
        <v>9.0637230817787592E-4</v>
      </c>
    </row>
    <row r="9282" spans="39:41" x14ac:dyDescent="0.25">
      <c r="AM9282" s="2">
        <v>9279</v>
      </c>
      <c r="AN9282" s="33">
        <v>1.1608896210782167E-2</v>
      </c>
      <c r="AO9282" s="33">
        <v>8.8673523495339944E-4</v>
      </c>
    </row>
    <row r="9283" spans="39:41" x14ac:dyDescent="0.25">
      <c r="AM9283" s="2">
        <v>9280</v>
      </c>
      <c r="AN9283" s="33">
        <v>1.3401259624703817E-2</v>
      </c>
      <c r="AO9283" s="33">
        <v>9.9736891619886525E-4</v>
      </c>
    </row>
    <row r="9284" spans="39:41" x14ac:dyDescent="0.25">
      <c r="AM9284" s="2">
        <v>9281</v>
      </c>
      <c r="AN9284" s="33">
        <v>1.0618509817382632E-2</v>
      </c>
      <c r="AO9284" s="33">
        <v>1.0379858050442894E-3</v>
      </c>
    </row>
    <row r="9285" spans="39:41" x14ac:dyDescent="0.25">
      <c r="AM9285" s="2">
        <v>9282</v>
      </c>
      <c r="AN9285" s="33">
        <v>1.04124791537845E-2</v>
      </c>
      <c r="AO9285" s="33">
        <v>6.0904029170145871E-4</v>
      </c>
    </row>
    <row r="9286" spans="39:41" x14ac:dyDescent="0.25">
      <c r="AM9286" s="2">
        <v>9283</v>
      </c>
      <c r="AN9286" s="33">
        <v>1.9406095049406033E-2</v>
      </c>
      <c r="AO9286" s="33">
        <v>1.8904198693449263E-3</v>
      </c>
    </row>
    <row r="9287" spans="39:41" x14ac:dyDescent="0.25">
      <c r="AM9287" s="2">
        <v>9284</v>
      </c>
      <c r="AN9287" s="33">
        <v>1.3874125255531706E-2</v>
      </c>
      <c r="AO9287" s="33">
        <v>1.1646757702968207E-3</v>
      </c>
    </row>
    <row r="9288" spans="39:41" x14ac:dyDescent="0.25">
      <c r="AM9288" s="2">
        <v>9285</v>
      </c>
      <c r="AN9288" s="33">
        <v>8.3080180516827834E-3</v>
      </c>
      <c r="AO9288" s="33">
        <v>3.9820458287116381E-4</v>
      </c>
    </row>
    <row r="9289" spans="39:41" x14ac:dyDescent="0.25">
      <c r="AM9289" s="2">
        <v>9286</v>
      </c>
      <c r="AN9289" s="33">
        <v>1.1279432100462032E-2</v>
      </c>
      <c r="AO9289" s="33">
        <v>9.9042223440877724E-4</v>
      </c>
    </row>
    <row r="9290" spans="39:41" x14ac:dyDescent="0.25">
      <c r="AM9290" s="2">
        <v>9287</v>
      </c>
      <c r="AN9290" s="33">
        <v>1.2556660064550276E-2</v>
      </c>
      <c r="AO9290" s="33">
        <v>1.0373257731206165E-3</v>
      </c>
    </row>
    <row r="9291" spans="39:41" x14ac:dyDescent="0.25">
      <c r="AM9291" s="2">
        <v>9288</v>
      </c>
      <c r="AN9291" s="33">
        <v>1.236747028844269E-2</v>
      </c>
      <c r="AO9291" s="33">
        <v>5.0132496343511059E-4</v>
      </c>
    </row>
    <row r="9292" spans="39:41" x14ac:dyDescent="0.25">
      <c r="AM9292" s="2">
        <v>9289</v>
      </c>
      <c r="AN9292" s="33">
        <v>1.5426918162288951E-2</v>
      </c>
      <c r="AO9292" s="33">
        <v>1.0019312065183508E-3</v>
      </c>
    </row>
    <row r="9293" spans="39:41" x14ac:dyDescent="0.25">
      <c r="AM9293" s="2">
        <v>9290</v>
      </c>
      <c r="AN9293" s="33">
        <v>1.5002163934270757E-2</v>
      </c>
      <c r="AO9293" s="33">
        <v>1.3478924208551496E-3</v>
      </c>
    </row>
    <row r="9294" spans="39:41" x14ac:dyDescent="0.25">
      <c r="AM9294" s="2">
        <v>9291</v>
      </c>
      <c r="AN9294" s="33">
        <v>1.0470325305149809E-2</v>
      </c>
      <c r="AO9294" s="33">
        <v>8.0828196803453469E-4</v>
      </c>
    </row>
    <row r="9295" spans="39:41" x14ac:dyDescent="0.25">
      <c r="AM9295" s="2">
        <v>9292</v>
      </c>
      <c r="AN9295" s="33">
        <v>1.2853954393957949E-2</v>
      </c>
      <c r="AO9295" s="33">
        <v>8.4154498825662687E-4</v>
      </c>
    </row>
    <row r="9296" spans="39:41" x14ac:dyDescent="0.25">
      <c r="AM9296" s="2">
        <v>9293</v>
      </c>
      <c r="AN9296" s="33">
        <v>1.3951094265335674E-2</v>
      </c>
      <c r="AO9296" s="33">
        <v>1.1526600636035077E-3</v>
      </c>
    </row>
    <row r="9297" spans="39:41" x14ac:dyDescent="0.25">
      <c r="AM9297" s="2">
        <v>9294</v>
      </c>
      <c r="AN9297" s="33">
        <v>8.6570878941142019E-3</v>
      </c>
      <c r="AO9297" s="33">
        <v>2.8060819037214232E-4</v>
      </c>
    </row>
    <row r="9298" spans="39:41" x14ac:dyDescent="0.25">
      <c r="AM9298" s="2">
        <v>9295</v>
      </c>
      <c r="AN9298" s="33">
        <v>8.8346094726683751E-3</v>
      </c>
      <c r="AO9298" s="33">
        <v>3.5820207171359135E-4</v>
      </c>
    </row>
    <row r="9299" spans="39:41" x14ac:dyDescent="0.25">
      <c r="AM9299" s="2">
        <v>9296</v>
      </c>
      <c r="AN9299" s="33">
        <v>1.5182367073865825E-2</v>
      </c>
      <c r="AO9299" s="33">
        <v>1.359109748953395E-3</v>
      </c>
    </row>
    <row r="9300" spans="39:41" x14ac:dyDescent="0.25">
      <c r="AM9300" s="2">
        <v>9297</v>
      </c>
      <c r="AN9300" s="33">
        <v>1.0414221028343225E-2</v>
      </c>
      <c r="AO9300" s="33">
        <v>6.5776816651789917E-4</v>
      </c>
    </row>
    <row r="9301" spans="39:41" x14ac:dyDescent="0.25">
      <c r="AM9301" s="2">
        <v>9298</v>
      </c>
      <c r="AN9301" s="33">
        <v>1.077437487116276E-2</v>
      </c>
      <c r="AO9301" s="33">
        <v>7.1867194742249857E-4</v>
      </c>
    </row>
    <row r="9302" spans="39:41" x14ac:dyDescent="0.25">
      <c r="AM9302" s="2">
        <v>9299</v>
      </c>
      <c r="AN9302" s="33">
        <v>1.079208044679106E-2</v>
      </c>
      <c r="AO9302" s="33">
        <v>6.8901002371356095E-4</v>
      </c>
    </row>
    <row r="9303" spans="39:41" x14ac:dyDescent="0.25">
      <c r="AM9303" s="2">
        <v>9300</v>
      </c>
      <c r="AN9303" s="33">
        <v>8.8200097874363715E-3</v>
      </c>
      <c r="AO9303" s="33">
        <v>4.693906696094654E-4</v>
      </c>
    </row>
    <row r="9304" spans="39:41" x14ac:dyDescent="0.25">
      <c r="AM9304" s="2">
        <v>9301</v>
      </c>
      <c r="AN9304" s="33">
        <v>1.3455617780639521E-2</v>
      </c>
      <c r="AO9304" s="33">
        <v>1.1477349067774256E-3</v>
      </c>
    </row>
    <row r="9305" spans="39:41" x14ac:dyDescent="0.25">
      <c r="AM9305" s="2">
        <v>9302</v>
      </c>
      <c r="AN9305" s="33">
        <v>1.1511333387317959E-2</v>
      </c>
      <c r="AO9305" s="33">
        <v>8.1783837670037877E-4</v>
      </c>
    </row>
    <row r="9306" spans="39:41" x14ac:dyDescent="0.25">
      <c r="AM9306" s="2">
        <v>9303</v>
      </c>
      <c r="AN9306" s="33">
        <v>1.2205435862476074E-2</v>
      </c>
      <c r="AO9306" s="33">
        <v>5.1661997241618312E-4</v>
      </c>
    </row>
    <row r="9307" spans="39:41" x14ac:dyDescent="0.25">
      <c r="AM9307" s="2">
        <v>9304</v>
      </c>
      <c r="AN9307" s="33">
        <v>1.3374315902457093E-2</v>
      </c>
      <c r="AO9307" s="33">
        <v>1.1420310430174403E-3</v>
      </c>
    </row>
    <row r="9308" spans="39:41" x14ac:dyDescent="0.25">
      <c r="AM9308" s="2">
        <v>9305</v>
      </c>
      <c r="AN9308" s="33">
        <v>1.254923701528665E-2</v>
      </c>
      <c r="AO9308" s="33">
        <v>8.3728693659685229E-4</v>
      </c>
    </row>
    <row r="9309" spans="39:41" x14ac:dyDescent="0.25">
      <c r="AM9309" s="2">
        <v>9306</v>
      </c>
      <c r="AN9309" s="33">
        <v>9.5828140316954712E-3</v>
      </c>
      <c r="AO9309" s="33">
        <v>7.4992929078206377E-4</v>
      </c>
    </row>
    <row r="9310" spans="39:41" x14ac:dyDescent="0.25">
      <c r="AM9310" s="2">
        <v>9307</v>
      </c>
      <c r="AN9310" s="33">
        <v>9.4112728371849481E-3</v>
      </c>
      <c r="AO9310" s="33">
        <v>4.9026556041011343E-4</v>
      </c>
    </row>
    <row r="9311" spans="39:41" x14ac:dyDescent="0.25">
      <c r="AM9311" s="2">
        <v>9308</v>
      </c>
      <c r="AN9311" s="33">
        <v>1.3776804703714103E-2</v>
      </c>
      <c r="AO9311" s="33">
        <v>7.998958603611878E-4</v>
      </c>
    </row>
    <row r="9312" spans="39:41" x14ac:dyDescent="0.25">
      <c r="AM9312" s="2">
        <v>9309</v>
      </c>
      <c r="AN9312" s="33">
        <v>1.1020159967676954E-2</v>
      </c>
      <c r="AO9312" s="33">
        <v>1.0374964072526469E-3</v>
      </c>
    </row>
    <row r="9313" spans="39:41" x14ac:dyDescent="0.25">
      <c r="AM9313" s="2">
        <v>9310</v>
      </c>
      <c r="AN9313" s="33">
        <v>9.5158087805600269E-3</v>
      </c>
      <c r="AO9313" s="33">
        <v>6.4171329026596136E-4</v>
      </c>
    </row>
    <row r="9314" spans="39:41" x14ac:dyDescent="0.25">
      <c r="AM9314" s="2">
        <v>9311</v>
      </c>
      <c r="AN9314" s="33">
        <v>9.4263197182448862E-3</v>
      </c>
      <c r="AO9314" s="33">
        <v>8.0565130964183724E-4</v>
      </c>
    </row>
    <row r="9315" spans="39:41" x14ac:dyDescent="0.25">
      <c r="AM9315" s="2">
        <v>9312</v>
      </c>
      <c r="AN9315" s="33">
        <v>1.2100956240807561E-2</v>
      </c>
      <c r="AO9315" s="33">
        <v>1.0367789136548123E-3</v>
      </c>
    </row>
    <row r="9316" spans="39:41" x14ac:dyDescent="0.25">
      <c r="AM9316" s="2">
        <v>9313</v>
      </c>
      <c r="AN9316" s="33">
        <v>1.2737135716994214E-2</v>
      </c>
      <c r="AO9316" s="33">
        <v>1.1102412981401624E-3</v>
      </c>
    </row>
    <row r="9317" spans="39:41" x14ac:dyDescent="0.25">
      <c r="AM9317" s="2">
        <v>9314</v>
      </c>
      <c r="AN9317" s="33">
        <v>1.4266436584504083E-2</v>
      </c>
      <c r="AO9317" s="33">
        <v>1.3580967438400243E-3</v>
      </c>
    </row>
    <row r="9318" spans="39:41" x14ac:dyDescent="0.25">
      <c r="AM9318" s="2">
        <v>9315</v>
      </c>
      <c r="AN9318" s="33">
        <v>1.2127652380916808E-2</v>
      </c>
      <c r="AO9318" s="33">
        <v>8.5394365944098112E-4</v>
      </c>
    </row>
    <row r="9319" spans="39:41" x14ac:dyDescent="0.25">
      <c r="AM9319" s="2">
        <v>9316</v>
      </c>
      <c r="AN9319" s="33">
        <v>1.0401106126507636E-2</v>
      </c>
      <c r="AO9319" s="33">
        <v>8.1895001263501362E-4</v>
      </c>
    </row>
    <row r="9320" spans="39:41" x14ac:dyDescent="0.25">
      <c r="AM9320" s="2">
        <v>9317</v>
      </c>
      <c r="AN9320" s="33">
        <v>1.3517939052046842E-2</v>
      </c>
      <c r="AO9320" s="33">
        <v>6.9688548766942443E-4</v>
      </c>
    </row>
    <row r="9321" spans="39:41" x14ac:dyDescent="0.25">
      <c r="AM9321" s="2">
        <v>9318</v>
      </c>
      <c r="AN9321" s="33">
        <v>1.3578814337839383E-2</v>
      </c>
      <c r="AO9321" s="33">
        <v>7.1595404014687929E-4</v>
      </c>
    </row>
    <row r="9322" spans="39:41" x14ac:dyDescent="0.25">
      <c r="AM9322" s="2">
        <v>9319</v>
      </c>
      <c r="AN9322" s="33">
        <v>1.1359909539297402E-2</v>
      </c>
      <c r="AO9322" s="33">
        <v>1.1069582772657938E-3</v>
      </c>
    </row>
    <row r="9323" spans="39:41" x14ac:dyDescent="0.25">
      <c r="AM9323" s="2">
        <v>9320</v>
      </c>
      <c r="AN9323" s="33">
        <v>1.4122523231332762E-2</v>
      </c>
      <c r="AO9323" s="33">
        <v>1.0222133219279471E-3</v>
      </c>
    </row>
    <row r="9324" spans="39:41" x14ac:dyDescent="0.25">
      <c r="AM9324" s="2">
        <v>9321</v>
      </c>
      <c r="AN9324" s="33">
        <v>1.3136457225508278E-2</v>
      </c>
      <c r="AO9324" s="33">
        <v>1.1226229461284273E-3</v>
      </c>
    </row>
    <row r="9325" spans="39:41" x14ac:dyDescent="0.25">
      <c r="AM9325" s="2">
        <v>9322</v>
      </c>
      <c r="AN9325" s="33">
        <v>9.7613353323422747E-3</v>
      </c>
      <c r="AO9325" s="33">
        <v>5.5072854599595722E-4</v>
      </c>
    </row>
    <row r="9326" spans="39:41" x14ac:dyDescent="0.25">
      <c r="AM9326" s="2">
        <v>9323</v>
      </c>
      <c r="AN9326" s="33">
        <v>9.9123035520833815E-3</v>
      </c>
      <c r="AO9326" s="33">
        <v>6.6722305478272707E-4</v>
      </c>
    </row>
    <row r="9327" spans="39:41" x14ac:dyDescent="0.25">
      <c r="AM9327" s="2">
        <v>9324</v>
      </c>
      <c r="AN9327" s="33">
        <v>8.9756525612195194E-3</v>
      </c>
      <c r="AO9327" s="33">
        <v>6.7326702851916876E-4</v>
      </c>
    </row>
    <row r="9328" spans="39:41" x14ac:dyDescent="0.25">
      <c r="AM9328" s="2">
        <v>9325</v>
      </c>
      <c r="AN9328" s="33">
        <v>1.2132923476574709E-2</v>
      </c>
      <c r="AO9328" s="33">
        <v>1.1878629476858196E-3</v>
      </c>
    </row>
    <row r="9329" spans="39:41" x14ac:dyDescent="0.25">
      <c r="AM9329" s="2">
        <v>9326</v>
      </c>
      <c r="AN9329" s="33">
        <v>1.5068502781889594E-2</v>
      </c>
      <c r="AO9329" s="33">
        <v>5.4800893569351735E-4</v>
      </c>
    </row>
    <row r="9330" spans="39:41" x14ac:dyDescent="0.25">
      <c r="AM9330" s="2">
        <v>9327</v>
      </c>
      <c r="AN9330" s="33">
        <v>1.3479892996019972E-2</v>
      </c>
      <c r="AO9330" s="33">
        <v>8.1391967262206186E-4</v>
      </c>
    </row>
    <row r="9331" spans="39:41" x14ac:dyDescent="0.25">
      <c r="AM9331" s="2">
        <v>9328</v>
      </c>
      <c r="AN9331" s="33">
        <v>1.0157208700407415E-2</v>
      </c>
      <c r="AO9331" s="33">
        <v>5.0661227356424594E-4</v>
      </c>
    </row>
    <row r="9332" spans="39:41" x14ac:dyDescent="0.25">
      <c r="AM9332" s="2">
        <v>9329</v>
      </c>
      <c r="AN9332" s="33">
        <v>1.3171127635895924E-2</v>
      </c>
      <c r="AO9332" s="33">
        <v>9.3855706273382304E-4</v>
      </c>
    </row>
    <row r="9333" spans="39:41" x14ac:dyDescent="0.25">
      <c r="AM9333" s="2">
        <v>9330</v>
      </c>
      <c r="AN9333" s="33">
        <v>9.8338637889195321E-3</v>
      </c>
      <c r="AO9333" s="33">
        <v>4.7299294618424769E-4</v>
      </c>
    </row>
    <row r="9334" spans="39:41" x14ac:dyDescent="0.25">
      <c r="AM9334" s="2">
        <v>9331</v>
      </c>
      <c r="AN9334" s="33">
        <v>1.1280769715657883E-2</v>
      </c>
      <c r="AO9334" s="33">
        <v>3.4389207568545513E-4</v>
      </c>
    </row>
    <row r="9335" spans="39:41" x14ac:dyDescent="0.25">
      <c r="AM9335" s="2">
        <v>9332</v>
      </c>
      <c r="AN9335" s="33">
        <v>1.2527423628825069E-2</v>
      </c>
      <c r="AO9335" s="33">
        <v>8.5386026555779647E-4</v>
      </c>
    </row>
    <row r="9336" spans="39:41" x14ac:dyDescent="0.25">
      <c r="AM9336" s="2">
        <v>9333</v>
      </c>
      <c r="AN9336" s="33">
        <v>1.1519292554892169E-2</v>
      </c>
      <c r="AO9336" s="33">
        <v>3.7032437155305709E-4</v>
      </c>
    </row>
    <row r="9337" spans="39:41" x14ac:dyDescent="0.25">
      <c r="AM9337" s="2">
        <v>9334</v>
      </c>
      <c r="AN9337" s="33">
        <v>1.1465986330663229E-2</v>
      </c>
      <c r="AO9337" s="33">
        <v>4.378234527486025E-4</v>
      </c>
    </row>
    <row r="9338" spans="39:41" x14ac:dyDescent="0.25">
      <c r="AM9338" s="2">
        <v>9335</v>
      </c>
      <c r="AN9338" s="33">
        <v>1.1034385033709244E-2</v>
      </c>
      <c r="AO9338" s="33">
        <v>7.6534872992774835E-4</v>
      </c>
    </row>
    <row r="9339" spans="39:41" x14ac:dyDescent="0.25">
      <c r="AM9339" s="2">
        <v>9336</v>
      </c>
      <c r="AN9339" s="33">
        <v>9.4501431323802034E-3</v>
      </c>
      <c r="AO9339" s="33">
        <v>3.7002315937165506E-4</v>
      </c>
    </row>
    <row r="9340" spans="39:41" x14ac:dyDescent="0.25">
      <c r="AM9340" s="2">
        <v>9337</v>
      </c>
      <c r="AN9340" s="33">
        <v>1.02191871411789E-2</v>
      </c>
      <c r="AO9340" s="33">
        <v>7.1338644502840756E-4</v>
      </c>
    </row>
    <row r="9341" spans="39:41" x14ac:dyDescent="0.25">
      <c r="AM9341" s="2">
        <v>9338</v>
      </c>
      <c r="AN9341" s="33">
        <v>8.1061473720738467E-3</v>
      </c>
      <c r="AO9341" s="33">
        <v>6.3498479553216532E-4</v>
      </c>
    </row>
    <row r="9342" spans="39:41" x14ac:dyDescent="0.25">
      <c r="AM9342" s="2">
        <v>9339</v>
      </c>
      <c r="AN9342" s="33">
        <v>1.1228093733276665E-2</v>
      </c>
      <c r="AO9342" s="33">
        <v>9.8120237427228355E-4</v>
      </c>
    </row>
    <row r="9343" spans="39:41" x14ac:dyDescent="0.25">
      <c r="AM9343" s="2">
        <v>9340</v>
      </c>
      <c r="AN9343" s="33">
        <v>1.0849685063022299E-2</v>
      </c>
      <c r="AO9343" s="33">
        <v>7.7609369158795829E-4</v>
      </c>
    </row>
    <row r="9344" spans="39:41" x14ac:dyDescent="0.25">
      <c r="AM9344" s="2">
        <v>9341</v>
      </c>
      <c r="AN9344" s="33">
        <v>9.2482050387639268E-3</v>
      </c>
      <c r="AO9344" s="33">
        <v>7.063489911323178E-4</v>
      </c>
    </row>
    <row r="9345" spans="39:41" x14ac:dyDescent="0.25">
      <c r="AM9345" s="2">
        <v>9342</v>
      </c>
      <c r="AN9345" s="33">
        <v>1.1523212420778564E-2</v>
      </c>
      <c r="AO9345" s="33">
        <v>8.8173424028842426E-4</v>
      </c>
    </row>
    <row r="9346" spans="39:41" x14ac:dyDescent="0.25">
      <c r="AM9346" s="2">
        <v>9343</v>
      </c>
      <c r="AN9346" s="33">
        <v>1.1008184707126271E-2</v>
      </c>
      <c r="AO9346" s="33">
        <v>9.423150352834038E-4</v>
      </c>
    </row>
    <row r="9347" spans="39:41" x14ac:dyDescent="0.25">
      <c r="AM9347" s="2">
        <v>9344</v>
      </c>
      <c r="AN9347" s="33">
        <v>9.9673562540481108E-3</v>
      </c>
      <c r="AO9347" s="33">
        <v>1.4331122752567736E-4</v>
      </c>
    </row>
    <row r="9348" spans="39:41" x14ac:dyDescent="0.25">
      <c r="AM9348" s="2">
        <v>9345</v>
      </c>
      <c r="AN9348" s="33">
        <v>1.1506923604371095E-2</v>
      </c>
      <c r="AO9348" s="33">
        <v>9.4188777141502526E-4</v>
      </c>
    </row>
    <row r="9349" spans="39:41" x14ac:dyDescent="0.25">
      <c r="AM9349" s="2">
        <v>9346</v>
      </c>
      <c r="AN9349" s="33">
        <v>1.5351349374471199E-2</v>
      </c>
      <c r="AO9349" s="33">
        <v>1.4983193912782447E-3</v>
      </c>
    </row>
    <row r="9350" spans="39:41" x14ac:dyDescent="0.25">
      <c r="AM9350" s="2">
        <v>9347</v>
      </c>
      <c r="AN9350" s="33">
        <v>1.1571550517290087E-2</v>
      </c>
      <c r="AO9350" s="33">
        <v>5.0200494917483044E-4</v>
      </c>
    </row>
    <row r="9351" spans="39:41" x14ac:dyDescent="0.25">
      <c r="AM9351" s="2">
        <v>9348</v>
      </c>
      <c r="AN9351" s="33">
        <v>8.9832333001076854E-3</v>
      </c>
      <c r="AO9351" s="33">
        <v>6.292240486033201E-4</v>
      </c>
    </row>
    <row r="9352" spans="39:41" x14ac:dyDescent="0.25">
      <c r="AM9352" s="2">
        <v>9349</v>
      </c>
      <c r="AN9352" s="33">
        <v>1.37816585185294E-2</v>
      </c>
      <c r="AO9352" s="33">
        <v>5.5121547177077465E-4</v>
      </c>
    </row>
    <row r="9353" spans="39:41" x14ac:dyDescent="0.25">
      <c r="AM9353" s="2">
        <v>9350</v>
      </c>
      <c r="AN9353" s="33">
        <v>1.0931293891909959E-2</v>
      </c>
      <c r="AO9353" s="33">
        <v>2.8764364040660556E-5</v>
      </c>
    </row>
    <row r="9354" spans="39:41" x14ac:dyDescent="0.25">
      <c r="AM9354" s="2">
        <v>9351</v>
      </c>
      <c r="AN9354" s="33">
        <v>1.583757766641411E-2</v>
      </c>
      <c r="AO9354" s="33">
        <v>1.6420280063585691E-3</v>
      </c>
    </row>
    <row r="9355" spans="39:41" x14ac:dyDescent="0.25">
      <c r="AM9355" s="2">
        <v>9352</v>
      </c>
      <c r="AN9355" s="33">
        <v>1.1116846944309431E-2</v>
      </c>
      <c r="AO9355" s="33">
        <v>5.1918732663842459E-4</v>
      </c>
    </row>
    <row r="9356" spans="39:41" x14ac:dyDescent="0.25">
      <c r="AM9356" s="2">
        <v>9353</v>
      </c>
      <c r="AN9356" s="33">
        <v>1.2831985921687373E-2</v>
      </c>
      <c r="AO9356" s="33">
        <v>9.6510428627286332E-4</v>
      </c>
    </row>
    <row r="9357" spans="39:41" x14ac:dyDescent="0.25">
      <c r="AM9357" s="2">
        <v>9354</v>
      </c>
      <c r="AN9357" s="33">
        <v>1.3101260925232722E-2</v>
      </c>
      <c r="AO9357" s="33">
        <v>1.0444952985356861E-3</v>
      </c>
    </row>
    <row r="9358" spans="39:41" x14ac:dyDescent="0.25">
      <c r="AM9358" s="2">
        <v>9355</v>
      </c>
      <c r="AN9358" s="33">
        <v>1.1343560096829281E-2</v>
      </c>
      <c r="AO9358" s="33">
        <v>9.5543089007021052E-4</v>
      </c>
    </row>
    <row r="9359" spans="39:41" x14ac:dyDescent="0.25">
      <c r="AM9359" s="2">
        <v>9356</v>
      </c>
      <c r="AN9359" s="33">
        <v>9.906326817721349E-3</v>
      </c>
      <c r="AO9359" s="33">
        <v>8.220869472095123E-4</v>
      </c>
    </row>
    <row r="9360" spans="39:41" x14ac:dyDescent="0.25">
      <c r="AM9360" s="2">
        <v>9357</v>
      </c>
      <c r="AN9360" s="33">
        <v>1.0087105253128987E-2</v>
      </c>
      <c r="AO9360" s="33">
        <v>3.4779994920943965E-4</v>
      </c>
    </row>
    <row r="9361" spans="39:41" x14ac:dyDescent="0.25">
      <c r="AM9361" s="2">
        <v>9358</v>
      </c>
      <c r="AN9361" s="33">
        <v>7.4172502505582246E-3</v>
      </c>
      <c r="AO9361" s="33">
        <v>4.3257577288883728E-4</v>
      </c>
    </row>
    <row r="9362" spans="39:41" x14ac:dyDescent="0.25">
      <c r="AM9362" s="2">
        <v>9359</v>
      </c>
      <c r="AN9362" s="33">
        <v>9.7091281269632273E-3</v>
      </c>
      <c r="AO9362" s="33">
        <v>4.4961041877931876E-4</v>
      </c>
    </row>
    <row r="9363" spans="39:41" x14ac:dyDescent="0.25">
      <c r="AM9363" s="2">
        <v>9360</v>
      </c>
      <c r="AN9363" s="33">
        <v>1.1800158279770165E-2</v>
      </c>
      <c r="AO9363" s="33">
        <v>1.7917915580723787E-4</v>
      </c>
    </row>
    <row r="9364" spans="39:41" x14ac:dyDescent="0.25">
      <c r="AM9364" s="2">
        <v>9361</v>
      </c>
      <c r="AN9364" s="33">
        <v>8.4013554770261435E-3</v>
      </c>
      <c r="AO9364" s="33">
        <v>8.0908324943603513E-4</v>
      </c>
    </row>
    <row r="9365" spans="39:41" x14ac:dyDescent="0.25">
      <c r="AM9365" s="2">
        <v>9362</v>
      </c>
      <c r="AN9365" s="33">
        <v>1.5010044991514138E-2</v>
      </c>
      <c r="AO9365" s="33">
        <v>1.3076946947127794E-3</v>
      </c>
    </row>
    <row r="9366" spans="39:41" x14ac:dyDescent="0.25">
      <c r="AM9366" s="2">
        <v>9363</v>
      </c>
      <c r="AN9366" s="33">
        <v>1.1866664912579752E-2</v>
      </c>
      <c r="AO9366" s="33">
        <v>9.7372161600136026E-4</v>
      </c>
    </row>
    <row r="9367" spans="39:41" x14ac:dyDescent="0.25">
      <c r="AM9367" s="2">
        <v>9364</v>
      </c>
      <c r="AN9367" s="33">
        <v>1.1317664761633768E-2</v>
      </c>
      <c r="AO9367" s="33">
        <v>9.4004442772711362E-4</v>
      </c>
    </row>
    <row r="9368" spans="39:41" x14ac:dyDescent="0.25">
      <c r="AM9368" s="2">
        <v>9365</v>
      </c>
      <c r="AN9368" s="33">
        <v>1.1949205420520869E-2</v>
      </c>
      <c r="AO9368" s="33">
        <v>9.7221495703717477E-4</v>
      </c>
    </row>
    <row r="9369" spans="39:41" x14ac:dyDescent="0.25">
      <c r="AM9369" s="2">
        <v>9366</v>
      </c>
      <c r="AN9369" s="33">
        <v>1.1605803284312795E-2</v>
      </c>
      <c r="AO9369" s="33">
        <v>5.5178832954852681E-4</v>
      </c>
    </row>
    <row r="9370" spans="39:41" x14ac:dyDescent="0.25">
      <c r="AM9370" s="2">
        <v>9367</v>
      </c>
      <c r="AN9370" s="33">
        <v>7.7701978671429793E-3</v>
      </c>
      <c r="AO9370" s="33">
        <v>4.6605336301991178E-4</v>
      </c>
    </row>
    <row r="9371" spans="39:41" x14ac:dyDescent="0.25">
      <c r="AM9371" s="2">
        <v>9368</v>
      </c>
      <c r="AN9371" s="33">
        <v>1.1642764112796151E-2</v>
      </c>
      <c r="AO9371" s="33">
        <v>7.9867238859097597E-4</v>
      </c>
    </row>
    <row r="9372" spans="39:41" x14ac:dyDescent="0.25">
      <c r="AM9372" s="2">
        <v>9369</v>
      </c>
      <c r="AN9372" s="33">
        <v>1.2345669566904884E-2</v>
      </c>
      <c r="AO9372" s="33">
        <v>1.0570090202092575E-3</v>
      </c>
    </row>
    <row r="9373" spans="39:41" x14ac:dyDescent="0.25">
      <c r="AM9373" s="2">
        <v>9370</v>
      </c>
      <c r="AN9373" s="33">
        <v>1.2973185200842259E-2</v>
      </c>
      <c r="AO9373" s="33">
        <v>9.9310934843256041E-4</v>
      </c>
    </row>
    <row r="9374" spans="39:41" x14ac:dyDescent="0.25">
      <c r="AM9374" s="2">
        <v>9371</v>
      </c>
      <c r="AN9374" s="33">
        <v>1.137314673886556E-2</v>
      </c>
      <c r="AO9374" s="33">
        <v>9.1700525255986823E-4</v>
      </c>
    </row>
    <row r="9375" spans="39:41" x14ac:dyDescent="0.25">
      <c r="AM9375" s="2">
        <v>9372</v>
      </c>
      <c r="AN9375" s="33">
        <v>1.1834385430810446E-2</v>
      </c>
      <c r="AO9375" s="33">
        <v>5.9698329503120242E-4</v>
      </c>
    </row>
    <row r="9376" spans="39:41" x14ac:dyDescent="0.25">
      <c r="AM9376" s="2">
        <v>9373</v>
      </c>
      <c r="AN9376" s="33">
        <v>1.161277046124197E-2</v>
      </c>
      <c r="AO9376" s="33">
        <v>1.0115563787382359E-3</v>
      </c>
    </row>
    <row r="9377" spans="39:41" x14ac:dyDescent="0.25">
      <c r="AM9377" s="2">
        <v>9374</v>
      </c>
      <c r="AN9377" s="33">
        <v>1.4957849681944701E-2</v>
      </c>
      <c r="AO9377" s="33">
        <v>1.2733206065860924E-3</v>
      </c>
    </row>
    <row r="9378" spans="39:41" x14ac:dyDescent="0.25">
      <c r="AM9378" s="2">
        <v>9375</v>
      </c>
      <c r="AN9378" s="33">
        <v>1.461168006305162E-2</v>
      </c>
      <c r="AO9378" s="33">
        <v>1.1858405305710099E-3</v>
      </c>
    </row>
    <row r="9379" spans="39:41" x14ac:dyDescent="0.25">
      <c r="AM9379" s="2">
        <v>9376</v>
      </c>
      <c r="AN9379" s="33">
        <v>1.0668171719448703E-2</v>
      </c>
      <c r="AO9379" s="33">
        <v>2.6767261229163763E-4</v>
      </c>
    </row>
    <row r="9380" spans="39:41" x14ac:dyDescent="0.25">
      <c r="AM9380" s="2">
        <v>9377</v>
      </c>
      <c r="AN9380" s="33">
        <v>1.1663743742687088E-2</v>
      </c>
      <c r="AO9380" s="33">
        <v>1.0850301918049286E-3</v>
      </c>
    </row>
    <row r="9381" spans="39:41" x14ac:dyDescent="0.25">
      <c r="AM9381" s="2">
        <v>9378</v>
      </c>
      <c r="AN9381" s="33">
        <v>1.2598150412660594E-2</v>
      </c>
      <c r="AO9381" s="33">
        <v>8.7636856480744526E-4</v>
      </c>
    </row>
    <row r="9382" spans="39:41" x14ac:dyDescent="0.25">
      <c r="AM9382" s="2">
        <v>9379</v>
      </c>
      <c r="AN9382" s="33">
        <v>1.5756105400422354E-2</v>
      </c>
      <c r="AO9382" s="33">
        <v>1.3287760992286859E-3</v>
      </c>
    </row>
    <row r="9383" spans="39:41" x14ac:dyDescent="0.25">
      <c r="AM9383" s="2">
        <v>9380</v>
      </c>
      <c r="AN9383" s="33">
        <v>1.1381557901910696E-2</v>
      </c>
      <c r="AO9383" s="33">
        <v>8.0272630059575675E-4</v>
      </c>
    </row>
    <row r="9384" spans="39:41" x14ac:dyDescent="0.25">
      <c r="AM9384" s="2">
        <v>9381</v>
      </c>
      <c r="AN9384" s="33">
        <v>1.8967326003304009E-2</v>
      </c>
      <c r="AO9384" s="33">
        <v>1.8386140571883102E-3</v>
      </c>
    </row>
    <row r="9385" spans="39:41" x14ac:dyDescent="0.25">
      <c r="AM9385" s="2">
        <v>9382</v>
      </c>
      <c r="AN9385" s="33">
        <v>1.0476717328545389E-2</v>
      </c>
      <c r="AO9385" s="33">
        <v>8.4500325872013612E-4</v>
      </c>
    </row>
    <row r="9386" spans="39:41" x14ac:dyDescent="0.25">
      <c r="AM9386" s="2">
        <v>9383</v>
      </c>
      <c r="AN9386" s="33">
        <v>1.5062223800586302E-2</v>
      </c>
      <c r="AO9386" s="33">
        <v>9.4959165504701929E-4</v>
      </c>
    </row>
    <row r="9387" spans="39:41" x14ac:dyDescent="0.25">
      <c r="AM9387" s="2">
        <v>9384</v>
      </c>
      <c r="AN9387" s="33">
        <v>1.5839812842842096E-2</v>
      </c>
      <c r="AO9387" s="33">
        <v>1.6302861774160485E-3</v>
      </c>
    </row>
    <row r="9388" spans="39:41" x14ac:dyDescent="0.25">
      <c r="AM9388" s="2">
        <v>9385</v>
      </c>
      <c r="AN9388" s="33">
        <v>1.1758166646599205E-2</v>
      </c>
      <c r="AO9388" s="33">
        <v>1.163037391183192E-3</v>
      </c>
    </row>
    <row r="9389" spans="39:41" x14ac:dyDescent="0.25">
      <c r="AM9389" s="2">
        <v>9386</v>
      </c>
      <c r="AN9389" s="33">
        <v>1.318822050471662E-2</v>
      </c>
      <c r="AO9389" s="33">
        <v>1.1574932579141418E-3</v>
      </c>
    </row>
    <row r="9390" spans="39:41" x14ac:dyDescent="0.25">
      <c r="AM9390" s="2">
        <v>9387</v>
      </c>
      <c r="AN9390" s="33">
        <v>8.8566533886536691E-3</v>
      </c>
      <c r="AO9390" s="33">
        <v>3.1242014569409448E-4</v>
      </c>
    </row>
    <row r="9391" spans="39:41" x14ac:dyDescent="0.25">
      <c r="AM9391" s="2">
        <v>9388</v>
      </c>
      <c r="AN9391" s="33">
        <v>1.1782563582658086E-2</v>
      </c>
      <c r="AO9391" s="33">
        <v>1.0841847899423509E-3</v>
      </c>
    </row>
    <row r="9392" spans="39:41" x14ac:dyDescent="0.25">
      <c r="AM9392" s="2">
        <v>9389</v>
      </c>
      <c r="AN9392" s="33">
        <v>1.3009002376075716E-2</v>
      </c>
      <c r="AO9392" s="33">
        <v>9.8138494544242516E-4</v>
      </c>
    </row>
    <row r="9393" spans="39:41" x14ac:dyDescent="0.25">
      <c r="AM9393" s="2">
        <v>9390</v>
      </c>
      <c r="AN9393" s="33">
        <v>1.2336040653511529E-2</v>
      </c>
      <c r="AO9393" s="33">
        <v>7.6353745235637263E-4</v>
      </c>
    </row>
    <row r="9394" spans="39:41" x14ac:dyDescent="0.25">
      <c r="AM9394" s="2">
        <v>9391</v>
      </c>
      <c r="AN9394" s="33">
        <v>1.1254546958020436E-2</v>
      </c>
      <c r="AO9394" s="33">
        <v>7.2503245698812813E-4</v>
      </c>
    </row>
    <row r="9395" spans="39:41" x14ac:dyDescent="0.25">
      <c r="AM9395" s="2">
        <v>9392</v>
      </c>
      <c r="AN9395" s="33">
        <v>1.0429898824020433E-2</v>
      </c>
      <c r="AO9395" s="33">
        <v>9.2393361990090821E-4</v>
      </c>
    </row>
    <row r="9396" spans="39:41" x14ac:dyDescent="0.25">
      <c r="AM9396" s="2">
        <v>9393</v>
      </c>
      <c r="AN9396" s="33">
        <v>1.0273736718610068E-2</v>
      </c>
      <c r="AO9396" s="33">
        <v>2.0263049117038602E-4</v>
      </c>
    </row>
    <row r="9397" spans="39:41" x14ac:dyDescent="0.25">
      <c r="AM9397" s="2">
        <v>9394</v>
      </c>
      <c r="AN9397" s="33">
        <v>1.310812126936178E-2</v>
      </c>
      <c r="AO9397" s="33">
        <v>8.7425238741726326E-4</v>
      </c>
    </row>
    <row r="9398" spans="39:41" x14ac:dyDescent="0.25">
      <c r="AM9398" s="2">
        <v>9395</v>
      </c>
      <c r="AN9398" s="33">
        <v>1.3702749337125751E-2</v>
      </c>
      <c r="AO9398" s="33">
        <v>1.1545286768944289E-3</v>
      </c>
    </row>
    <row r="9399" spans="39:41" x14ac:dyDescent="0.25">
      <c r="AM9399" s="2">
        <v>9396</v>
      </c>
      <c r="AN9399" s="33">
        <v>8.9918408130250684E-3</v>
      </c>
      <c r="AO9399" s="33">
        <v>7.5123802772665907E-4</v>
      </c>
    </row>
    <row r="9400" spans="39:41" x14ac:dyDescent="0.25">
      <c r="AM9400" s="2">
        <v>9397</v>
      </c>
      <c r="AN9400" s="33">
        <v>1.0906047424243453E-2</v>
      </c>
      <c r="AO9400" s="33">
        <v>9.3472306035619459E-4</v>
      </c>
    </row>
    <row r="9401" spans="39:41" x14ac:dyDescent="0.25">
      <c r="AM9401" s="2">
        <v>9398</v>
      </c>
      <c r="AN9401" s="33">
        <v>1.0352336157311804E-2</v>
      </c>
      <c r="AO9401" s="33">
        <v>7.2191497010906376E-4</v>
      </c>
    </row>
    <row r="9402" spans="39:41" x14ac:dyDescent="0.25">
      <c r="AM9402" s="2">
        <v>9399</v>
      </c>
      <c r="AN9402" s="33">
        <v>7.5609441921164816E-3</v>
      </c>
      <c r="AO9402" s="33">
        <v>5.4119988717021199E-4</v>
      </c>
    </row>
    <row r="9403" spans="39:41" x14ac:dyDescent="0.25">
      <c r="AM9403" s="2">
        <v>9400</v>
      </c>
      <c r="AN9403" s="33">
        <v>1.2347727760328582E-2</v>
      </c>
      <c r="AO9403" s="33">
        <v>8.3367490753275225E-4</v>
      </c>
    </row>
    <row r="9404" spans="39:41" x14ac:dyDescent="0.25">
      <c r="AM9404" s="2">
        <v>9401</v>
      </c>
      <c r="AN9404" s="33">
        <v>1.1724719753798792E-2</v>
      </c>
      <c r="AO9404" s="33">
        <v>1.1093642712493566E-3</v>
      </c>
    </row>
    <row r="9405" spans="39:41" x14ac:dyDescent="0.25">
      <c r="AM9405" s="2">
        <v>9402</v>
      </c>
      <c r="AN9405" s="33">
        <v>1.1909578914607869E-2</v>
      </c>
      <c r="AO9405" s="33">
        <v>7.4141320974183567E-4</v>
      </c>
    </row>
    <row r="9406" spans="39:41" x14ac:dyDescent="0.25">
      <c r="AM9406" s="2">
        <v>9403</v>
      </c>
      <c r="AN9406" s="33">
        <v>1.0742714553771135E-2</v>
      </c>
      <c r="AO9406" s="33">
        <v>2.605277770241342E-4</v>
      </c>
    </row>
    <row r="9407" spans="39:41" x14ac:dyDescent="0.25">
      <c r="AM9407" s="2">
        <v>9404</v>
      </c>
      <c r="AN9407" s="33">
        <v>8.4969360120962668E-3</v>
      </c>
      <c r="AO9407" s="33">
        <v>3.1711815807151071E-4</v>
      </c>
    </row>
    <row r="9408" spans="39:41" x14ac:dyDescent="0.25">
      <c r="AM9408" s="2">
        <v>9405</v>
      </c>
      <c r="AN9408" s="33">
        <v>1.4615176170076152E-2</v>
      </c>
      <c r="AO9408" s="33">
        <v>1.4906486874685084E-3</v>
      </c>
    </row>
    <row r="9409" spans="39:41" x14ac:dyDescent="0.25">
      <c r="AM9409" s="2">
        <v>9406</v>
      </c>
      <c r="AN9409" s="33">
        <v>1.3566881894920465E-2</v>
      </c>
      <c r="AO9409" s="33">
        <v>1.2885285468280704E-3</v>
      </c>
    </row>
    <row r="9410" spans="39:41" x14ac:dyDescent="0.25">
      <c r="AM9410" s="2">
        <v>9407</v>
      </c>
      <c r="AN9410" s="33">
        <v>8.6033247996768342E-3</v>
      </c>
      <c r="AO9410" s="33">
        <v>8.5820446778656035E-4</v>
      </c>
    </row>
    <row r="9411" spans="39:41" x14ac:dyDescent="0.25">
      <c r="AM9411" s="2">
        <v>9408</v>
      </c>
      <c r="AN9411" s="33">
        <v>1.0089748096549278E-2</v>
      </c>
      <c r="AO9411" s="33">
        <v>9.0989600507797677E-4</v>
      </c>
    </row>
    <row r="9412" spans="39:41" x14ac:dyDescent="0.25">
      <c r="AM9412" s="2">
        <v>9409</v>
      </c>
      <c r="AN9412" s="33">
        <v>1.0292240939966739E-2</v>
      </c>
      <c r="AO9412" s="33">
        <v>4.5926409833747789E-4</v>
      </c>
    </row>
    <row r="9413" spans="39:41" x14ac:dyDescent="0.25">
      <c r="AM9413" s="2">
        <v>9410</v>
      </c>
      <c r="AN9413" s="33">
        <v>9.9672155025262148E-3</v>
      </c>
      <c r="AO9413" s="33">
        <v>7.3708352479163097E-4</v>
      </c>
    </row>
    <row r="9414" spans="39:41" x14ac:dyDescent="0.25">
      <c r="AM9414" s="2">
        <v>9411</v>
      </c>
      <c r="AN9414" s="33">
        <v>1.1950282377408517E-2</v>
      </c>
      <c r="AO9414" s="33">
        <v>1.020666111126285E-3</v>
      </c>
    </row>
    <row r="9415" spans="39:41" x14ac:dyDescent="0.25">
      <c r="AM9415" s="2">
        <v>9412</v>
      </c>
      <c r="AN9415" s="33">
        <v>1.1238280922798384E-2</v>
      </c>
      <c r="AO9415" s="33">
        <v>8.3886158394000994E-4</v>
      </c>
    </row>
    <row r="9416" spans="39:41" x14ac:dyDescent="0.25">
      <c r="AM9416" s="2">
        <v>9413</v>
      </c>
      <c r="AN9416" s="33">
        <v>1.042231358495181E-2</v>
      </c>
      <c r="AO9416" s="33">
        <v>6.7349624120418097E-4</v>
      </c>
    </row>
    <row r="9417" spans="39:41" x14ac:dyDescent="0.25">
      <c r="AM9417" s="2">
        <v>9414</v>
      </c>
      <c r="AN9417" s="33">
        <v>1.2757188690390801E-2</v>
      </c>
      <c r="AO9417" s="33">
        <v>1.0202447106822067E-3</v>
      </c>
    </row>
    <row r="9418" spans="39:41" x14ac:dyDescent="0.25">
      <c r="AM9418" s="2">
        <v>9415</v>
      </c>
      <c r="AN9418" s="33">
        <v>1.3366487157121387E-2</v>
      </c>
      <c r="AO9418" s="33">
        <v>1.1793431850999879E-3</v>
      </c>
    </row>
    <row r="9419" spans="39:41" x14ac:dyDescent="0.25">
      <c r="AM9419" s="2">
        <v>9416</v>
      </c>
      <c r="AN9419" s="33">
        <v>1.0945479827739748E-2</v>
      </c>
      <c r="AO9419" s="33">
        <v>6.4754952030454866E-4</v>
      </c>
    </row>
    <row r="9420" spans="39:41" x14ac:dyDescent="0.25">
      <c r="AM9420" s="2">
        <v>9417</v>
      </c>
      <c r="AN9420" s="33">
        <v>1.2957722358277541E-2</v>
      </c>
      <c r="AO9420" s="33">
        <v>1.2427028910676878E-3</v>
      </c>
    </row>
    <row r="9421" spans="39:41" x14ac:dyDescent="0.25">
      <c r="AM9421" s="2">
        <v>9418</v>
      </c>
      <c r="AN9421" s="33">
        <v>1.1573472115072108E-2</v>
      </c>
      <c r="AO9421" s="33">
        <v>1.0735151597147034E-3</v>
      </c>
    </row>
    <row r="9422" spans="39:41" x14ac:dyDescent="0.25">
      <c r="AM9422" s="2">
        <v>9419</v>
      </c>
      <c r="AN9422" s="33">
        <v>1.0928097061341504E-2</v>
      </c>
      <c r="AO9422" s="33">
        <v>8.7463511955253011E-4</v>
      </c>
    </row>
    <row r="9423" spans="39:41" x14ac:dyDescent="0.25">
      <c r="AM9423" s="2">
        <v>9420</v>
      </c>
      <c r="AN9423" s="33">
        <v>1.5655998344400679E-2</v>
      </c>
      <c r="AO9423" s="33">
        <v>1.573432233109046E-3</v>
      </c>
    </row>
    <row r="9424" spans="39:41" x14ac:dyDescent="0.25">
      <c r="AM9424" s="2">
        <v>9421</v>
      </c>
      <c r="AN9424" s="33">
        <v>1.2511068710314599E-2</v>
      </c>
      <c r="AO9424" s="33">
        <v>9.9526770769205425E-4</v>
      </c>
    </row>
    <row r="9425" spans="39:41" x14ac:dyDescent="0.25">
      <c r="AM9425" s="2">
        <v>9422</v>
      </c>
      <c r="AN9425" s="33">
        <v>1.3240324727763594E-2</v>
      </c>
      <c r="AO9425" s="33">
        <v>4.1148509236075512E-4</v>
      </c>
    </row>
    <row r="9426" spans="39:41" x14ac:dyDescent="0.25">
      <c r="AM9426" s="2">
        <v>9423</v>
      </c>
      <c r="AN9426" s="33">
        <v>1.2112524909352395E-2</v>
      </c>
      <c r="AO9426" s="33">
        <v>1.1443339679068324E-3</v>
      </c>
    </row>
    <row r="9427" spans="39:41" x14ac:dyDescent="0.25">
      <c r="AM9427" s="2">
        <v>9424</v>
      </c>
      <c r="AN9427" s="33">
        <v>1.3685241513409021E-2</v>
      </c>
      <c r="AO9427" s="33">
        <v>9.3290080048407807E-4</v>
      </c>
    </row>
    <row r="9428" spans="39:41" x14ac:dyDescent="0.25">
      <c r="AM9428" s="2">
        <v>9425</v>
      </c>
      <c r="AN9428" s="33">
        <v>1.1283659949347304E-2</v>
      </c>
      <c r="AO9428" s="33">
        <v>4.1326277248545696E-4</v>
      </c>
    </row>
    <row r="9429" spans="39:41" x14ac:dyDescent="0.25">
      <c r="AM9429" s="2">
        <v>9426</v>
      </c>
      <c r="AN9429" s="33">
        <v>1.0892468389450988E-2</v>
      </c>
      <c r="AO9429" s="33">
        <v>7.9179334573521601E-4</v>
      </c>
    </row>
    <row r="9430" spans="39:41" x14ac:dyDescent="0.25">
      <c r="AM9430" s="2">
        <v>9427</v>
      </c>
      <c r="AN9430" s="33">
        <v>1.2260501418211087E-2</v>
      </c>
      <c r="AO9430" s="33">
        <v>9.0253199444515072E-4</v>
      </c>
    </row>
    <row r="9431" spans="39:41" x14ac:dyDescent="0.25">
      <c r="AM9431" s="2">
        <v>9428</v>
      </c>
      <c r="AN9431" s="33">
        <v>1.090700681555482E-2</v>
      </c>
      <c r="AO9431" s="33">
        <v>5.7315150135267253E-4</v>
      </c>
    </row>
    <row r="9432" spans="39:41" x14ac:dyDescent="0.25">
      <c r="AM9432" s="2">
        <v>9429</v>
      </c>
      <c r="AN9432" s="33">
        <v>1.08010434786975E-2</v>
      </c>
      <c r="AO9432" s="33">
        <v>2.0702190880082308E-4</v>
      </c>
    </row>
    <row r="9433" spans="39:41" x14ac:dyDescent="0.25">
      <c r="AM9433" s="2">
        <v>9430</v>
      </c>
      <c r="AN9433" s="33">
        <v>1.2868480155289824E-2</v>
      </c>
      <c r="AO9433" s="33">
        <v>1.1011545493824545E-3</v>
      </c>
    </row>
    <row r="9434" spans="39:41" x14ac:dyDescent="0.25">
      <c r="AM9434" s="2">
        <v>9431</v>
      </c>
      <c r="AN9434" s="33">
        <v>1.1707364947091944E-2</v>
      </c>
      <c r="AO9434" s="33">
        <v>1.6687285551342728E-4</v>
      </c>
    </row>
    <row r="9435" spans="39:41" x14ac:dyDescent="0.25">
      <c r="AM9435" s="2">
        <v>9432</v>
      </c>
      <c r="AN9435" s="33">
        <v>8.090173058142771E-3</v>
      </c>
      <c r="AO9435" s="33">
        <v>3.9812047669641505E-4</v>
      </c>
    </row>
    <row r="9436" spans="39:41" x14ac:dyDescent="0.25">
      <c r="AM9436" s="2">
        <v>9433</v>
      </c>
      <c r="AN9436" s="33">
        <v>1.4417379193048909E-2</v>
      </c>
      <c r="AO9436" s="33">
        <v>7.3158653462050531E-4</v>
      </c>
    </row>
    <row r="9437" spans="39:41" x14ac:dyDescent="0.25">
      <c r="AM9437" s="2">
        <v>9434</v>
      </c>
      <c r="AN9437" s="33">
        <v>1.1702010862545256E-2</v>
      </c>
      <c r="AO9437" s="33">
        <v>8.0398322140389845E-4</v>
      </c>
    </row>
    <row r="9438" spans="39:41" x14ac:dyDescent="0.25">
      <c r="AM9438" s="2">
        <v>9435</v>
      </c>
      <c r="AN9438" s="33">
        <v>1.4941087962872046E-2</v>
      </c>
      <c r="AO9438" s="33">
        <v>1.1426341298086287E-3</v>
      </c>
    </row>
    <row r="9439" spans="39:41" x14ac:dyDescent="0.25">
      <c r="AM9439" s="2">
        <v>9436</v>
      </c>
      <c r="AN9439" s="33">
        <v>1.0473316252145461E-2</v>
      </c>
      <c r="AO9439" s="33">
        <v>6.6726915433813674E-4</v>
      </c>
    </row>
    <row r="9440" spans="39:41" x14ac:dyDescent="0.25">
      <c r="AM9440" s="2">
        <v>9437</v>
      </c>
      <c r="AN9440" s="33">
        <v>1.542437414069641E-2</v>
      </c>
      <c r="AO9440" s="33">
        <v>1.2136563855093879E-3</v>
      </c>
    </row>
    <row r="9441" spans="39:41" x14ac:dyDescent="0.25">
      <c r="AM9441" s="2">
        <v>9438</v>
      </c>
      <c r="AN9441" s="33">
        <v>1.3960685545090211E-2</v>
      </c>
      <c r="AO9441" s="33">
        <v>9.418964719395983E-4</v>
      </c>
    </row>
    <row r="9442" spans="39:41" x14ac:dyDescent="0.25">
      <c r="AM9442" s="2">
        <v>9439</v>
      </c>
      <c r="AN9442" s="33">
        <v>1.4101660435724897E-2</v>
      </c>
      <c r="AO9442" s="33">
        <v>1.0291118985862242E-3</v>
      </c>
    </row>
    <row r="9443" spans="39:41" x14ac:dyDescent="0.25">
      <c r="AM9443" s="2">
        <v>9440</v>
      </c>
      <c r="AN9443" s="33">
        <v>9.8829148912762763E-3</v>
      </c>
      <c r="AO9443" s="33">
        <v>6.7125463892486336E-4</v>
      </c>
    </row>
    <row r="9444" spans="39:41" x14ac:dyDescent="0.25">
      <c r="AM9444" s="2">
        <v>9441</v>
      </c>
      <c r="AN9444" s="33">
        <v>1.1495970903438789E-2</v>
      </c>
      <c r="AO9444" s="33">
        <v>9.9891253561564973E-4</v>
      </c>
    </row>
    <row r="9445" spans="39:41" x14ac:dyDescent="0.25">
      <c r="AM9445" s="2">
        <v>9442</v>
      </c>
      <c r="AN9445" s="33">
        <v>1.7152723433005033E-2</v>
      </c>
      <c r="AO9445" s="33">
        <v>1.7251016036706659E-3</v>
      </c>
    </row>
    <row r="9446" spans="39:41" x14ac:dyDescent="0.25">
      <c r="AM9446" s="2">
        <v>9443</v>
      </c>
      <c r="AN9446" s="33">
        <v>1.0991684780096813E-2</v>
      </c>
      <c r="AO9446" s="33">
        <v>9.430215739609011E-4</v>
      </c>
    </row>
    <row r="9447" spans="39:41" x14ac:dyDescent="0.25">
      <c r="AM9447" s="2">
        <v>9444</v>
      </c>
      <c r="AN9447" s="33">
        <v>9.3325945491202385E-3</v>
      </c>
      <c r="AO9447" s="33">
        <v>6.7288430022076774E-4</v>
      </c>
    </row>
    <row r="9448" spans="39:41" x14ac:dyDescent="0.25">
      <c r="AM9448" s="2">
        <v>9445</v>
      </c>
      <c r="AN9448" s="33">
        <v>1.1012585606273603E-2</v>
      </c>
      <c r="AO9448" s="33">
        <v>7.8776804502175347E-4</v>
      </c>
    </row>
    <row r="9449" spans="39:41" x14ac:dyDescent="0.25">
      <c r="AM9449" s="2">
        <v>9446</v>
      </c>
      <c r="AN9449" s="33">
        <v>1.109480167854982E-2</v>
      </c>
      <c r="AO9449" s="33">
        <v>8.0906170646632882E-4</v>
      </c>
    </row>
    <row r="9450" spans="39:41" x14ac:dyDescent="0.25">
      <c r="AM9450" s="2">
        <v>9447</v>
      </c>
      <c r="AN9450" s="33">
        <v>8.4270807519550746E-3</v>
      </c>
      <c r="AO9450" s="33">
        <v>4.9368907024540493E-4</v>
      </c>
    </row>
    <row r="9451" spans="39:41" x14ac:dyDescent="0.25">
      <c r="AM9451" s="2">
        <v>9448</v>
      </c>
      <c r="AN9451" s="33">
        <v>1.1489078551455797E-2</v>
      </c>
      <c r="AO9451" s="33">
        <v>9.028092059902307E-4</v>
      </c>
    </row>
    <row r="9452" spans="39:41" x14ac:dyDescent="0.25">
      <c r="AM9452" s="2">
        <v>9449</v>
      </c>
      <c r="AN9452" s="33">
        <v>1.408046721405277E-2</v>
      </c>
      <c r="AO9452" s="33">
        <v>5.1559537846910879E-4</v>
      </c>
    </row>
    <row r="9453" spans="39:41" x14ac:dyDescent="0.25">
      <c r="AM9453" s="2">
        <v>9450</v>
      </c>
      <c r="AN9453" s="33">
        <v>9.6341783706558777E-3</v>
      </c>
      <c r="AO9453" s="33">
        <v>9.5672406667279451E-4</v>
      </c>
    </row>
    <row r="9454" spans="39:41" x14ac:dyDescent="0.25">
      <c r="AM9454" s="2">
        <v>9451</v>
      </c>
      <c r="AN9454" s="33">
        <v>1.2598944609306906E-2</v>
      </c>
      <c r="AO9454" s="33">
        <v>1.0975615909806957E-3</v>
      </c>
    </row>
    <row r="9455" spans="39:41" x14ac:dyDescent="0.25">
      <c r="AM9455" s="2">
        <v>9452</v>
      </c>
      <c r="AN9455" s="33">
        <v>1.0464021909494867E-2</v>
      </c>
      <c r="AO9455" s="33">
        <v>5.2637584958695389E-4</v>
      </c>
    </row>
    <row r="9456" spans="39:41" x14ac:dyDescent="0.25">
      <c r="AM9456" s="2">
        <v>9453</v>
      </c>
      <c r="AN9456" s="33">
        <v>1.5062830949352589E-2</v>
      </c>
      <c r="AO9456" s="33">
        <v>1.1652619783856489E-3</v>
      </c>
    </row>
    <row r="9457" spans="39:41" x14ac:dyDescent="0.25">
      <c r="AM9457" s="2">
        <v>9454</v>
      </c>
      <c r="AN9457" s="33">
        <v>1.7420165568458244E-2</v>
      </c>
      <c r="AO9457" s="33">
        <v>1.3445114045582142E-3</v>
      </c>
    </row>
    <row r="9458" spans="39:41" x14ac:dyDescent="0.25">
      <c r="AM9458" s="2">
        <v>9455</v>
      </c>
      <c r="AN9458" s="33">
        <v>1.1340006757692693E-2</v>
      </c>
      <c r="AO9458" s="33">
        <v>8.3424701125248894E-4</v>
      </c>
    </row>
    <row r="9459" spans="39:41" x14ac:dyDescent="0.25">
      <c r="AM9459" s="2">
        <v>9456</v>
      </c>
      <c r="AN9459" s="33">
        <v>8.4278525161901093E-3</v>
      </c>
      <c r="AO9459" s="33">
        <v>4.6440995275664657E-4</v>
      </c>
    </row>
    <row r="9460" spans="39:41" x14ac:dyDescent="0.25">
      <c r="AM9460" s="2">
        <v>9457</v>
      </c>
      <c r="AN9460" s="33">
        <v>1.0592067398848989E-2</v>
      </c>
      <c r="AO9460" s="33">
        <v>6.7659428900233084E-4</v>
      </c>
    </row>
    <row r="9461" spans="39:41" x14ac:dyDescent="0.25">
      <c r="AM9461" s="2">
        <v>9458</v>
      </c>
      <c r="AN9461" s="33">
        <v>1.4048132996080645E-2</v>
      </c>
      <c r="AO9461" s="33">
        <v>7.5907967031717109E-4</v>
      </c>
    </row>
    <row r="9462" spans="39:41" x14ac:dyDescent="0.25">
      <c r="AM9462" s="2">
        <v>9459</v>
      </c>
      <c r="AN9462" s="33">
        <v>8.8864276466426462E-3</v>
      </c>
      <c r="AO9462" s="33">
        <v>7.6585597790862741E-4</v>
      </c>
    </row>
    <row r="9463" spans="39:41" x14ac:dyDescent="0.25">
      <c r="AM9463" s="2">
        <v>9460</v>
      </c>
      <c r="AN9463" s="33">
        <v>1.307405990507462E-2</v>
      </c>
      <c r="AO9463" s="33">
        <v>1.0219321026644355E-3</v>
      </c>
    </row>
    <row r="9464" spans="39:41" x14ac:dyDescent="0.25">
      <c r="AM9464" s="2">
        <v>9461</v>
      </c>
      <c r="AN9464" s="33">
        <v>1.2055879875087125E-2</v>
      </c>
      <c r="AO9464" s="33">
        <v>1.039489683419492E-3</v>
      </c>
    </row>
    <row r="9465" spans="39:41" x14ac:dyDescent="0.25">
      <c r="AM9465" s="2">
        <v>9462</v>
      </c>
      <c r="AN9465" s="33">
        <v>1.2868797946056677E-2</v>
      </c>
      <c r="AO9465" s="33">
        <v>1.2147440958998259E-3</v>
      </c>
    </row>
    <row r="9466" spans="39:41" x14ac:dyDescent="0.25">
      <c r="AM9466" s="2">
        <v>9463</v>
      </c>
      <c r="AN9466" s="33">
        <v>9.6508342579970183E-3</v>
      </c>
      <c r="AO9466" s="33">
        <v>8.3492050516623822E-4</v>
      </c>
    </row>
    <row r="9467" spans="39:41" x14ac:dyDescent="0.25">
      <c r="AM9467" s="2">
        <v>9464</v>
      </c>
      <c r="AN9467" s="33">
        <v>1.2495104872151185E-2</v>
      </c>
      <c r="AO9467" s="33">
        <v>6.5108824999079561E-4</v>
      </c>
    </row>
    <row r="9468" spans="39:41" x14ac:dyDescent="0.25">
      <c r="AM9468" s="2">
        <v>9465</v>
      </c>
      <c r="AN9468" s="33">
        <v>1.0430480566748614E-2</v>
      </c>
      <c r="AO9468" s="33">
        <v>7.3837682611588263E-4</v>
      </c>
    </row>
    <row r="9469" spans="39:41" x14ac:dyDescent="0.25">
      <c r="AM9469" s="2">
        <v>9466</v>
      </c>
      <c r="AN9469" s="33">
        <v>1.0727814697579848E-2</v>
      </c>
      <c r="AO9469" s="33">
        <v>8.1956148092481593E-4</v>
      </c>
    </row>
    <row r="9470" spans="39:41" x14ac:dyDescent="0.25">
      <c r="AM9470" s="2">
        <v>9467</v>
      </c>
      <c r="AN9470" s="33">
        <v>1.4645409399161126E-2</v>
      </c>
      <c r="AO9470" s="33">
        <v>1.3660064002351787E-3</v>
      </c>
    </row>
    <row r="9471" spans="39:41" x14ac:dyDescent="0.25">
      <c r="AM9471" s="2">
        <v>9468</v>
      </c>
      <c r="AN9471" s="33">
        <v>1.1951710743933133E-2</v>
      </c>
      <c r="AO9471" s="33">
        <v>9.2189566137332096E-4</v>
      </c>
    </row>
    <row r="9472" spans="39:41" x14ac:dyDescent="0.25">
      <c r="AM9472" s="2">
        <v>9469</v>
      </c>
      <c r="AN9472" s="33">
        <v>1.323494905657085E-2</v>
      </c>
      <c r="AO9472" s="33">
        <v>1.2176392114283347E-3</v>
      </c>
    </row>
    <row r="9473" spans="39:41" x14ac:dyDescent="0.25">
      <c r="AM9473" s="2">
        <v>9470</v>
      </c>
      <c r="AN9473" s="33">
        <v>1.1388909515700915E-2</v>
      </c>
      <c r="AO9473" s="33">
        <v>8.9409475543536553E-4</v>
      </c>
    </row>
    <row r="9474" spans="39:41" x14ac:dyDescent="0.25">
      <c r="AM9474" s="2">
        <v>9471</v>
      </c>
      <c r="AN9474" s="33">
        <v>1.0439973820607826E-2</v>
      </c>
      <c r="AO9474" s="33">
        <v>8.4838101429474924E-4</v>
      </c>
    </row>
    <row r="9475" spans="39:41" x14ac:dyDescent="0.25">
      <c r="AM9475" s="2">
        <v>9472</v>
      </c>
      <c r="AN9475" s="33">
        <v>1.2030791328222294E-2</v>
      </c>
      <c r="AO9475" s="33">
        <v>1.1964696360985611E-3</v>
      </c>
    </row>
    <row r="9476" spans="39:41" x14ac:dyDescent="0.25">
      <c r="AM9476" s="2">
        <v>9473</v>
      </c>
      <c r="AN9476" s="33">
        <v>1.1112655584596199E-2</v>
      </c>
      <c r="AO9476" s="33">
        <v>8.2230306712930638E-4</v>
      </c>
    </row>
    <row r="9477" spans="39:41" x14ac:dyDescent="0.25">
      <c r="AM9477" s="2">
        <v>9474</v>
      </c>
      <c r="AN9477" s="33">
        <v>1.3571914507310044E-2</v>
      </c>
      <c r="AO9477" s="33">
        <v>1.1648377572344498E-3</v>
      </c>
    </row>
    <row r="9478" spans="39:41" x14ac:dyDescent="0.25">
      <c r="AM9478" s="2">
        <v>9475</v>
      </c>
      <c r="AN9478" s="33">
        <v>1.4017714825299139E-2</v>
      </c>
      <c r="AO9478" s="33">
        <v>1.4486593977253823E-3</v>
      </c>
    </row>
    <row r="9479" spans="39:41" x14ac:dyDescent="0.25">
      <c r="AM9479" s="2">
        <v>9476</v>
      </c>
      <c r="AN9479" s="33">
        <v>9.7623641665362162E-3</v>
      </c>
      <c r="AO9479" s="33">
        <v>7.5235700378655098E-4</v>
      </c>
    </row>
    <row r="9480" spans="39:41" x14ac:dyDescent="0.25">
      <c r="AM9480" s="2">
        <v>9477</v>
      </c>
      <c r="AN9480" s="33">
        <v>9.5111654290693098E-3</v>
      </c>
      <c r="AO9480" s="33">
        <v>8.4616578109214622E-4</v>
      </c>
    </row>
    <row r="9481" spans="39:41" x14ac:dyDescent="0.25">
      <c r="AM9481" s="2">
        <v>9478</v>
      </c>
      <c r="AN9481" s="33">
        <v>1.410353531377379E-2</v>
      </c>
      <c r="AO9481" s="33">
        <v>8.170660436573261E-5</v>
      </c>
    </row>
    <row r="9482" spans="39:41" x14ac:dyDescent="0.25">
      <c r="AM9482" s="2">
        <v>9479</v>
      </c>
      <c r="AN9482" s="33">
        <v>1.5177012126543E-2</v>
      </c>
      <c r="AO9482" s="33">
        <v>1.529173491694165E-3</v>
      </c>
    </row>
    <row r="9483" spans="39:41" x14ac:dyDescent="0.25">
      <c r="AM9483" s="2">
        <v>9480</v>
      </c>
      <c r="AN9483" s="33">
        <v>1.3959370932381266E-2</v>
      </c>
      <c r="AO9483" s="33">
        <v>1.0182412289936563E-3</v>
      </c>
    </row>
    <row r="9484" spans="39:41" x14ac:dyDescent="0.25">
      <c r="AM9484" s="2">
        <v>9481</v>
      </c>
      <c r="AN9484" s="33">
        <v>9.089774815505847E-3</v>
      </c>
      <c r="AO9484" s="33">
        <v>4.3138124790480649E-4</v>
      </c>
    </row>
    <row r="9485" spans="39:41" x14ac:dyDescent="0.25">
      <c r="AM9485" s="2">
        <v>9482</v>
      </c>
      <c r="AN9485" s="33">
        <v>8.5958230818800243E-3</v>
      </c>
      <c r="AO9485" s="33">
        <v>6.8766498377434264E-4</v>
      </c>
    </row>
    <row r="9486" spans="39:41" x14ac:dyDescent="0.25">
      <c r="AM9486" s="2">
        <v>9483</v>
      </c>
      <c r="AN9486" s="33">
        <v>1.1568563385867143E-2</v>
      </c>
      <c r="AO9486" s="33">
        <v>7.9941113820579846E-4</v>
      </c>
    </row>
    <row r="9487" spans="39:41" x14ac:dyDescent="0.25">
      <c r="AM9487" s="2">
        <v>9484</v>
      </c>
      <c r="AN9487" s="33">
        <v>1.2394202098169559E-2</v>
      </c>
      <c r="AO9487" s="33">
        <v>8.1086393136469142E-4</v>
      </c>
    </row>
    <row r="9488" spans="39:41" x14ac:dyDescent="0.25">
      <c r="AM9488" s="2">
        <v>9485</v>
      </c>
      <c r="AN9488" s="33">
        <v>1.5196358754799424E-2</v>
      </c>
      <c r="AO9488" s="33">
        <v>1.0853440637831914E-3</v>
      </c>
    </row>
    <row r="9489" spans="39:41" x14ac:dyDescent="0.25">
      <c r="AM9489" s="2">
        <v>9486</v>
      </c>
      <c r="AN9489" s="33">
        <v>8.7411907352797549E-3</v>
      </c>
      <c r="AO9489" s="33">
        <v>6.1057583758763502E-4</v>
      </c>
    </row>
    <row r="9490" spans="39:41" x14ac:dyDescent="0.25">
      <c r="AM9490" s="2">
        <v>9487</v>
      </c>
      <c r="AN9490" s="33">
        <v>1.7318019335605693E-2</v>
      </c>
      <c r="AO9490" s="33">
        <v>1.7448882743471522E-3</v>
      </c>
    </row>
    <row r="9491" spans="39:41" x14ac:dyDescent="0.25">
      <c r="AM9491" s="2">
        <v>9488</v>
      </c>
      <c r="AN9491" s="33">
        <v>1.1281730024543952E-2</v>
      </c>
      <c r="AO9491" s="33">
        <v>4.0886420286870859E-4</v>
      </c>
    </row>
    <row r="9492" spans="39:41" x14ac:dyDescent="0.25">
      <c r="AM9492" s="2">
        <v>9489</v>
      </c>
      <c r="AN9492" s="33">
        <v>1.2250134687294589E-2</v>
      </c>
      <c r="AO9492" s="33">
        <v>9.4445187892114443E-4</v>
      </c>
    </row>
    <row r="9493" spans="39:41" x14ac:dyDescent="0.25">
      <c r="AM9493" s="2">
        <v>9490</v>
      </c>
      <c r="AN9493" s="33">
        <v>1.4154653944912311E-2</v>
      </c>
      <c r="AO9493" s="33">
        <v>1.0773837142590236E-3</v>
      </c>
    </row>
    <row r="9494" spans="39:41" x14ac:dyDescent="0.25">
      <c r="AM9494" s="2">
        <v>9491</v>
      </c>
      <c r="AN9494" s="33">
        <v>1.4778550973954563E-2</v>
      </c>
      <c r="AO9494" s="33">
        <v>1.4563054419115E-3</v>
      </c>
    </row>
    <row r="9495" spans="39:41" x14ac:dyDescent="0.25">
      <c r="AM9495" s="2">
        <v>9492</v>
      </c>
      <c r="AN9495" s="33">
        <v>9.4242343189656335E-3</v>
      </c>
      <c r="AO9495" s="33">
        <v>2.7007468666671094E-4</v>
      </c>
    </row>
    <row r="9496" spans="39:41" x14ac:dyDescent="0.25">
      <c r="AM9496" s="2">
        <v>9493</v>
      </c>
      <c r="AN9496" s="33">
        <v>1.0292045127994177E-2</v>
      </c>
      <c r="AO9496" s="33">
        <v>7.1400588941570523E-4</v>
      </c>
    </row>
    <row r="9497" spans="39:41" x14ac:dyDescent="0.25">
      <c r="AM9497" s="2">
        <v>9494</v>
      </c>
      <c r="AN9497" s="33">
        <v>1.0179352245080382E-2</v>
      </c>
      <c r="AO9497" s="33">
        <v>6.0929557395350445E-4</v>
      </c>
    </row>
    <row r="9498" spans="39:41" x14ac:dyDescent="0.25">
      <c r="AM9498" s="2">
        <v>9495</v>
      </c>
      <c r="AN9498" s="33">
        <v>1.17354823326597E-2</v>
      </c>
      <c r="AO9498" s="33">
        <v>7.0732977465546871E-4</v>
      </c>
    </row>
    <row r="9499" spans="39:41" x14ac:dyDescent="0.25">
      <c r="AM9499" s="2">
        <v>9496</v>
      </c>
      <c r="AN9499" s="33">
        <v>8.4893306447774691E-3</v>
      </c>
      <c r="AO9499" s="33">
        <v>7.4657420807201541E-4</v>
      </c>
    </row>
    <row r="9500" spans="39:41" x14ac:dyDescent="0.25">
      <c r="AM9500" s="2">
        <v>9497</v>
      </c>
      <c r="AN9500" s="33">
        <v>1.4544462870027416E-2</v>
      </c>
      <c r="AO9500" s="33">
        <v>1.1795479306109288E-3</v>
      </c>
    </row>
    <row r="9501" spans="39:41" x14ac:dyDescent="0.25">
      <c r="AM9501" s="2">
        <v>9498</v>
      </c>
      <c r="AN9501" s="33">
        <v>1.1509195851030609E-2</v>
      </c>
      <c r="AO9501" s="33">
        <v>6.2007252028138985E-4</v>
      </c>
    </row>
    <row r="9502" spans="39:41" x14ac:dyDescent="0.25">
      <c r="AM9502" s="2">
        <v>9499</v>
      </c>
      <c r="AN9502" s="33">
        <v>1.3027307288244505E-2</v>
      </c>
      <c r="AO9502" s="33">
        <v>1.2144473082488284E-3</v>
      </c>
    </row>
    <row r="9503" spans="39:41" x14ac:dyDescent="0.25">
      <c r="AM9503" s="2">
        <v>9500</v>
      </c>
      <c r="AN9503" s="33">
        <v>1.2992661886894097E-2</v>
      </c>
      <c r="AO9503" s="33">
        <v>1.2099878139917569E-3</v>
      </c>
    </row>
    <row r="9504" spans="39:41" x14ac:dyDescent="0.25">
      <c r="AM9504" s="2">
        <v>9501</v>
      </c>
      <c r="AN9504" s="33">
        <v>9.6042969465389705E-3</v>
      </c>
      <c r="AO9504" s="33">
        <v>4.8153489242169935E-4</v>
      </c>
    </row>
    <row r="9505" spans="39:41" x14ac:dyDescent="0.25">
      <c r="AM9505" s="2">
        <v>9502</v>
      </c>
      <c r="AN9505" s="33">
        <v>1.0652889595707534E-2</v>
      </c>
      <c r="AO9505" s="33">
        <v>2.7189259210163034E-4</v>
      </c>
    </row>
    <row r="9506" spans="39:41" x14ac:dyDescent="0.25">
      <c r="AM9506" s="2">
        <v>9503</v>
      </c>
      <c r="AN9506" s="33">
        <v>1.1131242429957057E-2</v>
      </c>
      <c r="AO9506" s="33">
        <v>1.0473064816616594E-3</v>
      </c>
    </row>
    <row r="9507" spans="39:41" x14ac:dyDescent="0.25">
      <c r="AM9507" s="2">
        <v>9504</v>
      </c>
      <c r="AN9507" s="33">
        <v>1.2025304684752325E-2</v>
      </c>
      <c r="AO9507" s="33">
        <v>8.599795512615391E-4</v>
      </c>
    </row>
    <row r="9508" spans="39:41" x14ac:dyDescent="0.25">
      <c r="AM9508" s="2">
        <v>9505</v>
      </c>
      <c r="AN9508" s="33">
        <v>1.1975033965370413E-2</v>
      </c>
      <c r="AO9508" s="33">
        <v>6.4430412231164535E-4</v>
      </c>
    </row>
    <row r="9509" spans="39:41" x14ac:dyDescent="0.25">
      <c r="AM9509" s="2">
        <v>9506</v>
      </c>
      <c r="AN9509" s="33">
        <v>1.3132818032566405E-2</v>
      </c>
      <c r="AO9509" s="33">
        <v>1.1263471084299143E-3</v>
      </c>
    </row>
    <row r="9510" spans="39:41" x14ac:dyDescent="0.25">
      <c r="AM9510" s="2">
        <v>9507</v>
      </c>
      <c r="AN9510" s="33">
        <v>1.3224922189449368E-2</v>
      </c>
      <c r="AO9510" s="33">
        <v>1.0121668085865758E-3</v>
      </c>
    </row>
    <row r="9511" spans="39:41" x14ac:dyDescent="0.25">
      <c r="AM9511" s="2">
        <v>9508</v>
      </c>
      <c r="AN9511" s="33">
        <v>1.2964669880095181E-2</v>
      </c>
      <c r="AO9511" s="33">
        <v>1.1121799006901104E-3</v>
      </c>
    </row>
    <row r="9512" spans="39:41" x14ac:dyDescent="0.25">
      <c r="AM9512" s="2">
        <v>9509</v>
      </c>
      <c r="AN9512" s="33">
        <v>1.350043355653557E-2</v>
      </c>
      <c r="AO9512" s="33">
        <v>1.0389519557155702E-3</v>
      </c>
    </row>
    <row r="9513" spans="39:41" x14ac:dyDescent="0.25">
      <c r="AM9513" s="2">
        <v>9510</v>
      </c>
      <c r="AN9513" s="33">
        <v>1.3939637999519309E-2</v>
      </c>
      <c r="AO9513" s="33">
        <v>1.3736924638637559E-3</v>
      </c>
    </row>
    <row r="9514" spans="39:41" x14ac:dyDescent="0.25">
      <c r="AM9514" s="2">
        <v>9511</v>
      </c>
      <c r="AN9514" s="33">
        <v>1.0488558770469933E-2</v>
      </c>
      <c r="AO9514" s="33">
        <v>3.6238635850873065E-4</v>
      </c>
    </row>
    <row r="9515" spans="39:41" x14ac:dyDescent="0.25">
      <c r="AM9515" s="2">
        <v>9512</v>
      </c>
      <c r="AN9515" s="33">
        <v>1.3385686580303353E-2</v>
      </c>
      <c r="AO9515" s="33">
        <v>1.0578007887999639E-3</v>
      </c>
    </row>
    <row r="9516" spans="39:41" x14ac:dyDescent="0.25">
      <c r="AM9516" s="2">
        <v>9513</v>
      </c>
      <c r="AN9516" s="33">
        <v>8.9395776193675371E-3</v>
      </c>
      <c r="AO9516" s="33">
        <v>8.6503503309200472E-4</v>
      </c>
    </row>
    <row r="9517" spans="39:41" x14ac:dyDescent="0.25">
      <c r="AM9517" s="2">
        <v>9514</v>
      </c>
      <c r="AN9517" s="33">
        <v>8.2014273745583989E-3</v>
      </c>
      <c r="AO9517" s="33">
        <v>5.9604987279982099E-4</v>
      </c>
    </row>
    <row r="9518" spans="39:41" x14ac:dyDescent="0.25">
      <c r="AM9518" s="2">
        <v>9515</v>
      </c>
      <c r="AN9518" s="33">
        <v>1.1029812688886134E-2</v>
      </c>
      <c r="AO9518" s="33">
        <v>4.0767849306831537E-4</v>
      </c>
    </row>
    <row r="9519" spans="39:41" x14ac:dyDescent="0.25">
      <c r="AM9519" s="2">
        <v>9516</v>
      </c>
      <c r="AN9519" s="33">
        <v>1.1143734293409356E-2</v>
      </c>
      <c r="AO9519" s="33">
        <v>8.8376410738383836E-4</v>
      </c>
    </row>
    <row r="9520" spans="39:41" x14ac:dyDescent="0.25">
      <c r="AM9520" s="2">
        <v>9517</v>
      </c>
      <c r="AN9520" s="33">
        <v>1.348819616404482E-2</v>
      </c>
      <c r="AO9520" s="33">
        <v>1.0178640837274593E-3</v>
      </c>
    </row>
    <row r="9521" spans="39:41" x14ac:dyDescent="0.25">
      <c r="AM9521" s="2">
        <v>9518</v>
      </c>
      <c r="AN9521" s="33">
        <v>8.8740523339278683E-3</v>
      </c>
      <c r="AO9521" s="33">
        <v>2.8715149217158601E-4</v>
      </c>
    </row>
    <row r="9522" spans="39:41" x14ac:dyDescent="0.25">
      <c r="AM9522" s="2">
        <v>9519</v>
      </c>
      <c r="AN9522" s="33">
        <v>8.8354287757340787E-3</v>
      </c>
      <c r="AO9522" s="33">
        <v>6.8288288139558835E-4</v>
      </c>
    </row>
    <row r="9523" spans="39:41" x14ac:dyDescent="0.25">
      <c r="AM9523" s="2">
        <v>9520</v>
      </c>
      <c r="AN9523" s="33">
        <v>9.2482594987295819E-3</v>
      </c>
      <c r="AO9523" s="33">
        <v>8.5379544206087171E-4</v>
      </c>
    </row>
    <row r="9524" spans="39:41" x14ac:dyDescent="0.25">
      <c r="AM9524" s="2">
        <v>9521</v>
      </c>
      <c r="AN9524" s="33">
        <v>9.9344531727701031E-3</v>
      </c>
      <c r="AO9524" s="33">
        <v>8.4181545345730804E-4</v>
      </c>
    </row>
    <row r="9525" spans="39:41" x14ac:dyDescent="0.25">
      <c r="AM9525" s="2">
        <v>9522</v>
      </c>
      <c r="AN9525" s="33">
        <v>1.2286632571764379E-2</v>
      </c>
      <c r="AO9525" s="33">
        <v>9.7445817948953206E-4</v>
      </c>
    </row>
    <row r="9526" spans="39:41" x14ac:dyDescent="0.25">
      <c r="AM9526" s="2">
        <v>9523</v>
      </c>
      <c r="AN9526" s="33">
        <v>1.6607895023756498E-2</v>
      </c>
      <c r="AO9526" s="33">
        <v>1.4199303997675528E-3</v>
      </c>
    </row>
    <row r="9527" spans="39:41" x14ac:dyDescent="0.25">
      <c r="AM9527" s="2">
        <v>9524</v>
      </c>
      <c r="AN9527" s="33">
        <v>1.4408852208508235E-2</v>
      </c>
      <c r="AO9527" s="33">
        <v>1.0545443507640807E-3</v>
      </c>
    </row>
    <row r="9528" spans="39:41" x14ac:dyDescent="0.25">
      <c r="AM9528" s="2">
        <v>9525</v>
      </c>
      <c r="AN9528" s="33">
        <v>1.1938066402711315E-2</v>
      </c>
      <c r="AO9528" s="33">
        <v>7.8616922159648408E-4</v>
      </c>
    </row>
    <row r="9529" spans="39:41" x14ac:dyDescent="0.25">
      <c r="AM9529" s="2">
        <v>9526</v>
      </c>
      <c r="AN9529" s="33">
        <v>1.3161339170365664E-2</v>
      </c>
      <c r="AO9529" s="33">
        <v>1.3440629786222488E-3</v>
      </c>
    </row>
    <row r="9530" spans="39:41" x14ac:dyDescent="0.25">
      <c r="AM9530" s="2">
        <v>9527</v>
      </c>
      <c r="AN9530" s="33">
        <v>1.5853426748697177E-2</v>
      </c>
      <c r="AO9530" s="33">
        <v>1.5770218106124305E-3</v>
      </c>
    </row>
    <row r="9531" spans="39:41" x14ac:dyDescent="0.25">
      <c r="AM9531" s="2">
        <v>9528</v>
      </c>
      <c r="AN9531" s="33">
        <v>1.0166679307780735E-2</v>
      </c>
      <c r="AO9531" s="33">
        <v>3.7749238065981595E-4</v>
      </c>
    </row>
    <row r="9532" spans="39:41" x14ac:dyDescent="0.25">
      <c r="AM9532" s="2">
        <v>9529</v>
      </c>
      <c r="AN9532" s="33">
        <v>1.3277585087961332E-2</v>
      </c>
      <c r="AO9532" s="33">
        <v>1.2012023171786531E-3</v>
      </c>
    </row>
    <row r="9533" spans="39:41" x14ac:dyDescent="0.25">
      <c r="AM9533" s="2">
        <v>9530</v>
      </c>
      <c r="AN9533" s="33">
        <v>1.2225297887796548E-2</v>
      </c>
      <c r="AO9533" s="33">
        <v>9.5302843650957715E-4</v>
      </c>
    </row>
    <row r="9534" spans="39:41" x14ac:dyDescent="0.25">
      <c r="AM9534" s="2">
        <v>9531</v>
      </c>
      <c r="AN9534" s="33">
        <v>1.1457493756755801E-2</v>
      </c>
      <c r="AO9534" s="33">
        <v>5.1139468973657285E-4</v>
      </c>
    </row>
    <row r="9535" spans="39:41" x14ac:dyDescent="0.25">
      <c r="AM9535" s="2">
        <v>9532</v>
      </c>
      <c r="AN9535" s="33">
        <v>1.1696310260236552E-2</v>
      </c>
      <c r="AO9535" s="33">
        <v>1.0548647306553879E-3</v>
      </c>
    </row>
    <row r="9536" spans="39:41" x14ac:dyDescent="0.25">
      <c r="AM9536" s="2">
        <v>9533</v>
      </c>
      <c r="AN9536" s="33">
        <v>1.7311852731405137E-2</v>
      </c>
      <c r="AO9536" s="33">
        <v>1.5071761028076947E-3</v>
      </c>
    </row>
    <row r="9537" spans="39:41" x14ac:dyDescent="0.25">
      <c r="AM9537" s="2">
        <v>9534</v>
      </c>
      <c r="AN9537" s="33">
        <v>9.3526004676414542E-3</v>
      </c>
      <c r="AO9537" s="33">
        <v>6.8934975282218135E-4</v>
      </c>
    </row>
    <row r="9538" spans="39:41" x14ac:dyDescent="0.25">
      <c r="AM9538" s="2">
        <v>9535</v>
      </c>
      <c r="AN9538" s="33">
        <v>1.386391891730163E-2</v>
      </c>
      <c r="AO9538" s="33">
        <v>1.0049843222553784E-3</v>
      </c>
    </row>
    <row r="9539" spans="39:41" x14ac:dyDescent="0.25">
      <c r="AM9539" s="2">
        <v>9536</v>
      </c>
      <c r="AN9539" s="33">
        <v>1.1934965276727676E-2</v>
      </c>
      <c r="AO9539" s="33">
        <v>1.1254710161072623E-3</v>
      </c>
    </row>
    <row r="9540" spans="39:41" x14ac:dyDescent="0.25">
      <c r="AM9540" s="2">
        <v>9537</v>
      </c>
      <c r="AN9540" s="33">
        <v>8.5029781079578298E-3</v>
      </c>
      <c r="AO9540" s="33">
        <v>3.9909066046137738E-4</v>
      </c>
    </row>
    <row r="9541" spans="39:41" x14ac:dyDescent="0.25">
      <c r="AM9541" s="2">
        <v>9538</v>
      </c>
      <c r="AN9541" s="33">
        <v>9.5152496607438589E-3</v>
      </c>
      <c r="AO9541" s="33">
        <v>3.578159055384656E-4</v>
      </c>
    </row>
    <row r="9542" spans="39:41" x14ac:dyDescent="0.25">
      <c r="AM9542" s="2">
        <v>9539</v>
      </c>
      <c r="AN9542" s="33">
        <v>1.347664115965449E-2</v>
      </c>
      <c r="AO9542" s="33">
        <v>9.362540597176363E-4</v>
      </c>
    </row>
    <row r="9543" spans="39:41" x14ac:dyDescent="0.25">
      <c r="AM9543" s="2">
        <v>9540</v>
      </c>
      <c r="AN9543" s="33">
        <v>1.1208437650024862E-2</v>
      </c>
      <c r="AO9543" s="33">
        <v>4.6695090312639305E-4</v>
      </c>
    </row>
    <row r="9544" spans="39:41" x14ac:dyDescent="0.25">
      <c r="AM9544" s="2">
        <v>9541</v>
      </c>
      <c r="AN9544" s="33">
        <v>1.1824965265788747E-2</v>
      </c>
      <c r="AO9544" s="33">
        <v>9.518373932575683E-4</v>
      </c>
    </row>
    <row r="9545" spans="39:41" x14ac:dyDescent="0.25">
      <c r="AM9545" s="2">
        <v>9542</v>
      </c>
      <c r="AN9545" s="33">
        <v>1.2040732879333424E-2</v>
      </c>
      <c r="AO9545" s="33">
        <v>1.0218845708455286E-3</v>
      </c>
    </row>
    <row r="9546" spans="39:41" x14ac:dyDescent="0.25">
      <c r="AM9546" s="2">
        <v>9543</v>
      </c>
      <c r="AN9546" s="33">
        <v>1.4869193509432752E-2</v>
      </c>
      <c r="AO9546" s="33">
        <v>1.5053772587389558E-3</v>
      </c>
    </row>
    <row r="9547" spans="39:41" x14ac:dyDescent="0.25">
      <c r="AM9547" s="2">
        <v>9544</v>
      </c>
      <c r="AN9547" s="33">
        <v>1.2129007321364307E-2</v>
      </c>
      <c r="AO9547" s="33">
        <v>1.0306811954004607E-3</v>
      </c>
    </row>
    <row r="9548" spans="39:41" x14ac:dyDescent="0.25">
      <c r="AM9548" s="2">
        <v>9545</v>
      </c>
      <c r="AN9548" s="33">
        <v>1.1115066490939979E-2</v>
      </c>
      <c r="AO9548" s="33">
        <v>9.1981978841468889E-4</v>
      </c>
    </row>
    <row r="9549" spans="39:41" x14ac:dyDescent="0.25">
      <c r="AM9549" s="2">
        <v>9546</v>
      </c>
      <c r="AN9549" s="33">
        <v>1.0650067703949799E-2</v>
      </c>
      <c r="AO9549" s="33">
        <v>5.2032931750084098E-4</v>
      </c>
    </row>
    <row r="9550" spans="39:41" x14ac:dyDescent="0.25">
      <c r="AM9550" s="2">
        <v>9547</v>
      </c>
      <c r="AN9550" s="33">
        <v>1.3983114328454217E-2</v>
      </c>
      <c r="AO9550" s="33">
        <v>1.2469940563222407E-3</v>
      </c>
    </row>
    <row r="9551" spans="39:41" x14ac:dyDescent="0.25">
      <c r="AM9551" s="2">
        <v>9548</v>
      </c>
      <c r="AN9551" s="33">
        <v>1.0657424455828093E-2</v>
      </c>
      <c r="AO9551" s="33">
        <v>7.1065916830272754E-4</v>
      </c>
    </row>
    <row r="9552" spans="39:41" x14ac:dyDescent="0.25">
      <c r="AM9552" s="2">
        <v>9549</v>
      </c>
      <c r="AN9552" s="33">
        <v>1.1101397633760814E-2</v>
      </c>
      <c r="AO9552" s="33">
        <v>6.4369970703419678E-4</v>
      </c>
    </row>
    <row r="9553" spans="39:41" x14ac:dyDescent="0.25">
      <c r="AM9553" s="2">
        <v>9550</v>
      </c>
      <c r="AN9553" s="33">
        <v>1.0769846556482152E-2</v>
      </c>
      <c r="AO9553" s="33">
        <v>8.7226332729267134E-4</v>
      </c>
    </row>
    <row r="9554" spans="39:41" x14ac:dyDescent="0.25">
      <c r="AM9554" s="2">
        <v>9551</v>
      </c>
      <c r="AN9554" s="33">
        <v>1.3512367448607959E-2</v>
      </c>
      <c r="AO9554" s="33">
        <v>9.6582276349526969E-4</v>
      </c>
    </row>
    <row r="9555" spans="39:41" x14ac:dyDescent="0.25">
      <c r="AM9555" s="2">
        <v>9552</v>
      </c>
      <c r="AN9555" s="33">
        <v>1.258162506541899E-2</v>
      </c>
      <c r="AO9555" s="33">
        <v>8.37786511977866E-4</v>
      </c>
    </row>
    <row r="9556" spans="39:41" x14ac:dyDescent="0.25">
      <c r="AM9556" s="2">
        <v>9553</v>
      </c>
      <c r="AN9556" s="33">
        <v>1.1857655699557032E-2</v>
      </c>
      <c r="AO9556" s="33">
        <v>8.5217227740006321E-4</v>
      </c>
    </row>
    <row r="9557" spans="39:41" x14ac:dyDescent="0.25">
      <c r="AM9557" s="2">
        <v>9554</v>
      </c>
      <c r="AN9557" s="33">
        <v>1.034666777327551E-2</v>
      </c>
      <c r="AO9557" s="33">
        <v>5.2847289044195421E-4</v>
      </c>
    </row>
    <row r="9558" spans="39:41" x14ac:dyDescent="0.25">
      <c r="AM9558" s="2">
        <v>9555</v>
      </c>
      <c r="AN9558" s="33">
        <v>1.0288864768863657E-2</v>
      </c>
      <c r="AO9558" s="33">
        <v>8.1114272881215401E-4</v>
      </c>
    </row>
    <row r="9559" spans="39:41" x14ac:dyDescent="0.25">
      <c r="AM9559" s="2">
        <v>9556</v>
      </c>
      <c r="AN9559" s="33">
        <v>1.0343868897255817E-2</v>
      </c>
      <c r="AO9559" s="33">
        <v>2.6849425335132905E-4</v>
      </c>
    </row>
    <row r="9560" spans="39:41" x14ac:dyDescent="0.25">
      <c r="AM9560" s="2">
        <v>9557</v>
      </c>
      <c r="AN9560" s="33">
        <v>1.1492349610441909E-2</v>
      </c>
      <c r="AO9560" s="33">
        <v>1.0756650837225328E-3</v>
      </c>
    </row>
    <row r="9561" spans="39:41" x14ac:dyDescent="0.25">
      <c r="AM9561" s="2">
        <v>9558</v>
      </c>
      <c r="AN9561" s="33">
        <v>1.6472203011017178E-2</v>
      </c>
      <c r="AO9561" s="33">
        <v>1.0663448812942911E-3</v>
      </c>
    </row>
    <row r="9562" spans="39:41" x14ac:dyDescent="0.25">
      <c r="AM9562" s="2">
        <v>9559</v>
      </c>
      <c r="AN9562" s="33">
        <v>1.0759191293858992E-2</v>
      </c>
      <c r="AO9562" s="33">
        <v>6.542785784439182E-4</v>
      </c>
    </row>
    <row r="9563" spans="39:41" x14ac:dyDescent="0.25">
      <c r="AM9563" s="2">
        <v>9560</v>
      </c>
      <c r="AN9563" s="33">
        <v>1.4144058431561747E-2</v>
      </c>
      <c r="AO9563" s="33">
        <v>8.122865794029674E-4</v>
      </c>
    </row>
    <row r="9564" spans="39:41" x14ac:dyDescent="0.25">
      <c r="AM9564" s="2">
        <v>9561</v>
      </c>
      <c r="AN9564" s="33">
        <v>1.0579245956932637E-2</v>
      </c>
      <c r="AO9564" s="33">
        <v>1.0316431693542386E-3</v>
      </c>
    </row>
    <row r="9565" spans="39:41" x14ac:dyDescent="0.25">
      <c r="AM9565" s="2">
        <v>9562</v>
      </c>
      <c r="AN9565" s="33">
        <v>9.739734057317595E-3</v>
      </c>
      <c r="AO9565" s="33">
        <v>3.0904162825695901E-4</v>
      </c>
    </row>
    <row r="9566" spans="39:41" x14ac:dyDescent="0.25">
      <c r="AM9566" s="2">
        <v>9563</v>
      </c>
      <c r="AN9566" s="33">
        <v>1.3247338639571549E-2</v>
      </c>
      <c r="AO9566" s="33">
        <v>1.161424727674369E-3</v>
      </c>
    </row>
    <row r="9567" spans="39:41" x14ac:dyDescent="0.25">
      <c r="AM9567" s="2">
        <v>9564</v>
      </c>
      <c r="AN9567" s="33">
        <v>1.2329156274594171E-2</v>
      </c>
      <c r="AO9567" s="33">
        <v>8.1120305496333741E-4</v>
      </c>
    </row>
    <row r="9568" spans="39:41" x14ac:dyDescent="0.25">
      <c r="AM9568" s="2">
        <v>9565</v>
      </c>
      <c r="AN9568" s="33">
        <v>1.0688197636261818E-2</v>
      </c>
      <c r="AO9568" s="33">
        <v>2.8096791115316401E-4</v>
      </c>
    </row>
    <row r="9569" spans="39:41" x14ac:dyDescent="0.25">
      <c r="AM9569" s="2">
        <v>9566</v>
      </c>
      <c r="AN9569" s="33">
        <v>8.3522241675184402E-3</v>
      </c>
      <c r="AO9569" s="33">
        <v>5.5881283539848607E-4</v>
      </c>
    </row>
    <row r="9570" spans="39:41" x14ac:dyDescent="0.25">
      <c r="AM9570" s="2">
        <v>9567</v>
      </c>
      <c r="AN9570" s="33">
        <v>1.2527567088359315E-2</v>
      </c>
      <c r="AO9570" s="33">
        <v>1.1789773063276934E-3</v>
      </c>
    </row>
    <row r="9571" spans="39:41" x14ac:dyDescent="0.25">
      <c r="AM9571" s="2">
        <v>9568</v>
      </c>
      <c r="AN9571" s="33">
        <v>1.0020295003327252E-2</v>
      </c>
      <c r="AO9571" s="33">
        <v>7.6122004011057237E-4</v>
      </c>
    </row>
    <row r="9572" spans="39:41" x14ac:dyDescent="0.25">
      <c r="AM9572" s="2">
        <v>9569</v>
      </c>
      <c r="AN9572" s="33">
        <v>1.2552040337563682E-2</v>
      </c>
      <c r="AO9572" s="33">
        <v>9.6209252620870986E-4</v>
      </c>
    </row>
    <row r="9573" spans="39:41" x14ac:dyDescent="0.25">
      <c r="AM9573" s="2">
        <v>9570</v>
      </c>
      <c r="AN9573" s="33">
        <v>1.0283001085890552E-2</v>
      </c>
      <c r="AO9573" s="33">
        <v>6.1193414413095192E-4</v>
      </c>
    </row>
    <row r="9574" spans="39:41" x14ac:dyDescent="0.25">
      <c r="AM9574" s="2">
        <v>9571</v>
      </c>
      <c r="AN9574" s="33">
        <v>1.2826203709631747E-2</v>
      </c>
      <c r="AO9574" s="33">
        <v>9.6511863309147068E-4</v>
      </c>
    </row>
    <row r="9575" spans="39:41" x14ac:dyDescent="0.25">
      <c r="AM9575" s="2">
        <v>9572</v>
      </c>
      <c r="AN9575" s="33">
        <v>9.4433565844386346E-3</v>
      </c>
      <c r="AO9575" s="33">
        <v>5.0669259382851673E-4</v>
      </c>
    </row>
    <row r="9576" spans="39:41" x14ac:dyDescent="0.25">
      <c r="AM9576" s="2">
        <v>9573</v>
      </c>
      <c r="AN9576" s="33">
        <v>1.4268665626674832E-2</v>
      </c>
      <c r="AO9576" s="33">
        <v>5.5731850909487705E-4</v>
      </c>
    </row>
    <row r="9577" spans="39:41" x14ac:dyDescent="0.25">
      <c r="AM9577" s="2">
        <v>9574</v>
      </c>
      <c r="AN9577" s="33">
        <v>9.6363613343517958E-3</v>
      </c>
      <c r="AO9577" s="33">
        <v>6.7908360493016936E-4</v>
      </c>
    </row>
    <row r="9578" spans="39:41" x14ac:dyDescent="0.25">
      <c r="AM9578" s="2">
        <v>9575</v>
      </c>
      <c r="AN9578" s="33">
        <v>1.1829896833709903E-2</v>
      </c>
      <c r="AO9578" s="33">
        <v>4.5111301172750851E-4</v>
      </c>
    </row>
    <row r="9579" spans="39:41" x14ac:dyDescent="0.25">
      <c r="AM9579" s="2">
        <v>9576</v>
      </c>
      <c r="AN9579" s="33">
        <v>1.0620162730251062E-2</v>
      </c>
      <c r="AO9579" s="33">
        <v>3.6300718815975572E-4</v>
      </c>
    </row>
    <row r="9580" spans="39:41" x14ac:dyDescent="0.25">
      <c r="AM9580" s="2">
        <v>9577</v>
      </c>
      <c r="AN9580" s="33">
        <v>1.1227254609902888E-2</v>
      </c>
      <c r="AO9580" s="33">
        <v>6.7147333202811216E-4</v>
      </c>
    </row>
    <row r="9581" spans="39:41" x14ac:dyDescent="0.25">
      <c r="AM9581" s="2">
        <v>9578</v>
      </c>
      <c r="AN9581" s="33">
        <v>1.1320938189297613E-2</v>
      </c>
      <c r="AO9581" s="33">
        <v>6.1215560378954275E-4</v>
      </c>
    </row>
    <row r="9582" spans="39:41" x14ac:dyDescent="0.25">
      <c r="AM9582" s="2">
        <v>9579</v>
      </c>
      <c r="AN9582" s="33">
        <v>1.3053599694130478E-2</v>
      </c>
      <c r="AO9582" s="33">
        <v>5.4037841769401045E-4</v>
      </c>
    </row>
    <row r="9583" spans="39:41" x14ac:dyDescent="0.25">
      <c r="AM9583" s="2">
        <v>9580</v>
      </c>
      <c r="AN9583" s="33">
        <v>9.8135809214636906E-3</v>
      </c>
      <c r="AO9583" s="33">
        <v>7.6613156645703772E-4</v>
      </c>
    </row>
    <row r="9584" spans="39:41" x14ac:dyDescent="0.25">
      <c r="AM9584" s="2">
        <v>9581</v>
      </c>
      <c r="AN9584" s="33">
        <v>9.8187534190884614E-3</v>
      </c>
      <c r="AO9584" s="33">
        <v>7.5469090342143198E-4</v>
      </c>
    </row>
    <row r="9585" spans="39:41" x14ac:dyDescent="0.25">
      <c r="AM9585" s="2">
        <v>9582</v>
      </c>
      <c r="AN9585" s="33">
        <v>9.2180054061040441E-3</v>
      </c>
      <c r="AO9585" s="33">
        <v>6.0741699246642398E-4</v>
      </c>
    </row>
    <row r="9586" spans="39:41" x14ac:dyDescent="0.25">
      <c r="AM9586" s="2">
        <v>9583</v>
      </c>
      <c r="AN9586" s="33">
        <v>1.047330695028628E-2</v>
      </c>
      <c r="AO9586" s="33">
        <v>6.0347421362674737E-4</v>
      </c>
    </row>
    <row r="9587" spans="39:41" x14ac:dyDescent="0.25">
      <c r="AM9587" s="2">
        <v>9584</v>
      </c>
      <c r="AN9587" s="33">
        <v>1.1289888493238601E-2</v>
      </c>
      <c r="AO9587" s="33">
        <v>5.3042216684962538E-4</v>
      </c>
    </row>
    <row r="9588" spans="39:41" x14ac:dyDescent="0.25">
      <c r="AM9588" s="2">
        <v>9585</v>
      </c>
      <c r="AN9588" s="33">
        <v>1.215395736617352E-2</v>
      </c>
      <c r="AO9588" s="33">
        <v>4.2982212493075428E-4</v>
      </c>
    </row>
    <row r="9589" spans="39:41" x14ac:dyDescent="0.25">
      <c r="AM9589" s="2">
        <v>9586</v>
      </c>
      <c r="AN9589" s="33">
        <v>1.0982659357055415E-2</v>
      </c>
      <c r="AO9589" s="33">
        <v>4.4240459074541111E-4</v>
      </c>
    </row>
    <row r="9590" spans="39:41" x14ac:dyDescent="0.25">
      <c r="AM9590" s="2">
        <v>9587</v>
      </c>
      <c r="AN9590" s="33">
        <v>1.0359624431134458E-2</v>
      </c>
      <c r="AO9590" s="33">
        <v>5.121219692751772E-4</v>
      </c>
    </row>
    <row r="9591" spans="39:41" x14ac:dyDescent="0.25">
      <c r="AM9591" s="2">
        <v>9588</v>
      </c>
      <c r="AN9591" s="33">
        <v>9.2277467989725376E-3</v>
      </c>
      <c r="AO9591" s="33">
        <v>6.2848495519265057E-4</v>
      </c>
    </row>
    <row r="9592" spans="39:41" x14ac:dyDescent="0.25">
      <c r="AM9592" s="2">
        <v>9589</v>
      </c>
      <c r="AN9592" s="33">
        <v>1.4020323743608098E-2</v>
      </c>
      <c r="AO9592" s="33">
        <v>9.7886401958639205E-4</v>
      </c>
    </row>
    <row r="9593" spans="39:41" x14ac:dyDescent="0.25">
      <c r="AM9593" s="2">
        <v>9590</v>
      </c>
      <c r="AN9593" s="33">
        <v>9.2810318947256082E-3</v>
      </c>
      <c r="AO9593" s="33">
        <v>8.2569681211684752E-4</v>
      </c>
    </row>
    <row r="9594" spans="39:41" x14ac:dyDescent="0.25">
      <c r="AM9594" s="2">
        <v>9591</v>
      </c>
      <c r="AN9594" s="33">
        <v>1.2157012642616679E-2</v>
      </c>
      <c r="AO9594" s="33">
        <v>9.8313016403496207E-4</v>
      </c>
    </row>
    <row r="9595" spans="39:41" x14ac:dyDescent="0.25">
      <c r="AM9595" s="2">
        <v>9592</v>
      </c>
      <c r="AN9595" s="33">
        <v>1.1137162907013927E-2</v>
      </c>
      <c r="AO9595" s="33">
        <v>8.1338524978124551E-4</v>
      </c>
    </row>
    <row r="9596" spans="39:41" x14ac:dyDescent="0.25">
      <c r="AM9596" s="2">
        <v>9593</v>
      </c>
      <c r="AN9596" s="33">
        <v>1.231026950079744E-2</v>
      </c>
      <c r="AO9596" s="33">
        <v>9.772661698894214E-4</v>
      </c>
    </row>
    <row r="9597" spans="39:41" x14ac:dyDescent="0.25">
      <c r="AM9597" s="2">
        <v>9594</v>
      </c>
      <c r="AN9597" s="33">
        <v>8.9991763881366975E-3</v>
      </c>
      <c r="AO9597" s="33">
        <v>4.0426812163218165E-4</v>
      </c>
    </row>
    <row r="9598" spans="39:41" x14ac:dyDescent="0.25">
      <c r="AM9598" s="2">
        <v>9595</v>
      </c>
      <c r="AN9598" s="33">
        <v>1.1415299355345227E-2</v>
      </c>
      <c r="AO9598" s="33">
        <v>1.0854973639679738E-3</v>
      </c>
    </row>
    <row r="9599" spans="39:41" x14ac:dyDescent="0.25">
      <c r="AM9599" s="2">
        <v>9596</v>
      </c>
      <c r="AN9599" s="33">
        <v>1.3537861231801699E-2</v>
      </c>
      <c r="AO9599" s="33">
        <v>1.0553444353534145E-3</v>
      </c>
    </row>
    <row r="9600" spans="39:41" x14ac:dyDescent="0.25">
      <c r="AM9600" s="2">
        <v>9597</v>
      </c>
      <c r="AN9600" s="33">
        <v>1.2694397308148801E-2</v>
      </c>
      <c r="AO9600" s="33">
        <v>9.3380937349287071E-4</v>
      </c>
    </row>
    <row r="9601" spans="39:41" x14ac:dyDescent="0.25">
      <c r="AM9601" s="2">
        <v>9598</v>
      </c>
      <c r="AN9601" s="33">
        <v>1.2264390594396962E-2</v>
      </c>
      <c r="AO9601" s="33">
        <v>5.9345800900268873E-4</v>
      </c>
    </row>
    <row r="9602" spans="39:41" x14ac:dyDescent="0.25">
      <c r="AM9602" s="2">
        <v>9599</v>
      </c>
      <c r="AN9602" s="33">
        <v>1.0548230586261141E-2</v>
      </c>
      <c r="AO9602" s="33">
        <v>6.0720384264706254E-4</v>
      </c>
    </row>
    <row r="9603" spans="39:41" x14ac:dyDescent="0.25">
      <c r="AM9603" s="2">
        <v>9600</v>
      </c>
      <c r="AN9603" s="33">
        <v>1.3549047713209032E-2</v>
      </c>
      <c r="AO9603" s="33">
        <v>1.1717030147044712E-3</v>
      </c>
    </row>
    <row r="9604" spans="39:41" x14ac:dyDescent="0.25">
      <c r="AM9604" s="2">
        <v>9601</v>
      </c>
      <c r="AN9604" s="33">
        <v>1.4024558163243264E-2</v>
      </c>
      <c r="AO9604" s="33">
        <v>9.3380797854497892E-4</v>
      </c>
    </row>
    <row r="9605" spans="39:41" x14ac:dyDescent="0.25">
      <c r="AM9605" s="2">
        <v>9602</v>
      </c>
      <c r="AN9605" s="33">
        <v>1.2016497217858423E-2</v>
      </c>
      <c r="AO9605" s="33">
        <v>9.9750050978244273E-4</v>
      </c>
    </row>
    <row r="9606" spans="39:41" x14ac:dyDescent="0.25">
      <c r="AM9606" s="2">
        <v>9603</v>
      </c>
      <c r="AN9606" s="33">
        <v>1.1588952105317315E-2</v>
      </c>
      <c r="AO9606" s="33">
        <v>4.467366451315686E-4</v>
      </c>
    </row>
    <row r="9607" spans="39:41" x14ac:dyDescent="0.25">
      <c r="AM9607" s="2">
        <v>9604</v>
      </c>
      <c r="AN9607" s="33">
        <v>1.119388901955734E-2</v>
      </c>
      <c r="AO9607" s="33">
        <v>3.2304992603805771E-4</v>
      </c>
    </row>
    <row r="9608" spans="39:41" x14ac:dyDescent="0.25">
      <c r="AM9608" s="2">
        <v>9605</v>
      </c>
      <c r="AN9608" s="33">
        <v>1.168657678718645E-2</v>
      </c>
      <c r="AO9608" s="33">
        <v>4.6799253410138706E-4</v>
      </c>
    </row>
    <row r="9609" spans="39:41" x14ac:dyDescent="0.25">
      <c r="AM9609" s="2">
        <v>9606</v>
      </c>
      <c r="AN9609" s="33">
        <v>1.221382953061953E-2</v>
      </c>
      <c r="AO9609" s="33">
        <v>9.3601104711743381E-4</v>
      </c>
    </row>
    <row r="9610" spans="39:41" x14ac:dyDescent="0.25">
      <c r="AM9610" s="2">
        <v>9607</v>
      </c>
      <c r="AN9610" s="33">
        <v>1.3847737190127317E-2</v>
      </c>
      <c r="AO9610" s="33">
        <v>9.609516697478978E-4</v>
      </c>
    </row>
    <row r="9611" spans="39:41" x14ac:dyDescent="0.25">
      <c r="AM9611" s="2">
        <v>9608</v>
      </c>
      <c r="AN9611" s="33">
        <v>1.2463572616784699E-2</v>
      </c>
      <c r="AO9611" s="33">
        <v>1.1973128675821091E-3</v>
      </c>
    </row>
    <row r="9612" spans="39:41" x14ac:dyDescent="0.25">
      <c r="AM9612" s="2">
        <v>9609</v>
      </c>
      <c r="AN9612" s="33">
        <v>1.1836998141586078E-2</v>
      </c>
      <c r="AO9612" s="33">
        <v>8.1805636745866577E-4</v>
      </c>
    </row>
    <row r="9613" spans="39:41" x14ac:dyDescent="0.25">
      <c r="AM9613" s="2">
        <v>9610</v>
      </c>
      <c r="AN9613" s="33">
        <v>1.2842070658814205E-2</v>
      </c>
      <c r="AO9613" s="33">
        <v>1.0439731313720993E-3</v>
      </c>
    </row>
    <row r="9614" spans="39:41" x14ac:dyDescent="0.25">
      <c r="AM9614" s="2">
        <v>9611</v>
      </c>
      <c r="AN9614" s="33">
        <v>1.161542484226445E-2</v>
      </c>
      <c r="AO9614" s="33">
        <v>6.6210698703803006E-4</v>
      </c>
    </row>
    <row r="9615" spans="39:41" x14ac:dyDescent="0.25">
      <c r="AM9615" s="2">
        <v>9612</v>
      </c>
      <c r="AN9615" s="33">
        <v>8.7738099470115547E-3</v>
      </c>
      <c r="AO9615" s="33">
        <v>4.9697934388503073E-4</v>
      </c>
    </row>
    <row r="9616" spans="39:41" x14ac:dyDescent="0.25">
      <c r="AM9616" s="2">
        <v>9613</v>
      </c>
      <c r="AN9616" s="33">
        <v>1.2398724034028896E-2</v>
      </c>
      <c r="AO9616" s="33">
        <v>9.7617143460849694E-4</v>
      </c>
    </row>
    <row r="9617" spans="39:41" x14ac:dyDescent="0.25">
      <c r="AM9617" s="2">
        <v>9614</v>
      </c>
      <c r="AN9617" s="33">
        <v>1.0236768173350549E-2</v>
      </c>
      <c r="AO9617" s="33">
        <v>9.6262673357906106E-4</v>
      </c>
    </row>
    <row r="9618" spans="39:41" x14ac:dyDescent="0.25">
      <c r="AM9618" s="2">
        <v>9615</v>
      </c>
      <c r="AN9618" s="33">
        <v>1.1293092972703684E-2</v>
      </c>
      <c r="AO9618" s="33">
        <v>4.8334759974477833E-4</v>
      </c>
    </row>
    <row r="9619" spans="39:41" x14ac:dyDescent="0.25">
      <c r="AM9619" s="2">
        <v>9616</v>
      </c>
      <c r="AN9619" s="33">
        <v>1.164675406785981E-2</v>
      </c>
      <c r="AO9619" s="33">
        <v>9.8596665435787519E-4</v>
      </c>
    </row>
    <row r="9620" spans="39:41" x14ac:dyDescent="0.25">
      <c r="AM9620" s="2">
        <v>9617</v>
      </c>
      <c r="AN9620" s="33">
        <v>1.138846044168478E-2</v>
      </c>
      <c r="AO9620" s="33">
        <v>9.8143288802311052E-4</v>
      </c>
    </row>
    <row r="9621" spans="39:41" x14ac:dyDescent="0.25">
      <c r="AM9621" s="2">
        <v>9618</v>
      </c>
      <c r="AN9621" s="33">
        <v>1.5117100855840409E-2</v>
      </c>
      <c r="AO9621" s="33">
        <v>1.3391532152801371E-3</v>
      </c>
    </row>
    <row r="9622" spans="39:41" x14ac:dyDescent="0.25">
      <c r="AM9622" s="2">
        <v>9619</v>
      </c>
      <c r="AN9622" s="33">
        <v>1.2306364223243566E-2</v>
      </c>
      <c r="AO9622" s="33">
        <v>1.0353616295214172E-3</v>
      </c>
    </row>
    <row r="9623" spans="39:41" x14ac:dyDescent="0.25">
      <c r="AM9623" s="2">
        <v>9620</v>
      </c>
      <c r="AN9623" s="33">
        <v>9.622006837760334E-3</v>
      </c>
      <c r="AO9623" s="33">
        <v>6.9709376586566557E-4</v>
      </c>
    </row>
    <row r="9624" spans="39:41" x14ac:dyDescent="0.25">
      <c r="AM9624" s="2">
        <v>9621</v>
      </c>
      <c r="AN9624" s="33">
        <v>9.8386649213299589E-3</v>
      </c>
      <c r="AO9624" s="33">
        <v>3.7276928925783861E-4</v>
      </c>
    </row>
    <row r="9625" spans="39:41" x14ac:dyDescent="0.25">
      <c r="AM9625" s="2">
        <v>9622</v>
      </c>
      <c r="AN9625" s="33">
        <v>1.2167901636350745E-2</v>
      </c>
      <c r="AO9625" s="33">
        <v>9.8442698993224322E-4</v>
      </c>
    </row>
    <row r="9626" spans="39:41" x14ac:dyDescent="0.25">
      <c r="AM9626" s="2">
        <v>9623</v>
      </c>
      <c r="AN9626" s="33">
        <v>1.3156440825860028E-2</v>
      </c>
      <c r="AO9626" s="33">
        <v>4.199958739199768E-4</v>
      </c>
    </row>
    <row r="9627" spans="39:41" x14ac:dyDescent="0.25">
      <c r="AM9627" s="2">
        <v>9624</v>
      </c>
      <c r="AN9627" s="33">
        <v>1.2399107401894737E-2</v>
      </c>
      <c r="AO9627" s="33">
        <v>7.9578447284322389E-4</v>
      </c>
    </row>
    <row r="9628" spans="39:41" x14ac:dyDescent="0.25">
      <c r="AM9628" s="2">
        <v>9625</v>
      </c>
      <c r="AN9628" s="33">
        <v>1.19722806817092E-2</v>
      </c>
      <c r="AO9628" s="33">
        <v>6.6947536990300373E-4</v>
      </c>
    </row>
    <row r="9629" spans="39:41" x14ac:dyDescent="0.25">
      <c r="AM9629" s="2">
        <v>9626</v>
      </c>
      <c r="AN9629" s="33">
        <v>1.304005856882738E-2</v>
      </c>
      <c r="AO9629" s="33">
        <v>1.1620846170515941E-3</v>
      </c>
    </row>
    <row r="9630" spans="39:41" x14ac:dyDescent="0.25">
      <c r="AM9630" s="2">
        <v>9627</v>
      </c>
      <c r="AN9630" s="33">
        <v>1.1970814583501108E-2</v>
      </c>
      <c r="AO9630" s="33">
        <v>6.0582441056915488E-4</v>
      </c>
    </row>
    <row r="9631" spans="39:41" x14ac:dyDescent="0.25">
      <c r="AM9631" s="2">
        <v>9628</v>
      </c>
      <c r="AN9631" s="33">
        <v>1.0312176708516132E-2</v>
      </c>
      <c r="AO9631" s="33">
        <v>4.4389689192794941E-4</v>
      </c>
    </row>
    <row r="9632" spans="39:41" x14ac:dyDescent="0.25">
      <c r="AM9632" s="2">
        <v>9629</v>
      </c>
      <c r="AN9632" s="33">
        <v>1.2281175886313968E-2</v>
      </c>
      <c r="AO9632" s="33">
        <v>9.6736189523844254E-4</v>
      </c>
    </row>
    <row r="9633" spans="39:41" x14ac:dyDescent="0.25">
      <c r="AM9633" s="2">
        <v>9630</v>
      </c>
      <c r="AN9633" s="33">
        <v>1.166546509356523E-2</v>
      </c>
      <c r="AO9633" s="33">
        <v>1.793338714461909E-4</v>
      </c>
    </row>
    <row r="9634" spans="39:41" x14ac:dyDescent="0.25">
      <c r="AM9634" s="2">
        <v>9631</v>
      </c>
      <c r="AN9634" s="33">
        <v>1.2088797551168595E-2</v>
      </c>
      <c r="AO9634" s="33">
        <v>8.7977420439131729E-4</v>
      </c>
    </row>
    <row r="9635" spans="39:41" x14ac:dyDescent="0.25">
      <c r="AM9635" s="2">
        <v>9632</v>
      </c>
      <c r="AN9635" s="33">
        <v>1.0058015011945351E-2</v>
      </c>
      <c r="AO9635" s="33">
        <v>6.3846365608200169E-4</v>
      </c>
    </row>
    <row r="9636" spans="39:41" x14ac:dyDescent="0.25">
      <c r="AM9636" s="2">
        <v>9633</v>
      </c>
      <c r="AN9636" s="33">
        <v>9.3133290090427409E-3</v>
      </c>
      <c r="AO9636" s="33">
        <v>5.0599883068002749E-4</v>
      </c>
    </row>
    <row r="9637" spans="39:41" x14ac:dyDescent="0.25">
      <c r="AM9637" s="2">
        <v>9634</v>
      </c>
      <c r="AN9637" s="33">
        <v>9.7849077344179993E-3</v>
      </c>
      <c r="AO9637" s="33">
        <v>8.1207832712131326E-4</v>
      </c>
    </row>
    <row r="9638" spans="39:41" x14ac:dyDescent="0.25">
      <c r="AM9638" s="2">
        <v>9635</v>
      </c>
      <c r="AN9638" s="33">
        <v>1.2598517515995739E-2</v>
      </c>
      <c r="AO9638" s="33">
        <v>1.2444615832705188E-3</v>
      </c>
    </row>
    <row r="9639" spans="39:41" x14ac:dyDescent="0.25">
      <c r="AM9639" s="2">
        <v>9636</v>
      </c>
      <c r="AN9639" s="33">
        <v>1.0546616721468453E-2</v>
      </c>
      <c r="AO9639" s="33">
        <v>1.034062232806352E-3</v>
      </c>
    </row>
    <row r="9640" spans="39:41" x14ac:dyDescent="0.25">
      <c r="AM9640" s="2">
        <v>9637</v>
      </c>
      <c r="AN9640" s="33">
        <v>1.5146397782087392E-2</v>
      </c>
      <c r="AO9640" s="33">
        <v>9.7104535114784672E-4</v>
      </c>
    </row>
    <row r="9641" spans="39:41" x14ac:dyDescent="0.25">
      <c r="AM9641" s="2">
        <v>9638</v>
      </c>
      <c r="AN9641" s="33">
        <v>7.9822223495895888E-3</v>
      </c>
      <c r="AO9641" s="33">
        <v>3.3970197534746136E-4</v>
      </c>
    </row>
    <row r="9642" spans="39:41" x14ac:dyDescent="0.25">
      <c r="AM9642" s="2">
        <v>9639</v>
      </c>
      <c r="AN9642" s="33">
        <v>1.4410965815557399E-2</v>
      </c>
      <c r="AO9642" s="33">
        <v>1.1793145790130019E-3</v>
      </c>
    </row>
    <row r="9643" spans="39:41" x14ac:dyDescent="0.25">
      <c r="AM9643" s="2">
        <v>9640</v>
      </c>
      <c r="AN9643" s="33">
        <v>1.0804875251617108E-2</v>
      </c>
      <c r="AO9643" s="33">
        <v>4.6669973211478448E-4</v>
      </c>
    </row>
    <row r="9644" spans="39:41" x14ac:dyDescent="0.25">
      <c r="AM9644" s="2">
        <v>9641</v>
      </c>
      <c r="AN9644" s="33">
        <v>1.103072786940416E-2</v>
      </c>
      <c r="AO9644" s="33">
        <v>9.3304342047222967E-4</v>
      </c>
    </row>
    <row r="9645" spans="39:41" x14ac:dyDescent="0.25">
      <c r="AM9645" s="2">
        <v>9642</v>
      </c>
      <c r="AN9645" s="33">
        <v>1.0150674937195795E-2</v>
      </c>
      <c r="AO9645" s="33">
        <v>8.5260471312665026E-4</v>
      </c>
    </row>
    <row r="9646" spans="39:41" x14ac:dyDescent="0.25">
      <c r="AM9646" s="2">
        <v>9643</v>
      </c>
      <c r="AN9646" s="33">
        <v>1.3575929581997827E-2</v>
      </c>
      <c r="AO9646" s="33">
        <v>1.0929781605144597E-3</v>
      </c>
    </row>
    <row r="9647" spans="39:41" x14ac:dyDescent="0.25">
      <c r="AM9647" s="2">
        <v>9644</v>
      </c>
      <c r="AN9647" s="33">
        <v>1.3045080928795631E-2</v>
      </c>
      <c r="AO9647" s="33">
        <v>8.6080994733178011E-4</v>
      </c>
    </row>
    <row r="9648" spans="39:41" x14ac:dyDescent="0.25">
      <c r="AM9648" s="2">
        <v>9645</v>
      </c>
      <c r="AN9648" s="33">
        <v>1.1166879883369086E-2</v>
      </c>
      <c r="AO9648" s="33">
        <v>9.9411350957691325E-4</v>
      </c>
    </row>
    <row r="9649" spans="39:41" x14ac:dyDescent="0.25">
      <c r="AM9649" s="2">
        <v>9646</v>
      </c>
      <c r="AN9649" s="33">
        <v>1.1675771629927063E-2</v>
      </c>
      <c r="AO9649" s="33">
        <v>5.4057408565029745E-4</v>
      </c>
    </row>
    <row r="9650" spans="39:41" x14ac:dyDescent="0.25">
      <c r="AM9650" s="2">
        <v>9647</v>
      </c>
      <c r="AN9650" s="33">
        <v>1.3819024575548176E-2</v>
      </c>
      <c r="AO9650" s="33">
        <v>1.2132673346603826E-3</v>
      </c>
    </row>
    <row r="9651" spans="39:41" x14ac:dyDescent="0.25">
      <c r="AM9651" s="2">
        <v>9648</v>
      </c>
      <c r="AN9651" s="33">
        <v>1.1771134323784769E-2</v>
      </c>
      <c r="AO9651" s="33">
        <v>1.1245980980968411E-3</v>
      </c>
    </row>
    <row r="9652" spans="39:41" x14ac:dyDescent="0.25">
      <c r="AM9652" s="2">
        <v>9649</v>
      </c>
      <c r="AN9652" s="33">
        <v>9.8860755761358571E-3</v>
      </c>
      <c r="AO9652" s="33">
        <v>9.6305711360407202E-4</v>
      </c>
    </row>
    <row r="9653" spans="39:41" x14ac:dyDescent="0.25">
      <c r="AM9653" s="2">
        <v>9650</v>
      </c>
      <c r="AN9653" s="33">
        <v>1.245228030545485E-2</v>
      </c>
      <c r="AO9653" s="33">
        <v>8.0041666134108951E-4</v>
      </c>
    </row>
    <row r="9654" spans="39:41" x14ac:dyDescent="0.25">
      <c r="AM9654" s="2">
        <v>9651</v>
      </c>
      <c r="AN9654" s="33">
        <v>1.1565506734274811E-2</v>
      </c>
      <c r="AO9654" s="33">
        <v>6.2410727599416214E-4</v>
      </c>
    </row>
    <row r="9655" spans="39:41" x14ac:dyDescent="0.25">
      <c r="AM9655" s="2">
        <v>9652</v>
      </c>
      <c r="AN9655" s="33">
        <v>1.4686535508489617E-2</v>
      </c>
      <c r="AO9655" s="33">
        <v>1.1762846445714939E-3</v>
      </c>
    </row>
    <row r="9656" spans="39:41" x14ac:dyDescent="0.25">
      <c r="AM9656" s="2">
        <v>9653</v>
      </c>
      <c r="AN9656" s="33">
        <v>1.0544673761601165E-2</v>
      </c>
      <c r="AO9656" s="33">
        <v>8.5145644140243218E-4</v>
      </c>
    </row>
    <row r="9657" spans="39:41" x14ac:dyDescent="0.25">
      <c r="AM9657" s="2">
        <v>9654</v>
      </c>
      <c r="AN9657" s="33">
        <v>1.2313695924731121E-2</v>
      </c>
      <c r="AO9657" s="33">
        <v>7.9693287657850117E-4</v>
      </c>
    </row>
    <row r="9658" spans="39:41" x14ac:dyDescent="0.25">
      <c r="AM9658" s="2">
        <v>9655</v>
      </c>
      <c r="AN9658" s="33">
        <v>1.2237831788470646E-2</v>
      </c>
      <c r="AO9658" s="33">
        <v>5.5010164257294158E-4</v>
      </c>
    </row>
    <row r="9659" spans="39:41" x14ac:dyDescent="0.25">
      <c r="AM9659" s="2">
        <v>9656</v>
      </c>
      <c r="AN9659" s="33">
        <v>1.2472400655710871E-2</v>
      </c>
      <c r="AO9659" s="33">
        <v>1.0923253530502899E-3</v>
      </c>
    </row>
    <row r="9660" spans="39:41" x14ac:dyDescent="0.25">
      <c r="AM9660" s="2">
        <v>9657</v>
      </c>
      <c r="AN9660" s="33">
        <v>1.1096986376643928E-2</v>
      </c>
      <c r="AO9660" s="33">
        <v>4.1228656124374494E-4</v>
      </c>
    </row>
    <row r="9661" spans="39:41" x14ac:dyDescent="0.25">
      <c r="AM9661" s="2">
        <v>9658</v>
      </c>
      <c r="AN9661" s="33">
        <v>1.1064815061421637E-2</v>
      </c>
      <c r="AO9661" s="33">
        <v>1.720513734093827E-4</v>
      </c>
    </row>
    <row r="9662" spans="39:41" x14ac:dyDescent="0.25">
      <c r="AM9662" s="2">
        <v>9659</v>
      </c>
      <c r="AN9662" s="33">
        <v>9.1821222107958764E-3</v>
      </c>
      <c r="AO9662" s="33">
        <v>7.6320335555269162E-4</v>
      </c>
    </row>
    <row r="9663" spans="39:41" x14ac:dyDescent="0.25">
      <c r="AM9663" s="2">
        <v>9660</v>
      </c>
      <c r="AN9663" s="33">
        <v>1.1860162840006549E-2</v>
      </c>
      <c r="AO9663" s="33">
        <v>1.2005889430716549E-3</v>
      </c>
    </row>
    <row r="9664" spans="39:41" x14ac:dyDescent="0.25">
      <c r="AM9664" s="2">
        <v>9661</v>
      </c>
      <c r="AN9664" s="33">
        <v>1.196191645024141E-2</v>
      </c>
      <c r="AO9664" s="33">
        <v>1.2416878715074008E-3</v>
      </c>
    </row>
    <row r="9665" spans="39:41" x14ac:dyDescent="0.25">
      <c r="AM9665" s="2">
        <v>9662</v>
      </c>
      <c r="AN9665" s="33">
        <v>8.173294861417579E-3</v>
      </c>
      <c r="AO9665" s="33">
        <v>6.189199555493341E-4</v>
      </c>
    </row>
    <row r="9666" spans="39:41" x14ac:dyDescent="0.25">
      <c r="AM9666" s="2">
        <v>9663</v>
      </c>
      <c r="AN9666" s="33">
        <v>8.688287434927694E-3</v>
      </c>
      <c r="AO9666" s="33">
        <v>2.5733370709327954E-4</v>
      </c>
    </row>
    <row r="9667" spans="39:41" x14ac:dyDescent="0.25">
      <c r="AM9667" s="2">
        <v>9664</v>
      </c>
      <c r="AN9667" s="33">
        <v>1.011857305821879E-2</v>
      </c>
      <c r="AO9667" s="33">
        <v>9.0356891690167936E-4</v>
      </c>
    </row>
    <row r="9668" spans="39:41" x14ac:dyDescent="0.25">
      <c r="AM9668" s="2">
        <v>9665</v>
      </c>
      <c r="AN9668" s="33">
        <v>1.0004852572906521E-2</v>
      </c>
      <c r="AO9668" s="33">
        <v>1.0973177513965488E-4</v>
      </c>
    </row>
    <row r="9669" spans="39:41" x14ac:dyDescent="0.25">
      <c r="AM9669" s="2">
        <v>9666</v>
      </c>
      <c r="AN9669" s="33">
        <v>1.4230568897362017E-2</v>
      </c>
      <c r="AO9669" s="33">
        <v>1.468343429336184E-3</v>
      </c>
    </row>
    <row r="9670" spans="39:41" x14ac:dyDescent="0.25">
      <c r="AM9670" s="2">
        <v>9667</v>
      </c>
      <c r="AN9670" s="33">
        <v>1.2231685059117573E-2</v>
      </c>
      <c r="AO9670" s="33">
        <v>8.1119537856972007E-4</v>
      </c>
    </row>
    <row r="9671" spans="39:41" x14ac:dyDescent="0.25">
      <c r="AM9671" s="2">
        <v>9668</v>
      </c>
      <c r="AN9671" s="33">
        <v>1.3883289526792662E-2</v>
      </c>
      <c r="AO9671" s="33">
        <v>1.1802207281697418E-3</v>
      </c>
    </row>
    <row r="9672" spans="39:41" x14ac:dyDescent="0.25">
      <c r="AM9672" s="2">
        <v>9669</v>
      </c>
      <c r="AN9672" s="33">
        <v>1.0672565764944929E-2</v>
      </c>
      <c r="AO9672" s="33">
        <v>7.7885189940380447E-4</v>
      </c>
    </row>
    <row r="9673" spans="39:41" x14ac:dyDescent="0.25">
      <c r="AM9673" s="2">
        <v>9670</v>
      </c>
      <c r="AN9673" s="33">
        <v>1.0508309727505336E-2</v>
      </c>
      <c r="AO9673" s="33">
        <v>8.9704247349910659E-4</v>
      </c>
    </row>
    <row r="9674" spans="39:41" x14ac:dyDescent="0.25">
      <c r="AM9674" s="2">
        <v>9671</v>
      </c>
      <c r="AN9674" s="33">
        <v>1.0438887382964635E-2</v>
      </c>
      <c r="AO9674" s="33">
        <v>3.704291888407084E-4</v>
      </c>
    </row>
    <row r="9675" spans="39:41" x14ac:dyDescent="0.25">
      <c r="AM9675" s="2">
        <v>9672</v>
      </c>
      <c r="AN9675" s="33">
        <v>1.3242346908215128E-2</v>
      </c>
      <c r="AO9675" s="33">
        <v>6.2006782331673138E-4</v>
      </c>
    </row>
    <row r="9676" spans="39:41" x14ac:dyDescent="0.25">
      <c r="AM9676" s="2">
        <v>9673</v>
      </c>
      <c r="AN9676" s="33">
        <v>1.3110552962171491E-2</v>
      </c>
      <c r="AO9676" s="33">
        <v>1.0485144492766816E-3</v>
      </c>
    </row>
    <row r="9677" spans="39:41" x14ac:dyDescent="0.25">
      <c r="AM9677" s="2">
        <v>9674</v>
      </c>
      <c r="AN9677" s="33">
        <v>9.3906198478713454E-3</v>
      </c>
      <c r="AO9677" s="33">
        <v>4.3265407108290604E-4</v>
      </c>
    </row>
    <row r="9678" spans="39:41" x14ac:dyDescent="0.25">
      <c r="AM9678" s="2">
        <v>9675</v>
      </c>
      <c r="AN9678" s="33">
        <v>1.0139705015105232E-2</v>
      </c>
      <c r="AO9678" s="33">
        <v>8.0586656730085584E-4</v>
      </c>
    </row>
    <row r="9679" spans="39:41" x14ac:dyDescent="0.25">
      <c r="AM9679" s="2">
        <v>9676</v>
      </c>
      <c r="AN9679" s="33">
        <v>1.2309368220884291E-2</v>
      </c>
      <c r="AO9679" s="33">
        <v>8.6028791416544229E-4</v>
      </c>
    </row>
    <row r="9680" spans="39:41" x14ac:dyDescent="0.25">
      <c r="AM9680" s="2">
        <v>9677</v>
      </c>
      <c r="AN9680" s="33">
        <v>1.1430266992145621E-2</v>
      </c>
      <c r="AO9680" s="33">
        <v>1.2234050838410483E-4</v>
      </c>
    </row>
    <row r="9681" spans="39:41" x14ac:dyDescent="0.25">
      <c r="AM9681" s="2">
        <v>9678</v>
      </c>
      <c r="AN9681" s="33">
        <v>1.2849833245765581E-2</v>
      </c>
      <c r="AO9681" s="33">
        <v>1.180181680887183E-3</v>
      </c>
    </row>
    <row r="9682" spans="39:41" x14ac:dyDescent="0.25">
      <c r="AM9682" s="2">
        <v>9679</v>
      </c>
      <c r="AN9682" s="33">
        <v>1.1283063449747863E-2</v>
      </c>
      <c r="AO9682" s="33">
        <v>1.0309734394267419E-3</v>
      </c>
    </row>
    <row r="9683" spans="39:41" x14ac:dyDescent="0.25">
      <c r="AM9683" s="2">
        <v>9680</v>
      </c>
      <c r="AN9683" s="33">
        <v>8.1338621332198036E-3</v>
      </c>
      <c r="AO9683" s="33">
        <v>6.1725070337036994E-4</v>
      </c>
    </row>
    <row r="9684" spans="39:41" x14ac:dyDescent="0.25">
      <c r="AM9684" s="2">
        <v>9681</v>
      </c>
      <c r="AN9684" s="33">
        <v>9.6554628698564075E-3</v>
      </c>
      <c r="AO9684" s="33">
        <v>4.8899266679991102E-4</v>
      </c>
    </row>
    <row r="9685" spans="39:41" x14ac:dyDescent="0.25">
      <c r="AM9685" s="2">
        <v>9682</v>
      </c>
      <c r="AN9685" s="33">
        <v>1.2331387205847137E-2</v>
      </c>
      <c r="AO9685" s="33">
        <v>8.0658440474415925E-4</v>
      </c>
    </row>
    <row r="9686" spans="39:41" x14ac:dyDescent="0.25">
      <c r="AM9686" s="2">
        <v>9683</v>
      </c>
      <c r="AN9686" s="33">
        <v>8.7251027845336813E-3</v>
      </c>
      <c r="AO9686" s="33">
        <v>5.0082240194501465E-4</v>
      </c>
    </row>
    <row r="9687" spans="39:41" x14ac:dyDescent="0.25">
      <c r="AM9687" s="2">
        <v>9684</v>
      </c>
      <c r="AN9687" s="33">
        <v>1.0931936939161283E-2</v>
      </c>
      <c r="AO9687" s="33">
        <v>4.5607028753012811E-4</v>
      </c>
    </row>
    <row r="9688" spans="39:41" x14ac:dyDescent="0.25">
      <c r="AM9688" s="2">
        <v>9685</v>
      </c>
      <c r="AN9688" s="33">
        <v>1.2478952366565788E-2</v>
      </c>
      <c r="AO9688" s="33">
        <v>8.8372945714079254E-4</v>
      </c>
    </row>
    <row r="9689" spans="39:41" x14ac:dyDescent="0.25">
      <c r="AM9689" s="2">
        <v>9686</v>
      </c>
      <c r="AN9689" s="33">
        <v>1.065629488675029E-2</v>
      </c>
      <c r="AO9689" s="33">
        <v>1.043151581896035E-3</v>
      </c>
    </row>
    <row r="9690" spans="39:41" x14ac:dyDescent="0.25">
      <c r="AM9690" s="2">
        <v>9687</v>
      </c>
      <c r="AN9690" s="33">
        <v>1.1792414272663214E-2</v>
      </c>
      <c r="AO9690" s="33">
        <v>6.5181132702232629E-4</v>
      </c>
    </row>
    <row r="9691" spans="39:41" x14ac:dyDescent="0.25">
      <c r="AM9691" s="2">
        <v>9688</v>
      </c>
      <c r="AN9691" s="33">
        <v>1.5202807860990543E-2</v>
      </c>
      <c r="AO9691" s="33">
        <v>1.5291513557831962E-3</v>
      </c>
    </row>
    <row r="9692" spans="39:41" x14ac:dyDescent="0.25">
      <c r="AM9692" s="2">
        <v>9689</v>
      </c>
      <c r="AN9692" s="33">
        <v>1.6323353754733656E-2</v>
      </c>
      <c r="AO9692" s="33">
        <v>1.4621486969092433E-3</v>
      </c>
    </row>
    <row r="9693" spans="39:41" x14ac:dyDescent="0.25">
      <c r="AM9693" s="2">
        <v>9690</v>
      </c>
      <c r="AN9693" s="33">
        <v>1.092250779807675E-2</v>
      </c>
      <c r="AO9693" s="33">
        <v>8.2591554211406749E-4</v>
      </c>
    </row>
    <row r="9694" spans="39:41" x14ac:dyDescent="0.25">
      <c r="AM9694" s="2">
        <v>9691</v>
      </c>
      <c r="AN9694" s="33">
        <v>1.4479306152431438E-2</v>
      </c>
      <c r="AO9694" s="33">
        <v>1.292604436025807E-3</v>
      </c>
    </row>
    <row r="9695" spans="39:41" x14ac:dyDescent="0.25">
      <c r="AM9695" s="2">
        <v>9692</v>
      </c>
      <c r="AN9695" s="33">
        <v>1.2320822534606285E-2</v>
      </c>
      <c r="AO9695" s="33">
        <v>4.4204900468729257E-4</v>
      </c>
    </row>
    <row r="9696" spans="39:41" x14ac:dyDescent="0.25">
      <c r="AM9696" s="2">
        <v>9693</v>
      </c>
      <c r="AN9696" s="33">
        <v>1.1621045694408928E-2</v>
      </c>
      <c r="AO9696" s="33">
        <v>8.7090571417706541E-4</v>
      </c>
    </row>
    <row r="9697" spans="39:41" x14ac:dyDescent="0.25">
      <c r="AM9697" s="2">
        <v>9694</v>
      </c>
      <c r="AN9697" s="33">
        <v>1.1205786014923901E-2</v>
      </c>
      <c r="AO9697" s="33">
        <v>7.0897649950297983E-4</v>
      </c>
    </row>
    <row r="9698" spans="39:41" x14ac:dyDescent="0.25">
      <c r="AM9698" s="2">
        <v>9695</v>
      </c>
      <c r="AN9698" s="33">
        <v>1.1829429555220712E-2</v>
      </c>
      <c r="AO9698" s="33">
        <v>1.022180670244716E-3</v>
      </c>
    </row>
    <row r="9699" spans="39:41" x14ac:dyDescent="0.25">
      <c r="AM9699" s="2">
        <v>9696</v>
      </c>
      <c r="AN9699" s="33">
        <v>1.2049687697099446E-2</v>
      </c>
      <c r="AO9699" s="33">
        <v>1.0920263220532977E-3</v>
      </c>
    </row>
    <row r="9700" spans="39:41" x14ac:dyDescent="0.25">
      <c r="AM9700" s="2">
        <v>9697</v>
      </c>
      <c r="AN9700" s="33">
        <v>1.3197342148581375E-2</v>
      </c>
      <c r="AO9700" s="33">
        <v>1.1462488335978408E-3</v>
      </c>
    </row>
    <row r="9701" spans="39:41" x14ac:dyDescent="0.25">
      <c r="AM9701" s="2">
        <v>9698</v>
      </c>
      <c r="AN9701" s="33">
        <v>8.6563828495964303E-3</v>
      </c>
      <c r="AO9701" s="33">
        <v>6.749926045801788E-4</v>
      </c>
    </row>
    <row r="9702" spans="39:41" x14ac:dyDescent="0.25">
      <c r="AM9702" s="2">
        <v>9699</v>
      </c>
      <c r="AN9702" s="33">
        <v>1.3744426533988953E-2</v>
      </c>
      <c r="AO9702" s="33">
        <v>1.0707228544949933E-3</v>
      </c>
    </row>
    <row r="9703" spans="39:41" x14ac:dyDescent="0.25">
      <c r="AM9703" s="2">
        <v>9700</v>
      </c>
      <c r="AN9703" s="33">
        <v>1.2353129906775128E-2</v>
      </c>
      <c r="AO9703" s="33">
        <v>6.0870432604428755E-4</v>
      </c>
    </row>
    <row r="9704" spans="39:41" x14ac:dyDescent="0.25">
      <c r="AM9704" s="2">
        <v>9701</v>
      </c>
      <c r="AN9704" s="33">
        <v>1.3867791395324836E-2</v>
      </c>
      <c r="AO9704" s="33">
        <v>1.3675706063017486E-3</v>
      </c>
    </row>
    <row r="9705" spans="39:41" x14ac:dyDescent="0.25">
      <c r="AM9705" s="2">
        <v>9702</v>
      </c>
      <c r="AN9705" s="33">
        <v>1.3113602886711951E-2</v>
      </c>
      <c r="AO9705" s="33">
        <v>1.2077311916713479E-3</v>
      </c>
    </row>
    <row r="9706" spans="39:41" x14ac:dyDescent="0.25">
      <c r="AM9706" s="2">
        <v>9703</v>
      </c>
      <c r="AN9706" s="33">
        <v>1.330783140514059E-2</v>
      </c>
      <c r="AO9706" s="33">
        <v>9.2667433233640899E-4</v>
      </c>
    </row>
    <row r="9707" spans="39:41" x14ac:dyDescent="0.25">
      <c r="AM9707" s="2">
        <v>9704</v>
      </c>
      <c r="AN9707" s="33">
        <v>1.2140896206322738E-2</v>
      </c>
      <c r="AO9707" s="33">
        <v>1.3002937761913099E-3</v>
      </c>
    </row>
    <row r="9708" spans="39:41" x14ac:dyDescent="0.25">
      <c r="AM9708" s="2">
        <v>9705</v>
      </c>
      <c r="AN9708" s="33">
        <v>1.1152271305240024E-2</v>
      </c>
      <c r="AO9708" s="33">
        <v>8.3943749839211377E-4</v>
      </c>
    </row>
    <row r="9709" spans="39:41" x14ac:dyDescent="0.25">
      <c r="AM9709" s="2">
        <v>9706</v>
      </c>
      <c r="AN9709" s="33">
        <v>1.5450999086645151E-2</v>
      </c>
      <c r="AO9709" s="33">
        <v>1.067448885738451E-3</v>
      </c>
    </row>
    <row r="9710" spans="39:41" x14ac:dyDescent="0.25">
      <c r="AM9710" s="2">
        <v>9707</v>
      </c>
      <c r="AN9710" s="33">
        <v>9.6410060676748628E-3</v>
      </c>
      <c r="AO9710" s="33">
        <v>5.6463249819087573E-4</v>
      </c>
    </row>
    <row r="9711" spans="39:41" x14ac:dyDescent="0.25">
      <c r="AM9711" s="2">
        <v>9708</v>
      </c>
      <c r="AN9711" s="33">
        <v>1.3087851169462227E-2</v>
      </c>
      <c r="AO9711" s="33">
        <v>1.3130883339036131E-3</v>
      </c>
    </row>
    <row r="9712" spans="39:41" x14ac:dyDescent="0.25">
      <c r="AM9712" s="2">
        <v>9709</v>
      </c>
      <c r="AN9712" s="33">
        <v>1.6768475980985419E-2</v>
      </c>
      <c r="AO9712" s="33">
        <v>1.5597761129030516E-3</v>
      </c>
    </row>
    <row r="9713" spans="39:41" x14ac:dyDescent="0.25">
      <c r="AM9713" s="2">
        <v>9710</v>
      </c>
      <c r="AN9713" s="33">
        <v>1.0780938683743014E-2</v>
      </c>
      <c r="AO9713" s="33">
        <v>3.0526534392234903E-4</v>
      </c>
    </row>
    <row r="9714" spans="39:41" x14ac:dyDescent="0.25">
      <c r="AM9714" s="2">
        <v>9711</v>
      </c>
      <c r="AN9714" s="33">
        <v>1.1592994626687626E-2</v>
      </c>
      <c r="AO9714" s="33">
        <v>1.1318684421822759E-3</v>
      </c>
    </row>
    <row r="9715" spans="39:41" x14ac:dyDescent="0.25">
      <c r="AM9715" s="2">
        <v>9712</v>
      </c>
      <c r="AN9715" s="33">
        <v>8.6711916027407202E-3</v>
      </c>
      <c r="AO9715" s="33">
        <v>3.7723509025573227E-4</v>
      </c>
    </row>
    <row r="9716" spans="39:41" x14ac:dyDescent="0.25">
      <c r="AM9716" s="2">
        <v>9713</v>
      </c>
      <c r="AN9716" s="33">
        <v>1.2007736045567792E-2</v>
      </c>
      <c r="AO9716" s="33">
        <v>7.2299871319564531E-4</v>
      </c>
    </row>
    <row r="9717" spans="39:41" x14ac:dyDescent="0.25">
      <c r="AM9717" s="2">
        <v>9714</v>
      </c>
      <c r="AN9717" s="33">
        <v>1.4620802294579894E-2</v>
      </c>
      <c r="AO9717" s="33">
        <v>1.2922204383755418E-3</v>
      </c>
    </row>
    <row r="9718" spans="39:41" x14ac:dyDescent="0.25">
      <c r="AM9718" s="2">
        <v>9715</v>
      </c>
      <c r="AN9718" s="33">
        <v>1.2316817455007012E-2</v>
      </c>
      <c r="AO9718" s="33">
        <v>6.2605766935162823E-4</v>
      </c>
    </row>
    <row r="9719" spans="39:41" x14ac:dyDescent="0.25">
      <c r="AM9719" s="2">
        <v>9716</v>
      </c>
      <c r="AN9719" s="33">
        <v>1.0251896969357332E-2</v>
      </c>
      <c r="AO9719" s="33">
        <v>8.8430558555442705E-4</v>
      </c>
    </row>
    <row r="9720" spans="39:41" x14ac:dyDescent="0.25">
      <c r="AM9720" s="2">
        <v>9717</v>
      </c>
      <c r="AN9720" s="33">
        <v>1.1816618084025272E-2</v>
      </c>
      <c r="AO9720" s="33">
        <v>6.5215814784953417E-4</v>
      </c>
    </row>
    <row r="9721" spans="39:41" x14ac:dyDescent="0.25">
      <c r="AM9721" s="2">
        <v>9718</v>
      </c>
      <c r="AN9721" s="33">
        <v>9.4056532952229745E-3</v>
      </c>
      <c r="AO9721" s="33">
        <v>8.2754093181878574E-4</v>
      </c>
    </row>
    <row r="9722" spans="39:41" x14ac:dyDescent="0.25">
      <c r="AM9722" s="2">
        <v>9719</v>
      </c>
      <c r="AN9722" s="33">
        <v>1.1944986985833008E-2</v>
      </c>
      <c r="AO9722" s="33">
        <v>1.2464494598833763E-3</v>
      </c>
    </row>
    <row r="9723" spans="39:41" x14ac:dyDescent="0.25">
      <c r="AM9723" s="2">
        <v>9720</v>
      </c>
      <c r="AN9723" s="33">
        <v>1.2752925752384743E-2</v>
      </c>
      <c r="AO9723" s="33">
        <v>7.7592332734511844E-4</v>
      </c>
    </row>
    <row r="9724" spans="39:41" x14ac:dyDescent="0.25">
      <c r="AM9724" s="2">
        <v>9721</v>
      </c>
      <c r="AN9724" s="33">
        <v>1.2047464982743389E-2</v>
      </c>
      <c r="AO9724" s="33">
        <v>2.971502728613656E-4</v>
      </c>
    </row>
    <row r="9725" spans="39:41" x14ac:dyDescent="0.25">
      <c r="AM9725" s="2">
        <v>9722</v>
      </c>
      <c r="AN9725" s="33">
        <v>1.4707520360142423E-2</v>
      </c>
      <c r="AO9725" s="33">
        <v>9.3605778999908624E-4</v>
      </c>
    </row>
    <row r="9726" spans="39:41" x14ac:dyDescent="0.25">
      <c r="AM9726" s="2">
        <v>9723</v>
      </c>
      <c r="AN9726" s="33">
        <v>8.1350420243157303E-3</v>
      </c>
      <c r="AO9726" s="33">
        <v>6.4972610235985789E-4</v>
      </c>
    </row>
    <row r="9727" spans="39:41" x14ac:dyDescent="0.25">
      <c r="AM9727" s="2">
        <v>9724</v>
      </c>
      <c r="AN9727" s="33">
        <v>1.3241835568860253E-2</v>
      </c>
      <c r="AO9727" s="33">
        <v>1.1415242284769527E-3</v>
      </c>
    </row>
    <row r="9728" spans="39:41" x14ac:dyDescent="0.25">
      <c r="AM9728" s="2">
        <v>9725</v>
      </c>
      <c r="AN9728" s="33">
        <v>1.5684858808675848E-2</v>
      </c>
      <c r="AO9728" s="33">
        <v>1.1717599087990973E-3</v>
      </c>
    </row>
    <row r="9729" spans="39:41" x14ac:dyDescent="0.25">
      <c r="AM9729" s="2">
        <v>9726</v>
      </c>
      <c r="AN9729" s="33">
        <v>1.4911709932828853E-2</v>
      </c>
      <c r="AO9729" s="33">
        <v>1.3110357136627911E-3</v>
      </c>
    </row>
    <row r="9730" spans="39:41" x14ac:dyDescent="0.25">
      <c r="AM9730" s="2">
        <v>9727</v>
      </c>
      <c r="AN9730" s="33">
        <v>1.2375301343680504E-2</v>
      </c>
      <c r="AO9730" s="33">
        <v>9.4825336091229802E-4</v>
      </c>
    </row>
    <row r="9731" spans="39:41" x14ac:dyDescent="0.25">
      <c r="AM9731" s="2">
        <v>9728</v>
      </c>
      <c r="AN9731" s="33">
        <v>8.7191136134885366E-3</v>
      </c>
      <c r="AO9731" s="33">
        <v>6.8094887390699908E-4</v>
      </c>
    </row>
    <row r="9732" spans="39:41" x14ac:dyDescent="0.25">
      <c r="AM9732" s="2">
        <v>9729</v>
      </c>
      <c r="AN9732" s="33">
        <v>1.1479159257462814E-2</v>
      </c>
      <c r="AO9732" s="33">
        <v>6.4392564176924121E-4</v>
      </c>
    </row>
    <row r="9733" spans="39:41" x14ac:dyDescent="0.25">
      <c r="AM9733" s="2">
        <v>9730</v>
      </c>
      <c r="AN9733" s="33">
        <v>1.1674077053759157E-2</v>
      </c>
      <c r="AO9733" s="33">
        <v>5.5242934562480406E-4</v>
      </c>
    </row>
    <row r="9734" spans="39:41" x14ac:dyDescent="0.25">
      <c r="AM9734" s="2">
        <v>9731</v>
      </c>
      <c r="AN9734" s="33">
        <v>1.2177633835039264E-2</v>
      </c>
      <c r="AO9734" s="33">
        <v>4.4570266978017525E-4</v>
      </c>
    </row>
    <row r="9735" spans="39:41" x14ac:dyDescent="0.25">
      <c r="AM9735" s="2">
        <v>9732</v>
      </c>
      <c r="AN9735" s="33">
        <v>1.0607437175587396E-2</v>
      </c>
      <c r="AO9735" s="33">
        <v>6.9626709667385195E-4</v>
      </c>
    </row>
    <row r="9736" spans="39:41" x14ac:dyDescent="0.25">
      <c r="AM9736" s="2">
        <v>9733</v>
      </c>
      <c r="AN9736" s="33">
        <v>1.3252737918003363E-2</v>
      </c>
      <c r="AO9736" s="33">
        <v>9.6094924934782245E-4</v>
      </c>
    </row>
    <row r="9737" spans="39:41" x14ac:dyDescent="0.25">
      <c r="AM9737" s="2">
        <v>9734</v>
      </c>
      <c r="AN9737" s="33">
        <v>1.1601943798302547E-2</v>
      </c>
      <c r="AO9737" s="33">
        <v>7.0545371588636493E-4</v>
      </c>
    </row>
    <row r="9738" spans="39:41" x14ac:dyDescent="0.25">
      <c r="AM9738" s="2">
        <v>9735</v>
      </c>
      <c r="AN9738" s="33">
        <v>1.3646322284916801E-2</v>
      </c>
      <c r="AO9738" s="33">
        <v>1.0368753329525332E-3</v>
      </c>
    </row>
    <row r="9739" spans="39:41" x14ac:dyDescent="0.25">
      <c r="AM9739" s="2">
        <v>9736</v>
      </c>
      <c r="AN9739" s="33">
        <v>1.0466629722554275E-2</v>
      </c>
      <c r="AO9739" s="33">
        <v>7.9180608555414346E-4</v>
      </c>
    </row>
    <row r="9740" spans="39:41" x14ac:dyDescent="0.25">
      <c r="AM9740" s="2">
        <v>9737</v>
      </c>
      <c r="AN9740" s="33">
        <v>1.1982362021389335E-2</v>
      </c>
      <c r="AO9740" s="33">
        <v>1.1343470490286301E-3</v>
      </c>
    </row>
    <row r="9741" spans="39:41" x14ac:dyDescent="0.25">
      <c r="AM9741" s="2">
        <v>9738</v>
      </c>
      <c r="AN9741" s="33">
        <v>1.3006711722144947E-2</v>
      </c>
      <c r="AO9741" s="33">
        <v>1.1201672910825012E-3</v>
      </c>
    </row>
    <row r="9742" spans="39:41" x14ac:dyDescent="0.25">
      <c r="AM9742" s="2">
        <v>9739</v>
      </c>
      <c r="AN9742" s="33">
        <v>1.1600080667280884E-2</v>
      </c>
      <c r="AO9742" s="33">
        <v>1.0392882107294252E-3</v>
      </c>
    </row>
    <row r="9743" spans="39:41" x14ac:dyDescent="0.25">
      <c r="AM9743" s="2">
        <v>9740</v>
      </c>
      <c r="AN9743" s="33">
        <v>1.2013269907598352E-2</v>
      </c>
      <c r="AO9743" s="33">
        <v>9.7935709136751331E-4</v>
      </c>
    </row>
    <row r="9744" spans="39:41" x14ac:dyDescent="0.25">
      <c r="AM9744" s="2">
        <v>9741</v>
      </c>
      <c r="AN9744" s="33">
        <v>1.4138406957949812E-2</v>
      </c>
      <c r="AO9744" s="33">
        <v>1.201106307726334E-3</v>
      </c>
    </row>
    <row r="9745" spans="39:41" x14ac:dyDescent="0.25">
      <c r="AM9745" s="2">
        <v>9742</v>
      </c>
      <c r="AN9745" s="33">
        <v>9.4276291134310786E-3</v>
      </c>
      <c r="AO9745" s="33">
        <v>8.7213773497098743E-4</v>
      </c>
    </row>
    <row r="9746" spans="39:41" x14ac:dyDescent="0.25">
      <c r="AM9746" s="2">
        <v>9743</v>
      </c>
      <c r="AN9746" s="33">
        <v>1.1835218352501177E-2</v>
      </c>
      <c r="AO9746" s="33">
        <v>8.2463304286418872E-4</v>
      </c>
    </row>
    <row r="9747" spans="39:41" x14ac:dyDescent="0.25">
      <c r="AM9747" s="2">
        <v>9744</v>
      </c>
      <c r="AN9747" s="33">
        <v>1.2706228529359959E-2</v>
      </c>
      <c r="AO9747" s="33">
        <v>4.624899538599723E-4</v>
      </c>
    </row>
    <row r="9748" spans="39:41" x14ac:dyDescent="0.25">
      <c r="AM9748" s="2">
        <v>9745</v>
      </c>
      <c r="AN9748" s="33">
        <v>1.1448578965412137E-2</v>
      </c>
      <c r="AO9748" s="33">
        <v>9.180229278671065E-4</v>
      </c>
    </row>
    <row r="9749" spans="39:41" x14ac:dyDescent="0.25">
      <c r="AM9749" s="2">
        <v>9746</v>
      </c>
      <c r="AN9749" s="33">
        <v>1.2897783824091425E-2</v>
      </c>
      <c r="AO9749" s="33">
        <v>1.074989731857774E-3</v>
      </c>
    </row>
    <row r="9750" spans="39:41" x14ac:dyDescent="0.25">
      <c r="AM9750" s="2">
        <v>9747</v>
      </c>
      <c r="AN9750" s="33">
        <v>9.9378427860398934E-3</v>
      </c>
      <c r="AO9750" s="33">
        <v>4.9491548729094616E-4</v>
      </c>
    </row>
    <row r="9751" spans="39:41" x14ac:dyDescent="0.25">
      <c r="AM9751" s="2">
        <v>9748</v>
      </c>
      <c r="AN9751" s="33">
        <v>1.5929615874383969E-2</v>
      </c>
      <c r="AO9751" s="33">
        <v>1.0250016341329391E-3</v>
      </c>
    </row>
    <row r="9752" spans="39:41" x14ac:dyDescent="0.25">
      <c r="AM9752" s="2">
        <v>9749</v>
      </c>
      <c r="AN9752" s="33">
        <v>9.6713251227906281E-3</v>
      </c>
      <c r="AO9752" s="33">
        <v>3.551180305339704E-4</v>
      </c>
    </row>
    <row r="9753" spans="39:41" x14ac:dyDescent="0.25">
      <c r="AM9753" s="2">
        <v>9750</v>
      </c>
      <c r="AN9753" s="33">
        <v>1.3792685292522212E-2</v>
      </c>
      <c r="AO9753" s="33">
        <v>1.145329275372374E-3</v>
      </c>
    </row>
    <row r="9754" spans="39:41" x14ac:dyDescent="0.25">
      <c r="AM9754" s="2">
        <v>9751</v>
      </c>
      <c r="AN9754" s="33">
        <v>1.12617805940273E-2</v>
      </c>
      <c r="AO9754" s="33">
        <v>5.395420776356458E-4</v>
      </c>
    </row>
    <row r="9755" spans="39:41" x14ac:dyDescent="0.25">
      <c r="AM9755" s="2">
        <v>9752</v>
      </c>
      <c r="AN9755" s="33">
        <v>1.5007496532385802E-2</v>
      </c>
      <c r="AO9755" s="33">
        <v>1.4247967028117548E-3</v>
      </c>
    </row>
    <row r="9756" spans="39:41" x14ac:dyDescent="0.25">
      <c r="AM9756" s="2">
        <v>9753</v>
      </c>
      <c r="AN9756" s="33">
        <v>1.0810326730587285E-2</v>
      </c>
      <c r="AO9756" s="33">
        <v>8.1195411960684042E-4</v>
      </c>
    </row>
    <row r="9757" spans="39:41" x14ac:dyDescent="0.25">
      <c r="AM9757" s="2">
        <v>9754</v>
      </c>
      <c r="AN9757" s="33">
        <v>1.1620205547239576E-2</v>
      </c>
      <c r="AO9757" s="33">
        <v>1.1264766889190565E-3</v>
      </c>
    </row>
    <row r="9758" spans="39:41" x14ac:dyDescent="0.25">
      <c r="AM9758" s="2">
        <v>9755</v>
      </c>
      <c r="AN9758" s="33">
        <v>1.3607544754072987E-2</v>
      </c>
      <c r="AO9758" s="33">
        <v>1.2089265348031498E-3</v>
      </c>
    </row>
    <row r="9759" spans="39:41" x14ac:dyDescent="0.25">
      <c r="AM9759" s="2">
        <v>9756</v>
      </c>
      <c r="AN9759" s="33">
        <v>1.0349428165146189E-2</v>
      </c>
      <c r="AO9759" s="33">
        <v>7.3305786102519717E-4</v>
      </c>
    </row>
    <row r="9760" spans="39:41" x14ac:dyDescent="0.25">
      <c r="AM9760" s="2">
        <v>9757</v>
      </c>
      <c r="AN9760" s="33">
        <v>1.3720493924814392E-2</v>
      </c>
      <c r="AO9760" s="33">
        <v>1.343974784846618E-3</v>
      </c>
    </row>
    <row r="9761" spans="39:41" x14ac:dyDescent="0.25">
      <c r="AM9761" s="2">
        <v>9758</v>
      </c>
      <c r="AN9761" s="33">
        <v>1.1782042074793948E-2</v>
      </c>
      <c r="AO9761" s="33">
        <v>1.0462316098778007E-3</v>
      </c>
    </row>
    <row r="9762" spans="39:41" x14ac:dyDescent="0.25">
      <c r="AM9762" s="2">
        <v>9759</v>
      </c>
      <c r="AN9762" s="33">
        <v>1.0633526546495773E-2</v>
      </c>
      <c r="AO9762" s="33">
        <v>6.6693852649395667E-4</v>
      </c>
    </row>
    <row r="9763" spans="39:41" x14ac:dyDescent="0.25">
      <c r="AM9763" s="2">
        <v>9760</v>
      </c>
      <c r="AN9763" s="33">
        <v>1.3472484749359774E-2</v>
      </c>
      <c r="AO9763" s="33">
        <v>1.1661790040191566E-3</v>
      </c>
    </row>
    <row r="9764" spans="39:41" x14ac:dyDescent="0.25">
      <c r="AM9764" s="2">
        <v>9761</v>
      </c>
      <c r="AN9764" s="33">
        <v>1.3572559531922495E-2</v>
      </c>
      <c r="AO9764" s="33">
        <v>1.0051204728726455E-3</v>
      </c>
    </row>
    <row r="9765" spans="39:41" x14ac:dyDescent="0.25">
      <c r="AM9765" s="2">
        <v>9762</v>
      </c>
      <c r="AN9765" s="33">
        <v>1.5221562634692837E-2</v>
      </c>
      <c r="AO9765" s="33">
        <v>1.0648987342664299E-3</v>
      </c>
    </row>
    <row r="9766" spans="39:41" x14ac:dyDescent="0.25">
      <c r="AM9766" s="2">
        <v>9763</v>
      </c>
      <c r="AN9766" s="33">
        <v>1.5339981032039107E-2</v>
      </c>
      <c r="AO9766" s="33">
        <v>1.1809834793726586E-3</v>
      </c>
    </row>
    <row r="9767" spans="39:41" x14ac:dyDescent="0.25">
      <c r="AM9767" s="2">
        <v>9764</v>
      </c>
      <c r="AN9767" s="33">
        <v>1.1302029472313589E-2</v>
      </c>
      <c r="AO9767" s="33">
        <v>8.7077735904910326E-4</v>
      </c>
    </row>
    <row r="9768" spans="39:41" x14ac:dyDescent="0.25">
      <c r="AM9768" s="2">
        <v>9765</v>
      </c>
      <c r="AN9768" s="33">
        <v>1.2635767533647486E-2</v>
      </c>
      <c r="AO9768" s="33">
        <v>8.7278128031694911E-4</v>
      </c>
    </row>
    <row r="9769" spans="39:41" x14ac:dyDescent="0.25">
      <c r="AM9769" s="2">
        <v>9766</v>
      </c>
      <c r="AN9769" s="33">
        <v>1.2021317227746147E-2</v>
      </c>
      <c r="AO9769" s="33">
        <v>4.3590635054477518E-4</v>
      </c>
    </row>
    <row r="9770" spans="39:41" x14ac:dyDescent="0.25">
      <c r="AM9770" s="2">
        <v>9767</v>
      </c>
      <c r="AN9770" s="33">
        <v>1.4389895845519654E-2</v>
      </c>
      <c r="AO9770" s="33">
        <v>9.8041961810381049E-4</v>
      </c>
    </row>
    <row r="9771" spans="39:41" x14ac:dyDescent="0.25">
      <c r="AM9771" s="2">
        <v>9768</v>
      </c>
      <c r="AN9771" s="33">
        <v>1.3157738054683935E-2</v>
      </c>
      <c r="AO9771" s="33">
        <v>1.3309372144682374E-3</v>
      </c>
    </row>
    <row r="9772" spans="39:41" x14ac:dyDescent="0.25">
      <c r="AM9772" s="2">
        <v>9769</v>
      </c>
      <c r="AN9772" s="33">
        <v>1.1346725613021106E-2</v>
      </c>
      <c r="AO9772" s="33">
        <v>8.5728688403517782E-4</v>
      </c>
    </row>
    <row r="9773" spans="39:41" x14ac:dyDescent="0.25">
      <c r="AM9773" s="2">
        <v>9770</v>
      </c>
      <c r="AN9773" s="33">
        <v>1.3093043445711156E-2</v>
      </c>
      <c r="AO9773" s="33">
        <v>1.1063501681102686E-3</v>
      </c>
    </row>
    <row r="9774" spans="39:41" x14ac:dyDescent="0.25">
      <c r="AM9774" s="2">
        <v>9771</v>
      </c>
      <c r="AN9774" s="33">
        <v>1.0572273538092571E-2</v>
      </c>
      <c r="AO9774" s="33">
        <v>6.5574096384015844E-4</v>
      </c>
    </row>
    <row r="9775" spans="39:41" x14ac:dyDescent="0.25">
      <c r="AM9775" s="2">
        <v>9772</v>
      </c>
      <c r="AN9775" s="33">
        <v>1.0517316230980036E-2</v>
      </c>
      <c r="AO9775" s="33">
        <v>6.3247935067731534E-4</v>
      </c>
    </row>
    <row r="9776" spans="39:41" x14ac:dyDescent="0.25">
      <c r="AM9776" s="2">
        <v>9773</v>
      </c>
      <c r="AN9776" s="33">
        <v>1.2711178378337512E-2</v>
      </c>
      <c r="AO9776" s="33">
        <v>1.0276448906570794E-3</v>
      </c>
    </row>
    <row r="9777" spans="39:41" x14ac:dyDescent="0.25">
      <c r="AM9777" s="2">
        <v>9774</v>
      </c>
      <c r="AN9777" s="33">
        <v>1.2045705923692723E-2</v>
      </c>
      <c r="AO9777" s="33">
        <v>4.4695841763656922E-4</v>
      </c>
    </row>
    <row r="9778" spans="39:41" x14ac:dyDescent="0.25">
      <c r="AM9778" s="2">
        <v>9775</v>
      </c>
      <c r="AN9778" s="33">
        <v>1.5360346177189862E-2</v>
      </c>
      <c r="AO9778" s="33">
        <v>1.4886904273837807E-3</v>
      </c>
    </row>
    <row r="9779" spans="39:41" x14ac:dyDescent="0.25">
      <c r="AM9779" s="2">
        <v>9776</v>
      </c>
      <c r="AN9779" s="33">
        <v>7.3699503842724898E-3</v>
      </c>
      <c r="AO9779" s="33">
        <v>3.1704755421952654E-4</v>
      </c>
    </row>
    <row r="9780" spans="39:41" x14ac:dyDescent="0.25">
      <c r="AM9780" s="2">
        <v>9777</v>
      </c>
      <c r="AN9780" s="33">
        <v>1.4982116105485752E-2</v>
      </c>
      <c r="AO9780" s="33">
        <v>1.1747634680198712E-3</v>
      </c>
    </row>
    <row r="9781" spans="39:41" x14ac:dyDescent="0.25">
      <c r="AM9781" s="2">
        <v>9778</v>
      </c>
      <c r="AN9781" s="33">
        <v>8.8648937317573218E-3</v>
      </c>
      <c r="AO9781" s="33">
        <v>6.2249950213401849E-4</v>
      </c>
    </row>
    <row r="9782" spans="39:41" x14ac:dyDescent="0.25">
      <c r="AM9782" s="2">
        <v>9779</v>
      </c>
      <c r="AN9782" s="33">
        <v>1.7138103978537451E-2</v>
      </c>
      <c r="AO9782" s="33">
        <v>2.5082624169353753E-4</v>
      </c>
    </row>
    <row r="9783" spans="39:41" x14ac:dyDescent="0.25">
      <c r="AM9783" s="2">
        <v>9780</v>
      </c>
      <c r="AN9783" s="33">
        <v>1.2478887751331534E-2</v>
      </c>
      <c r="AO9783" s="33">
        <v>1.1307942042879859E-3</v>
      </c>
    </row>
    <row r="9784" spans="39:41" x14ac:dyDescent="0.25">
      <c r="AM9784" s="2">
        <v>9781</v>
      </c>
      <c r="AN9784" s="33">
        <v>1.324723560239045E-2</v>
      </c>
      <c r="AO9784" s="33">
        <v>1.2921304908792219E-3</v>
      </c>
    </row>
    <row r="9785" spans="39:41" x14ac:dyDescent="0.25">
      <c r="AM9785" s="2">
        <v>9782</v>
      </c>
      <c r="AN9785" s="33">
        <v>1.3667850168776327E-2</v>
      </c>
      <c r="AO9785" s="33">
        <v>1.16799307326292E-3</v>
      </c>
    </row>
    <row r="9786" spans="39:41" x14ac:dyDescent="0.25">
      <c r="AM9786" s="2">
        <v>9783</v>
      </c>
      <c r="AN9786" s="33">
        <v>1.1066406684117293E-2</v>
      </c>
      <c r="AO9786" s="33">
        <v>9.9157074966427011E-4</v>
      </c>
    </row>
    <row r="9787" spans="39:41" x14ac:dyDescent="0.25">
      <c r="AM9787" s="2">
        <v>9784</v>
      </c>
      <c r="AN9787" s="33">
        <v>1.0561092937185533E-2</v>
      </c>
      <c r="AO9787" s="33">
        <v>3.6918190611980625E-4</v>
      </c>
    </row>
    <row r="9788" spans="39:41" x14ac:dyDescent="0.25">
      <c r="AM9788" s="2">
        <v>9785</v>
      </c>
      <c r="AN9788" s="33">
        <v>1.1841466406320587E-2</v>
      </c>
      <c r="AO9788" s="33">
        <v>7.4409981294592934E-4</v>
      </c>
    </row>
    <row r="9789" spans="39:41" x14ac:dyDescent="0.25">
      <c r="AM9789" s="2">
        <v>9786</v>
      </c>
      <c r="AN9789" s="33">
        <v>1.1653158370422302E-2</v>
      </c>
      <c r="AO9789" s="33">
        <v>9.6428389341573985E-4</v>
      </c>
    </row>
    <row r="9790" spans="39:41" x14ac:dyDescent="0.25">
      <c r="AM9790" s="2">
        <v>9787</v>
      </c>
      <c r="AN9790" s="33">
        <v>1.6403956820274571E-2</v>
      </c>
      <c r="AO9790" s="33">
        <v>1.435441418850654E-3</v>
      </c>
    </row>
    <row r="9791" spans="39:41" x14ac:dyDescent="0.25">
      <c r="AM9791" s="2">
        <v>9788</v>
      </c>
      <c r="AN9791" s="33">
        <v>9.7009202483766092E-3</v>
      </c>
      <c r="AO9791" s="33">
        <v>5.5273917107945421E-4</v>
      </c>
    </row>
    <row r="9792" spans="39:41" x14ac:dyDescent="0.25">
      <c r="AM9792" s="2">
        <v>9789</v>
      </c>
      <c r="AN9792" s="33">
        <v>1.1987407616041083E-2</v>
      </c>
      <c r="AO9792" s="33">
        <v>4.6584822906091318E-4</v>
      </c>
    </row>
    <row r="9793" spans="39:41" x14ac:dyDescent="0.25">
      <c r="AM9793" s="2">
        <v>9790</v>
      </c>
      <c r="AN9793" s="33">
        <v>1.1921059728683289E-2</v>
      </c>
      <c r="AO9793" s="33">
        <v>6.5238480843300543E-4</v>
      </c>
    </row>
    <row r="9794" spans="39:41" x14ac:dyDescent="0.25">
      <c r="AM9794" s="2">
        <v>9791</v>
      </c>
      <c r="AN9794" s="33">
        <v>1.3545479049901905E-2</v>
      </c>
      <c r="AO9794" s="33">
        <v>1.30915547120105E-3</v>
      </c>
    </row>
    <row r="9795" spans="39:41" x14ac:dyDescent="0.25">
      <c r="AM9795" s="2">
        <v>9792</v>
      </c>
      <c r="AN9795" s="33">
        <v>1.3517154801560519E-2</v>
      </c>
      <c r="AO9795" s="33">
        <v>1.4163721140569891E-3</v>
      </c>
    </row>
    <row r="9796" spans="39:41" x14ac:dyDescent="0.25">
      <c r="AM9796" s="2">
        <v>9793</v>
      </c>
      <c r="AN9796" s="33">
        <v>1.0376678655003906E-2</v>
      </c>
      <c r="AO9796" s="33">
        <v>6.3886914939974347E-4</v>
      </c>
    </row>
    <row r="9797" spans="39:41" x14ac:dyDescent="0.25">
      <c r="AM9797" s="2">
        <v>9794</v>
      </c>
      <c r="AN9797" s="33">
        <v>1.1470050089070148E-2</v>
      </c>
      <c r="AO9797" s="33">
        <v>4.8367662102524332E-4</v>
      </c>
    </row>
    <row r="9798" spans="39:41" x14ac:dyDescent="0.25">
      <c r="AM9798" s="2">
        <v>9795</v>
      </c>
      <c r="AN9798" s="33">
        <v>1.2335021777411154E-2</v>
      </c>
      <c r="AO9798" s="33">
        <v>1.318046634480012E-3</v>
      </c>
    </row>
    <row r="9799" spans="39:41" x14ac:dyDescent="0.25">
      <c r="AM9799" s="2">
        <v>9796</v>
      </c>
      <c r="AN9799" s="33">
        <v>1.083981612057763E-2</v>
      </c>
      <c r="AO9799" s="33">
        <v>1.1977356631789463E-3</v>
      </c>
    </row>
    <row r="9800" spans="39:41" x14ac:dyDescent="0.25">
      <c r="AM9800" s="2">
        <v>9797</v>
      </c>
      <c r="AN9800" s="33">
        <v>1.4135317876733488E-2</v>
      </c>
      <c r="AO9800" s="33">
        <v>1.0273250516293394E-3</v>
      </c>
    </row>
    <row r="9801" spans="39:41" x14ac:dyDescent="0.25">
      <c r="AM9801" s="2">
        <v>9798</v>
      </c>
      <c r="AN9801" s="33">
        <v>1.1888035959699717E-2</v>
      </c>
      <c r="AO9801" s="33">
        <v>7.0454255752335014E-4</v>
      </c>
    </row>
    <row r="9802" spans="39:41" x14ac:dyDescent="0.25">
      <c r="AM9802" s="2">
        <v>9799</v>
      </c>
      <c r="AN9802" s="33">
        <v>8.43196929778358E-3</v>
      </c>
      <c r="AO9802" s="33">
        <v>6.9946469224122865E-4</v>
      </c>
    </row>
    <row r="9803" spans="39:41" x14ac:dyDescent="0.25">
      <c r="AM9803" s="2">
        <v>9800</v>
      </c>
      <c r="AN9803" s="33">
        <v>1.2736439068045625E-2</v>
      </c>
      <c r="AO9803" s="33">
        <v>7.1845786118657196E-4</v>
      </c>
    </row>
    <row r="9804" spans="39:41" x14ac:dyDescent="0.25">
      <c r="AM9804" s="2">
        <v>9801</v>
      </c>
      <c r="AN9804" s="33">
        <v>1.3180184182742378E-2</v>
      </c>
      <c r="AO9804" s="33">
        <v>9.2500131425784702E-4</v>
      </c>
    </row>
    <row r="9805" spans="39:41" x14ac:dyDescent="0.25">
      <c r="AM9805" s="2">
        <v>9802</v>
      </c>
      <c r="AN9805" s="33">
        <v>1.3962777315162964E-2</v>
      </c>
      <c r="AO9805" s="33">
        <v>1.2739028690607248E-3</v>
      </c>
    </row>
    <row r="9806" spans="39:41" x14ac:dyDescent="0.25">
      <c r="AM9806" s="2">
        <v>9803</v>
      </c>
      <c r="AN9806" s="33">
        <v>1.0661593710193536E-2</v>
      </c>
      <c r="AO9806" s="33">
        <v>7.3260664239576789E-4</v>
      </c>
    </row>
    <row r="9807" spans="39:41" x14ac:dyDescent="0.25">
      <c r="AM9807" s="2">
        <v>9804</v>
      </c>
      <c r="AN9807" s="33">
        <v>1.1331221518428952E-2</v>
      </c>
      <c r="AO9807" s="33">
        <v>7.1214312382777067E-4</v>
      </c>
    </row>
    <row r="9808" spans="39:41" x14ac:dyDescent="0.25">
      <c r="AM9808" s="2">
        <v>9805</v>
      </c>
      <c r="AN9808" s="33">
        <v>1.2929155921373362E-2</v>
      </c>
      <c r="AO9808" s="33">
        <v>2.3963995581320637E-4</v>
      </c>
    </row>
    <row r="9809" spans="39:41" x14ac:dyDescent="0.25">
      <c r="AM9809" s="2">
        <v>9806</v>
      </c>
      <c r="AN9809" s="33">
        <v>9.5133854180750183E-3</v>
      </c>
      <c r="AO9809" s="33">
        <v>6.5729241036671866E-4</v>
      </c>
    </row>
    <row r="9810" spans="39:41" x14ac:dyDescent="0.25">
      <c r="AM9810" s="2">
        <v>9807</v>
      </c>
      <c r="AN9810" s="33">
        <v>1.1376241809816202E-2</v>
      </c>
      <c r="AO9810" s="33">
        <v>9.1155783169689062E-4</v>
      </c>
    </row>
    <row r="9811" spans="39:41" x14ac:dyDescent="0.25">
      <c r="AM9811" s="2">
        <v>9808</v>
      </c>
      <c r="AN9811" s="33">
        <v>9.1479013540230521E-3</v>
      </c>
      <c r="AO9811" s="33">
        <v>3.9819287889825177E-4</v>
      </c>
    </row>
    <row r="9812" spans="39:41" x14ac:dyDescent="0.25">
      <c r="AM9812" s="2">
        <v>9809</v>
      </c>
      <c r="AN9812" s="33">
        <v>1.404488737444006E-2</v>
      </c>
      <c r="AO9812" s="33">
        <v>7.9457133595735806E-4</v>
      </c>
    </row>
    <row r="9813" spans="39:41" x14ac:dyDescent="0.25">
      <c r="AM9813" s="2">
        <v>9810</v>
      </c>
      <c r="AN9813" s="33">
        <v>1.0817766662784965E-2</v>
      </c>
      <c r="AO9813" s="33">
        <v>8.3520377307142487E-4</v>
      </c>
    </row>
    <row r="9814" spans="39:41" x14ac:dyDescent="0.25">
      <c r="AM9814" s="2">
        <v>9811</v>
      </c>
      <c r="AN9814" s="33">
        <v>1.6038702520568264E-2</v>
      </c>
      <c r="AO9814" s="33">
        <v>1.1344872690762912E-3</v>
      </c>
    </row>
    <row r="9815" spans="39:41" x14ac:dyDescent="0.25">
      <c r="AM9815" s="2">
        <v>9812</v>
      </c>
      <c r="AN9815" s="33">
        <v>1.17828493874429E-2</v>
      </c>
      <c r="AO9815" s="33">
        <v>9.8646760383598988E-4</v>
      </c>
    </row>
    <row r="9816" spans="39:41" x14ac:dyDescent="0.25">
      <c r="AM9816" s="2">
        <v>9813</v>
      </c>
      <c r="AN9816" s="33">
        <v>1.1386906567306447E-2</v>
      </c>
      <c r="AO9816" s="33">
        <v>6.2726259397048593E-4</v>
      </c>
    </row>
    <row r="9817" spans="39:41" x14ac:dyDescent="0.25">
      <c r="AM9817" s="2">
        <v>9814</v>
      </c>
      <c r="AN9817" s="33">
        <v>1.3463075887643105E-2</v>
      </c>
      <c r="AO9817" s="33">
        <v>1.3251848826184324E-3</v>
      </c>
    </row>
    <row r="9818" spans="39:41" x14ac:dyDescent="0.25">
      <c r="AM9818" s="2">
        <v>9815</v>
      </c>
      <c r="AN9818" s="33">
        <v>1.0079619964051781E-2</v>
      </c>
      <c r="AO9818" s="33">
        <v>8.6192105869145738E-4</v>
      </c>
    </row>
    <row r="9819" spans="39:41" x14ac:dyDescent="0.25">
      <c r="AM9819" s="2">
        <v>9816</v>
      </c>
      <c r="AN9819" s="33">
        <v>1.3098011736024708E-2</v>
      </c>
      <c r="AO9819" s="33">
        <v>1.1593970573058009E-3</v>
      </c>
    </row>
    <row r="9820" spans="39:41" x14ac:dyDescent="0.25">
      <c r="AM9820" s="2">
        <v>9817</v>
      </c>
      <c r="AN9820" s="33">
        <v>1.1255233050679768E-2</v>
      </c>
      <c r="AO9820" s="33">
        <v>9.2519276528880783E-4</v>
      </c>
    </row>
    <row r="9821" spans="39:41" x14ac:dyDescent="0.25">
      <c r="AM9821" s="2">
        <v>9818</v>
      </c>
      <c r="AN9821" s="33">
        <v>1.1960912188721057E-2</v>
      </c>
      <c r="AO9821" s="33">
        <v>6.7066571242125153E-4</v>
      </c>
    </row>
    <row r="9822" spans="39:41" x14ac:dyDescent="0.25">
      <c r="AM9822" s="2">
        <v>9819</v>
      </c>
      <c r="AN9822" s="33">
        <v>1.2083186027713987E-2</v>
      </c>
      <c r="AO9822" s="33">
        <v>7.8424106214904988E-4</v>
      </c>
    </row>
    <row r="9823" spans="39:41" x14ac:dyDescent="0.25">
      <c r="AM9823" s="2">
        <v>9820</v>
      </c>
      <c r="AN9823" s="33">
        <v>1.079478494932574E-2</v>
      </c>
      <c r="AO9823" s="33">
        <v>7.6881409900062046E-4</v>
      </c>
    </row>
    <row r="9824" spans="39:41" x14ac:dyDescent="0.25">
      <c r="AM9824" s="2">
        <v>9821</v>
      </c>
      <c r="AN9824" s="33">
        <v>1.4119226449665385E-2</v>
      </c>
      <c r="AO9824" s="33">
        <v>1.3664723389650362E-3</v>
      </c>
    </row>
    <row r="9825" spans="39:41" x14ac:dyDescent="0.25">
      <c r="AM9825" s="2">
        <v>9822</v>
      </c>
      <c r="AN9825" s="33">
        <v>8.926158940506702E-3</v>
      </c>
      <c r="AO9825" s="33">
        <v>8.0136004161986216E-4</v>
      </c>
    </row>
    <row r="9826" spans="39:41" x14ac:dyDescent="0.25">
      <c r="AM9826" s="2">
        <v>9823</v>
      </c>
      <c r="AN9826" s="33">
        <v>1.0517198715252956E-2</v>
      </c>
      <c r="AO9826" s="33">
        <v>8.9084448447013546E-4</v>
      </c>
    </row>
    <row r="9827" spans="39:41" x14ac:dyDescent="0.25">
      <c r="AM9827" s="2">
        <v>9824</v>
      </c>
      <c r="AN9827" s="33">
        <v>9.6404777024663123E-3</v>
      </c>
      <c r="AO9827" s="33">
        <v>2.877549683289224E-4</v>
      </c>
    </row>
    <row r="9828" spans="39:41" x14ac:dyDescent="0.25">
      <c r="AM9828" s="2">
        <v>9825</v>
      </c>
      <c r="AN9828" s="33">
        <v>8.4643272257932337E-3</v>
      </c>
      <c r="AO9828" s="33">
        <v>4.4819311320415172E-4</v>
      </c>
    </row>
    <row r="9829" spans="39:41" x14ac:dyDescent="0.25">
      <c r="AM9829" s="2">
        <v>9826</v>
      </c>
      <c r="AN9829" s="33">
        <v>1.1980948008674842E-2</v>
      </c>
      <c r="AO9829" s="33">
        <v>6.2921420828940667E-4</v>
      </c>
    </row>
    <row r="9830" spans="39:41" x14ac:dyDescent="0.25">
      <c r="AM9830" s="2">
        <v>9827</v>
      </c>
      <c r="AN9830" s="33">
        <v>8.8589220706145142E-3</v>
      </c>
      <c r="AO9830" s="33">
        <v>5.3041347983329374E-4</v>
      </c>
    </row>
    <row r="9831" spans="39:41" x14ac:dyDescent="0.25">
      <c r="AM9831" s="2">
        <v>9828</v>
      </c>
      <c r="AN9831" s="33">
        <v>1.1279328133996853E-2</v>
      </c>
      <c r="AO9831" s="33">
        <v>6.9427220638140948E-4</v>
      </c>
    </row>
    <row r="9832" spans="39:41" x14ac:dyDescent="0.25">
      <c r="AM9832" s="2">
        <v>9829</v>
      </c>
      <c r="AN9832" s="33">
        <v>1.2080744582757621E-2</v>
      </c>
      <c r="AO9832" s="33">
        <v>9.6575084300630921E-4</v>
      </c>
    </row>
    <row r="9833" spans="39:41" x14ac:dyDescent="0.25">
      <c r="AM9833" s="2">
        <v>9830</v>
      </c>
      <c r="AN9833" s="33">
        <v>1.1963067619119963E-2</v>
      </c>
      <c r="AO9833" s="33">
        <v>7.9007329273799321E-4</v>
      </c>
    </row>
    <row r="9834" spans="39:41" x14ac:dyDescent="0.25">
      <c r="AM9834" s="2">
        <v>9831</v>
      </c>
      <c r="AN9834" s="33">
        <v>1.5484143185307777E-2</v>
      </c>
      <c r="AO9834" s="33">
        <v>1.1811941018510246E-3</v>
      </c>
    </row>
    <row r="9835" spans="39:41" x14ac:dyDescent="0.25">
      <c r="AM9835" s="2">
        <v>9832</v>
      </c>
      <c r="AN9835" s="33">
        <v>9.506795019955978E-3</v>
      </c>
      <c r="AO9835" s="33">
        <v>7.708054630027691E-4</v>
      </c>
    </row>
    <row r="9836" spans="39:41" x14ac:dyDescent="0.25">
      <c r="AM9836" s="2">
        <v>9833</v>
      </c>
      <c r="AN9836" s="33">
        <v>1.1375192247536654E-2</v>
      </c>
      <c r="AO9836" s="33">
        <v>4.0051228460585646E-4</v>
      </c>
    </row>
    <row r="9837" spans="39:41" x14ac:dyDescent="0.25">
      <c r="AM9837" s="2">
        <v>9834</v>
      </c>
      <c r="AN9837" s="33">
        <v>1.3909999200523795E-2</v>
      </c>
      <c r="AO9837" s="33">
        <v>1.0335646553804123E-3</v>
      </c>
    </row>
    <row r="9838" spans="39:41" x14ac:dyDescent="0.25">
      <c r="AM9838" s="2">
        <v>9835</v>
      </c>
      <c r="AN9838" s="33">
        <v>1.3980102587989211E-2</v>
      </c>
      <c r="AO9838" s="33">
        <v>1.1561702917068558E-4</v>
      </c>
    </row>
    <row r="9839" spans="39:41" x14ac:dyDescent="0.25">
      <c r="AM9839" s="2">
        <v>9836</v>
      </c>
      <c r="AN9839" s="33">
        <v>1.0582357384631735E-2</v>
      </c>
      <c r="AO9839" s="33">
        <v>8.6885359608199621E-4</v>
      </c>
    </row>
    <row r="9840" spans="39:41" x14ac:dyDescent="0.25">
      <c r="AM9840" s="2">
        <v>9837</v>
      </c>
      <c r="AN9840" s="33">
        <v>1.2102652982835301E-2</v>
      </c>
      <c r="AO9840" s="33">
        <v>1.2348269872851053E-3</v>
      </c>
    </row>
    <row r="9841" spans="39:41" x14ac:dyDescent="0.25">
      <c r="AM9841" s="2">
        <v>9838</v>
      </c>
      <c r="AN9841" s="33">
        <v>1.0963924186709963E-2</v>
      </c>
      <c r="AO9841" s="33">
        <v>9.2874535068426757E-4</v>
      </c>
    </row>
    <row r="9842" spans="39:41" x14ac:dyDescent="0.25">
      <c r="AM9842" s="2">
        <v>9839</v>
      </c>
      <c r="AN9842" s="33">
        <v>1.0084728117249737E-2</v>
      </c>
      <c r="AO9842" s="33">
        <v>6.4673181823127418E-4</v>
      </c>
    </row>
    <row r="9843" spans="39:41" x14ac:dyDescent="0.25">
      <c r="AM9843" s="2">
        <v>9840</v>
      </c>
      <c r="AN9843" s="33">
        <v>1.030101240326995E-2</v>
      </c>
      <c r="AO9843" s="33">
        <v>8.1557613609693649E-4</v>
      </c>
    </row>
    <row r="9844" spans="39:41" x14ac:dyDescent="0.25">
      <c r="AM9844" s="2">
        <v>9841</v>
      </c>
      <c r="AN9844" s="33">
        <v>1.4636021193098989E-2</v>
      </c>
      <c r="AO9844" s="33">
        <v>1.3742709455840214E-3</v>
      </c>
    </row>
    <row r="9845" spans="39:41" x14ac:dyDescent="0.25">
      <c r="AM9845" s="2">
        <v>9842</v>
      </c>
      <c r="AN9845" s="33">
        <v>1.1254222907404533E-2</v>
      </c>
      <c r="AO9845" s="33">
        <v>9.8952233785066764E-4</v>
      </c>
    </row>
    <row r="9846" spans="39:41" x14ac:dyDescent="0.25">
      <c r="AM9846" s="2">
        <v>9843</v>
      </c>
      <c r="AN9846" s="33">
        <v>9.465971052504317E-3</v>
      </c>
      <c r="AO9846" s="33">
        <v>7.3860244719239627E-4</v>
      </c>
    </row>
    <row r="9847" spans="39:41" x14ac:dyDescent="0.25">
      <c r="AM9847" s="2">
        <v>9844</v>
      </c>
      <c r="AN9847" s="33">
        <v>1.15046964621459E-2</v>
      </c>
      <c r="AO9847" s="33">
        <v>9.2885568993334203E-4</v>
      </c>
    </row>
    <row r="9848" spans="39:41" x14ac:dyDescent="0.25">
      <c r="AM9848" s="2">
        <v>9845</v>
      </c>
      <c r="AN9848" s="33">
        <v>1.084039566707771E-2</v>
      </c>
      <c r="AO9848" s="33">
        <v>4.9217647035102125E-4</v>
      </c>
    </row>
    <row r="9849" spans="39:41" x14ac:dyDescent="0.25">
      <c r="AM9849" s="2">
        <v>9846</v>
      </c>
      <c r="AN9849" s="33">
        <v>1.6014067554475132E-2</v>
      </c>
      <c r="AO9849" s="33">
        <v>1.6156706504155895E-3</v>
      </c>
    </row>
    <row r="9850" spans="39:41" x14ac:dyDescent="0.25">
      <c r="AM9850" s="2">
        <v>9847</v>
      </c>
      <c r="AN9850" s="33">
        <v>1.3334126436106456E-2</v>
      </c>
      <c r="AO9850" s="33">
        <v>1.3905823444497975E-3</v>
      </c>
    </row>
    <row r="9851" spans="39:41" x14ac:dyDescent="0.25">
      <c r="AM9851" s="2">
        <v>9848</v>
      </c>
      <c r="AN9851" s="33">
        <v>1.4399438115422422E-2</v>
      </c>
      <c r="AO9851" s="33">
        <v>1.0597576225410627E-3</v>
      </c>
    </row>
    <row r="9852" spans="39:41" x14ac:dyDescent="0.25">
      <c r="AM9852" s="2">
        <v>9849</v>
      </c>
      <c r="AN9852" s="33">
        <v>1.3607014401623612E-2</v>
      </c>
      <c r="AO9852" s="33">
        <v>1.0035383298068925E-3</v>
      </c>
    </row>
    <row r="9853" spans="39:41" x14ac:dyDescent="0.25">
      <c r="AM9853" s="2">
        <v>9850</v>
      </c>
      <c r="AN9853" s="33">
        <v>1.2127823185300103E-2</v>
      </c>
      <c r="AO9853" s="33">
        <v>9.3232181085019131E-4</v>
      </c>
    </row>
    <row r="9854" spans="39:41" x14ac:dyDescent="0.25">
      <c r="AM9854" s="2">
        <v>9851</v>
      </c>
      <c r="AN9854" s="33">
        <v>1.0397470138086952E-2</v>
      </c>
      <c r="AO9854" s="33">
        <v>5.8682903700055028E-4</v>
      </c>
    </row>
    <row r="9855" spans="39:41" x14ac:dyDescent="0.25">
      <c r="AM9855" s="2">
        <v>9852</v>
      </c>
      <c r="AN9855" s="33">
        <v>1.0472281995748704E-2</v>
      </c>
      <c r="AO9855" s="33">
        <v>6.3747704387286488E-4</v>
      </c>
    </row>
    <row r="9856" spans="39:41" x14ac:dyDescent="0.25">
      <c r="AM9856" s="2">
        <v>9853</v>
      </c>
      <c r="AN9856" s="33">
        <v>1.0765949470894725E-2</v>
      </c>
      <c r="AO9856" s="33">
        <v>3.9880847082482358E-4</v>
      </c>
    </row>
    <row r="9857" spans="39:41" x14ac:dyDescent="0.25">
      <c r="AM9857" s="2">
        <v>9854</v>
      </c>
      <c r="AN9857" s="33">
        <v>1.2559225650977959E-2</v>
      </c>
      <c r="AO9857" s="33">
        <v>6.147679917745169E-4</v>
      </c>
    </row>
    <row r="9858" spans="39:41" x14ac:dyDescent="0.25">
      <c r="AM9858" s="2">
        <v>9855</v>
      </c>
      <c r="AN9858" s="33">
        <v>1.2762383552704976E-2</v>
      </c>
      <c r="AO9858" s="33">
        <v>8.8264730134581589E-4</v>
      </c>
    </row>
    <row r="9859" spans="39:41" x14ac:dyDescent="0.25">
      <c r="AM9859" s="2">
        <v>9856</v>
      </c>
      <c r="AN9859" s="33">
        <v>1.4343338529111758E-2</v>
      </c>
      <c r="AO9859" s="33">
        <v>1.1455364052291848E-3</v>
      </c>
    </row>
    <row r="9860" spans="39:41" x14ac:dyDescent="0.25">
      <c r="AM9860" s="2">
        <v>9857</v>
      </c>
      <c r="AN9860" s="33">
        <v>8.9561491967528675E-3</v>
      </c>
      <c r="AO9860" s="33">
        <v>8.1730000476615955E-4</v>
      </c>
    </row>
    <row r="9861" spans="39:41" x14ac:dyDescent="0.25">
      <c r="AM9861" s="2">
        <v>9858</v>
      </c>
      <c r="AN9861" s="33">
        <v>1.3867017515387239E-2</v>
      </c>
      <c r="AO9861" s="33">
        <v>9.6077134752750148E-4</v>
      </c>
    </row>
    <row r="9862" spans="39:41" x14ac:dyDescent="0.25">
      <c r="AM9862" s="2">
        <v>9859</v>
      </c>
      <c r="AN9862" s="33">
        <v>1.2763432098905523E-2</v>
      </c>
      <c r="AO9862" s="33">
        <v>8.5229514167691498E-4</v>
      </c>
    </row>
    <row r="9863" spans="39:41" x14ac:dyDescent="0.25">
      <c r="AM9863" s="2">
        <v>9860</v>
      </c>
      <c r="AN9863" s="33">
        <v>1.2438180313708778E-2</v>
      </c>
      <c r="AO9863" s="33">
        <v>9.0039469408795031E-4</v>
      </c>
    </row>
    <row r="9864" spans="39:41" x14ac:dyDescent="0.25">
      <c r="AM9864" s="2">
        <v>9861</v>
      </c>
      <c r="AN9864" s="33">
        <v>9.6870225503071332E-3</v>
      </c>
      <c r="AO9864" s="33">
        <v>5.6539560261832059E-4</v>
      </c>
    </row>
    <row r="9865" spans="39:41" x14ac:dyDescent="0.25">
      <c r="AM9865" s="2">
        <v>9862</v>
      </c>
      <c r="AN9865" s="33">
        <v>9.7081640666912133E-3</v>
      </c>
      <c r="AO9865" s="33">
        <v>5.2454530295016307E-4</v>
      </c>
    </row>
    <row r="9866" spans="39:41" x14ac:dyDescent="0.25">
      <c r="AM9866" s="2">
        <v>9863</v>
      </c>
      <c r="AN9866" s="33">
        <v>1.1846622663073717E-2</v>
      </c>
      <c r="AO9866" s="33">
        <v>9.3523272631476477E-4</v>
      </c>
    </row>
    <row r="9867" spans="39:41" x14ac:dyDescent="0.25">
      <c r="AM9867" s="2">
        <v>9864</v>
      </c>
      <c r="AN9867" s="33">
        <v>1.2724489074594827E-2</v>
      </c>
      <c r="AO9867" s="33">
        <v>1.2266952755149811E-3</v>
      </c>
    </row>
    <row r="9868" spans="39:41" x14ac:dyDescent="0.25">
      <c r="AM9868" s="2">
        <v>9865</v>
      </c>
      <c r="AN9868" s="33">
        <v>1.621617677342934E-2</v>
      </c>
      <c r="AO9868" s="33">
        <v>1.5874113275381916E-3</v>
      </c>
    </row>
    <row r="9869" spans="39:41" x14ac:dyDescent="0.25">
      <c r="AM9869" s="2">
        <v>9866</v>
      </c>
      <c r="AN9869" s="33">
        <v>1.1498774516083624E-2</v>
      </c>
      <c r="AO9869" s="33">
        <v>8.3361539759425267E-4</v>
      </c>
    </row>
    <row r="9870" spans="39:41" x14ac:dyDescent="0.25">
      <c r="AM9870" s="2">
        <v>9867</v>
      </c>
      <c r="AN9870" s="33">
        <v>9.2710320366926145E-3</v>
      </c>
      <c r="AO9870" s="33">
        <v>5.7601189266708486E-4</v>
      </c>
    </row>
    <row r="9871" spans="39:41" x14ac:dyDescent="0.25">
      <c r="AM9871" s="2">
        <v>9868</v>
      </c>
      <c r="AN9871" s="33">
        <v>1.3361755849521678E-2</v>
      </c>
      <c r="AO9871" s="33">
        <v>9.671391561354725E-4</v>
      </c>
    </row>
    <row r="9872" spans="39:41" x14ac:dyDescent="0.25">
      <c r="AM9872" s="2">
        <v>9869</v>
      </c>
      <c r="AN9872" s="33">
        <v>1.0234742853143741E-2</v>
      </c>
      <c r="AO9872" s="33">
        <v>8.2956579918119701E-4</v>
      </c>
    </row>
    <row r="9873" spans="39:41" x14ac:dyDescent="0.25">
      <c r="AM9873" s="2">
        <v>9870</v>
      </c>
      <c r="AN9873" s="33">
        <v>8.5534307115091596E-3</v>
      </c>
      <c r="AO9873" s="33">
        <v>5.1502980175524289E-4</v>
      </c>
    </row>
    <row r="9874" spans="39:41" x14ac:dyDescent="0.25">
      <c r="AM9874" s="2">
        <v>9871</v>
      </c>
      <c r="AN9874" s="33">
        <v>8.332426505276944E-3</v>
      </c>
      <c r="AO9874" s="33">
        <v>6.0378436564547907E-4</v>
      </c>
    </row>
    <row r="9875" spans="39:41" x14ac:dyDescent="0.25">
      <c r="AM9875" s="2">
        <v>9872</v>
      </c>
      <c r="AN9875" s="33">
        <v>1.2106886919501753E-2</v>
      </c>
      <c r="AO9875" s="33">
        <v>1.1076560900024264E-3</v>
      </c>
    </row>
    <row r="9876" spans="39:41" x14ac:dyDescent="0.25">
      <c r="AM9876" s="2">
        <v>9873</v>
      </c>
      <c r="AN9876" s="33">
        <v>1.1478828310912839E-2</v>
      </c>
      <c r="AO9876" s="33">
        <v>1.0811753355609659E-3</v>
      </c>
    </row>
    <row r="9877" spans="39:41" x14ac:dyDescent="0.25">
      <c r="AM9877" s="2">
        <v>9874</v>
      </c>
      <c r="AN9877" s="33">
        <v>1.1891981231688817E-2</v>
      </c>
      <c r="AO9877" s="33">
        <v>6.6183927959805749E-4</v>
      </c>
    </row>
    <row r="9878" spans="39:41" x14ac:dyDescent="0.25">
      <c r="AM9878" s="2">
        <v>9875</v>
      </c>
      <c r="AN9878" s="33">
        <v>1.1933904926923585E-2</v>
      </c>
      <c r="AO9878" s="33">
        <v>9.2487044894700604E-4</v>
      </c>
    </row>
    <row r="9879" spans="39:41" x14ac:dyDescent="0.25">
      <c r="AM9879" s="2">
        <v>9876</v>
      </c>
      <c r="AN9879" s="33">
        <v>9.1374318809710527E-3</v>
      </c>
      <c r="AO9879" s="33">
        <v>5.1529972598496668E-4</v>
      </c>
    </row>
    <row r="9880" spans="39:41" x14ac:dyDescent="0.25">
      <c r="AM9880" s="2">
        <v>9877</v>
      </c>
      <c r="AN9880" s="33">
        <v>1.0528377583971986E-2</v>
      </c>
      <c r="AO9880" s="33">
        <v>5.5292965312735186E-4</v>
      </c>
    </row>
    <row r="9881" spans="39:41" x14ac:dyDescent="0.25">
      <c r="AM9881" s="2">
        <v>9878</v>
      </c>
      <c r="AN9881" s="33">
        <v>1.1005162449598569E-2</v>
      </c>
      <c r="AO9881" s="33">
        <v>1.1091935709450528E-3</v>
      </c>
    </row>
    <row r="9882" spans="39:41" x14ac:dyDescent="0.25">
      <c r="AM9882" s="2">
        <v>9879</v>
      </c>
      <c r="AN9882" s="33">
        <v>1.4445508430366343E-2</v>
      </c>
      <c r="AO9882" s="33">
        <v>1.1455243363166334E-3</v>
      </c>
    </row>
    <row r="9883" spans="39:41" x14ac:dyDescent="0.25">
      <c r="AM9883" s="2">
        <v>9880</v>
      </c>
      <c r="AN9883" s="33">
        <v>1.5910700793428267E-2</v>
      </c>
      <c r="AO9883" s="33">
        <v>1.29648818778651E-3</v>
      </c>
    </row>
    <row r="9884" spans="39:41" x14ac:dyDescent="0.25">
      <c r="AM9884" s="2">
        <v>9881</v>
      </c>
      <c r="AN9884" s="33">
        <v>9.5792724675364954E-3</v>
      </c>
      <c r="AO9884" s="33">
        <v>4.0960572145719255E-4</v>
      </c>
    </row>
    <row r="9885" spans="39:41" x14ac:dyDescent="0.25">
      <c r="AM9885" s="2">
        <v>9882</v>
      </c>
      <c r="AN9885" s="33">
        <v>1.0510008422193956E-2</v>
      </c>
      <c r="AO9885" s="33">
        <v>5.6130899754348244E-4</v>
      </c>
    </row>
    <row r="9886" spans="39:41" x14ac:dyDescent="0.25">
      <c r="AM9886" s="2">
        <v>9883</v>
      </c>
      <c r="AN9886" s="33">
        <v>7.8364722549338368E-3</v>
      </c>
      <c r="AO9886" s="33">
        <v>6.9976241191723886E-4</v>
      </c>
    </row>
    <row r="9887" spans="39:41" x14ac:dyDescent="0.25">
      <c r="AM9887" s="2">
        <v>9884</v>
      </c>
      <c r="AN9887" s="33">
        <v>1.3286619713052141E-2</v>
      </c>
      <c r="AO9887" s="33">
        <v>5.2696511122099976E-4</v>
      </c>
    </row>
    <row r="9888" spans="39:41" x14ac:dyDescent="0.25">
      <c r="AM9888" s="2">
        <v>9885</v>
      </c>
      <c r="AN9888" s="33">
        <v>1.0474914865043913E-2</v>
      </c>
      <c r="AO9888" s="33">
        <v>7.6587593815015788E-4</v>
      </c>
    </row>
    <row r="9889" spans="39:41" x14ac:dyDescent="0.25">
      <c r="AM9889" s="2">
        <v>9886</v>
      </c>
      <c r="AN9889" s="33">
        <v>1.3729310111567174E-2</v>
      </c>
      <c r="AO9889" s="33">
        <v>1.0204402227521735E-3</v>
      </c>
    </row>
    <row r="9890" spans="39:41" x14ac:dyDescent="0.25">
      <c r="AM9890" s="2">
        <v>9887</v>
      </c>
      <c r="AN9890" s="33">
        <v>1.0819138922466746E-2</v>
      </c>
      <c r="AO9890" s="33">
        <v>3.6267622584847613E-4</v>
      </c>
    </row>
    <row r="9891" spans="39:41" x14ac:dyDescent="0.25">
      <c r="AM9891" s="2">
        <v>9888</v>
      </c>
      <c r="AN9891" s="33">
        <v>1.2083835961298433E-2</v>
      </c>
      <c r="AO9891" s="33">
        <v>8.9994027796652795E-4</v>
      </c>
    </row>
    <row r="9892" spans="39:41" x14ac:dyDescent="0.25">
      <c r="AM9892" s="2">
        <v>9889</v>
      </c>
      <c r="AN9892" s="33">
        <v>1.1696570627211682E-2</v>
      </c>
      <c r="AO9892" s="33">
        <v>9.7209003016548209E-4</v>
      </c>
    </row>
    <row r="9893" spans="39:41" x14ac:dyDescent="0.25">
      <c r="AM9893" s="2">
        <v>9890</v>
      </c>
      <c r="AN9893" s="33">
        <v>9.9761372186913649E-3</v>
      </c>
      <c r="AO9893" s="33">
        <v>4.2454049488455212E-4</v>
      </c>
    </row>
    <row r="9894" spans="39:41" x14ac:dyDescent="0.25">
      <c r="AM9894" s="2">
        <v>9891</v>
      </c>
      <c r="AN9894" s="33">
        <v>8.9998079952308234E-3</v>
      </c>
      <c r="AO9894" s="33">
        <v>6.4917625819044711E-4</v>
      </c>
    </row>
    <row r="9895" spans="39:41" x14ac:dyDescent="0.25">
      <c r="AM9895" s="2">
        <v>9892</v>
      </c>
      <c r="AN9895" s="33">
        <v>1.5968159518955319E-2</v>
      </c>
      <c r="AO9895" s="33">
        <v>1.5158737920329287E-3</v>
      </c>
    </row>
    <row r="9896" spans="39:41" x14ac:dyDescent="0.25">
      <c r="AM9896" s="2">
        <v>9893</v>
      </c>
      <c r="AN9896" s="33">
        <v>1.3194571389807053E-2</v>
      </c>
      <c r="AO9896" s="33">
        <v>1.1779609678956001E-3</v>
      </c>
    </row>
    <row r="9897" spans="39:41" x14ac:dyDescent="0.25">
      <c r="AM9897" s="2">
        <v>9894</v>
      </c>
      <c r="AN9897" s="33">
        <v>8.6631884554828915E-3</v>
      </c>
      <c r="AO9897" s="33">
        <v>5.835703052848942E-4</v>
      </c>
    </row>
    <row r="9898" spans="39:41" x14ac:dyDescent="0.25">
      <c r="AM9898" s="2">
        <v>9895</v>
      </c>
      <c r="AN9898" s="33">
        <v>1.170751155127053E-2</v>
      </c>
      <c r="AO9898" s="33">
        <v>4.8139056519860802E-4</v>
      </c>
    </row>
    <row r="9899" spans="39:41" x14ac:dyDescent="0.25">
      <c r="AM9899" s="2">
        <v>9896</v>
      </c>
      <c r="AN9899" s="33">
        <v>1.2667316580174554E-2</v>
      </c>
      <c r="AO9899" s="33">
        <v>9.1121184393954812E-4</v>
      </c>
    </row>
    <row r="9900" spans="39:41" x14ac:dyDescent="0.25">
      <c r="AM9900" s="2">
        <v>9897</v>
      </c>
      <c r="AN9900" s="33">
        <v>9.9512283562185055E-3</v>
      </c>
      <c r="AO9900" s="33">
        <v>7.6687206305752213E-4</v>
      </c>
    </row>
    <row r="9901" spans="39:41" x14ac:dyDescent="0.25">
      <c r="AM9901" s="2">
        <v>9898</v>
      </c>
      <c r="AN9901" s="33">
        <v>1.0406948529085728E-2</v>
      </c>
      <c r="AO9901" s="33">
        <v>8.5864724788421373E-4</v>
      </c>
    </row>
    <row r="9902" spans="39:41" x14ac:dyDescent="0.25">
      <c r="AM9902" s="2">
        <v>9899</v>
      </c>
      <c r="AN9902" s="33">
        <v>1.0206759497678903E-2</v>
      </c>
      <c r="AO9902" s="33">
        <v>3.4602936522185962E-4</v>
      </c>
    </row>
    <row r="9903" spans="39:41" x14ac:dyDescent="0.25">
      <c r="AM9903" s="2">
        <v>9900</v>
      </c>
      <c r="AN9903" s="33">
        <v>1.4610664134799311E-2</v>
      </c>
      <c r="AO9903" s="33">
        <v>1.0563821878510936E-3</v>
      </c>
    </row>
    <row r="9904" spans="39:41" x14ac:dyDescent="0.25">
      <c r="AM9904" s="2">
        <v>9901</v>
      </c>
      <c r="AN9904" s="33">
        <v>1.0411161220720744E-2</v>
      </c>
      <c r="AO9904" s="33">
        <v>9.9060570169127115E-4</v>
      </c>
    </row>
    <row r="9905" spans="39:41" x14ac:dyDescent="0.25">
      <c r="AM9905" s="2">
        <v>9902</v>
      </c>
      <c r="AN9905" s="33">
        <v>1.1832071384854195E-2</v>
      </c>
      <c r="AO9905" s="33">
        <v>8.6521810893136432E-4</v>
      </c>
    </row>
    <row r="9906" spans="39:41" x14ac:dyDescent="0.25">
      <c r="AM9906" s="2">
        <v>9903</v>
      </c>
      <c r="AN9906" s="33">
        <v>1.2337451421761202E-2</v>
      </c>
      <c r="AO9906" s="33">
        <v>6.4868987565384428E-4</v>
      </c>
    </row>
    <row r="9907" spans="39:41" x14ac:dyDescent="0.25">
      <c r="AM9907" s="2">
        <v>9904</v>
      </c>
      <c r="AN9907" s="33">
        <v>8.5046646078511083E-3</v>
      </c>
      <c r="AO9907" s="33">
        <v>5.9652443588128026E-4</v>
      </c>
    </row>
    <row r="9908" spans="39:41" x14ac:dyDescent="0.25">
      <c r="AM9908" s="2">
        <v>9905</v>
      </c>
      <c r="AN9908" s="33">
        <v>1.4178491848706939E-2</v>
      </c>
      <c r="AO9908" s="33">
        <v>9.6894249741848193E-4</v>
      </c>
    </row>
    <row r="9909" spans="39:41" x14ac:dyDescent="0.25">
      <c r="AM9909" s="2">
        <v>9906</v>
      </c>
      <c r="AN9909" s="33">
        <v>1.1476634683223056E-2</v>
      </c>
      <c r="AO9909" s="33">
        <v>8.7051314278023106E-4</v>
      </c>
    </row>
    <row r="9910" spans="39:41" x14ac:dyDescent="0.25">
      <c r="AM9910" s="2">
        <v>9907</v>
      </c>
      <c r="AN9910" s="33">
        <v>1.124959680981503E-2</v>
      </c>
      <c r="AO9910" s="33">
        <v>4.059678055069357E-4</v>
      </c>
    </row>
    <row r="9911" spans="39:41" x14ac:dyDescent="0.25">
      <c r="AM9911" s="2">
        <v>9908</v>
      </c>
      <c r="AN9911" s="33">
        <v>1.4881896514159446E-2</v>
      </c>
      <c r="AO9911" s="33">
        <v>1.0504586644055406E-3</v>
      </c>
    </row>
    <row r="9912" spans="39:41" x14ac:dyDescent="0.25">
      <c r="AM9912" s="2">
        <v>9909</v>
      </c>
      <c r="AN9912" s="33">
        <v>1.0452353122247226E-2</v>
      </c>
      <c r="AO9912" s="33">
        <v>5.5874662095469927E-4</v>
      </c>
    </row>
    <row r="9913" spans="39:41" x14ac:dyDescent="0.25">
      <c r="AM9913" s="2">
        <v>9910</v>
      </c>
      <c r="AN9913" s="33">
        <v>1.0484651104437186E-2</v>
      </c>
      <c r="AO9913" s="33">
        <v>6.8004479815655168E-4</v>
      </c>
    </row>
    <row r="9914" spans="39:41" x14ac:dyDescent="0.25">
      <c r="AM9914" s="2">
        <v>9911</v>
      </c>
      <c r="AN9914" s="33">
        <v>1.0481818892793008E-2</v>
      </c>
      <c r="AO9914" s="33">
        <v>8.3214076991207256E-4</v>
      </c>
    </row>
    <row r="9915" spans="39:41" x14ac:dyDescent="0.25">
      <c r="AM9915" s="2">
        <v>9912</v>
      </c>
      <c r="AN9915" s="33">
        <v>1.122578165277578E-2</v>
      </c>
      <c r="AO9915" s="33">
        <v>7.8320061092927045E-5</v>
      </c>
    </row>
    <row r="9916" spans="39:41" x14ac:dyDescent="0.25">
      <c r="AM9916" s="2">
        <v>9913</v>
      </c>
      <c r="AN9916" s="33">
        <v>1.4902074292625007E-2</v>
      </c>
      <c r="AO9916" s="33">
        <v>1.0626790994416634E-3</v>
      </c>
    </row>
    <row r="9917" spans="39:41" x14ac:dyDescent="0.25">
      <c r="AM9917" s="2">
        <v>9914</v>
      </c>
      <c r="AN9917" s="33">
        <v>1.2939454059882349E-2</v>
      </c>
      <c r="AO9917" s="33">
        <v>8.9337550653425613E-4</v>
      </c>
    </row>
    <row r="9918" spans="39:41" x14ac:dyDescent="0.25">
      <c r="AM9918" s="2">
        <v>9915</v>
      </c>
      <c r="AN9918" s="33">
        <v>1.1185647202563197E-2</v>
      </c>
      <c r="AO9918" s="33">
        <v>7.553260492486843E-4</v>
      </c>
    </row>
    <row r="9919" spans="39:41" x14ac:dyDescent="0.25">
      <c r="AM9919" s="2">
        <v>9916</v>
      </c>
      <c r="AN9919" s="33">
        <v>1.3313129310273295E-2</v>
      </c>
      <c r="AO9919" s="33">
        <v>1.1025202249454621E-3</v>
      </c>
    </row>
    <row r="9920" spans="39:41" x14ac:dyDescent="0.25">
      <c r="AM9920" s="2">
        <v>9917</v>
      </c>
      <c r="AN9920" s="33">
        <v>1.1895807174020461E-2</v>
      </c>
      <c r="AO9920" s="33">
        <v>6.5199747791923129E-4</v>
      </c>
    </row>
    <row r="9921" spans="39:41" x14ac:dyDescent="0.25">
      <c r="AM9921" s="2">
        <v>9918</v>
      </c>
      <c r="AN9921" s="33">
        <v>1.1055323789963999E-2</v>
      </c>
      <c r="AO9921" s="33">
        <v>6.0666224061173811E-4</v>
      </c>
    </row>
    <row r="9922" spans="39:41" x14ac:dyDescent="0.25">
      <c r="AM9922" s="2">
        <v>9919</v>
      </c>
      <c r="AN9922" s="33">
        <v>1.4599992765491154E-2</v>
      </c>
      <c r="AO9922" s="33">
        <v>1.4429754313922689E-3</v>
      </c>
    </row>
    <row r="9923" spans="39:41" x14ac:dyDescent="0.25">
      <c r="AM9923" s="2">
        <v>9920</v>
      </c>
      <c r="AN9923" s="33">
        <v>9.3941228446698822E-3</v>
      </c>
      <c r="AO9923" s="33">
        <v>5.7615932512714138E-4</v>
      </c>
    </row>
    <row r="9924" spans="39:41" x14ac:dyDescent="0.25">
      <c r="AM9924" s="2">
        <v>9921</v>
      </c>
      <c r="AN9924" s="33">
        <v>1.029890863280066E-2</v>
      </c>
      <c r="AO9924" s="33">
        <v>1.0146580674432262E-3</v>
      </c>
    </row>
    <row r="9925" spans="39:41" x14ac:dyDescent="0.25">
      <c r="AM9925" s="2">
        <v>9922</v>
      </c>
      <c r="AN9925" s="33">
        <v>8.9999513183077542E-3</v>
      </c>
      <c r="AO9925" s="33">
        <v>7.5518623473580428E-4</v>
      </c>
    </row>
    <row r="9926" spans="39:41" x14ac:dyDescent="0.25">
      <c r="AM9926" s="2">
        <v>9923</v>
      </c>
      <c r="AN9926" s="33">
        <v>1.2654647867125762E-2</v>
      </c>
      <c r="AO9926" s="33">
        <v>8.4991501718760922E-4</v>
      </c>
    </row>
    <row r="9927" spans="39:41" x14ac:dyDescent="0.25">
      <c r="AM9927" s="2">
        <v>9924</v>
      </c>
      <c r="AN9927" s="33">
        <v>8.3455809098248821E-3</v>
      </c>
      <c r="AO9927" s="33">
        <v>3.8011885111058173E-4</v>
      </c>
    </row>
    <row r="9928" spans="39:41" x14ac:dyDescent="0.25">
      <c r="AM9928" s="2">
        <v>9925</v>
      </c>
      <c r="AN9928" s="33">
        <v>9.9133240159952531E-3</v>
      </c>
      <c r="AO9928" s="33">
        <v>8.8592280711711948E-4</v>
      </c>
    </row>
    <row r="9929" spans="39:41" x14ac:dyDescent="0.25">
      <c r="AM9929" s="2">
        <v>9926</v>
      </c>
      <c r="AN9929" s="33">
        <v>1.051959381405578E-2</v>
      </c>
      <c r="AO9929" s="33">
        <v>6.5577573494471472E-4</v>
      </c>
    </row>
    <row r="9930" spans="39:41" x14ac:dyDescent="0.25">
      <c r="AM9930" s="2">
        <v>9927</v>
      </c>
      <c r="AN9930" s="33">
        <v>8.8608968743492094E-3</v>
      </c>
      <c r="AO9930" s="33">
        <v>3.2133356203689926E-4</v>
      </c>
    </row>
    <row r="9931" spans="39:41" x14ac:dyDescent="0.25">
      <c r="AM9931" s="2">
        <v>9928</v>
      </c>
      <c r="AN9931" s="33">
        <v>1.2823561521647127E-2</v>
      </c>
      <c r="AO9931" s="33">
        <v>8.1993631954267938E-4</v>
      </c>
    </row>
    <row r="9932" spans="39:41" x14ac:dyDescent="0.25">
      <c r="AM9932" s="2">
        <v>9929</v>
      </c>
      <c r="AN9932" s="33">
        <v>1.0448974493739648E-2</v>
      </c>
      <c r="AO9932" s="33">
        <v>3.3980012750248027E-4</v>
      </c>
    </row>
    <row r="9933" spans="39:41" x14ac:dyDescent="0.25">
      <c r="AM9933" s="2">
        <v>9930</v>
      </c>
      <c r="AN9933" s="33">
        <v>1.1881787066388714E-2</v>
      </c>
      <c r="AO9933" s="33">
        <v>4.1060963977178561E-4</v>
      </c>
    </row>
    <row r="9934" spans="39:41" x14ac:dyDescent="0.25">
      <c r="AM9934" s="2">
        <v>9931</v>
      </c>
      <c r="AN9934" s="33">
        <v>1.3778128117947194E-2</v>
      </c>
      <c r="AO9934" s="33">
        <v>1.3656656757469628E-3</v>
      </c>
    </row>
    <row r="9935" spans="39:41" x14ac:dyDescent="0.25">
      <c r="AM9935" s="2">
        <v>9932</v>
      </c>
      <c r="AN9935" s="33">
        <v>9.8415801537079101E-3</v>
      </c>
      <c r="AO9935" s="33">
        <v>7.9295590724243171E-4</v>
      </c>
    </row>
    <row r="9936" spans="39:41" x14ac:dyDescent="0.25">
      <c r="AM9936" s="2">
        <v>9933</v>
      </c>
      <c r="AN9936" s="33">
        <v>7.984431478912422E-3</v>
      </c>
      <c r="AO9936" s="33">
        <v>2.7001402702794629E-4</v>
      </c>
    </row>
    <row r="9937" spans="39:41" x14ac:dyDescent="0.25">
      <c r="AM9937" s="2">
        <v>9934</v>
      </c>
      <c r="AN9937" s="33">
        <v>9.8652335702539857E-3</v>
      </c>
      <c r="AO9937" s="33">
        <v>7.0441222625572039E-4</v>
      </c>
    </row>
    <row r="9938" spans="39:41" x14ac:dyDescent="0.25">
      <c r="AM9938" s="2">
        <v>9935</v>
      </c>
      <c r="AN9938" s="33">
        <v>1.2070270198915779E-2</v>
      </c>
      <c r="AO9938" s="33">
        <v>1.129478871657131E-3</v>
      </c>
    </row>
    <row r="9939" spans="39:41" x14ac:dyDescent="0.25">
      <c r="AM9939" s="2">
        <v>9936</v>
      </c>
      <c r="AN9939" s="33">
        <v>1.1309475112571306E-2</v>
      </c>
      <c r="AO9939" s="33">
        <v>9.8698248875358856E-4</v>
      </c>
    </row>
    <row r="9940" spans="39:41" x14ac:dyDescent="0.25">
      <c r="AM9940" s="2">
        <v>9937</v>
      </c>
      <c r="AN9940" s="33">
        <v>1.1514114385959597E-2</v>
      </c>
      <c r="AO9940" s="33">
        <v>1.5518719002914337E-4</v>
      </c>
    </row>
    <row r="9941" spans="39:41" x14ac:dyDescent="0.25">
      <c r="AM9941" s="2">
        <v>9938</v>
      </c>
      <c r="AN9941" s="33">
        <v>1.0312369370984854E-2</v>
      </c>
      <c r="AO9941" s="33">
        <v>7.6041421022672606E-4</v>
      </c>
    </row>
    <row r="9942" spans="39:41" x14ac:dyDescent="0.25">
      <c r="AM9942" s="2">
        <v>9939</v>
      </c>
      <c r="AN9942" s="33">
        <v>1.4414208835918355E-2</v>
      </c>
      <c r="AO9942" s="33">
        <v>1.1280586407232524E-3</v>
      </c>
    </row>
    <row r="9943" spans="39:41" x14ac:dyDescent="0.25">
      <c r="AM9943" s="2">
        <v>9940</v>
      </c>
      <c r="AN9943" s="33">
        <v>1.0574089730612113E-2</v>
      </c>
      <c r="AO9943" s="33">
        <v>6.2579461368985018E-4</v>
      </c>
    </row>
    <row r="9944" spans="39:41" x14ac:dyDescent="0.25">
      <c r="AM9944" s="2">
        <v>9941</v>
      </c>
      <c r="AN9944" s="33">
        <v>1.2496969641500804E-2</v>
      </c>
      <c r="AO9944" s="33">
        <v>1.0532916851881836E-3</v>
      </c>
    </row>
    <row r="9945" spans="39:41" x14ac:dyDescent="0.25">
      <c r="AM9945" s="2">
        <v>9942</v>
      </c>
      <c r="AN9945" s="33">
        <v>1.4556251198665788E-2</v>
      </c>
      <c r="AO9945" s="33">
        <v>1.2613929734017516E-3</v>
      </c>
    </row>
    <row r="9946" spans="39:41" x14ac:dyDescent="0.25">
      <c r="AM9946" s="2">
        <v>9943</v>
      </c>
      <c r="AN9946" s="33">
        <v>1.3657145361987089E-2</v>
      </c>
      <c r="AO9946" s="33">
        <v>4.6919097812800228E-4</v>
      </c>
    </row>
    <row r="9947" spans="39:41" x14ac:dyDescent="0.25">
      <c r="AM9947" s="2">
        <v>9944</v>
      </c>
      <c r="AN9947" s="33">
        <v>1.1464503941768399E-2</v>
      </c>
      <c r="AO9947" s="33">
        <v>7.0916533053480113E-4</v>
      </c>
    </row>
    <row r="9948" spans="39:41" x14ac:dyDescent="0.25">
      <c r="AM9948" s="2">
        <v>9945</v>
      </c>
      <c r="AN9948" s="33">
        <v>1.2588977945718772E-2</v>
      </c>
      <c r="AO9948" s="33">
        <v>8.8891465374693439E-4</v>
      </c>
    </row>
    <row r="9949" spans="39:41" x14ac:dyDescent="0.25">
      <c r="AM9949" s="2">
        <v>9946</v>
      </c>
      <c r="AN9949" s="33">
        <v>1.437782493117196E-2</v>
      </c>
      <c r="AO9949" s="33">
        <v>1.2587117225262372E-3</v>
      </c>
    </row>
    <row r="9950" spans="39:41" x14ac:dyDescent="0.25">
      <c r="AM9950" s="2">
        <v>9947</v>
      </c>
      <c r="AN9950" s="33">
        <v>1.7022081645652179E-2</v>
      </c>
      <c r="AO9950" s="33">
        <v>1.1753612788794536E-3</v>
      </c>
    </row>
    <row r="9951" spans="39:41" x14ac:dyDescent="0.25">
      <c r="AM9951" s="2">
        <v>9948</v>
      </c>
      <c r="AN9951" s="33">
        <v>1.3220774071471552E-2</v>
      </c>
      <c r="AO9951" s="33">
        <v>1.0909695896737402E-3</v>
      </c>
    </row>
    <row r="9952" spans="39:41" x14ac:dyDescent="0.25">
      <c r="AM9952" s="2">
        <v>9949</v>
      </c>
      <c r="AN9952" s="33">
        <v>1.3592629229971337E-2</v>
      </c>
      <c r="AO9952" s="33">
        <v>9.885900294233222E-4</v>
      </c>
    </row>
    <row r="9953" spans="39:41" x14ac:dyDescent="0.25">
      <c r="AM9953" s="2">
        <v>9950</v>
      </c>
      <c r="AN9953" s="33">
        <v>9.6512186357592383E-3</v>
      </c>
      <c r="AO9953" s="33">
        <v>7.4276641182270599E-4</v>
      </c>
    </row>
    <row r="9954" spans="39:41" x14ac:dyDescent="0.25">
      <c r="AM9954" s="2">
        <v>9951</v>
      </c>
      <c r="AN9954" s="33">
        <v>1.4641511695310399E-2</v>
      </c>
      <c r="AO9954" s="33">
        <v>1.1330520133541104E-3</v>
      </c>
    </row>
    <row r="9955" spans="39:41" x14ac:dyDescent="0.25">
      <c r="AM9955" s="2">
        <v>9952</v>
      </c>
      <c r="AN9955" s="33">
        <v>1.1011594229875835E-2</v>
      </c>
      <c r="AO9955" s="33">
        <v>4.0307534293058711E-4</v>
      </c>
    </row>
    <row r="9956" spans="39:41" x14ac:dyDescent="0.25">
      <c r="AM9956" s="2">
        <v>9953</v>
      </c>
      <c r="AN9956" s="33">
        <v>9.4770652573743491E-3</v>
      </c>
      <c r="AO9956" s="33">
        <v>3.6104334400710131E-4</v>
      </c>
    </row>
    <row r="9957" spans="39:41" x14ac:dyDescent="0.25">
      <c r="AM9957" s="2">
        <v>9954</v>
      </c>
      <c r="AN9957" s="33">
        <v>7.7280255448462735E-3</v>
      </c>
      <c r="AO9957" s="33">
        <v>5.2470685828723588E-4</v>
      </c>
    </row>
    <row r="9958" spans="39:41" x14ac:dyDescent="0.25">
      <c r="AM9958" s="2">
        <v>9955</v>
      </c>
      <c r="AN9958" s="33">
        <v>1.340727464384168E-2</v>
      </c>
      <c r="AO9958" s="33">
        <v>1.2992579644501134E-3</v>
      </c>
    </row>
    <row r="9959" spans="39:41" x14ac:dyDescent="0.25">
      <c r="AM9959" s="2">
        <v>9956</v>
      </c>
      <c r="AN9959" s="33">
        <v>1.3975396965743639E-2</v>
      </c>
      <c r="AO9959" s="33">
        <v>1.2995305394464204E-3</v>
      </c>
    </row>
    <row r="9960" spans="39:41" x14ac:dyDescent="0.25">
      <c r="AM9960" s="2">
        <v>9957</v>
      </c>
      <c r="AN9960" s="33">
        <v>1.1866712612343684E-2</v>
      </c>
      <c r="AO9960" s="33">
        <v>5.6906359912114123E-4</v>
      </c>
    </row>
    <row r="9961" spans="39:41" x14ac:dyDescent="0.25">
      <c r="AM9961" s="2">
        <v>9958</v>
      </c>
      <c r="AN9961" s="33">
        <v>1.1043565998829533E-2</v>
      </c>
      <c r="AO9961" s="33">
        <v>6.5452630901807198E-4</v>
      </c>
    </row>
    <row r="9962" spans="39:41" x14ac:dyDescent="0.25">
      <c r="AM9962" s="2">
        <v>9959</v>
      </c>
      <c r="AN9962" s="33">
        <v>9.4886578267205698E-3</v>
      </c>
      <c r="AO9962" s="33">
        <v>7.6429995615327165E-4</v>
      </c>
    </row>
    <row r="9963" spans="39:41" x14ac:dyDescent="0.25">
      <c r="AM9963" s="2">
        <v>9960</v>
      </c>
      <c r="AN9963" s="33">
        <v>1.0336702289592964E-2</v>
      </c>
      <c r="AO9963" s="33">
        <v>8.5314681270879441E-4</v>
      </c>
    </row>
    <row r="9964" spans="39:41" x14ac:dyDescent="0.25">
      <c r="AM9964" s="2">
        <v>9961</v>
      </c>
      <c r="AN9964" s="33">
        <v>1.5752839631384317E-2</v>
      </c>
      <c r="AO9964" s="33">
        <v>1.5037300736339852E-3</v>
      </c>
    </row>
    <row r="9965" spans="39:41" x14ac:dyDescent="0.25">
      <c r="AM9965" s="2">
        <v>9962</v>
      </c>
      <c r="AN9965" s="33">
        <v>1.3034983400421129E-2</v>
      </c>
      <c r="AO9965" s="33">
        <v>9.8249053035796645E-4</v>
      </c>
    </row>
    <row r="9966" spans="39:41" x14ac:dyDescent="0.25">
      <c r="AM9966" s="2">
        <v>9963</v>
      </c>
      <c r="AN9966" s="33">
        <v>1.2412362266386539E-2</v>
      </c>
      <c r="AO9966" s="33">
        <v>5.1896909900373933E-4</v>
      </c>
    </row>
    <row r="9967" spans="39:41" x14ac:dyDescent="0.25">
      <c r="AM9967" s="2">
        <v>9964</v>
      </c>
      <c r="AN9967" s="33">
        <v>1.3399460830411821E-2</v>
      </c>
      <c r="AO9967" s="33">
        <v>9.936184302622459E-4</v>
      </c>
    </row>
    <row r="9968" spans="39:41" x14ac:dyDescent="0.25">
      <c r="AM9968" s="2">
        <v>9965</v>
      </c>
      <c r="AN9968" s="33">
        <v>1.1999512276442406E-2</v>
      </c>
      <c r="AO9968" s="33">
        <v>1.0824767172855671E-3</v>
      </c>
    </row>
    <row r="9969" spans="39:41" x14ac:dyDescent="0.25">
      <c r="AM9969" s="2">
        <v>9966</v>
      </c>
      <c r="AN9969" s="33">
        <v>1.3740500246141043E-2</v>
      </c>
      <c r="AO9969" s="33">
        <v>1.0261541270359963E-3</v>
      </c>
    </row>
    <row r="9970" spans="39:41" x14ac:dyDescent="0.25">
      <c r="AM9970" s="2">
        <v>9967</v>
      </c>
      <c r="AN9970" s="33">
        <v>1.4874784212335814E-2</v>
      </c>
      <c r="AO9970" s="33">
        <v>1.2115551136409155E-3</v>
      </c>
    </row>
    <row r="9971" spans="39:41" x14ac:dyDescent="0.25">
      <c r="AM9971" s="2">
        <v>9968</v>
      </c>
      <c r="AN9971" s="33">
        <v>1.342072481256773E-2</v>
      </c>
      <c r="AO9971" s="33">
        <v>9.2314005846226978E-4</v>
      </c>
    </row>
    <row r="9972" spans="39:41" x14ac:dyDescent="0.25">
      <c r="AM9972" s="2">
        <v>9969</v>
      </c>
      <c r="AN9972" s="33">
        <v>1.4237027977100357E-2</v>
      </c>
      <c r="AO9972" s="33">
        <v>1.2771474774746921E-3</v>
      </c>
    </row>
    <row r="9973" spans="39:41" x14ac:dyDescent="0.25">
      <c r="AM9973" s="2">
        <v>9970</v>
      </c>
      <c r="AN9973" s="33">
        <v>1.0530923216644754E-2</v>
      </c>
      <c r="AO9973" s="33">
        <v>7.927695606330849E-4</v>
      </c>
    </row>
    <row r="9974" spans="39:41" x14ac:dyDescent="0.25">
      <c r="AM9974" s="2">
        <v>9971</v>
      </c>
      <c r="AN9974" s="33">
        <v>1.0379416460297785E-2</v>
      </c>
      <c r="AO9974" s="33">
        <v>7.2891835369848158E-4</v>
      </c>
    </row>
    <row r="9975" spans="39:41" x14ac:dyDescent="0.25">
      <c r="AM9975" s="2">
        <v>9972</v>
      </c>
      <c r="AN9975" s="33">
        <v>8.4631213084092622E-3</v>
      </c>
      <c r="AO9975" s="33">
        <v>5.5839903728014057E-4</v>
      </c>
    </row>
    <row r="9976" spans="39:41" x14ac:dyDescent="0.25">
      <c r="AM9976" s="2">
        <v>9973</v>
      </c>
      <c r="AN9976" s="33">
        <v>1.1281315637665063E-2</v>
      </c>
      <c r="AO9976" s="33">
        <v>4.7537607970460854E-4</v>
      </c>
    </row>
    <row r="9977" spans="39:41" x14ac:dyDescent="0.25">
      <c r="AM9977" s="2">
        <v>9974</v>
      </c>
      <c r="AN9977" s="33">
        <v>1.1415317524208985E-2</v>
      </c>
      <c r="AO9977" s="33">
        <v>9.0244170679965562E-4</v>
      </c>
    </row>
    <row r="9978" spans="39:41" x14ac:dyDescent="0.25">
      <c r="AM9978" s="2">
        <v>9975</v>
      </c>
      <c r="AN9978" s="33">
        <v>1.0646036698577934E-2</v>
      </c>
      <c r="AO9978" s="33">
        <v>9.0524866055555176E-4</v>
      </c>
    </row>
    <row r="9979" spans="39:41" x14ac:dyDescent="0.25">
      <c r="AM9979" s="2">
        <v>9976</v>
      </c>
      <c r="AN9979" s="33">
        <v>1.1001998144757523E-2</v>
      </c>
      <c r="AO9979" s="33">
        <v>1.0425783995472264E-3</v>
      </c>
    </row>
    <row r="9980" spans="39:41" x14ac:dyDescent="0.25">
      <c r="AM9980" s="2">
        <v>9977</v>
      </c>
      <c r="AN9980" s="33">
        <v>1.2835087922227706E-2</v>
      </c>
      <c r="AO9980" s="33">
        <v>1.3012619898048589E-3</v>
      </c>
    </row>
    <row r="9981" spans="39:41" x14ac:dyDescent="0.25">
      <c r="AM9981" s="2">
        <v>9978</v>
      </c>
      <c r="AN9981" s="33">
        <v>9.7249266273731188E-3</v>
      </c>
      <c r="AO9981" s="33">
        <v>7.2329503376559806E-4</v>
      </c>
    </row>
    <row r="9982" spans="39:41" x14ac:dyDescent="0.25">
      <c r="AM9982" s="2">
        <v>9979</v>
      </c>
      <c r="AN9982" s="33">
        <v>1.1267775310583743E-2</v>
      </c>
      <c r="AO9982" s="33">
        <v>7.2240678996317211E-4</v>
      </c>
    </row>
    <row r="9983" spans="39:41" x14ac:dyDescent="0.25">
      <c r="AM9983" s="2">
        <v>9980</v>
      </c>
      <c r="AN9983" s="33">
        <v>1.0876472110966831E-2</v>
      </c>
      <c r="AO9983" s="33">
        <v>7.4257454416777201E-4</v>
      </c>
    </row>
    <row r="9984" spans="39:41" x14ac:dyDescent="0.25">
      <c r="AM9984" s="2">
        <v>9981</v>
      </c>
      <c r="AN9984" s="33">
        <v>1.0016437626298544E-2</v>
      </c>
      <c r="AO9984" s="33">
        <v>5.03830800936325E-4</v>
      </c>
    </row>
    <row r="9985" spans="39:41" x14ac:dyDescent="0.25">
      <c r="AM9985" s="2">
        <v>9982</v>
      </c>
      <c r="AN9985" s="33">
        <v>1.0548107092707549E-2</v>
      </c>
      <c r="AO9985" s="33">
        <v>8.3852754509376401E-4</v>
      </c>
    </row>
    <row r="9986" spans="39:41" x14ac:dyDescent="0.25">
      <c r="AM9986" s="2">
        <v>9983</v>
      </c>
      <c r="AN9986" s="33">
        <v>1.1457966569261518E-2</v>
      </c>
      <c r="AO9986" s="33">
        <v>6.8498809629984698E-4</v>
      </c>
    </row>
    <row r="9987" spans="39:41" x14ac:dyDescent="0.25">
      <c r="AM9987" s="2">
        <v>9984</v>
      </c>
      <c r="AN9987" s="33">
        <v>1.1181076619682359E-2</v>
      </c>
      <c r="AO9987" s="33">
        <v>7.0733158782493484E-4</v>
      </c>
    </row>
    <row r="9988" spans="39:41" x14ac:dyDescent="0.25">
      <c r="AM9988" s="2">
        <v>9985</v>
      </c>
      <c r="AN9988" s="33">
        <v>1.2598805416398627E-2</v>
      </c>
      <c r="AO9988" s="33">
        <v>1.0947856924430998E-3</v>
      </c>
    </row>
    <row r="9989" spans="39:41" x14ac:dyDescent="0.25">
      <c r="AM9989" s="2">
        <v>9986</v>
      </c>
      <c r="AN9989" s="33">
        <v>1.0084406058701513E-2</v>
      </c>
      <c r="AO9989" s="33">
        <v>5.1111550830691395E-4</v>
      </c>
    </row>
    <row r="9990" spans="39:41" x14ac:dyDescent="0.25">
      <c r="AM9990" s="2">
        <v>9987</v>
      </c>
      <c r="AN9990" s="33">
        <v>1.0811774882857415E-2</v>
      </c>
      <c r="AO9990" s="33">
        <v>7.6127299338455562E-4</v>
      </c>
    </row>
    <row r="9991" spans="39:41" x14ac:dyDescent="0.25">
      <c r="AM9991" s="2">
        <v>9988</v>
      </c>
      <c r="AN9991" s="33">
        <v>1.2095105122990378E-2</v>
      </c>
      <c r="AO9991" s="33">
        <v>1.2789885939401167E-3</v>
      </c>
    </row>
    <row r="9992" spans="39:41" x14ac:dyDescent="0.25">
      <c r="AM9992" s="2">
        <v>9989</v>
      </c>
      <c r="AN9992" s="33">
        <v>9.5484599267588888E-3</v>
      </c>
      <c r="AO9992" s="33">
        <v>8.889121717977845E-4</v>
      </c>
    </row>
    <row r="9993" spans="39:41" x14ac:dyDescent="0.25">
      <c r="AM9993" s="2">
        <v>9990</v>
      </c>
      <c r="AN9993" s="33">
        <v>1.0174371015934726E-2</v>
      </c>
      <c r="AO9993" s="33">
        <v>7.376495838303744E-4</v>
      </c>
    </row>
    <row r="9994" spans="39:41" x14ac:dyDescent="0.25">
      <c r="AM9994" s="2">
        <v>9991</v>
      </c>
      <c r="AN9994" s="33">
        <v>1.0624099113064575E-2</v>
      </c>
      <c r="AO9994" s="33">
        <v>5.9266436907824758E-4</v>
      </c>
    </row>
    <row r="9995" spans="39:41" x14ac:dyDescent="0.25">
      <c r="AM9995" s="2">
        <v>9992</v>
      </c>
      <c r="AN9995" s="33">
        <v>1.2427338309663428E-2</v>
      </c>
      <c r="AO9995" s="33">
        <v>9.1674603843891315E-4</v>
      </c>
    </row>
    <row r="9996" spans="39:41" x14ac:dyDescent="0.25">
      <c r="AM9996" s="2">
        <v>9993</v>
      </c>
      <c r="AN9996" s="33">
        <v>1.5434342242424251E-2</v>
      </c>
      <c r="AO9996" s="33">
        <v>1.5460110751393252E-3</v>
      </c>
    </row>
    <row r="9997" spans="39:41" x14ac:dyDescent="0.25">
      <c r="AM9997" s="2">
        <v>9994</v>
      </c>
      <c r="AN9997" s="33">
        <v>1.4643223330675595E-2</v>
      </c>
      <c r="AO9997" s="33">
        <v>1.3762106594293576E-3</v>
      </c>
    </row>
    <row r="9998" spans="39:41" x14ac:dyDescent="0.25">
      <c r="AM9998" s="2">
        <v>9995</v>
      </c>
      <c r="AN9998" s="33">
        <v>1.3695610553380169E-2</v>
      </c>
      <c r="AO9998" s="33">
        <v>1.3717707126429887E-3</v>
      </c>
    </row>
    <row r="9999" spans="39:41" x14ac:dyDescent="0.25">
      <c r="AM9999" s="2">
        <v>9996</v>
      </c>
      <c r="AN9999" s="33">
        <v>8.4456366619254254E-3</v>
      </c>
      <c r="AO9999" s="33">
        <v>6.3892396945413048E-4</v>
      </c>
    </row>
    <row r="10000" spans="39:41" x14ac:dyDescent="0.25">
      <c r="AM10000" s="2">
        <v>9997</v>
      </c>
      <c r="AN10000" s="33">
        <v>1.0104337962432628E-2</v>
      </c>
      <c r="AO10000" s="33">
        <v>7.9024377929831353E-4</v>
      </c>
    </row>
    <row r="10001" spans="39:41" x14ac:dyDescent="0.25">
      <c r="AM10001" s="2">
        <v>9998</v>
      </c>
      <c r="AN10001" s="33">
        <v>9.6059286471831765E-3</v>
      </c>
      <c r="AO10001" s="33">
        <v>4.3518052795104342E-4</v>
      </c>
    </row>
    <row r="10002" spans="39:41" x14ac:dyDescent="0.25">
      <c r="AM10002" s="2">
        <v>9999</v>
      </c>
      <c r="AN10002" s="33">
        <v>2.3154548541213932E-2</v>
      </c>
      <c r="AO10002" s="33">
        <v>2.37695167002855E-3</v>
      </c>
    </row>
    <row r="10003" spans="39:41" x14ac:dyDescent="0.25">
      <c r="AM10003" s="2">
        <v>10000</v>
      </c>
      <c r="AN10003" s="33">
        <v>1.272780390749189E-2</v>
      </c>
      <c r="AO10003" s="33">
        <v>1.090556732479691E-3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D5B47-27A8-498B-8042-8B42BD1D2408}">
  <dimension ref="C3:L254"/>
  <sheetViews>
    <sheetView topLeftCell="A239" workbookViewId="0">
      <selection activeCell="G253" sqref="G3:G253"/>
    </sheetView>
  </sheetViews>
  <sheetFormatPr defaultRowHeight="14.4" x14ac:dyDescent="0.3"/>
  <cols>
    <col min="3" max="3" width="10.33203125" bestFit="1" customWidth="1"/>
    <col min="6" max="6" width="12.44140625" customWidth="1"/>
  </cols>
  <sheetData>
    <row r="3" spans="3:12" x14ac:dyDescent="0.3">
      <c r="C3" s="2" t="s">
        <v>0</v>
      </c>
      <c r="F3" s="2" t="s">
        <v>0</v>
      </c>
      <c r="H3" s="2" t="s">
        <v>1</v>
      </c>
      <c r="I3" s="2" t="s">
        <v>2</v>
      </c>
      <c r="J3" s="2" t="s">
        <v>3</v>
      </c>
      <c r="K3" s="2" t="s">
        <v>4</v>
      </c>
      <c r="L3" t="s">
        <v>5</v>
      </c>
    </row>
    <row r="4" spans="3:12" x14ac:dyDescent="0.3">
      <c r="C4" s="5">
        <v>46101</v>
      </c>
      <c r="D4" t="b">
        <f>C4=F4</f>
        <v>1</v>
      </c>
      <c r="F4" s="8">
        <v>46101</v>
      </c>
      <c r="H4" s="6">
        <v>69921.8</v>
      </c>
      <c r="I4" s="7">
        <v>71347.100000000006</v>
      </c>
      <c r="J4" s="6">
        <v>69405</v>
      </c>
      <c r="K4" s="7" t="s">
        <v>16</v>
      </c>
      <c r="L4" s="10">
        <v>8.6E-3</v>
      </c>
    </row>
    <row r="5" spans="3:12" x14ac:dyDescent="0.3">
      <c r="C5" s="5">
        <v>46100</v>
      </c>
      <c r="D5" t="b">
        <f t="shared" ref="D5:D68" si="0">C5=F5</f>
        <v>1</v>
      </c>
      <c r="F5" s="8">
        <v>46100</v>
      </c>
      <c r="H5" s="6">
        <v>71246.600000000006</v>
      </c>
      <c r="I5" s="7">
        <v>71574.899999999994</v>
      </c>
      <c r="J5" s="6">
        <v>68814.399999999994</v>
      </c>
      <c r="K5" s="7" t="s">
        <v>17</v>
      </c>
      <c r="L5" s="10">
        <v>-1.8700000000000001E-2</v>
      </c>
    </row>
    <row r="6" spans="3:12" x14ac:dyDescent="0.3">
      <c r="C6" s="5">
        <v>46099</v>
      </c>
      <c r="D6" t="b">
        <f t="shared" si="0"/>
        <v>1</v>
      </c>
      <c r="F6" s="8">
        <v>46099</v>
      </c>
      <c r="H6" s="6">
        <v>73912.800000000003</v>
      </c>
      <c r="I6" s="7">
        <v>74642.2</v>
      </c>
      <c r="J6" s="6">
        <v>70501.3</v>
      </c>
      <c r="K6" s="7" t="s">
        <v>18</v>
      </c>
      <c r="L6" s="10">
        <v>-3.5999999999999997E-2</v>
      </c>
    </row>
    <row r="7" spans="3:12" x14ac:dyDescent="0.3">
      <c r="C7" s="5">
        <v>46098</v>
      </c>
      <c r="D7" t="b">
        <f t="shared" si="0"/>
        <v>1</v>
      </c>
      <c r="F7" s="8">
        <v>46098</v>
      </c>
      <c r="H7" s="6">
        <v>74864.800000000003</v>
      </c>
      <c r="I7" s="7">
        <v>75991.199999999997</v>
      </c>
      <c r="J7" s="6">
        <v>73460.7</v>
      </c>
      <c r="K7" s="7" t="s">
        <v>19</v>
      </c>
      <c r="L7" s="10">
        <v>-1.2800000000000001E-2</v>
      </c>
    </row>
    <row r="8" spans="3:12" x14ac:dyDescent="0.3">
      <c r="C8" s="5">
        <v>46097</v>
      </c>
      <c r="D8" t="b">
        <f t="shared" si="0"/>
        <v>1</v>
      </c>
      <c r="F8" s="8">
        <v>46097</v>
      </c>
      <c r="H8" s="6">
        <v>72816.2</v>
      </c>
      <c r="I8" s="7">
        <v>74900.7</v>
      </c>
      <c r="J8" s="6">
        <v>72307.199999999997</v>
      </c>
      <c r="K8" s="7" t="s">
        <v>20</v>
      </c>
      <c r="L8" s="10">
        <v>2.81E-2</v>
      </c>
    </row>
    <row r="9" spans="3:12" x14ac:dyDescent="0.3">
      <c r="C9" s="5">
        <v>46094</v>
      </c>
      <c r="D9" t="b">
        <f t="shared" si="0"/>
        <v>1</v>
      </c>
      <c r="F9" s="8">
        <v>46094</v>
      </c>
      <c r="H9" s="6">
        <v>70500.3</v>
      </c>
      <c r="I9" s="7">
        <v>73904.100000000006</v>
      </c>
      <c r="J9" s="6">
        <v>70396.399999999994</v>
      </c>
      <c r="K9" s="7" t="s">
        <v>21</v>
      </c>
      <c r="L9" s="10">
        <v>6.6E-3</v>
      </c>
    </row>
    <row r="10" spans="3:12" x14ac:dyDescent="0.3">
      <c r="C10" s="5">
        <v>46093</v>
      </c>
      <c r="D10" t="b">
        <f t="shared" si="0"/>
        <v>1</v>
      </c>
      <c r="F10" s="8">
        <v>46093</v>
      </c>
      <c r="H10" s="6">
        <v>70192</v>
      </c>
      <c r="I10" s="7">
        <v>70734.100000000006</v>
      </c>
      <c r="J10" s="6">
        <v>69226.5</v>
      </c>
      <c r="K10" s="7" t="s">
        <v>22</v>
      </c>
      <c r="L10" s="10">
        <v>4.3E-3</v>
      </c>
    </row>
    <row r="11" spans="3:12" x14ac:dyDescent="0.3">
      <c r="C11" s="5">
        <v>46092</v>
      </c>
      <c r="D11" t="b">
        <f t="shared" si="0"/>
        <v>1</v>
      </c>
      <c r="F11" s="8">
        <v>46092</v>
      </c>
      <c r="H11" s="6">
        <v>69952.399999999994</v>
      </c>
      <c r="I11" s="7">
        <v>71317.5</v>
      </c>
      <c r="J11" s="6">
        <v>68997.5</v>
      </c>
      <c r="K11" s="7" t="s">
        <v>23</v>
      </c>
      <c r="L11" s="10">
        <v>3.3999999999999998E-3</v>
      </c>
    </row>
    <row r="12" spans="3:12" x14ac:dyDescent="0.3">
      <c r="C12" s="5">
        <v>46091</v>
      </c>
      <c r="D12" t="b">
        <f t="shared" si="0"/>
        <v>1</v>
      </c>
      <c r="F12" s="8">
        <v>46091</v>
      </c>
      <c r="H12" s="6">
        <v>68424.7</v>
      </c>
      <c r="I12" s="7">
        <v>71742.899999999994</v>
      </c>
      <c r="J12" s="6">
        <v>68401.8</v>
      </c>
      <c r="K12" s="7" t="s">
        <v>24</v>
      </c>
      <c r="L12" s="10">
        <v>2.2200000000000001E-2</v>
      </c>
    </row>
    <row r="13" spans="3:12" x14ac:dyDescent="0.3">
      <c r="C13" s="5">
        <v>46090</v>
      </c>
      <c r="D13" t="b">
        <f t="shared" si="0"/>
        <v>1</v>
      </c>
      <c r="F13" s="8">
        <v>46090</v>
      </c>
      <c r="H13" s="6">
        <v>65994</v>
      </c>
      <c r="I13" s="7">
        <v>69452.7</v>
      </c>
      <c r="J13" s="6">
        <v>65858.8</v>
      </c>
      <c r="K13" s="7" t="s">
        <v>25</v>
      </c>
      <c r="L13" s="10">
        <v>3.73E-2</v>
      </c>
    </row>
    <row r="14" spans="3:12" x14ac:dyDescent="0.3">
      <c r="C14" s="5">
        <v>46087</v>
      </c>
      <c r="D14" t="b">
        <f t="shared" si="0"/>
        <v>1</v>
      </c>
      <c r="F14" s="8">
        <v>46087</v>
      </c>
      <c r="H14" s="6">
        <v>70892.899999999994</v>
      </c>
      <c r="I14" s="7">
        <v>71361.100000000006</v>
      </c>
      <c r="J14" s="6">
        <v>67755.5</v>
      </c>
      <c r="K14" s="7" t="s">
        <v>26</v>
      </c>
      <c r="L14" s="10">
        <v>-3.9E-2</v>
      </c>
    </row>
    <row r="15" spans="3:12" x14ac:dyDescent="0.3">
      <c r="C15" s="5">
        <v>46086</v>
      </c>
      <c r="D15" t="b">
        <f t="shared" si="0"/>
        <v>1</v>
      </c>
      <c r="F15" s="8">
        <v>46086</v>
      </c>
      <c r="H15" s="6">
        <v>72744.3</v>
      </c>
      <c r="I15" s="7">
        <v>73540.2</v>
      </c>
      <c r="J15" s="6">
        <v>70661.7</v>
      </c>
      <c r="K15" s="7" t="s">
        <v>27</v>
      </c>
      <c r="L15" s="10">
        <v>-2.5899999999999999E-2</v>
      </c>
    </row>
    <row r="16" spans="3:12" x14ac:dyDescent="0.3">
      <c r="C16" s="5">
        <v>46085</v>
      </c>
      <c r="D16" t="b">
        <f t="shared" si="0"/>
        <v>1</v>
      </c>
      <c r="F16" s="8">
        <v>46085</v>
      </c>
      <c r="H16" s="6">
        <v>68319.3</v>
      </c>
      <c r="I16" s="7">
        <v>74031</v>
      </c>
      <c r="J16" s="6">
        <v>67426.399999999994</v>
      </c>
      <c r="K16" s="7" t="s">
        <v>28</v>
      </c>
      <c r="L16" s="10">
        <v>6.5100000000000005E-2</v>
      </c>
    </row>
    <row r="17" spans="3:12" x14ac:dyDescent="0.3">
      <c r="C17" s="5">
        <v>46084</v>
      </c>
      <c r="D17" t="b">
        <f t="shared" si="0"/>
        <v>1</v>
      </c>
      <c r="F17" s="8">
        <v>46084</v>
      </c>
      <c r="H17" s="6">
        <v>68802.7</v>
      </c>
      <c r="I17" s="7">
        <v>69213.3</v>
      </c>
      <c r="J17" s="6">
        <v>66288.7</v>
      </c>
      <c r="K17" s="7" t="s">
        <v>29</v>
      </c>
      <c r="L17" s="10">
        <v>-6.8999999999999999E-3</v>
      </c>
    </row>
    <row r="18" spans="3:12" x14ac:dyDescent="0.3">
      <c r="C18" s="5">
        <v>46083</v>
      </c>
      <c r="D18" t="b">
        <f t="shared" si="0"/>
        <v>1</v>
      </c>
      <c r="F18" s="8">
        <v>46083</v>
      </c>
      <c r="H18" s="6">
        <v>65806.600000000006</v>
      </c>
      <c r="I18" s="7">
        <v>69986.399999999994</v>
      </c>
      <c r="J18" s="6">
        <v>65307.8</v>
      </c>
      <c r="K18" s="7" t="s">
        <v>30</v>
      </c>
      <c r="L18" s="10">
        <v>4.5999999999999999E-2</v>
      </c>
    </row>
    <row r="19" spans="3:12" x14ac:dyDescent="0.3">
      <c r="C19" s="5">
        <v>46080</v>
      </c>
      <c r="D19" t="b">
        <f t="shared" si="0"/>
        <v>1</v>
      </c>
      <c r="F19" s="8">
        <v>46080</v>
      </c>
      <c r="H19" s="6">
        <v>67487.7</v>
      </c>
      <c r="I19" s="7">
        <v>68190.8</v>
      </c>
      <c r="J19" s="6">
        <v>65018.7</v>
      </c>
      <c r="K19" s="7" t="s">
        <v>32</v>
      </c>
      <c r="L19" s="10">
        <v>-2.3900000000000001E-2</v>
      </c>
    </row>
    <row r="20" spans="3:12" x14ac:dyDescent="0.3">
      <c r="C20" s="5">
        <v>46079</v>
      </c>
      <c r="D20" t="b">
        <f t="shared" si="0"/>
        <v>1</v>
      </c>
      <c r="F20" s="8">
        <v>46079</v>
      </c>
      <c r="H20" s="6">
        <v>67987.199999999997</v>
      </c>
      <c r="I20" s="7">
        <v>68842.899999999994</v>
      </c>
      <c r="J20" s="6">
        <v>66573.7</v>
      </c>
      <c r="K20" s="7" t="s">
        <v>33</v>
      </c>
      <c r="L20" s="10">
        <v>-7.3000000000000001E-3</v>
      </c>
    </row>
    <row r="21" spans="3:12" x14ac:dyDescent="0.3">
      <c r="C21" s="5">
        <v>46078</v>
      </c>
      <c r="D21" t="b">
        <f t="shared" si="0"/>
        <v>1</v>
      </c>
      <c r="F21" s="8">
        <v>46078</v>
      </c>
      <c r="H21" s="6">
        <v>64058.2</v>
      </c>
      <c r="I21" s="7">
        <v>69819.3</v>
      </c>
      <c r="J21" s="6">
        <v>63930.400000000001</v>
      </c>
      <c r="K21" s="7" t="s">
        <v>34</v>
      </c>
      <c r="L21" s="10">
        <v>6.1400000000000003E-2</v>
      </c>
    </row>
    <row r="22" spans="3:12" x14ac:dyDescent="0.3">
      <c r="C22" s="5">
        <v>46077</v>
      </c>
      <c r="D22" t="b">
        <f t="shared" si="0"/>
        <v>1</v>
      </c>
      <c r="F22" s="8">
        <v>46077</v>
      </c>
      <c r="H22" s="6">
        <v>64655.199999999997</v>
      </c>
      <c r="I22" s="7">
        <v>65002.3</v>
      </c>
      <c r="J22" s="6">
        <v>62650.1</v>
      </c>
      <c r="K22" s="7" t="s">
        <v>35</v>
      </c>
      <c r="L22" s="10">
        <v>-9.4999999999999998E-3</v>
      </c>
    </row>
    <row r="23" spans="3:12" x14ac:dyDescent="0.3">
      <c r="C23" s="5">
        <v>46076</v>
      </c>
      <c r="D23" t="b">
        <f t="shared" si="0"/>
        <v>1</v>
      </c>
      <c r="F23" s="8">
        <v>46076</v>
      </c>
      <c r="H23" s="6">
        <v>67640</v>
      </c>
      <c r="I23" s="7">
        <v>67665.399999999994</v>
      </c>
      <c r="J23" s="6">
        <v>63939</v>
      </c>
      <c r="K23" s="7" t="s">
        <v>36</v>
      </c>
      <c r="L23" s="10">
        <v>-4.41E-2</v>
      </c>
    </row>
    <row r="24" spans="3:12" x14ac:dyDescent="0.3">
      <c r="C24" s="5">
        <v>46073</v>
      </c>
      <c r="D24" t="b">
        <f t="shared" si="0"/>
        <v>1</v>
      </c>
      <c r="F24" s="8">
        <v>46073</v>
      </c>
      <c r="H24" s="6">
        <v>66983.7</v>
      </c>
      <c r="I24" s="7">
        <v>68299.399999999994</v>
      </c>
      <c r="J24" s="6">
        <v>66501.8</v>
      </c>
      <c r="K24" s="7" t="s">
        <v>37</v>
      </c>
      <c r="L24" s="10">
        <v>1.5599999999999999E-2</v>
      </c>
    </row>
    <row r="25" spans="3:12" x14ac:dyDescent="0.3">
      <c r="C25" s="5">
        <v>46072</v>
      </c>
      <c r="D25" t="b">
        <f t="shared" si="0"/>
        <v>1</v>
      </c>
      <c r="F25" s="8">
        <v>46072</v>
      </c>
      <c r="H25" s="6">
        <v>66466.7</v>
      </c>
      <c r="I25" s="7">
        <v>67304.600000000006</v>
      </c>
      <c r="J25" s="6">
        <v>65653.5</v>
      </c>
      <c r="K25" s="7" t="s">
        <v>38</v>
      </c>
      <c r="L25" s="10">
        <v>7.6E-3</v>
      </c>
    </row>
    <row r="26" spans="3:12" x14ac:dyDescent="0.3">
      <c r="C26" s="5">
        <v>46071</v>
      </c>
      <c r="D26" t="b">
        <f t="shared" si="0"/>
        <v>1</v>
      </c>
      <c r="F26" s="8">
        <v>46071</v>
      </c>
      <c r="H26" s="6">
        <v>67495.7</v>
      </c>
      <c r="I26" s="7">
        <v>68445.8</v>
      </c>
      <c r="J26" s="6">
        <v>65896.5</v>
      </c>
      <c r="K26" s="7" t="s">
        <v>39</v>
      </c>
      <c r="L26" s="10">
        <v>-1.5100000000000001E-2</v>
      </c>
    </row>
    <row r="27" spans="3:12" x14ac:dyDescent="0.3">
      <c r="C27" s="5">
        <v>46070</v>
      </c>
      <c r="D27" t="b">
        <f t="shared" si="0"/>
        <v>1</v>
      </c>
      <c r="F27" s="8">
        <v>46070</v>
      </c>
      <c r="H27" s="6">
        <v>68889.399999999994</v>
      </c>
      <c r="I27" s="7">
        <v>69174.399999999994</v>
      </c>
      <c r="J27" s="6">
        <v>66649.2</v>
      </c>
      <c r="K27" s="7" t="s">
        <v>40</v>
      </c>
      <c r="L27" s="10">
        <v>-2.0299999999999999E-2</v>
      </c>
    </row>
    <row r="28" spans="3:12" x14ac:dyDescent="0.3">
      <c r="C28" s="5">
        <v>46066</v>
      </c>
      <c r="D28" t="b">
        <f t="shared" si="0"/>
        <v>1</v>
      </c>
      <c r="F28" s="8">
        <v>46066</v>
      </c>
      <c r="H28" s="6">
        <v>66234.100000000006</v>
      </c>
      <c r="I28" s="7">
        <v>69405.5</v>
      </c>
      <c r="J28" s="6">
        <v>65871</v>
      </c>
      <c r="K28" s="7" t="s">
        <v>41</v>
      </c>
      <c r="L28" s="10">
        <v>3.9800000000000002E-2</v>
      </c>
    </row>
    <row r="29" spans="3:12" x14ac:dyDescent="0.3">
      <c r="C29" s="5">
        <v>46065</v>
      </c>
      <c r="D29" t="b">
        <f t="shared" si="0"/>
        <v>1</v>
      </c>
      <c r="F29" s="8">
        <v>46065</v>
      </c>
      <c r="H29" s="6">
        <v>67048.800000000003</v>
      </c>
      <c r="I29" s="7">
        <v>68349.5</v>
      </c>
      <c r="J29" s="6">
        <v>65138.1</v>
      </c>
      <c r="K29" s="7" t="s">
        <v>42</v>
      </c>
      <c r="L29" s="10">
        <v>-1.1900000000000001E-2</v>
      </c>
    </row>
    <row r="30" spans="3:12" x14ac:dyDescent="0.3">
      <c r="C30" s="5">
        <v>46064</v>
      </c>
      <c r="D30" t="b">
        <f t="shared" si="0"/>
        <v>1</v>
      </c>
      <c r="F30" s="8">
        <v>46064</v>
      </c>
      <c r="H30" s="6">
        <v>68809.2</v>
      </c>
      <c r="I30" s="7">
        <v>69273.899999999994</v>
      </c>
      <c r="J30" s="6">
        <v>65790</v>
      </c>
      <c r="K30" s="7" t="s">
        <v>43</v>
      </c>
      <c r="L30" s="10">
        <v>-2.5600000000000001E-2</v>
      </c>
    </row>
    <row r="31" spans="3:12" x14ac:dyDescent="0.3">
      <c r="C31" s="5">
        <v>46063</v>
      </c>
      <c r="D31" t="b">
        <f t="shared" si="0"/>
        <v>1</v>
      </c>
      <c r="F31" s="8">
        <v>46063</v>
      </c>
      <c r="H31" s="6">
        <v>70122.7</v>
      </c>
      <c r="I31" s="7">
        <v>70474.2</v>
      </c>
      <c r="J31" s="6">
        <v>67958.3</v>
      </c>
      <c r="K31" s="7" t="s">
        <v>44</v>
      </c>
      <c r="L31" s="10">
        <v>-1.8800000000000001E-2</v>
      </c>
    </row>
    <row r="32" spans="3:12" x14ac:dyDescent="0.3">
      <c r="C32" s="5">
        <v>46062</v>
      </c>
      <c r="D32" t="b">
        <f t="shared" si="0"/>
        <v>1</v>
      </c>
      <c r="F32" s="8">
        <v>46062</v>
      </c>
      <c r="H32" s="6">
        <v>70356</v>
      </c>
      <c r="I32" s="7">
        <v>71379.5</v>
      </c>
      <c r="J32" s="6">
        <v>68389.3</v>
      </c>
      <c r="K32" s="7" t="s">
        <v>45</v>
      </c>
      <c r="L32" s="10">
        <v>-3.0000000000000001E-3</v>
      </c>
    </row>
    <row r="33" spans="3:12" x14ac:dyDescent="0.3">
      <c r="C33" s="5">
        <v>46059</v>
      </c>
      <c r="D33" t="b">
        <f t="shared" si="0"/>
        <v>1</v>
      </c>
      <c r="F33" s="8">
        <v>46059</v>
      </c>
      <c r="H33" s="6">
        <v>62863.8</v>
      </c>
      <c r="I33" s="7">
        <v>71696</v>
      </c>
      <c r="J33" s="6">
        <v>60187</v>
      </c>
      <c r="K33" s="7" t="s">
        <v>46</v>
      </c>
      <c r="L33" s="10">
        <v>0.1225</v>
      </c>
    </row>
    <row r="34" spans="3:12" x14ac:dyDescent="0.3">
      <c r="C34" s="5">
        <v>46058</v>
      </c>
      <c r="D34" t="b">
        <f t="shared" si="0"/>
        <v>1</v>
      </c>
      <c r="F34" s="8">
        <v>46058</v>
      </c>
      <c r="H34" s="6">
        <v>73136.100000000006</v>
      </c>
      <c r="I34" s="7">
        <v>73292</v>
      </c>
      <c r="J34" s="6">
        <v>62562.2</v>
      </c>
      <c r="K34" s="7" t="s">
        <v>47</v>
      </c>
      <c r="L34" s="10">
        <v>-0.14050000000000001</v>
      </c>
    </row>
    <row r="35" spans="3:12" x14ac:dyDescent="0.3">
      <c r="C35" s="5">
        <v>46057</v>
      </c>
      <c r="D35" t="b">
        <f t="shared" si="0"/>
        <v>1</v>
      </c>
      <c r="F35" s="8">
        <v>46057</v>
      </c>
      <c r="H35" s="6">
        <v>75734.8</v>
      </c>
      <c r="I35" s="7">
        <v>76929.2</v>
      </c>
      <c r="J35" s="6">
        <v>71913.399999999994</v>
      </c>
      <c r="K35" s="7" t="s">
        <v>48</v>
      </c>
      <c r="L35" s="10">
        <v>-3.4200000000000001E-2</v>
      </c>
    </row>
    <row r="36" spans="3:12" x14ac:dyDescent="0.3">
      <c r="C36" s="5">
        <v>46056</v>
      </c>
      <c r="D36" t="b">
        <f t="shared" si="0"/>
        <v>1</v>
      </c>
      <c r="F36" s="8">
        <v>46056</v>
      </c>
      <c r="H36" s="6">
        <v>78725.600000000006</v>
      </c>
      <c r="I36" s="7">
        <v>79158.399999999994</v>
      </c>
      <c r="J36" s="6">
        <v>73004.3</v>
      </c>
      <c r="K36" s="7" t="s">
        <v>49</v>
      </c>
      <c r="L36" s="10">
        <v>-3.8100000000000002E-2</v>
      </c>
    </row>
    <row r="37" spans="3:12" x14ac:dyDescent="0.3">
      <c r="C37" s="5">
        <v>46055</v>
      </c>
      <c r="D37" t="b">
        <f t="shared" si="0"/>
        <v>1</v>
      </c>
      <c r="F37" s="8">
        <v>46055</v>
      </c>
      <c r="H37" s="6">
        <v>76956.600000000006</v>
      </c>
      <c r="I37" s="7">
        <v>79251</v>
      </c>
      <c r="J37" s="6">
        <v>74635.5</v>
      </c>
      <c r="K37" s="7" t="s">
        <v>50</v>
      </c>
      <c r="L37" s="10">
        <v>2.2700000000000001E-2</v>
      </c>
    </row>
    <row r="38" spans="3:12" x14ac:dyDescent="0.3">
      <c r="C38" s="5">
        <v>46052</v>
      </c>
      <c r="D38" t="b">
        <f t="shared" si="0"/>
        <v>1</v>
      </c>
      <c r="F38" s="8">
        <v>46052</v>
      </c>
      <c r="H38" s="6">
        <v>84657</v>
      </c>
      <c r="I38" s="7">
        <v>84705.1</v>
      </c>
      <c r="J38" s="6">
        <v>81201.5</v>
      </c>
      <c r="K38" s="7" t="s">
        <v>51</v>
      </c>
      <c r="L38" s="10">
        <v>-5.1000000000000004E-3</v>
      </c>
    </row>
    <row r="39" spans="3:12" x14ac:dyDescent="0.3">
      <c r="C39" s="5">
        <v>46051</v>
      </c>
      <c r="D39" t="b">
        <f t="shared" si="0"/>
        <v>1</v>
      </c>
      <c r="F39" s="8">
        <v>46051</v>
      </c>
      <c r="H39" s="6">
        <v>89261.5</v>
      </c>
      <c r="I39" s="7">
        <v>89304.7</v>
      </c>
      <c r="J39" s="6">
        <v>83405.7</v>
      </c>
      <c r="K39" s="7" t="s">
        <v>52</v>
      </c>
      <c r="L39" s="10">
        <v>-5.1400000000000001E-2</v>
      </c>
    </row>
    <row r="40" spans="3:12" x14ac:dyDescent="0.3">
      <c r="C40" s="5">
        <v>46050</v>
      </c>
      <c r="D40" t="b">
        <f t="shared" si="0"/>
        <v>1</v>
      </c>
      <c r="F40" s="8">
        <v>46050</v>
      </c>
      <c r="H40" s="6">
        <v>89224.5</v>
      </c>
      <c r="I40" s="7">
        <v>90520.9</v>
      </c>
      <c r="J40" s="6">
        <v>88820.7</v>
      </c>
      <c r="K40" s="7" t="s">
        <v>53</v>
      </c>
      <c r="L40" s="10">
        <v>2.9999999999999997E-4</v>
      </c>
    </row>
    <row r="41" spans="3:12" x14ac:dyDescent="0.3">
      <c r="C41" s="5">
        <v>46049</v>
      </c>
      <c r="D41" t="b">
        <f t="shared" si="0"/>
        <v>1</v>
      </c>
      <c r="F41" s="8">
        <v>46049</v>
      </c>
      <c r="H41" s="6">
        <v>88331.3</v>
      </c>
      <c r="I41" s="7">
        <v>89494.399999999994</v>
      </c>
      <c r="J41" s="6">
        <v>87301.8</v>
      </c>
      <c r="K41" s="7" t="s">
        <v>54</v>
      </c>
      <c r="L41" s="10">
        <v>1.01E-2</v>
      </c>
    </row>
    <row r="42" spans="3:12" x14ac:dyDescent="0.3">
      <c r="C42" s="5">
        <v>46048</v>
      </c>
      <c r="D42" t="b">
        <f t="shared" si="0"/>
        <v>1</v>
      </c>
      <c r="F42" s="8">
        <v>46048</v>
      </c>
      <c r="H42" s="6">
        <v>86644.3</v>
      </c>
      <c r="I42" s="7">
        <v>88810.8</v>
      </c>
      <c r="J42" s="6">
        <v>86520.8</v>
      </c>
      <c r="K42" s="7" t="s">
        <v>55</v>
      </c>
      <c r="L42" s="10">
        <v>1.95E-2</v>
      </c>
    </row>
    <row r="43" spans="3:12" x14ac:dyDescent="0.3">
      <c r="C43" s="5">
        <v>46045</v>
      </c>
      <c r="D43" t="b">
        <f t="shared" si="0"/>
        <v>1</v>
      </c>
      <c r="F43" s="8">
        <v>46045</v>
      </c>
      <c r="H43" s="6">
        <v>89529.5</v>
      </c>
      <c r="I43" s="7">
        <v>91185.7</v>
      </c>
      <c r="J43" s="6">
        <v>88587.5</v>
      </c>
      <c r="K43" s="7" t="s">
        <v>56</v>
      </c>
      <c r="L43" s="10">
        <v>6.9999999999999999E-4</v>
      </c>
    </row>
    <row r="44" spans="3:12" x14ac:dyDescent="0.3">
      <c r="C44" s="5">
        <v>46044</v>
      </c>
      <c r="D44" t="b">
        <f t="shared" si="0"/>
        <v>1</v>
      </c>
      <c r="F44" s="8">
        <v>46044</v>
      </c>
      <c r="H44" s="6">
        <v>89433.1</v>
      </c>
      <c r="I44" s="7">
        <v>90330.6</v>
      </c>
      <c r="J44" s="6">
        <v>88536.1</v>
      </c>
      <c r="K44" s="7" t="s">
        <v>57</v>
      </c>
      <c r="L44" s="10">
        <v>1E-3</v>
      </c>
    </row>
    <row r="45" spans="3:12" x14ac:dyDescent="0.3">
      <c r="C45" s="5">
        <v>46043</v>
      </c>
      <c r="D45" t="b">
        <f t="shared" si="0"/>
        <v>1</v>
      </c>
      <c r="F45" s="8">
        <v>46043</v>
      </c>
      <c r="H45" s="6">
        <v>88400</v>
      </c>
      <c r="I45" s="7">
        <v>90498.2</v>
      </c>
      <c r="J45" s="6">
        <v>87285.1</v>
      </c>
      <c r="K45" s="7" t="s">
        <v>58</v>
      </c>
      <c r="L45" s="10">
        <v>1.17E-2</v>
      </c>
    </row>
    <row r="46" spans="3:12" x14ac:dyDescent="0.3">
      <c r="C46" s="5">
        <v>46042</v>
      </c>
      <c r="D46" t="b">
        <f t="shared" si="0"/>
        <v>1</v>
      </c>
      <c r="F46" s="8">
        <v>46042</v>
      </c>
      <c r="H46" s="6">
        <v>92617.8</v>
      </c>
      <c r="I46" s="7">
        <v>92857.5</v>
      </c>
      <c r="J46" s="6">
        <v>87911.4</v>
      </c>
      <c r="K46" s="7" t="s">
        <v>59</v>
      </c>
      <c r="L46" s="10">
        <v>-4.5499999999999999E-2</v>
      </c>
    </row>
    <row r="47" spans="3:12" x14ac:dyDescent="0.3">
      <c r="C47" s="5">
        <v>46038</v>
      </c>
      <c r="D47" t="b">
        <f t="shared" si="0"/>
        <v>1</v>
      </c>
      <c r="F47" s="8">
        <v>46038</v>
      </c>
      <c r="H47" s="6">
        <v>95585.7</v>
      </c>
      <c r="I47" s="7">
        <v>95839.4</v>
      </c>
      <c r="J47" s="6">
        <v>94288.8</v>
      </c>
      <c r="K47" s="7" t="s">
        <v>60</v>
      </c>
      <c r="L47" s="10">
        <v>-4.0000000000000002E-4</v>
      </c>
    </row>
    <row r="48" spans="3:12" x14ac:dyDescent="0.3">
      <c r="C48" s="5">
        <v>46037</v>
      </c>
      <c r="D48" t="b">
        <f t="shared" si="0"/>
        <v>1</v>
      </c>
      <c r="F48" s="8">
        <v>46037</v>
      </c>
      <c r="H48" s="6">
        <v>96942.399999999994</v>
      </c>
      <c r="I48" s="7">
        <v>97181.4</v>
      </c>
      <c r="J48" s="6">
        <v>95132.800000000003</v>
      </c>
      <c r="K48" s="7" t="s">
        <v>61</v>
      </c>
      <c r="L48" s="10">
        <v>-1.3899999999999999E-2</v>
      </c>
    </row>
    <row r="49" spans="3:12" x14ac:dyDescent="0.3">
      <c r="C49" s="5">
        <v>46036</v>
      </c>
      <c r="D49" t="b">
        <f t="shared" si="0"/>
        <v>1</v>
      </c>
      <c r="F49" s="8">
        <v>46036</v>
      </c>
      <c r="H49" s="6">
        <v>95395.5</v>
      </c>
      <c r="I49" s="7">
        <v>97838.399999999994</v>
      </c>
      <c r="J49" s="6">
        <v>94608.9</v>
      </c>
      <c r="K49" s="7" t="s">
        <v>62</v>
      </c>
      <c r="L49" s="10">
        <v>1.61E-2</v>
      </c>
    </row>
    <row r="50" spans="3:12" x14ac:dyDescent="0.3">
      <c r="C50" s="5">
        <v>46035</v>
      </c>
      <c r="D50" t="b">
        <f t="shared" si="0"/>
        <v>1</v>
      </c>
      <c r="F50" s="8">
        <v>46035</v>
      </c>
      <c r="H50" s="6">
        <v>91271.9</v>
      </c>
      <c r="I50" s="7">
        <v>96033.3</v>
      </c>
      <c r="J50" s="6">
        <v>91021.4</v>
      </c>
      <c r="K50" s="7" t="s">
        <v>63</v>
      </c>
      <c r="L50" s="10">
        <v>4.5199999999999997E-2</v>
      </c>
    </row>
    <row r="51" spans="3:12" x14ac:dyDescent="0.3">
      <c r="C51" s="5">
        <v>46034</v>
      </c>
      <c r="D51" t="b">
        <f t="shared" si="0"/>
        <v>1</v>
      </c>
      <c r="F51" s="8">
        <v>46034</v>
      </c>
      <c r="H51" s="6">
        <v>90935.4</v>
      </c>
      <c r="I51" s="7">
        <v>92484.3</v>
      </c>
      <c r="J51" s="6">
        <v>90134.5</v>
      </c>
      <c r="K51" s="7" t="s">
        <v>64</v>
      </c>
      <c r="L51" s="10">
        <v>3.7000000000000002E-3</v>
      </c>
    </row>
    <row r="52" spans="3:12" x14ac:dyDescent="0.3">
      <c r="C52" s="5">
        <v>46031</v>
      </c>
      <c r="D52" t="b">
        <f t="shared" si="0"/>
        <v>1</v>
      </c>
      <c r="F52" s="8">
        <v>46031</v>
      </c>
      <c r="H52" s="6">
        <v>91082.4</v>
      </c>
      <c r="I52" s="7">
        <v>91982.5</v>
      </c>
      <c r="J52" s="6">
        <v>89696.5</v>
      </c>
      <c r="K52" s="7" t="s">
        <v>65</v>
      </c>
      <c r="L52" s="10">
        <v>-5.1999999999999998E-3</v>
      </c>
    </row>
    <row r="53" spans="3:12" x14ac:dyDescent="0.3">
      <c r="C53" s="5">
        <v>46030</v>
      </c>
      <c r="D53" t="b">
        <f t="shared" si="0"/>
        <v>1</v>
      </c>
      <c r="F53" s="8">
        <v>46030</v>
      </c>
      <c r="H53" s="6">
        <v>91342.6</v>
      </c>
      <c r="I53" s="7">
        <v>91528.6</v>
      </c>
      <c r="J53" s="6">
        <v>89347.3</v>
      </c>
      <c r="K53" s="7" t="s">
        <v>66</v>
      </c>
      <c r="L53" s="10">
        <v>-2.8999999999999998E-3</v>
      </c>
    </row>
    <row r="54" spans="3:12" x14ac:dyDescent="0.3">
      <c r="C54" s="5">
        <v>46029</v>
      </c>
      <c r="D54" t="b">
        <f t="shared" si="0"/>
        <v>1</v>
      </c>
      <c r="F54" s="8">
        <v>46029</v>
      </c>
      <c r="H54" s="6">
        <v>93739.199999999997</v>
      </c>
      <c r="I54" s="7">
        <v>93739.199999999997</v>
      </c>
      <c r="J54" s="6">
        <v>90670.5</v>
      </c>
      <c r="K54" s="7" t="s">
        <v>67</v>
      </c>
      <c r="L54" s="10">
        <v>-2.5600000000000001E-2</v>
      </c>
    </row>
    <row r="55" spans="3:12" x14ac:dyDescent="0.3">
      <c r="C55" s="5">
        <v>46028</v>
      </c>
      <c r="D55" t="b">
        <f t="shared" si="0"/>
        <v>1</v>
      </c>
      <c r="F55" s="8">
        <v>46028</v>
      </c>
      <c r="H55" s="6">
        <v>93862.1</v>
      </c>
      <c r="I55" s="7">
        <v>94417.600000000006</v>
      </c>
      <c r="J55" s="6">
        <v>91544.4</v>
      </c>
      <c r="K55" s="7" t="s">
        <v>68</v>
      </c>
      <c r="L55" s="10">
        <v>-1.2999999999999999E-3</v>
      </c>
    </row>
    <row r="56" spans="3:12" x14ac:dyDescent="0.3">
      <c r="C56" s="5">
        <v>46027</v>
      </c>
      <c r="D56" t="b">
        <f t="shared" si="0"/>
        <v>1</v>
      </c>
      <c r="F56" s="8">
        <v>46027</v>
      </c>
      <c r="H56" s="6">
        <v>91543.7</v>
      </c>
      <c r="I56" s="7">
        <v>94745.2</v>
      </c>
      <c r="J56" s="6">
        <v>91543.7</v>
      </c>
      <c r="K56" s="7" t="s">
        <v>69</v>
      </c>
      <c r="L56" s="10">
        <v>2.53E-2</v>
      </c>
    </row>
    <row r="57" spans="3:12" x14ac:dyDescent="0.3">
      <c r="C57" s="5">
        <v>46024</v>
      </c>
      <c r="D57" t="b">
        <f t="shared" si="0"/>
        <v>1</v>
      </c>
      <c r="F57" s="8">
        <v>46024</v>
      </c>
      <c r="H57" s="6">
        <v>88812.2</v>
      </c>
      <c r="I57" s="7">
        <v>90913.5</v>
      </c>
      <c r="J57" s="6">
        <v>88392</v>
      </c>
      <c r="K57" s="7" t="s">
        <v>70</v>
      </c>
      <c r="L57" s="10">
        <v>1.32E-2</v>
      </c>
    </row>
    <row r="58" spans="3:12" x14ac:dyDescent="0.3">
      <c r="C58" s="5">
        <v>46022</v>
      </c>
      <c r="D58" t="b">
        <f t="shared" si="0"/>
        <v>1</v>
      </c>
      <c r="F58" s="8">
        <v>46022</v>
      </c>
      <c r="H58" s="6">
        <v>88469.5</v>
      </c>
      <c r="I58" s="7">
        <v>89119.3</v>
      </c>
      <c r="J58" s="6">
        <v>87245.6</v>
      </c>
      <c r="K58" s="7" t="s">
        <v>71</v>
      </c>
      <c r="L58" s="10">
        <v>-9.7000000000000003E-3</v>
      </c>
    </row>
    <row r="59" spans="3:12" x14ac:dyDescent="0.3">
      <c r="C59" s="5">
        <v>46021</v>
      </c>
      <c r="D59" t="b">
        <f t="shared" si="0"/>
        <v>1</v>
      </c>
      <c r="F59" s="8">
        <v>46021</v>
      </c>
      <c r="H59" s="6">
        <v>87217.8</v>
      </c>
      <c r="I59" s="7">
        <v>89365.6</v>
      </c>
      <c r="J59" s="6">
        <v>86828.9</v>
      </c>
      <c r="K59" s="7" t="s">
        <v>72</v>
      </c>
      <c r="L59" s="10">
        <v>1.44E-2</v>
      </c>
    </row>
    <row r="60" spans="3:12" x14ac:dyDescent="0.3">
      <c r="C60" s="5">
        <v>46020</v>
      </c>
      <c r="D60" t="b">
        <f t="shared" si="0"/>
        <v>1</v>
      </c>
      <c r="F60" s="8">
        <v>46020</v>
      </c>
      <c r="H60" s="6">
        <v>87912</v>
      </c>
      <c r="I60" s="7">
        <v>90378.3</v>
      </c>
      <c r="J60" s="6">
        <v>86827.7</v>
      </c>
      <c r="K60" s="7" t="s">
        <v>73</v>
      </c>
      <c r="L60" s="10">
        <v>-7.7999999999999996E-3</v>
      </c>
    </row>
    <row r="61" spans="3:12" x14ac:dyDescent="0.3">
      <c r="C61" s="5">
        <v>46017</v>
      </c>
      <c r="D61" t="b">
        <f t="shared" si="0"/>
        <v>1</v>
      </c>
      <c r="F61" s="8">
        <v>46017</v>
      </c>
      <c r="H61" s="6">
        <v>87248</v>
      </c>
      <c r="I61" s="7">
        <v>89519</v>
      </c>
      <c r="J61" s="6">
        <v>86684.7</v>
      </c>
      <c r="K61" s="7" t="s">
        <v>74</v>
      </c>
      <c r="L61" s="10">
        <v>1.1999999999999999E-3</v>
      </c>
    </row>
    <row r="62" spans="3:12" x14ac:dyDescent="0.3">
      <c r="C62" s="5">
        <v>46015</v>
      </c>
      <c r="D62" t="b">
        <f t="shared" si="0"/>
        <v>1</v>
      </c>
      <c r="F62" s="8">
        <v>46015</v>
      </c>
      <c r="H62" s="6">
        <v>87467.9</v>
      </c>
      <c r="I62" s="7">
        <v>88009.600000000006</v>
      </c>
      <c r="J62" s="6">
        <v>86448.4</v>
      </c>
      <c r="K62" s="7" t="s">
        <v>75</v>
      </c>
      <c r="L62" s="10">
        <v>2.2000000000000001E-3</v>
      </c>
    </row>
    <row r="63" spans="3:12" x14ac:dyDescent="0.3">
      <c r="C63" s="5">
        <v>46014</v>
      </c>
      <c r="D63" t="b">
        <f t="shared" si="0"/>
        <v>1</v>
      </c>
      <c r="F63" s="8">
        <v>46014</v>
      </c>
      <c r="H63" s="6">
        <v>88550.6</v>
      </c>
      <c r="I63" s="7">
        <v>88923</v>
      </c>
      <c r="J63" s="6">
        <v>86651.199999999997</v>
      </c>
      <c r="K63" s="7" t="s">
        <v>76</v>
      </c>
      <c r="L63" s="10">
        <v>-1.2200000000000001E-2</v>
      </c>
    </row>
    <row r="64" spans="3:12" x14ac:dyDescent="0.3">
      <c r="C64" s="5">
        <v>46013</v>
      </c>
      <c r="D64" t="b">
        <f t="shared" si="0"/>
        <v>1</v>
      </c>
      <c r="F64" s="8">
        <v>46013</v>
      </c>
      <c r="H64" s="6">
        <v>88640.6</v>
      </c>
      <c r="I64" s="7">
        <v>90457.5</v>
      </c>
      <c r="J64" s="6">
        <v>87945.7</v>
      </c>
      <c r="K64" s="7" t="s">
        <v>77</v>
      </c>
      <c r="L64" s="10">
        <v>-1E-3</v>
      </c>
    </row>
    <row r="65" spans="3:12" x14ac:dyDescent="0.3">
      <c r="C65" s="5">
        <v>46010</v>
      </c>
      <c r="D65" t="b">
        <f t="shared" si="0"/>
        <v>1</v>
      </c>
      <c r="F65" s="8">
        <v>46010</v>
      </c>
      <c r="H65" s="6">
        <v>85509</v>
      </c>
      <c r="I65" s="7">
        <v>89347.8</v>
      </c>
      <c r="J65" s="6">
        <v>85155.1</v>
      </c>
      <c r="K65" s="7" t="s">
        <v>78</v>
      </c>
      <c r="L65" s="10">
        <v>3.0700000000000002E-2</v>
      </c>
    </row>
    <row r="66" spans="3:12" x14ac:dyDescent="0.3">
      <c r="C66" s="5">
        <v>46009</v>
      </c>
      <c r="D66" t="b">
        <f t="shared" si="0"/>
        <v>1</v>
      </c>
      <c r="F66" s="8">
        <v>46009</v>
      </c>
      <c r="H66" s="6">
        <v>86229.8</v>
      </c>
      <c r="I66" s="7">
        <v>89380.1</v>
      </c>
      <c r="J66" s="6">
        <v>84490.5</v>
      </c>
      <c r="K66" s="7" t="s">
        <v>79</v>
      </c>
      <c r="L66" s="10">
        <v>-8.3999999999999995E-3</v>
      </c>
    </row>
    <row r="67" spans="3:12" x14ac:dyDescent="0.3">
      <c r="C67" s="5">
        <v>46008</v>
      </c>
      <c r="D67" t="b">
        <f t="shared" si="0"/>
        <v>1</v>
      </c>
      <c r="F67" s="8">
        <v>46008</v>
      </c>
      <c r="H67" s="6">
        <v>87859.5</v>
      </c>
      <c r="I67" s="7">
        <v>90258.2</v>
      </c>
      <c r="J67" s="6">
        <v>85351.4</v>
      </c>
      <c r="K67" s="7" t="s">
        <v>80</v>
      </c>
      <c r="L67" s="10">
        <v>-1.8499999999999999E-2</v>
      </c>
    </row>
    <row r="68" spans="3:12" x14ac:dyDescent="0.3">
      <c r="C68" s="5">
        <v>46007</v>
      </c>
      <c r="D68" t="b">
        <f t="shared" si="0"/>
        <v>1</v>
      </c>
      <c r="F68" s="8">
        <v>46007</v>
      </c>
      <c r="H68" s="6">
        <v>86429.2</v>
      </c>
      <c r="I68" s="7">
        <v>88133</v>
      </c>
      <c r="J68" s="6">
        <v>85392.1</v>
      </c>
      <c r="K68" s="7" t="s">
        <v>81</v>
      </c>
      <c r="L68" s="10">
        <v>1.6500000000000001E-2</v>
      </c>
    </row>
    <row r="69" spans="3:12" x14ac:dyDescent="0.3">
      <c r="C69" s="5">
        <v>46006</v>
      </c>
      <c r="D69" t="b">
        <f t="shared" ref="D69:D132" si="1">C69=F69</f>
        <v>1</v>
      </c>
      <c r="F69" s="8">
        <v>46006</v>
      </c>
      <c r="H69" s="6">
        <v>88154.4</v>
      </c>
      <c r="I69" s="7">
        <v>89974.1</v>
      </c>
      <c r="J69" s="6">
        <v>85228.800000000003</v>
      </c>
      <c r="K69" s="7" t="s">
        <v>82</v>
      </c>
      <c r="L69" s="10">
        <v>-1.9599999999999999E-2</v>
      </c>
    </row>
    <row r="70" spans="3:12" x14ac:dyDescent="0.3">
      <c r="C70" s="5">
        <v>46003</v>
      </c>
      <c r="D70" t="b">
        <f t="shared" si="1"/>
        <v>1</v>
      </c>
      <c r="F70" s="8">
        <v>46003</v>
      </c>
      <c r="H70" s="6">
        <v>92510.399999999994</v>
      </c>
      <c r="I70" s="7">
        <v>92744.6</v>
      </c>
      <c r="J70" s="6">
        <v>89498.1</v>
      </c>
      <c r="K70" s="7" t="s">
        <v>83</v>
      </c>
      <c r="L70" s="10">
        <v>-2.4199999999999999E-2</v>
      </c>
    </row>
    <row r="71" spans="3:12" x14ac:dyDescent="0.3">
      <c r="C71" s="5">
        <v>46002</v>
      </c>
      <c r="D71" t="b">
        <f t="shared" si="1"/>
        <v>1</v>
      </c>
      <c r="F71" s="8">
        <v>46002</v>
      </c>
      <c r="H71" s="6">
        <v>92005</v>
      </c>
      <c r="I71" s="7">
        <v>93539.4</v>
      </c>
      <c r="J71" s="6">
        <v>89324.1</v>
      </c>
      <c r="K71" s="7" t="s">
        <v>84</v>
      </c>
      <c r="L71" s="10">
        <v>5.5999999999999999E-3</v>
      </c>
    </row>
    <row r="72" spans="3:12" x14ac:dyDescent="0.3">
      <c r="C72" s="5">
        <v>46001</v>
      </c>
      <c r="D72" t="b">
        <f t="shared" si="1"/>
        <v>1</v>
      </c>
      <c r="F72" s="8">
        <v>46001</v>
      </c>
      <c r="H72" s="6">
        <v>92685.7</v>
      </c>
      <c r="I72" s="7">
        <v>94458.1</v>
      </c>
      <c r="J72" s="6">
        <v>91608</v>
      </c>
      <c r="K72" s="7" t="s">
        <v>85</v>
      </c>
      <c r="L72" s="10">
        <v>-7.4999999999999997E-3</v>
      </c>
    </row>
    <row r="73" spans="3:12" x14ac:dyDescent="0.3">
      <c r="C73" s="5">
        <v>46000</v>
      </c>
      <c r="D73" t="b">
        <f t="shared" si="1"/>
        <v>1</v>
      </c>
      <c r="F73" s="8">
        <v>46000</v>
      </c>
      <c r="H73" s="6">
        <v>90636.1</v>
      </c>
      <c r="I73" s="7">
        <v>94591.4</v>
      </c>
      <c r="J73" s="6">
        <v>89592.2</v>
      </c>
      <c r="K73" s="7" t="s">
        <v>86</v>
      </c>
      <c r="L73" s="10">
        <v>2.2700000000000001E-2</v>
      </c>
    </row>
    <row r="74" spans="3:12" x14ac:dyDescent="0.3">
      <c r="C74" s="5">
        <v>45999</v>
      </c>
      <c r="D74" t="b">
        <f t="shared" si="1"/>
        <v>1</v>
      </c>
      <c r="F74" s="8">
        <v>45999</v>
      </c>
      <c r="H74" s="6">
        <v>90413.6</v>
      </c>
      <c r="I74" s="7">
        <v>92269.1</v>
      </c>
      <c r="J74" s="6">
        <v>89640.7</v>
      </c>
      <c r="K74" s="7" t="s">
        <v>87</v>
      </c>
      <c r="L74" s="10">
        <v>2.5000000000000001E-3</v>
      </c>
    </row>
    <row r="75" spans="3:12" x14ac:dyDescent="0.3">
      <c r="C75" s="5">
        <v>45996</v>
      </c>
      <c r="D75" t="b">
        <f t="shared" si="1"/>
        <v>1</v>
      </c>
      <c r="F75" s="8">
        <v>45996</v>
      </c>
      <c r="H75" s="6">
        <v>92082.8</v>
      </c>
      <c r="I75" s="7">
        <v>92676.4</v>
      </c>
      <c r="J75" s="6">
        <v>88218.4</v>
      </c>
      <c r="K75" s="7" t="s">
        <v>88</v>
      </c>
      <c r="L75" s="10">
        <v>-2.9899999999999999E-2</v>
      </c>
    </row>
    <row r="76" spans="3:12" x14ac:dyDescent="0.3">
      <c r="C76" s="5">
        <v>45995</v>
      </c>
      <c r="D76" t="b">
        <f t="shared" si="1"/>
        <v>1</v>
      </c>
      <c r="F76" s="8">
        <v>45995</v>
      </c>
      <c r="H76" s="6">
        <v>93437.2</v>
      </c>
      <c r="I76" s="7">
        <v>94043.9</v>
      </c>
      <c r="J76" s="6">
        <v>90933.2</v>
      </c>
      <c r="K76" s="7" t="s">
        <v>89</v>
      </c>
      <c r="L76" s="10">
        <v>-1.4500000000000001E-2</v>
      </c>
    </row>
    <row r="77" spans="3:12" x14ac:dyDescent="0.3">
      <c r="C77" s="5">
        <v>45994</v>
      </c>
      <c r="D77" t="b">
        <f t="shared" si="1"/>
        <v>1</v>
      </c>
      <c r="F77" s="8">
        <v>45994</v>
      </c>
      <c r="H77" s="6">
        <v>91286.8</v>
      </c>
      <c r="I77" s="7">
        <v>94077</v>
      </c>
      <c r="J77" s="6">
        <v>91020.800000000003</v>
      </c>
      <c r="K77" s="7" t="s">
        <v>90</v>
      </c>
      <c r="L77" s="10">
        <v>2.35E-2</v>
      </c>
    </row>
    <row r="78" spans="3:12" x14ac:dyDescent="0.3">
      <c r="C78" s="5">
        <v>45993</v>
      </c>
      <c r="D78" t="b">
        <f t="shared" si="1"/>
        <v>1</v>
      </c>
      <c r="F78" s="8">
        <v>45993</v>
      </c>
      <c r="H78" s="6">
        <v>86315.199999999997</v>
      </c>
      <c r="I78" s="7">
        <v>92285.4</v>
      </c>
      <c r="J78" s="6">
        <v>86189.8</v>
      </c>
      <c r="K78" s="7" t="s">
        <v>91</v>
      </c>
      <c r="L78" s="10">
        <v>5.7700000000000001E-2</v>
      </c>
    </row>
    <row r="79" spans="3:12" x14ac:dyDescent="0.3">
      <c r="C79" s="5">
        <v>45992</v>
      </c>
      <c r="D79" t="b">
        <f t="shared" si="1"/>
        <v>1</v>
      </c>
      <c r="F79" s="8">
        <v>45992</v>
      </c>
      <c r="H79" s="6">
        <v>90372.2</v>
      </c>
      <c r="I79" s="7">
        <v>90372.2</v>
      </c>
      <c r="J79" s="6">
        <v>83858.100000000006</v>
      </c>
      <c r="K79" s="7" t="s">
        <v>92</v>
      </c>
      <c r="L79" s="10">
        <v>-4.4999999999999998E-2</v>
      </c>
    </row>
    <row r="80" spans="3:12" x14ac:dyDescent="0.3">
      <c r="C80" s="5">
        <v>45989</v>
      </c>
      <c r="D80" t="b">
        <f t="shared" si="1"/>
        <v>1</v>
      </c>
      <c r="F80" s="8">
        <v>45989</v>
      </c>
      <c r="H80" s="6">
        <v>91324.7</v>
      </c>
      <c r="I80" s="7">
        <v>92942.6</v>
      </c>
      <c r="J80" s="6">
        <v>90221.5</v>
      </c>
      <c r="K80" s="7" t="s">
        <v>93</v>
      </c>
      <c r="L80" s="10">
        <v>-4.7000000000000002E-3</v>
      </c>
    </row>
    <row r="81" spans="3:12" x14ac:dyDescent="0.3">
      <c r="C81" s="5">
        <v>45987</v>
      </c>
      <c r="D81" t="b">
        <f t="shared" si="1"/>
        <v>1</v>
      </c>
      <c r="F81" s="8">
        <v>45987</v>
      </c>
      <c r="H81" s="6">
        <v>87363.1</v>
      </c>
      <c r="I81" s="7">
        <v>90582.8</v>
      </c>
      <c r="J81" s="6">
        <v>86334.8</v>
      </c>
      <c r="K81" s="7" t="s">
        <v>94</v>
      </c>
      <c r="L81" s="10">
        <v>3.5799999999999998E-2</v>
      </c>
    </row>
    <row r="82" spans="3:12" x14ac:dyDescent="0.3">
      <c r="C82" s="5">
        <v>45986</v>
      </c>
      <c r="D82" t="b">
        <f t="shared" si="1"/>
        <v>1</v>
      </c>
      <c r="F82" s="8">
        <v>45986</v>
      </c>
      <c r="H82" s="6">
        <v>88296.1</v>
      </c>
      <c r="I82" s="7">
        <v>88502.6</v>
      </c>
      <c r="J82" s="6">
        <v>86162</v>
      </c>
      <c r="K82" s="7" t="s">
        <v>95</v>
      </c>
      <c r="L82" s="10">
        <v>-1.0500000000000001E-2</v>
      </c>
    </row>
    <row r="83" spans="3:12" x14ac:dyDescent="0.3">
      <c r="C83" s="5">
        <v>45985</v>
      </c>
      <c r="D83" t="b">
        <f t="shared" si="1"/>
        <v>1</v>
      </c>
      <c r="F83" s="8">
        <v>45985</v>
      </c>
      <c r="H83" s="6">
        <v>86828.4</v>
      </c>
      <c r="I83" s="7">
        <v>89210.6</v>
      </c>
      <c r="J83" s="6">
        <v>85307.199999999997</v>
      </c>
      <c r="K83" s="7" t="s">
        <v>96</v>
      </c>
      <c r="L83" s="10">
        <v>1.6899999999999998E-2</v>
      </c>
    </row>
    <row r="84" spans="3:12" x14ac:dyDescent="0.3">
      <c r="C84" s="5">
        <v>45982</v>
      </c>
      <c r="D84" t="b">
        <f t="shared" si="1"/>
        <v>1</v>
      </c>
      <c r="F84" s="8">
        <v>45982</v>
      </c>
      <c r="H84" s="6">
        <v>86610.6</v>
      </c>
      <c r="I84" s="7">
        <v>87460</v>
      </c>
      <c r="J84" s="6">
        <v>80697.7</v>
      </c>
      <c r="K84" s="7" t="s">
        <v>97</v>
      </c>
      <c r="L84" s="10">
        <v>-1.7100000000000001E-2</v>
      </c>
    </row>
    <row r="85" spans="3:12" x14ac:dyDescent="0.3">
      <c r="C85" s="5">
        <v>45981</v>
      </c>
      <c r="D85" t="b">
        <f t="shared" si="1"/>
        <v>1</v>
      </c>
      <c r="F85" s="8">
        <v>45981</v>
      </c>
      <c r="H85" s="6">
        <v>91543.3</v>
      </c>
      <c r="I85" s="7">
        <v>93123.3</v>
      </c>
      <c r="J85" s="6">
        <v>86105.4</v>
      </c>
      <c r="K85" s="7" t="s">
        <v>98</v>
      </c>
      <c r="L85" s="10">
        <v>-5.3900000000000003E-2</v>
      </c>
    </row>
    <row r="86" spans="3:12" x14ac:dyDescent="0.3">
      <c r="C86" s="5">
        <v>45980</v>
      </c>
      <c r="D86" t="b">
        <f t="shared" si="1"/>
        <v>1</v>
      </c>
      <c r="F86" s="8">
        <v>45980</v>
      </c>
      <c r="H86" s="6">
        <v>92962.3</v>
      </c>
      <c r="I86" s="7">
        <v>92962.3</v>
      </c>
      <c r="J86" s="6">
        <v>88610.4</v>
      </c>
      <c r="K86" s="7" t="s">
        <v>99</v>
      </c>
      <c r="L86" s="10">
        <v>-1.5299999999999999E-2</v>
      </c>
    </row>
    <row r="87" spans="3:12" x14ac:dyDescent="0.3">
      <c r="C87" s="5">
        <v>45979</v>
      </c>
      <c r="D87" t="b">
        <f t="shared" si="1"/>
        <v>1</v>
      </c>
      <c r="F87" s="8">
        <v>45979</v>
      </c>
      <c r="H87" s="6">
        <v>92196.6</v>
      </c>
      <c r="I87" s="7">
        <v>93781.8</v>
      </c>
      <c r="J87" s="6">
        <v>89391.9</v>
      </c>
      <c r="K87" s="7" t="s">
        <v>100</v>
      </c>
      <c r="L87" s="10">
        <v>8.3000000000000001E-3</v>
      </c>
    </row>
    <row r="88" spans="3:12" x14ac:dyDescent="0.3">
      <c r="C88" s="5">
        <v>45978</v>
      </c>
      <c r="D88" t="b">
        <f t="shared" si="1"/>
        <v>1</v>
      </c>
      <c r="F88" s="8">
        <v>45978</v>
      </c>
      <c r="H88" s="6">
        <v>94259.8</v>
      </c>
      <c r="I88" s="7">
        <v>96002.7</v>
      </c>
      <c r="J88" s="6">
        <v>91327.8</v>
      </c>
      <c r="K88" s="7" t="s">
        <v>101</v>
      </c>
      <c r="L88" s="10">
        <v>-2.1899999999999999E-2</v>
      </c>
    </row>
    <row r="89" spans="3:12" x14ac:dyDescent="0.3">
      <c r="C89" s="5">
        <v>45975</v>
      </c>
      <c r="D89" t="b">
        <f t="shared" si="1"/>
        <v>1</v>
      </c>
      <c r="F89" s="8">
        <v>45975</v>
      </c>
      <c r="H89" s="6">
        <v>99707</v>
      </c>
      <c r="I89" s="7">
        <v>99843.9</v>
      </c>
      <c r="J89" s="6">
        <v>94126.2</v>
      </c>
      <c r="K89" s="7" t="s">
        <v>102</v>
      </c>
      <c r="L89" s="10">
        <v>-5.1900000000000002E-2</v>
      </c>
    </row>
    <row r="90" spans="3:12" x14ac:dyDescent="0.3">
      <c r="C90" s="5">
        <v>45974</v>
      </c>
      <c r="D90" t="b">
        <f t="shared" si="1"/>
        <v>1</v>
      </c>
      <c r="F90" s="8">
        <v>45974</v>
      </c>
      <c r="H90" s="6">
        <v>101652.8</v>
      </c>
      <c r="I90" s="7">
        <v>104008.7</v>
      </c>
      <c r="J90" s="6">
        <v>98027.4</v>
      </c>
      <c r="K90" s="7" t="s">
        <v>103</v>
      </c>
      <c r="L90" s="10">
        <v>-1.9E-2</v>
      </c>
    </row>
    <row r="91" spans="3:12" x14ac:dyDescent="0.3">
      <c r="C91" s="5">
        <v>45973</v>
      </c>
      <c r="D91" t="b">
        <f t="shared" si="1"/>
        <v>1</v>
      </c>
      <c r="F91" s="8">
        <v>45973</v>
      </c>
      <c r="H91" s="6">
        <v>103046.7</v>
      </c>
      <c r="I91" s="7">
        <v>105309.1</v>
      </c>
      <c r="J91" s="6">
        <v>100858</v>
      </c>
      <c r="K91" s="7" t="s">
        <v>104</v>
      </c>
      <c r="L91" s="10">
        <v>-1.35E-2</v>
      </c>
    </row>
    <row r="92" spans="3:12" x14ac:dyDescent="0.3">
      <c r="C92" s="5">
        <v>45972</v>
      </c>
      <c r="D92" t="b">
        <f t="shared" si="1"/>
        <v>1</v>
      </c>
      <c r="F92" s="8">
        <v>45972</v>
      </c>
      <c r="H92" s="6">
        <v>106003.2</v>
      </c>
      <c r="I92" s="7">
        <v>107461.3</v>
      </c>
      <c r="J92" s="6">
        <v>102484.3</v>
      </c>
      <c r="K92" s="7" t="s">
        <v>105</v>
      </c>
      <c r="L92" s="10">
        <v>-2.7900000000000001E-2</v>
      </c>
    </row>
    <row r="93" spans="3:12" x14ac:dyDescent="0.3">
      <c r="C93" s="5">
        <v>45971</v>
      </c>
      <c r="D93" t="b">
        <f t="shared" si="1"/>
        <v>1</v>
      </c>
      <c r="F93" s="8">
        <v>45971</v>
      </c>
      <c r="H93" s="6">
        <v>104720.8</v>
      </c>
      <c r="I93" s="7">
        <v>106629.5</v>
      </c>
      <c r="J93" s="6">
        <v>104285</v>
      </c>
      <c r="K93" s="7" t="s">
        <v>106</v>
      </c>
      <c r="L93" s="10">
        <v>1.23E-2</v>
      </c>
    </row>
    <row r="94" spans="3:12" x14ac:dyDescent="0.3">
      <c r="C94" s="5">
        <v>45968</v>
      </c>
      <c r="D94" t="b">
        <f t="shared" si="1"/>
        <v>1</v>
      </c>
      <c r="F94" s="8">
        <v>45968</v>
      </c>
      <c r="H94" s="6">
        <v>101330.3</v>
      </c>
      <c r="I94" s="7">
        <v>104067.9</v>
      </c>
      <c r="J94" s="6">
        <v>99290.8</v>
      </c>
      <c r="K94" s="7" t="s">
        <v>108</v>
      </c>
      <c r="L94" s="10">
        <v>1.9699999999999999E-2</v>
      </c>
    </row>
    <row r="95" spans="3:12" x14ac:dyDescent="0.3">
      <c r="C95" s="5">
        <v>45967</v>
      </c>
      <c r="D95" t="b">
        <f t="shared" si="1"/>
        <v>1</v>
      </c>
      <c r="F95" s="8">
        <v>45967</v>
      </c>
      <c r="H95" s="6">
        <v>103893</v>
      </c>
      <c r="I95" s="7">
        <v>104160.7</v>
      </c>
      <c r="J95" s="6">
        <v>100350.9</v>
      </c>
      <c r="K95" s="7" t="s">
        <v>109</v>
      </c>
      <c r="L95" s="10">
        <v>-2.47E-2</v>
      </c>
    </row>
    <row r="96" spans="3:12" x14ac:dyDescent="0.3">
      <c r="C96" s="5">
        <v>45966</v>
      </c>
      <c r="D96" t="b">
        <f t="shared" si="1"/>
        <v>1</v>
      </c>
      <c r="F96" s="8">
        <v>45966</v>
      </c>
      <c r="H96" s="6">
        <v>101500.8</v>
      </c>
      <c r="I96" s="7">
        <v>104534.3</v>
      </c>
      <c r="J96" s="6">
        <v>99010.6</v>
      </c>
      <c r="K96" s="7" t="s">
        <v>110</v>
      </c>
      <c r="L96" s="10">
        <v>2.3599999999999999E-2</v>
      </c>
    </row>
    <row r="97" spans="3:12" x14ac:dyDescent="0.3">
      <c r="C97" s="5">
        <v>45965</v>
      </c>
      <c r="D97" t="b">
        <f t="shared" si="1"/>
        <v>1</v>
      </c>
      <c r="F97" s="8">
        <v>45965</v>
      </c>
      <c r="H97" s="6">
        <v>106584.3</v>
      </c>
      <c r="I97" s="7">
        <v>107293.1</v>
      </c>
      <c r="J97" s="6">
        <v>99001.8</v>
      </c>
      <c r="K97" s="7" t="s">
        <v>111</v>
      </c>
      <c r="L97" s="10">
        <v>-4.7600000000000003E-2</v>
      </c>
    </row>
    <row r="98" spans="3:12" x14ac:dyDescent="0.3">
      <c r="C98" s="5">
        <v>45964</v>
      </c>
      <c r="D98" t="b">
        <f t="shared" si="1"/>
        <v>1</v>
      </c>
      <c r="F98" s="8">
        <v>45964</v>
      </c>
      <c r="H98" s="6">
        <v>110566.9</v>
      </c>
      <c r="I98" s="7">
        <v>110736.3</v>
      </c>
      <c r="J98" s="6">
        <v>105331.7</v>
      </c>
      <c r="K98" s="7" t="s">
        <v>112</v>
      </c>
      <c r="L98" s="10">
        <v>-3.6200000000000003E-2</v>
      </c>
    </row>
    <row r="99" spans="3:12" x14ac:dyDescent="0.3">
      <c r="C99" s="5">
        <v>45961</v>
      </c>
      <c r="D99" t="b">
        <f t="shared" si="1"/>
        <v>1</v>
      </c>
      <c r="F99" s="8">
        <v>45961</v>
      </c>
      <c r="H99" s="6">
        <v>108319.5</v>
      </c>
      <c r="I99" s="7">
        <v>111102.2</v>
      </c>
      <c r="J99" s="6">
        <v>108319.5</v>
      </c>
      <c r="K99" s="7" t="s">
        <v>113</v>
      </c>
      <c r="L99" s="10">
        <v>1.18E-2</v>
      </c>
    </row>
    <row r="100" spans="3:12" x14ac:dyDescent="0.3">
      <c r="C100" s="5">
        <v>45960</v>
      </c>
      <c r="D100" t="b">
        <f t="shared" si="1"/>
        <v>1</v>
      </c>
      <c r="F100" s="8">
        <v>45960</v>
      </c>
      <c r="H100" s="6">
        <v>110024.9</v>
      </c>
      <c r="I100" s="7">
        <v>111585.8</v>
      </c>
      <c r="J100" s="6">
        <v>106371.4</v>
      </c>
      <c r="K100" s="7" t="s">
        <v>114</v>
      </c>
      <c r="L100" s="10">
        <v>-1.55E-2</v>
      </c>
    </row>
    <row r="101" spans="3:12" x14ac:dyDescent="0.3">
      <c r="C101" s="5">
        <v>45959</v>
      </c>
      <c r="D101" t="b">
        <f t="shared" si="1"/>
        <v>1</v>
      </c>
      <c r="F101" s="8">
        <v>45959</v>
      </c>
      <c r="H101" s="6">
        <v>112904.7</v>
      </c>
      <c r="I101" s="7">
        <v>113628.7</v>
      </c>
      <c r="J101" s="6">
        <v>109506.4</v>
      </c>
      <c r="K101" s="7" t="s">
        <v>115</v>
      </c>
      <c r="L101" s="10">
        <v>-2.5499999999999998E-2</v>
      </c>
    </row>
    <row r="102" spans="3:12" x14ac:dyDescent="0.3">
      <c r="C102" s="5">
        <v>45958</v>
      </c>
      <c r="D102" t="b">
        <f t="shared" si="1"/>
        <v>1</v>
      </c>
      <c r="F102" s="8">
        <v>45958</v>
      </c>
      <c r="H102" s="6">
        <v>114110.3</v>
      </c>
      <c r="I102" s="7">
        <v>116076.7</v>
      </c>
      <c r="J102" s="6">
        <v>112266.9</v>
      </c>
      <c r="K102" s="7" t="s">
        <v>116</v>
      </c>
      <c r="L102" s="10">
        <v>-1.0500000000000001E-2</v>
      </c>
    </row>
    <row r="103" spans="3:12" x14ac:dyDescent="0.3">
      <c r="C103" s="5">
        <v>45957</v>
      </c>
      <c r="D103" t="b">
        <f t="shared" si="1"/>
        <v>1</v>
      </c>
      <c r="F103" s="8">
        <v>45957</v>
      </c>
      <c r="H103" s="6">
        <v>114553.9</v>
      </c>
      <c r="I103" s="7">
        <v>116307.5</v>
      </c>
      <c r="J103" s="6">
        <v>113868</v>
      </c>
      <c r="K103" s="7" t="s">
        <v>117</v>
      </c>
      <c r="L103" s="10">
        <v>-3.8999999999999998E-3</v>
      </c>
    </row>
    <row r="104" spans="3:12" x14ac:dyDescent="0.3">
      <c r="C104" s="5">
        <v>45954</v>
      </c>
      <c r="D104" t="b">
        <f t="shared" si="1"/>
        <v>1</v>
      </c>
      <c r="F104" s="8">
        <v>45954</v>
      </c>
      <c r="H104" s="6">
        <v>110078.9</v>
      </c>
      <c r="I104" s="7">
        <v>111966</v>
      </c>
      <c r="J104" s="6">
        <v>109776</v>
      </c>
      <c r="K104" s="7" t="s">
        <v>118</v>
      </c>
      <c r="L104" s="10">
        <v>8.5000000000000006E-3</v>
      </c>
    </row>
    <row r="105" spans="3:12" x14ac:dyDescent="0.3">
      <c r="C105" s="5">
        <v>45953</v>
      </c>
      <c r="D105" t="b">
        <f t="shared" si="1"/>
        <v>1</v>
      </c>
      <c r="F105" s="8">
        <v>45953</v>
      </c>
      <c r="H105" s="6">
        <v>107587.5</v>
      </c>
      <c r="I105" s="7">
        <v>111285.9</v>
      </c>
      <c r="J105" s="6">
        <v>107518.9</v>
      </c>
      <c r="K105" s="7" t="s">
        <v>119</v>
      </c>
      <c r="L105" s="10">
        <v>2.3199999999999998E-2</v>
      </c>
    </row>
    <row r="106" spans="3:12" x14ac:dyDescent="0.3">
      <c r="C106" s="5">
        <v>45952</v>
      </c>
      <c r="D106" t="b">
        <f t="shared" si="1"/>
        <v>1</v>
      </c>
      <c r="F106" s="8">
        <v>45952</v>
      </c>
      <c r="H106" s="6">
        <v>108336.4</v>
      </c>
      <c r="I106" s="7">
        <v>109081.5</v>
      </c>
      <c r="J106" s="6">
        <v>106746.2</v>
      </c>
      <c r="K106" s="7" t="s">
        <v>120</v>
      </c>
      <c r="L106" s="10">
        <v>-7.0000000000000001E-3</v>
      </c>
    </row>
    <row r="107" spans="3:12" x14ac:dyDescent="0.3">
      <c r="C107" s="5">
        <v>45951</v>
      </c>
      <c r="D107" t="b">
        <f t="shared" si="1"/>
        <v>1</v>
      </c>
      <c r="F107" s="8">
        <v>45951</v>
      </c>
      <c r="H107" s="6">
        <v>110544</v>
      </c>
      <c r="I107" s="7">
        <v>113971.6</v>
      </c>
      <c r="J107" s="6">
        <v>107491.1</v>
      </c>
      <c r="K107" s="7" t="s">
        <v>121</v>
      </c>
      <c r="L107" s="10">
        <v>-1.9900000000000001E-2</v>
      </c>
    </row>
    <row r="108" spans="3:12" x14ac:dyDescent="0.3">
      <c r="C108" s="5">
        <v>45950</v>
      </c>
      <c r="D108" t="b">
        <f t="shared" si="1"/>
        <v>1</v>
      </c>
      <c r="F108" s="8">
        <v>45950</v>
      </c>
      <c r="H108" s="6">
        <v>108656.3</v>
      </c>
      <c r="I108" s="7">
        <v>111677.2</v>
      </c>
      <c r="J108" s="6">
        <v>107443.1</v>
      </c>
      <c r="K108" s="7" t="s">
        <v>122</v>
      </c>
      <c r="L108" s="10">
        <v>1.7399999999999999E-2</v>
      </c>
    </row>
    <row r="109" spans="3:12" x14ac:dyDescent="0.3">
      <c r="C109" s="5">
        <v>45947</v>
      </c>
      <c r="D109" t="b">
        <f t="shared" si="1"/>
        <v>1</v>
      </c>
      <c r="F109" s="8">
        <v>45947</v>
      </c>
      <c r="H109" s="6">
        <v>108205.5</v>
      </c>
      <c r="I109" s="7">
        <v>109232.3</v>
      </c>
      <c r="J109" s="6">
        <v>103632.7</v>
      </c>
      <c r="K109" s="7" t="s">
        <v>124</v>
      </c>
      <c r="L109" s="10">
        <v>-1.6299999999999999E-2</v>
      </c>
    </row>
    <row r="110" spans="3:12" x14ac:dyDescent="0.3">
      <c r="C110" s="5">
        <v>45946</v>
      </c>
      <c r="D110" t="b">
        <f t="shared" si="1"/>
        <v>1</v>
      </c>
      <c r="F110" s="8">
        <v>45946</v>
      </c>
      <c r="H110" s="6">
        <v>110767.4</v>
      </c>
      <c r="I110" s="7">
        <v>111960.2</v>
      </c>
      <c r="J110" s="6">
        <v>107549.1</v>
      </c>
      <c r="K110" s="7" t="s">
        <v>125</v>
      </c>
      <c r="L110" s="10">
        <v>-2.3099999999999999E-2</v>
      </c>
    </row>
    <row r="111" spans="3:12" x14ac:dyDescent="0.3">
      <c r="C111" s="5">
        <v>45945</v>
      </c>
      <c r="D111" t="b">
        <f t="shared" si="1"/>
        <v>1</v>
      </c>
      <c r="F111" s="8">
        <v>45945</v>
      </c>
      <c r="H111" s="6">
        <v>113029.8</v>
      </c>
      <c r="I111" s="7">
        <v>113611.9</v>
      </c>
      <c r="J111" s="6">
        <v>110206.39999999999</v>
      </c>
      <c r="K111" s="7" t="s">
        <v>126</v>
      </c>
      <c r="L111" s="10">
        <v>-0.02</v>
      </c>
    </row>
    <row r="112" spans="3:12" x14ac:dyDescent="0.3">
      <c r="C112" s="5">
        <v>45944</v>
      </c>
      <c r="D112" t="b">
        <f t="shared" si="1"/>
        <v>1</v>
      </c>
      <c r="F112" s="8">
        <v>45944</v>
      </c>
      <c r="H112" s="6">
        <v>115174.8</v>
      </c>
      <c r="I112" s="7">
        <v>115400.6</v>
      </c>
      <c r="J112" s="6">
        <v>109948</v>
      </c>
      <c r="K112" s="7" t="s">
        <v>127</v>
      </c>
      <c r="L112" s="10">
        <v>-1.8599999999999998E-2</v>
      </c>
    </row>
    <row r="113" spans="3:12" x14ac:dyDescent="0.3">
      <c r="C113" s="5">
        <v>45943</v>
      </c>
      <c r="D113" t="b">
        <f t="shared" si="1"/>
        <v>1</v>
      </c>
      <c r="F113" s="8">
        <v>45943</v>
      </c>
      <c r="H113" s="6">
        <v>114985.9</v>
      </c>
      <c r="I113" s="7">
        <v>115893.1</v>
      </c>
      <c r="J113" s="6">
        <v>113802.1</v>
      </c>
      <c r="K113" s="7" t="s">
        <v>31</v>
      </c>
      <c r="L113" s="10">
        <v>1.6000000000000001E-3</v>
      </c>
    </row>
    <row r="114" spans="3:12" x14ac:dyDescent="0.3">
      <c r="C114" s="5">
        <v>45940</v>
      </c>
      <c r="D114" t="b">
        <f t="shared" si="1"/>
        <v>1</v>
      </c>
      <c r="F114" s="8">
        <v>45940</v>
      </c>
      <c r="H114" s="6">
        <v>121666.6</v>
      </c>
      <c r="I114" s="7">
        <v>122492.8</v>
      </c>
      <c r="J114" s="6">
        <v>103893.3</v>
      </c>
      <c r="K114" s="7" t="s">
        <v>128</v>
      </c>
      <c r="L114" s="10">
        <v>-7.22E-2</v>
      </c>
    </row>
    <row r="115" spans="3:12" x14ac:dyDescent="0.3">
      <c r="C115" s="5">
        <v>45939</v>
      </c>
      <c r="D115" t="b">
        <f t="shared" si="1"/>
        <v>1</v>
      </c>
      <c r="F115" s="8">
        <v>45939</v>
      </c>
      <c r="H115" s="6">
        <v>123337.60000000001</v>
      </c>
      <c r="I115" s="7">
        <v>123710.9</v>
      </c>
      <c r="J115" s="6">
        <v>119732.7</v>
      </c>
      <c r="K115" s="7" t="s">
        <v>129</v>
      </c>
      <c r="L115" s="10">
        <v>-1.3299999999999999E-2</v>
      </c>
    </row>
    <row r="116" spans="3:12" x14ac:dyDescent="0.3">
      <c r="C116" s="5">
        <v>45938</v>
      </c>
      <c r="D116" t="b">
        <f t="shared" si="1"/>
        <v>1</v>
      </c>
      <c r="F116" s="8">
        <v>45938</v>
      </c>
      <c r="H116" s="6">
        <v>121356.7</v>
      </c>
      <c r="I116" s="7">
        <v>124139.3</v>
      </c>
      <c r="J116" s="6">
        <v>121086.1</v>
      </c>
      <c r="K116" s="7" t="s">
        <v>130</v>
      </c>
      <c r="L116" s="10">
        <v>1.61E-2</v>
      </c>
    </row>
    <row r="117" spans="3:12" x14ac:dyDescent="0.3">
      <c r="C117" s="5">
        <v>45937</v>
      </c>
      <c r="D117" t="b">
        <f t="shared" si="1"/>
        <v>1</v>
      </c>
      <c r="F117" s="8">
        <v>45937</v>
      </c>
      <c r="H117" s="6">
        <v>124687.5</v>
      </c>
      <c r="I117" s="7">
        <v>125112.9</v>
      </c>
      <c r="J117" s="6">
        <v>120624.3</v>
      </c>
      <c r="K117" s="7" t="s">
        <v>131</v>
      </c>
      <c r="L117" s="10">
        <v>-2.7E-2</v>
      </c>
    </row>
    <row r="118" spans="3:12" x14ac:dyDescent="0.3">
      <c r="C118" s="5">
        <v>45936</v>
      </c>
      <c r="D118" t="b">
        <f t="shared" si="1"/>
        <v>1</v>
      </c>
      <c r="F118" s="8">
        <v>45936</v>
      </c>
      <c r="H118" s="6">
        <v>123475.5</v>
      </c>
      <c r="I118" s="7">
        <v>126186</v>
      </c>
      <c r="J118" s="6">
        <v>123144.6</v>
      </c>
      <c r="K118" s="7" t="s">
        <v>132</v>
      </c>
      <c r="L118" s="10">
        <v>1.01E-2</v>
      </c>
    </row>
    <row r="119" spans="3:12" x14ac:dyDescent="0.3">
      <c r="C119" s="5">
        <v>45933</v>
      </c>
      <c r="D119" t="b">
        <f t="shared" si="1"/>
        <v>1</v>
      </c>
      <c r="F119" s="8">
        <v>45933</v>
      </c>
      <c r="H119" s="6">
        <v>120566.1</v>
      </c>
      <c r="I119" s="7">
        <v>123889.8</v>
      </c>
      <c r="J119" s="6">
        <v>119272.6</v>
      </c>
      <c r="K119" s="7" t="s">
        <v>133</v>
      </c>
      <c r="L119" s="10">
        <v>1.38E-2</v>
      </c>
    </row>
    <row r="120" spans="3:12" x14ac:dyDescent="0.3">
      <c r="C120" s="5">
        <v>45932</v>
      </c>
      <c r="D120" t="b">
        <f t="shared" si="1"/>
        <v>1</v>
      </c>
      <c r="F120" s="8">
        <v>45932</v>
      </c>
      <c r="H120" s="6">
        <v>118577.1</v>
      </c>
      <c r="I120" s="7">
        <v>121023</v>
      </c>
      <c r="J120" s="6">
        <v>118318.1</v>
      </c>
      <c r="K120" s="7" t="s">
        <v>134</v>
      </c>
      <c r="L120" s="10">
        <v>1.6799999999999999E-2</v>
      </c>
    </row>
    <row r="121" spans="3:12" x14ac:dyDescent="0.3">
      <c r="C121" s="5">
        <v>45931</v>
      </c>
      <c r="D121" t="b">
        <f t="shared" si="1"/>
        <v>1</v>
      </c>
      <c r="F121" s="8">
        <v>45931</v>
      </c>
      <c r="H121" s="6">
        <v>114048.7</v>
      </c>
      <c r="I121" s="7">
        <v>118634.5</v>
      </c>
      <c r="J121" s="6">
        <v>113970.5</v>
      </c>
      <c r="K121" s="7" t="s">
        <v>135</v>
      </c>
      <c r="L121" s="10">
        <v>3.9699999999999999E-2</v>
      </c>
    </row>
    <row r="122" spans="3:12" x14ac:dyDescent="0.3">
      <c r="C122" s="5">
        <v>45930</v>
      </c>
      <c r="D122" t="b">
        <f t="shared" si="1"/>
        <v>1</v>
      </c>
      <c r="F122" s="8">
        <v>45930</v>
      </c>
      <c r="H122" s="6">
        <v>114355.4</v>
      </c>
      <c r="I122" s="7">
        <v>114776.2</v>
      </c>
      <c r="J122" s="6">
        <v>112672.5</v>
      </c>
      <c r="K122" s="7" t="s">
        <v>136</v>
      </c>
      <c r="L122" s="10">
        <v>-2.7000000000000001E-3</v>
      </c>
    </row>
    <row r="123" spans="3:12" x14ac:dyDescent="0.3">
      <c r="C123" s="5">
        <v>45929</v>
      </c>
      <c r="D123" t="b">
        <f t="shared" si="1"/>
        <v>1</v>
      </c>
      <c r="F123" s="8">
        <v>45929</v>
      </c>
      <c r="H123" s="6">
        <v>112177.4</v>
      </c>
      <c r="I123" s="7">
        <v>114412.5</v>
      </c>
      <c r="J123" s="6">
        <v>111571.1</v>
      </c>
      <c r="K123" s="7" t="s">
        <v>137</v>
      </c>
      <c r="L123" s="10">
        <v>1.95E-2</v>
      </c>
    </row>
    <row r="124" spans="3:12" x14ac:dyDescent="0.3">
      <c r="C124" s="5">
        <v>45926</v>
      </c>
      <c r="D124" t="b">
        <f t="shared" si="1"/>
        <v>1</v>
      </c>
      <c r="F124" s="8">
        <v>45926</v>
      </c>
      <c r="H124" s="6">
        <v>109012.4</v>
      </c>
      <c r="I124" s="7">
        <v>110299.1</v>
      </c>
      <c r="J124" s="6">
        <v>108673</v>
      </c>
      <c r="K124" s="7" t="s">
        <v>67</v>
      </c>
      <c r="L124" s="10">
        <v>5.8999999999999999E-3</v>
      </c>
    </row>
    <row r="125" spans="3:12" x14ac:dyDescent="0.3">
      <c r="C125" s="5">
        <v>45925</v>
      </c>
      <c r="D125" t="b">
        <f t="shared" si="1"/>
        <v>1</v>
      </c>
      <c r="F125" s="8">
        <v>45925</v>
      </c>
      <c r="H125" s="6">
        <v>113307.1</v>
      </c>
      <c r="I125" s="7">
        <v>113508.6</v>
      </c>
      <c r="J125" s="6">
        <v>108675.3</v>
      </c>
      <c r="K125" s="7" t="s">
        <v>138</v>
      </c>
      <c r="L125" s="10">
        <v>-3.7900000000000003E-2</v>
      </c>
    </row>
    <row r="126" spans="3:12" x14ac:dyDescent="0.3">
      <c r="C126" s="5">
        <v>45924</v>
      </c>
      <c r="D126" t="b">
        <f t="shared" si="1"/>
        <v>1</v>
      </c>
      <c r="F126" s="8">
        <v>45924</v>
      </c>
      <c r="H126" s="6">
        <v>112002.9</v>
      </c>
      <c r="I126" s="7">
        <v>113951</v>
      </c>
      <c r="J126" s="6">
        <v>111212</v>
      </c>
      <c r="K126" s="7" t="s">
        <v>139</v>
      </c>
      <c r="L126" s="10">
        <v>1.1599999999999999E-2</v>
      </c>
    </row>
    <row r="127" spans="3:12" x14ac:dyDescent="0.3">
      <c r="C127" s="5">
        <v>45923</v>
      </c>
      <c r="D127" t="b">
        <f t="shared" si="1"/>
        <v>1</v>
      </c>
      <c r="F127" s="8">
        <v>45923</v>
      </c>
      <c r="H127" s="6">
        <v>112673</v>
      </c>
      <c r="I127" s="7">
        <v>113279.9</v>
      </c>
      <c r="J127" s="6">
        <v>111501.9</v>
      </c>
      <c r="K127" s="7" t="s">
        <v>140</v>
      </c>
      <c r="L127" s="10">
        <v>-6.0000000000000001E-3</v>
      </c>
    </row>
    <row r="128" spans="3:12" x14ac:dyDescent="0.3">
      <c r="C128" s="5">
        <v>45922</v>
      </c>
      <c r="D128" t="b">
        <f t="shared" si="1"/>
        <v>1</v>
      </c>
      <c r="F128" s="8">
        <v>45922</v>
      </c>
      <c r="H128" s="6">
        <v>115243.3</v>
      </c>
      <c r="I128" s="7">
        <v>115382.7</v>
      </c>
      <c r="J128" s="6">
        <v>111964.9</v>
      </c>
      <c r="K128" s="7" t="s">
        <v>141</v>
      </c>
      <c r="L128" s="10">
        <v>-2.23E-2</v>
      </c>
    </row>
    <row r="129" spans="3:12" x14ac:dyDescent="0.3">
      <c r="C129" s="5">
        <v>45919</v>
      </c>
      <c r="D129" t="b">
        <f t="shared" si="1"/>
        <v>1</v>
      </c>
      <c r="F129" s="8">
        <v>45919</v>
      </c>
      <c r="H129" s="6">
        <v>117089.2</v>
      </c>
      <c r="I129" s="7">
        <v>117470.7</v>
      </c>
      <c r="J129" s="6">
        <v>115133.5</v>
      </c>
      <c r="K129" s="7" t="s">
        <v>142</v>
      </c>
      <c r="L129" s="10">
        <v>-1.23E-2</v>
      </c>
    </row>
    <row r="130" spans="3:12" x14ac:dyDescent="0.3">
      <c r="C130" s="5">
        <v>45918</v>
      </c>
      <c r="D130" t="b">
        <f t="shared" si="1"/>
        <v>1</v>
      </c>
      <c r="F130" s="8">
        <v>45918</v>
      </c>
      <c r="H130" s="6">
        <v>116426.5</v>
      </c>
      <c r="I130" s="7">
        <v>117910.39999999999</v>
      </c>
      <c r="J130" s="6">
        <v>116144.9</v>
      </c>
      <c r="K130" s="7" t="s">
        <v>143</v>
      </c>
      <c r="L130" s="10">
        <v>5.7000000000000002E-3</v>
      </c>
    </row>
    <row r="131" spans="3:12" x14ac:dyDescent="0.3">
      <c r="C131" s="5">
        <v>45917</v>
      </c>
      <c r="D131" t="b">
        <f t="shared" si="1"/>
        <v>1</v>
      </c>
      <c r="F131" s="8">
        <v>45917</v>
      </c>
      <c r="H131" s="6">
        <v>116795.9</v>
      </c>
      <c r="I131" s="7">
        <v>117284.2</v>
      </c>
      <c r="J131" s="6">
        <v>114782.5</v>
      </c>
      <c r="K131" s="7" t="s">
        <v>144</v>
      </c>
      <c r="L131" s="10">
        <v>-3.2000000000000002E-3</v>
      </c>
    </row>
    <row r="132" spans="3:12" x14ac:dyDescent="0.3">
      <c r="C132" s="5">
        <v>45916</v>
      </c>
      <c r="D132" t="b">
        <f t="shared" si="1"/>
        <v>1</v>
      </c>
      <c r="F132" s="8">
        <v>45916</v>
      </c>
      <c r="H132" s="6">
        <v>115362.1</v>
      </c>
      <c r="I132" s="7">
        <v>116970</v>
      </c>
      <c r="J132" s="6">
        <v>114801</v>
      </c>
      <c r="K132" s="7" t="s">
        <v>145</v>
      </c>
      <c r="L132" s="10">
        <v>1.24E-2</v>
      </c>
    </row>
    <row r="133" spans="3:12" x14ac:dyDescent="0.3">
      <c r="C133" s="5">
        <v>45915</v>
      </c>
      <c r="D133" t="b">
        <f t="shared" ref="D133:D196" si="2">C133=F133</f>
        <v>1</v>
      </c>
      <c r="F133" s="8">
        <v>45915</v>
      </c>
      <c r="H133" s="6">
        <v>115314.2</v>
      </c>
      <c r="I133" s="7">
        <v>116723.2</v>
      </c>
      <c r="J133" s="6">
        <v>114412.2</v>
      </c>
      <c r="K133" s="7" t="s">
        <v>146</v>
      </c>
      <c r="L133" s="10">
        <v>4.0000000000000002E-4</v>
      </c>
    </row>
    <row r="134" spans="3:12" x14ac:dyDescent="0.3">
      <c r="C134" s="5">
        <v>45912</v>
      </c>
      <c r="D134" t="b">
        <f t="shared" si="2"/>
        <v>1</v>
      </c>
      <c r="F134" s="8">
        <v>45912</v>
      </c>
      <c r="H134" s="6">
        <v>115490.5</v>
      </c>
      <c r="I134" s="7">
        <v>116684.3</v>
      </c>
      <c r="J134" s="6">
        <v>114766.1</v>
      </c>
      <c r="K134" s="7" t="s">
        <v>147</v>
      </c>
      <c r="L134" s="10">
        <v>4.7999999999999996E-3</v>
      </c>
    </row>
    <row r="135" spans="3:12" x14ac:dyDescent="0.3">
      <c r="C135" s="5">
        <v>45911</v>
      </c>
      <c r="D135" t="b">
        <f t="shared" si="2"/>
        <v>1</v>
      </c>
      <c r="F135" s="8">
        <v>45911</v>
      </c>
      <c r="H135" s="6">
        <v>113963.5</v>
      </c>
      <c r="I135" s="7">
        <v>115490.6</v>
      </c>
      <c r="J135" s="6">
        <v>113446.6</v>
      </c>
      <c r="K135" s="7" t="s">
        <v>148</v>
      </c>
      <c r="L135" s="10">
        <v>1.34E-2</v>
      </c>
    </row>
    <row r="136" spans="3:12" x14ac:dyDescent="0.3">
      <c r="C136" s="5">
        <v>45910</v>
      </c>
      <c r="D136" t="b">
        <f t="shared" si="2"/>
        <v>1</v>
      </c>
      <c r="F136" s="8">
        <v>45910</v>
      </c>
      <c r="H136" s="6">
        <v>111517.1</v>
      </c>
      <c r="I136" s="7">
        <v>114300.7</v>
      </c>
      <c r="J136" s="6">
        <v>110938.8</v>
      </c>
      <c r="K136" s="7" t="s">
        <v>149</v>
      </c>
      <c r="L136" s="10">
        <v>2.1899999999999999E-2</v>
      </c>
    </row>
    <row r="137" spans="3:12" x14ac:dyDescent="0.3">
      <c r="C137" s="5">
        <v>45909</v>
      </c>
      <c r="D137" t="b">
        <f t="shared" si="2"/>
        <v>1</v>
      </c>
      <c r="F137" s="8">
        <v>45909</v>
      </c>
      <c r="H137" s="6">
        <v>112066.3</v>
      </c>
      <c r="I137" s="7">
        <v>113259.9</v>
      </c>
      <c r="J137" s="6">
        <v>110781.1</v>
      </c>
      <c r="K137" s="7" t="s">
        <v>150</v>
      </c>
      <c r="L137" s="10">
        <v>-4.8999999999999998E-3</v>
      </c>
    </row>
    <row r="138" spans="3:12" x14ac:dyDescent="0.3">
      <c r="C138" s="5">
        <v>45908</v>
      </c>
      <c r="D138" t="b">
        <f t="shared" si="2"/>
        <v>1</v>
      </c>
      <c r="F138" s="8">
        <v>45908</v>
      </c>
      <c r="H138" s="6">
        <v>111140.9</v>
      </c>
      <c r="I138" s="7">
        <v>112896.9</v>
      </c>
      <c r="J138" s="6">
        <v>110630.5</v>
      </c>
      <c r="K138" s="7" t="s">
        <v>151</v>
      </c>
      <c r="L138" s="10">
        <v>8.3000000000000001E-3</v>
      </c>
    </row>
    <row r="139" spans="3:12" x14ac:dyDescent="0.3">
      <c r="C139" s="5">
        <v>45905</v>
      </c>
      <c r="D139" t="b">
        <f t="shared" si="2"/>
        <v>1</v>
      </c>
      <c r="F139" s="8">
        <v>45905</v>
      </c>
      <c r="H139" s="6">
        <v>110727.9</v>
      </c>
      <c r="I139" s="7">
        <v>113315.6</v>
      </c>
      <c r="J139" s="6">
        <v>110234.6</v>
      </c>
      <c r="K139" s="7" t="s">
        <v>152</v>
      </c>
      <c r="L139" s="10">
        <v>-5.0000000000000001E-4</v>
      </c>
    </row>
    <row r="140" spans="3:12" x14ac:dyDescent="0.3">
      <c r="C140" s="5">
        <v>45904</v>
      </c>
      <c r="D140" t="b">
        <f t="shared" si="2"/>
        <v>1</v>
      </c>
      <c r="F140" s="8">
        <v>45904</v>
      </c>
      <c r="H140" s="6">
        <v>111716.5</v>
      </c>
      <c r="I140" s="7">
        <v>112189.1</v>
      </c>
      <c r="J140" s="6">
        <v>109344.8</v>
      </c>
      <c r="K140" s="7" t="s">
        <v>153</v>
      </c>
      <c r="L140" s="10">
        <v>-8.9999999999999993E-3</v>
      </c>
    </row>
    <row r="141" spans="3:12" x14ac:dyDescent="0.3">
      <c r="C141" s="5">
        <v>45903</v>
      </c>
      <c r="D141" t="b">
        <f t="shared" si="2"/>
        <v>1</v>
      </c>
      <c r="F141" s="8">
        <v>45903</v>
      </c>
      <c r="H141" s="6">
        <v>111227.9</v>
      </c>
      <c r="I141" s="7">
        <v>112568.1</v>
      </c>
      <c r="J141" s="6">
        <v>110547.9</v>
      </c>
      <c r="K141" s="7" t="s">
        <v>145</v>
      </c>
      <c r="L141" s="10">
        <v>4.4999999999999997E-3</v>
      </c>
    </row>
    <row r="142" spans="3:12" x14ac:dyDescent="0.3">
      <c r="C142" s="5">
        <v>45902</v>
      </c>
      <c r="D142" t="b">
        <f t="shared" si="2"/>
        <v>1</v>
      </c>
      <c r="F142" s="8">
        <v>45902</v>
      </c>
      <c r="H142" s="6">
        <v>109241.60000000001</v>
      </c>
      <c r="I142" s="7">
        <v>111714.6</v>
      </c>
      <c r="J142" s="6">
        <v>108425.3</v>
      </c>
      <c r="K142" s="7" t="s">
        <v>154</v>
      </c>
      <c r="L142" s="10">
        <v>1.8100000000000002E-2</v>
      </c>
    </row>
    <row r="143" spans="3:12" x14ac:dyDescent="0.3">
      <c r="C143" s="5">
        <v>45898</v>
      </c>
      <c r="D143" t="b">
        <f t="shared" si="2"/>
        <v>1</v>
      </c>
      <c r="F143" s="8">
        <v>45898</v>
      </c>
      <c r="H143" s="6">
        <v>112568.9</v>
      </c>
      <c r="I143" s="7">
        <v>112617.3</v>
      </c>
      <c r="J143" s="6">
        <v>107538.7</v>
      </c>
      <c r="K143" s="7" t="s">
        <v>155</v>
      </c>
      <c r="L143" s="10">
        <v>-3.7400000000000003E-2</v>
      </c>
    </row>
    <row r="144" spans="3:12" x14ac:dyDescent="0.3">
      <c r="C144" s="5">
        <v>45897</v>
      </c>
      <c r="D144" t="b">
        <f t="shared" si="2"/>
        <v>1</v>
      </c>
      <c r="F144" s="8">
        <v>45897</v>
      </c>
      <c r="H144" s="6">
        <v>111263.2</v>
      </c>
      <c r="I144" s="7">
        <v>113464.6</v>
      </c>
      <c r="J144" s="6">
        <v>110887.7</v>
      </c>
      <c r="K144" s="7" t="s">
        <v>156</v>
      </c>
      <c r="L144" s="10">
        <v>1.18E-2</v>
      </c>
    </row>
    <row r="145" spans="3:12" x14ac:dyDescent="0.3">
      <c r="C145" s="5">
        <v>45896</v>
      </c>
      <c r="D145" t="b">
        <f t="shared" si="2"/>
        <v>1</v>
      </c>
      <c r="F145" s="8">
        <v>45896</v>
      </c>
      <c r="H145" s="6">
        <v>111768.6</v>
      </c>
      <c r="I145" s="7">
        <v>112611.3</v>
      </c>
      <c r="J145" s="6">
        <v>110409.9</v>
      </c>
      <c r="K145" s="7" t="s">
        <v>157</v>
      </c>
      <c r="L145" s="10">
        <v>-4.5999999999999999E-3</v>
      </c>
    </row>
    <row r="146" spans="3:12" x14ac:dyDescent="0.3">
      <c r="C146" s="5">
        <v>45895</v>
      </c>
      <c r="D146" t="b">
        <f t="shared" si="2"/>
        <v>1</v>
      </c>
      <c r="F146" s="8">
        <v>45895</v>
      </c>
      <c r="H146" s="6">
        <v>110118.39999999999</v>
      </c>
      <c r="I146" s="7">
        <v>112377</v>
      </c>
      <c r="J146" s="6">
        <v>108768.3</v>
      </c>
      <c r="K146" s="7" t="s">
        <v>158</v>
      </c>
      <c r="L146" s="10">
        <v>1.4999999999999999E-2</v>
      </c>
    </row>
    <row r="147" spans="3:12" x14ac:dyDescent="0.3">
      <c r="C147" s="5">
        <v>45894</v>
      </c>
      <c r="D147" t="b">
        <f t="shared" si="2"/>
        <v>1</v>
      </c>
      <c r="F147" s="8">
        <v>45894</v>
      </c>
      <c r="H147" s="6">
        <v>113486.6</v>
      </c>
      <c r="I147" s="7">
        <v>113665.1</v>
      </c>
      <c r="J147" s="6">
        <v>109295.1</v>
      </c>
      <c r="K147" s="7" t="s">
        <v>159</v>
      </c>
      <c r="L147" s="10">
        <v>-2.9700000000000001E-2</v>
      </c>
    </row>
    <row r="148" spans="3:12" x14ac:dyDescent="0.3">
      <c r="C148" s="5">
        <v>45891</v>
      </c>
      <c r="D148" t="b">
        <f t="shared" si="2"/>
        <v>1</v>
      </c>
      <c r="F148" s="8">
        <v>45891</v>
      </c>
      <c r="H148" s="6">
        <v>112492.9</v>
      </c>
      <c r="I148" s="6">
        <v>117416.9</v>
      </c>
      <c r="J148" s="6">
        <v>111698.5</v>
      </c>
      <c r="K148" s="7" t="s">
        <v>160</v>
      </c>
      <c r="L148" s="10">
        <v>3.95E-2</v>
      </c>
    </row>
    <row r="149" spans="3:12" x14ac:dyDescent="0.3">
      <c r="C149" s="5">
        <v>45890</v>
      </c>
      <c r="D149" t="b">
        <f t="shared" si="2"/>
        <v>1</v>
      </c>
      <c r="F149" s="8">
        <v>45890</v>
      </c>
      <c r="H149" s="6">
        <v>114275</v>
      </c>
      <c r="I149" s="6">
        <v>114776.3</v>
      </c>
      <c r="J149" s="6">
        <v>112023</v>
      </c>
      <c r="K149" s="7" t="s">
        <v>161</v>
      </c>
      <c r="L149" s="10">
        <v>-1.5699999999999999E-2</v>
      </c>
    </row>
    <row r="150" spans="3:12" x14ac:dyDescent="0.3">
      <c r="C150" s="5">
        <v>45889</v>
      </c>
      <c r="D150" t="b">
        <f t="shared" si="2"/>
        <v>1</v>
      </c>
      <c r="F150" s="8">
        <v>45889</v>
      </c>
      <c r="H150" s="6">
        <v>112878.1</v>
      </c>
      <c r="I150" s="6">
        <v>114616.7</v>
      </c>
      <c r="J150" s="6">
        <v>112409.4</v>
      </c>
      <c r="K150" s="7" t="s">
        <v>162</v>
      </c>
      <c r="L150" s="10">
        <v>1.24E-2</v>
      </c>
    </row>
    <row r="151" spans="3:12" x14ac:dyDescent="0.3">
      <c r="C151" s="5">
        <v>45888</v>
      </c>
      <c r="D151" t="b">
        <f t="shared" si="2"/>
        <v>1</v>
      </c>
      <c r="F151" s="8">
        <v>45888</v>
      </c>
      <c r="H151" s="6">
        <v>116218.9</v>
      </c>
      <c r="I151" s="6">
        <v>116729.2</v>
      </c>
      <c r="J151" s="6">
        <v>112750.9</v>
      </c>
      <c r="K151" s="7" t="s">
        <v>163</v>
      </c>
      <c r="L151" s="10">
        <v>-2.86E-2</v>
      </c>
    </row>
    <row r="152" spans="3:12" x14ac:dyDescent="0.3">
      <c r="C152" s="5">
        <v>45887</v>
      </c>
      <c r="D152" t="b">
        <f t="shared" si="2"/>
        <v>1</v>
      </c>
      <c r="F152" s="8">
        <v>45887</v>
      </c>
      <c r="H152" s="6">
        <v>117417.9</v>
      </c>
      <c r="I152" s="6">
        <v>117552.7</v>
      </c>
      <c r="J152" s="6">
        <v>114653.8</v>
      </c>
      <c r="K152" s="7" t="s">
        <v>164</v>
      </c>
      <c r="L152" s="10">
        <v>-1.0200000000000001E-2</v>
      </c>
    </row>
    <row r="153" spans="3:12" x14ac:dyDescent="0.3">
      <c r="C153" s="5">
        <v>45884</v>
      </c>
      <c r="D153" t="b">
        <f t="shared" si="2"/>
        <v>1</v>
      </c>
      <c r="F153" s="8">
        <v>45884</v>
      </c>
      <c r="H153" s="6">
        <v>118314.1</v>
      </c>
      <c r="I153" s="6">
        <v>119231.9</v>
      </c>
      <c r="J153" s="6">
        <v>116816.8</v>
      </c>
      <c r="K153" s="7" t="s">
        <v>165</v>
      </c>
      <c r="L153" s="10">
        <v>-8.0999999999999996E-3</v>
      </c>
    </row>
    <row r="154" spans="3:12" x14ac:dyDescent="0.3">
      <c r="C154" s="5">
        <v>45883</v>
      </c>
      <c r="D154" t="b">
        <f t="shared" si="2"/>
        <v>1</v>
      </c>
      <c r="F154" s="8">
        <v>45883</v>
      </c>
      <c r="H154" s="6">
        <v>123313.60000000001</v>
      </c>
      <c r="I154" s="6">
        <v>124436.8</v>
      </c>
      <c r="J154" s="6">
        <v>117275.1</v>
      </c>
      <c r="K154" s="7" t="s">
        <v>166</v>
      </c>
      <c r="L154" s="10">
        <v>-4.0599999999999997E-2</v>
      </c>
    </row>
    <row r="155" spans="3:12" x14ac:dyDescent="0.3">
      <c r="C155" s="5">
        <v>45882</v>
      </c>
      <c r="D155" t="b">
        <f t="shared" si="2"/>
        <v>1</v>
      </c>
      <c r="F155" s="8">
        <v>45882</v>
      </c>
      <c r="H155" s="6">
        <v>120138.4</v>
      </c>
      <c r="I155" s="6">
        <v>123651.8</v>
      </c>
      <c r="J155" s="6">
        <v>118959.9</v>
      </c>
      <c r="K155" s="7" t="s">
        <v>167</v>
      </c>
      <c r="L155" s="10">
        <v>2.64E-2</v>
      </c>
    </row>
    <row r="156" spans="3:12" x14ac:dyDescent="0.3">
      <c r="C156" s="5">
        <v>45881</v>
      </c>
      <c r="D156" t="b">
        <f t="shared" si="2"/>
        <v>1</v>
      </c>
      <c r="F156" s="8">
        <v>45881</v>
      </c>
      <c r="H156" s="6">
        <v>118689.60000000001</v>
      </c>
      <c r="I156" s="6">
        <v>120317.2</v>
      </c>
      <c r="J156" s="6">
        <v>118217.4</v>
      </c>
      <c r="K156" s="7" t="s">
        <v>168</v>
      </c>
      <c r="L156" s="10">
        <v>1.23E-2</v>
      </c>
    </row>
    <row r="157" spans="3:12" x14ac:dyDescent="0.3">
      <c r="C157" s="5">
        <v>45880</v>
      </c>
      <c r="D157" t="b">
        <f t="shared" si="2"/>
        <v>1</v>
      </c>
      <c r="F157" s="8">
        <v>45880</v>
      </c>
      <c r="H157" s="6">
        <v>119291.8</v>
      </c>
      <c r="I157" s="6">
        <v>122319.5</v>
      </c>
      <c r="J157" s="6">
        <v>118242.5</v>
      </c>
      <c r="K157" s="7" t="s">
        <v>169</v>
      </c>
      <c r="L157" s="10">
        <v>-5.0000000000000001E-3</v>
      </c>
    </row>
    <row r="158" spans="3:12" x14ac:dyDescent="0.3">
      <c r="C158" s="5">
        <v>45877</v>
      </c>
      <c r="D158" t="b">
        <f t="shared" si="2"/>
        <v>1</v>
      </c>
      <c r="F158" s="8">
        <v>45877</v>
      </c>
      <c r="H158" s="6">
        <v>117480.5</v>
      </c>
      <c r="I158" s="6">
        <v>117625.1</v>
      </c>
      <c r="J158" s="6">
        <v>115917.8</v>
      </c>
      <c r="K158" s="7" t="s">
        <v>170</v>
      </c>
      <c r="L158" s="10">
        <v>-6.7999999999999996E-3</v>
      </c>
    </row>
    <row r="159" spans="3:12" x14ac:dyDescent="0.3">
      <c r="C159" s="5">
        <v>45876</v>
      </c>
      <c r="D159" t="b">
        <f t="shared" si="2"/>
        <v>1</v>
      </c>
      <c r="F159" s="8">
        <v>45876</v>
      </c>
      <c r="H159" s="6">
        <v>115002.1</v>
      </c>
      <c r="I159" s="6">
        <v>117628.4</v>
      </c>
      <c r="J159" s="6">
        <v>114267.3</v>
      </c>
      <c r="K159" s="7" t="s">
        <v>171</v>
      </c>
      <c r="L159" s="10">
        <v>2.1600000000000001E-2</v>
      </c>
    </row>
    <row r="160" spans="3:12" x14ac:dyDescent="0.3">
      <c r="C160" s="5">
        <v>45875</v>
      </c>
      <c r="D160" t="b">
        <f t="shared" si="2"/>
        <v>1</v>
      </c>
      <c r="F160" s="11">
        <v>45875</v>
      </c>
      <c r="H160" s="9">
        <v>114131.7</v>
      </c>
      <c r="I160" s="9">
        <v>115714</v>
      </c>
      <c r="J160" s="9">
        <v>113361.2</v>
      </c>
      <c r="K160" t="s">
        <v>172</v>
      </c>
      <c r="L160" s="10">
        <v>7.6E-3</v>
      </c>
    </row>
    <row r="161" spans="3:12" x14ac:dyDescent="0.3">
      <c r="C161" s="5">
        <v>45874</v>
      </c>
      <c r="D161" t="b">
        <f t="shared" si="2"/>
        <v>1</v>
      </c>
      <c r="F161" s="11">
        <v>45874</v>
      </c>
      <c r="H161" s="9">
        <v>115055.3</v>
      </c>
      <c r="I161" s="9">
        <v>115111.7</v>
      </c>
      <c r="J161" s="9">
        <v>112678.9</v>
      </c>
      <c r="K161" t="s">
        <v>107</v>
      </c>
      <c r="L161" s="10">
        <v>-8.0000000000000002E-3</v>
      </c>
    </row>
    <row r="162" spans="3:12" x14ac:dyDescent="0.3">
      <c r="C162" s="5">
        <v>45873</v>
      </c>
      <c r="D162" t="b">
        <f t="shared" si="2"/>
        <v>1</v>
      </c>
      <c r="F162" s="11">
        <v>45873</v>
      </c>
      <c r="H162" s="9">
        <v>114213.1</v>
      </c>
      <c r="I162" s="9">
        <v>115720.9</v>
      </c>
      <c r="J162" s="9">
        <v>114116.1</v>
      </c>
      <c r="K162" t="s">
        <v>173</v>
      </c>
      <c r="L162" s="10">
        <v>7.4000000000000003E-3</v>
      </c>
    </row>
    <row r="163" spans="3:12" x14ac:dyDescent="0.3">
      <c r="C163" s="5">
        <v>45870</v>
      </c>
      <c r="D163" t="b">
        <f t="shared" si="2"/>
        <v>1</v>
      </c>
      <c r="F163" s="11">
        <v>45870</v>
      </c>
      <c r="H163" s="9">
        <v>115766.7</v>
      </c>
      <c r="I163" s="9">
        <v>116054.6</v>
      </c>
      <c r="J163" s="9">
        <v>112760.6</v>
      </c>
      <c r="K163" t="s">
        <v>174</v>
      </c>
      <c r="L163" s="10">
        <v>-2.12E-2</v>
      </c>
    </row>
    <row r="164" spans="3:12" x14ac:dyDescent="0.3">
      <c r="C164" s="5">
        <v>45869</v>
      </c>
      <c r="D164" t="b">
        <f t="shared" si="2"/>
        <v>1</v>
      </c>
      <c r="F164" s="11">
        <v>45869</v>
      </c>
      <c r="H164" s="9">
        <v>117840.4</v>
      </c>
      <c r="I164" s="9">
        <v>118920.7</v>
      </c>
      <c r="J164" s="9">
        <v>115510</v>
      </c>
      <c r="K164" t="s">
        <v>175</v>
      </c>
      <c r="L164" s="10">
        <v>-1.7600000000000001E-2</v>
      </c>
    </row>
    <row r="165" spans="3:12" x14ac:dyDescent="0.3">
      <c r="C165" s="5">
        <v>45868</v>
      </c>
      <c r="D165" t="b">
        <f t="shared" si="2"/>
        <v>1</v>
      </c>
      <c r="F165" s="11">
        <v>45868</v>
      </c>
      <c r="H165" s="9">
        <v>117949.8</v>
      </c>
      <c r="I165" s="9">
        <v>118693.5</v>
      </c>
      <c r="J165" s="9">
        <v>115830.7</v>
      </c>
      <c r="K165" t="s">
        <v>176</v>
      </c>
      <c r="L165" s="10">
        <v>-8.9999999999999998E-4</v>
      </c>
    </row>
    <row r="166" spans="3:12" x14ac:dyDescent="0.3">
      <c r="C166" s="5">
        <v>45867</v>
      </c>
      <c r="D166" t="b">
        <f t="shared" si="2"/>
        <v>1</v>
      </c>
      <c r="F166" s="11">
        <v>45867</v>
      </c>
      <c r="H166" s="9">
        <v>118054.8</v>
      </c>
      <c r="I166" s="9">
        <v>119261</v>
      </c>
      <c r="J166" s="9">
        <v>117002.7</v>
      </c>
      <c r="K166" t="s">
        <v>177</v>
      </c>
      <c r="L166" s="10">
        <v>-8.9999999999999998E-4</v>
      </c>
    </row>
    <row r="167" spans="3:12" x14ac:dyDescent="0.3">
      <c r="C167" s="5">
        <v>45866</v>
      </c>
      <c r="D167" t="b">
        <f t="shared" si="2"/>
        <v>1</v>
      </c>
      <c r="F167" s="11">
        <v>45866</v>
      </c>
      <c r="H167" s="9">
        <v>119402.7</v>
      </c>
      <c r="I167" s="9">
        <v>119788.2</v>
      </c>
      <c r="J167" s="9">
        <v>117426.5</v>
      </c>
      <c r="K167" t="s">
        <v>178</v>
      </c>
      <c r="L167" s="10">
        <v>-1.1299999999999999E-2</v>
      </c>
    </row>
    <row r="168" spans="3:12" x14ac:dyDescent="0.3">
      <c r="C168" s="5">
        <v>45863</v>
      </c>
      <c r="D168" t="b">
        <f t="shared" si="2"/>
        <v>1</v>
      </c>
      <c r="F168" s="11">
        <v>45863</v>
      </c>
      <c r="H168" s="9">
        <v>118311.5</v>
      </c>
      <c r="I168" s="9">
        <v>118449.8</v>
      </c>
      <c r="J168" s="9">
        <v>114843.5</v>
      </c>
      <c r="K168" t="s">
        <v>179</v>
      </c>
      <c r="L168" s="10">
        <v>-5.7000000000000002E-3</v>
      </c>
    </row>
    <row r="169" spans="3:12" x14ac:dyDescent="0.3">
      <c r="C169" s="5">
        <v>45862</v>
      </c>
      <c r="D169" t="b">
        <f t="shared" si="2"/>
        <v>1</v>
      </c>
      <c r="F169" s="11">
        <v>45862</v>
      </c>
      <c r="H169" s="9">
        <v>118760.7</v>
      </c>
      <c r="I169" s="9">
        <v>119459.7</v>
      </c>
      <c r="J169" s="9">
        <v>117141.7</v>
      </c>
      <c r="K169" t="s">
        <v>180</v>
      </c>
      <c r="L169" s="10">
        <v>-3.8E-3</v>
      </c>
    </row>
    <row r="170" spans="3:12" x14ac:dyDescent="0.3">
      <c r="C170" s="5">
        <v>45861</v>
      </c>
      <c r="D170" t="b">
        <f t="shared" si="2"/>
        <v>1</v>
      </c>
      <c r="F170" s="11">
        <v>45861</v>
      </c>
      <c r="H170" s="9">
        <v>119965.5</v>
      </c>
      <c r="I170" s="9">
        <v>120089.5</v>
      </c>
      <c r="J170" s="9">
        <v>117345.2</v>
      </c>
      <c r="K170" t="s">
        <v>181</v>
      </c>
      <c r="L170" s="10">
        <v>-0.01</v>
      </c>
    </row>
    <row r="171" spans="3:12" x14ac:dyDescent="0.3">
      <c r="C171" s="5">
        <v>45860</v>
      </c>
      <c r="D171" t="b">
        <f t="shared" si="2"/>
        <v>1</v>
      </c>
      <c r="F171" s="11">
        <v>45860</v>
      </c>
      <c r="H171" s="9">
        <v>117388.2</v>
      </c>
      <c r="I171" s="9">
        <v>120253.1</v>
      </c>
      <c r="J171" s="9">
        <v>116199.1</v>
      </c>
      <c r="K171" t="s">
        <v>182</v>
      </c>
      <c r="L171" s="10">
        <v>2.1999999999999999E-2</v>
      </c>
    </row>
    <row r="172" spans="3:12" x14ac:dyDescent="0.3">
      <c r="C172" s="5">
        <v>45859</v>
      </c>
      <c r="D172" t="b">
        <f t="shared" si="2"/>
        <v>1</v>
      </c>
      <c r="F172" s="11">
        <v>45859</v>
      </c>
      <c r="H172" s="9">
        <v>117297.2</v>
      </c>
      <c r="I172" s="9">
        <v>119634</v>
      </c>
      <c r="J172" s="9">
        <v>116540.9</v>
      </c>
      <c r="K172" t="s">
        <v>183</v>
      </c>
      <c r="L172" s="10">
        <v>8.0000000000000004E-4</v>
      </c>
    </row>
    <row r="173" spans="3:12" x14ac:dyDescent="0.3">
      <c r="C173" s="5">
        <v>45856</v>
      </c>
      <c r="D173" t="b">
        <f t="shared" si="2"/>
        <v>1</v>
      </c>
      <c r="F173" s="11">
        <v>45856</v>
      </c>
      <c r="H173" s="9">
        <v>119196.4</v>
      </c>
      <c r="I173" s="9">
        <v>120801.2</v>
      </c>
      <c r="J173" s="9">
        <v>116839.2</v>
      </c>
      <c r="K173" t="s">
        <v>184</v>
      </c>
      <c r="L173" s="10">
        <v>-1.0500000000000001E-2</v>
      </c>
    </row>
    <row r="174" spans="3:12" x14ac:dyDescent="0.3">
      <c r="C174" s="5">
        <v>45855</v>
      </c>
      <c r="D174" t="b">
        <f t="shared" si="2"/>
        <v>1</v>
      </c>
      <c r="F174" s="11">
        <v>45855</v>
      </c>
      <c r="H174" s="9">
        <v>118680.6</v>
      </c>
      <c r="I174" s="9">
        <v>120944.5</v>
      </c>
      <c r="J174" s="9">
        <v>117489.7</v>
      </c>
      <c r="K174" t="s">
        <v>185</v>
      </c>
      <c r="L174" s="10">
        <v>4.3E-3</v>
      </c>
    </row>
    <row r="175" spans="3:12" x14ac:dyDescent="0.3">
      <c r="C175" s="5">
        <v>45854</v>
      </c>
      <c r="D175" t="b">
        <f t="shared" si="2"/>
        <v>1</v>
      </c>
      <c r="F175" s="11">
        <v>45854</v>
      </c>
      <c r="H175" s="9">
        <v>117762.4</v>
      </c>
      <c r="I175" s="9">
        <v>120028</v>
      </c>
      <c r="J175" s="9">
        <v>117030.5</v>
      </c>
      <c r="K175" t="s">
        <v>186</v>
      </c>
      <c r="L175" s="10">
        <v>7.7999999999999996E-3</v>
      </c>
    </row>
    <row r="176" spans="3:12" x14ac:dyDescent="0.3">
      <c r="C176" s="5">
        <v>45853</v>
      </c>
      <c r="D176" t="b">
        <f t="shared" si="2"/>
        <v>1</v>
      </c>
      <c r="F176" s="11">
        <v>45853</v>
      </c>
      <c r="H176" s="9">
        <v>119846.7</v>
      </c>
      <c r="I176" s="9">
        <v>119944</v>
      </c>
      <c r="J176" s="9">
        <v>115774</v>
      </c>
      <c r="K176" t="s">
        <v>187</v>
      </c>
      <c r="L176" s="10">
        <v>-1.7399999999999999E-2</v>
      </c>
    </row>
    <row r="177" spans="3:12" x14ac:dyDescent="0.3">
      <c r="C177" s="5">
        <v>45852</v>
      </c>
      <c r="D177" t="b">
        <f t="shared" si="2"/>
        <v>1</v>
      </c>
      <c r="F177" s="11">
        <v>45852</v>
      </c>
      <c r="H177" s="9">
        <v>119092.2</v>
      </c>
      <c r="I177" s="9">
        <v>123104.7</v>
      </c>
      <c r="J177" s="9">
        <v>118913.7</v>
      </c>
      <c r="K177" t="s">
        <v>188</v>
      </c>
      <c r="L177" s="10">
        <v>6.4000000000000003E-3</v>
      </c>
    </row>
    <row r="178" spans="3:12" x14ac:dyDescent="0.3">
      <c r="C178" s="5">
        <v>45849</v>
      </c>
      <c r="D178" t="b">
        <f t="shared" si="2"/>
        <v>1</v>
      </c>
      <c r="F178" s="11">
        <v>45849</v>
      </c>
      <c r="H178" s="9">
        <v>115994</v>
      </c>
      <c r="I178" s="9">
        <v>118848.4</v>
      </c>
      <c r="J178" s="9">
        <v>115261.9</v>
      </c>
      <c r="K178" t="s">
        <v>189</v>
      </c>
      <c r="L178" s="10">
        <v>1.3299999999999999E-2</v>
      </c>
    </row>
    <row r="179" spans="3:12" x14ac:dyDescent="0.3">
      <c r="C179" s="5">
        <v>45848</v>
      </c>
      <c r="D179" t="b">
        <f t="shared" si="2"/>
        <v>1</v>
      </c>
      <c r="F179" s="11">
        <v>45848</v>
      </c>
      <c r="H179" s="9">
        <v>111246.1</v>
      </c>
      <c r="I179" s="9">
        <v>116626.3</v>
      </c>
      <c r="J179" s="9">
        <v>110631.9</v>
      </c>
      <c r="K179" t="s">
        <v>190</v>
      </c>
      <c r="L179" s="10">
        <v>4.2700000000000002E-2</v>
      </c>
    </row>
    <row r="180" spans="3:12" x14ac:dyDescent="0.3">
      <c r="C180" s="5">
        <v>45847</v>
      </c>
      <c r="D180" t="b">
        <f t="shared" si="2"/>
        <v>1</v>
      </c>
      <c r="F180" s="11">
        <v>45847</v>
      </c>
      <c r="H180" s="9">
        <v>108913.1</v>
      </c>
      <c r="I180" s="9">
        <v>111915.7</v>
      </c>
      <c r="J180" s="9">
        <v>108329.9</v>
      </c>
      <c r="K180" t="s">
        <v>191</v>
      </c>
      <c r="L180" s="10">
        <v>2.1399999999999999E-2</v>
      </c>
    </row>
    <row r="181" spans="3:12" x14ac:dyDescent="0.3">
      <c r="C181" s="5">
        <v>45846</v>
      </c>
      <c r="D181" t="b">
        <f t="shared" si="2"/>
        <v>1</v>
      </c>
      <c r="F181" s="11">
        <v>45846</v>
      </c>
      <c r="H181" s="9">
        <v>108267.6</v>
      </c>
      <c r="I181" s="9">
        <v>109208.3</v>
      </c>
      <c r="J181" s="9">
        <v>107474.2</v>
      </c>
      <c r="K181" t="s">
        <v>192</v>
      </c>
      <c r="L181" s="10">
        <v>5.8999999999999999E-3</v>
      </c>
    </row>
    <row r="182" spans="3:12" x14ac:dyDescent="0.3">
      <c r="C182" s="5">
        <v>45845</v>
      </c>
      <c r="D182" t="b">
        <f t="shared" si="2"/>
        <v>1</v>
      </c>
      <c r="F182" s="11">
        <v>45845</v>
      </c>
      <c r="H182" s="9">
        <v>109207</v>
      </c>
      <c r="I182" s="9">
        <v>109686.8</v>
      </c>
      <c r="J182" s="9">
        <v>107526.5</v>
      </c>
      <c r="K182" t="s">
        <v>193</v>
      </c>
      <c r="L182" s="10">
        <v>-8.6E-3</v>
      </c>
    </row>
    <row r="183" spans="3:12" x14ac:dyDescent="0.3">
      <c r="C183" s="5">
        <v>45841</v>
      </c>
      <c r="D183" t="b">
        <f t="shared" si="2"/>
        <v>1</v>
      </c>
      <c r="F183" s="11">
        <v>45841</v>
      </c>
      <c r="H183" s="9">
        <v>108846.7</v>
      </c>
      <c r="I183" s="9">
        <v>110506.8</v>
      </c>
      <c r="J183" s="9">
        <v>108550.8</v>
      </c>
      <c r="K183" t="s">
        <v>194</v>
      </c>
      <c r="L183" s="10">
        <v>7.0000000000000001E-3</v>
      </c>
    </row>
    <row r="184" spans="3:12" x14ac:dyDescent="0.3">
      <c r="C184" s="5">
        <v>45840</v>
      </c>
      <c r="D184" t="b">
        <f t="shared" si="2"/>
        <v>1</v>
      </c>
      <c r="F184" s="11">
        <v>45840</v>
      </c>
      <c r="H184" s="9">
        <v>105694</v>
      </c>
      <c r="I184" s="9">
        <v>109727.8</v>
      </c>
      <c r="J184" s="9">
        <v>105163.5</v>
      </c>
      <c r="K184" t="s">
        <v>195</v>
      </c>
      <c r="L184" s="10">
        <v>2.98E-2</v>
      </c>
    </row>
    <row r="185" spans="3:12" x14ac:dyDescent="0.3">
      <c r="C185" s="5">
        <v>45839</v>
      </c>
      <c r="D185" t="b">
        <f t="shared" si="2"/>
        <v>1</v>
      </c>
      <c r="F185" s="11">
        <v>45839</v>
      </c>
      <c r="H185" s="9">
        <v>107176.4</v>
      </c>
      <c r="I185" s="9">
        <v>107532.3</v>
      </c>
      <c r="J185" s="9">
        <v>105289.4</v>
      </c>
      <c r="K185" t="s">
        <v>123</v>
      </c>
      <c r="L185" s="10">
        <v>-1.38E-2</v>
      </c>
    </row>
    <row r="186" spans="3:12" x14ac:dyDescent="0.3">
      <c r="C186" s="5">
        <v>45838</v>
      </c>
      <c r="D186" t="b">
        <f t="shared" si="2"/>
        <v>1</v>
      </c>
      <c r="F186" s="11">
        <v>45838</v>
      </c>
      <c r="H186" s="9">
        <v>108362.3</v>
      </c>
      <c r="I186" s="9">
        <v>108777</v>
      </c>
      <c r="J186" s="9">
        <v>106743.1</v>
      </c>
      <c r="K186" t="s">
        <v>196</v>
      </c>
      <c r="L186" s="10">
        <v>-1.0999999999999999E-2</v>
      </c>
    </row>
    <row r="187" spans="3:12" x14ac:dyDescent="0.3">
      <c r="C187" s="5">
        <v>45835</v>
      </c>
      <c r="D187" t="b">
        <f t="shared" si="2"/>
        <v>1</v>
      </c>
      <c r="F187" s="11">
        <v>45835</v>
      </c>
      <c r="H187" s="9">
        <v>106948</v>
      </c>
      <c r="I187" s="9">
        <v>107726.5</v>
      </c>
      <c r="J187" s="9">
        <v>106414.1</v>
      </c>
      <c r="K187" t="s">
        <v>197</v>
      </c>
      <c r="L187" s="10">
        <v>8.9999999999999998E-4</v>
      </c>
    </row>
    <row r="188" spans="3:12" x14ac:dyDescent="0.3">
      <c r="C188" s="5">
        <v>45834</v>
      </c>
      <c r="D188" t="b">
        <f t="shared" si="2"/>
        <v>1</v>
      </c>
      <c r="F188" s="11">
        <v>45834</v>
      </c>
      <c r="H188" s="9">
        <v>107350.6</v>
      </c>
      <c r="I188" s="9">
        <v>108261.2</v>
      </c>
      <c r="J188" s="9">
        <v>106650</v>
      </c>
      <c r="K188" t="s">
        <v>198</v>
      </c>
      <c r="L188" s="10">
        <v>-3.8E-3</v>
      </c>
    </row>
    <row r="189" spans="3:12" x14ac:dyDescent="0.3">
      <c r="C189" s="5">
        <v>45833</v>
      </c>
      <c r="D189" t="b">
        <f t="shared" si="2"/>
        <v>1</v>
      </c>
      <c r="F189" s="11">
        <v>45833</v>
      </c>
      <c r="H189" s="9">
        <v>106086</v>
      </c>
      <c r="I189" s="9">
        <v>108128</v>
      </c>
      <c r="J189" s="9">
        <v>105828.2</v>
      </c>
      <c r="K189" t="s">
        <v>199</v>
      </c>
      <c r="L189" s="10">
        <v>1.2E-2</v>
      </c>
    </row>
    <row r="190" spans="3:12" x14ac:dyDescent="0.3">
      <c r="C190" s="5">
        <v>45832</v>
      </c>
      <c r="D190" t="b">
        <f t="shared" si="2"/>
        <v>1</v>
      </c>
      <c r="F190" s="11">
        <v>45832</v>
      </c>
      <c r="H190" s="9">
        <v>105376.9</v>
      </c>
      <c r="I190" s="9">
        <v>106268.7</v>
      </c>
      <c r="J190" s="9">
        <v>104642.9</v>
      </c>
      <c r="K190" t="s">
        <v>200</v>
      </c>
      <c r="L190" s="10">
        <v>6.7000000000000002E-3</v>
      </c>
    </row>
    <row r="191" spans="3:12" x14ac:dyDescent="0.3">
      <c r="C191" s="5">
        <v>45831</v>
      </c>
      <c r="D191" t="b">
        <f t="shared" si="2"/>
        <v>1</v>
      </c>
      <c r="F191" s="11">
        <v>45831</v>
      </c>
      <c r="H191" s="9">
        <v>100782.5</v>
      </c>
      <c r="I191" s="9">
        <v>106032.7</v>
      </c>
      <c r="J191" s="9">
        <v>99696.9</v>
      </c>
      <c r="K191" t="s">
        <v>201</v>
      </c>
      <c r="L191" s="10">
        <v>4.3400000000000001E-2</v>
      </c>
    </row>
    <row r="192" spans="3:12" x14ac:dyDescent="0.3">
      <c r="C192" s="5">
        <v>45828</v>
      </c>
      <c r="D192" t="b">
        <f t="shared" si="2"/>
        <v>1</v>
      </c>
      <c r="F192" s="11">
        <v>45828</v>
      </c>
      <c r="H192" s="9">
        <v>104669.6</v>
      </c>
      <c r="I192" s="9">
        <v>106520.3</v>
      </c>
      <c r="J192" s="9">
        <v>102396.8</v>
      </c>
      <c r="K192" t="s">
        <v>202</v>
      </c>
      <c r="L192" s="10">
        <v>-1.3299999999999999E-2</v>
      </c>
    </row>
    <row r="193" spans="3:12" x14ac:dyDescent="0.3">
      <c r="C193" s="5">
        <v>45826</v>
      </c>
      <c r="D193" t="b">
        <f t="shared" si="2"/>
        <v>1</v>
      </c>
      <c r="F193" s="11">
        <v>45826</v>
      </c>
      <c r="H193" s="9">
        <v>104571.4</v>
      </c>
      <c r="I193" s="9">
        <v>105553</v>
      </c>
      <c r="J193" s="9">
        <v>103622.39999999999</v>
      </c>
      <c r="K193" t="s">
        <v>203</v>
      </c>
      <c r="L193" s="10">
        <v>3.2000000000000002E-3</v>
      </c>
    </row>
    <row r="194" spans="3:12" x14ac:dyDescent="0.3">
      <c r="C194" s="5">
        <v>45825</v>
      </c>
      <c r="D194" t="b">
        <f t="shared" si="2"/>
        <v>1</v>
      </c>
      <c r="F194" s="11">
        <v>45825</v>
      </c>
      <c r="H194" s="9">
        <v>106769.8</v>
      </c>
      <c r="I194" s="9">
        <v>107747.4</v>
      </c>
      <c r="J194" s="9">
        <v>103386.3</v>
      </c>
      <c r="K194" t="s">
        <v>204</v>
      </c>
      <c r="L194" s="10">
        <v>-2.0400000000000001E-2</v>
      </c>
    </row>
    <row r="195" spans="3:12" x14ac:dyDescent="0.3">
      <c r="C195" s="5">
        <v>45824</v>
      </c>
      <c r="D195" t="b">
        <f t="shared" si="2"/>
        <v>1</v>
      </c>
      <c r="F195" s="11">
        <v>45824</v>
      </c>
      <c r="H195" s="9">
        <v>105594</v>
      </c>
      <c r="I195" s="9">
        <v>108899.3</v>
      </c>
      <c r="J195" s="9">
        <v>104993.8</v>
      </c>
      <c r="K195" t="s">
        <v>205</v>
      </c>
      <c r="L195" s="10">
        <v>1.09E-2</v>
      </c>
    </row>
    <row r="196" spans="3:12" x14ac:dyDescent="0.3">
      <c r="C196" s="5">
        <v>45821</v>
      </c>
      <c r="D196" t="b">
        <f t="shared" si="2"/>
        <v>1</v>
      </c>
      <c r="F196" s="11">
        <v>45821</v>
      </c>
      <c r="H196" s="9">
        <v>105702.7</v>
      </c>
      <c r="I196" s="9">
        <v>106147</v>
      </c>
      <c r="J196" s="9">
        <v>102739.6</v>
      </c>
      <c r="K196" t="s">
        <v>206</v>
      </c>
      <c r="L196" s="10">
        <v>3.5999999999999999E-3</v>
      </c>
    </row>
    <row r="197" spans="3:12" x14ac:dyDescent="0.3">
      <c r="C197" s="5">
        <v>45820</v>
      </c>
      <c r="D197" t="b">
        <f t="shared" ref="D197:D253" si="3">C197=F197</f>
        <v>1</v>
      </c>
      <c r="F197" s="11">
        <v>45820</v>
      </c>
      <c r="H197" s="9">
        <v>108662.2</v>
      </c>
      <c r="I197" s="9">
        <v>108776.2</v>
      </c>
      <c r="J197" s="9">
        <v>105703</v>
      </c>
      <c r="K197" t="s">
        <v>207</v>
      </c>
      <c r="L197" s="10">
        <v>-2.7199999999999998E-2</v>
      </c>
    </row>
    <row r="198" spans="3:12" x14ac:dyDescent="0.3">
      <c r="C198" s="5">
        <v>45819</v>
      </c>
      <c r="D198" t="b">
        <f t="shared" si="3"/>
        <v>1</v>
      </c>
      <c r="F198" s="11">
        <v>45819</v>
      </c>
      <c r="H198" s="9">
        <v>110269.2</v>
      </c>
      <c r="I198" s="9">
        <v>110386.1</v>
      </c>
      <c r="J198" s="9">
        <v>108081.9</v>
      </c>
      <c r="K198" t="s">
        <v>208</v>
      </c>
      <c r="L198" s="10">
        <v>-1.46E-2</v>
      </c>
    </row>
    <row r="199" spans="3:12" x14ac:dyDescent="0.3">
      <c r="C199" s="5">
        <v>45818</v>
      </c>
      <c r="D199" t="b">
        <f t="shared" si="3"/>
        <v>1</v>
      </c>
      <c r="F199" s="11">
        <v>45818</v>
      </c>
      <c r="H199" s="9">
        <v>110268.3</v>
      </c>
      <c r="I199" s="9">
        <v>110369.2</v>
      </c>
      <c r="J199" s="9">
        <v>108380.6</v>
      </c>
      <c r="K199" t="s">
        <v>209</v>
      </c>
      <c r="L199" s="10">
        <v>0</v>
      </c>
    </row>
    <row r="200" spans="3:12" x14ac:dyDescent="0.3">
      <c r="C200" s="5">
        <v>45817</v>
      </c>
      <c r="D200" t="b">
        <f t="shared" si="3"/>
        <v>1</v>
      </c>
      <c r="F200" s="11">
        <v>45817</v>
      </c>
      <c r="H200" s="9">
        <v>105739.6</v>
      </c>
      <c r="I200" s="9">
        <v>110404.9</v>
      </c>
      <c r="J200" s="9">
        <v>105333.3</v>
      </c>
      <c r="K200" t="s">
        <v>210</v>
      </c>
      <c r="L200" s="10">
        <v>4.2799999999999998E-2</v>
      </c>
    </row>
    <row r="201" spans="3:12" x14ac:dyDescent="0.3">
      <c r="C201" s="5">
        <v>45814</v>
      </c>
      <c r="D201" t="b">
        <f t="shared" si="3"/>
        <v>1</v>
      </c>
      <c r="F201" s="11">
        <v>45814</v>
      </c>
      <c r="H201" s="9">
        <v>101524.1</v>
      </c>
      <c r="I201" s="9">
        <v>105306.5</v>
      </c>
      <c r="J201" s="9">
        <v>101127.6</v>
      </c>
      <c r="K201" t="s">
        <v>211</v>
      </c>
      <c r="L201" s="10">
        <v>2.7400000000000001E-2</v>
      </c>
    </row>
    <row r="202" spans="3:12" x14ac:dyDescent="0.3">
      <c r="C202" s="5">
        <v>45813</v>
      </c>
      <c r="D202" t="b">
        <f t="shared" si="3"/>
        <v>1</v>
      </c>
      <c r="F202" s="11">
        <v>45813</v>
      </c>
      <c r="H202" s="9">
        <v>104690.6</v>
      </c>
      <c r="I202" s="9">
        <v>105914.4</v>
      </c>
      <c r="J202" s="9">
        <v>100421.1</v>
      </c>
      <c r="K202" t="s">
        <v>212</v>
      </c>
      <c r="L202" s="10">
        <v>-3.0300000000000001E-2</v>
      </c>
    </row>
    <row r="203" spans="3:12" x14ac:dyDescent="0.3">
      <c r="C203" s="5">
        <v>45812</v>
      </c>
      <c r="D203" t="b">
        <f t="shared" si="3"/>
        <v>1</v>
      </c>
      <c r="F203" s="11">
        <v>45812</v>
      </c>
      <c r="H203" s="9">
        <v>105383.5</v>
      </c>
      <c r="I203" s="9">
        <v>105971.2</v>
      </c>
      <c r="J203" s="9">
        <v>104224</v>
      </c>
      <c r="K203" t="s">
        <v>213</v>
      </c>
      <c r="L203" s="10">
        <v>-6.6E-3</v>
      </c>
    </row>
    <row r="204" spans="3:12" x14ac:dyDescent="0.3">
      <c r="C204" s="5">
        <v>45811</v>
      </c>
      <c r="D204" t="b">
        <f t="shared" si="3"/>
        <v>1</v>
      </c>
      <c r="F204" s="11">
        <v>45811</v>
      </c>
      <c r="H204" s="9">
        <v>105845.6</v>
      </c>
      <c r="I204" s="9">
        <v>106758.39999999999</v>
      </c>
      <c r="J204" s="9">
        <v>104886.9</v>
      </c>
      <c r="K204" t="s">
        <v>214</v>
      </c>
      <c r="L204" s="10">
        <v>-4.3E-3</v>
      </c>
    </row>
    <row r="205" spans="3:12" x14ac:dyDescent="0.3">
      <c r="C205" s="5">
        <v>45810</v>
      </c>
      <c r="D205" t="b">
        <f t="shared" si="3"/>
        <v>1</v>
      </c>
      <c r="F205" s="11">
        <v>45810</v>
      </c>
      <c r="H205" s="9">
        <v>105635.2</v>
      </c>
      <c r="I205" s="9">
        <v>105930.7</v>
      </c>
      <c r="J205" s="9">
        <v>103729.7</v>
      </c>
      <c r="K205" t="s">
        <v>215</v>
      </c>
      <c r="L205" s="10">
        <v>2E-3</v>
      </c>
    </row>
    <row r="206" spans="3:12" x14ac:dyDescent="0.3">
      <c r="C206" s="5">
        <v>45807</v>
      </c>
      <c r="D206" t="b">
        <f t="shared" si="3"/>
        <v>1</v>
      </c>
      <c r="F206" s="11">
        <v>45807</v>
      </c>
      <c r="H206" s="9">
        <v>105598.8</v>
      </c>
      <c r="I206" s="9">
        <v>106314.9</v>
      </c>
      <c r="J206" s="9">
        <v>103693.9</v>
      </c>
      <c r="K206" t="s">
        <v>216</v>
      </c>
      <c r="L206" s="10">
        <v>-1.5299999999999999E-2</v>
      </c>
    </row>
    <row r="207" spans="3:12" x14ac:dyDescent="0.3">
      <c r="C207" s="5">
        <v>45806</v>
      </c>
      <c r="D207" t="b">
        <f t="shared" si="3"/>
        <v>1</v>
      </c>
      <c r="F207" s="11">
        <v>45806</v>
      </c>
      <c r="H207" s="9">
        <v>107759.1</v>
      </c>
      <c r="I207" s="9">
        <v>108896.7</v>
      </c>
      <c r="J207" s="9">
        <v>105399.9</v>
      </c>
      <c r="K207" t="s">
        <v>217</v>
      </c>
      <c r="L207" s="10">
        <v>-2.0299999999999999E-2</v>
      </c>
    </row>
    <row r="208" spans="3:12" x14ac:dyDescent="0.3">
      <c r="C208" s="5">
        <v>45805</v>
      </c>
      <c r="D208" t="b">
        <f t="shared" si="3"/>
        <v>1</v>
      </c>
      <c r="F208" s="11">
        <v>45805</v>
      </c>
      <c r="H208" s="9">
        <v>108905.7</v>
      </c>
      <c r="I208" s="9">
        <v>109238.3</v>
      </c>
      <c r="J208" s="9">
        <v>106804.9</v>
      </c>
      <c r="K208" t="s">
        <v>218</v>
      </c>
      <c r="L208" s="10">
        <v>-1.06E-2</v>
      </c>
    </row>
    <row r="209" spans="3:12" x14ac:dyDescent="0.3">
      <c r="C209" s="5">
        <v>45804</v>
      </c>
      <c r="D209" t="b">
        <f t="shared" si="3"/>
        <v>1</v>
      </c>
      <c r="F209" s="11">
        <v>45804</v>
      </c>
      <c r="H209" s="9">
        <v>109455.3</v>
      </c>
      <c r="I209" s="9">
        <v>110718.7</v>
      </c>
      <c r="J209" s="9">
        <v>107572.2</v>
      </c>
      <c r="K209" t="s">
        <v>219</v>
      </c>
      <c r="L209" s="10">
        <v>-4.7000000000000002E-3</v>
      </c>
    </row>
    <row r="210" spans="3:12" x14ac:dyDescent="0.3">
      <c r="C210" s="5">
        <v>45800</v>
      </c>
      <c r="D210" t="b">
        <f t="shared" si="3"/>
        <v>1</v>
      </c>
      <c r="F210" s="11">
        <v>45800</v>
      </c>
      <c r="H210" s="9">
        <v>111702.6</v>
      </c>
      <c r="I210" s="9">
        <v>111778.7</v>
      </c>
      <c r="J210" s="9">
        <v>106855.4</v>
      </c>
      <c r="K210" t="s">
        <v>220</v>
      </c>
      <c r="L210" s="10">
        <v>-3.9300000000000002E-2</v>
      </c>
    </row>
    <row r="211" spans="3:12" x14ac:dyDescent="0.3">
      <c r="C211" s="5">
        <v>45799</v>
      </c>
      <c r="D211" t="b">
        <f t="shared" si="3"/>
        <v>1</v>
      </c>
      <c r="F211" s="11">
        <v>45799</v>
      </c>
      <c r="H211" s="9">
        <v>109632.6</v>
      </c>
      <c r="I211" s="9">
        <v>111953.60000000001</v>
      </c>
      <c r="J211" s="9">
        <v>109281.8</v>
      </c>
      <c r="K211" t="s">
        <v>221</v>
      </c>
      <c r="L211" s="10">
        <v>1.8800000000000001E-2</v>
      </c>
    </row>
    <row r="212" spans="3:12" x14ac:dyDescent="0.3">
      <c r="C212" s="5">
        <v>45798</v>
      </c>
      <c r="D212" t="b">
        <f t="shared" si="3"/>
        <v>1</v>
      </c>
      <c r="F212" s="11">
        <v>45798</v>
      </c>
      <c r="H212" s="9">
        <v>106814.7</v>
      </c>
      <c r="I212" s="9">
        <v>110628.8</v>
      </c>
      <c r="J212" s="9">
        <v>106109.5</v>
      </c>
      <c r="K212" t="s">
        <v>222</v>
      </c>
      <c r="L212" s="10">
        <v>2.64E-2</v>
      </c>
    </row>
    <row r="213" spans="3:12" x14ac:dyDescent="0.3">
      <c r="C213" s="5">
        <v>45797</v>
      </c>
      <c r="D213" t="b">
        <f t="shared" si="3"/>
        <v>1</v>
      </c>
      <c r="F213" s="11">
        <v>45797</v>
      </c>
      <c r="H213" s="9">
        <v>105586.1</v>
      </c>
      <c r="I213" s="9">
        <v>107270.5</v>
      </c>
      <c r="J213" s="9">
        <v>104199.3</v>
      </c>
      <c r="K213" t="s">
        <v>223</v>
      </c>
      <c r="L213" s="10">
        <v>1.1599999999999999E-2</v>
      </c>
    </row>
    <row r="214" spans="3:12" x14ac:dyDescent="0.3">
      <c r="C214" s="5">
        <v>45796</v>
      </c>
      <c r="D214" t="b">
        <f t="shared" si="3"/>
        <v>1</v>
      </c>
      <c r="F214" s="11">
        <v>45796</v>
      </c>
      <c r="H214" s="9">
        <v>106507.7</v>
      </c>
      <c r="I214" s="9">
        <v>107081.3</v>
      </c>
      <c r="J214" s="9">
        <v>102088.2</v>
      </c>
      <c r="K214" t="s">
        <v>224</v>
      </c>
      <c r="L214" s="10">
        <v>-8.6E-3</v>
      </c>
    </row>
    <row r="215" spans="3:12" x14ac:dyDescent="0.3">
      <c r="C215" s="5">
        <v>45793</v>
      </c>
      <c r="D215" t="b">
        <f t="shared" si="3"/>
        <v>1</v>
      </c>
      <c r="F215" s="11">
        <v>45793</v>
      </c>
      <c r="H215" s="9">
        <v>103764.6</v>
      </c>
      <c r="I215" s="9">
        <v>104544.1</v>
      </c>
      <c r="J215" s="9">
        <v>103126.5</v>
      </c>
      <c r="K215" t="s">
        <v>225</v>
      </c>
      <c r="L215" s="10">
        <v>-2.7000000000000001E-3</v>
      </c>
    </row>
    <row r="216" spans="3:12" x14ac:dyDescent="0.3">
      <c r="C216" s="5">
        <v>45792</v>
      </c>
      <c r="D216" t="b">
        <f t="shared" si="3"/>
        <v>1</v>
      </c>
      <c r="F216" s="11">
        <v>45792</v>
      </c>
      <c r="H216" s="9">
        <v>103513.2</v>
      </c>
      <c r="I216" s="9">
        <v>104153.8</v>
      </c>
      <c r="J216" s="9">
        <v>101436.8</v>
      </c>
      <c r="K216" t="s">
        <v>226</v>
      </c>
      <c r="L216" s="10">
        <v>2.3999999999999998E-3</v>
      </c>
    </row>
    <row r="217" spans="3:12" x14ac:dyDescent="0.3">
      <c r="C217" s="5">
        <v>45791</v>
      </c>
      <c r="D217" t="b">
        <f t="shared" si="3"/>
        <v>1</v>
      </c>
      <c r="F217" s="11">
        <v>45791</v>
      </c>
      <c r="H217" s="9">
        <v>104116.3</v>
      </c>
      <c r="I217" s="9">
        <v>104316</v>
      </c>
      <c r="J217" s="9">
        <v>102632.9</v>
      </c>
      <c r="K217" t="s">
        <v>227</v>
      </c>
      <c r="L217" s="10">
        <v>-5.7999999999999996E-3</v>
      </c>
    </row>
    <row r="218" spans="3:12" x14ac:dyDescent="0.3">
      <c r="C218" s="5">
        <v>45790</v>
      </c>
      <c r="D218" t="b">
        <f t="shared" si="3"/>
        <v>1</v>
      </c>
      <c r="F218" s="11">
        <v>45790</v>
      </c>
      <c r="H218" s="9">
        <v>102794.9</v>
      </c>
      <c r="I218" s="9">
        <v>104972.9</v>
      </c>
      <c r="J218" s="9">
        <v>101510.2</v>
      </c>
      <c r="K218" t="s">
        <v>228</v>
      </c>
      <c r="L218" s="10">
        <v>1.29E-2</v>
      </c>
    </row>
    <row r="219" spans="3:12" x14ac:dyDescent="0.3">
      <c r="C219" s="5">
        <v>45789</v>
      </c>
      <c r="D219" t="b">
        <f t="shared" si="3"/>
        <v>1</v>
      </c>
      <c r="F219" s="11">
        <v>45789</v>
      </c>
      <c r="H219" s="9">
        <v>104119.2</v>
      </c>
      <c r="I219" s="9">
        <v>105765.2</v>
      </c>
      <c r="J219" s="9">
        <v>100766.8</v>
      </c>
      <c r="K219" t="s">
        <v>229</v>
      </c>
      <c r="L219" s="10">
        <v>-1.2699999999999999E-2</v>
      </c>
    </row>
    <row r="220" spans="3:12" x14ac:dyDescent="0.3">
      <c r="C220" s="5">
        <v>45786</v>
      </c>
      <c r="D220" t="b">
        <f t="shared" si="3"/>
        <v>1</v>
      </c>
      <c r="F220" s="11">
        <v>45786</v>
      </c>
      <c r="H220" s="9">
        <v>103270.7</v>
      </c>
      <c r="I220" s="9">
        <v>104308.7</v>
      </c>
      <c r="J220" s="9">
        <v>102365.7</v>
      </c>
      <c r="K220" t="s">
        <v>230</v>
      </c>
      <c r="L220" s="10">
        <v>-2.8999999999999998E-3</v>
      </c>
    </row>
    <row r="221" spans="3:12" x14ac:dyDescent="0.3">
      <c r="C221" s="5">
        <v>45785</v>
      </c>
      <c r="D221" t="b">
        <f t="shared" si="3"/>
        <v>1</v>
      </c>
      <c r="F221" s="11">
        <v>45785</v>
      </c>
      <c r="H221" s="9">
        <v>97035.1</v>
      </c>
      <c r="I221" s="9">
        <v>103885.4</v>
      </c>
      <c r="J221" s="9">
        <v>96901.9</v>
      </c>
      <c r="K221" t="s">
        <v>231</v>
      </c>
      <c r="L221" s="10">
        <v>6.4299999999999996E-2</v>
      </c>
    </row>
    <row r="222" spans="3:12" x14ac:dyDescent="0.3">
      <c r="C222" s="5">
        <v>45784</v>
      </c>
      <c r="D222" t="b">
        <f t="shared" si="3"/>
        <v>1</v>
      </c>
      <c r="F222" s="11">
        <v>45784</v>
      </c>
      <c r="H222" s="9">
        <v>96817.9</v>
      </c>
      <c r="I222" s="9">
        <v>97647.5</v>
      </c>
      <c r="J222" s="9">
        <v>95798.399999999994</v>
      </c>
      <c r="K222" t="s">
        <v>232</v>
      </c>
      <c r="L222" s="10">
        <v>2.2000000000000001E-3</v>
      </c>
    </row>
    <row r="223" spans="3:12" x14ac:dyDescent="0.3">
      <c r="C223" s="5">
        <v>45783</v>
      </c>
      <c r="D223" t="b">
        <f t="shared" si="3"/>
        <v>1</v>
      </c>
      <c r="F223" s="11">
        <v>45783</v>
      </c>
      <c r="H223" s="9">
        <v>94745.9</v>
      </c>
      <c r="I223" s="9">
        <v>96893.9</v>
      </c>
      <c r="J223" s="9">
        <v>93408.8</v>
      </c>
      <c r="K223" t="s">
        <v>233</v>
      </c>
      <c r="L223" s="10">
        <v>2.1999999999999999E-2</v>
      </c>
    </row>
    <row r="224" spans="3:12" x14ac:dyDescent="0.3">
      <c r="C224" s="5">
        <v>45782</v>
      </c>
      <c r="D224" t="b">
        <f t="shared" si="3"/>
        <v>1</v>
      </c>
      <c r="F224" s="11">
        <v>45782</v>
      </c>
      <c r="H224" s="9">
        <v>94314.6</v>
      </c>
      <c r="I224" s="9">
        <v>95206.8</v>
      </c>
      <c r="J224" s="9">
        <v>93590.8</v>
      </c>
      <c r="K224" t="s">
        <v>234</v>
      </c>
      <c r="L224" s="10">
        <v>4.4999999999999997E-3</v>
      </c>
    </row>
    <row r="225" spans="3:12" x14ac:dyDescent="0.3">
      <c r="C225" s="5">
        <v>45779</v>
      </c>
      <c r="D225" t="b">
        <f t="shared" si="3"/>
        <v>1</v>
      </c>
      <c r="F225" s="11">
        <v>45779</v>
      </c>
      <c r="H225" s="9">
        <v>96497.3</v>
      </c>
      <c r="I225" s="9">
        <v>97881.8</v>
      </c>
      <c r="J225" s="9">
        <v>96359.3</v>
      </c>
      <c r="K225" t="s">
        <v>235</v>
      </c>
      <c r="L225" s="10">
        <v>4.1000000000000003E-3</v>
      </c>
    </row>
    <row r="226" spans="3:12" x14ac:dyDescent="0.3">
      <c r="C226" s="5">
        <v>45778</v>
      </c>
      <c r="D226" t="b">
        <f t="shared" si="3"/>
        <v>1</v>
      </c>
      <c r="F226" s="11">
        <v>45778</v>
      </c>
      <c r="H226" s="9">
        <v>94181.3</v>
      </c>
      <c r="I226" s="9">
        <v>97394.3</v>
      </c>
      <c r="J226" s="9">
        <v>94168.1</v>
      </c>
      <c r="K226" t="s">
        <v>236</v>
      </c>
      <c r="L226" s="10">
        <v>2.46E-2</v>
      </c>
    </row>
    <row r="227" spans="3:12" x14ac:dyDescent="0.3">
      <c r="C227" s="5">
        <v>45777</v>
      </c>
      <c r="D227" t="b">
        <f t="shared" si="3"/>
        <v>1</v>
      </c>
      <c r="F227" s="11">
        <v>45777</v>
      </c>
      <c r="H227" s="9">
        <v>94265</v>
      </c>
      <c r="I227" s="9">
        <v>95223.4</v>
      </c>
      <c r="J227" s="9">
        <v>93049.600000000006</v>
      </c>
      <c r="K227" t="s">
        <v>237</v>
      </c>
      <c r="L227" s="10">
        <v>-8.9999999999999998E-4</v>
      </c>
    </row>
    <row r="228" spans="3:12" x14ac:dyDescent="0.3">
      <c r="C228" s="5">
        <v>45776</v>
      </c>
      <c r="D228" t="b">
        <f t="shared" si="3"/>
        <v>1</v>
      </c>
      <c r="F228" s="11">
        <v>45776</v>
      </c>
      <c r="H228" s="9">
        <v>94995.4</v>
      </c>
      <c r="I228" s="9">
        <v>95453.4</v>
      </c>
      <c r="J228" s="9">
        <v>93758</v>
      </c>
      <c r="K228" t="s">
        <v>238</v>
      </c>
      <c r="L228" s="10">
        <v>-7.6E-3</v>
      </c>
    </row>
    <row r="229" spans="3:12" x14ac:dyDescent="0.3">
      <c r="C229" s="5">
        <v>45775</v>
      </c>
      <c r="D229" t="b">
        <f t="shared" si="3"/>
        <v>1</v>
      </c>
      <c r="F229" s="11">
        <v>45775</v>
      </c>
      <c r="H229" s="9">
        <v>93742.5</v>
      </c>
      <c r="I229" s="9">
        <v>95580.3</v>
      </c>
      <c r="J229" s="9">
        <v>92818.9</v>
      </c>
      <c r="K229" t="s">
        <v>239</v>
      </c>
      <c r="L229" s="10">
        <v>1.34E-2</v>
      </c>
    </row>
    <row r="230" spans="3:12" x14ac:dyDescent="0.3">
      <c r="C230" s="5">
        <v>45772</v>
      </c>
      <c r="D230" t="b">
        <f t="shared" si="3"/>
        <v>1</v>
      </c>
      <c r="F230" s="11">
        <v>45772</v>
      </c>
      <c r="H230" s="9">
        <v>93979.4</v>
      </c>
      <c r="I230" s="9">
        <v>95718.6</v>
      </c>
      <c r="J230" s="9">
        <v>92867.199999999997</v>
      </c>
      <c r="K230" t="s">
        <v>240</v>
      </c>
      <c r="L230" s="10">
        <v>7.4000000000000003E-3</v>
      </c>
    </row>
    <row r="231" spans="3:12" x14ac:dyDescent="0.3">
      <c r="C231" s="5">
        <v>45771</v>
      </c>
      <c r="D231" t="b">
        <f t="shared" si="3"/>
        <v>1</v>
      </c>
      <c r="F231" s="11">
        <v>45771</v>
      </c>
      <c r="H231" s="9">
        <v>93696.3</v>
      </c>
      <c r="I231" s="9">
        <v>94001</v>
      </c>
      <c r="J231" s="9">
        <v>91673</v>
      </c>
      <c r="K231" t="s">
        <v>241</v>
      </c>
      <c r="L231" s="10">
        <v>3.0000000000000001E-3</v>
      </c>
    </row>
    <row r="232" spans="3:12" x14ac:dyDescent="0.3">
      <c r="C232" s="5">
        <v>45770</v>
      </c>
      <c r="D232" t="b">
        <f t="shared" si="3"/>
        <v>1</v>
      </c>
      <c r="F232" s="11">
        <v>45770</v>
      </c>
      <c r="H232" s="9">
        <v>93442.2</v>
      </c>
      <c r="I232" s="9">
        <v>94462.6</v>
      </c>
      <c r="J232" s="9">
        <v>91963.4</v>
      </c>
      <c r="K232" t="s">
        <v>242</v>
      </c>
      <c r="L232" s="10">
        <v>2.7000000000000001E-3</v>
      </c>
    </row>
    <row r="233" spans="3:12" x14ac:dyDescent="0.3">
      <c r="C233" s="5">
        <v>45769</v>
      </c>
      <c r="D233" t="b">
        <f t="shared" si="3"/>
        <v>1</v>
      </c>
      <c r="F233" s="11">
        <v>45769</v>
      </c>
      <c r="H233" s="9">
        <v>87516</v>
      </c>
      <c r="I233" s="9">
        <v>93816.9</v>
      </c>
      <c r="J233" s="9">
        <v>87105.2</v>
      </c>
      <c r="K233" t="s">
        <v>243</v>
      </c>
      <c r="L233" s="10">
        <v>6.7699999999999996E-2</v>
      </c>
    </row>
    <row r="234" spans="3:12" x14ac:dyDescent="0.3">
      <c r="C234" s="5">
        <v>45768</v>
      </c>
      <c r="D234" t="b">
        <f t="shared" si="3"/>
        <v>1</v>
      </c>
      <c r="F234" s="11">
        <v>45768</v>
      </c>
      <c r="H234" s="9">
        <v>85179</v>
      </c>
      <c r="I234" s="9">
        <v>88449.600000000006</v>
      </c>
      <c r="J234" s="9">
        <v>85148.800000000003</v>
      </c>
      <c r="K234" t="s">
        <v>110</v>
      </c>
      <c r="L234" s="10">
        <v>2.7400000000000001E-2</v>
      </c>
    </row>
    <row r="235" spans="3:12" x14ac:dyDescent="0.3">
      <c r="C235" s="5">
        <v>45764</v>
      </c>
      <c r="D235" t="b">
        <f t="shared" si="3"/>
        <v>1</v>
      </c>
      <c r="F235" s="11">
        <v>45764</v>
      </c>
      <c r="H235" s="9">
        <v>84032.2</v>
      </c>
      <c r="I235" s="9">
        <v>85467.3</v>
      </c>
      <c r="J235" s="9">
        <v>83786.2</v>
      </c>
      <c r="K235" t="s">
        <v>244</v>
      </c>
      <c r="L235" s="10">
        <v>1.0800000000000001E-2</v>
      </c>
    </row>
    <row r="236" spans="3:12" x14ac:dyDescent="0.3">
      <c r="C236" s="5">
        <v>45763</v>
      </c>
      <c r="D236" t="b">
        <f t="shared" si="3"/>
        <v>1</v>
      </c>
      <c r="F236" s="11">
        <v>45763</v>
      </c>
      <c r="H236" s="9">
        <v>83648.100000000006</v>
      </c>
      <c r="I236" s="9">
        <v>85438.2</v>
      </c>
      <c r="J236" s="9">
        <v>83143.5</v>
      </c>
      <c r="K236" t="s">
        <v>245</v>
      </c>
      <c r="L236" s="10">
        <v>4.5999999999999999E-3</v>
      </c>
    </row>
    <row r="237" spans="3:12" x14ac:dyDescent="0.3">
      <c r="C237" s="5">
        <v>45762</v>
      </c>
      <c r="D237" t="b">
        <f t="shared" si="3"/>
        <v>1</v>
      </c>
      <c r="F237" s="11">
        <v>45762</v>
      </c>
      <c r="H237" s="9">
        <v>84586.8</v>
      </c>
      <c r="I237" s="9">
        <v>86438.8</v>
      </c>
      <c r="J237" s="9">
        <v>83602.7</v>
      </c>
      <c r="K237" t="s">
        <v>246</v>
      </c>
      <c r="L237" s="10">
        <v>-1.11E-2</v>
      </c>
    </row>
    <row r="238" spans="3:12" x14ac:dyDescent="0.3">
      <c r="C238" s="5">
        <v>45761</v>
      </c>
      <c r="D238" t="b">
        <f t="shared" si="3"/>
        <v>1</v>
      </c>
      <c r="F238" s="11">
        <v>45761</v>
      </c>
      <c r="H238" s="9">
        <v>83752.800000000003</v>
      </c>
      <c r="I238" s="9">
        <v>85794.9</v>
      </c>
      <c r="J238" s="9">
        <v>83705.2</v>
      </c>
      <c r="K238" t="s">
        <v>247</v>
      </c>
      <c r="L238" s="10">
        <v>1.0200000000000001E-2</v>
      </c>
    </row>
    <row r="239" spans="3:12" x14ac:dyDescent="0.3">
      <c r="C239" s="5">
        <v>45758</v>
      </c>
      <c r="D239" t="b">
        <f t="shared" si="3"/>
        <v>1</v>
      </c>
      <c r="F239" s="11">
        <v>45758</v>
      </c>
      <c r="H239" s="9">
        <v>79606.100000000006</v>
      </c>
      <c r="I239" s="9">
        <v>84275</v>
      </c>
      <c r="J239" s="9">
        <v>79004.2</v>
      </c>
      <c r="K239" t="s">
        <v>248</v>
      </c>
      <c r="L239" s="10">
        <v>4.7800000000000002E-2</v>
      </c>
    </row>
    <row r="240" spans="3:12" x14ac:dyDescent="0.3">
      <c r="C240" s="5">
        <v>45757</v>
      </c>
      <c r="D240" t="b">
        <f t="shared" si="3"/>
        <v>1</v>
      </c>
      <c r="F240" s="11">
        <v>45757</v>
      </c>
      <c r="H240" s="9">
        <v>82606.8</v>
      </c>
      <c r="I240" s="9">
        <v>82737.5</v>
      </c>
      <c r="J240" s="9">
        <v>78495.8</v>
      </c>
      <c r="K240" t="s">
        <v>249</v>
      </c>
      <c r="L240" s="10">
        <v>-3.6299999999999999E-2</v>
      </c>
    </row>
    <row r="241" spans="3:12" x14ac:dyDescent="0.3">
      <c r="C241" s="5">
        <v>45756</v>
      </c>
      <c r="D241" t="b">
        <f t="shared" si="3"/>
        <v>1</v>
      </c>
      <c r="F241" s="11">
        <v>45756</v>
      </c>
      <c r="H241" s="9">
        <v>76312.3</v>
      </c>
      <c r="I241" s="9">
        <v>83566.7</v>
      </c>
      <c r="J241" s="9">
        <v>74657.3</v>
      </c>
      <c r="K241" t="s">
        <v>250</v>
      </c>
      <c r="L241" s="10">
        <v>8.2500000000000004E-2</v>
      </c>
    </row>
    <row r="242" spans="3:12" x14ac:dyDescent="0.3">
      <c r="C242" s="5">
        <v>45755</v>
      </c>
      <c r="D242" t="b">
        <f t="shared" si="3"/>
        <v>1</v>
      </c>
      <c r="F242" s="11">
        <v>45755</v>
      </c>
      <c r="H242" s="9">
        <v>79166.7</v>
      </c>
      <c r="I242" s="9">
        <v>80839.8</v>
      </c>
      <c r="J242" s="9">
        <v>76255</v>
      </c>
      <c r="K242" t="s">
        <v>251</v>
      </c>
      <c r="L242" s="10">
        <v>-3.5999999999999997E-2</v>
      </c>
    </row>
    <row r="243" spans="3:12" x14ac:dyDescent="0.3">
      <c r="C243" s="5">
        <v>45754</v>
      </c>
      <c r="D243" t="b">
        <f t="shared" si="3"/>
        <v>1</v>
      </c>
      <c r="F243" s="11">
        <v>45754</v>
      </c>
      <c r="H243" s="9">
        <v>78406.600000000006</v>
      </c>
      <c r="I243" s="9">
        <v>81095.899999999994</v>
      </c>
      <c r="J243" s="9">
        <v>74524.2</v>
      </c>
      <c r="K243" t="s">
        <v>252</v>
      </c>
      <c r="L243" s="10">
        <v>9.7999999999999997E-3</v>
      </c>
    </row>
    <row r="244" spans="3:12" x14ac:dyDescent="0.3">
      <c r="C244" s="5">
        <v>45751</v>
      </c>
      <c r="D244" t="b">
        <f t="shared" si="3"/>
        <v>1</v>
      </c>
      <c r="F244" s="11">
        <v>45751</v>
      </c>
      <c r="H244" s="9">
        <v>83160.2</v>
      </c>
      <c r="I244" s="9">
        <v>84704.1</v>
      </c>
      <c r="J244" s="9">
        <v>81691.100000000006</v>
      </c>
      <c r="K244" t="s">
        <v>253</v>
      </c>
      <c r="L244" s="10">
        <v>8.5000000000000006E-3</v>
      </c>
    </row>
    <row r="245" spans="3:12" x14ac:dyDescent="0.3">
      <c r="C245" s="5">
        <v>45750</v>
      </c>
      <c r="D245" t="b">
        <f t="shared" si="3"/>
        <v>1</v>
      </c>
      <c r="F245" s="11">
        <v>45750</v>
      </c>
      <c r="H245" s="9">
        <v>82522.600000000006</v>
      </c>
      <c r="I245" s="9">
        <v>83908.9</v>
      </c>
      <c r="J245" s="9">
        <v>81313.8</v>
      </c>
      <c r="K245" t="s">
        <v>254</v>
      </c>
      <c r="L245" s="10">
        <v>7.7000000000000002E-3</v>
      </c>
    </row>
    <row r="246" spans="3:12" x14ac:dyDescent="0.3">
      <c r="C246" s="5">
        <v>45749</v>
      </c>
      <c r="D246" t="b">
        <f t="shared" si="3"/>
        <v>1</v>
      </c>
      <c r="F246" s="11">
        <v>45749</v>
      </c>
      <c r="H246" s="9">
        <v>85166</v>
      </c>
      <c r="I246" s="9">
        <v>88377.3</v>
      </c>
      <c r="J246" s="9">
        <v>82358.899999999994</v>
      </c>
      <c r="K246" t="s">
        <v>255</v>
      </c>
      <c r="L246" s="10">
        <v>-3.1E-2</v>
      </c>
    </row>
    <row r="247" spans="3:12" x14ac:dyDescent="0.3">
      <c r="C247" s="5">
        <v>45748</v>
      </c>
      <c r="D247" t="b">
        <f t="shared" si="3"/>
        <v>1</v>
      </c>
      <c r="F247" s="11">
        <v>45748</v>
      </c>
      <c r="H247" s="9">
        <v>82548.600000000006</v>
      </c>
      <c r="I247" s="9">
        <v>85506.2</v>
      </c>
      <c r="J247" s="9">
        <v>82435.8</v>
      </c>
      <c r="K247" t="s">
        <v>256</v>
      </c>
      <c r="L247" s="10">
        <v>3.1699999999999999E-2</v>
      </c>
    </row>
    <row r="248" spans="3:12" x14ac:dyDescent="0.3">
      <c r="C248" s="5">
        <v>45747</v>
      </c>
      <c r="D248" t="b">
        <f t="shared" si="3"/>
        <v>1</v>
      </c>
      <c r="F248" s="11">
        <v>45747</v>
      </c>
      <c r="H248" s="9">
        <v>82375.399999999994</v>
      </c>
      <c r="I248" s="9">
        <v>83895.6</v>
      </c>
      <c r="J248" s="9">
        <v>81300.100000000006</v>
      </c>
      <c r="K248" t="s">
        <v>257</v>
      </c>
      <c r="L248" s="10">
        <v>2.2000000000000001E-3</v>
      </c>
    </row>
    <row r="249" spans="3:12" x14ac:dyDescent="0.3">
      <c r="C249" s="5">
        <v>45744</v>
      </c>
      <c r="D249" t="b">
        <f t="shared" si="3"/>
        <v>1</v>
      </c>
      <c r="F249" s="11">
        <v>45744</v>
      </c>
      <c r="H249" s="9">
        <v>87209.5</v>
      </c>
      <c r="I249" s="9">
        <v>87507.5</v>
      </c>
      <c r="J249" s="9">
        <v>83596.7</v>
      </c>
      <c r="K249" t="s">
        <v>258</v>
      </c>
      <c r="L249" s="10">
        <v>-3.2300000000000002E-2</v>
      </c>
    </row>
    <row r="250" spans="3:12" x14ac:dyDescent="0.3">
      <c r="C250" s="5">
        <v>45743</v>
      </c>
      <c r="D250" t="b">
        <f t="shared" si="3"/>
        <v>1</v>
      </c>
      <c r="F250" s="11">
        <v>45743</v>
      </c>
      <c r="H250" s="9">
        <v>86937</v>
      </c>
      <c r="I250" s="9">
        <v>87751.4</v>
      </c>
      <c r="J250" s="9">
        <v>85844.4</v>
      </c>
      <c r="K250" t="s">
        <v>259</v>
      </c>
      <c r="L250" s="10">
        <v>3.5999999999999999E-3</v>
      </c>
    </row>
    <row r="251" spans="3:12" x14ac:dyDescent="0.3">
      <c r="C251" s="5">
        <v>45742</v>
      </c>
      <c r="D251" t="b">
        <f t="shared" si="3"/>
        <v>1</v>
      </c>
      <c r="F251" s="11">
        <v>45742</v>
      </c>
      <c r="H251" s="9">
        <v>87349.8</v>
      </c>
      <c r="I251" s="9">
        <v>88276.7</v>
      </c>
      <c r="J251" s="9">
        <v>85866.4</v>
      </c>
      <c r="K251" t="s">
        <v>260</v>
      </c>
      <c r="L251" s="10">
        <v>-5.5999999999999999E-3</v>
      </c>
    </row>
    <row r="252" spans="3:12" x14ac:dyDescent="0.3">
      <c r="C252" s="5">
        <v>45741</v>
      </c>
      <c r="D252" t="b">
        <f t="shared" si="3"/>
        <v>1</v>
      </c>
      <c r="F252" s="11">
        <v>45741</v>
      </c>
      <c r="H252" s="9">
        <v>87495.3</v>
      </c>
      <c r="I252" s="9">
        <v>88523.3</v>
      </c>
      <c r="J252" s="9">
        <v>86328.5</v>
      </c>
      <c r="K252" t="s">
        <v>261</v>
      </c>
      <c r="L252" s="10">
        <v>-1E-3</v>
      </c>
    </row>
    <row r="253" spans="3:12" x14ac:dyDescent="0.3">
      <c r="C253" s="5">
        <v>45740</v>
      </c>
      <c r="D253" t="b">
        <f t="shared" si="3"/>
        <v>1</v>
      </c>
      <c r="F253" s="11">
        <v>45740</v>
      </c>
      <c r="H253" s="9">
        <v>86076.1</v>
      </c>
      <c r="I253" s="9">
        <v>88740.2</v>
      </c>
      <c r="J253" s="9">
        <v>85541.6</v>
      </c>
      <c r="K253" t="s">
        <v>262</v>
      </c>
      <c r="L253" s="10">
        <v>1.6400000000000001E-2</v>
      </c>
    </row>
    <row r="254" spans="3:12" x14ac:dyDescent="0.3">
      <c r="F254" s="11"/>
      <c r="G254" s="9"/>
      <c r="H254" s="9"/>
      <c r="I254" s="9"/>
      <c r="J254" s="9"/>
      <c r="L254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Summary</vt:lpstr>
      <vt:lpstr>Optimisation</vt:lpstr>
      <vt:lpstr>Worksheet</vt:lpstr>
      <vt:lpstr>n</vt:lpstr>
      <vt:lpstr>var</vt:lpstr>
      <vt:lpstr>varcovar</vt:lpstr>
      <vt:lpstr>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Eldric Sequeira</dc:creator>
  <cp:lastModifiedBy>Eldric Sequeira</cp:lastModifiedBy>
  <dcterms:created xsi:type="dcterms:W3CDTF">2026-03-23T06:34:39Z</dcterms:created>
  <dcterms:modified xsi:type="dcterms:W3CDTF">2026-03-23T08:41:40Z</dcterms:modified>
</cp:coreProperties>
</file>