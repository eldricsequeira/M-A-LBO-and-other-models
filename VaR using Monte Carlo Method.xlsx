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017A6587-2407-4FC6-8F62-B8029EAA5F44}" xr6:coauthVersionLast="47" xr6:coauthVersionMax="47" xr10:uidLastSave="{00000000-0000-0000-0000-000000000000}"/>
  <bookViews>
    <workbookView xWindow="-108" yWindow="-108" windowWidth="23256" windowHeight="13176" xr2:uid="{B7562111-11E6-4B63-9EAF-DFC0B53968AF}"/>
  </bookViews>
  <sheets>
    <sheet name="Monte Carlo method" sheetId="1" r:id="rId1"/>
  </sheets>
  <definedNames>
    <definedName name="_xlchart.v1.0" hidden="1">'Monte Carlo method'!$BM$5:$BM$250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14" i="1" l="1"/>
  <c r="BS14" i="1"/>
  <c r="BQ14" i="1"/>
  <c r="BR13" i="1"/>
  <c r="BS13" i="1"/>
  <c r="BQ13" i="1"/>
  <c r="BS12" i="1"/>
  <c r="BR12" i="1"/>
  <c r="BQ12" i="1"/>
  <c r="BR11" i="1"/>
  <c r="BS11" i="1"/>
  <c r="BQ11" i="1"/>
  <c r="BR10" i="1"/>
  <c r="BS10" i="1"/>
  <c r="BQ10" i="1"/>
  <c r="BR9" i="1"/>
  <c r="BS9" i="1"/>
  <c r="BQ9" i="1"/>
  <c r="BR7" i="1"/>
  <c r="BS7" i="1"/>
  <c r="BQ7" i="1"/>
  <c r="BF27" i="1"/>
  <c r="BF37" i="1"/>
  <c r="BF45" i="1"/>
  <c r="BF46" i="1"/>
  <c r="BF53" i="1"/>
  <c r="BF62" i="1"/>
  <c r="BG62" i="1"/>
  <c r="BF89" i="1"/>
  <c r="BF93" i="1"/>
  <c r="BF129" i="1"/>
  <c r="BF133" i="1"/>
  <c r="BF134" i="1"/>
  <c r="BF141" i="1"/>
  <c r="BG141" i="1"/>
  <c r="BF158" i="1"/>
  <c r="BF175" i="1"/>
  <c r="BF176" i="1"/>
  <c r="BF190" i="1"/>
  <c r="BF210" i="1"/>
  <c r="BG221" i="1"/>
  <c r="BF229" i="1"/>
  <c r="BG238" i="1"/>
  <c r="BF243" i="1"/>
  <c r="AR6" i="1"/>
  <c r="AS6" i="1" s="1"/>
  <c r="AT6" i="1"/>
  <c r="AU6" i="1"/>
  <c r="AV6" i="1"/>
  <c r="AR7" i="1"/>
  <c r="AR8" i="1"/>
  <c r="AS8" i="1" s="1"/>
  <c r="AR9" i="1"/>
  <c r="AS9" i="1"/>
  <c r="BG9" i="1" s="1"/>
  <c r="AT9" i="1"/>
  <c r="AR10" i="1"/>
  <c r="AR11" i="1"/>
  <c r="BF11" i="1" s="1"/>
  <c r="AS11" i="1"/>
  <c r="AR12" i="1"/>
  <c r="AR13" i="1"/>
  <c r="AR14" i="1"/>
  <c r="AS14" i="1" s="1"/>
  <c r="AT14" i="1" s="1"/>
  <c r="AR15" i="1"/>
  <c r="AS15" i="1"/>
  <c r="BG15" i="1" s="1"/>
  <c r="AT15" i="1"/>
  <c r="AR16" i="1"/>
  <c r="AR17" i="1"/>
  <c r="AS17" i="1"/>
  <c r="AR18" i="1"/>
  <c r="AR19" i="1"/>
  <c r="AS19" i="1"/>
  <c r="AR20" i="1"/>
  <c r="AS20" i="1" s="1"/>
  <c r="AR21" i="1"/>
  <c r="AS21" i="1" s="1"/>
  <c r="AR22" i="1"/>
  <c r="AR23" i="1"/>
  <c r="AS23" i="1"/>
  <c r="AR24" i="1"/>
  <c r="AR25" i="1"/>
  <c r="AR26" i="1"/>
  <c r="BF26" i="1" s="1"/>
  <c r="AS26" i="1"/>
  <c r="AR27" i="1"/>
  <c r="AS27" i="1" s="1"/>
  <c r="AR28" i="1"/>
  <c r="BF28" i="1" s="1"/>
  <c r="AS28" i="1"/>
  <c r="AR29" i="1"/>
  <c r="AR30" i="1"/>
  <c r="AS30" i="1"/>
  <c r="AR31" i="1"/>
  <c r="AR32" i="1"/>
  <c r="AS32" i="1"/>
  <c r="AR33" i="1"/>
  <c r="AR34" i="1"/>
  <c r="AR35" i="1"/>
  <c r="BF35" i="1" s="1"/>
  <c r="AS35" i="1"/>
  <c r="AR36" i="1"/>
  <c r="AR37" i="1"/>
  <c r="AS37" i="1" s="1"/>
  <c r="AT37" i="1" s="1"/>
  <c r="AR38" i="1"/>
  <c r="AR39" i="1"/>
  <c r="BF40" i="1" s="1"/>
  <c r="AR40" i="1"/>
  <c r="AS40" i="1"/>
  <c r="AR41" i="1"/>
  <c r="BF41" i="1" s="1"/>
  <c r="AS41" i="1"/>
  <c r="AR42" i="1"/>
  <c r="AS42" i="1"/>
  <c r="AT42" i="1"/>
  <c r="AU42" i="1"/>
  <c r="AR43" i="1"/>
  <c r="AS43" i="1"/>
  <c r="AR44" i="1"/>
  <c r="AS44" i="1"/>
  <c r="AR45" i="1"/>
  <c r="AS45" i="1"/>
  <c r="AR46" i="1"/>
  <c r="AS46" i="1"/>
  <c r="AT46" i="1"/>
  <c r="AR47" i="1"/>
  <c r="BF47" i="1" s="1"/>
  <c r="AS47" i="1"/>
  <c r="AT47" i="1" s="1"/>
  <c r="AR48" i="1"/>
  <c r="AR49" i="1"/>
  <c r="AS49" i="1" s="1"/>
  <c r="AR50" i="1"/>
  <c r="AR51" i="1"/>
  <c r="AR52" i="1"/>
  <c r="AS52" i="1"/>
  <c r="AR53" i="1"/>
  <c r="BF54" i="1" s="1"/>
  <c r="AS53" i="1"/>
  <c r="AT53" i="1"/>
  <c r="AU53" i="1"/>
  <c r="AR54" i="1"/>
  <c r="AS54" i="1"/>
  <c r="AT54" i="1"/>
  <c r="AU54" i="1"/>
  <c r="AV54" i="1"/>
  <c r="AR55" i="1"/>
  <c r="AR56" i="1"/>
  <c r="AS56" i="1"/>
  <c r="AR57" i="1"/>
  <c r="BF57" i="1" s="1"/>
  <c r="AS57" i="1"/>
  <c r="AR58" i="1"/>
  <c r="AR59" i="1"/>
  <c r="AS59" i="1"/>
  <c r="AR60" i="1"/>
  <c r="AR61" i="1"/>
  <c r="AS61" i="1" s="1"/>
  <c r="AT61" i="1" s="1"/>
  <c r="AR62" i="1"/>
  <c r="AS62" i="1"/>
  <c r="AT62" i="1"/>
  <c r="AR63" i="1"/>
  <c r="AS63" i="1"/>
  <c r="AR64" i="1"/>
  <c r="AS64" i="1" s="1"/>
  <c r="AT64" i="1"/>
  <c r="AU64" i="1"/>
  <c r="AR65" i="1"/>
  <c r="AS65" i="1" s="1"/>
  <c r="AR66" i="1"/>
  <c r="BF67" i="1" s="1"/>
  <c r="AR67" i="1"/>
  <c r="AS67" i="1"/>
  <c r="AR68" i="1"/>
  <c r="BF68" i="1" s="1"/>
  <c r="AR69" i="1"/>
  <c r="AR70" i="1"/>
  <c r="AS70" i="1"/>
  <c r="AT70" i="1"/>
  <c r="AU70" i="1"/>
  <c r="AR71" i="1"/>
  <c r="AR72" i="1"/>
  <c r="AR73" i="1"/>
  <c r="AR74" i="1"/>
  <c r="AS74" i="1"/>
  <c r="AT74" i="1"/>
  <c r="AR75" i="1"/>
  <c r="AR76" i="1"/>
  <c r="AR77" i="1"/>
  <c r="AR78" i="1"/>
  <c r="AR79" i="1"/>
  <c r="AS79" i="1"/>
  <c r="AR80" i="1"/>
  <c r="AS80" i="1" s="1"/>
  <c r="AT80" i="1" s="1"/>
  <c r="AU80" i="1" s="1"/>
  <c r="AR81" i="1"/>
  <c r="AR82" i="1"/>
  <c r="AR83" i="1"/>
  <c r="BF83" i="1" s="1"/>
  <c r="AS83" i="1"/>
  <c r="AR84" i="1"/>
  <c r="AR85" i="1"/>
  <c r="AR86" i="1"/>
  <c r="BF86" i="1" s="1"/>
  <c r="AS86" i="1"/>
  <c r="AT86" i="1"/>
  <c r="AU86" i="1" s="1"/>
  <c r="AR87" i="1"/>
  <c r="AR88" i="1"/>
  <c r="AS88" i="1"/>
  <c r="AT88" i="1" s="1"/>
  <c r="AU88" i="1"/>
  <c r="AR89" i="1"/>
  <c r="AS89" i="1"/>
  <c r="AR90" i="1"/>
  <c r="BF90" i="1" s="1"/>
  <c r="AS90" i="1"/>
  <c r="AT90" i="1"/>
  <c r="AR91" i="1"/>
  <c r="AR92" i="1"/>
  <c r="AS92" i="1"/>
  <c r="AT92" i="1" s="1"/>
  <c r="AR93" i="1"/>
  <c r="AS93" i="1"/>
  <c r="BG93" i="1" s="1"/>
  <c r="AR94" i="1"/>
  <c r="BF94" i="1" s="1"/>
  <c r="AS94" i="1"/>
  <c r="AT94" i="1"/>
  <c r="AU94" i="1"/>
  <c r="AR95" i="1"/>
  <c r="AS95" i="1"/>
  <c r="AR96" i="1"/>
  <c r="AR97" i="1"/>
  <c r="AR98" i="1"/>
  <c r="AR99" i="1"/>
  <c r="AS99" i="1"/>
  <c r="AR100" i="1"/>
  <c r="AR101" i="1"/>
  <c r="AR102" i="1"/>
  <c r="AR103" i="1"/>
  <c r="AR104" i="1"/>
  <c r="AS104" i="1"/>
  <c r="AT104" i="1" s="1"/>
  <c r="AR105" i="1"/>
  <c r="AS105" i="1"/>
  <c r="BG105" i="1" s="1"/>
  <c r="AT105" i="1"/>
  <c r="BH105" i="1" s="1"/>
  <c r="AU105" i="1"/>
  <c r="AR106" i="1"/>
  <c r="AR107" i="1"/>
  <c r="AR108" i="1"/>
  <c r="BF108" i="1" s="1"/>
  <c r="AS108" i="1"/>
  <c r="AR109" i="1"/>
  <c r="AR110" i="1"/>
  <c r="AS110" i="1" s="1"/>
  <c r="AR111" i="1"/>
  <c r="AS111" i="1" s="1"/>
  <c r="AT111" i="1" s="1"/>
  <c r="AU111" i="1" s="1"/>
  <c r="AV111" i="1" s="1"/>
  <c r="AR112" i="1"/>
  <c r="AR113" i="1"/>
  <c r="AR114" i="1"/>
  <c r="BF114" i="1" s="1"/>
  <c r="AS114" i="1"/>
  <c r="AR115" i="1"/>
  <c r="BF115" i="1" s="1"/>
  <c r="AR116" i="1"/>
  <c r="AR117" i="1"/>
  <c r="AR118" i="1"/>
  <c r="BF118" i="1" s="1"/>
  <c r="AR119" i="1"/>
  <c r="AR120" i="1"/>
  <c r="AS120" i="1"/>
  <c r="AT120" i="1"/>
  <c r="AU120" i="1"/>
  <c r="AV120" i="1"/>
  <c r="AR121" i="1"/>
  <c r="AS121" i="1" s="1"/>
  <c r="AR122" i="1"/>
  <c r="AR123" i="1"/>
  <c r="AR124" i="1"/>
  <c r="AS124" i="1" s="1"/>
  <c r="AR125" i="1"/>
  <c r="AR126" i="1"/>
  <c r="AS126" i="1"/>
  <c r="AR127" i="1"/>
  <c r="AR128" i="1"/>
  <c r="AS128" i="1"/>
  <c r="AR129" i="1"/>
  <c r="AS129" i="1"/>
  <c r="AR130" i="1"/>
  <c r="AR131" i="1"/>
  <c r="AS131" i="1"/>
  <c r="AT131" i="1"/>
  <c r="AR132" i="1"/>
  <c r="BF132" i="1" s="1"/>
  <c r="AS132" i="1"/>
  <c r="AR133" i="1"/>
  <c r="AS133" i="1" s="1"/>
  <c r="AR134" i="1"/>
  <c r="AS134" i="1"/>
  <c r="BG134" i="1" s="1"/>
  <c r="AT134" i="1"/>
  <c r="AU134" i="1"/>
  <c r="AR135" i="1"/>
  <c r="AR136" i="1"/>
  <c r="AS136" i="1"/>
  <c r="AR137" i="1"/>
  <c r="AS137" i="1"/>
  <c r="AR138" i="1"/>
  <c r="AS138" i="1"/>
  <c r="AR139" i="1"/>
  <c r="BF139" i="1" s="1"/>
  <c r="AS139" i="1"/>
  <c r="BG139" i="1" s="1"/>
  <c r="AR140" i="1"/>
  <c r="AS140" i="1"/>
  <c r="AR141" i="1"/>
  <c r="AS141" i="1"/>
  <c r="AT141" i="1" s="1"/>
  <c r="AU141" i="1" s="1"/>
  <c r="AR142" i="1"/>
  <c r="BF142" i="1" s="1"/>
  <c r="AS142" i="1"/>
  <c r="AT142" i="1"/>
  <c r="BH142" i="1" s="1"/>
  <c r="AU142" i="1"/>
  <c r="AR143" i="1"/>
  <c r="BF143" i="1" s="1"/>
  <c r="AS143" i="1"/>
  <c r="AR144" i="1"/>
  <c r="AR145" i="1"/>
  <c r="AR146" i="1"/>
  <c r="BF146" i="1" s="1"/>
  <c r="AR147" i="1"/>
  <c r="AS147" i="1"/>
  <c r="AT147" i="1"/>
  <c r="AR148" i="1"/>
  <c r="AR149" i="1"/>
  <c r="AS149" i="1"/>
  <c r="AT149" i="1" s="1"/>
  <c r="AR150" i="1"/>
  <c r="AR151" i="1"/>
  <c r="AR152" i="1"/>
  <c r="AS152" i="1" s="1"/>
  <c r="AT152" i="1" s="1"/>
  <c r="AU152" i="1" s="1"/>
  <c r="AR153" i="1"/>
  <c r="BF153" i="1" s="1"/>
  <c r="AS153" i="1"/>
  <c r="BG153" i="1" s="1"/>
  <c r="AT153" i="1"/>
  <c r="AR154" i="1"/>
  <c r="AS154" i="1"/>
  <c r="AR155" i="1"/>
  <c r="AR156" i="1"/>
  <c r="AS156" i="1"/>
  <c r="AT156" i="1" s="1"/>
  <c r="AR157" i="1"/>
  <c r="AR158" i="1"/>
  <c r="AS158" i="1"/>
  <c r="AT158" i="1"/>
  <c r="AU158" i="1"/>
  <c r="AR159" i="1"/>
  <c r="AR160" i="1"/>
  <c r="AS160" i="1"/>
  <c r="AT160" i="1"/>
  <c r="AU160" i="1"/>
  <c r="AR161" i="1"/>
  <c r="BF161" i="1" s="1"/>
  <c r="AS161" i="1"/>
  <c r="AR162" i="1"/>
  <c r="AS162" i="1"/>
  <c r="AT162" i="1"/>
  <c r="AU162" i="1" s="1"/>
  <c r="AR163" i="1"/>
  <c r="AS163" i="1" s="1"/>
  <c r="AR164" i="1"/>
  <c r="BF164" i="1" s="1"/>
  <c r="AS164" i="1"/>
  <c r="AT164" i="1" s="1"/>
  <c r="AR165" i="1"/>
  <c r="AR166" i="1"/>
  <c r="AS166" i="1"/>
  <c r="AR167" i="1"/>
  <c r="AR168" i="1"/>
  <c r="BF168" i="1" s="1"/>
  <c r="AR169" i="1"/>
  <c r="AR170" i="1"/>
  <c r="AS170" i="1" s="1"/>
  <c r="AR171" i="1"/>
  <c r="BF171" i="1" s="1"/>
  <c r="AS171" i="1"/>
  <c r="AR172" i="1"/>
  <c r="AR173" i="1"/>
  <c r="AS173" i="1"/>
  <c r="AR174" i="1"/>
  <c r="AS174" i="1"/>
  <c r="AT174" i="1"/>
  <c r="AR175" i="1"/>
  <c r="AS175" i="1" s="1"/>
  <c r="AR176" i="1"/>
  <c r="AS176" i="1"/>
  <c r="AR177" i="1"/>
  <c r="AS177" i="1"/>
  <c r="AT177" i="1"/>
  <c r="AU177" i="1"/>
  <c r="AV177" i="1"/>
  <c r="AR178" i="1"/>
  <c r="AR179" i="1"/>
  <c r="BF179" i="1" s="1"/>
  <c r="AS179" i="1"/>
  <c r="AR180" i="1"/>
  <c r="BF180" i="1" s="1"/>
  <c r="AS180" i="1"/>
  <c r="BG180" i="1" s="1"/>
  <c r="AT180" i="1"/>
  <c r="AR181" i="1"/>
  <c r="AR182" i="1"/>
  <c r="AR183" i="1"/>
  <c r="AS183" i="1"/>
  <c r="AT183" i="1" s="1"/>
  <c r="AR184" i="1"/>
  <c r="AR185" i="1"/>
  <c r="AR186" i="1"/>
  <c r="AS186" i="1"/>
  <c r="AT186" i="1"/>
  <c r="AU186" i="1"/>
  <c r="AR187" i="1"/>
  <c r="BF187" i="1" s="1"/>
  <c r="AS187" i="1"/>
  <c r="AR188" i="1"/>
  <c r="AR189" i="1"/>
  <c r="AR190" i="1"/>
  <c r="AS190" i="1"/>
  <c r="AR191" i="1"/>
  <c r="AR192" i="1"/>
  <c r="AR193" i="1"/>
  <c r="AR194" i="1"/>
  <c r="BF195" i="1" s="1"/>
  <c r="AS194" i="1"/>
  <c r="AR195" i="1"/>
  <c r="BF196" i="1" s="1"/>
  <c r="AS195" i="1"/>
  <c r="AT195" i="1"/>
  <c r="AR196" i="1"/>
  <c r="AS196" i="1" s="1"/>
  <c r="AT196" i="1" s="1"/>
  <c r="AU196" i="1" s="1"/>
  <c r="AV196" i="1" s="1"/>
  <c r="AR197" i="1"/>
  <c r="BF197" i="1" s="1"/>
  <c r="AS197" i="1"/>
  <c r="AR198" i="1"/>
  <c r="AR199" i="1"/>
  <c r="AS199" i="1" s="1"/>
  <c r="AR200" i="1"/>
  <c r="AR201" i="1"/>
  <c r="AR202" i="1"/>
  <c r="BF202" i="1" s="1"/>
  <c r="AS202" i="1"/>
  <c r="AT202" i="1" s="1"/>
  <c r="AR203" i="1"/>
  <c r="AR204" i="1"/>
  <c r="AR205" i="1"/>
  <c r="AR206" i="1"/>
  <c r="AR207" i="1"/>
  <c r="AS207" i="1"/>
  <c r="AT207" i="1" s="1"/>
  <c r="AR208" i="1"/>
  <c r="AS208" i="1"/>
  <c r="BG208" i="1" s="1"/>
  <c r="AT208" i="1"/>
  <c r="AR209" i="1"/>
  <c r="BF209" i="1" s="1"/>
  <c r="AS209" i="1"/>
  <c r="BG209" i="1" s="1"/>
  <c r="AR210" i="1"/>
  <c r="AS210" i="1" s="1"/>
  <c r="AT210" i="1"/>
  <c r="AU210" i="1"/>
  <c r="AV210" i="1"/>
  <c r="AR211" i="1"/>
  <c r="AR212" i="1"/>
  <c r="AS212" i="1"/>
  <c r="AR213" i="1"/>
  <c r="BF213" i="1" s="1"/>
  <c r="AS213" i="1"/>
  <c r="AT213" i="1"/>
  <c r="AU213" i="1"/>
  <c r="AR214" i="1"/>
  <c r="AS214" i="1"/>
  <c r="AT214" i="1"/>
  <c r="AR215" i="1"/>
  <c r="AR216" i="1"/>
  <c r="AS216" i="1"/>
  <c r="AT216" i="1"/>
  <c r="AR217" i="1"/>
  <c r="AR218" i="1"/>
  <c r="AR219" i="1"/>
  <c r="AS219" i="1" s="1"/>
  <c r="AR220" i="1"/>
  <c r="BF220" i="1" s="1"/>
  <c r="AS220" i="1"/>
  <c r="AR221" i="1"/>
  <c r="BF221" i="1" s="1"/>
  <c r="AS221" i="1"/>
  <c r="AT221" i="1"/>
  <c r="AU221" i="1" s="1"/>
  <c r="AV221" i="1"/>
  <c r="AR222" i="1"/>
  <c r="AR223" i="1"/>
  <c r="AR224" i="1"/>
  <c r="AS224" i="1"/>
  <c r="AT224" i="1" s="1"/>
  <c r="AR225" i="1"/>
  <c r="AR226" i="1"/>
  <c r="AR227" i="1"/>
  <c r="BF227" i="1" s="1"/>
  <c r="AS227" i="1"/>
  <c r="AR228" i="1"/>
  <c r="AR229" i="1"/>
  <c r="AS229" i="1" s="1"/>
  <c r="AT229" i="1" s="1"/>
  <c r="AU229" i="1"/>
  <c r="AV229" i="1" s="1"/>
  <c r="AR230" i="1"/>
  <c r="AS230" i="1"/>
  <c r="AR231" i="1"/>
  <c r="AS231" i="1" s="1"/>
  <c r="AT231" i="1" s="1"/>
  <c r="AU231" i="1" s="1"/>
  <c r="AV231" i="1" s="1"/>
  <c r="AR232" i="1"/>
  <c r="AR233" i="1"/>
  <c r="AS233" i="1"/>
  <c r="AR234" i="1"/>
  <c r="AR235" i="1"/>
  <c r="BF235" i="1" s="1"/>
  <c r="AR236" i="1"/>
  <c r="BF236" i="1" s="1"/>
  <c r="AR237" i="1"/>
  <c r="AS237" i="1" s="1"/>
  <c r="AT237" i="1" s="1"/>
  <c r="AR238" i="1"/>
  <c r="BF238" i="1" s="1"/>
  <c r="AS238" i="1"/>
  <c r="AT238" i="1"/>
  <c r="BH238" i="1" s="1"/>
  <c r="AU238" i="1"/>
  <c r="AR239" i="1"/>
  <c r="AR240" i="1"/>
  <c r="AR241" i="1"/>
  <c r="AR242" i="1"/>
  <c r="AS242" i="1"/>
  <c r="AT242" i="1"/>
  <c r="AU242" i="1" s="1"/>
  <c r="AR243" i="1"/>
  <c r="AS243" i="1"/>
  <c r="AR244" i="1"/>
  <c r="BF244" i="1" s="1"/>
  <c r="AS244" i="1"/>
  <c r="BG244" i="1" s="1"/>
  <c r="AT244" i="1"/>
  <c r="AU244" i="1" s="1"/>
  <c r="AV244" i="1"/>
  <c r="AR245" i="1"/>
  <c r="AS245" i="1"/>
  <c r="AR246" i="1"/>
  <c r="BF247" i="1" s="1"/>
  <c r="AR247" i="1"/>
  <c r="AS247" i="1" s="1"/>
  <c r="AT247" i="1" s="1"/>
  <c r="AU247" i="1" s="1"/>
  <c r="AV247" i="1" s="1"/>
  <c r="AR248" i="1"/>
  <c r="BF248" i="1" s="1"/>
  <c r="AS248" i="1"/>
  <c r="AR249" i="1"/>
  <c r="AS249" i="1"/>
  <c r="BG249" i="1" s="1"/>
  <c r="AT249" i="1"/>
  <c r="AR250" i="1"/>
  <c r="AS250" i="1"/>
  <c r="AR251" i="1"/>
  <c r="AR5" i="1"/>
  <c r="AF7" i="1"/>
  <c r="AG7" i="1"/>
  <c r="AH7" i="1"/>
  <c r="AI7" i="1"/>
  <c r="AE7" i="1"/>
  <c r="AD22" i="1"/>
  <c r="AD26" i="1" s="1"/>
  <c r="AG15" i="1"/>
  <c r="AF14" i="1"/>
  <c r="AG14" i="1"/>
  <c r="W3" i="1"/>
  <c r="AV86" i="1" l="1"/>
  <c r="AU202" i="1"/>
  <c r="AT110" i="1"/>
  <c r="BH111" i="1" s="1"/>
  <c r="BG111" i="1"/>
  <c r="AT173" i="1"/>
  <c r="BG161" i="1"/>
  <c r="AT161" i="1"/>
  <c r="BF151" i="1"/>
  <c r="BF152" i="1"/>
  <c r="BF135" i="1"/>
  <c r="BF136" i="1"/>
  <c r="AS135" i="1"/>
  <c r="BF130" i="1"/>
  <c r="AS130" i="1"/>
  <c r="BF112" i="1"/>
  <c r="AS112" i="1"/>
  <c r="AV94" i="1"/>
  <c r="AT79" i="1"/>
  <c r="BF18" i="1"/>
  <c r="AS18" i="1"/>
  <c r="BG245" i="1"/>
  <c r="AT245" i="1"/>
  <c r="AS240" i="1"/>
  <c r="BF240" i="1"/>
  <c r="BF230" i="1"/>
  <c r="BF231" i="1"/>
  <c r="AU195" i="1"/>
  <c r="BH196" i="1"/>
  <c r="BF184" i="1"/>
  <c r="AS184" i="1"/>
  <c r="BF173" i="1"/>
  <c r="AV134" i="1"/>
  <c r="AT129" i="1"/>
  <c r="BG129" i="1"/>
  <c r="BF123" i="1"/>
  <c r="AS123" i="1"/>
  <c r="BF124" i="1"/>
  <c r="BF79" i="1"/>
  <c r="BF80" i="1"/>
  <c r="AS72" i="1"/>
  <c r="BF72" i="1"/>
  <c r="BG52" i="1"/>
  <c r="AT52" i="1"/>
  <c r="AT40" i="1"/>
  <c r="BF33" i="1"/>
  <c r="AS33" i="1"/>
  <c r="AS25" i="1"/>
  <c r="BF25" i="1"/>
  <c r="BH9" i="1"/>
  <c r="AU9" i="1"/>
  <c r="BF237" i="1"/>
  <c r="BF73" i="1"/>
  <c r="BF251" i="1"/>
  <c r="AS251" i="1"/>
  <c r="AS235" i="1"/>
  <c r="BG213" i="1"/>
  <c r="BG195" i="1"/>
  <c r="BG196" i="1"/>
  <c r="AU183" i="1"/>
  <c r="AT166" i="1"/>
  <c r="BG166" i="1"/>
  <c r="BF150" i="1"/>
  <c r="AS150" i="1"/>
  <c r="AS144" i="1"/>
  <c r="BF144" i="1"/>
  <c r="AT139" i="1"/>
  <c r="AS66" i="1"/>
  <c r="BG143" i="1"/>
  <c r="AT143" i="1"/>
  <c r="AS122" i="1"/>
  <c r="BF122" i="1"/>
  <c r="BF110" i="1"/>
  <c r="BF111" i="1"/>
  <c r="BG89" i="1"/>
  <c r="AT89" i="1"/>
  <c r="AS51" i="1"/>
  <c r="BF51" i="1"/>
  <c r="BF39" i="1"/>
  <c r="AS39" i="1"/>
  <c r="BG40" i="1" s="1"/>
  <c r="BF16" i="1"/>
  <c r="BF17" i="1"/>
  <c r="AS16" i="1"/>
  <c r="BF155" i="1"/>
  <c r="AS155" i="1"/>
  <c r="BF182" i="1"/>
  <c r="AS182" i="1"/>
  <c r="AS172" i="1"/>
  <c r="BF172" i="1"/>
  <c r="BF165" i="1"/>
  <c r="AS165" i="1"/>
  <c r="AS115" i="1"/>
  <c r="AT93" i="1"/>
  <c r="BF84" i="1"/>
  <c r="AS84" i="1"/>
  <c r="BF78" i="1"/>
  <c r="AS78" i="1"/>
  <c r="AU15" i="1"/>
  <c r="BH15" i="1"/>
  <c r="BF66" i="1"/>
  <c r="AV213" i="1"/>
  <c r="AU149" i="1"/>
  <c r="AS239" i="1"/>
  <c r="BF239" i="1"/>
  <c r="AS181" i="1"/>
  <c r="BF181" i="1"/>
  <c r="BG138" i="1"/>
  <c r="AT138" i="1"/>
  <c r="AV88" i="1"/>
  <c r="AT83" i="1"/>
  <c r="AV70" i="1"/>
  <c r="AV64" i="1"/>
  <c r="AT30" i="1"/>
  <c r="AS7" i="1"/>
  <c r="BF7" i="1"/>
  <c r="AS241" i="1"/>
  <c r="BF241" i="1"/>
  <c r="BF201" i="1"/>
  <c r="AS201" i="1"/>
  <c r="AT227" i="1"/>
  <c r="BG132" i="1"/>
  <c r="AT132" i="1"/>
  <c r="AS103" i="1"/>
  <c r="BF103" i="1"/>
  <c r="AU153" i="1"/>
  <c r="BH153" i="1"/>
  <c r="AS76" i="1"/>
  <c r="BF76" i="1"/>
  <c r="BH47" i="1"/>
  <c r="AU47" i="1"/>
  <c r="AV42" i="1"/>
  <c r="AS29" i="1"/>
  <c r="BF29" i="1"/>
  <c r="BG21" i="1"/>
  <c r="AT21" i="1"/>
  <c r="AU14" i="1"/>
  <c r="AS191" i="1"/>
  <c r="BF191" i="1"/>
  <c r="AS222" i="1"/>
  <c r="BF222" i="1"/>
  <c r="BH249" i="1"/>
  <c r="AU249" i="1"/>
  <c r="AU216" i="1"/>
  <c r="AV142" i="1"/>
  <c r="BI142" i="1"/>
  <c r="BF207" i="1"/>
  <c r="BF208" i="1"/>
  <c r="AT176" i="1"/>
  <c r="BG176" i="1"/>
  <c r="BG177" i="1"/>
  <c r="AS22" i="1"/>
  <c r="BG23" i="1" s="1"/>
  <c r="BF22" i="1"/>
  <c r="AV158" i="1"/>
  <c r="AS87" i="1"/>
  <c r="BF87" i="1"/>
  <c r="BF88" i="1"/>
  <c r="AS13" i="1"/>
  <c r="BF13" i="1"/>
  <c r="BF14" i="1"/>
  <c r="BG149" i="1"/>
  <c r="BG231" i="1"/>
  <c r="BG230" i="1"/>
  <c r="AT230" i="1"/>
  <c r="AS185" i="1"/>
  <c r="BF185" i="1"/>
  <c r="BF186" i="1"/>
  <c r="AT250" i="1"/>
  <c r="BG250" i="1"/>
  <c r="BF223" i="1"/>
  <c r="AS223" i="1"/>
  <c r="BF224" i="1"/>
  <c r="BG202" i="1"/>
  <c r="AT212" i="1"/>
  <c r="BG212" i="1"/>
  <c r="AU207" i="1"/>
  <c r="AU164" i="1"/>
  <c r="BG154" i="1"/>
  <c r="AT154" i="1"/>
  <c r="AS211" i="1"/>
  <c r="BF212" i="1"/>
  <c r="BG187" i="1"/>
  <c r="AT187" i="1"/>
  <c r="AS159" i="1"/>
  <c r="BF159" i="1"/>
  <c r="BF160" i="1"/>
  <c r="AT108" i="1"/>
  <c r="AS98" i="1"/>
  <c r="BG99" i="1" s="1"/>
  <c r="BF98" i="1"/>
  <c r="AT243" i="1"/>
  <c r="BH244" i="1" s="1"/>
  <c r="BG243" i="1"/>
  <c r="BG199" i="1"/>
  <c r="AT199" i="1"/>
  <c r="BF127" i="1"/>
  <c r="AS127" i="1"/>
  <c r="AT114" i="1"/>
  <c r="AT248" i="1"/>
  <c r="BG248" i="1"/>
  <c r="AS226" i="1"/>
  <c r="BG227" i="1" s="1"/>
  <c r="BF226" i="1"/>
  <c r="BF215" i="1"/>
  <c r="AS215" i="1"/>
  <c r="BF216" i="1"/>
  <c r="AS193" i="1"/>
  <c r="BG194" i="1" s="1"/>
  <c r="BF193" i="1"/>
  <c r="BF194" i="1"/>
  <c r="AV186" i="1"/>
  <c r="AS97" i="1"/>
  <c r="BF97" i="1"/>
  <c r="BG63" i="1"/>
  <c r="AT63" i="1"/>
  <c r="AV53" i="1"/>
  <c r="BJ54" i="1" s="1"/>
  <c r="AS232" i="1"/>
  <c r="BF232" i="1"/>
  <c r="AU214" i="1"/>
  <c r="BH214" i="1"/>
  <c r="AU174" i="1"/>
  <c r="BH174" i="1"/>
  <c r="BG162" i="1"/>
  <c r="AV141" i="1"/>
  <c r="AT136" i="1"/>
  <c r="BG136" i="1"/>
  <c r="AU131" i="1"/>
  <c r="BF96" i="1"/>
  <c r="AS96" i="1"/>
  <c r="AS91" i="1"/>
  <c r="BF91" i="1"/>
  <c r="BF82" i="1"/>
  <c r="AS82" i="1"/>
  <c r="AU74" i="1"/>
  <c r="BF70" i="1"/>
  <c r="AS69" i="1"/>
  <c r="BF69" i="1"/>
  <c r="BF63" i="1"/>
  <c r="BF64" i="1"/>
  <c r="BG57" i="1"/>
  <c r="AT57" i="1"/>
  <c r="AU46" i="1"/>
  <c r="BG19" i="1"/>
  <c r="AT19" i="1"/>
  <c r="BF12" i="1"/>
  <c r="AS12" i="1"/>
  <c r="BG220" i="1"/>
  <c r="AT220" i="1"/>
  <c r="AS205" i="1"/>
  <c r="BF205" i="1"/>
  <c r="AT197" i="1"/>
  <c r="BG197" i="1"/>
  <c r="BG174" i="1"/>
  <c r="AS168" i="1"/>
  <c r="BF162" i="1"/>
  <c r="BF163" i="1"/>
  <c r="BG131" i="1"/>
  <c r="AS125" i="1"/>
  <c r="BG126" i="1" s="1"/>
  <c r="BF125" i="1"/>
  <c r="BF126" i="1"/>
  <c r="AS68" i="1"/>
  <c r="AU62" i="1"/>
  <c r="BH62" i="1"/>
  <c r="BF19" i="1"/>
  <c r="BF20" i="1"/>
  <c r="BG11" i="1"/>
  <c r="AT11" i="1"/>
  <c r="BF199" i="1"/>
  <c r="BF21" i="1"/>
  <c r="AS217" i="1"/>
  <c r="BF217" i="1"/>
  <c r="AV238" i="1"/>
  <c r="BF188" i="1"/>
  <c r="AS188" i="1"/>
  <c r="AU180" i="1"/>
  <c r="BF148" i="1"/>
  <c r="BF149" i="1"/>
  <c r="AS148" i="1"/>
  <c r="BF249" i="1"/>
  <c r="BF250" i="1"/>
  <c r="AS198" i="1"/>
  <c r="BF198" i="1"/>
  <c r="AV162" i="1"/>
  <c r="AS58" i="1"/>
  <c r="BF58" i="1"/>
  <c r="AT28" i="1"/>
  <c r="BG28" i="1"/>
  <c r="AS169" i="1"/>
  <c r="BF169" i="1"/>
  <c r="BF170" i="1"/>
  <c r="AS236" i="1"/>
  <c r="AS225" i="1"/>
  <c r="BF225" i="1"/>
  <c r="AT209" i="1"/>
  <c r="AS204" i="1"/>
  <c r="BF204" i="1"/>
  <c r="AS157" i="1"/>
  <c r="BF157" i="1"/>
  <c r="AS151" i="1"/>
  <c r="AS146" i="1"/>
  <c r="AT140" i="1"/>
  <c r="BG140" i="1"/>
  <c r="AS118" i="1"/>
  <c r="AV105" i="1"/>
  <c r="AU90" i="1"/>
  <c r="AT56" i="1"/>
  <c r="AT41" i="1"/>
  <c r="BG41" i="1"/>
  <c r="BF211" i="1"/>
  <c r="BG183" i="1"/>
  <c r="BG164" i="1"/>
  <c r="BG47" i="1"/>
  <c r="BG43" i="1"/>
  <c r="AT43" i="1"/>
  <c r="BF65" i="1"/>
  <c r="BF245" i="1"/>
  <c r="AU208" i="1"/>
  <c r="BH208" i="1"/>
  <c r="BF203" i="1"/>
  <c r="AS203" i="1"/>
  <c r="BF192" i="1"/>
  <c r="AS192" i="1"/>
  <c r="BF140" i="1"/>
  <c r="BF116" i="1"/>
  <c r="AS116" i="1"/>
  <c r="BF107" i="1"/>
  <c r="AS107" i="1"/>
  <c r="BF102" i="1"/>
  <c r="AS102" i="1"/>
  <c r="AU92" i="1"/>
  <c r="AS73" i="1"/>
  <c r="BG74" i="1" s="1"/>
  <c r="BF74" i="1"/>
  <c r="AT67" i="1"/>
  <c r="BG67" i="1"/>
  <c r="BG53" i="1"/>
  <c r="BF43" i="1"/>
  <c r="BF44" i="1"/>
  <c r="BF77" i="1"/>
  <c r="AS77" i="1"/>
  <c r="BF71" i="1"/>
  <c r="AS71" i="1"/>
  <c r="AT65" i="1"/>
  <c r="BG65" i="1"/>
  <c r="BF52" i="1"/>
  <c r="AU37" i="1"/>
  <c r="AS31" i="1"/>
  <c r="BF31" i="1"/>
  <c r="AS24" i="1"/>
  <c r="BF24" i="1"/>
  <c r="BG214" i="1"/>
  <c r="BH210" i="1"/>
  <c r="AT179" i="1"/>
  <c r="AT171" i="1"/>
  <c r="BG171" i="1"/>
  <c r="BF166" i="1"/>
  <c r="AU147" i="1"/>
  <c r="BF120" i="1"/>
  <c r="BF121" i="1"/>
  <c r="AS100" i="1"/>
  <c r="BF100" i="1"/>
  <c r="BG94" i="1"/>
  <c r="BG90" i="1"/>
  <c r="BG86" i="1"/>
  <c r="AS81" i="1"/>
  <c r="BF81" i="1"/>
  <c r="AS75" i="1"/>
  <c r="BF75" i="1"/>
  <c r="BF60" i="1"/>
  <c r="AS60" i="1"/>
  <c r="BI54" i="1"/>
  <c r="AT45" i="1"/>
  <c r="BG45" i="1"/>
  <c r="BF36" i="1"/>
  <c r="AS36" i="1"/>
  <c r="BF30" i="1"/>
  <c r="AS5" i="1"/>
  <c r="BF6" i="1"/>
  <c r="AV242" i="1"/>
  <c r="AT233" i="1"/>
  <c r="AT219" i="1"/>
  <c r="BF214" i="1"/>
  <c r="BG210" i="1"/>
  <c r="AS200" i="1"/>
  <c r="BF200" i="1"/>
  <c r="AT194" i="1"/>
  <c r="AT175" i="1"/>
  <c r="BG175" i="1"/>
  <c r="AV160" i="1"/>
  <c r="AU156" i="1"/>
  <c r="BG137" i="1"/>
  <c r="AT137" i="1"/>
  <c r="AT124" i="1"/>
  <c r="BG124" i="1"/>
  <c r="AU104" i="1"/>
  <c r="AT99" i="1"/>
  <c r="BG59" i="1"/>
  <c r="AT59" i="1"/>
  <c r="BH54" i="1"/>
  <c r="AS50" i="1"/>
  <c r="BF50" i="1"/>
  <c r="AT35" i="1"/>
  <c r="AT23" i="1"/>
  <c r="AU237" i="1"/>
  <c r="BF233" i="1"/>
  <c r="AS218" i="1"/>
  <c r="BF218" i="1"/>
  <c r="BF206" i="1"/>
  <c r="AS206" i="1"/>
  <c r="AS189" i="1"/>
  <c r="BG190" i="1" s="1"/>
  <c r="BF189" i="1"/>
  <c r="BF156" i="1"/>
  <c r="BF147" i="1"/>
  <c r="BF137" i="1"/>
  <c r="BF138" i="1"/>
  <c r="AT128" i="1"/>
  <c r="BG128" i="1"/>
  <c r="BF119" i="1"/>
  <c r="AS119" i="1"/>
  <c r="BF104" i="1"/>
  <c r="BF99" i="1"/>
  <c r="BF59" i="1"/>
  <c r="BG54" i="1"/>
  <c r="AT44" i="1"/>
  <c r="BG44" i="1"/>
  <c r="BF219" i="1"/>
  <c r="BF167" i="1"/>
  <c r="AS167" i="1"/>
  <c r="BF128" i="1"/>
  <c r="AS106" i="1"/>
  <c r="BF106" i="1"/>
  <c r="BG64" i="1"/>
  <c r="AS55" i="1"/>
  <c r="BG56" i="1" s="1"/>
  <c r="BF55" i="1"/>
  <c r="AS34" i="1"/>
  <c r="BF34" i="1"/>
  <c r="AT8" i="1"/>
  <c r="BG229" i="1"/>
  <c r="AS246" i="1"/>
  <c r="BF246" i="1"/>
  <c r="BF242" i="1"/>
  <c r="AS234" i="1"/>
  <c r="BF234" i="1"/>
  <c r="AU224" i="1"/>
  <c r="AT190" i="1"/>
  <c r="BF174" i="1"/>
  <c r="AT170" i="1"/>
  <c r="BF154" i="1"/>
  <c r="BG142" i="1"/>
  <c r="BH134" i="1"/>
  <c r="BF131" i="1"/>
  <c r="AT126" i="1"/>
  <c r="AS117" i="1"/>
  <c r="BF117" i="1"/>
  <c r="BF101" i="1"/>
  <c r="AS101" i="1"/>
  <c r="AT95" i="1"/>
  <c r="BG95" i="1"/>
  <c r="BF92" i="1"/>
  <c r="BG46" i="1"/>
  <c r="BG42" i="1"/>
  <c r="BF38" i="1"/>
  <c r="AS38" i="1"/>
  <c r="AT32" i="1"/>
  <c r="BG32" i="1"/>
  <c r="AT20" i="1"/>
  <c r="BG20" i="1"/>
  <c r="AS228" i="1"/>
  <c r="BF228" i="1"/>
  <c r="BF42" i="1"/>
  <c r="BF32" i="1"/>
  <c r="BG26" i="1"/>
  <c r="AT26" i="1"/>
  <c r="BF183" i="1"/>
  <c r="AS178" i="1"/>
  <c r="BF178" i="1"/>
  <c r="AT163" i="1"/>
  <c r="BG163" i="1"/>
  <c r="AS145" i="1"/>
  <c r="BF145" i="1"/>
  <c r="AT133" i="1"/>
  <c r="BG133" i="1"/>
  <c r="AT121" i="1"/>
  <c r="BG121" i="1"/>
  <c r="AS113" i="1"/>
  <c r="BF113" i="1"/>
  <c r="AS109" i="1"/>
  <c r="BG110" i="1" s="1"/>
  <c r="BF109" i="1"/>
  <c r="BF105" i="1"/>
  <c r="AS85" i="1"/>
  <c r="BF85" i="1"/>
  <c r="BF56" i="1"/>
  <c r="AS48" i="1"/>
  <c r="BF48" i="1"/>
  <c r="AT17" i="1"/>
  <c r="BG17" i="1"/>
  <c r="BF8" i="1"/>
  <c r="AT49" i="1"/>
  <c r="BG49" i="1"/>
  <c r="BF9" i="1"/>
  <c r="BG80" i="1"/>
  <c r="BF177" i="1"/>
  <c r="AV152" i="1"/>
  <c r="BF95" i="1"/>
  <c r="AV80" i="1"/>
  <c r="AU61" i="1"/>
  <c r="AT27" i="1"/>
  <c r="BG27" i="1"/>
  <c r="BF23" i="1"/>
  <c r="BF15" i="1"/>
  <c r="AS10" i="1"/>
  <c r="BF10" i="1"/>
  <c r="BF61" i="1"/>
  <c r="BF49" i="1"/>
  <c r="AD20" i="1"/>
  <c r="AD25" i="1"/>
  <c r="AD24" i="1"/>
  <c r="AD23" i="1"/>
  <c r="AU137" i="1" l="1"/>
  <c r="BH137" i="1"/>
  <c r="BG206" i="1"/>
  <c r="AT206" i="1"/>
  <c r="AT218" i="1"/>
  <c r="BG218" i="1"/>
  <c r="BG16" i="1"/>
  <c r="AT16" i="1"/>
  <c r="BH17" i="1" s="1"/>
  <c r="AU17" i="1"/>
  <c r="BG102" i="1"/>
  <c r="AT102" i="1"/>
  <c r="AV46" i="1"/>
  <c r="BH154" i="1"/>
  <c r="AU154" i="1"/>
  <c r="BG122" i="1"/>
  <c r="AT122" i="1"/>
  <c r="BG101" i="1"/>
  <c r="AT101" i="1"/>
  <c r="AU8" i="1"/>
  <c r="BH8" i="1"/>
  <c r="AU194" i="1"/>
  <c r="AT31" i="1"/>
  <c r="BG31" i="1"/>
  <c r="AT236" i="1"/>
  <c r="BG236" i="1"/>
  <c r="BG237" i="1"/>
  <c r="BG96" i="1"/>
  <c r="AT96" i="1"/>
  <c r="AU27" i="1"/>
  <c r="BH27" i="1"/>
  <c r="AT85" i="1"/>
  <c r="BG85" i="1"/>
  <c r="AU20" i="1"/>
  <c r="BH20" i="1"/>
  <c r="AU44" i="1"/>
  <c r="BH44" i="1"/>
  <c r="AU35" i="1"/>
  <c r="BH35" i="1"/>
  <c r="AT5" i="1"/>
  <c r="BG6" i="1"/>
  <c r="BG75" i="1"/>
  <c r="AT75" i="1"/>
  <c r="AT205" i="1"/>
  <c r="BG205" i="1"/>
  <c r="AV207" i="1"/>
  <c r="AU230" i="1"/>
  <c r="BH230" i="1"/>
  <c r="BH231" i="1"/>
  <c r="BG172" i="1"/>
  <c r="AT172" i="1"/>
  <c r="AT51" i="1"/>
  <c r="BG51" i="1"/>
  <c r="BH139" i="1"/>
  <c r="AU139" i="1"/>
  <c r="BG235" i="1"/>
  <c r="AT235" i="1"/>
  <c r="AU129" i="1"/>
  <c r="BH129" i="1"/>
  <c r="BG112" i="1"/>
  <c r="AT112" i="1"/>
  <c r="BG173" i="1"/>
  <c r="AV37" i="1"/>
  <c r="AT217" i="1"/>
  <c r="BG217" i="1"/>
  <c r="AU220" i="1"/>
  <c r="BH220" i="1"/>
  <c r="AV131" i="1"/>
  <c r="AT232" i="1"/>
  <c r="BG232" i="1"/>
  <c r="AT193" i="1"/>
  <c r="BG193" i="1"/>
  <c r="AU199" i="1"/>
  <c r="AT159" i="1"/>
  <c r="BG159" i="1"/>
  <c r="BG160" i="1"/>
  <c r="AV216" i="1"/>
  <c r="AT103" i="1"/>
  <c r="BG103" i="1"/>
  <c r="BG104" i="1"/>
  <c r="AU138" i="1"/>
  <c r="BH138" i="1"/>
  <c r="AT182" i="1"/>
  <c r="BG182" i="1"/>
  <c r="AT251" i="1"/>
  <c r="BG251" i="1"/>
  <c r="AU52" i="1"/>
  <c r="AT240" i="1"/>
  <c r="BG240" i="1"/>
  <c r="AU163" i="1"/>
  <c r="BH163" i="1"/>
  <c r="AU32" i="1"/>
  <c r="BH32" i="1"/>
  <c r="AT200" i="1"/>
  <c r="BG200" i="1"/>
  <c r="AT81" i="1"/>
  <c r="BG81" i="1"/>
  <c r="AU171" i="1"/>
  <c r="BH171" i="1"/>
  <c r="AU67" i="1"/>
  <c r="BG192" i="1"/>
  <c r="AT192" i="1"/>
  <c r="BG146" i="1"/>
  <c r="AT146" i="1"/>
  <c r="AT169" i="1"/>
  <c r="BG169" i="1"/>
  <c r="BG148" i="1"/>
  <c r="AT148" i="1"/>
  <c r="AU187" i="1"/>
  <c r="BH187" i="1"/>
  <c r="AU212" i="1"/>
  <c r="AV249" i="1"/>
  <c r="BI249" i="1"/>
  <c r="BG29" i="1"/>
  <c r="AT29" i="1"/>
  <c r="BH132" i="1"/>
  <c r="AU132" i="1"/>
  <c r="AT7" i="1"/>
  <c r="BG7" i="1"/>
  <c r="AV15" i="1"/>
  <c r="BI15" i="1"/>
  <c r="AU89" i="1"/>
  <c r="BH89" i="1"/>
  <c r="AT144" i="1"/>
  <c r="BG144" i="1"/>
  <c r="AU245" i="1"/>
  <c r="BH245" i="1"/>
  <c r="BG130" i="1"/>
  <c r="AT130" i="1"/>
  <c r="BH213" i="1"/>
  <c r="AU126" i="1"/>
  <c r="BG69" i="1"/>
  <c r="AT69" i="1"/>
  <c r="AU30" i="1"/>
  <c r="BG78" i="1"/>
  <c r="AT78" i="1"/>
  <c r="BG155" i="1"/>
  <c r="BG156" i="1"/>
  <c r="AT155" i="1"/>
  <c r="BG150" i="1"/>
  <c r="AT150" i="1"/>
  <c r="AV61" i="1"/>
  <c r="AT215" i="1"/>
  <c r="BG215" i="1"/>
  <c r="AU49" i="1"/>
  <c r="BH49" i="1"/>
  <c r="BG147" i="1"/>
  <c r="AU179" i="1"/>
  <c r="AU65" i="1"/>
  <c r="BH65" i="1"/>
  <c r="AT73" i="1"/>
  <c r="BG73" i="1"/>
  <c r="AT203" i="1"/>
  <c r="BG203" i="1"/>
  <c r="AU28" i="1"/>
  <c r="BH28" i="1"/>
  <c r="AU136" i="1"/>
  <c r="BH136" i="1"/>
  <c r="AU63" i="1"/>
  <c r="BH63" i="1"/>
  <c r="AU243" i="1"/>
  <c r="BH243" i="1"/>
  <c r="AT22" i="1"/>
  <c r="BG22" i="1"/>
  <c r="AU227" i="1"/>
  <c r="BG30" i="1"/>
  <c r="AT181" i="1"/>
  <c r="BG181" i="1"/>
  <c r="AT72" i="1"/>
  <c r="BG72" i="1"/>
  <c r="BG18" i="1"/>
  <c r="AT18" i="1"/>
  <c r="BG135" i="1"/>
  <c r="AT135" i="1"/>
  <c r="AU124" i="1"/>
  <c r="AT189" i="1"/>
  <c r="BG189" i="1"/>
  <c r="BG38" i="1"/>
  <c r="AT38" i="1"/>
  <c r="AT125" i="1"/>
  <c r="BG125" i="1"/>
  <c r="BH26" i="1"/>
  <c r="AU26" i="1"/>
  <c r="BG234" i="1"/>
  <c r="AT234" i="1"/>
  <c r="AT119" i="1"/>
  <c r="BG119" i="1"/>
  <c r="AU59" i="1"/>
  <c r="BH59" i="1"/>
  <c r="BG219" i="1"/>
  <c r="AU45" i="1"/>
  <c r="BH45" i="1"/>
  <c r="BG71" i="1"/>
  <c r="AT71" i="1"/>
  <c r="AU41" i="1"/>
  <c r="BH41" i="1"/>
  <c r="AT157" i="1"/>
  <c r="BG157" i="1"/>
  <c r="BG158" i="1"/>
  <c r="BH180" i="1"/>
  <c r="AU11" i="1"/>
  <c r="BH11" i="1"/>
  <c r="AU19" i="1"/>
  <c r="BH19" i="1"/>
  <c r="AV74" i="1"/>
  <c r="AT211" i="1"/>
  <c r="BH212" i="1" s="1"/>
  <c r="BG211" i="1"/>
  <c r="BG223" i="1"/>
  <c r="AT223" i="1"/>
  <c r="BG224" i="1"/>
  <c r="AT222" i="1"/>
  <c r="BG222" i="1"/>
  <c r="AV47" i="1"/>
  <c r="BJ47" i="1" s="1"/>
  <c r="BI47" i="1"/>
  <c r="AT84" i="1"/>
  <c r="BG84" i="1"/>
  <c r="BG207" i="1"/>
  <c r="BI9" i="1"/>
  <c r="AV9" i="1"/>
  <c r="AT184" i="1"/>
  <c r="BG184" i="1"/>
  <c r="AU110" i="1"/>
  <c r="BH110" i="1"/>
  <c r="AT178" i="1"/>
  <c r="BG178" i="1"/>
  <c r="AU219" i="1"/>
  <c r="BH219" i="1"/>
  <c r="AV180" i="1"/>
  <c r="AT13" i="1"/>
  <c r="BG13" i="1"/>
  <c r="BG14" i="1"/>
  <c r="BG168" i="1"/>
  <c r="AT168" i="1"/>
  <c r="AU176" i="1"/>
  <c r="BH176" i="1"/>
  <c r="BH177" i="1"/>
  <c r="AT34" i="1"/>
  <c r="BG34" i="1"/>
  <c r="BG35" i="1"/>
  <c r="AT117" i="1"/>
  <c r="BG117" i="1"/>
  <c r="BG36" i="1"/>
  <c r="AT36" i="1"/>
  <c r="AT109" i="1"/>
  <c r="BG109" i="1"/>
  <c r="AV224" i="1"/>
  <c r="BG50" i="1"/>
  <c r="AT50" i="1"/>
  <c r="BG151" i="1"/>
  <c r="AT151" i="1"/>
  <c r="BG152" i="1"/>
  <c r="AT113" i="1"/>
  <c r="BG113" i="1"/>
  <c r="AT106" i="1"/>
  <c r="BG106" i="1"/>
  <c r="AV156" i="1"/>
  <c r="AV92" i="1"/>
  <c r="AT58" i="1"/>
  <c r="BG58" i="1"/>
  <c r="AT226" i="1"/>
  <c r="BH227" i="1" s="1"/>
  <c r="BG226" i="1"/>
  <c r="AT201" i="1"/>
  <c r="BG201" i="1"/>
  <c r="AU166" i="1"/>
  <c r="AV202" i="1"/>
  <c r="BH121" i="1"/>
  <c r="AU121" i="1"/>
  <c r="BG70" i="1"/>
  <c r="BG60" i="1"/>
  <c r="BG61" i="1"/>
  <c r="AT60" i="1"/>
  <c r="BG100" i="1"/>
  <c r="AT100" i="1"/>
  <c r="AT77" i="1"/>
  <c r="BG77" i="1"/>
  <c r="AV208" i="1"/>
  <c r="BJ208" i="1" s="1"/>
  <c r="BI208" i="1"/>
  <c r="AT204" i="1"/>
  <c r="BG204" i="1"/>
  <c r="BG216" i="1"/>
  <c r="BG82" i="1"/>
  <c r="AT82" i="1"/>
  <c r="AT97" i="1"/>
  <c r="BG97" i="1"/>
  <c r="AT191" i="1"/>
  <c r="BG191" i="1"/>
  <c r="BG239" i="1"/>
  <c r="AT239" i="1"/>
  <c r="BH93" i="1"/>
  <c r="AU93" i="1"/>
  <c r="BH94" i="1"/>
  <c r="AT246" i="1"/>
  <c r="BG246" i="1"/>
  <c r="BG247" i="1"/>
  <c r="AU128" i="1"/>
  <c r="BH233" i="1"/>
  <c r="AU233" i="1"/>
  <c r="AU209" i="1"/>
  <c r="BH209" i="1"/>
  <c r="AT188" i="1"/>
  <c r="BG188" i="1"/>
  <c r="BH46" i="1"/>
  <c r="BG120" i="1"/>
  <c r="AU248" i="1"/>
  <c r="BH248" i="1"/>
  <c r="AU108" i="1"/>
  <c r="AU250" i="1"/>
  <c r="BH250" i="1"/>
  <c r="AT76" i="1"/>
  <c r="BG76" i="1"/>
  <c r="BG115" i="1"/>
  <c r="AT115" i="1"/>
  <c r="AU143" i="1"/>
  <c r="BH143" i="1"/>
  <c r="AV183" i="1"/>
  <c r="AT25" i="1"/>
  <c r="BG25" i="1"/>
  <c r="BH195" i="1"/>
  <c r="BH90" i="1"/>
  <c r="AT48" i="1"/>
  <c r="BG48" i="1"/>
  <c r="AU133" i="1"/>
  <c r="BH133" i="1"/>
  <c r="BG170" i="1"/>
  <c r="AV237" i="1"/>
  <c r="AU99" i="1"/>
  <c r="BH64" i="1"/>
  <c r="AT24" i="1"/>
  <c r="BG24" i="1"/>
  <c r="BG37" i="1"/>
  <c r="BG107" i="1"/>
  <c r="AT107" i="1"/>
  <c r="AV90" i="1"/>
  <c r="BH53" i="1"/>
  <c r="AV174" i="1"/>
  <c r="AU114" i="1"/>
  <c r="BH114" i="1"/>
  <c r="BG108" i="1"/>
  <c r="BH164" i="1"/>
  <c r="AU83" i="1"/>
  <c r="BH83" i="1"/>
  <c r="AV149" i="1"/>
  <c r="BG165" i="1"/>
  <c r="AT165" i="1"/>
  <c r="BH166" i="1" s="1"/>
  <c r="BG39" i="1"/>
  <c r="AT39" i="1"/>
  <c r="AT33" i="1"/>
  <c r="BG33" i="1"/>
  <c r="BG123" i="1"/>
  <c r="AT123" i="1"/>
  <c r="AV195" i="1"/>
  <c r="BI196" i="1"/>
  <c r="BI195" i="1"/>
  <c r="BH161" i="1"/>
  <c r="AU161" i="1"/>
  <c r="BH162" i="1"/>
  <c r="AT228" i="1"/>
  <c r="BG228" i="1"/>
  <c r="AU95" i="1"/>
  <c r="BH95" i="1"/>
  <c r="AU170" i="1"/>
  <c r="BG8" i="1"/>
  <c r="BH23" i="1"/>
  <c r="AU23" i="1"/>
  <c r="AU175" i="1"/>
  <c r="BH175" i="1"/>
  <c r="BH43" i="1"/>
  <c r="AU43" i="1"/>
  <c r="BJ105" i="1"/>
  <c r="BG225" i="1"/>
  <c r="AT225" i="1"/>
  <c r="AT198" i="1"/>
  <c r="BG198" i="1"/>
  <c r="BI238" i="1"/>
  <c r="AV62" i="1"/>
  <c r="BI62" i="1"/>
  <c r="BH197" i="1"/>
  <c r="AU197" i="1"/>
  <c r="AU57" i="1"/>
  <c r="BH57" i="1"/>
  <c r="AT91" i="1"/>
  <c r="BG91" i="1"/>
  <c r="BG92" i="1"/>
  <c r="BG114" i="1"/>
  <c r="AV164" i="1"/>
  <c r="BI164" i="1"/>
  <c r="AT87" i="1"/>
  <c r="BG87" i="1"/>
  <c r="BG88" i="1"/>
  <c r="AV14" i="1"/>
  <c r="AV153" i="1"/>
  <c r="BJ153" i="1" s="1"/>
  <c r="BI153" i="1"/>
  <c r="BG83" i="1"/>
  <c r="BH221" i="1"/>
  <c r="AU190" i="1"/>
  <c r="BH190" i="1"/>
  <c r="AU140" i="1"/>
  <c r="BH140" i="1"/>
  <c r="BH141" i="1"/>
  <c r="AT55" i="1"/>
  <c r="BG55" i="1"/>
  <c r="BG179" i="1"/>
  <c r="BG12" i="1"/>
  <c r="AT12" i="1"/>
  <c r="BH80" i="1"/>
  <c r="AU79" i="1"/>
  <c r="BG233" i="1"/>
  <c r="AU56" i="1"/>
  <c r="AT98" i="1"/>
  <c r="BH99" i="1" s="1"/>
  <c r="BG98" i="1"/>
  <c r="BH42" i="1"/>
  <c r="BG79" i="1"/>
  <c r="AT10" i="1"/>
  <c r="BG10" i="1"/>
  <c r="AT167" i="1"/>
  <c r="BG167" i="1"/>
  <c r="AT145" i="1"/>
  <c r="BG145" i="1"/>
  <c r="AV104" i="1"/>
  <c r="AV147" i="1"/>
  <c r="AT116" i="1"/>
  <c r="BG116" i="1"/>
  <c r="AT118" i="1"/>
  <c r="BG118" i="1"/>
  <c r="BJ238" i="1"/>
  <c r="AT68" i="1"/>
  <c r="BG68" i="1"/>
  <c r="AV214" i="1"/>
  <c r="BJ214" i="1" s="1"/>
  <c r="BI214" i="1"/>
  <c r="BG127" i="1"/>
  <c r="AT127" i="1"/>
  <c r="BH128" i="1" s="1"/>
  <c r="AT185" i="1"/>
  <c r="BG185" i="1"/>
  <c r="BG186" i="1"/>
  <c r="BJ142" i="1"/>
  <c r="AU21" i="1"/>
  <c r="BH21" i="1"/>
  <c r="AT241" i="1"/>
  <c r="BG241" i="1"/>
  <c r="BG242" i="1"/>
  <c r="BG66" i="1"/>
  <c r="AT66" i="1"/>
  <c r="BH67" i="1" s="1"/>
  <c r="AU40" i="1"/>
  <c r="BH40" i="1"/>
  <c r="BI105" i="1"/>
  <c r="AU173" i="1"/>
  <c r="AE23" i="1"/>
  <c r="AE25" i="1" s="1"/>
  <c r="AE26" i="1"/>
  <c r="AE24" i="1"/>
  <c r="AF24" i="1" s="1"/>
  <c r="BH78" i="1" l="1"/>
  <c r="AU78" i="1"/>
  <c r="AU107" i="1"/>
  <c r="BH107" i="1"/>
  <c r="AV133" i="1"/>
  <c r="BI133" i="1"/>
  <c r="BI134" i="1"/>
  <c r="AU188" i="1"/>
  <c r="BH188" i="1"/>
  <c r="BI93" i="1"/>
  <c r="AV93" i="1"/>
  <c r="BI94" i="1"/>
  <c r="AV121" i="1"/>
  <c r="BJ121" i="1" s="1"/>
  <c r="BI121" i="1"/>
  <c r="AV219" i="1"/>
  <c r="BI219" i="1"/>
  <c r="AU125" i="1"/>
  <c r="BH125" i="1"/>
  <c r="BH72" i="1"/>
  <c r="AU72" i="1"/>
  <c r="AV63" i="1"/>
  <c r="BI63" i="1"/>
  <c r="BI64" i="1"/>
  <c r="AV179" i="1"/>
  <c r="AV132" i="1"/>
  <c r="BJ132" i="1" s="1"/>
  <c r="BI132" i="1"/>
  <c r="AU81" i="1"/>
  <c r="BH81" i="1"/>
  <c r="AU251" i="1"/>
  <c r="BH251" i="1"/>
  <c r="AU205" i="1"/>
  <c r="BH205" i="1"/>
  <c r="BH85" i="1"/>
  <c r="AU85" i="1"/>
  <c r="BH86" i="1"/>
  <c r="BH145" i="1"/>
  <c r="AU145" i="1"/>
  <c r="BH79" i="1"/>
  <c r="AV190" i="1"/>
  <c r="BJ195" i="1"/>
  <c r="BJ196" i="1"/>
  <c r="BI83" i="1"/>
  <c r="AV83" i="1"/>
  <c r="AU204" i="1"/>
  <c r="BH204" i="1"/>
  <c r="AV19" i="1"/>
  <c r="AV45" i="1"/>
  <c r="BI45" i="1"/>
  <c r="AU38" i="1"/>
  <c r="BH38" i="1"/>
  <c r="AU159" i="1"/>
  <c r="BH159" i="1"/>
  <c r="BH160" i="1"/>
  <c r="BH217" i="1"/>
  <c r="AU217" i="1"/>
  <c r="AU75" i="1"/>
  <c r="BH75" i="1"/>
  <c r="AV8" i="1"/>
  <c r="AU198" i="1"/>
  <c r="BH198" i="1"/>
  <c r="AU76" i="1"/>
  <c r="BH76" i="1"/>
  <c r="AV245" i="1"/>
  <c r="BJ245" i="1" s="1"/>
  <c r="BI245" i="1"/>
  <c r="AU200" i="1"/>
  <c r="BH200" i="1"/>
  <c r="AU51" i="1"/>
  <c r="BH51" i="1"/>
  <c r="AV27" i="1"/>
  <c r="BI27" i="1"/>
  <c r="BH101" i="1"/>
  <c r="AU101" i="1"/>
  <c r="AV17" i="1"/>
  <c r="AU68" i="1"/>
  <c r="BH68" i="1"/>
  <c r="BH29" i="1"/>
  <c r="AU29" i="1"/>
  <c r="BI176" i="1"/>
  <c r="AV176" i="1"/>
  <c r="BI177" i="1"/>
  <c r="AV11" i="1"/>
  <c r="BI11" i="1"/>
  <c r="BI49" i="1"/>
  <c r="AV49" i="1"/>
  <c r="BH146" i="1"/>
  <c r="AU146" i="1"/>
  <c r="BH147" i="1"/>
  <c r="AV199" i="1"/>
  <c r="BH172" i="1"/>
  <c r="AU172" i="1"/>
  <c r="BI173" i="1" s="1"/>
  <c r="AU96" i="1"/>
  <c r="BH96" i="1"/>
  <c r="BH16" i="1"/>
  <c r="AU16" i="1"/>
  <c r="BI17" i="1" s="1"/>
  <c r="AV233" i="1"/>
  <c r="AV21" i="1"/>
  <c r="BI21" i="1"/>
  <c r="BI111" i="1"/>
  <c r="AV110" i="1"/>
  <c r="BI110" i="1"/>
  <c r="AV227" i="1"/>
  <c r="AU5" i="1"/>
  <c r="BH6" i="1"/>
  <c r="AV136" i="1"/>
  <c r="AV28" i="1"/>
  <c r="BI28" i="1"/>
  <c r="BI79" i="1"/>
  <c r="AV79" i="1"/>
  <c r="BI80" i="1"/>
  <c r="AU123" i="1"/>
  <c r="BH123" i="1"/>
  <c r="AV209" i="1"/>
  <c r="BI209" i="1"/>
  <c r="BI210" i="1"/>
  <c r="AU182" i="1"/>
  <c r="BH182" i="1"/>
  <c r="BH183" i="1"/>
  <c r="AU167" i="1"/>
  <c r="BH167" i="1"/>
  <c r="BH225" i="1"/>
  <c r="AU225" i="1"/>
  <c r="AV173" i="1"/>
  <c r="AU24" i="1"/>
  <c r="BH24" i="1"/>
  <c r="AV166" i="1"/>
  <c r="AU168" i="1"/>
  <c r="BH168" i="1"/>
  <c r="AU222" i="1"/>
  <c r="BH222" i="1"/>
  <c r="BH189" i="1"/>
  <c r="AU189" i="1"/>
  <c r="BI190" i="1" s="1"/>
  <c r="AV138" i="1"/>
  <c r="BI138" i="1"/>
  <c r="AU118" i="1"/>
  <c r="BH118" i="1"/>
  <c r="BH91" i="1"/>
  <c r="AU91" i="1"/>
  <c r="BH92" i="1"/>
  <c r="AV95" i="1"/>
  <c r="BJ95" i="1" s="1"/>
  <c r="BI95" i="1"/>
  <c r="AV114" i="1"/>
  <c r="BH108" i="1"/>
  <c r="BH77" i="1"/>
  <c r="AU77" i="1"/>
  <c r="AU36" i="1"/>
  <c r="BH36" i="1"/>
  <c r="BH37" i="1"/>
  <c r="BI124" i="1"/>
  <c r="AV124" i="1"/>
  <c r="BH30" i="1"/>
  <c r="AU144" i="1"/>
  <c r="BH144" i="1"/>
  <c r="AU192" i="1"/>
  <c r="BH192" i="1"/>
  <c r="BH193" i="1"/>
  <c r="AU193" i="1"/>
  <c r="BH112" i="1"/>
  <c r="AU112" i="1"/>
  <c r="AU122" i="1"/>
  <c r="BH122" i="1"/>
  <c r="AV43" i="1"/>
  <c r="BJ43" i="1" s="1"/>
  <c r="BI43" i="1"/>
  <c r="AU39" i="1"/>
  <c r="BH39" i="1"/>
  <c r="AU25" i="1"/>
  <c r="BH25" i="1"/>
  <c r="AV108" i="1"/>
  <c r="BI108" i="1"/>
  <c r="BI128" i="1"/>
  <c r="AV128" i="1"/>
  <c r="AU100" i="1"/>
  <c r="BH100" i="1"/>
  <c r="AU184" i="1"/>
  <c r="BH184" i="1"/>
  <c r="AU223" i="1"/>
  <c r="BH223" i="1"/>
  <c r="BH224" i="1"/>
  <c r="BH119" i="1"/>
  <c r="AU119" i="1"/>
  <c r="BH120" i="1"/>
  <c r="BH124" i="1"/>
  <c r="AU203" i="1"/>
  <c r="BH203" i="1"/>
  <c r="AU215" i="1"/>
  <c r="BH215" i="1"/>
  <c r="BH216" i="1"/>
  <c r="AU69" i="1"/>
  <c r="BH69" i="1"/>
  <c r="BH70" i="1"/>
  <c r="AV163" i="1"/>
  <c r="BJ163" i="1" s="1"/>
  <c r="BI163" i="1"/>
  <c r="AV35" i="1"/>
  <c r="AV59" i="1"/>
  <c r="BI59" i="1"/>
  <c r="BH173" i="1"/>
  <c r="AU10" i="1"/>
  <c r="BH10" i="1"/>
  <c r="AU33" i="1"/>
  <c r="BH33" i="1"/>
  <c r="BH191" i="1"/>
  <c r="AU191" i="1"/>
  <c r="AU106" i="1"/>
  <c r="BH106" i="1"/>
  <c r="AU116" i="1"/>
  <c r="BH116" i="1"/>
  <c r="BI57" i="1"/>
  <c r="AV57" i="1"/>
  <c r="BJ57" i="1" s="1"/>
  <c r="AU228" i="1"/>
  <c r="BH228" i="1"/>
  <c r="BH229" i="1"/>
  <c r="AV99" i="1"/>
  <c r="BH97" i="1"/>
  <c r="AU97" i="1"/>
  <c r="AU201" i="1"/>
  <c r="BH201" i="1"/>
  <c r="BH202" i="1"/>
  <c r="BH113" i="1"/>
  <c r="AU113" i="1"/>
  <c r="AU157" i="1"/>
  <c r="BH157" i="1"/>
  <c r="BH158" i="1"/>
  <c r="BH234" i="1"/>
  <c r="AU234" i="1"/>
  <c r="AU135" i="1"/>
  <c r="BI136" i="1" s="1"/>
  <c r="BH135" i="1"/>
  <c r="AV89" i="1"/>
  <c r="BJ89" i="1" s="1"/>
  <c r="BI89" i="1"/>
  <c r="AV212" i="1"/>
  <c r="BI213" i="1"/>
  <c r="AU103" i="1"/>
  <c r="BH103" i="1"/>
  <c r="BH104" i="1"/>
  <c r="AU232" i="1"/>
  <c r="BI233" i="1" s="1"/>
  <c r="BH232" i="1"/>
  <c r="AU236" i="1"/>
  <c r="BH236" i="1"/>
  <c r="BH237" i="1"/>
  <c r="AV154" i="1"/>
  <c r="BJ154" i="1" s="1"/>
  <c r="BI154" i="1"/>
  <c r="AU218" i="1"/>
  <c r="BH218" i="1"/>
  <c r="BH169" i="1"/>
  <c r="AU169" i="1"/>
  <c r="AU12" i="1"/>
  <c r="BH12" i="1"/>
  <c r="BI30" i="1"/>
  <c r="AV30" i="1"/>
  <c r="BI40" i="1"/>
  <c r="AV40" i="1"/>
  <c r="AU185" i="1"/>
  <c r="BH185" i="1"/>
  <c r="BH186" i="1"/>
  <c r="BI197" i="1"/>
  <c r="AV197" i="1"/>
  <c r="BJ197" i="1" s="1"/>
  <c r="BH165" i="1"/>
  <c r="AU165" i="1"/>
  <c r="BI166" i="1" s="1"/>
  <c r="BI174" i="1"/>
  <c r="AV248" i="1"/>
  <c r="BJ248" i="1" s="1"/>
  <c r="BI248" i="1"/>
  <c r="BH82" i="1"/>
  <c r="AU82" i="1"/>
  <c r="BH60" i="1"/>
  <c r="AU60" i="1"/>
  <c r="BH61" i="1"/>
  <c r="AU117" i="1"/>
  <c r="BH117" i="1"/>
  <c r="AU13" i="1"/>
  <c r="BH13" i="1"/>
  <c r="BH14" i="1"/>
  <c r="AU22" i="1"/>
  <c r="BI23" i="1" s="1"/>
  <c r="BH22" i="1"/>
  <c r="BH73" i="1"/>
  <c r="AU73" i="1"/>
  <c r="BH74" i="1"/>
  <c r="BH126" i="1"/>
  <c r="AV67" i="1"/>
  <c r="AU240" i="1"/>
  <c r="BH240" i="1"/>
  <c r="BI129" i="1"/>
  <c r="AV129" i="1"/>
  <c r="BJ129" i="1" s="1"/>
  <c r="BI230" i="1"/>
  <c r="BI231" i="1"/>
  <c r="AV230" i="1"/>
  <c r="AV44" i="1"/>
  <c r="BJ44" i="1" s="1"/>
  <c r="BI44" i="1"/>
  <c r="BH206" i="1"/>
  <c r="AU206" i="1"/>
  <c r="BH207" i="1"/>
  <c r="BH55" i="1"/>
  <c r="AU55" i="1"/>
  <c r="BH246" i="1"/>
  <c r="AU246" i="1"/>
  <c r="BH247" i="1"/>
  <c r="AU226" i="1"/>
  <c r="BH226" i="1"/>
  <c r="BH211" i="1"/>
  <c r="AU211" i="1"/>
  <c r="BI41" i="1"/>
  <c r="AV41" i="1"/>
  <c r="BI42" i="1"/>
  <c r="BI26" i="1"/>
  <c r="AV26" i="1"/>
  <c r="AU18" i="1"/>
  <c r="BH18" i="1"/>
  <c r="AU150" i="1"/>
  <c r="BH150" i="1"/>
  <c r="AV126" i="1"/>
  <c r="BI126" i="1"/>
  <c r="BJ15" i="1"/>
  <c r="AV187" i="1"/>
  <c r="BJ187" i="1" s="1"/>
  <c r="BI187" i="1"/>
  <c r="AV52" i="1"/>
  <c r="BI52" i="1"/>
  <c r="BI53" i="1"/>
  <c r="BH235" i="1"/>
  <c r="AU235" i="1"/>
  <c r="AU31" i="1"/>
  <c r="BH31" i="1"/>
  <c r="BI46" i="1"/>
  <c r="AV170" i="1"/>
  <c r="AU48" i="1"/>
  <c r="BH48" i="1"/>
  <c r="BH239" i="1"/>
  <c r="AU239" i="1"/>
  <c r="BH178" i="1"/>
  <c r="AU178" i="1"/>
  <c r="BH199" i="1"/>
  <c r="BH170" i="1"/>
  <c r="AV250" i="1"/>
  <c r="BJ250" i="1" s="1"/>
  <c r="BI250" i="1"/>
  <c r="BH109" i="1"/>
  <c r="AU109" i="1"/>
  <c r="AV32" i="1"/>
  <c r="BI32" i="1"/>
  <c r="AU66" i="1"/>
  <c r="BH66" i="1"/>
  <c r="BH127" i="1"/>
  <c r="AU127" i="1"/>
  <c r="AV161" i="1"/>
  <c r="BI161" i="1"/>
  <c r="BI162" i="1"/>
  <c r="BI180" i="1"/>
  <c r="BI175" i="1"/>
  <c r="AV175" i="1"/>
  <c r="BJ175" i="1" s="1"/>
  <c r="BJ90" i="1"/>
  <c r="AV143" i="1"/>
  <c r="BJ143" i="1" s="1"/>
  <c r="BI143" i="1"/>
  <c r="BH71" i="1"/>
  <c r="AU71" i="1"/>
  <c r="AV243" i="1"/>
  <c r="BI243" i="1"/>
  <c r="BI244" i="1"/>
  <c r="AV171" i="1"/>
  <c r="BJ171" i="1" s="1"/>
  <c r="BI171" i="1"/>
  <c r="BH52" i="1"/>
  <c r="AV20" i="1"/>
  <c r="BJ20" i="1" s="1"/>
  <c r="BI20" i="1"/>
  <c r="BH194" i="1"/>
  <c r="BJ46" i="1"/>
  <c r="AU241" i="1"/>
  <c r="BH241" i="1"/>
  <c r="BH242" i="1"/>
  <c r="BH181" i="1"/>
  <c r="AU181" i="1"/>
  <c r="AU98" i="1"/>
  <c r="BI99" i="1" s="1"/>
  <c r="BH98" i="1"/>
  <c r="BH152" i="1"/>
  <c r="AU151" i="1"/>
  <c r="BH151" i="1"/>
  <c r="BH56" i="1"/>
  <c r="AV65" i="1"/>
  <c r="BJ65" i="1" s="1"/>
  <c r="BI65" i="1"/>
  <c r="AV56" i="1"/>
  <c r="BI140" i="1"/>
  <c r="AV140" i="1"/>
  <c r="BI141" i="1"/>
  <c r="AU87" i="1"/>
  <c r="BH87" i="1"/>
  <c r="BH88" i="1"/>
  <c r="BJ62" i="1"/>
  <c r="AV23" i="1"/>
  <c r="BI90" i="1"/>
  <c r="AU115" i="1"/>
  <c r="BH115" i="1"/>
  <c r="BH58" i="1"/>
  <c r="AU58" i="1"/>
  <c r="BH50" i="1"/>
  <c r="AU50" i="1"/>
  <c r="AU34" i="1"/>
  <c r="BH34" i="1"/>
  <c r="AU84" i="1"/>
  <c r="BH84" i="1"/>
  <c r="BH179" i="1"/>
  <c r="AU155" i="1"/>
  <c r="BH155" i="1"/>
  <c r="BH156" i="1"/>
  <c r="AU130" i="1"/>
  <c r="BH130" i="1"/>
  <c r="BH131" i="1"/>
  <c r="AU7" i="1"/>
  <c r="BI8" i="1" s="1"/>
  <c r="BH7" i="1"/>
  <c r="AU148" i="1"/>
  <c r="BH148" i="1"/>
  <c r="BH149" i="1"/>
  <c r="BI220" i="1"/>
  <c r="AV220" i="1"/>
  <c r="BI221" i="1"/>
  <c r="BI139" i="1"/>
  <c r="AV139" i="1"/>
  <c r="BJ139" i="1" s="1"/>
  <c r="AV194" i="1"/>
  <c r="BI194" i="1"/>
  <c r="BH102" i="1"/>
  <c r="AU102" i="1"/>
  <c r="AV137" i="1"/>
  <c r="BI137" i="1"/>
  <c r="AF26" i="1"/>
  <c r="AF25" i="1"/>
  <c r="AG25" i="1" s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J82" i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J106" i="1"/>
  <c r="K106" i="1"/>
  <c r="L106" i="1"/>
  <c r="M106" i="1"/>
  <c r="I107" i="1"/>
  <c r="J107" i="1"/>
  <c r="K107" i="1"/>
  <c r="L107" i="1"/>
  <c r="M107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I118" i="1"/>
  <c r="J118" i="1"/>
  <c r="K118" i="1"/>
  <c r="L118" i="1"/>
  <c r="M118" i="1"/>
  <c r="I119" i="1"/>
  <c r="J119" i="1"/>
  <c r="K119" i="1"/>
  <c r="L119" i="1"/>
  <c r="M119" i="1"/>
  <c r="I120" i="1"/>
  <c r="J120" i="1"/>
  <c r="K120" i="1"/>
  <c r="L120" i="1"/>
  <c r="M120" i="1"/>
  <c r="I121" i="1"/>
  <c r="J121" i="1"/>
  <c r="K121" i="1"/>
  <c r="L121" i="1"/>
  <c r="M121" i="1"/>
  <c r="I122" i="1"/>
  <c r="J122" i="1"/>
  <c r="K122" i="1"/>
  <c r="L122" i="1"/>
  <c r="M122" i="1"/>
  <c r="I123" i="1"/>
  <c r="J123" i="1"/>
  <c r="K123" i="1"/>
  <c r="L123" i="1"/>
  <c r="M123" i="1"/>
  <c r="I124" i="1"/>
  <c r="J124" i="1"/>
  <c r="K124" i="1"/>
  <c r="L124" i="1"/>
  <c r="M124" i="1"/>
  <c r="I125" i="1"/>
  <c r="J125" i="1"/>
  <c r="K125" i="1"/>
  <c r="L125" i="1"/>
  <c r="M125" i="1"/>
  <c r="I126" i="1"/>
  <c r="J126" i="1"/>
  <c r="K126" i="1"/>
  <c r="L126" i="1"/>
  <c r="M126" i="1"/>
  <c r="I127" i="1"/>
  <c r="J127" i="1"/>
  <c r="K127" i="1"/>
  <c r="L127" i="1"/>
  <c r="M127" i="1"/>
  <c r="I128" i="1"/>
  <c r="J128" i="1"/>
  <c r="K128" i="1"/>
  <c r="L128" i="1"/>
  <c r="M128" i="1"/>
  <c r="I129" i="1"/>
  <c r="J129" i="1"/>
  <c r="K129" i="1"/>
  <c r="L129" i="1"/>
  <c r="M129" i="1"/>
  <c r="I130" i="1"/>
  <c r="J130" i="1"/>
  <c r="K130" i="1"/>
  <c r="L130" i="1"/>
  <c r="M130" i="1"/>
  <c r="I131" i="1"/>
  <c r="J131" i="1"/>
  <c r="K131" i="1"/>
  <c r="L131" i="1"/>
  <c r="M131" i="1"/>
  <c r="I132" i="1"/>
  <c r="J132" i="1"/>
  <c r="K132" i="1"/>
  <c r="L132" i="1"/>
  <c r="M132" i="1"/>
  <c r="I133" i="1"/>
  <c r="J133" i="1"/>
  <c r="K133" i="1"/>
  <c r="L133" i="1"/>
  <c r="M133" i="1"/>
  <c r="I134" i="1"/>
  <c r="J134" i="1"/>
  <c r="K134" i="1"/>
  <c r="L134" i="1"/>
  <c r="M134" i="1"/>
  <c r="I135" i="1"/>
  <c r="J135" i="1"/>
  <c r="K135" i="1"/>
  <c r="L135" i="1"/>
  <c r="M135" i="1"/>
  <c r="I136" i="1"/>
  <c r="J136" i="1"/>
  <c r="K136" i="1"/>
  <c r="L136" i="1"/>
  <c r="M136" i="1"/>
  <c r="I137" i="1"/>
  <c r="J137" i="1"/>
  <c r="K137" i="1"/>
  <c r="L137" i="1"/>
  <c r="M137" i="1"/>
  <c r="I138" i="1"/>
  <c r="J138" i="1"/>
  <c r="K138" i="1"/>
  <c r="L138" i="1"/>
  <c r="M138" i="1"/>
  <c r="I139" i="1"/>
  <c r="J139" i="1"/>
  <c r="K139" i="1"/>
  <c r="L139" i="1"/>
  <c r="M139" i="1"/>
  <c r="I140" i="1"/>
  <c r="J140" i="1"/>
  <c r="K140" i="1"/>
  <c r="L140" i="1"/>
  <c r="M140" i="1"/>
  <c r="I141" i="1"/>
  <c r="J141" i="1"/>
  <c r="K141" i="1"/>
  <c r="L141" i="1"/>
  <c r="M141" i="1"/>
  <c r="I142" i="1"/>
  <c r="J142" i="1"/>
  <c r="K142" i="1"/>
  <c r="L142" i="1"/>
  <c r="M142" i="1"/>
  <c r="I143" i="1"/>
  <c r="J143" i="1"/>
  <c r="K143" i="1"/>
  <c r="L143" i="1"/>
  <c r="M143" i="1"/>
  <c r="I144" i="1"/>
  <c r="J144" i="1"/>
  <c r="K144" i="1"/>
  <c r="L144" i="1"/>
  <c r="M144" i="1"/>
  <c r="I145" i="1"/>
  <c r="J145" i="1"/>
  <c r="K145" i="1"/>
  <c r="L145" i="1"/>
  <c r="M145" i="1"/>
  <c r="I146" i="1"/>
  <c r="J146" i="1"/>
  <c r="K146" i="1"/>
  <c r="L146" i="1"/>
  <c r="M146" i="1"/>
  <c r="I147" i="1"/>
  <c r="J147" i="1"/>
  <c r="K147" i="1"/>
  <c r="L147" i="1"/>
  <c r="M147" i="1"/>
  <c r="I148" i="1"/>
  <c r="J148" i="1"/>
  <c r="K148" i="1"/>
  <c r="L148" i="1"/>
  <c r="M148" i="1"/>
  <c r="I149" i="1"/>
  <c r="J149" i="1"/>
  <c r="K149" i="1"/>
  <c r="L149" i="1"/>
  <c r="M149" i="1"/>
  <c r="I150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I153" i="1"/>
  <c r="J153" i="1"/>
  <c r="K153" i="1"/>
  <c r="L153" i="1"/>
  <c r="M153" i="1"/>
  <c r="I154" i="1"/>
  <c r="J154" i="1"/>
  <c r="K154" i="1"/>
  <c r="L154" i="1"/>
  <c r="M154" i="1"/>
  <c r="I155" i="1"/>
  <c r="J155" i="1"/>
  <c r="K155" i="1"/>
  <c r="L155" i="1"/>
  <c r="M155" i="1"/>
  <c r="I156" i="1"/>
  <c r="J156" i="1"/>
  <c r="K156" i="1"/>
  <c r="L156" i="1"/>
  <c r="M156" i="1"/>
  <c r="I157" i="1"/>
  <c r="J157" i="1"/>
  <c r="K157" i="1"/>
  <c r="L157" i="1"/>
  <c r="M157" i="1"/>
  <c r="I158" i="1"/>
  <c r="J158" i="1"/>
  <c r="K158" i="1"/>
  <c r="L158" i="1"/>
  <c r="M158" i="1"/>
  <c r="I159" i="1"/>
  <c r="J159" i="1"/>
  <c r="K159" i="1"/>
  <c r="L159" i="1"/>
  <c r="M159" i="1"/>
  <c r="I160" i="1"/>
  <c r="J160" i="1"/>
  <c r="K160" i="1"/>
  <c r="L160" i="1"/>
  <c r="M160" i="1"/>
  <c r="I161" i="1"/>
  <c r="J161" i="1"/>
  <c r="K161" i="1"/>
  <c r="L161" i="1"/>
  <c r="M161" i="1"/>
  <c r="I162" i="1"/>
  <c r="J162" i="1"/>
  <c r="K162" i="1"/>
  <c r="L162" i="1"/>
  <c r="M162" i="1"/>
  <c r="I163" i="1"/>
  <c r="J163" i="1"/>
  <c r="K163" i="1"/>
  <c r="L163" i="1"/>
  <c r="M163" i="1"/>
  <c r="I164" i="1"/>
  <c r="J164" i="1"/>
  <c r="K164" i="1"/>
  <c r="L164" i="1"/>
  <c r="M164" i="1"/>
  <c r="I165" i="1"/>
  <c r="J165" i="1"/>
  <c r="K165" i="1"/>
  <c r="L165" i="1"/>
  <c r="M165" i="1"/>
  <c r="I166" i="1"/>
  <c r="J166" i="1"/>
  <c r="K166" i="1"/>
  <c r="L166" i="1"/>
  <c r="M166" i="1"/>
  <c r="I167" i="1"/>
  <c r="J167" i="1"/>
  <c r="K167" i="1"/>
  <c r="L167" i="1"/>
  <c r="M167" i="1"/>
  <c r="I168" i="1"/>
  <c r="J168" i="1"/>
  <c r="K168" i="1"/>
  <c r="L168" i="1"/>
  <c r="M168" i="1"/>
  <c r="I169" i="1"/>
  <c r="J169" i="1"/>
  <c r="K169" i="1"/>
  <c r="L169" i="1"/>
  <c r="M169" i="1"/>
  <c r="I170" i="1"/>
  <c r="J170" i="1"/>
  <c r="K170" i="1"/>
  <c r="L170" i="1"/>
  <c r="M170" i="1"/>
  <c r="I171" i="1"/>
  <c r="J171" i="1"/>
  <c r="K171" i="1"/>
  <c r="L171" i="1"/>
  <c r="M171" i="1"/>
  <c r="I172" i="1"/>
  <c r="J172" i="1"/>
  <c r="K172" i="1"/>
  <c r="L172" i="1"/>
  <c r="M172" i="1"/>
  <c r="I173" i="1"/>
  <c r="J173" i="1"/>
  <c r="K173" i="1"/>
  <c r="L173" i="1"/>
  <c r="M173" i="1"/>
  <c r="I174" i="1"/>
  <c r="J174" i="1"/>
  <c r="K174" i="1"/>
  <c r="L174" i="1"/>
  <c r="M174" i="1"/>
  <c r="I175" i="1"/>
  <c r="J175" i="1"/>
  <c r="K175" i="1"/>
  <c r="L175" i="1"/>
  <c r="M175" i="1"/>
  <c r="I176" i="1"/>
  <c r="J176" i="1"/>
  <c r="K176" i="1"/>
  <c r="L176" i="1"/>
  <c r="M176" i="1"/>
  <c r="I177" i="1"/>
  <c r="J177" i="1"/>
  <c r="K177" i="1"/>
  <c r="L177" i="1"/>
  <c r="M177" i="1"/>
  <c r="I178" i="1"/>
  <c r="J178" i="1"/>
  <c r="K178" i="1"/>
  <c r="L178" i="1"/>
  <c r="M178" i="1"/>
  <c r="I179" i="1"/>
  <c r="J179" i="1"/>
  <c r="K179" i="1"/>
  <c r="L179" i="1"/>
  <c r="M179" i="1"/>
  <c r="I180" i="1"/>
  <c r="J180" i="1"/>
  <c r="K180" i="1"/>
  <c r="L180" i="1"/>
  <c r="M180" i="1"/>
  <c r="I181" i="1"/>
  <c r="J181" i="1"/>
  <c r="K181" i="1"/>
  <c r="L181" i="1"/>
  <c r="M181" i="1"/>
  <c r="I182" i="1"/>
  <c r="J182" i="1"/>
  <c r="K182" i="1"/>
  <c r="L182" i="1"/>
  <c r="M182" i="1"/>
  <c r="I183" i="1"/>
  <c r="J183" i="1"/>
  <c r="K183" i="1"/>
  <c r="L183" i="1"/>
  <c r="M183" i="1"/>
  <c r="I184" i="1"/>
  <c r="J184" i="1"/>
  <c r="K184" i="1"/>
  <c r="L184" i="1"/>
  <c r="M184" i="1"/>
  <c r="I185" i="1"/>
  <c r="J185" i="1"/>
  <c r="K185" i="1"/>
  <c r="L185" i="1"/>
  <c r="M185" i="1"/>
  <c r="I186" i="1"/>
  <c r="J186" i="1"/>
  <c r="K186" i="1"/>
  <c r="L186" i="1"/>
  <c r="M186" i="1"/>
  <c r="I187" i="1"/>
  <c r="J187" i="1"/>
  <c r="K187" i="1"/>
  <c r="L187" i="1"/>
  <c r="M187" i="1"/>
  <c r="I188" i="1"/>
  <c r="J188" i="1"/>
  <c r="K188" i="1"/>
  <c r="L188" i="1"/>
  <c r="M188" i="1"/>
  <c r="I189" i="1"/>
  <c r="J189" i="1"/>
  <c r="K189" i="1"/>
  <c r="L189" i="1"/>
  <c r="M189" i="1"/>
  <c r="I190" i="1"/>
  <c r="J190" i="1"/>
  <c r="K190" i="1"/>
  <c r="L190" i="1"/>
  <c r="M190" i="1"/>
  <c r="I191" i="1"/>
  <c r="J191" i="1"/>
  <c r="K191" i="1"/>
  <c r="L191" i="1"/>
  <c r="M191" i="1"/>
  <c r="I192" i="1"/>
  <c r="J192" i="1"/>
  <c r="K192" i="1"/>
  <c r="L192" i="1"/>
  <c r="M192" i="1"/>
  <c r="I193" i="1"/>
  <c r="J193" i="1"/>
  <c r="K193" i="1"/>
  <c r="L193" i="1"/>
  <c r="M193" i="1"/>
  <c r="I194" i="1"/>
  <c r="J194" i="1"/>
  <c r="K194" i="1"/>
  <c r="L194" i="1"/>
  <c r="M194" i="1"/>
  <c r="I195" i="1"/>
  <c r="J195" i="1"/>
  <c r="K195" i="1"/>
  <c r="L195" i="1"/>
  <c r="M195" i="1"/>
  <c r="I196" i="1"/>
  <c r="J196" i="1"/>
  <c r="K196" i="1"/>
  <c r="L196" i="1"/>
  <c r="M196" i="1"/>
  <c r="I197" i="1"/>
  <c r="J197" i="1"/>
  <c r="K197" i="1"/>
  <c r="L197" i="1"/>
  <c r="M197" i="1"/>
  <c r="I198" i="1"/>
  <c r="J198" i="1"/>
  <c r="K198" i="1"/>
  <c r="L198" i="1"/>
  <c r="M198" i="1"/>
  <c r="I199" i="1"/>
  <c r="J199" i="1"/>
  <c r="K199" i="1"/>
  <c r="L199" i="1"/>
  <c r="M199" i="1"/>
  <c r="I200" i="1"/>
  <c r="J200" i="1"/>
  <c r="K200" i="1"/>
  <c r="L200" i="1"/>
  <c r="M200" i="1"/>
  <c r="I201" i="1"/>
  <c r="J201" i="1"/>
  <c r="K201" i="1"/>
  <c r="L201" i="1"/>
  <c r="M201" i="1"/>
  <c r="I202" i="1"/>
  <c r="J202" i="1"/>
  <c r="K202" i="1"/>
  <c r="L202" i="1"/>
  <c r="M202" i="1"/>
  <c r="I203" i="1"/>
  <c r="J203" i="1"/>
  <c r="K203" i="1"/>
  <c r="L203" i="1"/>
  <c r="M203" i="1"/>
  <c r="I204" i="1"/>
  <c r="J204" i="1"/>
  <c r="K204" i="1"/>
  <c r="L204" i="1"/>
  <c r="M204" i="1"/>
  <c r="I205" i="1"/>
  <c r="J205" i="1"/>
  <c r="K205" i="1"/>
  <c r="L205" i="1"/>
  <c r="M205" i="1"/>
  <c r="I206" i="1"/>
  <c r="J206" i="1"/>
  <c r="K206" i="1"/>
  <c r="L206" i="1"/>
  <c r="M206" i="1"/>
  <c r="I207" i="1"/>
  <c r="J207" i="1"/>
  <c r="K207" i="1"/>
  <c r="L207" i="1"/>
  <c r="M207" i="1"/>
  <c r="I208" i="1"/>
  <c r="J208" i="1"/>
  <c r="K208" i="1"/>
  <c r="L208" i="1"/>
  <c r="M208" i="1"/>
  <c r="I209" i="1"/>
  <c r="J209" i="1"/>
  <c r="K209" i="1"/>
  <c r="L209" i="1"/>
  <c r="M209" i="1"/>
  <c r="I210" i="1"/>
  <c r="J210" i="1"/>
  <c r="K210" i="1"/>
  <c r="L210" i="1"/>
  <c r="M210" i="1"/>
  <c r="I211" i="1"/>
  <c r="J211" i="1"/>
  <c r="K211" i="1"/>
  <c r="L211" i="1"/>
  <c r="M211" i="1"/>
  <c r="I212" i="1"/>
  <c r="J212" i="1"/>
  <c r="K212" i="1"/>
  <c r="L212" i="1"/>
  <c r="M212" i="1"/>
  <c r="I213" i="1"/>
  <c r="J213" i="1"/>
  <c r="K213" i="1"/>
  <c r="L213" i="1"/>
  <c r="M213" i="1"/>
  <c r="I214" i="1"/>
  <c r="J214" i="1"/>
  <c r="K214" i="1"/>
  <c r="L214" i="1"/>
  <c r="M214" i="1"/>
  <c r="I215" i="1"/>
  <c r="J215" i="1"/>
  <c r="K215" i="1"/>
  <c r="L215" i="1"/>
  <c r="M215" i="1"/>
  <c r="I216" i="1"/>
  <c r="J216" i="1"/>
  <c r="K216" i="1"/>
  <c r="L216" i="1"/>
  <c r="M216" i="1"/>
  <c r="I217" i="1"/>
  <c r="J217" i="1"/>
  <c r="K217" i="1"/>
  <c r="L217" i="1"/>
  <c r="M217" i="1"/>
  <c r="I218" i="1"/>
  <c r="J218" i="1"/>
  <c r="K218" i="1"/>
  <c r="L218" i="1"/>
  <c r="M218" i="1"/>
  <c r="I219" i="1"/>
  <c r="J219" i="1"/>
  <c r="K219" i="1"/>
  <c r="L219" i="1"/>
  <c r="M219" i="1"/>
  <c r="I220" i="1"/>
  <c r="J220" i="1"/>
  <c r="K220" i="1"/>
  <c r="L220" i="1"/>
  <c r="M220" i="1"/>
  <c r="I221" i="1"/>
  <c r="J221" i="1"/>
  <c r="K221" i="1"/>
  <c r="L221" i="1"/>
  <c r="M221" i="1"/>
  <c r="I222" i="1"/>
  <c r="J222" i="1"/>
  <c r="K222" i="1"/>
  <c r="L222" i="1"/>
  <c r="M222" i="1"/>
  <c r="I223" i="1"/>
  <c r="J223" i="1"/>
  <c r="K223" i="1"/>
  <c r="L223" i="1"/>
  <c r="M223" i="1"/>
  <c r="I224" i="1"/>
  <c r="J224" i="1"/>
  <c r="K224" i="1"/>
  <c r="L224" i="1"/>
  <c r="M224" i="1"/>
  <c r="I225" i="1"/>
  <c r="J225" i="1"/>
  <c r="K225" i="1"/>
  <c r="L225" i="1"/>
  <c r="M225" i="1"/>
  <c r="I226" i="1"/>
  <c r="J226" i="1"/>
  <c r="K226" i="1"/>
  <c r="L226" i="1"/>
  <c r="M226" i="1"/>
  <c r="I227" i="1"/>
  <c r="J227" i="1"/>
  <c r="K227" i="1"/>
  <c r="L227" i="1"/>
  <c r="M227" i="1"/>
  <c r="I228" i="1"/>
  <c r="J228" i="1"/>
  <c r="K228" i="1"/>
  <c r="L228" i="1"/>
  <c r="M228" i="1"/>
  <c r="I229" i="1"/>
  <c r="J229" i="1"/>
  <c r="K229" i="1"/>
  <c r="L229" i="1"/>
  <c r="M229" i="1"/>
  <c r="I230" i="1"/>
  <c r="J230" i="1"/>
  <c r="K230" i="1"/>
  <c r="L230" i="1"/>
  <c r="M230" i="1"/>
  <c r="I231" i="1"/>
  <c r="J231" i="1"/>
  <c r="K231" i="1"/>
  <c r="L231" i="1"/>
  <c r="M231" i="1"/>
  <c r="I232" i="1"/>
  <c r="J232" i="1"/>
  <c r="K232" i="1"/>
  <c r="L232" i="1"/>
  <c r="M232" i="1"/>
  <c r="I233" i="1"/>
  <c r="J233" i="1"/>
  <c r="K233" i="1"/>
  <c r="L233" i="1"/>
  <c r="M233" i="1"/>
  <c r="I234" i="1"/>
  <c r="J234" i="1"/>
  <c r="K234" i="1"/>
  <c r="L234" i="1"/>
  <c r="M234" i="1"/>
  <c r="I235" i="1"/>
  <c r="J235" i="1"/>
  <c r="K235" i="1"/>
  <c r="L235" i="1"/>
  <c r="M235" i="1"/>
  <c r="I236" i="1"/>
  <c r="J236" i="1"/>
  <c r="K236" i="1"/>
  <c r="L236" i="1"/>
  <c r="M236" i="1"/>
  <c r="I237" i="1"/>
  <c r="J237" i="1"/>
  <c r="K237" i="1"/>
  <c r="L237" i="1"/>
  <c r="M237" i="1"/>
  <c r="I238" i="1"/>
  <c r="J238" i="1"/>
  <c r="K238" i="1"/>
  <c r="L238" i="1"/>
  <c r="M238" i="1"/>
  <c r="I239" i="1"/>
  <c r="J239" i="1"/>
  <c r="K239" i="1"/>
  <c r="L239" i="1"/>
  <c r="M239" i="1"/>
  <c r="I240" i="1"/>
  <c r="J240" i="1"/>
  <c r="K240" i="1"/>
  <c r="L240" i="1"/>
  <c r="M240" i="1"/>
  <c r="I241" i="1"/>
  <c r="J241" i="1"/>
  <c r="K241" i="1"/>
  <c r="L241" i="1"/>
  <c r="M241" i="1"/>
  <c r="I242" i="1"/>
  <c r="J242" i="1"/>
  <c r="K242" i="1"/>
  <c r="L242" i="1"/>
  <c r="M242" i="1"/>
  <c r="I243" i="1"/>
  <c r="J243" i="1"/>
  <c r="K243" i="1"/>
  <c r="L243" i="1"/>
  <c r="M243" i="1"/>
  <c r="I244" i="1"/>
  <c r="J244" i="1"/>
  <c r="K244" i="1"/>
  <c r="L244" i="1"/>
  <c r="M244" i="1"/>
  <c r="I245" i="1"/>
  <c r="J245" i="1"/>
  <c r="K245" i="1"/>
  <c r="L245" i="1"/>
  <c r="M245" i="1"/>
  <c r="I246" i="1"/>
  <c r="J246" i="1"/>
  <c r="K246" i="1"/>
  <c r="L246" i="1"/>
  <c r="M246" i="1"/>
  <c r="I247" i="1"/>
  <c r="J247" i="1"/>
  <c r="K247" i="1"/>
  <c r="L247" i="1"/>
  <c r="M247" i="1"/>
  <c r="I248" i="1"/>
  <c r="J248" i="1"/>
  <c r="K248" i="1"/>
  <c r="L248" i="1"/>
  <c r="M248" i="1"/>
  <c r="I249" i="1"/>
  <c r="J249" i="1"/>
  <c r="K249" i="1"/>
  <c r="L249" i="1"/>
  <c r="M249" i="1"/>
  <c r="I250" i="1"/>
  <c r="J250" i="1"/>
  <c r="K250" i="1"/>
  <c r="L250" i="1"/>
  <c r="M250" i="1"/>
  <c r="I251" i="1"/>
  <c r="J251" i="1"/>
  <c r="K251" i="1"/>
  <c r="L251" i="1"/>
  <c r="M251" i="1"/>
  <c r="J6" i="1"/>
  <c r="AF6" i="1" s="1"/>
  <c r="K6" i="1"/>
  <c r="L6" i="1"/>
  <c r="M6" i="1"/>
  <c r="I6" i="1"/>
  <c r="AV34" i="1" l="1"/>
  <c r="BI34" i="1"/>
  <c r="BI246" i="1"/>
  <c r="AV246" i="1"/>
  <c r="BI247" i="1"/>
  <c r="AV100" i="1"/>
  <c r="BJ100" i="1" s="1"/>
  <c r="BI100" i="1"/>
  <c r="BI50" i="1"/>
  <c r="AV50" i="1"/>
  <c r="BJ50" i="1" s="1"/>
  <c r="BI116" i="1"/>
  <c r="AV116" i="1"/>
  <c r="BJ116" i="1" s="1"/>
  <c r="AV205" i="1"/>
  <c r="BI205" i="1"/>
  <c r="AV241" i="1"/>
  <c r="BI241" i="1"/>
  <c r="BI242" i="1"/>
  <c r="BJ126" i="1"/>
  <c r="BI113" i="1"/>
  <c r="AV113" i="1"/>
  <c r="BJ21" i="1"/>
  <c r="AV200" i="1"/>
  <c r="BJ200" i="1" s="1"/>
  <c r="BI200" i="1"/>
  <c r="AV84" i="1"/>
  <c r="BJ84" i="1" s="1"/>
  <c r="BI84" i="1"/>
  <c r="BJ161" i="1"/>
  <c r="BJ162" i="1"/>
  <c r="AV31" i="1"/>
  <c r="BJ31" i="1" s="1"/>
  <c r="BI31" i="1"/>
  <c r="AV226" i="1"/>
  <c r="BJ226" i="1" s="1"/>
  <c r="BI226" i="1"/>
  <c r="BJ230" i="1"/>
  <c r="BJ231" i="1"/>
  <c r="AV73" i="1"/>
  <c r="BI73" i="1"/>
  <c r="BI74" i="1"/>
  <c r="AV82" i="1"/>
  <c r="BI82" i="1"/>
  <c r="AV185" i="1"/>
  <c r="BI185" i="1"/>
  <c r="BI186" i="1"/>
  <c r="AV10" i="1"/>
  <c r="BJ10" i="1" s="1"/>
  <c r="BI10" i="1"/>
  <c r="BI184" i="1"/>
  <c r="AV184" i="1"/>
  <c r="BJ184" i="1" s="1"/>
  <c r="BJ124" i="1"/>
  <c r="AV168" i="1"/>
  <c r="BJ168" i="1" s="1"/>
  <c r="BI168" i="1"/>
  <c r="BJ28" i="1"/>
  <c r="AV68" i="1"/>
  <c r="BJ68" i="1" s="1"/>
  <c r="BI68" i="1"/>
  <c r="AV204" i="1"/>
  <c r="BI204" i="1"/>
  <c r="AV85" i="1"/>
  <c r="BI85" i="1"/>
  <c r="BI86" i="1"/>
  <c r="BJ93" i="1"/>
  <c r="BJ94" i="1"/>
  <c r="AV178" i="1"/>
  <c r="BJ178" i="1" s="1"/>
  <c r="BI178" i="1"/>
  <c r="BI203" i="1"/>
  <c r="AV203" i="1"/>
  <c r="BJ203" i="1" s="1"/>
  <c r="AV76" i="1"/>
  <c r="BI76" i="1"/>
  <c r="BI71" i="1"/>
  <c r="AV71" i="1"/>
  <c r="BJ71" i="1" s="1"/>
  <c r="BJ212" i="1"/>
  <c r="BJ213" i="1"/>
  <c r="AV228" i="1"/>
  <c r="BI228" i="1"/>
  <c r="BI229" i="1"/>
  <c r="BI146" i="1"/>
  <c r="AV146" i="1"/>
  <c r="BI147" i="1"/>
  <c r="BJ137" i="1"/>
  <c r="AV148" i="1"/>
  <c r="BI148" i="1"/>
  <c r="BI149" i="1"/>
  <c r="BJ180" i="1"/>
  <c r="AV127" i="1"/>
  <c r="BJ127" i="1" s="1"/>
  <c r="BI127" i="1"/>
  <c r="AV235" i="1"/>
  <c r="BI235" i="1"/>
  <c r="BI150" i="1"/>
  <c r="AV150" i="1"/>
  <c r="BJ150" i="1" s="1"/>
  <c r="AV215" i="1"/>
  <c r="BI215" i="1"/>
  <c r="BI216" i="1"/>
  <c r="AV91" i="1"/>
  <c r="BI91" i="1"/>
  <c r="BI92" i="1"/>
  <c r="AV182" i="1"/>
  <c r="BI182" i="1"/>
  <c r="BI183" i="1"/>
  <c r="BJ233" i="1"/>
  <c r="BJ49" i="1"/>
  <c r="BJ83" i="1"/>
  <c r="AV16" i="1"/>
  <c r="BJ16" i="1" s="1"/>
  <c r="BI16" i="1"/>
  <c r="BI112" i="1"/>
  <c r="AV112" i="1"/>
  <c r="BJ112" i="1" s="1"/>
  <c r="BI188" i="1"/>
  <c r="AV188" i="1"/>
  <c r="BJ188" i="1" s="1"/>
  <c r="BI236" i="1"/>
  <c r="AV236" i="1"/>
  <c r="BI237" i="1"/>
  <c r="AV159" i="1"/>
  <c r="BI159" i="1"/>
  <c r="BI160" i="1"/>
  <c r="BI18" i="1"/>
  <c r="AV18" i="1"/>
  <c r="BJ18" i="1" s="1"/>
  <c r="AV87" i="1"/>
  <c r="BI87" i="1"/>
  <c r="BI88" i="1"/>
  <c r="BI239" i="1"/>
  <c r="AV239" i="1"/>
  <c r="BJ239" i="1" s="1"/>
  <c r="AV135" i="1"/>
  <c r="BJ135" i="1" s="1"/>
  <c r="BI135" i="1"/>
  <c r="BJ249" i="1"/>
  <c r="BI35" i="1"/>
  <c r="AV36" i="1"/>
  <c r="BI36" i="1"/>
  <c r="BI37" i="1"/>
  <c r="AV118" i="1"/>
  <c r="BI118" i="1"/>
  <c r="AV24" i="1"/>
  <c r="BJ24" i="1" s="1"/>
  <c r="BI24" i="1"/>
  <c r="AV5" i="1"/>
  <c r="BJ6" i="1" s="1"/>
  <c r="BI6" i="1"/>
  <c r="AV38" i="1"/>
  <c r="BJ38" i="1" s="1"/>
  <c r="BI38" i="1"/>
  <c r="BJ194" i="1"/>
  <c r="AV58" i="1"/>
  <c r="BJ58" i="1" s="1"/>
  <c r="BI58" i="1"/>
  <c r="AV55" i="1"/>
  <c r="BJ55" i="1" s="1"/>
  <c r="BI55" i="1"/>
  <c r="AV232" i="1"/>
  <c r="BJ232" i="1" s="1"/>
  <c r="BI232" i="1"/>
  <c r="AV234" i="1"/>
  <c r="BJ234" i="1" s="1"/>
  <c r="BI234" i="1"/>
  <c r="BJ35" i="1"/>
  <c r="BI193" i="1"/>
  <c r="AV193" i="1"/>
  <c r="AV77" i="1"/>
  <c r="BJ77" i="1" s="1"/>
  <c r="BI77" i="1"/>
  <c r="BJ209" i="1"/>
  <c r="BJ210" i="1"/>
  <c r="BI227" i="1"/>
  <c r="AV96" i="1"/>
  <c r="BJ96" i="1" s="1"/>
  <c r="BI96" i="1"/>
  <c r="AV198" i="1"/>
  <c r="BJ198" i="1" s="1"/>
  <c r="BI198" i="1"/>
  <c r="BJ164" i="1"/>
  <c r="AV251" i="1"/>
  <c r="BJ251" i="1" s="1"/>
  <c r="BI251" i="1"/>
  <c r="BJ17" i="1"/>
  <c r="BI151" i="1"/>
  <c r="AV151" i="1"/>
  <c r="BI152" i="1"/>
  <c r="BI101" i="1"/>
  <c r="AV101" i="1"/>
  <c r="BJ140" i="1"/>
  <c r="BJ141" i="1"/>
  <c r="BJ52" i="1"/>
  <c r="BJ53" i="1"/>
  <c r="BI165" i="1"/>
  <c r="AV165" i="1"/>
  <c r="BJ165" i="1" s="1"/>
  <c r="AV12" i="1"/>
  <c r="BJ12" i="1" s="1"/>
  <c r="BI12" i="1"/>
  <c r="AV106" i="1"/>
  <c r="BJ106" i="1" s="1"/>
  <c r="BI106" i="1"/>
  <c r="AV119" i="1"/>
  <c r="BI119" i="1"/>
  <c r="BI120" i="1"/>
  <c r="BJ138" i="1"/>
  <c r="BI172" i="1"/>
  <c r="AV172" i="1"/>
  <c r="BJ172" i="1" s="1"/>
  <c r="BJ176" i="1"/>
  <c r="BJ177" i="1"/>
  <c r="BJ27" i="1"/>
  <c r="BJ45" i="1"/>
  <c r="AV125" i="1"/>
  <c r="BJ125" i="1" s="1"/>
  <c r="BI125" i="1"/>
  <c r="BJ133" i="1"/>
  <c r="BJ134" i="1"/>
  <c r="AV122" i="1"/>
  <c r="BJ122" i="1" s="1"/>
  <c r="BI122" i="1"/>
  <c r="BJ63" i="1"/>
  <c r="BJ64" i="1"/>
  <c r="AV22" i="1"/>
  <c r="BJ22" i="1" s="1"/>
  <c r="BI22" i="1"/>
  <c r="AV201" i="1"/>
  <c r="BI201" i="1"/>
  <c r="BI202" i="1"/>
  <c r="AV72" i="1"/>
  <c r="BI72" i="1"/>
  <c r="AV66" i="1"/>
  <c r="BJ66" i="1" s="1"/>
  <c r="BI66" i="1"/>
  <c r="BI97" i="1"/>
  <c r="AV97" i="1"/>
  <c r="BJ97" i="1" s="1"/>
  <c r="AV130" i="1"/>
  <c r="BI130" i="1"/>
  <c r="BI131" i="1"/>
  <c r="AV98" i="1"/>
  <c r="BJ98" i="1" s="1"/>
  <c r="BI98" i="1"/>
  <c r="AV48" i="1"/>
  <c r="BJ48" i="1" s="1"/>
  <c r="BI48" i="1"/>
  <c r="BJ41" i="1"/>
  <c r="BJ42" i="1"/>
  <c r="AV240" i="1"/>
  <c r="BJ240" i="1" s="1"/>
  <c r="BI240" i="1"/>
  <c r="AV169" i="1"/>
  <c r="BJ170" i="1" s="1"/>
  <c r="BI169" i="1"/>
  <c r="BI189" i="1"/>
  <c r="AV189" i="1"/>
  <c r="BJ189" i="1" s="1"/>
  <c r="BI225" i="1"/>
  <c r="AV225" i="1"/>
  <c r="BJ225" i="1" s="1"/>
  <c r="AV123" i="1"/>
  <c r="BJ123" i="1" s="1"/>
  <c r="BI123" i="1"/>
  <c r="BI19" i="1"/>
  <c r="AV81" i="1"/>
  <c r="BJ81" i="1" s="1"/>
  <c r="BI81" i="1"/>
  <c r="AV7" i="1"/>
  <c r="BJ7" i="1" s="1"/>
  <c r="BI7" i="1"/>
  <c r="AV115" i="1"/>
  <c r="BJ115" i="1" s="1"/>
  <c r="BI115" i="1"/>
  <c r="BI56" i="1"/>
  <c r="BI109" i="1"/>
  <c r="AV109" i="1"/>
  <c r="BJ109" i="1" s="1"/>
  <c r="BI170" i="1"/>
  <c r="BI206" i="1"/>
  <c r="AV206" i="1"/>
  <c r="BI207" i="1"/>
  <c r="BI67" i="1"/>
  <c r="AV117" i="1"/>
  <c r="BI117" i="1"/>
  <c r="AV103" i="1"/>
  <c r="BI103" i="1"/>
  <c r="BI104" i="1"/>
  <c r="BJ174" i="1"/>
  <c r="AV25" i="1"/>
  <c r="BJ25" i="1" s="1"/>
  <c r="BI25" i="1"/>
  <c r="AV192" i="1"/>
  <c r="BI192" i="1"/>
  <c r="BJ114" i="1"/>
  <c r="BJ110" i="1"/>
  <c r="BJ111" i="1"/>
  <c r="BI199" i="1"/>
  <c r="AV51" i="1"/>
  <c r="BI51" i="1"/>
  <c r="AV107" i="1"/>
  <c r="BI107" i="1"/>
  <c r="BI181" i="1"/>
  <c r="AV181" i="1"/>
  <c r="BJ181" i="1" s="1"/>
  <c r="AV191" i="1"/>
  <c r="BJ191" i="1" s="1"/>
  <c r="BI191" i="1"/>
  <c r="BJ220" i="1"/>
  <c r="BJ221" i="1"/>
  <c r="BI155" i="1"/>
  <c r="AV155" i="1"/>
  <c r="BI156" i="1"/>
  <c r="AV211" i="1"/>
  <c r="BJ211" i="1" s="1"/>
  <c r="BI211" i="1"/>
  <c r="BJ67" i="1"/>
  <c r="AV157" i="1"/>
  <c r="BI157" i="1"/>
  <c r="BI158" i="1"/>
  <c r="BI114" i="1"/>
  <c r="BJ80" i="1"/>
  <c r="BJ199" i="1"/>
  <c r="AV29" i="1"/>
  <c r="BJ29" i="1" s="1"/>
  <c r="BI29" i="1"/>
  <c r="AV75" i="1"/>
  <c r="BJ75" i="1" s="1"/>
  <c r="BI75" i="1"/>
  <c r="AV145" i="1"/>
  <c r="BI145" i="1"/>
  <c r="BI78" i="1"/>
  <c r="AV78" i="1"/>
  <c r="BJ78" i="1" s="1"/>
  <c r="BI102" i="1"/>
  <c r="AV102" i="1"/>
  <c r="BJ102" i="1" s="1"/>
  <c r="BI13" i="1"/>
  <c r="AV13" i="1"/>
  <c r="BI14" i="1"/>
  <c r="BJ243" i="1"/>
  <c r="BJ244" i="1"/>
  <c r="AV60" i="1"/>
  <c r="BI60" i="1"/>
  <c r="BI61" i="1"/>
  <c r="AV218" i="1"/>
  <c r="BJ218" i="1" s="1"/>
  <c r="BI218" i="1"/>
  <c r="BI212" i="1"/>
  <c r="BJ9" i="1"/>
  <c r="BI33" i="1"/>
  <c r="AV33" i="1"/>
  <c r="BJ33" i="1" s="1"/>
  <c r="AV69" i="1"/>
  <c r="BI69" i="1"/>
  <c r="BI70" i="1"/>
  <c r="AV223" i="1"/>
  <c r="BI223" i="1"/>
  <c r="BI224" i="1"/>
  <c r="AV39" i="1"/>
  <c r="BJ39" i="1" s="1"/>
  <c r="BI39" i="1"/>
  <c r="AV144" i="1"/>
  <c r="BJ144" i="1" s="1"/>
  <c r="BI144" i="1"/>
  <c r="AV222" i="1"/>
  <c r="BJ222" i="1" s="1"/>
  <c r="BI222" i="1"/>
  <c r="AV167" i="1"/>
  <c r="BJ167" i="1" s="1"/>
  <c r="BI167" i="1"/>
  <c r="BI217" i="1"/>
  <c r="AV217" i="1"/>
  <c r="BJ217" i="1" s="1"/>
  <c r="BI179" i="1"/>
  <c r="AE6" i="1"/>
  <c r="AI6" i="1"/>
  <c r="AH6" i="1"/>
  <c r="AG6" i="1"/>
  <c r="AG26" i="1"/>
  <c r="AH26" i="1" s="1"/>
  <c r="BJ117" i="1" l="1"/>
  <c r="BJ118" i="1"/>
  <c r="BJ151" i="1"/>
  <c r="BJ152" i="1"/>
  <c r="BJ87" i="1"/>
  <c r="BJ88" i="1"/>
  <c r="BJ30" i="1"/>
  <c r="BJ157" i="1"/>
  <c r="BJ158" i="1"/>
  <c r="BJ206" i="1"/>
  <c r="BJ207" i="1"/>
  <c r="BJ36" i="1"/>
  <c r="BJ37" i="1"/>
  <c r="BJ136" i="1"/>
  <c r="BJ223" i="1"/>
  <c r="BJ224" i="1"/>
  <c r="BJ192" i="1"/>
  <c r="BJ190" i="1"/>
  <c r="BJ193" i="1"/>
  <c r="BJ148" i="1"/>
  <c r="BJ149" i="1"/>
  <c r="BJ85" i="1"/>
  <c r="BJ86" i="1"/>
  <c r="BJ91" i="1"/>
  <c r="BJ92" i="1"/>
  <c r="BJ145" i="1"/>
  <c r="BJ227" i="1"/>
  <c r="BJ215" i="1"/>
  <c r="BJ216" i="1"/>
  <c r="BJ182" i="1"/>
  <c r="BJ183" i="1"/>
  <c r="BJ228" i="1"/>
  <c r="BJ229" i="1"/>
  <c r="BJ60" i="1"/>
  <c r="BJ61" i="1"/>
  <c r="BJ107" i="1"/>
  <c r="BJ8" i="1"/>
  <c r="BJ173" i="1"/>
  <c r="BJ11" i="1"/>
  <c r="BJ159" i="1"/>
  <c r="BJ160" i="1"/>
  <c r="BJ40" i="1"/>
  <c r="BJ179" i="1"/>
  <c r="BJ76" i="1"/>
  <c r="BJ204" i="1"/>
  <c r="BJ99" i="1"/>
  <c r="BJ169" i="1"/>
  <c r="BJ59" i="1"/>
  <c r="BJ201" i="1"/>
  <c r="BJ202" i="1"/>
  <c r="BJ69" i="1"/>
  <c r="BJ70" i="1"/>
  <c r="BJ56" i="1"/>
  <c r="BJ241" i="1"/>
  <c r="BJ242" i="1"/>
  <c r="BJ23" i="1"/>
  <c r="BJ155" i="1"/>
  <c r="BJ156" i="1"/>
  <c r="BJ32" i="1"/>
  <c r="BJ128" i="1"/>
  <c r="BJ166" i="1"/>
  <c r="BJ82" i="1"/>
  <c r="BJ119" i="1"/>
  <c r="BJ120" i="1"/>
  <c r="BJ73" i="1"/>
  <c r="BJ74" i="1"/>
  <c r="BJ130" i="1"/>
  <c r="BJ131" i="1"/>
  <c r="BJ113" i="1"/>
  <c r="BJ219" i="1"/>
  <c r="BJ185" i="1"/>
  <c r="BJ186" i="1"/>
  <c r="BJ246" i="1"/>
  <c r="BJ247" i="1"/>
  <c r="BJ13" i="1"/>
  <c r="BJ14" i="1"/>
  <c r="BJ19" i="1"/>
  <c r="BJ72" i="1"/>
  <c r="BJ108" i="1"/>
  <c r="BJ26" i="1"/>
  <c r="BJ236" i="1"/>
  <c r="BJ237" i="1"/>
  <c r="BJ146" i="1"/>
  <c r="BJ147" i="1"/>
  <c r="BJ79" i="1"/>
  <c r="BJ51" i="1"/>
  <c r="BJ103" i="1"/>
  <c r="BJ104" i="1"/>
  <c r="BJ101" i="1"/>
  <c r="BJ235" i="1"/>
  <c r="BJ205" i="1"/>
  <c r="BJ34" i="1"/>
  <c r="AD33" i="1" a="1"/>
  <c r="AD33" i="1" s="1"/>
  <c r="W5" i="1" a="1"/>
  <c r="W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<sst xmlns="http://schemas.openxmlformats.org/spreadsheetml/2006/main" count="113" uniqueCount="50">
  <si>
    <t xml:space="preserve">Date </t>
  </si>
  <si>
    <t>HUL</t>
  </si>
  <si>
    <t>Titan</t>
  </si>
  <si>
    <t>ICICI</t>
  </si>
  <si>
    <t>TCS</t>
  </si>
  <si>
    <t>MAHM</t>
  </si>
  <si>
    <t>µ - Drift (Expected avg return of asset over a period</t>
  </si>
  <si>
    <t>σ - Volatility</t>
  </si>
  <si>
    <t>Geometric Brownian Motion</t>
  </si>
  <si>
    <t>W1</t>
  </si>
  <si>
    <t>W2</t>
  </si>
  <si>
    <t>W3</t>
  </si>
  <si>
    <t>W4</t>
  </si>
  <si>
    <t>W5</t>
  </si>
  <si>
    <t>=NORM.S.INV(RAND())</t>
  </si>
  <si>
    <t>Correlation Matrix</t>
  </si>
  <si>
    <t>Cholesky decomposition Matrix</t>
  </si>
  <si>
    <t>Determinant</t>
  </si>
  <si>
    <t>Check</t>
  </si>
  <si>
    <t>=MMULT(AI16:AM20,TRANSPOSE(AI16:AM20))</t>
  </si>
  <si>
    <t xml:space="preserve">For Diagonal </t>
  </si>
  <si>
    <t>For Others</t>
  </si>
  <si>
    <t>=SQRT(AJ9-AI17^2)</t>
  </si>
  <si>
    <t>=(AJ9-AI18*AI17)/AJ17</t>
  </si>
  <si>
    <t>Risk free rate</t>
  </si>
  <si>
    <t>Drift (Avg return)</t>
  </si>
  <si>
    <t>Volatility</t>
  </si>
  <si>
    <t>S0 (as on 6/3/2025)</t>
  </si>
  <si>
    <t>Sl.No</t>
  </si>
  <si>
    <t>Assumption of stock weights</t>
  </si>
  <si>
    <t>Weights</t>
  </si>
  <si>
    <t>Portfolio Returns</t>
  </si>
  <si>
    <t>(In Ascending order)</t>
  </si>
  <si>
    <t>=SUMPRODUCT(BF6:BJ6,$AY$5:$BC$5)</t>
  </si>
  <si>
    <t>VaR using Monte Carlo Simulation</t>
  </si>
  <si>
    <t>Total No.of Returns</t>
  </si>
  <si>
    <t>CI</t>
  </si>
  <si>
    <t>Alpha</t>
  </si>
  <si>
    <t>VaR position</t>
  </si>
  <si>
    <t>VaR position (Rounded)</t>
  </si>
  <si>
    <t>Returns at Position</t>
  </si>
  <si>
    <t>Portfolio value</t>
  </si>
  <si>
    <t>1-Day VaR</t>
  </si>
  <si>
    <t>1. Historical stock data</t>
  </si>
  <si>
    <t>2. Martket returns</t>
  </si>
  <si>
    <t>3. Uncorrelated Random variable</t>
  </si>
  <si>
    <t>4. Correlated random variable</t>
  </si>
  <si>
    <t>5. Stimulate stock price</t>
  </si>
  <si>
    <t>6. Log returns</t>
  </si>
  <si>
    <t>7. Portfolio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</si>
</sst>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 [$₹-4009]\ * #,##0_ ;_ [$₹-4009]\ * \-#,##0_ ;_ [$₹-4009]\ * &quot;-&quot;??_ ;_ @_ "/>
    <numFmt numFmtId="166" formatCode="_ [$₹-4009]\ * #,##0.0_ ;_ [$₹-4009]\ * \(#,##0.0\)_ ;_ [$₹-4009]\ * &quot;-&quot;??_ ;_ @_ 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/>
    </xf>
    <xf numFmtId="15" fontId="0" fillId="0" borderId="0" xfId="0" applyNumberFormat="1"/>
    <xf numFmtId="10" fontId="0" fillId="0" borderId="0" xfId="1" applyNumberFormat="1" applyFont="1"/>
    <xf numFmtId="0" fontId="3" fillId="0" borderId="0" xfId="0" applyFont="1"/>
    <xf numFmtId="0" fontId="0" fillId="2" borderId="0" xfId="0" applyFill="1"/>
    <xf numFmtId="0" fontId="3" fillId="2" borderId="5" xfId="0" applyFont="1" applyFill="1" applyBorder="1" applyAlignment="1">
      <alignment horizontal="left"/>
    </xf>
    <xf numFmtId="0" fontId="3" fillId="2" borderId="0" xfId="0" applyFont="1" applyFill="1"/>
    <xf numFmtId="2" fontId="0" fillId="0" borderId="0" xfId="1" applyNumberFormat="1" applyFont="1"/>
    <xf numFmtId="0" fontId="3" fillId="2" borderId="1" xfId="0" applyFont="1" applyFill="1" applyBorder="1"/>
    <xf numFmtId="0" fontId="0" fillId="0" borderId="0" xfId="0" applyAlignment="1">
      <alignment vertical="center"/>
    </xf>
    <xf numFmtId="0" fontId="5" fillId="0" borderId="6" xfId="0" applyFont="1" applyBorder="1" applyAlignment="1">
      <alignment horizontal="center"/>
    </xf>
    <xf numFmtId="164" fontId="0" fillId="0" borderId="0" xfId="0" applyNumberFormat="1"/>
    <xf numFmtId="0" fontId="5" fillId="0" borderId="0" xfId="0" applyFont="1"/>
    <xf numFmtId="0" fontId="5" fillId="0" borderId="4" xfId="0" applyFont="1" applyBorder="1"/>
    <xf numFmtId="0" fontId="0" fillId="0" borderId="7" xfId="0" applyBorder="1"/>
    <xf numFmtId="0" fontId="0" fillId="0" borderId="2" xfId="0" applyBorder="1"/>
    <xf numFmtId="164" fontId="0" fillId="0" borderId="7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2" fontId="0" fillId="0" borderId="0" xfId="0" applyNumberFormat="1"/>
    <xf numFmtId="0" fontId="6" fillId="0" borderId="0" xfId="0" applyFon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9" fontId="3" fillId="0" borderId="0" xfId="0" applyNumberFormat="1" applyFont="1"/>
    <xf numFmtId="10" fontId="0" fillId="2" borderId="0" xfId="1" applyNumberFormat="1" applyFont="1" applyFill="1"/>
    <xf numFmtId="165" fontId="0" fillId="0" borderId="0" xfId="0" applyNumberFormat="1"/>
    <xf numFmtId="9" fontId="3" fillId="0" borderId="2" xfId="0" applyNumberFormat="1" applyFont="1" applyBorder="1"/>
    <xf numFmtId="9" fontId="0" fillId="0" borderId="2" xfId="0" applyNumberFormat="1" applyBorder="1"/>
    <xf numFmtId="10" fontId="0" fillId="0" borderId="2" xfId="0" applyNumberFormat="1" applyBorder="1"/>
    <xf numFmtId="165" fontId="0" fillId="0" borderId="2" xfId="0" applyNumberFormat="1" applyBorder="1"/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166" fontId="3" fillId="2" borderId="7" xfId="0" applyNumberFormat="1" applyFont="1" applyFill="1" applyBorder="1"/>
    <xf numFmtId="166" fontId="3" fillId="2" borderId="8" xfId="0" applyNumberFormat="1" applyFont="1" applyFill="1" applyBorder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VaR using Monte Carlo Simulation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VaR using Monte Carlo Simulation</a:t>
          </a:r>
        </a:p>
      </cx:txPr>
    </cx:title>
    <cx:plotArea>
      <cx:plotAreaRegion>
        <cx:series layoutId="clusteredColumn" uniqueId="{87864C9F-C3F5-4419-BDD0-1F68CA575976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%" sourceLinked="0"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3</xdr:row>
      <xdr:rowOff>0</xdr:rowOff>
    </xdr:from>
    <xdr:to>
      <xdr:col>39</xdr:col>
      <xdr:colOff>519270</xdr:colOff>
      <xdr:row>6</xdr:row>
      <xdr:rowOff>133061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4E5BE1-A9D4-476D-BCFE-EF54AC78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78114" y="555171"/>
          <a:ext cx="2348070" cy="68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36</xdr:col>
      <xdr:colOff>21772</xdr:colOff>
      <xdr:row>6</xdr:row>
      <xdr:rowOff>163285</xdr:rowOff>
    </xdr:from>
    <xdr:ext cx="2377440" cy="112569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6BF0820-403E-4193-92EF-45C377B2F4BC}"/>
            </a:ext>
          </a:extLst>
        </xdr:cNvPr>
        <xdr:cNvSpPr txBox="1"/>
      </xdr:nvSpPr>
      <xdr:spPr>
        <a:xfrm>
          <a:off x="26299886" y="1273628"/>
          <a:ext cx="2377440" cy="11256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Geometric Brownian Motion (GBM) </a:t>
          </a:r>
          <a:r>
            <a:rPr lang="en-IN"/>
            <a:t>is a </a:t>
          </a:r>
          <a:r>
            <a:rPr lang="en-IN" b="1" i="1"/>
            <a:t>continuous-time stochastic </a:t>
          </a:r>
          <a:r>
            <a:rPr lang="en-IN"/>
            <a:t>process used primarily to model asset prices, such as stocks, where the logarithm of the variable follows a Brownian motion with </a:t>
          </a:r>
          <a:r>
            <a:rPr lang="en-IN" b="1"/>
            <a:t>drift</a:t>
          </a:r>
          <a:r>
            <a:rPr lang="en-I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N" sz="1100" b="1"/>
        </a:p>
      </xdr:txBody>
    </xdr:sp>
    <xdr:clientData/>
  </xdr:oneCellAnchor>
  <xdr:twoCellAnchor>
    <xdr:from>
      <xdr:col>67</xdr:col>
      <xdr:colOff>0</xdr:colOff>
      <xdr:row>17</xdr:row>
      <xdr:rowOff>0</xdr:rowOff>
    </xdr:from>
    <xdr:to>
      <xdr:col>71</xdr:col>
      <xdr:colOff>228600</xdr:colOff>
      <xdr:row>35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689FF03-BA71-4C96-8A3B-84E875CB8C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0" y="3238500"/>
              <a:ext cx="4133850" cy="344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35858</xdr:colOff>
      <xdr:row>1</xdr:row>
      <xdr:rowOff>98612</xdr:rowOff>
    </xdr:from>
    <xdr:to>
      <xdr:col>7</xdr:col>
      <xdr:colOff>8965</xdr:colOff>
      <xdr:row>1</xdr:row>
      <xdr:rowOff>107577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FDD57AA-2EED-876C-EC19-5C2AC9FAE896}"/>
            </a:ext>
          </a:extLst>
        </xdr:cNvPr>
        <xdr:cNvCxnSpPr/>
      </xdr:nvCxnSpPr>
      <xdr:spPr>
        <a:xfrm>
          <a:off x="2151529" y="277906"/>
          <a:ext cx="2734236" cy="89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26893</xdr:colOff>
      <xdr:row>1</xdr:row>
      <xdr:rowOff>98612</xdr:rowOff>
    </xdr:from>
    <xdr:to>
      <xdr:col>14</xdr:col>
      <xdr:colOff>546847</xdr:colOff>
      <xdr:row>1</xdr:row>
      <xdr:rowOff>116541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FDE2DAD-CA56-4DD4-99EF-A37DAEB9B586}"/>
            </a:ext>
          </a:extLst>
        </xdr:cNvPr>
        <xdr:cNvCxnSpPr/>
      </xdr:nvCxnSpPr>
      <xdr:spPr>
        <a:xfrm>
          <a:off x="6302187" y="277906"/>
          <a:ext cx="3567954" cy="179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17928</xdr:colOff>
      <xdr:row>1</xdr:row>
      <xdr:rowOff>80683</xdr:rowOff>
    </xdr:from>
    <xdr:to>
      <xdr:col>21</xdr:col>
      <xdr:colOff>376518</xdr:colOff>
      <xdr:row>1</xdr:row>
      <xdr:rowOff>89647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ACCE1EF-9C19-4358-A131-69E03076DB65}"/>
            </a:ext>
          </a:extLst>
        </xdr:cNvPr>
        <xdr:cNvCxnSpPr/>
      </xdr:nvCxnSpPr>
      <xdr:spPr>
        <a:xfrm>
          <a:off x="12389222" y="259977"/>
          <a:ext cx="1371602" cy="89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</xdr:colOff>
      <xdr:row>1</xdr:row>
      <xdr:rowOff>125504</xdr:rowOff>
    </xdr:from>
    <xdr:to>
      <xdr:col>27</xdr:col>
      <xdr:colOff>546848</xdr:colOff>
      <xdr:row>9</xdr:row>
      <xdr:rowOff>125505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E7AD668-6451-FE09-3F74-08690BF531F9}"/>
            </a:ext>
          </a:extLst>
        </xdr:cNvPr>
        <xdr:cNvCxnSpPr/>
      </xdr:nvCxnSpPr>
      <xdr:spPr>
        <a:xfrm rot="16200000" flipH="1">
          <a:off x="16176811" y="461681"/>
          <a:ext cx="1443319" cy="1129554"/>
        </a:xfrm>
        <a:prstGeom prst="bentConnector3">
          <a:avLst>
            <a:gd name="adj1" fmla="val -311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89647</xdr:colOff>
      <xdr:row>1</xdr:row>
      <xdr:rowOff>107577</xdr:rowOff>
    </xdr:from>
    <xdr:to>
      <xdr:col>41</xdr:col>
      <xdr:colOff>591671</xdr:colOff>
      <xdr:row>10</xdr:row>
      <xdr:rowOff>74098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C3BDC793-2C84-7D70-116F-A415A8AF45DF}"/>
            </a:ext>
          </a:extLst>
        </xdr:cNvPr>
        <xdr:cNvSpPr/>
      </xdr:nvSpPr>
      <xdr:spPr>
        <a:xfrm>
          <a:off x="18906565" y="286871"/>
          <a:ext cx="6893859" cy="1589133"/>
        </a:xfrm>
        <a:custGeom>
          <a:avLst/>
          <a:gdLst>
            <a:gd name="csX0" fmla="*/ 0 w 6893859"/>
            <a:gd name="csY0" fmla="*/ 1443317 h 1589133"/>
            <a:gd name="csX1" fmla="*/ 2017059 w 6893859"/>
            <a:gd name="csY1" fmla="*/ 1452282 h 1589133"/>
            <a:gd name="csX2" fmla="*/ 6893859 w 6893859"/>
            <a:gd name="csY2" fmla="*/ 0 h 158913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6893859" h="1589133">
              <a:moveTo>
                <a:pt x="0" y="1443317"/>
              </a:moveTo>
              <a:cubicBezTo>
                <a:pt x="434041" y="1568076"/>
                <a:pt x="868083" y="1692835"/>
                <a:pt x="2017059" y="1452282"/>
              </a:cubicBezTo>
              <a:cubicBezTo>
                <a:pt x="3166036" y="1211729"/>
                <a:pt x="5892800" y="276412"/>
                <a:pt x="6893859" y="0"/>
              </a:cubicBezTo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45</xdr:col>
      <xdr:colOff>44824</xdr:colOff>
      <xdr:row>1</xdr:row>
      <xdr:rowOff>116541</xdr:rowOff>
    </xdr:from>
    <xdr:to>
      <xdr:col>48</xdr:col>
      <xdr:colOff>546847</xdr:colOff>
      <xdr:row>1</xdr:row>
      <xdr:rowOff>116541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93C2FE2-91C2-0949-D2BF-08D9B7840E99}"/>
            </a:ext>
          </a:extLst>
        </xdr:cNvPr>
        <xdr:cNvCxnSpPr/>
      </xdr:nvCxnSpPr>
      <xdr:spPr>
        <a:xfrm>
          <a:off x="27781624" y="295835"/>
          <a:ext cx="246529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44824</xdr:colOff>
      <xdr:row>1</xdr:row>
      <xdr:rowOff>107576</xdr:rowOff>
    </xdr:from>
    <xdr:to>
      <xdr:col>55</xdr:col>
      <xdr:colOff>555811</xdr:colOff>
      <xdr:row>1</xdr:row>
      <xdr:rowOff>116541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E6648E5-A47A-4DBA-B25C-BBEE5347E335}"/>
            </a:ext>
          </a:extLst>
        </xdr:cNvPr>
        <xdr:cNvCxnSpPr/>
      </xdr:nvCxnSpPr>
      <xdr:spPr>
        <a:xfrm>
          <a:off x="32183295" y="286870"/>
          <a:ext cx="2339787" cy="89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71718</xdr:colOff>
      <xdr:row>1</xdr:row>
      <xdr:rowOff>98612</xdr:rowOff>
    </xdr:from>
    <xdr:to>
      <xdr:col>62</xdr:col>
      <xdr:colOff>546847</xdr:colOff>
      <xdr:row>1</xdr:row>
      <xdr:rowOff>116541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A6AEC74-13C7-4ABC-BC20-95CF05B0BD01}"/>
            </a:ext>
          </a:extLst>
        </xdr:cNvPr>
        <xdr:cNvCxnSpPr/>
      </xdr:nvCxnSpPr>
      <xdr:spPr>
        <a:xfrm flipV="1">
          <a:off x="35867789" y="277906"/>
          <a:ext cx="2913529" cy="179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C504-3F9C-49C3-8A06-A7143DFA5E32}">
  <dimension ref="A2:BS251"/>
  <sheetViews>
    <sheetView showGridLines="0" tabSelected="1" topLeftCell="W1" zoomScale="85" zoomScaleNormal="85" workbookViewId="0">
      <selection activeCell="CA25" sqref="CA25"/>
    </sheetView>
  </sheetViews>
  <sheetFormatPr defaultRowHeight="14.4" x14ac:dyDescent="0.3"/>
  <cols>
    <col min="1" max="1" width="9.88671875" bestFit="1" customWidth="1"/>
    <col min="2" max="6" width="10.44140625" customWidth="1"/>
    <col min="8" max="8" width="11.5546875" customWidth="1"/>
    <col min="21" max="21" width="5.88671875" customWidth="1"/>
    <col min="22" max="22" width="7" customWidth="1"/>
    <col min="29" max="29" width="10.88671875" customWidth="1"/>
    <col min="30" max="35" width="8" customWidth="1"/>
    <col min="44" max="48" width="9.5546875" bestFit="1" customWidth="1"/>
    <col min="65" max="65" width="16.109375" bestFit="1" customWidth="1"/>
    <col min="68" max="68" width="21.88671875" bestFit="1" customWidth="1"/>
    <col min="69" max="71" width="11.77734375" customWidth="1"/>
  </cols>
  <sheetData>
    <row r="2" spans="1:71" x14ac:dyDescent="0.3">
      <c r="A2" s="39" t="s">
        <v>43</v>
      </c>
      <c r="B2" s="29"/>
      <c r="C2" s="29"/>
      <c r="H2" s="39" t="s">
        <v>44</v>
      </c>
      <c r="I2" s="29"/>
      <c r="P2" s="39" t="s">
        <v>45</v>
      </c>
      <c r="Q2" s="29"/>
      <c r="R2" s="29"/>
      <c r="S2" s="29"/>
      <c r="W2" s="39" t="s">
        <v>46</v>
      </c>
      <c r="X2" s="29"/>
      <c r="Y2" s="29"/>
      <c r="Z2" s="29"/>
      <c r="AK2" s="6" t="s">
        <v>8</v>
      </c>
      <c r="AL2" s="5"/>
      <c r="AM2" s="5"/>
      <c r="AQ2" s="39" t="s">
        <v>47</v>
      </c>
      <c r="AR2" s="29"/>
      <c r="AS2" s="29"/>
      <c r="AX2" s="39" t="s">
        <v>29</v>
      </c>
      <c r="AY2" s="27"/>
      <c r="AZ2" s="27"/>
      <c r="BE2" s="39" t="s">
        <v>48</v>
      </c>
      <c r="BF2" s="29"/>
      <c r="BL2" s="39" t="s">
        <v>49</v>
      </c>
      <c r="BM2" s="29"/>
    </row>
    <row r="3" spans="1:71" ht="15" thickBot="1" x14ac:dyDescent="0.35">
      <c r="P3" s="8" t="s">
        <v>14</v>
      </c>
      <c r="W3" t="str">
        <f ca="1">_xlfn.FORMULATEXT(W5)</f>
        <v>=TRANSPOSE(MMULT(AD22:AH26,TRANSPOSE(P5:T251)))</v>
      </c>
      <c r="BL3" s="13" t="s">
        <v>32</v>
      </c>
      <c r="BN3" t="s">
        <v>33</v>
      </c>
    </row>
    <row r="4" spans="1:7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P4" s="9" t="s">
        <v>9</v>
      </c>
      <c r="Q4" s="9" t="s">
        <v>10</v>
      </c>
      <c r="R4" s="9" t="s">
        <v>11</v>
      </c>
      <c r="S4" s="9" t="s">
        <v>12</v>
      </c>
      <c r="T4" s="9" t="s">
        <v>13</v>
      </c>
      <c r="W4" s="9" t="s">
        <v>9</v>
      </c>
      <c r="X4" s="9" t="s">
        <v>10</v>
      </c>
      <c r="Y4" s="9" t="s">
        <v>11</v>
      </c>
      <c r="Z4" s="9" t="s">
        <v>12</v>
      </c>
      <c r="AA4" s="9" t="s">
        <v>13</v>
      </c>
      <c r="AC4" s="28" t="s">
        <v>24</v>
      </c>
      <c r="AD4" s="29"/>
      <c r="AE4" s="30" t="s">
        <v>1</v>
      </c>
      <c r="AF4" s="30" t="s">
        <v>2</v>
      </c>
      <c r="AG4" s="30" t="s">
        <v>3</v>
      </c>
      <c r="AH4" s="30" t="s">
        <v>4</v>
      </c>
      <c r="AI4" s="30" t="s">
        <v>5</v>
      </c>
      <c r="AQ4" s="9" t="s">
        <v>28</v>
      </c>
      <c r="AR4" s="1" t="s">
        <v>1</v>
      </c>
      <c r="AS4" s="1" t="s">
        <v>2</v>
      </c>
      <c r="AT4" s="1" t="s">
        <v>3</v>
      </c>
      <c r="AU4" s="1" t="s">
        <v>4</v>
      </c>
      <c r="AV4" s="1" t="s">
        <v>5</v>
      </c>
      <c r="AX4" s="31"/>
      <c r="AY4" s="31" t="s">
        <v>1</v>
      </c>
      <c r="AZ4" s="31" t="s">
        <v>2</v>
      </c>
      <c r="BA4" s="31" t="s">
        <v>3</v>
      </c>
      <c r="BB4" s="31" t="s">
        <v>4</v>
      </c>
      <c r="BC4" s="31" t="s">
        <v>5</v>
      </c>
      <c r="BE4" s="9" t="s">
        <v>28</v>
      </c>
      <c r="BF4" s="1" t="s">
        <v>1</v>
      </c>
      <c r="BG4" s="1" t="s">
        <v>2</v>
      </c>
      <c r="BH4" s="1" t="s">
        <v>3</v>
      </c>
      <c r="BI4" s="1" t="s">
        <v>4</v>
      </c>
      <c r="BJ4" s="1" t="s">
        <v>5</v>
      </c>
      <c r="BL4" s="9" t="s">
        <v>28</v>
      </c>
      <c r="BM4" s="1" t="s">
        <v>31</v>
      </c>
    </row>
    <row r="5" spans="1:71" x14ac:dyDescent="0.3">
      <c r="A5" s="2">
        <v>46086</v>
      </c>
      <c r="B5">
        <v>2255</v>
      </c>
      <c r="C5">
        <v>4275.2</v>
      </c>
      <c r="D5">
        <v>1357.6</v>
      </c>
      <c r="E5">
        <v>2578.8000000000002</v>
      </c>
      <c r="F5">
        <v>3348</v>
      </c>
      <c r="H5" s="2">
        <v>46086</v>
      </c>
      <c r="O5">
        <v>1</v>
      </c>
      <c r="P5" s="8">
        <v>-0.4481624547019501</v>
      </c>
      <c r="Q5" s="8">
        <v>-0.28612829170066029</v>
      </c>
      <c r="R5" s="8">
        <v>-0.6221558721070567</v>
      </c>
      <c r="S5" s="8">
        <v>0.54533492587676002</v>
      </c>
      <c r="T5" s="8">
        <v>-0.17381859391483598</v>
      </c>
      <c r="V5">
        <v>1</v>
      </c>
      <c r="W5" cm="1">
        <f t="array" ref="W5:AA251">TRANSPOSE(MMULT(AD22:AH26,TRANSPOSE(P5:T251)))</f>
        <v>-0.4481624547019501</v>
      </c>
      <c r="X5">
        <v>-4.2323424232546855E-2</v>
      </c>
      <c r="Y5">
        <v>-0.68016866895943939</v>
      </c>
      <c r="Z5">
        <v>0.46463615076136638</v>
      </c>
      <c r="AA5">
        <v>-0.24147383035638581</v>
      </c>
      <c r="AC5" s="25" t="s">
        <v>25</v>
      </c>
      <c r="AE5" s="24">
        <v>6.5000000000000002E-2</v>
      </c>
      <c r="AF5" s="24">
        <v>6.5000000000000002E-2</v>
      </c>
      <c r="AG5" s="24">
        <v>6.5000000000000002E-2</v>
      </c>
      <c r="AH5" s="24">
        <v>6.5000000000000002E-2</v>
      </c>
      <c r="AI5" s="24">
        <v>6.5000000000000002E-2</v>
      </c>
      <c r="AQ5">
        <v>1</v>
      </c>
      <c r="AR5" s="21">
        <f t="shared" ref="AR5:AR68" si="0">$AE$7*EXP($AE$5-($AE$6^2/2)*(AQ5/1000)+($AE$6*W5))</f>
        <v>2355.6799310944448</v>
      </c>
      <c r="AS5" s="21">
        <f t="shared" ref="AS5:AS68" si="1">$AE$7*EXP($AE$5-($AE$6^2/2)*(AR5/1000)+($AE$6*X5))</f>
        <v>2366.4329652876154</v>
      </c>
      <c r="AT5" s="21">
        <f t="shared" ref="AT5:AT68" si="2">$AE$7*EXP($AE$5-($AE$6^2/2)*(AS5/1000)+($AE$6*Y5))</f>
        <v>2348.9667197137028</v>
      </c>
      <c r="AU5" s="21">
        <f t="shared" ref="AU5:AU68" si="3">$AE$7*EXP($AE$5-($AE$6^2/2)*(AT5/1000)+($AE$6*Z5))</f>
        <v>2380.4074338989171</v>
      </c>
      <c r="AV5" s="21">
        <f t="shared" ref="AV5:AV68" si="4">$AE$7*EXP($AE$5-($AE$6^2/2)*(AU5/1000)+($AE$6*AA5))</f>
        <v>2360.9622876115327</v>
      </c>
      <c r="AX5" s="7" t="s">
        <v>30</v>
      </c>
      <c r="AY5" s="23">
        <v>0.15</v>
      </c>
      <c r="AZ5" s="23">
        <v>0.25</v>
      </c>
      <c r="BA5" s="23">
        <v>0.3</v>
      </c>
      <c r="BB5" s="23">
        <v>0.2</v>
      </c>
      <c r="BC5" s="23">
        <v>0.1</v>
      </c>
      <c r="BE5">
        <v>1</v>
      </c>
      <c r="BL5">
        <v>1</v>
      </c>
      <c r="BM5" s="3">
        <v>-1.7786740205325335E-2</v>
      </c>
    </row>
    <row r="6" spans="1:71" x14ac:dyDescent="0.3">
      <c r="A6" s="2">
        <v>46085</v>
      </c>
      <c r="B6">
        <v>2261.3000000000002</v>
      </c>
      <c r="C6">
        <v>4204.3999999999996</v>
      </c>
      <c r="D6">
        <v>1365.4</v>
      </c>
      <c r="E6">
        <v>2587.8000000000002</v>
      </c>
      <c r="F6">
        <v>3264.3</v>
      </c>
      <c r="H6" s="2">
        <v>46085</v>
      </c>
      <c r="I6" s="3">
        <f>B6/B5-1</f>
        <v>2.7937915742795028E-3</v>
      </c>
      <c r="J6" s="3">
        <f t="shared" ref="J6:M6" si="5">C6/C5-1</f>
        <v>-1.656062874251496E-2</v>
      </c>
      <c r="K6" s="3">
        <f t="shared" si="5"/>
        <v>5.7454331172659412E-3</v>
      </c>
      <c r="L6" s="3">
        <f t="shared" si="5"/>
        <v>3.4899953466729361E-3</v>
      </c>
      <c r="M6" s="3">
        <f t="shared" si="5"/>
        <v>-2.4999999999999911E-2</v>
      </c>
      <c r="O6">
        <v>2</v>
      </c>
      <c r="P6" s="8">
        <v>0.32793622429841485</v>
      </c>
      <c r="Q6" s="8">
        <v>1.0043724110443308</v>
      </c>
      <c r="R6" s="8">
        <v>0.75299695524390886</v>
      </c>
      <c r="S6" s="8">
        <v>0.22293794949593163</v>
      </c>
      <c r="T6" s="8">
        <v>2.1091970598977976E-2</v>
      </c>
      <c r="V6">
        <v>2</v>
      </c>
      <c r="W6">
        <v>0.32793622429841485</v>
      </c>
      <c r="X6">
        <v>0.19128107088672355</v>
      </c>
      <c r="Y6">
        <v>0.95706800391496938</v>
      </c>
      <c r="Z6">
        <v>0.4052464941823043</v>
      </c>
      <c r="AA6">
        <v>0.14821784261951218</v>
      </c>
      <c r="AC6" s="26" t="s">
        <v>26</v>
      </c>
      <c r="AE6" s="3">
        <f>_xlfn.STDEV.S(I6:I251)</f>
        <v>1.1613288108439325E-2</v>
      </c>
      <c r="AF6" s="3">
        <f t="shared" ref="AF6:AI6" si="6">_xlfn.STDEV.S(J6:J251)</f>
        <v>1.2442261412706631E-2</v>
      </c>
      <c r="AG6" s="3">
        <f t="shared" si="6"/>
        <v>1.0653242069889466E-2</v>
      </c>
      <c r="AH6" s="3">
        <f t="shared" si="6"/>
        <v>1.3585907277621911E-2</v>
      </c>
      <c r="AI6" s="3">
        <f t="shared" si="6"/>
        <v>1.5075010879551666E-2</v>
      </c>
      <c r="AQ6">
        <v>2</v>
      </c>
      <c r="AR6" s="21">
        <f t="shared" si="0"/>
        <v>2377.007619798695</v>
      </c>
      <c r="AS6" s="21">
        <f t="shared" si="1"/>
        <v>2372.8582034316505</v>
      </c>
      <c r="AT6" s="21">
        <f t="shared" si="2"/>
        <v>2394.0555378306994</v>
      </c>
      <c r="AU6" s="21">
        <f t="shared" si="3"/>
        <v>2378.7589783596995</v>
      </c>
      <c r="AV6" s="21">
        <f t="shared" si="4"/>
        <v>2371.6715401591841</v>
      </c>
      <c r="BE6">
        <v>2</v>
      </c>
      <c r="BF6" s="3">
        <f t="shared" ref="BF6:BF69" si="7">LN(AR6/AR5)</f>
        <v>9.0129901255799737E-3</v>
      </c>
      <c r="BG6" s="3">
        <f t="shared" ref="BG6:BG69" si="8">LN(AS6/AS5)</f>
        <v>2.7114780889737843E-3</v>
      </c>
      <c r="BH6" s="3">
        <f t="shared" ref="BH6:BH69" si="9">LN(AT6/AT5)</f>
        <v>1.9013267902804144E-2</v>
      </c>
      <c r="BI6" s="3">
        <f t="shared" ref="BI6:BI69" si="10">LN(AU6/AU5)</f>
        <v>-6.9274972226074372E-4</v>
      </c>
      <c r="BJ6" s="3">
        <f t="shared" ref="BJ6:BJ69" si="11">LN(AV6/AV5)</f>
        <v>4.5257128340594885E-3</v>
      </c>
      <c r="BL6">
        <v>2</v>
      </c>
      <c r="BM6" s="3">
        <v>-1.6022313681584643E-2</v>
      </c>
      <c r="BP6" s="44" t="s">
        <v>34</v>
      </c>
      <c r="BQ6" s="44"/>
      <c r="BR6" s="44"/>
      <c r="BS6" s="44"/>
    </row>
    <row r="7" spans="1:71" x14ac:dyDescent="0.3">
      <c r="A7" s="2">
        <v>46083</v>
      </c>
      <c r="B7">
        <v>2320.6</v>
      </c>
      <c r="C7">
        <v>4270.3</v>
      </c>
      <c r="D7">
        <v>1374</v>
      </c>
      <c r="E7">
        <v>2613.5</v>
      </c>
      <c r="F7">
        <v>3334.3</v>
      </c>
      <c r="H7" s="2">
        <v>46083</v>
      </c>
      <c r="I7" s="3">
        <f t="shared" ref="I7:I70" si="12">B7/B6-1</f>
        <v>2.6223853535576769E-2</v>
      </c>
      <c r="J7" s="3">
        <f t="shared" ref="J7:J70" si="13">C7/C6-1</f>
        <v>1.567405575111791E-2</v>
      </c>
      <c r="K7" s="3">
        <f t="shared" ref="K7:K70" si="14">D7/D6-1</f>
        <v>6.2985205800496491E-3</v>
      </c>
      <c r="L7" s="3">
        <f t="shared" ref="L7:L70" si="15">E7/E6-1</f>
        <v>9.9312157044593175E-3</v>
      </c>
      <c r="M7" s="3">
        <f t="shared" ref="M7:M70" si="16">F7/F6-1</f>
        <v>2.1444107465612872E-2</v>
      </c>
      <c r="O7">
        <v>3</v>
      </c>
      <c r="P7" s="8">
        <v>0.33121632697284514</v>
      </c>
      <c r="Q7" s="8">
        <v>0.37798977144352985</v>
      </c>
      <c r="R7" s="8">
        <v>-0.74513439695410277</v>
      </c>
      <c r="S7" s="8">
        <v>-0.84514937731167461</v>
      </c>
      <c r="T7" s="8">
        <v>0.11048913683790602</v>
      </c>
      <c r="U7" s="10"/>
      <c r="V7">
        <v>3</v>
      </c>
      <c r="W7">
        <v>0.33121632697284514</v>
      </c>
      <c r="X7">
        <v>6.4859021486752086E-2</v>
      </c>
      <c r="Y7">
        <v>-0.63917353832821477</v>
      </c>
      <c r="Z7">
        <v>-0.79009737187274998</v>
      </c>
      <c r="AA7">
        <v>0.48058791445239191</v>
      </c>
      <c r="AC7" s="25" t="s">
        <v>27</v>
      </c>
      <c r="AE7">
        <f>B251</f>
        <v>2218.9499999999998</v>
      </c>
      <c r="AF7">
        <f t="shared" ref="AF7:AI7" si="17">C251</f>
        <v>3121.1</v>
      </c>
      <c r="AG7">
        <f t="shared" si="17"/>
        <v>1218.05</v>
      </c>
      <c r="AH7">
        <f t="shared" si="17"/>
        <v>3601.6</v>
      </c>
      <c r="AI7">
        <f t="shared" si="17"/>
        <v>2742.4</v>
      </c>
      <c r="AQ7">
        <v>3</v>
      </c>
      <c r="AR7" s="21">
        <f t="shared" si="0"/>
        <v>2377.098008047627</v>
      </c>
      <c r="AS7" s="21">
        <f t="shared" si="1"/>
        <v>2369.3769724204135</v>
      </c>
      <c r="AT7" s="21">
        <f t="shared" si="2"/>
        <v>2350.0848348949776</v>
      </c>
      <c r="AU7" s="21">
        <f t="shared" si="3"/>
        <v>2345.972449248191</v>
      </c>
      <c r="AV7" s="21">
        <f t="shared" si="4"/>
        <v>2380.8489317353801</v>
      </c>
      <c r="BE7">
        <v>3</v>
      </c>
      <c r="BF7" s="3">
        <f t="shared" si="7"/>
        <v>3.8025343153160133E-5</v>
      </c>
      <c r="BG7" s="3">
        <f t="shared" si="8"/>
        <v>-1.4681817782030745E-3</v>
      </c>
      <c r="BH7" s="3">
        <f t="shared" si="9"/>
        <v>-1.8537378166595463E-2</v>
      </c>
      <c r="BI7" s="3">
        <f t="shared" si="10"/>
        <v>-1.3878907574643043E-2</v>
      </c>
      <c r="BJ7" s="3">
        <f t="shared" si="11"/>
        <v>3.8621203371743411E-3</v>
      </c>
      <c r="BL7" s="5">
        <v>3</v>
      </c>
      <c r="BM7" s="33">
        <v>-1.5729334424493355E-2</v>
      </c>
      <c r="BP7" s="40" t="s">
        <v>35</v>
      </c>
      <c r="BQ7" s="16">
        <f>COUNT($BL$5:$BL$250)</f>
        <v>246</v>
      </c>
      <c r="BR7">
        <f t="shared" ref="BR7:BS7" si="18">COUNT($BL$5:$BL$250)</f>
        <v>246</v>
      </c>
      <c r="BS7">
        <f t="shared" si="18"/>
        <v>246</v>
      </c>
    </row>
    <row r="8" spans="1:71" x14ac:dyDescent="0.3">
      <c r="A8" s="2">
        <v>46080</v>
      </c>
      <c r="B8">
        <v>2338.1</v>
      </c>
      <c r="C8">
        <v>4327.5</v>
      </c>
      <c r="D8">
        <v>1378.9</v>
      </c>
      <c r="E8">
        <v>2637.4</v>
      </c>
      <c r="F8">
        <v>3397.4</v>
      </c>
      <c r="H8" s="2">
        <v>46080</v>
      </c>
      <c r="I8" s="3">
        <f t="shared" si="12"/>
        <v>7.5411531500473306E-3</v>
      </c>
      <c r="J8" s="3">
        <f t="shared" si="13"/>
        <v>1.3394843453621519E-2</v>
      </c>
      <c r="K8" s="3">
        <f t="shared" si="14"/>
        <v>3.5662299854439805E-3</v>
      </c>
      <c r="L8" s="3">
        <f t="shared" si="15"/>
        <v>9.1448249473886634E-3</v>
      </c>
      <c r="M8" s="3">
        <f t="shared" si="16"/>
        <v>1.8924511891551532E-2</v>
      </c>
      <c r="O8">
        <v>4</v>
      </c>
      <c r="P8" s="8">
        <v>-0.83238217556486105</v>
      </c>
      <c r="Q8" s="8">
        <v>1.007560040725638</v>
      </c>
      <c r="R8" s="8">
        <v>1.3071850866412607</v>
      </c>
      <c r="S8" s="8">
        <v>0.83642681796679275</v>
      </c>
      <c r="T8" s="8">
        <v>-0.72569566031608446</v>
      </c>
      <c r="V8">
        <v>4</v>
      </c>
      <c r="W8">
        <v>-0.83238217556486105</v>
      </c>
      <c r="X8">
        <v>0.23172828983547938</v>
      </c>
      <c r="Y8">
        <v>1.4687969141338983</v>
      </c>
      <c r="Z8">
        <v>0.99869662292880634</v>
      </c>
      <c r="AA8">
        <v>-0.7105600933519638</v>
      </c>
      <c r="AQ8">
        <v>4</v>
      </c>
      <c r="AR8" s="21">
        <f t="shared" si="0"/>
        <v>2345.1917007229163</v>
      </c>
      <c r="AS8" s="21">
        <f t="shared" si="1"/>
        <v>2373.9781498808238</v>
      </c>
      <c r="AT8" s="21">
        <f t="shared" si="2"/>
        <v>2408.3252414458188</v>
      </c>
      <c r="AU8" s="21">
        <f t="shared" si="3"/>
        <v>2395.2074835671724</v>
      </c>
      <c r="AV8" s="21">
        <f t="shared" si="4"/>
        <v>2348.1332551355813</v>
      </c>
      <c r="BE8">
        <v>4</v>
      </c>
      <c r="BF8" s="3">
        <f t="shared" si="7"/>
        <v>-1.351327208674929E-2</v>
      </c>
      <c r="BG8" s="3">
        <f t="shared" si="8"/>
        <v>1.9400524670556119E-3</v>
      </c>
      <c r="BH8" s="3">
        <f t="shared" si="9"/>
        <v>2.4480157911658872E-2</v>
      </c>
      <c r="BI8" s="3">
        <f t="shared" si="10"/>
        <v>2.0769852631285789E-2</v>
      </c>
      <c r="BJ8" s="3">
        <f t="shared" si="11"/>
        <v>-1.3836465121070838E-2</v>
      </c>
      <c r="BL8">
        <v>4</v>
      </c>
      <c r="BM8" s="3">
        <v>-1.542029318215991E-2</v>
      </c>
      <c r="BP8" s="41" t="s">
        <v>36</v>
      </c>
      <c r="BQ8" s="35">
        <v>0.99</v>
      </c>
      <c r="BR8" s="32">
        <v>0.95</v>
      </c>
      <c r="BS8" s="32">
        <v>0.9</v>
      </c>
    </row>
    <row r="9" spans="1:71" x14ac:dyDescent="0.3">
      <c r="A9" s="2">
        <v>46079</v>
      </c>
      <c r="B9">
        <v>2383.3000000000002</v>
      </c>
      <c r="C9">
        <v>4342.6000000000004</v>
      </c>
      <c r="D9">
        <v>1404.9</v>
      </c>
      <c r="E9">
        <v>2647.7</v>
      </c>
      <c r="F9">
        <v>3484.6</v>
      </c>
      <c r="H9" s="2">
        <v>46079</v>
      </c>
      <c r="I9" s="3">
        <f t="shared" si="12"/>
        <v>1.9331936187502841E-2</v>
      </c>
      <c r="J9" s="3">
        <f t="shared" si="13"/>
        <v>3.4893125361064037E-3</v>
      </c>
      <c r="K9" s="3">
        <f t="shared" si="14"/>
        <v>1.8855609543839247E-2</v>
      </c>
      <c r="L9" s="3">
        <f t="shared" si="15"/>
        <v>3.9053613407142862E-3</v>
      </c>
      <c r="M9" s="3">
        <f t="shared" si="16"/>
        <v>2.5666686289515406E-2</v>
      </c>
      <c r="O9">
        <v>5</v>
      </c>
      <c r="P9" s="8">
        <v>-0.5668786180173927</v>
      </c>
      <c r="Q9" s="8">
        <v>-0.194020344820831</v>
      </c>
      <c r="R9" s="8">
        <v>0.55694800022991153</v>
      </c>
      <c r="S9" s="8">
        <v>-1.4975350567071022</v>
      </c>
      <c r="T9" s="8">
        <v>1.7548324011187371</v>
      </c>
      <c r="V9">
        <v>5</v>
      </c>
      <c r="W9">
        <v>-0.5668786180173927</v>
      </c>
      <c r="X9">
        <v>-1.9677406456260035E-2</v>
      </c>
      <c r="Y9">
        <v>0.48815304558846295</v>
      </c>
      <c r="Z9">
        <v>-1.5061338424319597</v>
      </c>
      <c r="AA9">
        <v>1.7800424541342221</v>
      </c>
      <c r="AQ9">
        <v>5</v>
      </c>
      <c r="AR9" s="21">
        <f t="shared" si="0"/>
        <v>2352.4337937292698</v>
      </c>
      <c r="AS9" s="21">
        <f t="shared" si="1"/>
        <v>2367.0559246800021</v>
      </c>
      <c r="AT9" s="21">
        <f t="shared" si="2"/>
        <v>2381.0547276388475</v>
      </c>
      <c r="AU9" s="21">
        <f t="shared" si="3"/>
        <v>2326.5404532699908</v>
      </c>
      <c r="AV9" s="21">
        <f t="shared" si="4"/>
        <v>2417.0538192207073</v>
      </c>
      <c r="BE9">
        <v>5</v>
      </c>
      <c r="BF9" s="3">
        <f t="shared" si="7"/>
        <v>3.0833018733839026E-3</v>
      </c>
      <c r="BG9" s="3">
        <f t="shared" si="8"/>
        <v>-2.9201351481065552E-3</v>
      </c>
      <c r="BH9" s="3">
        <f t="shared" si="9"/>
        <v>-1.138803298226412E-2</v>
      </c>
      <c r="BI9" s="3">
        <f t="shared" si="10"/>
        <v>-2.9087478890920958E-2</v>
      </c>
      <c r="BJ9" s="3">
        <f t="shared" si="11"/>
        <v>2.8928715455908138E-2</v>
      </c>
      <c r="BL9">
        <v>5</v>
      </c>
      <c r="BM9" s="3">
        <v>-1.5377788716976534E-2</v>
      </c>
      <c r="BP9" s="40" t="s">
        <v>37</v>
      </c>
      <c r="BQ9" s="36">
        <f>1-BQ8</f>
        <v>1.0000000000000009E-2</v>
      </c>
      <c r="BR9" s="23">
        <f t="shared" ref="BR9:BS9" si="19">1-BR8</f>
        <v>5.0000000000000044E-2</v>
      </c>
      <c r="BS9" s="23">
        <f t="shared" si="19"/>
        <v>9.9999999999999978E-2</v>
      </c>
    </row>
    <row r="10" spans="1:71" x14ac:dyDescent="0.3">
      <c r="A10" s="2">
        <v>46078</v>
      </c>
      <c r="B10">
        <v>2374.9</v>
      </c>
      <c r="C10">
        <v>4325</v>
      </c>
      <c r="D10">
        <v>1400.5</v>
      </c>
      <c r="E10">
        <v>2629.3</v>
      </c>
      <c r="F10">
        <v>3491.3</v>
      </c>
      <c r="H10" s="2">
        <v>46078</v>
      </c>
      <c r="I10" s="3">
        <f t="shared" si="12"/>
        <v>-3.5245248185289402E-3</v>
      </c>
      <c r="J10" s="3">
        <f t="shared" si="13"/>
        <v>-4.0528715516051639E-3</v>
      </c>
      <c r="K10" s="3">
        <f t="shared" si="14"/>
        <v>-3.131895508577176E-3</v>
      </c>
      <c r="L10" s="3">
        <f t="shared" si="15"/>
        <v>-6.9494278052648628E-3</v>
      </c>
      <c r="M10" s="3">
        <f t="shared" si="16"/>
        <v>1.9227457957873284E-3</v>
      </c>
      <c r="O10">
        <v>6</v>
      </c>
      <c r="P10" s="8">
        <v>2.6161679931277306</v>
      </c>
      <c r="Q10" s="8">
        <v>-0.79459597946224769</v>
      </c>
      <c r="R10" s="8">
        <v>-0.65176397054518187</v>
      </c>
      <c r="S10" s="8">
        <v>-0.96036881722281164</v>
      </c>
      <c r="T10" s="8">
        <v>0.43007980573703652</v>
      </c>
      <c r="V10">
        <v>6</v>
      </c>
      <c r="W10">
        <v>2.6161679931277306</v>
      </c>
      <c r="X10">
        <v>-0.24997660001060437</v>
      </c>
      <c r="Y10">
        <v>-0.73669908141623408</v>
      </c>
      <c r="Z10">
        <v>-1.0239050593027899</v>
      </c>
      <c r="AA10">
        <v>0.37413339796021911</v>
      </c>
      <c r="AC10" s="4" t="s">
        <v>15</v>
      </c>
      <c r="AQ10">
        <v>6</v>
      </c>
      <c r="AR10" s="21">
        <f t="shared" si="0"/>
        <v>2441.0200837818415</v>
      </c>
      <c r="AS10" s="21">
        <f t="shared" si="1"/>
        <v>2360.7195164842874</v>
      </c>
      <c r="AT10" s="21">
        <f t="shared" si="2"/>
        <v>2347.4260242539076</v>
      </c>
      <c r="AU10" s="21">
        <f t="shared" si="3"/>
        <v>2339.61154623729</v>
      </c>
      <c r="AV10" s="21">
        <f t="shared" si="4"/>
        <v>2377.9083579101075</v>
      </c>
      <c r="BE10">
        <v>6</v>
      </c>
      <c r="BF10" s="3">
        <f t="shared" si="7"/>
        <v>3.6965569923589313E-2</v>
      </c>
      <c r="BG10" s="3">
        <f t="shared" si="8"/>
        <v>-2.6805046341768497E-3</v>
      </c>
      <c r="BH10" s="3">
        <f t="shared" si="9"/>
        <v>-1.4224133350330202E-2</v>
      </c>
      <c r="BI10" s="3">
        <f t="shared" si="10"/>
        <v>5.6025295183915079E-3</v>
      </c>
      <c r="BJ10" s="3">
        <f t="shared" si="11"/>
        <v>-1.6328108362706678E-2</v>
      </c>
      <c r="BL10">
        <v>6</v>
      </c>
      <c r="BM10" s="3">
        <v>-1.5141545032108178E-2</v>
      </c>
      <c r="BP10" s="40" t="s">
        <v>38</v>
      </c>
      <c r="BQ10" s="16">
        <f>BQ7*BQ9</f>
        <v>2.4600000000000022</v>
      </c>
      <c r="BR10">
        <f t="shared" ref="BR10:BS10" si="20">BR7*BR9</f>
        <v>12.300000000000011</v>
      </c>
      <c r="BS10">
        <f t="shared" si="20"/>
        <v>24.599999999999994</v>
      </c>
    </row>
    <row r="11" spans="1:71" ht="15" thickBot="1" x14ac:dyDescent="0.35">
      <c r="A11" s="2">
        <v>46077</v>
      </c>
      <c r="B11">
        <v>2358.6</v>
      </c>
      <c r="C11">
        <v>4294.5</v>
      </c>
      <c r="D11">
        <v>1384.8</v>
      </c>
      <c r="E11">
        <v>2573.6999999999998</v>
      </c>
      <c r="F11">
        <v>3433.2</v>
      </c>
      <c r="H11" s="2">
        <v>46077</v>
      </c>
      <c r="I11" s="3">
        <f t="shared" si="12"/>
        <v>-6.8634468819740446E-3</v>
      </c>
      <c r="J11" s="3">
        <f t="shared" si="13"/>
        <v>-7.0520231213873075E-3</v>
      </c>
      <c r="K11" s="3">
        <f t="shared" si="14"/>
        <v>-1.1210282042127817E-2</v>
      </c>
      <c r="L11" s="3">
        <f t="shared" si="15"/>
        <v>-2.1146312706804227E-2</v>
      </c>
      <c r="M11" s="3">
        <f t="shared" si="16"/>
        <v>-1.664136568040564E-2</v>
      </c>
      <c r="O11">
        <v>7</v>
      </c>
      <c r="P11" s="8">
        <v>-0.5900751152058471</v>
      </c>
      <c r="Q11" s="8">
        <v>0.9835585250983</v>
      </c>
      <c r="R11" s="8">
        <v>-1.8701271498046774</v>
      </c>
      <c r="S11" s="8">
        <v>-1.1753668304250631</v>
      </c>
      <c r="T11" s="8">
        <v>1.1945863493211837</v>
      </c>
      <c r="V11">
        <v>7</v>
      </c>
      <c r="W11">
        <v>-0.5900751152058471</v>
      </c>
      <c r="X11">
        <v>0.218576120770613</v>
      </c>
      <c r="Y11">
        <v>-1.6339746419655263</v>
      </c>
      <c r="Z11">
        <v>-1.0796140234603435</v>
      </c>
      <c r="AA11">
        <v>1.9212935630035624</v>
      </c>
      <c r="AQ11">
        <v>7</v>
      </c>
      <c r="AR11" s="21">
        <f t="shared" si="0"/>
        <v>2351.7998453901346</v>
      </c>
      <c r="AS11" s="21">
        <f t="shared" si="1"/>
        <v>2373.6145185993205</v>
      </c>
      <c r="AT11" s="21">
        <f t="shared" si="2"/>
        <v>2323.09007860053</v>
      </c>
      <c r="AU11" s="21">
        <f t="shared" si="3"/>
        <v>2338.1022277369734</v>
      </c>
      <c r="AV11" s="21">
        <f t="shared" si="4"/>
        <v>2421.0200959138424</v>
      </c>
      <c r="BE11">
        <v>7</v>
      </c>
      <c r="BF11" s="3">
        <f t="shared" si="7"/>
        <v>-3.7235092397006085E-2</v>
      </c>
      <c r="BG11" s="3">
        <f t="shared" si="8"/>
        <v>5.4474542385326294E-3</v>
      </c>
      <c r="BH11" s="3">
        <f t="shared" si="9"/>
        <v>-1.0421189161863348E-2</v>
      </c>
      <c r="BI11" s="3">
        <f t="shared" si="10"/>
        <v>-6.4532317521973374E-4</v>
      </c>
      <c r="BJ11" s="3">
        <f t="shared" si="11"/>
        <v>1.796771852628028E-2</v>
      </c>
      <c r="BL11">
        <v>7</v>
      </c>
      <c r="BM11" s="3">
        <v>-1.5047205232923275E-2</v>
      </c>
      <c r="BP11" s="40" t="s">
        <v>39</v>
      </c>
      <c r="BQ11" s="16">
        <f>ROUNDUP(BQ10,0)</f>
        <v>3</v>
      </c>
      <c r="BR11">
        <f t="shared" ref="BR11:BS11" si="21">ROUNDUP(BR10,0)</f>
        <v>13</v>
      </c>
      <c r="BS11">
        <f t="shared" si="21"/>
        <v>25</v>
      </c>
    </row>
    <row r="12" spans="1:71" x14ac:dyDescent="0.3">
      <c r="A12" s="2">
        <v>46076</v>
      </c>
      <c r="B12">
        <v>2345.4</v>
      </c>
      <c r="C12">
        <v>4272.7</v>
      </c>
      <c r="D12">
        <v>1399.4</v>
      </c>
      <c r="E12">
        <v>2676.3</v>
      </c>
      <c r="F12">
        <v>3447.1</v>
      </c>
      <c r="H12" s="2">
        <v>46076</v>
      </c>
      <c r="I12" s="3">
        <f t="shared" si="12"/>
        <v>-5.5965403205290309E-3</v>
      </c>
      <c r="J12" s="3">
        <f t="shared" si="13"/>
        <v>-5.0762603329841394E-3</v>
      </c>
      <c r="K12" s="3">
        <f t="shared" si="14"/>
        <v>1.0543038705950414E-2</v>
      </c>
      <c r="L12" s="3">
        <f t="shared" si="15"/>
        <v>3.9864786105606953E-2</v>
      </c>
      <c r="M12" s="3">
        <f t="shared" si="16"/>
        <v>4.0487009204241975E-3</v>
      </c>
      <c r="O12">
        <v>8</v>
      </c>
      <c r="P12" s="8">
        <v>0.9547472891305796</v>
      </c>
      <c r="Q12" s="8">
        <v>1.7470719232318921</v>
      </c>
      <c r="R12" s="8">
        <v>-0.63282502685053554</v>
      </c>
      <c r="S12" s="8">
        <v>-1.7233132014998729</v>
      </c>
      <c r="T12" s="8">
        <v>0.18809773998108845</v>
      </c>
      <c r="V12">
        <v>8</v>
      </c>
      <c r="W12">
        <v>0.9547472891305796</v>
      </c>
      <c r="X12">
        <v>0.31954319678646609</v>
      </c>
      <c r="Y12">
        <v>-0.22298776963430705</v>
      </c>
      <c r="Z12">
        <v>-1.4274939596095275</v>
      </c>
      <c r="AA12">
        <v>1.0897058001770443</v>
      </c>
      <c r="AC12" s="11"/>
      <c r="AD12" s="11" t="s">
        <v>1</v>
      </c>
      <c r="AE12" s="11" t="s">
        <v>2</v>
      </c>
      <c r="AF12" s="11" t="s">
        <v>3</v>
      </c>
      <c r="AG12" s="11" t="s">
        <v>4</v>
      </c>
      <c r="AH12" s="11" t="s">
        <v>5</v>
      </c>
      <c r="AQ12">
        <v>8</v>
      </c>
      <c r="AR12" s="21">
        <f t="shared" si="0"/>
        <v>2394.37282211825</v>
      </c>
      <c r="AS12" s="21">
        <f t="shared" si="1"/>
        <v>2376.3925334668329</v>
      </c>
      <c r="AT12" s="21">
        <f t="shared" si="2"/>
        <v>2361.4698420788891</v>
      </c>
      <c r="AU12" s="21">
        <f t="shared" si="3"/>
        <v>2328.6692533053983</v>
      </c>
      <c r="AV12" s="21">
        <f t="shared" si="4"/>
        <v>2397.7532340642742</v>
      </c>
      <c r="BE12">
        <v>8</v>
      </c>
      <c r="BF12" s="3">
        <f t="shared" si="7"/>
        <v>1.7940400223700539E-2</v>
      </c>
      <c r="BG12" s="3">
        <f t="shared" si="8"/>
        <v>1.1696888673197907E-3</v>
      </c>
      <c r="BH12" s="3">
        <f t="shared" si="9"/>
        <v>1.638600973231364E-2</v>
      </c>
      <c r="BI12" s="3">
        <f t="shared" si="10"/>
        <v>-4.0426180354567421E-3</v>
      </c>
      <c r="BJ12" s="3">
        <f t="shared" si="11"/>
        <v>-9.6568321717860114E-3</v>
      </c>
      <c r="BL12">
        <v>8</v>
      </c>
      <c r="BM12" s="3">
        <v>-1.4634600837488273E-2</v>
      </c>
      <c r="BP12" s="40" t="s">
        <v>40</v>
      </c>
      <c r="BQ12" s="37">
        <f>BM7</f>
        <v>-1.5729334424493355E-2</v>
      </c>
      <c r="BR12" s="24">
        <f>BM17</f>
        <v>-1.2941756712614133E-2</v>
      </c>
      <c r="BS12" s="24">
        <f>BM29</f>
        <v>-9.8687039737783491E-3</v>
      </c>
    </row>
    <row r="13" spans="1:71" x14ac:dyDescent="0.3">
      <c r="A13" s="2">
        <v>46073</v>
      </c>
      <c r="B13">
        <v>2314.5</v>
      </c>
      <c r="C13">
        <v>4236.3999999999996</v>
      </c>
      <c r="D13">
        <v>1394.5</v>
      </c>
      <c r="E13">
        <v>2686.2</v>
      </c>
      <c r="F13">
        <v>3412.8</v>
      </c>
      <c r="H13" s="2">
        <v>46073</v>
      </c>
      <c r="I13" s="3">
        <f t="shared" si="12"/>
        <v>-1.3174724993604503E-2</v>
      </c>
      <c r="J13" s="3">
        <f t="shared" si="13"/>
        <v>-8.4957989093548125E-3</v>
      </c>
      <c r="K13" s="3">
        <f t="shared" si="14"/>
        <v>-3.5015006431328155E-3</v>
      </c>
      <c r="L13" s="3">
        <f t="shared" si="15"/>
        <v>3.6991368680638903E-3</v>
      </c>
      <c r="M13" s="3">
        <f t="shared" si="16"/>
        <v>-9.9503930840415533E-3</v>
      </c>
      <c r="O13">
        <v>9</v>
      </c>
      <c r="P13" s="8">
        <v>0.11155566873331316</v>
      </c>
      <c r="Q13" s="8">
        <v>-0.1054352484346152</v>
      </c>
      <c r="R13" s="8">
        <v>0.32676001544516325</v>
      </c>
      <c r="S13" s="8">
        <v>1.6175880977217301</v>
      </c>
      <c r="T13" s="8">
        <v>-0.43116190928886994</v>
      </c>
      <c r="V13">
        <v>9</v>
      </c>
      <c r="W13">
        <v>0.11155566873331316</v>
      </c>
      <c r="X13">
        <v>-2.5087817796470933E-2</v>
      </c>
      <c r="Y13">
        <v>0.29979548156049735</v>
      </c>
      <c r="Z13">
        <v>1.593394410994369</v>
      </c>
      <c r="AA13">
        <v>-0.79246283683929497</v>
      </c>
      <c r="AC13" s="13" t="s">
        <v>1</v>
      </c>
      <c r="AD13" s="17">
        <v>1</v>
      </c>
      <c r="AE13" s="12">
        <v>-3.4304753023444198E-2</v>
      </c>
      <c r="AF13" s="12">
        <v>2.615804855655178E-2</v>
      </c>
      <c r="AG13" s="12">
        <v>2.51865962129658E-2</v>
      </c>
      <c r="AH13" s="12">
        <v>-2.7790954324299507E-2</v>
      </c>
      <c r="AQ13">
        <v>9</v>
      </c>
      <c r="AR13" s="21">
        <f t="shared" si="0"/>
        <v>2371.0408411918938</v>
      </c>
      <c r="AS13" s="21">
        <f t="shared" si="1"/>
        <v>2366.9042310393443</v>
      </c>
      <c r="AT13" s="21">
        <f t="shared" si="2"/>
        <v>2375.8520046615026</v>
      </c>
      <c r="AU13" s="21">
        <f t="shared" si="3"/>
        <v>2411.8122735626953</v>
      </c>
      <c r="AV13" s="21">
        <f t="shared" si="4"/>
        <v>2345.8982394110089</v>
      </c>
      <c r="BE13">
        <v>9</v>
      </c>
      <c r="BF13" s="3">
        <f t="shared" si="7"/>
        <v>-9.7922946525255683E-3</v>
      </c>
      <c r="BG13" s="3">
        <f t="shared" si="8"/>
        <v>-4.0007258892792146E-3</v>
      </c>
      <c r="BH13" s="3">
        <f t="shared" si="9"/>
        <v>6.0718723507632655E-3</v>
      </c>
      <c r="BI13" s="3">
        <f t="shared" si="10"/>
        <v>3.5081477141192481E-2</v>
      </c>
      <c r="BJ13" s="3">
        <f t="shared" si="11"/>
        <v>-2.1863773335918969E-2</v>
      </c>
      <c r="BL13">
        <v>9</v>
      </c>
      <c r="BM13" s="3">
        <v>-1.3825051363173715E-2</v>
      </c>
      <c r="BP13" s="40" t="s">
        <v>41</v>
      </c>
      <c r="BQ13" s="38">
        <f>1*10^5</f>
        <v>100000</v>
      </c>
      <c r="BR13" s="34">
        <f t="shared" ref="BR13:BS13" si="22">1*10^5</f>
        <v>100000</v>
      </c>
      <c r="BS13" s="34">
        <f t="shared" si="22"/>
        <v>100000</v>
      </c>
    </row>
    <row r="14" spans="1:71" x14ac:dyDescent="0.3">
      <c r="A14" s="2">
        <v>46072</v>
      </c>
      <c r="B14">
        <v>2279.3000000000002</v>
      </c>
      <c r="C14">
        <v>4198.2</v>
      </c>
      <c r="D14">
        <v>1388.8</v>
      </c>
      <c r="E14">
        <v>2677.9</v>
      </c>
      <c r="F14">
        <v>3431.8</v>
      </c>
      <c r="H14" s="2">
        <v>46072</v>
      </c>
      <c r="I14" s="3">
        <f t="shared" si="12"/>
        <v>-1.5208468351695759E-2</v>
      </c>
      <c r="J14" s="3">
        <f t="shared" si="13"/>
        <v>-9.0170899820601891E-3</v>
      </c>
      <c r="K14" s="3">
        <f t="shared" si="14"/>
        <v>-4.087486554320563E-3</v>
      </c>
      <c r="L14" s="3">
        <f t="shared" si="15"/>
        <v>-3.0898667262302393E-3</v>
      </c>
      <c r="M14" s="3">
        <f t="shared" si="16"/>
        <v>5.5672761368963375E-3</v>
      </c>
      <c r="O14">
        <v>10</v>
      </c>
      <c r="P14" s="8">
        <v>0.36771070389629446</v>
      </c>
      <c r="Q14" s="8">
        <v>-0.77508770739718358</v>
      </c>
      <c r="R14" s="8">
        <v>0.27494190283145659</v>
      </c>
      <c r="S14" s="8">
        <v>-1.2423312840600818</v>
      </c>
      <c r="T14" s="8">
        <v>0.38609889200916953</v>
      </c>
      <c r="V14">
        <v>10</v>
      </c>
      <c r="W14">
        <v>0.36771070389629446</v>
      </c>
      <c r="X14">
        <v>-0.16891000155738453</v>
      </c>
      <c r="Y14">
        <v>0.11395025408928772</v>
      </c>
      <c r="Z14">
        <v>-1.3283871068075594</v>
      </c>
      <c r="AA14">
        <v>0.31368247524008408</v>
      </c>
      <c r="AC14" s="13" t="s">
        <v>2</v>
      </c>
      <c r="AD14" s="18">
        <v>-3.4304753023444198E-2</v>
      </c>
      <c r="AE14" s="12">
        <v>1</v>
      </c>
      <c r="AF14" s="12">
        <f>AE15</f>
        <v>4.183919541360348E-2</v>
      </c>
      <c r="AG14" s="12">
        <f>AE16</f>
        <v>3.015463214529672E-2</v>
      </c>
      <c r="AH14" s="12">
        <v>6.04063654756644E-2</v>
      </c>
      <c r="AK14" s="4" t="s">
        <v>7</v>
      </c>
      <c r="AQ14">
        <v>10</v>
      </c>
      <c r="AR14" s="21">
        <f t="shared" si="0"/>
        <v>2378.1045600057373</v>
      </c>
      <c r="AS14" s="21">
        <f t="shared" si="1"/>
        <v>2362.9530870144813</v>
      </c>
      <c r="AT14" s="21">
        <f t="shared" si="2"/>
        <v>2370.7304258661343</v>
      </c>
      <c r="AU14" s="21">
        <f t="shared" si="3"/>
        <v>2331.3495372721522</v>
      </c>
      <c r="AV14" s="21">
        <f t="shared" si="4"/>
        <v>2376.2408951815937</v>
      </c>
      <c r="BE14">
        <v>10</v>
      </c>
      <c r="BF14" s="3">
        <f t="shared" si="7"/>
        <v>2.9747347895446351E-3</v>
      </c>
      <c r="BG14" s="3">
        <f t="shared" si="8"/>
        <v>-1.6707247928420177E-3</v>
      </c>
      <c r="BH14" s="3">
        <f t="shared" si="9"/>
        <v>-2.1580077278451899E-3</v>
      </c>
      <c r="BI14" s="3">
        <f t="shared" si="10"/>
        <v>-3.3931145186422804E-2</v>
      </c>
      <c r="BJ14" s="3">
        <f t="shared" si="11"/>
        <v>1.2851410141670487E-2</v>
      </c>
      <c r="BL14">
        <v>10</v>
      </c>
      <c r="BM14" s="3">
        <v>-1.3571495776283348E-2</v>
      </c>
      <c r="BP14" s="7" t="s">
        <v>42</v>
      </c>
      <c r="BQ14" s="42">
        <f>BQ12*BQ13</f>
        <v>-1572.9334424493354</v>
      </c>
      <c r="BR14" s="43">
        <f t="shared" ref="BR14:BS14" si="23">BR12*BR13</f>
        <v>-1294.1756712614133</v>
      </c>
      <c r="BS14" s="43">
        <f t="shared" si="23"/>
        <v>-986.87039737783493</v>
      </c>
    </row>
    <row r="15" spans="1:71" x14ac:dyDescent="0.3">
      <c r="A15" s="2">
        <v>46071</v>
      </c>
      <c r="B15">
        <v>2323.5</v>
      </c>
      <c r="C15">
        <v>4248.6000000000004</v>
      </c>
      <c r="D15">
        <v>1408.2</v>
      </c>
      <c r="E15">
        <v>2694.9</v>
      </c>
      <c r="F15">
        <v>3530.5</v>
      </c>
      <c r="H15" s="2">
        <v>46071</v>
      </c>
      <c r="I15" s="3">
        <f t="shared" si="12"/>
        <v>1.9391918571491251E-2</v>
      </c>
      <c r="J15" s="3">
        <f t="shared" si="13"/>
        <v>1.2005145062169653E-2</v>
      </c>
      <c r="K15" s="3">
        <f t="shared" si="14"/>
        <v>1.3968894009216637E-2</v>
      </c>
      <c r="L15" s="3">
        <f t="shared" si="15"/>
        <v>6.3482579633293845E-3</v>
      </c>
      <c r="M15" s="3">
        <f t="shared" si="16"/>
        <v>2.8760417273733907E-2</v>
      </c>
      <c r="O15">
        <v>11</v>
      </c>
      <c r="P15" s="8">
        <v>-1.3379771717678126</v>
      </c>
      <c r="Q15" s="8">
        <v>-0.39204343088447546</v>
      </c>
      <c r="R15" s="8">
        <v>0.27440374750076069</v>
      </c>
      <c r="S15" s="8">
        <v>-0.69185796380914444</v>
      </c>
      <c r="T15" s="8">
        <v>0.85471920668293022</v>
      </c>
      <c r="V15">
        <v>11</v>
      </c>
      <c r="W15">
        <v>-1.3379771717678126</v>
      </c>
      <c r="X15">
        <v>-3.3156247820424173E-2</v>
      </c>
      <c r="Y15">
        <v>0.14998758847117272</v>
      </c>
      <c r="Z15">
        <v>-0.76894302264364955</v>
      </c>
      <c r="AA15">
        <v>0.80110384501401743</v>
      </c>
      <c r="AC15" s="13" t="s">
        <v>3</v>
      </c>
      <c r="AD15" s="18">
        <v>2.615804855655178E-2</v>
      </c>
      <c r="AE15" s="12">
        <v>4.183919541360348E-2</v>
      </c>
      <c r="AF15" s="12">
        <v>1</v>
      </c>
      <c r="AG15" s="12">
        <f>AF16</f>
        <v>6.2290376942461138E-2</v>
      </c>
      <c r="AH15" s="12">
        <v>-8.8105844317117057E-2</v>
      </c>
      <c r="AK15" s="4" t="s">
        <v>6</v>
      </c>
      <c r="AQ15">
        <v>11</v>
      </c>
      <c r="AR15" s="21">
        <f t="shared" si="0"/>
        <v>2331.4608721701693</v>
      </c>
      <c r="AS15" s="21">
        <f t="shared" si="1"/>
        <v>2366.6887769202517</v>
      </c>
      <c r="AT15" s="21">
        <f t="shared" si="2"/>
        <v>2371.7222150518196</v>
      </c>
      <c r="AU15" s="21">
        <f t="shared" si="3"/>
        <v>2346.5454348952394</v>
      </c>
      <c r="AV15" s="21">
        <f t="shared" si="4"/>
        <v>2389.727453613375</v>
      </c>
      <c r="BE15">
        <v>11</v>
      </c>
      <c r="BF15" s="3">
        <f t="shared" si="7"/>
        <v>-1.9808712157389385E-2</v>
      </c>
      <c r="BG15" s="3">
        <f t="shared" si="8"/>
        <v>1.579692835139237E-3</v>
      </c>
      <c r="BH15" s="3">
        <f t="shared" si="9"/>
        <v>4.1826003346323245E-4</v>
      </c>
      <c r="BI15" s="3">
        <f t="shared" si="10"/>
        <v>6.4969184494173332E-3</v>
      </c>
      <c r="BJ15" s="3">
        <f t="shared" si="11"/>
        <v>5.6595400737341874E-3</v>
      </c>
      <c r="BL15">
        <v>11</v>
      </c>
      <c r="BM15" s="3">
        <v>-1.3547778599782694E-2</v>
      </c>
    </row>
    <row r="16" spans="1:71" x14ac:dyDescent="0.3">
      <c r="A16" s="2">
        <v>46070</v>
      </c>
      <c r="B16">
        <v>2312.3000000000002</v>
      </c>
      <c r="C16">
        <v>4236.3999999999996</v>
      </c>
      <c r="D16">
        <v>1407.5</v>
      </c>
      <c r="E16">
        <v>2717.4</v>
      </c>
      <c r="F16">
        <v>3489.2</v>
      </c>
      <c r="H16" s="2">
        <v>46070</v>
      </c>
      <c r="I16" s="3">
        <f t="shared" si="12"/>
        <v>-4.8203141811921091E-3</v>
      </c>
      <c r="J16" s="3">
        <f t="shared" si="13"/>
        <v>-2.8715341524268023E-3</v>
      </c>
      <c r="K16" s="3">
        <f t="shared" si="14"/>
        <v>-4.9708848174978559E-4</v>
      </c>
      <c r="L16" s="3">
        <f t="shared" si="15"/>
        <v>8.3491038628520364E-3</v>
      </c>
      <c r="M16" s="3">
        <f t="shared" si="16"/>
        <v>-1.1698059764905899E-2</v>
      </c>
      <c r="O16">
        <v>12</v>
      </c>
      <c r="P16" s="8">
        <v>2.8603623467748238E-2</v>
      </c>
      <c r="Q16" s="8">
        <v>0.61845477378255409</v>
      </c>
      <c r="R16" s="8">
        <v>0.51874703464887006</v>
      </c>
      <c r="S16" s="8">
        <v>-0.32511339571881664</v>
      </c>
      <c r="T16" s="8">
        <v>-1.4852075478769564</v>
      </c>
      <c r="V16">
        <v>12</v>
      </c>
      <c r="W16">
        <v>2.8603623467748238E-2</v>
      </c>
      <c r="X16">
        <v>0.1237296386527517</v>
      </c>
      <c r="Y16">
        <v>0.6386019209336784</v>
      </c>
      <c r="Z16">
        <v>-0.20972492158406664</v>
      </c>
      <c r="AA16">
        <v>-1.2065944581236212</v>
      </c>
      <c r="AC16" s="13" t="s">
        <v>4</v>
      </c>
      <c r="AD16" s="18">
        <v>2.51865962129658E-2</v>
      </c>
      <c r="AE16" s="12">
        <v>3.015463214529672E-2</v>
      </c>
      <c r="AF16" s="12">
        <v>6.2290376942461138E-2</v>
      </c>
      <c r="AG16" s="12">
        <v>1</v>
      </c>
      <c r="AH16" s="12">
        <v>-0.14922571080703673</v>
      </c>
      <c r="AQ16">
        <v>12</v>
      </c>
      <c r="AR16" s="21">
        <f t="shared" si="0"/>
        <v>2368.7573291254903</v>
      </c>
      <c r="AS16" s="21">
        <f t="shared" si="1"/>
        <v>2370.9987589117873</v>
      </c>
      <c r="AT16" s="21">
        <f t="shared" si="2"/>
        <v>2385.2179233554348</v>
      </c>
      <c r="AU16" s="21">
        <f t="shared" si="3"/>
        <v>2361.8321905293687</v>
      </c>
      <c r="AV16" s="21">
        <f t="shared" si="4"/>
        <v>2334.6507626458501</v>
      </c>
      <c r="BE16">
        <v>12</v>
      </c>
      <c r="BF16" s="3">
        <f t="shared" si="7"/>
        <v>1.5870429064300397E-2</v>
      </c>
      <c r="BG16" s="3">
        <f t="shared" si="8"/>
        <v>1.8194459418916713E-3</v>
      </c>
      <c r="BH16" s="3">
        <f t="shared" si="9"/>
        <v>5.6741283764816294E-3</v>
      </c>
      <c r="BI16" s="3">
        <f t="shared" si="10"/>
        <v>6.4934508503566076E-3</v>
      </c>
      <c r="BJ16" s="3">
        <f t="shared" si="11"/>
        <v>-2.3317009679762683E-2</v>
      </c>
      <c r="BL16">
        <v>12</v>
      </c>
      <c r="BM16" s="3">
        <v>-1.3037307023588067E-2</v>
      </c>
    </row>
    <row r="17" spans="1:65" x14ac:dyDescent="0.3">
      <c r="A17" s="2">
        <v>46069</v>
      </c>
      <c r="B17">
        <v>2319</v>
      </c>
      <c r="C17">
        <v>4181.1000000000004</v>
      </c>
      <c r="D17">
        <v>1411.6</v>
      </c>
      <c r="E17">
        <v>2706.6</v>
      </c>
      <c r="F17">
        <v>3509.7</v>
      </c>
      <c r="H17" s="2">
        <v>46069</v>
      </c>
      <c r="I17" s="3">
        <f t="shared" si="12"/>
        <v>2.8975478960342471E-3</v>
      </c>
      <c r="J17" s="3">
        <f t="shared" si="13"/>
        <v>-1.3053536021149892E-2</v>
      </c>
      <c r="K17" s="3">
        <f t="shared" si="14"/>
        <v>2.9129662522202615E-3</v>
      </c>
      <c r="L17" s="3">
        <f t="shared" si="15"/>
        <v>-3.9743872819607562E-3</v>
      </c>
      <c r="M17" s="3">
        <f t="shared" si="16"/>
        <v>5.8752722687149816E-3</v>
      </c>
      <c r="O17">
        <v>13</v>
      </c>
      <c r="P17" s="8">
        <v>5.55090492179732E-2</v>
      </c>
      <c r="Q17" s="8">
        <v>-0.78036800407279616</v>
      </c>
      <c r="R17" s="8">
        <v>-1.4948436839254822</v>
      </c>
      <c r="S17" s="8">
        <v>1.5231050016379573</v>
      </c>
      <c r="T17" s="8">
        <v>-1.0664921799671772</v>
      </c>
      <c r="V17">
        <v>13</v>
      </c>
      <c r="W17">
        <v>5.55090492179732E-2</v>
      </c>
      <c r="X17">
        <v>-0.15926476823177807</v>
      </c>
      <c r="Y17">
        <v>-1.6242984112346759</v>
      </c>
      <c r="Z17">
        <v>1.340744408646068</v>
      </c>
      <c r="AA17">
        <v>-1.2787761127419561</v>
      </c>
      <c r="AC17" s="14" t="s">
        <v>5</v>
      </c>
      <c r="AD17" s="19">
        <v>-2.7790954324299507E-2</v>
      </c>
      <c r="AE17" s="20">
        <v>6.04063654756644E-2</v>
      </c>
      <c r="AF17" s="20">
        <v>-8.8105844317117057E-2</v>
      </c>
      <c r="AG17" s="20">
        <v>-0.14922571080703673</v>
      </c>
      <c r="AH17" s="20">
        <v>1</v>
      </c>
      <c r="AQ17">
        <v>13</v>
      </c>
      <c r="AR17" s="21">
        <f t="shared" si="0"/>
        <v>2369.497427991867</v>
      </c>
      <c r="AS17" s="21">
        <f t="shared" si="1"/>
        <v>2363.2191546522777</v>
      </c>
      <c r="AT17" s="21">
        <f t="shared" si="2"/>
        <v>2323.3527742114275</v>
      </c>
      <c r="AU17" s="21">
        <f t="shared" si="3"/>
        <v>2404.7546665778918</v>
      </c>
      <c r="AV17" s="21">
        <f t="shared" si="4"/>
        <v>2332.6877716647177</v>
      </c>
      <c r="BE17">
        <v>13</v>
      </c>
      <c r="BF17" s="3">
        <f t="shared" si="7"/>
        <v>3.1239302668716696E-4</v>
      </c>
      <c r="BG17" s="3">
        <f t="shared" si="8"/>
        <v>-3.2865454882244774E-3</v>
      </c>
      <c r="BH17" s="3">
        <f t="shared" si="9"/>
        <v>-2.6279188906528691E-2</v>
      </c>
      <c r="BI17" s="3">
        <f t="shared" si="10"/>
        <v>1.8010218863979278E-2</v>
      </c>
      <c r="BJ17" s="3">
        <f t="shared" si="11"/>
        <v>-8.4116079536345129E-4</v>
      </c>
      <c r="BL17" s="5">
        <v>13</v>
      </c>
      <c r="BM17" s="33">
        <v>-1.2941756712614133E-2</v>
      </c>
    </row>
    <row r="18" spans="1:65" x14ac:dyDescent="0.3">
      <c r="A18" s="2">
        <v>46066</v>
      </c>
      <c r="B18">
        <v>2305.1999999999998</v>
      </c>
      <c r="C18">
        <v>4179.2</v>
      </c>
      <c r="D18">
        <v>1414.6</v>
      </c>
      <c r="E18">
        <v>2692.2</v>
      </c>
      <c r="F18">
        <v>3533.4</v>
      </c>
      <c r="H18" s="2">
        <v>46066</v>
      </c>
      <c r="I18" s="3">
        <f t="shared" si="12"/>
        <v>-5.9508408796895562E-3</v>
      </c>
      <c r="J18" s="3">
        <f t="shared" si="13"/>
        <v>-4.5442586879063107E-4</v>
      </c>
      <c r="K18" s="3">
        <f t="shared" si="14"/>
        <v>2.1252479455935447E-3</v>
      </c>
      <c r="L18" s="3">
        <f t="shared" si="15"/>
        <v>-5.3203280868987513E-3</v>
      </c>
      <c r="M18" s="3">
        <f t="shared" si="16"/>
        <v>6.7527139071716924E-3</v>
      </c>
      <c r="O18">
        <v>14</v>
      </c>
      <c r="P18" s="8">
        <v>-0.39059284320719695</v>
      </c>
      <c r="Q18" s="8">
        <v>0.43165675839506573</v>
      </c>
      <c r="R18" s="8">
        <v>0.66837608490030576</v>
      </c>
      <c r="S18" s="8">
        <v>-1.0417707544604462</v>
      </c>
      <c r="T18" s="8">
        <v>0.94597186321022886</v>
      </c>
      <c r="V18">
        <v>14</v>
      </c>
      <c r="W18">
        <v>-0.39059284320719695</v>
      </c>
      <c r="X18">
        <v>0.10044240905348675</v>
      </c>
      <c r="Y18">
        <v>0.73422514195988964</v>
      </c>
      <c r="Z18">
        <v>-0.95214814130785586</v>
      </c>
      <c r="AA18">
        <v>1.1085186396476971</v>
      </c>
      <c r="AQ18">
        <v>14</v>
      </c>
      <c r="AR18" s="21">
        <f t="shared" si="0"/>
        <v>2357.2533340026639</v>
      </c>
      <c r="AS18" s="21">
        <f t="shared" si="1"/>
        <v>2370.3594684439436</v>
      </c>
      <c r="AT18" s="21">
        <f t="shared" si="2"/>
        <v>2387.8682821199627</v>
      </c>
      <c r="AU18" s="21">
        <f t="shared" si="3"/>
        <v>2341.5556502396539</v>
      </c>
      <c r="AV18" s="21">
        <f t="shared" si="4"/>
        <v>2398.2750657790602</v>
      </c>
      <c r="BE18">
        <v>14</v>
      </c>
      <c r="BF18" s="3">
        <f t="shared" si="7"/>
        <v>-5.1807772366838463E-3</v>
      </c>
      <c r="BG18" s="3">
        <f t="shared" si="8"/>
        <v>3.0168799446976284E-3</v>
      </c>
      <c r="BH18" s="3">
        <f t="shared" si="9"/>
        <v>2.7389732032223533E-2</v>
      </c>
      <c r="BI18" s="3">
        <f t="shared" si="10"/>
        <v>-2.6632372337930192E-2</v>
      </c>
      <c r="BJ18" s="3">
        <f t="shared" si="11"/>
        <v>2.7728603536291536E-2</v>
      </c>
      <c r="BL18">
        <v>14</v>
      </c>
      <c r="BM18" s="3">
        <v>-1.2795040165470719E-2</v>
      </c>
    </row>
    <row r="19" spans="1:65" x14ac:dyDescent="0.3">
      <c r="A19" s="2">
        <v>46065</v>
      </c>
      <c r="B19">
        <v>2409.6999999999998</v>
      </c>
      <c r="C19">
        <v>4275.8</v>
      </c>
      <c r="D19">
        <v>1430</v>
      </c>
      <c r="E19">
        <v>2750.1</v>
      </c>
      <c r="F19">
        <v>3593.1</v>
      </c>
      <c r="H19" s="2">
        <v>46065</v>
      </c>
      <c r="I19" s="3">
        <f t="shared" si="12"/>
        <v>4.5332292208918989E-2</v>
      </c>
      <c r="J19" s="3">
        <f t="shared" si="13"/>
        <v>2.3114471669219094E-2</v>
      </c>
      <c r="K19" s="3">
        <f t="shared" si="14"/>
        <v>1.0886469673405896E-2</v>
      </c>
      <c r="L19" s="3">
        <f t="shared" si="15"/>
        <v>2.15065745486962E-2</v>
      </c>
      <c r="M19" s="3">
        <f t="shared" si="16"/>
        <v>1.6895907624384421E-2</v>
      </c>
      <c r="O19">
        <v>15</v>
      </c>
      <c r="P19" s="8">
        <v>1.1846275142932761</v>
      </c>
      <c r="Q19" s="8">
        <v>0.93961417080768139</v>
      </c>
      <c r="R19" s="8">
        <v>-0.2106807384739339</v>
      </c>
      <c r="S19" s="8">
        <v>-1.3167719196161687</v>
      </c>
      <c r="T19" s="8">
        <v>1.6453525235735968</v>
      </c>
      <c r="V19">
        <v>15</v>
      </c>
      <c r="W19">
        <v>1.1846275142932761</v>
      </c>
      <c r="X19">
        <v>0.14883404372504377</v>
      </c>
      <c r="Y19">
        <v>2.430371401929024E-2</v>
      </c>
      <c r="Z19">
        <v>-1.1319762569219995</v>
      </c>
      <c r="AA19">
        <v>2.0476414702411745</v>
      </c>
      <c r="AC19" s="4" t="s">
        <v>16</v>
      </c>
      <c r="AQ19">
        <v>15</v>
      </c>
      <c r="AR19" s="21">
        <f t="shared" si="0"/>
        <v>2400.7724029420015</v>
      </c>
      <c r="AS19" s="21">
        <f t="shared" si="1"/>
        <v>2371.6849915181683</v>
      </c>
      <c r="AT19" s="21">
        <f t="shared" si="2"/>
        <v>2368.2621693589608</v>
      </c>
      <c r="AU19" s="21">
        <f t="shared" si="3"/>
        <v>2336.6737474915626</v>
      </c>
      <c r="AV19" s="21">
        <f t="shared" si="4"/>
        <v>2424.5753352390516</v>
      </c>
      <c r="BE19">
        <v>15</v>
      </c>
      <c r="BF19" s="3">
        <f t="shared" si="7"/>
        <v>1.8293420411701528E-2</v>
      </c>
      <c r="BG19" s="3">
        <f t="shared" si="8"/>
        <v>5.5905132055987853E-4</v>
      </c>
      <c r="BH19" s="3">
        <f t="shared" si="9"/>
        <v>-8.2446114626571667E-3</v>
      </c>
      <c r="BI19" s="3">
        <f t="shared" si="10"/>
        <v>-2.0870735935005456E-3</v>
      </c>
      <c r="BJ19" s="3">
        <f t="shared" si="11"/>
        <v>1.0906633208249689E-2</v>
      </c>
      <c r="BL19">
        <v>15</v>
      </c>
      <c r="BM19" s="3">
        <v>-1.2379282592123684E-2</v>
      </c>
    </row>
    <row r="20" spans="1:65" ht="15" thickBot="1" x14ac:dyDescent="0.35">
      <c r="A20" s="2">
        <v>46064</v>
      </c>
      <c r="B20">
        <v>2462.9</v>
      </c>
      <c r="C20">
        <v>4249.1000000000004</v>
      </c>
      <c r="D20">
        <v>1406.1</v>
      </c>
      <c r="E20">
        <v>2909.8</v>
      </c>
      <c r="F20">
        <v>3674.9</v>
      </c>
      <c r="H20" s="2">
        <v>46064</v>
      </c>
      <c r="I20" s="3">
        <f t="shared" si="12"/>
        <v>2.2077437025356028E-2</v>
      </c>
      <c r="J20" s="3">
        <f t="shared" si="13"/>
        <v>-6.2444454838860297E-3</v>
      </c>
      <c r="K20" s="3">
        <f t="shared" si="14"/>
        <v>-1.6713286713286757E-2</v>
      </c>
      <c r="L20" s="3">
        <f t="shared" si="15"/>
        <v>5.8070615613977861E-2</v>
      </c>
      <c r="M20" s="3">
        <f t="shared" si="16"/>
        <v>2.2765856781052696E-2</v>
      </c>
      <c r="O20">
        <v>16</v>
      </c>
      <c r="P20" s="8">
        <v>-0.53045922207620277</v>
      </c>
      <c r="Q20" s="8">
        <v>0.88222886959886948</v>
      </c>
      <c r="R20" s="8">
        <v>-0.71526549166339271</v>
      </c>
      <c r="S20" s="8">
        <v>-0.33183846965302466</v>
      </c>
      <c r="T20" s="8">
        <v>-0.47096561495848749</v>
      </c>
      <c r="V20">
        <v>16</v>
      </c>
      <c r="W20">
        <v>-0.53045922207620277</v>
      </c>
      <c r="X20">
        <v>0.19609797347025865</v>
      </c>
      <c r="Y20">
        <v>-0.52566736783284229</v>
      </c>
      <c r="Z20">
        <v>-0.22654069879446997</v>
      </c>
      <c r="AA20">
        <v>1.3487212099156043E-2</v>
      </c>
      <c r="AC20" t="s">
        <v>17</v>
      </c>
      <c r="AD20" s="12">
        <f>MDETERM(AD13:AH17)</f>
        <v>0.9578533517425285</v>
      </c>
      <c r="AQ20">
        <v>16</v>
      </c>
      <c r="AR20" s="21">
        <f t="shared" si="0"/>
        <v>2353.427217824014</v>
      </c>
      <c r="AS20" s="21">
        <f t="shared" si="1"/>
        <v>2372.9947183743952</v>
      </c>
      <c r="AT20" s="21">
        <f t="shared" si="2"/>
        <v>2353.1841379600214</v>
      </c>
      <c r="AU20" s="21">
        <f t="shared" si="3"/>
        <v>2361.3761026791385</v>
      </c>
      <c r="AV20" s="21">
        <f t="shared" si="4"/>
        <v>2367.9663445710298</v>
      </c>
      <c r="BE20">
        <v>16</v>
      </c>
      <c r="BF20" s="3">
        <f t="shared" si="7"/>
        <v>-1.9917863834652209E-2</v>
      </c>
      <c r="BG20" s="3">
        <f t="shared" si="8"/>
        <v>5.5208231938721423E-4</v>
      </c>
      <c r="BH20" s="3">
        <f t="shared" si="9"/>
        <v>-6.3870609452814442E-3</v>
      </c>
      <c r="BI20" s="3">
        <f t="shared" si="10"/>
        <v>1.0516100775602815E-2</v>
      </c>
      <c r="BJ20" s="3">
        <f t="shared" si="11"/>
        <v>-2.3624885241121732E-2</v>
      </c>
      <c r="BL20">
        <v>16</v>
      </c>
      <c r="BM20" s="3">
        <v>-1.224642308734479E-2</v>
      </c>
    </row>
    <row r="21" spans="1:65" x14ac:dyDescent="0.3">
      <c r="A21" s="2">
        <v>46063</v>
      </c>
      <c r="B21">
        <v>2453.6</v>
      </c>
      <c r="C21">
        <v>4269.1000000000004</v>
      </c>
      <c r="D21">
        <v>1406.5</v>
      </c>
      <c r="E21">
        <v>2984.6</v>
      </c>
      <c r="F21">
        <v>3675.8</v>
      </c>
      <c r="H21" s="2">
        <v>46063</v>
      </c>
      <c r="I21" s="3">
        <f t="shared" si="12"/>
        <v>-3.7760363798774454E-3</v>
      </c>
      <c r="J21" s="3">
        <f t="shared" si="13"/>
        <v>4.7068791038102908E-3</v>
      </c>
      <c r="K21" s="3">
        <f t="shared" si="14"/>
        <v>2.8447478842186236E-4</v>
      </c>
      <c r="L21" s="3">
        <f t="shared" si="15"/>
        <v>2.5706234105436598E-2</v>
      </c>
      <c r="M21" s="3">
        <f t="shared" si="16"/>
        <v>2.4490462325510443E-4</v>
      </c>
      <c r="O21">
        <v>17</v>
      </c>
      <c r="P21" s="8">
        <v>-0.44543076453412883</v>
      </c>
      <c r="Q21" s="8">
        <v>0.64376784251646857</v>
      </c>
      <c r="R21" s="8">
        <v>0.26029445559419168</v>
      </c>
      <c r="S21" s="8">
        <v>-2.6179735216302875</v>
      </c>
      <c r="T21" s="8">
        <v>-0.98993030555726669</v>
      </c>
      <c r="V21">
        <v>17</v>
      </c>
      <c r="W21">
        <v>-0.44543076453412883</v>
      </c>
      <c r="X21">
        <v>0.14509563002913262</v>
      </c>
      <c r="Y21">
        <v>0.3790758275192444</v>
      </c>
      <c r="Z21">
        <v>-2.489260212769393</v>
      </c>
      <c r="AA21">
        <v>-0.24949531400664882</v>
      </c>
      <c r="AC21" s="11"/>
      <c r="AD21" s="11" t="s">
        <v>1</v>
      </c>
      <c r="AE21" s="11" t="s">
        <v>2</v>
      </c>
      <c r="AF21" s="11" t="s">
        <v>3</v>
      </c>
      <c r="AG21" s="11" t="s">
        <v>4</v>
      </c>
      <c r="AH21" s="11" t="s">
        <v>5</v>
      </c>
      <c r="AQ21">
        <v>17</v>
      </c>
      <c r="AR21" s="21">
        <f t="shared" si="0"/>
        <v>2355.7521219113796</v>
      </c>
      <c r="AS21" s="21">
        <f t="shared" si="1"/>
        <v>2371.5892263122159</v>
      </c>
      <c r="AT21" s="21">
        <f t="shared" si="2"/>
        <v>2378.0397206873004</v>
      </c>
      <c r="AU21" s="21">
        <f t="shared" si="3"/>
        <v>2300.1291044243553</v>
      </c>
      <c r="AV21" s="21">
        <f t="shared" si="4"/>
        <v>2360.7551404538776</v>
      </c>
      <c r="BE21">
        <v>17</v>
      </c>
      <c r="BF21" s="3">
        <f t="shared" si="7"/>
        <v>9.873925406221327E-4</v>
      </c>
      <c r="BG21" s="3">
        <f t="shared" si="8"/>
        <v>-5.9246168670503817E-4</v>
      </c>
      <c r="BH21" s="3">
        <f t="shared" si="9"/>
        <v>1.0507138170049427E-2</v>
      </c>
      <c r="BI21" s="3">
        <f t="shared" si="10"/>
        <v>-2.6279289741469588E-2</v>
      </c>
      <c r="BJ21" s="3">
        <f t="shared" si="11"/>
        <v>-3.0499616989637605E-3</v>
      </c>
      <c r="BL21">
        <v>17</v>
      </c>
      <c r="BM21" s="3">
        <v>-1.2096659315259332E-2</v>
      </c>
    </row>
    <row r="22" spans="1:65" x14ac:dyDescent="0.3">
      <c r="A22" s="2">
        <v>46062</v>
      </c>
      <c r="B22">
        <v>2435</v>
      </c>
      <c r="C22">
        <v>4257.8</v>
      </c>
      <c r="D22">
        <v>1396.3</v>
      </c>
      <c r="E22">
        <v>2948.2</v>
      </c>
      <c r="F22">
        <v>3609.6</v>
      </c>
      <c r="H22" s="2">
        <v>46062</v>
      </c>
      <c r="I22" s="3">
        <f t="shared" si="12"/>
        <v>-7.5806977502445028E-3</v>
      </c>
      <c r="J22" s="3">
        <f t="shared" si="13"/>
        <v>-2.6469279239184074E-3</v>
      </c>
      <c r="K22" s="3">
        <f t="shared" si="14"/>
        <v>-7.252044081052289E-3</v>
      </c>
      <c r="L22" s="3">
        <f t="shared" si="15"/>
        <v>-1.2195939154325597E-2</v>
      </c>
      <c r="M22" s="3">
        <f t="shared" si="16"/>
        <v>-1.8009684966537987E-2</v>
      </c>
      <c r="O22">
        <v>18</v>
      </c>
      <c r="P22" s="8">
        <v>1.3320494570578447</v>
      </c>
      <c r="Q22" s="8">
        <v>-0.92420832956557308</v>
      </c>
      <c r="R22" s="8">
        <v>6.8570758601584431E-2</v>
      </c>
      <c r="S22" s="8">
        <v>1.1291907687321034</v>
      </c>
      <c r="T22" s="8">
        <v>0.59954580765586718</v>
      </c>
      <c r="V22">
        <v>18</v>
      </c>
      <c r="W22">
        <v>1.3320494570578447</v>
      </c>
      <c r="X22">
        <v>-0.23206145088936025</v>
      </c>
      <c r="Y22">
        <v>-9.4039330248626263E-2</v>
      </c>
      <c r="Z22">
        <v>1.008305136226713</v>
      </c>
      <c r="AA22">
        <v>1.6856386625500375E-2</v>
      </c>
      <c r="AC22" s="13" t="s">
        <v>1</v>
      </c>
      <c r="AD22" s="15">
        <f>SQRT(AD13)</f>
        <v>1</v>
      </c>
      <c r="AE22">
        <v>0</v>
      </c>
      <c r="AF22">
        <v>0</v>
      </c>
      <c r="AG22">
        <v>0</v>
      </c>
      <c r="AH22">
        <v>0</v>
      </c>
      <c r="AQ22">
        <v>18</v>
      </c>
      <c r="AR22" s="21">
        <f t="shared" si="0"/>
        <v>2404.885687703269</v>
      </c>
      <c r="AS22" s="21">
        <f t="shared" si="1"/>
        <v>2361.2164777775529</v>
      </c>
      <c r="AT22" s="21">
        <f t="shared" si="2"/>
        <v>2365.0112489807761</v>
      </c>
      <c r="AU22" s="21">
        <f t="shared" si="3"/>
        <v>2395.4817679621583</v>
      </c>
      <c r="AV22" s="21">
        <f t="shared" si="4"/>
        <v>2368.0535519960381</v>
      </c>
      <c r="BE22">
        <v>18</v>
      </c>
      <c r="BF22" s="3">
        <f t="shared" si="7"/>
        <v>2.0642322486169817E-2</v>
      </c>
      <c r="BG22" s="3">
        <f t="shared" si="8"/>
        <v>-4.3833471270378777E-3</v>
      </c>
      <c r="BH22" s="3">
        <f t="shared" si="9"/>
        <v>-5.4937231573141598E-3</v>
      </c>
      <c r="BI22" s="3">
        <f t="shared" si="10"/>
        <v>4.0619112640947974E-2</v>
      </c>
      <c r="BJ22" s="3">
        <f t="shared" si="11"/>
        <v>3.0867890041367772E-3</v>
      </c>
      <c r="BL22">
        <v>18</v>
      </c>
      <c r="BM22" s="3">
        <v>-1.2021406210026992E-2</v>
      </c>
    </row>
    <row r="23" spans="1:65" x14ac:dyDescent="0.3">
      <c r="A23" s="2">
        <v>46059</v>
      </c>
      <c r="B23">
        <v>2424.1999999999998</v>
      </c>
      <c r="C23">
        <v>4141</v>
      </c>
      <c r="D23">
        <v>1406.1</v>
      </c>
      <c r="E23">
        <v>2941.6</v>
      </c>
      <c r="F23">
        <v>3578</v>
      </c>
      <c r="H23" s="2">
        <v>46059</v>
      </c>
      <c r="I23" s="3">
        <f t="shared" si="12"/>
        <v>-4.4353182751540876E-3</v>
      </c>
      <c r="J23" s="3">
        <f t="shared" si="13"/>
        <v>-2.7432007139837511E-2</v>
      </c>
      <c r="K23" s="3">
        <f t="shared" si="14"/>
        <v>7.0185490224163871E-3</v>
      </c>
      <c r="L23" s="3">
        <f t="shared" si="15"/>
        <v>-2.2386540940234623E-3</v>
      </c>
      <c r="M23" s="3">
        <f t="shared" si="16"/>
        <v>-8.7544326241134618E-3</v>
      </c>
      <c r="O23">
        <v>19</v>
      </c>
      <c r="P23" s="8">
        <v>-0.58553472210687563</v>
      </c>
      <c r="Q23" s="8">
        <v>-1.0177745690200006</v>
      </c>
      <c r="R23" s="8">
        <v>1.1938533998769827</v>
      </c>
      <c r="S23" s="8">
        <v>-0.9961878481473192</v>
      </c>
      <c r="T23" s="8">
        <v>-0.52932325014251513</v>
      </c>
      <c r="V23">
        <v>19</v>
      </c>
      <c r="W23">
        <v>-0.58553472210687563</v>
      </c>
      <c r="X23">
        <v>-0.1851467517921199</v>
      </c>
      <c r="Y23">
        <v>0.9352968537225731</v>
      </c>
      <c r="Z23">
        <v>-1.1193961305827087</v>
      </c>
      <c r="AA23">
        <v>-0.76450988754873328</v>
      </c>
      <c r="AC23" s="13" t="s">
        <v>2</v>
      </c>
      <c r="AD23" s="18">
        <f>AD14/AD$22</f>
        <v>-3.4304753023444198E-2</v>
      </c>
      <c r="AE23" s="12">
        <f>SQRT(AE15-AD23^2)</f>
        <v>0.20164914910210749</v>
      </c>
      <c r="AF23">
        <v>0</v>
      </c>
      <c r="AG23">
        <v>0</v>
      </c>
      <c r="AH23">
        <v>0</v>
      </c>
      <c r="AQ23">
        <v>19</v>
      </c>
      <c r="AR23" s="21">
        <f t="shared" si="0"/>
        <v>2351.9219532610955</v>
      </c>
      <c r="AS23" s="21">
        <f t="shared" si="1"/>
        <v>2362.5117369783034</v>
      </c>
      <c r="AT23" s="21">
        <f t="shared" si="2"/>
        <v>2393.4519841007318</v>
      </c>
      <c r="AU23" s="21">
        <f t="shared" si="3"/>
        <v>2337.011182812822</v>
      </c>
      <c r="AV23" s="21">
        <f t="shared" si="4"/>
        <v>2346.6717387248668</v>
      </c>
      <c r="BE23">
        <v>19</v>
      </c>
      <c r="BF23" s="3">
        <f t="shared" si="7"/>
        <v>-2.2269524979055464E-2</v>
      </c>
      <c r="BG23" s="3">
        <f t="shared" si="8"/>
        <v>5.4840548580528268E-4</v>
      </c>
      <c r="BH23" s="3">
        <f t="shared" si="9"/>
        <v>1.1953890320091974E-2</v>
      </c>
      <c r="BI23" s="3">
        <f t="shared" si="10"/>
        <v>-2.471152569923243E-2</v>
      </c>
      <c r="BJ23" s="3">
        <f t="shared" si="11"/>
        <v>-9.0702887412957376E-3</v>
      </c>
      <c r="BL23">
        <v>19</v>
      </c>
      <c r="BM23" s="3">
        <v>-1.1673719343629648E-2</v>
      </c>
    </row>
    <row r="24" spans="1:65" x14ac:dyDescent="0.3">
      <c r="A24" s="2">
        <v>46058</v>
      </c>
      <c r="B24">
        <v>2354.4</v>
      </c>
      <c r="C24">
        <v>4097.6000000000004</v>
      </c>
      <c r="D24">
        <v>1396.5</v>
      </c>
      <c r="E24">
        <v>2991.5</v>
      </c>
      <c r="F24">
        <v>3572</v>
      </c>
      <c r="H24" s="2">
        <v>46058</v>
      </c>
      <c r="I24" s="3">
        <f t="shared" si="12"/>
        <v>-2.879300387756778E-2</v>
      </c>
      <c r="J24" s="3">
        <f t="shared" si="13"/>
        <v>-1.0480560251146964E-2</v>
      </c>
      <c r="K24" s="3">
        <f t="shared" si="14"/>
        <v>-6.8273949221249186E-3</v>
      </c>
      <c r="L24" s="3">
        <f t="shared" si="15"/>
        <v>1.6963557247756444E-2</v>
      </c>
      <c r="M24" s="3">
        <f t="shared" si="16"/>
        <v>-1.676914477361624E-3</v>
      </c>
      <c r="O24">
        <v>20</v>
      </c>
      <c r="P24" s="8">
        <v>-0.87464599721603786</v>
      </c>
      <c r="Q24" s="8">
        <v>1.2241523252012694</v>
      </c>
      <c r="R24" s="8">
        <v>0.15534296504461023</v>
      </c>
      <c r="S24" s="8">
        <v>-0.25395420574532213</v>
      </c>
      <c r="T24" s="8">
        <v>2.375520263006953</v>
      </c>
      <c r="V24">
        <v>20</v>
      </c>
      <c r="W24">
        <v>-0.87464599721603786</v>
      </c>
      <c r="X24">
        <v>0.27685378966564256</v>
      </c>
      <c r="Y24">
        <v>0.38832162452882207</v>
      </c>
      <c r="Z24">
        <v>-7.9844711814768182E-2</v>
      </c>
      <c r="AA24">
        <v>2.6027913001077745</v>
      </c>
      <c r="AC24" s="13" t="s">
        <v>3</v>
      </c>
      <c r="AD24" s="18">
        <f>AD15/AD$22</f>
        <v>2.615804855655178E-2</v>
      </c>
      <c r="AE24" s="12">
        <f>(AE15-AD24*AD23)/AE23</f>
        <v>0.21193514080870771</v>
      </c>
      <c r="AF24" s="12">
        <f>SQRT(AF15-AE24^2-AD24^2)</f>
        <v>0.97693359681510916</v>
      </c>
      <c r="AG24">
        <v>0</v>
      </c>
      <c r="AH24">
        <v>0</v>
      </c>
      <c r="AQ24">
        <v>20</v>
      </c>
      <c r="AR24" s="21">
        <f t="shared" si="0"/>
        <v>2344.0383825320127</v>
      </c>
      <c r="AS24" s="21">
        <f t="shared" si="1"/>
        <v>2375.2227567954219</v>
      </c>
      <c r="AT24" s="21">
        <f t="shared" si="2"/>
        <v>2378.2944915415369</v>
      </c>
      <c r="AU24" s="21">
        <f t="shared" si="3"/>
        <v>2365.3984201227299</v>
      </c>
      <c r="AV24" s="21">
        <f t="shared" si="4"/>
        <v>2440.252621766113</v>
      </c>
      <c r="BE24">
        <v>20</v>
      </c>
      <c r="BF24" s="3">
        <f t="shared" si="7"/>
        <v>-3.3575999674713666E-3</v>
      </c>
      <c r="BG24" s="3">
        <f t="shared" si="8"/>
        <v>5.3658770167286374E-3</v>
      </c>
      <c r="BH24" s="3">
        <f t="shared" si="9"/>
        <v>-6.3530380826449673E-3</v>
      </c>
      <c r="BI24" s="3">
        <f t="shared" si="10"/>
        <v>1.207363226353371E-2</v>
      </c>
      <c r="BJ24" s="3">
        <f t="shared" si="11"/>
        <v>3.9103524568645444E-2</v>
      </c>
      <c r="BL24">
        <v>20</v>
      </c>
      <c r="BM24" s="3">
        <v>-1.1600004104789584E-2</v>
      </c>
    </row>
    <row r="25" spans="1:65" x14ac:dyDescent="0.3">
      <c r="A25" s="2">
        <v>46057</v>
      </c>
      <c r="B25">
        <v>2371</v>
      </c>
      <c r="C25">
        <v>4144</v>
      </c>
      <c r="D25">
        <v>1408.4</v>
      </c>
      <c r="E25">
        <v>2999.1</v>
      </c>
      <c r="F25">
        <v>3574</v>
      </c>
      <c r="H25" s="2">
        <v>46057</v>
      </c>
      <c r="I25" s="3">
        <f t="shared" si="12"/>
        <v>7.0506286102616222E-3</v>
      </c>
      <c r="J25" s="3">
        <f t="shared" si="13"/>
        <v>1.1323701679031517E-2</v>
      </c>
      <c r="K25" s="3">
        <f t="shared" si="14"/>
        <v>8.5213032581454851E-3</v>
      </c>
      <c r="L25" s="3">
        <f t="shared" si="15"/>
        <v>2.5405315059334743E-3</v>
      </c>
      <c r="M25" s="3">
        <f t="shared" si="16"/>
        <v>5.5991041433367528E-4</v>
      </c>
      <c r="O25">
        <v>21</v>
      </c>
      <c r="P25" s="8">
        <v>-1.1508926123307586</v>
      </c>
      <c r="Q25" s="8">
        <v>1.956510282409361</v>
      </c>
      <c r="R25" s="8">
        <v>-1.7815407711151385</v>
      </c>
      <c r="S25" s="8">
        <v>-1.1392814555046309</v>
      </c>
      <c r="T25" s="8">
        <v>-9.7706428119632885E-2</v>
      </c>
      <c r="V25">
        <v>21</v>
      </c>
      <c r="W25">
        <v>-1.1508926123307586</v>
      </c>
      <c r="X25">
        <v>0.43400972047988484</v>
      </c>
      <c r="Y25">
        <v>-1.3558988560388876</v>
      </c>
      <c r="Z25">
        <v>-0.90581432561061215</v>
      </c>
      <c r="AA25">
        <v>1.0103934569711761</v>
      </c>
      <c r="AC25" s="13" t="s">
        <v>4</v>
      </c>
      <c r="AD25" s="18">
        <f>AD16/AD$22</f>
        <v>2.51865962129658E-2</v>
      </c>
      <c r="AE25" s="12">
        <f>(AE16-AD25*AD23)/AE23</f>
        <v>0.15382485989155875</v>
      </c>
      <c r="AF25" s="12">
        <f>(AF16-AD25*AD24-AE25*AE24)/AF24</f>
        <v>2.9716094818924645E-2</v>
      </c>
      <c r="AG25" s="12">
        <f>SQRT(AG16-AF25^2-AE25^2-AD25^2)</f>
        <v>0.98732998615420364</v>
      </c>
      <c r="AH25">
        <v>0</v>
      </c>
      <c r="AQ25">
        <v>21</v>
      </c>
      <c r="AR25" s="21">
        <f t="shared" si="0"/>
        <v>2336.5302911855533</v>
      </c>
      <c r="AS25" s="21">
        <f t="shared" si="1"/>
        <v>2379.5629320614721</v>
      </c>
      <c r="AT25" s="21">
        <f t="shared" si="2"/>
        <v>2330.6033975773244</v>
      </c>
      <c r="AU25" s="21">
        <f t="shared" si="3"/>
        <v>2342.824999234515</v>
      </c>
      <c r="AV25" s="21">
        <f t="shared" si="4"/>
        <v>2395.543448538619</v>
      </c>
      <c r="BE25">
        <v>21</v>
      </c>
      <c r="BF25" s="3">
        <f t="shared" si="7"/>
        <v>-3.2081989645386028E-3</v>
      </c>
      <c r="BG25" s="3">
        <f t="shared" si="8"/>
        <v>1.8256034048570668E-3</v>
      </c>
      <c r="BH25" s="3">
        <f t="shared" si="9"/>
        <v>-2.0256427641852075E-2</v>
      </c>
      <c r="BI25" s="3">
        <f t="shared" si="10"/>
        <v>-9.5890070816116394E-3</v>
      </c>
      <c r="BJ25" s="3">
        <f t="shared" si="11"/>
        <v>-1.8491452714338757E-2</v>
      </c>
      <c r="BL25">
        <v>21</v>
      </c>
      <c r="BM25" s="3">
        <v>-1.1308530603276086E-2</v>
      </c>
    </row>
    <row r="26" spans="1:65" x14ac:dyDescent="0.3">
      <c r="A26" s="2">
        <v>46056</v>
      </c>
      <c r="B26">
        <v>2368.6</v>
      </c>
      <c r="C26">
        <v>4068.6</v>
      </c>
      <c r="D26">
        <v>1389.7</v>
      </c>
      <c r="E26">
        <v>3225.3</v>
      </c>
      <c r="F26">
        <v>3527.9</v>
      </c>
      <c r="H26" s="2">
        <v>46056</v>
      </c>
      <c r="I26" s="3">
        <f t="shared" si="12"/>
        <v>-1.0122311261071548E-3</v>
      </c>
      <c r="J26" s="3">
        <f t="shared" si="13"/>
        <v>-1.8194980694980711E-2</v>
      </c>
      <c r="K26" s="3">
        <f t="shared" si="14"/>
        <v>-1.3277477989207642E-2</v>
      </c>
      <c r="L26" s="3">
        <f t="shared" si="15"/>
        <v>7.5422626788036462E-2</v>
      </c>
      <c r="M26" s="3">
        <f t="shared" si="16"/>
        <v>-1.2898712926692757E-2</v>
      </c>
      <c r="O26">
        <v>22</v>
      </c>
      <c r="P26" s="8">
        <v>-0.64938623852545418</v>
      </c>
      <c r="Q26" s="8">
        <v>-0.48361769335805294</v>
      </c>
      <c r="R26" s="8">
        <v>0.71642820035248511</v>
      </c>
      <c r="S26" s="8">
        <v>-0.84217736718942882</v>
      </c>
      <c r="T26" s="8">
        <v>-0.24177490510477173</v>
      </c>
      <c r="V26">
        <v>22</v>
      </c>
      <c r="W26">
        <v>-0.64938623852545418</v>
      </c>
      <c r="X26">
        <v>-7.5244061826936187E-2</v>
      </c>
      <c r="Y26">
        <v>0.58042051793140226</v>
      </c>
      <c r="Z26">
        <v>-0.90096577285177515</v>
      </c>
      <c r="AA26">
        <v>-0.29612258006587372</v>
      </c>
      <c r="AC26" s="14" t="s">
        <v>5</v>
      </c>
      <c r="AD26" s="18">
        <f>AD17/AD$22</f>
        <v>-2.7790954324299507E-2</v>
      </c>
      <c r="AE26" s="12">
        <f>(AE17-AD26*AD23)/AE23</f>
        <v>0.29483389300680235</v>
      </c>
      <c r="AF26" s="12">
        <f>(AF17-AD26*AD24-AE26*AE24)/AF24</f>
        <v>-0.15340300538605395</v>
      </c>
      <c r="AG26" s="12">
        <f>(AG17-AD26*AD25-AE26*AE25-AF26*AF25)/AG25</f>
        <v>-0.19174946365097373</v>
      </c>
      <c r="AH26" s="12">
        <f>SQRT(AH17-AD26^2-AE26^2-AF26^2-AG26^2)</f>
        <v>0.92303862298404837</v>
      </c>
      <c r="AQ26">
        <v>22</v>
      </c>
      <c r="AR26" s="21">
        <f t="shared" si="0"/>
        <v>2350.1781128580483</v>
      </c>
      <c r="AS26" s="21">
        <f t="shared" si="1"/>
        <v>2365.5292886538505</v>
      </c>
      <c r="AT26" s="21">
        <f t="shared" si="2"/>
        <v>2383.607709016736</v>
      </c>
      <c r="AU26" s="21">
        <f t="shared" si="3"/>
        <v>2342.948547467925</v>
      </c>
      <c r="AV26" s="21">
        <f t="shared" si="4"/>
        <v>2359.4703343585275</v>
      </c>
      <c r="BE26">
        <v>22</v>
      </c>
      <c r="BF26" s="3">
        <f t="shared" si="7"/>
        <v>5.8240705729894014E-3</v>
      </c>
      <c r="BG26" s="3">
        <f t="shared" si="8"/>
        <v>-5.9150312245919278E-3</v>
      </c>
      <c r="BH26" s="3">
        <f t="shared" si="9"/>
        <v>2.248798110781202E-2</v>
      </c>
      <c r="BI26" s="3">
        <f t="shared" si="10"/>
        <v>5.27333351504496E-5</v>
      </c>
      <c r="BJ26" s="3">
        <f t="shared" si="11"/>
        <v>-1.5172955487787699E-2</v>
      </c>
      <c r="BL26">
        <v>22</v>
      </c>
      <c r="BM26" s="3">
        <v>-1.0282007456621242E-2</v>
      </c>
    </row>
    <row r="27" spans="1:65" x14ac:dyDescent="0.3">
      <c r="A27" s="2">
        <v>46055</v>
      </c>
      <c r="B27">
        <v>2357.3000000000002</v>
      </c>
      <c r="C27">
        <v>3953.2</v>
      </c>
      <c r="D27">
        <v>1352.8</v>
      </c>
      <c r="E27">
        <v>3169.6</v>
      </c>
      <c r="F27">
        <v>3463.2</v>
      </c>
      <c r="H27" s="2">
        <v>46055</v>
      </c>
      <c r="I27" s="3">
        <f t="shared" si="12"/>
        <v>-4.7707506543949174E-3</v>
      </c>
      <c r="J27" s="3">
        <f t="shared" si="13"/>
        <v>-2.8363564862606272E-2</v>
      </c>
      <c r="K27" s="3">
        <f t="shared" si="14"/>
        <v>-2.6552493343887207E-2</v>
      </c>
      <c r="L27" s="3">
        <f t="shared" si="15"/>
        <v>-1.7269711344681249E-2</v>
      </c>
      <c r="M27" s="3">
        <f t="shared" si="16"/>
        <v>-1.8339522095297545E-2</v>
      </c>
      <c r="O27">
        <v>23</v>
      </c>
      <c r="P27" s="8">
        <v>1.6458432682557385</v>
      </c>
      <c r="Q27" s="8">
        <v>0.64852674716227265</v>
      </c>
      <c r="R27" s="8">
        <v>0.1512439374423879</v>
      </c>
      <c r="S27" s="8">
        <v>1.4653928043585671</v>
      </c>
      <c r="T27" s="8">
        <v>-1.2242827733756911</v>
      </c>
      <c r="V27">
        <v>23</v>
      </c>
      <c r="W27">
        <v>1.6458432682557385</v>
      </c>
      <c r="X27">
        <v>7.4314619902418569E-2</v>
      </c>
      <c r="Y27">
        <v>0.32825293940762829</v>
      </c>
      <c r="Z27">
        <v>1.5925333622691893</v>
      </c>
      <c r="AA27">
        <v>-1.2887817336117837</v>
      </c>
      <c r="AQ27">
        <v>23</v>
      </c>
      <c r="AR27" s="21">
        <f t="shared" si="0"/>
        <v>2413.6646931424207</v>
      </c>
      <c r="AS27" s="21">
        <f t="shared" si="1"/>
        <v>2369.6313262326307</v>
      </c>
      <c r="AT27" s="21">
        <f t="shared" si="2"/>
        <v>2376.6368799930715</v>
      </c>
      <c r="AU27" s="21">
        <f t="shared" si="3"/>
        <v>2411.7880288587457</v>
      </c>
      <c r="AV27" s="21">
        <f t="shared" si="4"/>
        <v>2332.4156271499487</v>
      </c>
      <c r="BE27">
        <v>23</v>
      </c>
      <c r="BF27" s="3">
        <f t="shared" si="7"/>
        <v>2.6655094103010774E-2</v>
      </c>
      <c r="BG27" s="3">
        <f t="shared" si="8"/>
        <v>1.73258689136269E-3</v>
      </c>
      <c r="BH27" s="3">
        <f t="shared" si="9"/>
        <v>-2.9287713587512884E-3</v>
      </c>
      <c r="BI27" s="3">
        <f t="shared" si="10"/>
        <v>2.8958193926793965E-2</v>
      </c>
      <c r="BJ27" s="3">
        <f t="shared" si="11"/>
        <v>-1.1532678881053166E-2</v>
      </c>
      <c r="BL27">
        <v>23</v>
      </c>
      <c r="BM27" s="3">
        <v>-1.0193872487361224E-2</v>
      </c>
    </row>
    <row r="28" spans="1:65" x14ac:dyDescent="0.3">
      <c r="A28" s="2">
        <v>46054</v>
      </c>
      <c r="B28">
        <v>2350.6999999999998</v>
      </c>
      <c r="C28">
        <v>3985.3</v>
      </c>
      <c r="D28">
        <v>1334.2</v>
      </c>
      <c r="E28">
        <v>3186.9</v>
      </c>
      <c r="F28">
        <v>3363.8</v>
      </c>
      <c r="H28" s="2">
        <v>46054</v>
      </c>
      <c r="I28" s="3">
        <f t="shared" si="12"/>
        <v>-2.799813345777058E-3</v>
      </c>
      <c r="J28" s="3">
        <f t="shared" si="13"/>
        <v>8.1200040473541346E-3</v>
      </c>
      <c r="K28" s="3">
        <f t="shared" si="14"/>
        <v>-1.374926079243044E-2</v>
      </c>
      <c r="L28" s="3">
        <f t="shared" si="15"/>
        <v>5.4581019687027776E-3</v>
      </c>
      <c r="M28" s="3">
        <f t="shared" si="16"/>
        <v>-2.8701778701778591E-2</v>
      </c>
      <c r="O28">
        <v>24</v>
      </c>
      <c r="P28" s="8">
        <v>0.72010678064186062</v>
      </c>
      <c r="Q28" s="8">
        <v>-0.88198250702427461</v>
      </c>
      <c r="R28" s="8">
        <v>-0.9244527861251125</v>
      </c>
      <c r="S28" s="8">
        <v>2.2620455545667739</v>
      </c>
      <c r="T28" s="8">
        <v>-0.64682340503029778</v>
      </c>
      <c r="V28">
        <v>24</v>
      </c>
      <c r="W28">
        <v>0.72010678064186062</v>
      </c>
      <c r="X28">
        <v>-0.20255410732481505</v>
      </c>
      <c r="Y28">
        <v>-1.0712154841180297</v>
      </c>
      <c r="Z28">
        <v>2.0883804825669081</v>
      </c>
      <c r="AA28">
        <v>-1.169025961965467</v>
      </c>
      <c r="AC28" s="13" t="s">
        <v>20</v>
      </c>
      <c r="AD28" s="12" t="s">
        <v>22</v>
      </c>
      <c r="AQ28">
        <v>24</v>
      </c>
      <c r="AR28" s="21">
        <f t="shared" si="0"/>
        <v>2387.854586175989</v>
      </c>
      <c r="AS28" s="21">
        <f t="shared" si="1"/>
        <v>2362.0284644137078</v>
      </c>
      <c r="AT28" s="21">
        <f t="shared" si="2"/>
        <v>2338.3241449244947</v>
      </c>
      <c r="AU28" s="21">
        <f t="shared" si="3"/>
        <v>2425.7224369318888</v>
      </c>
      <c r="AV28" s="21">
        <f t="shared" si="4"/>
        <v>2335.6595155104933</v>
      </c>
      <c r="BE28">
        <v>24</v>
      </c>
      <c r="BF28" s="3">
        <f t="shared" si="7"/>
        <v>-1.0750911977384951E-2</v>
      </c>
      <c r="BG28" s="3">
        <f t="shared" si="8"/>
        <v>-3.2136158128081849E-3</v>
      </c>
      <c r="BH28" s="3">
        <f t="shared" si="9"/>
        <v>-1.6251917307931574E-2</v>
      </c>
      <c r="BI28" s="3">
        <f t="shared" si="10"/>
        <v>5.7609990555591356E-3</v>
      </c>
      <c r="BJ28" s="3">
        <f t="shared" si="11"/>
        <v>1.3898186226936507E-3</v>
      </c>
      <c r="BL28">
        <v>24</v>
      </c>
      <c r="BM28" s="3">
        <v>-1.0058635044195579E-2</v>
      </c>
    </row>
    <row r="29" spans="1:65" x14ac:dyDescent="0.3">
      <c r="A29" s="2">
        <v>46052</v>
      </c>
      <c r="B29">
        <v>2373</v>
      </c>
      <c r="C29">
        <v>3977.4</v>
      </c>
      <c r="D29">
        <v>1355</v>
      </c>
      <c r="E29">
        <v>3123.9</v>
      </c>
      <c r="F29">
        <v>3431.8</v>
      </c>
      <c r="H29" s="2">
        <v>46052</v>
      </c>
      <c r="I29" s="3">
        <f t="shared" si="12"/>
        <v>9.4865359254689974E-3</v>
      </c>
      <c r="J29" s="3">
        <f t="shared" si="13"/>
        <v>-1.9822848969964779E-3</v>
      </c>
      <c r="K29" s="3">
        <f t="shared" si="14"/>
        <v>1.5589866586718681E-2</v>
      </c>
      <c r="L29" s="3">
        <f t="shared" si="15"/>
        <v>-1.976842699802317E-2</v>
      </c>
      <c r="M29" s="3">
        <f t="shared" si="16"/>
        <v>2.0215232772459624E-2</v>
      </c>
      <c r="O29">
        <v>25</v>
      </c>
      <c r="P29" s="8">
        <v>0.60453077312543091</v>
      </c>
      <c r="Q29" s="8">
        <v>0.17782009878001048</v>
      </c>
      <c r="R29" s="8">
        <v>0.99152237818647737</v>
      </c>
      <c r="S29" s="8">
        <v>-0.60582014380605687</v>
      </c>
      <c r="T29" s="8">
        <v>0.34553585341921234</v>
      </c>
      <c r="V29">
        <v>25</v>
      </c>
      <c r="W29">
        <v>0.60453077312543091</v>
      </c>
      <c r="X29">
        <v>1.5118992745102131E-2</v>
      </c>
      <c r="Y29">
        <v>1.0221511962352909</v>
      </c>
      <c r="Z29">
        <v>-0.52610099692893619</v>
      </c>
      <c r="AA29">
        <v>0.31863301812872402</v>
      </c>
      <c r="AC29" s="13" t="s">
        <v>21</v>
      </c>
      <c r="AD29" t="s">
        <v>23</v>
      </c>
      <c r="AQ29">
        <v>25</v>
      </c>
      <c r="AR29" s="21">
        <f t="shared" si="0"/>
        <v>2384.6515551736079</v>
      </c>
      <c r="AS29" s="21">
        <f t="shared" si="1"/>
        <v>2368.0075020226068</v>
      </c>
      <c r="AT29" s="21">
        <f t="shared" si="2"/>
        <v>2395.8665042055463</v>
      </c>
      <c r="AU29" s="21">
        <f t="shared" si="3"/>
        <v>2353.1686582929237</v>
      </c>
      <c r="AV29" s="21">
        <f t="shared" si="4"/>
        <v>2376.3740176486272</v>
      </c>
      <c r="BE29">
        <v>25</v>
      </c>
      <c r="BF29" s="3">
        <f t="shared" si="7"/>
        <v>-1.3422849079420551E-3</v>
      </c>
      <c r="BG29" s="3">
        <f t="shared" si="8"/>
        <v>2.5281164184993697E-3</v>
      </c>
      <c r="BH29" s="3">
        <f t="shared" si="9"/>
        <v>2.4310467183751121E-2</v>
      </c>
      <c r="BI29" s="3">
        <f t="shared" si="10"/>
        <v>-3.0366607000274076E-2</v>
      </c>
      <c r="BJ29" s="3">
        <f t="shared" si="11"/>
        <v>1.7281504951161802E-2</v>
      </c>
      <c r="BL29" s="5">
        <v>25</v>
      </c>
      <c r="BM29" s="33">
        <v>-9.8687039737783491E-3</v>
      </c>
    </row>
    <row r="30" spans="1:65" x14ac:dyDescent="0.3">
      <c r="A30" s="2">
        <v>46051</v>
      </c>
      <c r="B30">
        <v>2352.6</v>
      </c>
      <c r="C30">
        <v>3939.7</v>
      </c>
      <c r="D30">
        <v>1383.6</v>
      </c>
      <c r="E30">
        <v>3144.4</v>
      </c>
      <c r="F30">
        <v>3384.4</v>
      </c>
      <c r="H30" s="2">
        <v>46051</v>
      </c>
      <c r="I30" s="3">
        <f t="shared" si="12"/>
        <v>-8.5967130214917864E-3</v>
      </c>
      <c r="J30" s="3">
        <f t="shared" si="13"/>
        <v>-9.4785538291346505E-3</v>
      </c>
      <c r="K30" s="3">
        <f t="shared" si="14"/>
        <v>2.1107011070110593E-2</v>
      </c>
      <c r="L30" s="3">
        <f t="shared" si="15"/>
        <v>6.5623099330964774E-3</v>
      </c>
      <c r="M30" s="3">
        <f t="shared" si="16"/>
        <v>-1.3811993705926895E-2</v>
      </c>
      <c r="O30">
        <v>26</v>
      </c>
      <c r="P30" s="8">
        <v>0.32563463330425529</v>
      </c>
      <c r="Q30" s="8">
        <v>0.10015016815329972</v>
      </c>
      <c r="R30" s="8">
        <v>-1.2675643256696196</v>
      </c>
      <c r="S30" s="8">
        <v>0.147903534880305</v>
      </c>
      <c r="T30" s="8">
        <v>0.54999294858123615</v>
      </c>
      <c r="V30">
        <v>26</v>
      </c>
      <c r="W30">
        <v>0.32563463330425529</v>
      </c>
      <c r="X30">
        <v>9.0243805191635787E-3</v>
      </c>
      <c r="Y30">
        <v>-1.2085828693316869</v>
      </c>
      <c r="Z30">
        <v>0.13196974696113345</v>
      </c>
      <c r="AA30">
        <v>0.69423045424320029</v>
      </c>
      <c r="AQ30">
        <v>26</v>
      </c>
      <c r="AR30" s="21">
        <f t="shared" si="0"/>
        <v>2376.9402386232973</v>
      </c>
      <c r="AS30" s="21">
        <f t="shared" si="1"/>
        <v>2367.8411352569419</v>
      </c>
      <c r="AT30" s="21">
        <f t="shared" si="2"/>
        <v>2334.5959055325789</v>
      </c>
      <c r="AU30" s="21">
        <f t="shared" si="3"/>
        <v>2371.2311243847957</v>
      </c>
      <c r="AV30" s="21">
        <f t="shared" si="4"/>
        <v>2386.75930657969</v>
      </c>
      <c r="BE30">
        <v>26</v>
      </c>
      <c r="BF30" s="3">
        <f t="shared" si="7"/>
        <v>-3.2389686583050225E-3</v>
      </c>
      <c r="BG30" s="3">
        <f t="shared" si="8"/>
        <v>-7.0258480992705291E-5</v>
      </c>
      <c r="BH30" s="3">
        <f t="shared" si="9"/>
        <v>-2.5906146177924624E-2</v>
      </c>
      <c r="BI30" s="3">
        <f t="shared" si="10"/>
        <v>7.6464968801945466E-3</v>
      </c>
      <c r="BJ30" s="3">
        <f t="shared" si="11"/>
        <v>4.3607032098896565E-3</v>
      </c>
      <c r="BL30">
        <v>26</v>
      </c>
      <c r="BM30" s="3">
        <v>-9.5910588827680335E-3</v>
      </c>
    </row>
    <row r="31" spans="1:65" ht="15" thickBot="1" x14ac:dyDescent="0.35">
      <c r="A31" s="2">
        <v>46050</v>
      </c>
      <c r="B31">
        <v>2378.4</v>
      </c>
      <c r="C31">
        <v>3975.2</v>
      </c>
      <c r="D31">
        <v>1367.7</v>
      </c>
      <c r="E31">
        <v>3200.1</v>
      </c>
      <c r="F31">
        <v>3449.2</v>
      </c>
      <c r="H31" s="2">
        <v>46050</v>
      </c>
      <c r="I31" s="3">
        <f t="shared" si="12"/>
        <v>1.0966590155572664E-2</v>
      </c>
      <c r="J31" s="3">
        <f t="shared" si="13"/>
        <v>9.0108383887097521E-3</v>
      </c>
      <c r="K31" s="3">
        <f t="shared" si="14"/>
        <v>-1.1491760624457892E-2</v>
      </c>
      <c r="L31" s="3">
        <f t="shared" si="15"/>
        <v>1.7714031293728505E-2</v>
      </c>
      <c r="M31" s="3">
        <f t="shared" si="16"/>
        <v>1.9146672970097978E-2</v>
      </c>
      <c r="O31">
        <v>27</v>
      </c>
      <c r="P31" s="8">
        <v>0.90097017438874616</v>
      </c>
      <c r="Q31" s="8">
        <v>-1.640559849008155</v>
      </c>
      <c r="R31" s="8">
        <v>0.22552716161105743</v>
      </c>
      <c r="S31" s="8">
        <v>0.10848862148467074</v>
      </c>
      <c r="T31" s="8">
        <v>-1.0728916991290371</v>
      </c>
      <c r="V31">
        <v>27</v>
      </c>
      <c r="W31">
        <v>0.90097017438874616</v>
      </c>
      <c r="X31">
        <v>-0.36172505691747175</v>
      </c>
      <c r="Y31">
        <v>-0.10379959986279708</v>
      </c>
      <c r="Z31">
        <v>-0.11585066126811576</v>
      </c>
      <c r="AA31">
        <v>-1.554451123902044</v>
      </c>
      <c r="AC31" s="22" t="s">
        <v>18</v>
      </c>
      <c r="AD31" t="s">
        <v>19</v>
      </c>
      <c r="AQ31">
        <v>27</v>
      </c>
      <c r="AR31" s="21">
        <f t="shared" si="0"/>
        <v>2392.8748675251836</v>
      </c>
      <c r="AS31" s="21">
        <f t="shared" si="1"/>
        <v>2357.6654941084298</v>
      </c>
      <c r="AT31" s="21">
        <f t="shared" si="2"/>
        <v>2364.7437591878111</v>
      </c>
      <c r="AU31" s="21">
        <f t="shared" si="3"/>
        <v>2364.4117020922067</v>
      </c>
      <c r="AV31" s="21">
        <f t="shared" si="4"/>
        <v>2325.2379548829167</v>
      </c>
      <c r="BE31">
        <v>27</v>
      </c>
      <c r="BF31" s="3">
        <f t="shared" si="7"/>
        <v>6.6814699634086486E-3</v>
      </c>
      <c r="BG31" s="3">
        <f t="shared" si="8"/>
        <v>-4.306694572429136E-3</v>
      </c>
      <c r="BH31" s="3">
        <f t="shared" si="9"/>
        <v>1.2830852592254791E-2</v>
      </c>
      <c r="BI31" s="3">
        <f t="shared" si="10"/>
        <v>-2.8800427972251984E-3</v>
      </c>
      <c r="BJ31" s="3">
        <f t="shared" si="11"/>
        <v>-2.6114127168646979E-2</v>
      </c>
      <c r="BL31">
        <v>27</v>
      </c>
      <c r="BM31" s="3">
        <v>-9.5244783227520675E-3</v>
      </c>
    </row>
    <row r="32" spans="1:65" x14ac:dyDescent="0.3">
      <c r="A32" s="2">
        <v>46049</v>
      </c>
      <c r="B32">
        <v>2400.9</v>
      </c>
      <c r="C32">
        <v>3997</v>
      </c>
      <c r="D32">
        <v>1361.4</v>
      </c>
      <c r="E32">
        <v>3158</v>
      </c>
      <c r="F32">
        <v>3393.5</v>
      </c>
      <c r="H32" s="2">
        <v>46049</v>
      </c>
      <c r="I32" s="3">
        <f t="shared" si="12"/>
        <v>9.4601412714430122E-3</v>
      </c>
      <c r="J32" s="3">
        <f t="shared" si="13"/>
        <v>5.4840008049910072E-3</v>
      </c>
      <c r="K32" s="3">
        <f t="shared" si="14"/>
        <v>-4.6062733055494132E-3</v>
      </c>
      <c r="L32" s="3">
        <f t="shared" si="15"/>
        <v>-1.315583888003502E-2</v>
      </c>
      <c r="M32" s="3">
        <f t="shared" si="16"/>
        <v>-1.6148672155862132E-2</v>
      </c>
      <c r="O32">
        <v>28</v>
      </c>
      <c r="P32" s="8">
        <v>0.22595870264587295</v>
      </c>
      <c r="Q32" s="8">
        <v>0.82190408628118705</v>
      </c>
      <c r="R32" s="8">
        <v>-0.73692724410068156</v>
      </c>
      <c r="S32" s="8">
        <v>-0.16405461634093452</v>
      </c>
      <c r="T32" s="8">
        <v>0.5288432908777646</v>
      </c>
      <c r="V32">
        <v>28</v>
      </c>
      <c r="W32">
        <v>0.22595870264587295</v>
      </c>
      <c r="X32">
        <v>0.15798480215438196</v>
      </c>
      <c r="Y32">
        <v>-0.53982798619748285</v>
      </c>
      <c r="Z32">
        <v>-5.1754230419922331E-2</v>
      </c>
      <c r="AA32">
        <v>0.86869259512698327</v>
      </c>
      <c r="AC32" s="11"/>
      <c r="AD32" s="11" t="s">
        <v>1</v>
      </c>
      <c r="AE32" s="11" t="s">
        <v>2</v>
      </c>
      <c r="AF32" s="11" t="s">
        <v>3</v>
      </c>
      <c r="AG32" s="11" t="s">
        <v>4</v>
      </c>
      <c r="AH32" s="11" t="s">
        <v>5</v>
      </c>
      <c r="AQ32">
        <v>28</v>
      </c>
      <c r="AR32" s="21">
        <f t="shared" si="0"/>
        <v>2374.1900467640726</v>
      </c>
      <c r="AS32" s="21">
        <f t="shared" si="1"/>
        <v>2371.9412966544555</v>
      </c>
      <c r="AT32" s="21">
        <f t="shared" si="2"/>
        <v>2352.79735262645</v>
      </c>
      <c r="AU32" s="21">
        <f t="shared" si="3"/>
        <v>2366.1742613723022</v>
      </c>
      <c r="AV32" s="21">
        <f t="shared" si="4"/>
        <v>2391.6007874208103</v>
      </c>
      <c r="BE32">
        <v>28</v>
      </c>
      <c r="BF32" s="3">
        <f t="shared" si="7"/>
        <v>-7.8391701320820687E-3</v>
      </c>
      <c r="BG32" s="3">
        <f t="shared" si="8"/>
        <v>6.0368003227049046E-3</v>
      </c>
      <c r="BH32" s="3">
        <f t="shared" si="9"/>
        <v>-5.0646859517199175E-3</v>
      </c>
      <c r="BI32" s="3">
        <f t="shared" si="10"/>
        <v>7.4517591489447295E-4</v>
      </c>
      <c r="BJ32" s="3">
        <f t="shared" si="11"/>
        <v>2.8140547280410957E-2</v>
      </c>
      <c r="BL32">
        <v>28</v>
      </c>
      <c r="BM32" s="3">
        <v>-9.119340540845863E-3</v>
      </c>
    </row>
    <row r="33" spans="1:65" x14ac:dyDescent="0.3">
      <c r="A33" s="2">
        <v>46045</v>
      </c>
      <c r="B33">
        <v>2409.5</v>
      </c>
      <c r="C33">
        <v>4021.8</v>
      </c>
      <c r="D33">
        <v>1343.4</v>
      </c>
      <c r="E33">
        <v>3162.5</v>
      </c>
      <c r="F33">
        <v>3543.4</v>
      </c>
      <c r="H33" s="2">
        <v>46045</v>
      </c>
      <c r="I33" s="3">
        <f t="shared" si="12"/>
        <v>3.5819900870506238E-3</v>
      </c>
      <c r="J33" s="3">
        <f t="shared" si="13"/>
        <v>6.2046534901176731E-3</v>
      </c>
      <c r="K33" s="3">
        <f t="shared" si="14"/>
        <v>-1.3221683561040143E-2</v>
      </c>
      <c r="L33" s="3">
        <f t="shared" si="15"/>
        <v>1.4249525015832543E-3</v>
      </c>
      <c r="M33" s="3">
        <f t="shared" si="16"/>
        <v>4.4172683070576202E-2</v>
      </c>
      <c r="O33">
        <v>29</v>
      </c>
      <c r="P33" s="8">
        <v>-1.2556658391437157</v>
      </c>
      <c r="Q33" s="8">
        <v>0.24634660733656383</v>
      </c>
      <c r="R33" s="8">
        <v>1.3203559182261073</v>
      </c>
      <c r="S33" s="8">
        <v>-0.85558054467378419</v>
      </c>
      <c r="T33" s="8">
        <v>-1.1979776038289063</v>
      </c>
      <c r="V33">
        <v>29</v>
      </c>
      <c r="W33">
        <v>-1.2556658391437157</v>
      </c>
      <c r="X33">
        <v>9.2750890245410056E-2</v>
      </c>
      <c r="Y33">
        <v>1.3092637911912446</v>
      </c>
      <c r="Z33">
        <v>-0.79923622177645792</v>
      </c>
      <c r="AA33">
        <v>-1.0367415720354218</v>
      </c>
      <c r="AC33" s="13" t="s">
        <v>1</v>
      </c>
      <c r="AD33" s="12" cm="1">
        <f t="array" ref="AD33:AH37">MMULT(AD22:AH26,TRANSPOSE(AD22:AH26))</f>
        <v>1</v>
      </c>
      <c r="AE33" s="12">
        <v>-3.4304753023444198E-2</v>
      </c>
      <c r="AF33" s="12">
        <v>2.615804855655178E-2</v>
      </c>
      <c r="AG33" s="12">
        <v>2.51865962129658E-2</v>
      </c>
      <c r="AH33" s="12">
        <v>-2.7790954324299507E-2</v>
      </c>
      <c r="AQ33">
        <v>29</v>
      </c>
      <c r="AR33" s="21">
        <f t="shared" si="0"/>
        <v>2333.6877606505814</v>
      </c>
      <c r="AS33" s="21">
        <f t="shared" si="1"/>
        <v>2370.1515147952664</v>
      </c>
      <c r="AT33" s="21">
        <f t="shared" si="2"/>
        <v>2403.8680784105454</v>
      </c>
      <c r="AU33" s="21">
        <f t="shared" si="3"/>
        <v>2345.7149719562435</v>
      </c>
      <c r="AV33" s="21">
        <f t="shared" si="4"/>
        <v>2339.2630666110645</v>
      </c>
      <c r="BE33">
        <v>29</v>
      </c>
      <c r="BF33" s="3">
        <f t="shared" si="7"/>
        <v>-1.7206600106567275E-2</v>
      </c>
      <c r="BG33" s="3">
        <f t="shared" si="8"/>
        <v>-7.548489729480146E-4</v>
      </c>
      <c r="BH33" s="3">
        <f t="shared" si="9"/>
        <v>2.1474156242323683E-2</v>
      </c>
      <c r="BI33" s="3">
        <f t="shared" si="10"/>
        <v>-8.6841676365796757E-3</v>
      </c>
      <c r="BJ33" s="3">
        <f t="shared" si="11"/>
        <v>-2.2126976298486097E-2</v>
      </c>
      <c r="BL33">
        <v>29</v>
      </c>
      <c r="BM33" s="3">
        <v>-9.0686493828981245E-3</v>
      </c>
    </row>
    <row r="34" spans="1:65" x14ac:dyDescent="0.3">
      <c r="A34" s="2">
        <v>46044</v>
      </c>
      <c r="B34">
        <v>2390.6</v>
      </c>
      <c r="C34">
        <v>4018.6</v>
      </c>
      <c r="D34">
        <v>1345.5</v>
      </c>
      <c r="E34">
        <v>3150.4</v>
      </c>
      <c r="F34">
        <v>3573.7</v>
      </c>
      <c r="H34" s="2">
        <v>46044</v>
      </c>
      <c r="I34" s="3">
        <f t="shared" si="12"/>
        <v>-7.8439510271840485E-3</v>
      </c>
      <c r="J34" s="3">
        <f t="shared" si="13"/>
        <v>-7.9566363319916178E-4</v>
      </c>
      <c r="K34" s="3">
        <f t="shared" si="14"/>
        <v>1.5631978561856386E-3</v>
      </c>
      <c r="L34" s="3">
        <f t="shared" si="15"/>
        <v>-3.826086956521757E-3</v>
      </c>
      <c r="M34" s="3">
        <f t="shared" si="16"/>
        <v>8.5511091042500542E-3</v>
      </c>
      <c r="O34">
        <v>30</v>
      </c>
      <c r="P34" s="8">
        <v>0.72002001107197067</v>
      </c>
      <c r="Q34" s="8">
        <v>-0.33906973435441617</v>
      </c>
      <c r="R34" s="8">
        <v>-0.32442675367336932</v>
      </c>
      <c r="S34" s="8">
        <v>-0.118129268636359</v>
      </c>
      <c r="T34" s="8">
        <v>0.99413015279560069</v>
      </c>
      <c r="V34">
        <v>30</v>
      </c>
      <c r="W34">
        <v>0.72002001107197067</v>
      </c>
      <c r="X34">
        <v>-9.3073232070607165E-2</v>
      </c>
      <c r="Y34">
        <v>-0.36996986885223881</v>
      </c>
      <c r="Z34">
        <v>-0.16029576643750751</v>
      </c>
      <c r="AA34">
        <v>0.8700604972262348</v>
      </c>
      <c r="AC34" s="13" t="s">
        <v>2</v>
      </c>
      <c r="AD34" s="12">
        <v>-3.4304753023444198E-2</v>
      </c>
      <c r="AE34" s="12">
        <v>4.183919541360348E-2</v>
      </c>
      <c r="AF34" s="12">
        <v>4.183919541360348E-2</v>
      </c>
      <c r="AG34" s="12">
        <v>3.0154632145296716E-2</v>
      </c>
      <c r="AH34" s="12">
        <v>6.0406365475664407E-2</v>
      </c>
      <c r="AQ34">
        <v>30</v>
      </c>
      <c r="AR34" s="21">
        <f t="shared" si="0"/>
        <v>2387.8512138462097</v>
      </c>
      <c r="AS34" s="21">
        <f t="shared" si="1"/>
        <v>2365.0335357303979</v>
      </c>
      <c r="AT34" s="21">
        <f t="shared" si="2"/>
        <v>2357.4441859148733</v>
      </c>
      <c r="AU34" s="21">
        <f t="shared" si="3"/>
        <v>2363.1927801438333</v>
      </c>
      <c r="AV34" s="21">
        <f t="shared" si="4"/>
        <v>2391.6392611611986</v>
      </c>
      <c r="BE34">
        <v>30</v>
      </c>
      <c r="BF34" s="3">
        <f t="shared" si="7"/>
        <v>2.2944141556091403E-2</v>
      </c>
      <c r="BG34" s="3">
        <f t="shared" si="8"/>
        <v>-2.1616815407329935E-3</v>
      </c>
      <c r="BH34" s="3">
        <f t="shared" si="9"/>
        <v>-1.9501079168494886E-2</v>
      </c>
      <c r="BI34" s="3">
        <f t="shared" si="10"/>
        <v>7.4233301514486198E-3</v>
      </c>
      <c r="BJ34" s="3">
        <f t="shared" si="11"/>
        <v>2.214306319356071E-2</v>
      </c>
      <c r="BL34">
        <v>30</v>
      </c>
      <c r="BM34" s="3">
        <v>-8.7673879647771191E-3</v>
      </c>
    </row>
    <row r="35" spans="1:65" x14ac:dyDescent="0.3">
      <c r="A35" s="2">
        <v>46043</v>
      </c>
      <c r="B35">
        <v>2368</v>
      </c>
      <c r="C35">
        <v>4079.2</v>
      </c>
      <c r="D35">
        <v>1349</v>
      </c>
      <c r="E35">
        <v>3122.6</v>
      </c>
      <c r="F35">
        <v>3553.3</v>
      </c>
      <c r="H35" s="2">
        <v>46043</v>
      </c>
      <c r="I35" s="3">
        <f t="shared" si="12"/>
        <v>-9.4536936333974309E-3</v>
      </c>
      <c r="J35" s="3">
        <f t="shared" si="13"/>
        <v>1.5079878564674187E-2</v>
      </c>
      <c r="K35" s="3">
        <f t="shared" si="14"/>
        <v>2.6012634708287852E-3</v>
      </c>
      <c r="L35" s="3">
        <f t="shared" si="15"/>
        <v>-8.8242762823769194E-3</v>
      </c>
      <c r="M35" s="3">
        <f t="shared" si="16"/>
        <v>-5.708369477012476E-3</v>
      </c>
      <c r="O35">
        <v>31</v>
      </c>
      <c r="P35" s="8">
        <v>0.65057566386365506</v>
      </c>
      <c r="Q35" s="8">
        <v>1.1559825138201436</v>
      </c>
      <c r="R35" s="8">
        <v>0.64204191502290853</v>
      </c>
      <c r="S35" s="8">
        <v>-1.8774409768925666</v>
      </c>
      <c r="T35" s="8">
        <v>-0.32793070331156504</v>
      </c>
      <c r="V35">
        <v>31</v>
      </c>
      <c r="W35">
        <v>0.65057566386365506</v>
      </c>
      <c r="X35">
        <v>0.21078505281684123</v>
      </c>
      <c r="Y35">
        <v>0.88924342399332312</v>
      </c>
      <c r="Z35">
        <v>-1.6403701605189362</v>
      </c>
      <c r="AA35">
        <v>0.28155714242672775</v>
      </c>
      <c r="AC35" s="13" t="s">
        <v>3</v>
      </c>
      <c r="AD35" s="12">
        <v>2.615804855655178E-2</v>
      </c>
      <c r="AE35" s="12">
        <v>4.183919541360348E-2</v>
      </c>
      <c r="AF35" s="12">
        <v>0.99999999999999989</v>
      </c>
      <c r="AG35" s="12">
        <v>6.2290376942461138E-2</v>
      </c>
      <c r="AH35" s="12">
        <v>-8.8105844317117057E-2</v>
      </c>
      <c r="AQ35">
        <v>31</v>
      </c>
      <c r="AR35" s="21">
        <f t="shared" si="0"/>
        <v>2385.9260816914411</v>
      </c>
      <c r="AS35" s="21">
        <f t="shared" si="1"/>
        <v>2373.3943020279889</v>
      </c>
      <c r="AT35" s="21">
        <f t="shared" si="2"/>
        <v>2392.1704767365527</v>
      </c>
      <c r="AU35" s="21">
        <f t="shared" si="3"/>
        <v>2322.9146354590216</v>
      </c>
      <c r="AV35" s="21">
        <f t="shared" si="4"/>
        <v>2375.3558819145378</v>
      </c>
      <c r="BE35">
        <v>31</v>
      </c>
      <c r="BF35" s="3">
        <f t="shared" si="7"/>
        <v>-8.0654464586293623E-4</v>
      </c>
      <c r="BG35" s="3">
        <f t="shared" si="8"/>
        <v>3.5289236263392407E-3</v>
      </c>
      <c r="BH35" s="3">
        <f t="shared" si="9"/>
        <v>1.4623042957951672E-2</v>
      </c>
      <c r="BI35" s="3">
        <f t="shared" si="10"/>
        <v>-1.7190872101085553E-2</v>
      </c>
      <c r="BJ35" s="3">
        <f t="shared" si="11"/>
        <v>-6.8317428863833964E-3</v>
      </c>
      <c r="BL35">
        <v>31</v>
      </c>
      <c r="BM35" s="3">
        <v>-8.7340098767655326E-3</v>
      </c>
    </row>
    <row r="36" spans="1:65" x14ac:dyDescent="0.3">
      <c r="A36" s="2">
        <v>46042</v>
      </c>
      <c r="B36">
        <v>2379.1</v>
      </c>
      <c r="C36">
        <v>4075.5</v>
      </c>
      <c r="D36">
        <v>1375.8</v>
      </c>
      <c r="E36">
        <v>3102.3</v>
      </c>
      <c r="F36">
        <v>3557.5</v>
      </c>
      <c r="H36" s="2">
        <v>46042</v>
      </c>
      <c r="I36" s="3">
        <f t="shared" si="12"/>
        <v>4.6874999999999556E-3</v>
      </c>
      <c r="J36" s="3">
        <f t="shared" si="13"/>
        <v>-9.0704059619528543E-4</v>
      </c>
      <c r="K36" s="3">
        <f t="shared" si="14"/>
        <v>1.9866567828020765E-2</v>
      </c>
      <c r="L36" s="3">
        <f t="shared" si="15"/>
        <v>-6.5009927624414265E-3</v>
      </c>
      <c r="M36" s="3">
        <f t="shared" si="16"/>
        <v>1.1819998311428659E-3</v>
      </c>
      <c r="O36">
        <v>32</v>
      </c>
      <c r="P36" s="8">
        <v>1.5862520316280624</v>
      </c>
      <c r="Q36" s="8">
        <v>-0.18997922061669559</v>
      </c>
      <c r="R36" s="8">
        <v>0.43329823072265</v>
      </c>
      <c r="S36" s="8">
        <v>-1.1022704561764596</v>
      </c>
      <c r="T36" s="8">
        <v>1.2131140257905537</v>
      </c>
      <c r="V36">
        <v>32</v>
      </c>
      <c r="W36">
        <v>1.5862520316280624</v>
      </c>
      <c r="X36">
        <v>-9.2725132362375506E-2</v>
      </c>
      <c r="Y36">
        <v>0.42453358382762935</v>
      </c>
      <c r="Z36">
        <v>-1.064699980506923</v>
      </c>
      <c r="AA36">
        <v>1.1645458468745626</v>
      </c>
      <c r="AC36" s="13" t="s">
        <v>4</v>
      </c>
      <c r="AD36" s="12">
        <v>2.51865962129658E-2</v>
      </c>
      <c r="AE36" s="12">
        <v>3.0154632145296716E-2</v>
      </c>
      <c r="AF36" s="12">
        <v>6.2290376942461138E-2</v>
      </c>
      <c r="AG36" s="12">
        <v>0.99999999999999989</v>
      </c>
      <c r="AH36" s="12">
        <v>-0.14922571080703675</v>
      </c>
      <c r="AQ36">
        <v>32</v>
      </c>
      <c r="AR36" s="21">
        <f t="shared" si="0"/>
        <v>2411.993430009908</v>
      </c>
      <c r="AS36" s="21">
        <f t="shared" si="1"/>
        <v>2365.0392462773489</v>
      </c>
      <c r="AT36" s="21">
        <f t="shared" si="2"/>
        <v>2379.2965035459415</v>
      </c>
      <c r="AU36" s="21">
        <f t="shared" si="3"/>
        <v>2338.498361154655</v>
      </c>
      <c r="AV36" s="21">
        <f t="shared" si="4"/>
        <v>2399.8365302115999</v>
      </c>
      <c r="BE36">
        <v>32</v>
      </c>
      <c r="BF36" s="3">
        <f t="shared" si="7"/>
        <v>1.0866211800875401E-2</v>
      </c>
      <c r="BG36" s="3">
        <f t="shared" si="8"/>
        <v>-3.5265090559028133E-3</v>
      </c>
      <c r="BH36" s="3">
        <f t="shared" si="9"/>
        <v>-5.3962458439169424E-3</v>
      </c>
      <c r="BI36" s="3">
        <f t="shared" si="10"/>
        <v>6.6862918023903716E-3</v>
      </c>
      <c r="BJ36" s="3">
        <f t="shared" si="11"/>
        <v>1.0253351344701912E-2</v>
      </c>
      <c r="BL36">
        <v>32</v>
      </c>
      <c r="BM36" s="3">
        <v>-8.6257171681887821E-3</v>
      </c>
    </row>
    <row r="37" spans="1:65" x14ac:dyDescent="0.3">
      <c r="A37" s="2">
        <v>46041</v>
      </c>
      <c r="B37">
        <v>2413.9</v>
      </c>
      <c r="C37">
        <v>4144.1000000000004</v>
      </c>
      <c r="D37">
        <v>1380.6</v>
      </c>
      <c r="E37">
        <v>3163.6</v>
      </c>
      <c r="F37">
        <v>3657.4</v>
      </c>
      <c r="H37" s="2">
        <v>46041</v>
      </c>
      <c r="I37" s="3">
        <f t="shared" si="12"/>
        <v>1.4627380101719156E-2</v>
      </c>
      <c r="J37" s="3">
        <f t="shared" si="13"/>
        <v>1.6832290516501036E-2</v>
      </c>
      <c r="K37" s="3">
        <f t="shared" si="14"/>
        <v>3.4888791975578037E-3</v>
      </c>
      <c r="L37" s="3">
        <f t="shared" si="15"/>
        <v>1.9759533249524397E-2</v>
      </c>
      <c r="M37" s="3">
        <f t="shared" si="16"/>
        <v>2.8081517919887666E-2</v>
      </c>
      <c r="O37">
        <v>33</v>
      </c>
      <c r="P37" s="8">
        <v>1.4490285242618328</v>
      </c>
      <c r="Q37" s="8">
        <v>-8.1399750834549353E-2</v>
      </c>
      <c r="R37" s="8">
        <v>1.3539071748922675</v>
      </c>
      <c r="S37" s="8">
        <v>1.2293942986732163</v>
      </c>
      <c r="T37" s="8">
        <v>-0.79979528168744396</v>
      </c>
      <c r="V37">
        <v>33</v>
      </c>
      <c r="W37">
        <v>1.4490285242618328</v>
      </c>
      <c r="X37">
        <v>-6.6122756141638428E-2</v>
      </c>
      <c r="Y37">
        <v>1.3433296969638417</v>
      </c>
      <c r="Z37">
        <v>1.2780254809465248</v>
      </c>
      <c r="AA37">
        <v>-1.2459403534669888</v>
      </c>
      <c r="AC37" s="14" t="s">
        <v>5</v>
      </c>
      <c r="AD37" s="12">
        <v>-2.7790954324299507E-2</v>
      </c>
      <c r="AE37" s="12">
        <v>6.0406365475664407E-2</v>
      </c>
      <c r="AF37" s="12">
        <v>-8.8105844317117057E-2</v>
      </c>
      <c r="AG37" s="12">
        <v>-0.14922571080703675</v>
      </c>
      <c r="AH37" s="12">
        <v>0.99999999999999989</v>
      </c>
      <c r="AQ37">
        <v>33</v>
      </c>
      <c r="AR37" s="21">
        <f t="shared" si="0"/>
        <v>2408.1525371292619</v>
      </c>
      <c r="AS37" s="21">
        <f t="shared" si="1"/>
        <v>2365.7706296369993</v>
      </c>
      <c r="AT37" s="21">
        <f t="shared" si="2"/>
        <v>2404.8199884957648</v>
      </c>
      <c r="AU37" s="21">
        <f t="shared" si="3"/>
        <v>2402.9905447062229</v>
      </c>
      <c r="AV37" s="21">
        <f t="shared" si="4"/>
        <v>2333.5777453661235</v>
      </c>
      <c r="BE37">
        <v>33</v>
      </c>
      <c r="BF37" s="3">
        <f t="shared" si="7"/>
        <v>-1.5936835605247716E-3</v>
      </c>
      <c r="BG37" s="3">
        <f t="shared" si="8"/>
        <v>3.0920006707566038E-4</v>
      </c>
      <c r="BH37" s="3">
        <f t="shared" si="9"/>
        <v>1.0670194654491009E-2</v>
      </c>
      <c r="BI37" s="3">
        <f t="shared" si="10"/>
        <v>2.7205024586271876E-2</v>
      </c>
      <c r="BJ37" s="3">
        <f t="shared" si="11"/>
        <v>-2.7998019706744502E-2</v>
      </c>
      <c r="BL37">
        <v>33</v>
      </c>
      <c r="BM37" s="3">
        <v>-8.312124574267608E-3</v>
      </c>
    </row>
    <row r="38" spans="1:65" x14ac:dyDescent="0.3">
      <c r="A38" s="2">
        <v>46038</v>
      </c>
      <c r="B38">
        <v>2360.4</v>
      </c>
      <c r="C38">
        <v>4196.8999999999996</v>
      </c>
      <c r="D38">
        <v>1410.8</v>
      </c>
      <c r="E38">
        <v>3206.7</v>
      </c>
      <c r="F38">
        <v>3658.2</v>
      </c>
      <c r="H38" s="2">
        <v>46038</v>
      </c>
      <c r="I38" s="3">
        <f t="shared" si="12"/>
        <v>-2.2163304196528455E-2</v>
      </c>
      <c r="J38" s="3">
        <f t="shared" si="13"/>
        <v>1.2741005284621298E-2</v>
      </c>
      <c r="K38" s="3">
        <f t="shared" si="14"/>
        <v>2.1874547298276203E-2</v>
      </c>
      <c r="L38" s="3">
        <f t="shared" si="15"/>
        <v>1.3623719812871471E-2</v>
      </c>
      <c r="M38" s="3">
        <f t="shared" si="16"/>
        <v>2.187346202220386E-4</v>
      </c>
      <c r="O38">
        <v>34</v>
      </c>
      <c r="P38" s="8">
        <v>-0.60230118815694988</v>
      </c>
      <c r="Q38" s="8">
        <v>-0.64410310631557155</v>
      </c>
      <c r="R38" s="8">
        <v>-1.177922830385753</v>
      </c>
      <c r="S38" s="8">
        <v>-0.76107056146904584</v>
      </c>
      <c r="T38" s="8">
        <v>0.30683017374903188</v>
      </c>
      <c r="V38">
        <v>34</v>
      </c>
      <c r="W38">
        <v>-0.60230118815694988</v>
      </c>
      <c r="X38">
        <v>-0.10922104981710812</v>
      </c>
      <c r="Y38">
        <v>-1.3030154937171825</v>
      </c>
      <c r="Z38">
        <v>-0.90068004034413329</v>
      </c>
      <c r="AA38">
        <v>0.43668297380026611</v>
      </c>
      <c r="AQ38">
        <v>34</v>
      </c>
      <c r="AR38" s="21">
        <f t="shared" si="0"/>
        <v>2351.4616676439332</v>
      </c>
      <c r="AS38" s="21">
        <f t="shared" si="1"/>
        <v>2364.5958668023814</v>
      </c>
      <c r="AT38" s="21">
        <f t="shared" si="2"/>
        <v>2332.0375303330802</v>
      </c>
      <c r="AU38" s="21">
        <f t="shared" si="3"/>
        <v>2342.9644699408555</v>
      </c>
      <c r="AV38" s="21">
        <f t="shared" si="4"/>
        <v>2379.6357748746323</v>
      </c>
      <c r="BE38">
        <v>34</v>
      </c>
      <c r="BF38" s="3">
        <f t="shared" si="7"/>
        <v>-2.3822750389951595E-2</v>
      </c>
      <c r="BG38" s="3">
        <f t="shared" si="8"/>
        <v>-4.9668999628397321E-4</v>
      </c>
      <c r="BH38" s="3">
        <f t="shared" si="9"/>
        <v>-3.0732689914534095E-2</v>
      </c>
      <c r="BI38" s="3">
        <f t="shared" si="10"/>
        <v>-2.5297026893147313E-2</v>
      </c>
      <c r="BJ38" s="3">
        <f t="shared" si="11"/>
        <v>1.9544837289687811E-2</v>
      </c>
      <c r="BL38">
        <v>34</v>
      </c>
      <c r="BM38" s="3">
        <v>-8.301307801897034E-3</v>
      </c>
    </row>
    <row r="39" spans="1:65" x14ac:dyDescent="0.3">
      <c r="A39" s="2">
        <v>46036</v>
      </c>
      <c r="B39">
        <v>2353.5</v>
      </c>
      <c r="C39">
        <v>4221.5</v>
      </c>
      <c r="D39">
        <v>1418.4</v>
      </c>
      <c r="E39">
        <v>3146.5</v>
      </c>
      <c r="F39">
        <v>3649.5</v>
      </c>
      <c r="H39" s="2">
        <v>46036</v>
      </c>
      <c r="I39" s="3">
        <f t="shared" si="12"/>
        <v>-2.9232333502796637E-3</v>
      </c>
      <c r="J39" s="3">
        <f t="shared" si="13"/>
        <v>5.8614691796325946E-3</v>
      </c>
      <c r="K39" s="3">
        <f t="shared" si="14"/>
        <v>5.3870144598811009E-3</v>
      </c>
      <c r="L39" s="3">
        <f t="shared" si="15"/>
        <v>-1.8773193625845841E-2</v>
      </c>
      <c r="M39" s="3">
        <f t="shared" si="16"/>
        <v>-2.3782187961292056E-3</v>
      </c>
      <c r="O39">
        <v>35</v>
      </c>
      <c r="P39" s="8">
        <v>-1.8684749948334027</v>
      </c>
      <c r="Q39" s="8">
        <v>-0.16612842129361455</v>
      </c>
      <c r="R39" s="8">
        <v>1.0717363116111331</v>
      </c>
      <c r="S39" s="8">
        <v>1.0795463615441889</v>
      </c>
      <c r="T39" s="8">
        <v>-1.6851265857361497</v>
      </c>
      <c r="V39">
        <v>35</v>
      </c>
      <c r="W39">
        <v>-1.8684749948334027</v>
      </c>
      <c r="X39">
        <v>3.0597918432707247E-2</v>
      </c>
      <c r="Y39">
        <v>0.96293109973887758</v>
      </c>
      <c r="Z39">
        <v>1.0251011056945778</v>
      </c>
      <c r="AA39">
        <v>-1.9239005161982368</v>
      </c>
      <c r="AQ39">
        <v>35</v>
      </c>
      <c r="AR39" s="21">
        <f t="shared" si="0"/>
        <v>2317.1375572773272</v>
      </c>
      <c r="AS39" s="21">
        <f t="shared" si="1"/>
        <v>2368.4439991305103</v>
      </c>
      <c r="AT39" s="21">
        <f t="shared" si="2"/>
        <v>2394.2192668770526</v>
      </c>
      <c r="AU39" s="21">
        <f t="shared" si="3"/>
        <v>2395.9443485582883</v>
      </c>
      <c r="AV39" s="21">
        <f t="shared" si="4"/>
        <v>2315.2779181619758</v>
      </c>
      <c r="BE39">
        <v>35</v>
      </c>
      <c r="BF39" s="3">
        <f t="shared" si="7"/>
        <v>-1.4704508646523203E-2</v>
      </c>
      <c r="BG39" s="3">
        <f t="shared" si="8"/>
        <v>1.6260725812745772E-3</v>
      </c>
      <c r="BH39" s="3">
        <f t="shared" si="9"/>
        <v>2.6314831132299946E-2</v>
      </c>
      <c r="BI39" s="3">
        <f t="shared" si="10"/>
        <v>2.2360458105202874E-2</v>
      </c>
      <c r="BJ39" s="3">
        <f t="shared" si="11"/>
        <v>-2.7417708830716342E-2</v>
      </c>
      <c r="BL39">
        <v>35</v>
      </c>
      <c r="BM39" s="3">
        <v>-8.2761244553818964E-3</v>
      </c>
    </row>
    <row r="40" spans="1:65" x14ac:dyDescent="0.3">
      <c r="A40" s="2">
        <v>46035</v>
      </c>
      <c r="B40">
        <v>2389.5</v>
      </c>
      <c r="C40">
        <v>4239.2</v>
      </c>
      <c r="D40">
        <v>1437</v>
      </c>
      <c r="E40">
        <v>3220.91</v>
      </c>
      <c r="F40">
        <v>3661.5</v>
      </c>
      <c r="H40" s="2">
        <v>46035</v>
      </c>
      <c r="I40" s="3">
        <f t="shared" si="12"/>
        <v>1.5296367112810794E-2</v>
      </c>
      <c r="J40" s="3">
        <f t="shared" si="13"/>
        <v>4.1928224564726779E-3</v>
      </c>
      <c r="K40" s="3">
        <f t="shared" si="14"/>
        <v>1.311336717428091E-2</v>
      </c>
      <c r="L40" s="3">
        <f t="shared" si="15"/>
        <v>2.3648498331479306E-2</v>
      </c>
      <c r="M40" s="3">
        <f t="shared" si="16"/>
        <v>3.2881216605014085E-3</v>
      </c>
      <c r="O40">
        <v>36</v>
      </c>
      <c r="P40" s="8">
        <v>-0.31353768835707979</v>
      </c>
      <c r="Q40" s="8">
        <v>-1.5231614841960408</v>
      </c>
      <c r="R40" s="8">
        <v>6.2364351933437367E-2</v>
      </c>
      <c r="S40" s="8">
        <v>3.2133419714486217E-2</v>
      </c>
      <c r="T40" s="8">
        <v>-1.1158307273847481</v>
      </c>
      <c r="V40">
        <v>36</v>
      </c>
      <c r="W40">
        <v>-0.31353768835707979</v>
      </c>
      <c r="X40">
        <v>-0.29638838427060354</v>
      </c>
      <c r="Y40">
        <v>-0.27008714705646536</v>
      </c>
      <c r="Z40">
        <v>-0.20861753521570542</v>
      </c>
      <c r="AA40">
        <v>-1.4860494215870339</v>
      </c>
      <c r="AQ40">
        <v>36</v>
      </c>
      <c r="AR40" s="21">
        <f t="shared" si="0"/>
        <v>2359.3601983396807</v>
      </c>
      <c r="AS40" s="21">
        <f t="shared" si="1"/>
        <v>2359.460439780325</v>
      </c>
      <c r="AT40" s="21">
        <f t="shared" si="2"/>
        <v>2360.1812165711867</v>
      </c>
      <c r="AU40" s="21">
        <f t="shared" si="3"/>
        <v>2361.8665524334401</v>
      </c>
      <c r="AV40" s="21">
        <f t="shared" si="4"/>
        <v>2327.0861843089665</v>
      </c>
      <c r="BE40">
        <v>36</v>
      </c>
      <c r="BF40" s="3">
        <f t="shared" si="7"/>
        <v>1.8057867496439561E-2</v>
      </c>
      <c r="BG40" s="3">
        <f t="shared" si="8"/>
        <v>-3.8002333921100099E-3</v>
      </c>
      <c r="BH40" s="3">
        <f t="shared" si="9"/>
        <v>-1.4318790343586412E-2</v>
      </c>
      <c r="BI40" s="3">
        <f t="shared" si="10"/>
        <v>-1.4325234691918614E-2</v>
      </c>
      <c r="BJ40" s="3">
        <f t="shared" si="11"/>
        <v>5.0871889202693636E-3</v>
      </c>
      <c r="BL40">
        <v>36</v>
      </c>
      <c r="BM40" s="3">
        <v>-8.2481040889323589E-3</v>
      </c>
    </row>
    <row r="41" spans="1:65" x14ac:dyDescent="0.3">
      <c r="A41" s="2">
        <v>46034</v>
      </c>
      <c r="B41">
        <v>2406.1999999999998</v>
      </c>
      <c r="C41">
        <v>4231.6000000000004</v>
      </c>
      <c r="D41">
        <v>1413.1</v>
      </c>
      <c r="E41">
        <v>3192.92</v>
      </c>
      <c r="F41">
        <v>3682</v>
      </c>
      <c r="H41" s="2">
        <v>46034</v>
      </c>
      <c r="I41" s="3">
        <f t="shared" si="12"/>
        <v>6.9889098137685401E-3</v>
      </c>
      <c r="J41" s="3">
        <f t="shared" si="13"/>
        <v>-1.7927910926588408E-3</v>
      </c>
      <c r="K41" s="3">
        <f t="shared" si="14"/>
        <v>-1.6631871955462785E-2</v>
      </c>
      <c r="L41" s="3">
        <f t="shared" si="15"/>
        <v>-8.6900906886562268E-3</v>
      </c>
      <c r="M41" s="3">
        <f t="shared" si="16"/>
        <v>5.5987983067049552E-3</v>
      </c>
      <c r="O41">
        <v>37</v>
      </c>
      <c r="P41" s="8">
        <v>0.39435358169818546</v>
      </c>
      <c r="Q41" s="8">
        <v>0.39554947645304755</v>
      </c>
      <c r="R41" s="8">
        <v>-0.22341414262671683</v>
      </c>
      <c r="S41" s="8">
        <v>2.0415935420091316</v>
      </c>
      <c r="T41" s="8">
        <v>-1.502911790285165</v>
      </c>
      <c r="V41">
        <v>37</v>
      </c>
      <c r="W41">
        <v>0.39435358169818546</v>
      </c>
      <c r="X41">
        <v>6.6234013130474265E-2</v>
      </c>
      <c r="Y41">
        <v>-0.12411442780828379</v>
      </c>
      <c r="Z41">
        <v>2.0798652949411416</v>
      </c>
      <c r="AA41">
        <v>-1.638785765477309</v>
      </c>
      <c r="AQ41">
        <v>37</v>
      </c>
      <c r="AR41" s="21">
        <f t="shared" si="0"/>
        <v>2378.8361553425502</v>
      </c>
      <c r="AS41" s="21">
        <f t="shared" si="1"/>
        <v>2369.4145296259321</v>
      </c>
      <c r="AT41" s="21">
        <f t="shared" si="2"/>
        <v>2364.1840569205824</v>
      </c>
      <c r="AU41" s="21">
        <f t="shared" si="3"/>
        <v>2425.4783410746863</v>
      </c>
      <c r="AV41" s="21">
        <f t="shared" si="4"/>
        <v>2322.9521599994564</v>
      </c>
      <c r="BE41">
        <v>37</v>
      </c>
      <c r="BF41" s="3">
        <f t="shared" si="7"/>
        <v>8.2208778343704509E-3</v>
      </c>
      <c r="BG41" s="3">
        <f t="shared" si="8"/>
        <v>4.2099250294209125E-3</v>
      </c>
      <c r="BH41" s="3">
        <f t="shared" si="9"/>
        <v>1.6945519982140131E-3</v>
      </c>
      <c r="BI41" s="3">
        <f t="shared" si="10"/>
        <v>2.6576540509369952E-2</v>
      </c>
      <c r="BJ41" s="3">
        <f t="shared" si="11"/>
        <v>-1.7780607782356338E-3</v>
      </c>
      <c r="BL41">
        <v>37</v>
      </c>
      <c r="BM41" s="3">
        <v>-8.1780766368497598E-3</v>
      </c>
    </row>
    <row r="42" spans="1:65" x14ac:dyDescent="0.3">
      <c r="A42" s="2">
        <v>46031</v>
      </c>
      <c r="B42">
        <v>2372.6</v>
      </c>
      <c r="C42">
        <v>4201.8</v>
      </c>
      <c r="D42">
        <v>1404.3</v>
      </c>
      <c r="E42">
        <v>3161.58</v>
      </c>
      <c r="F42">
        <v>3677.3</v>
      </c>
      <c r="H42" s="2">
        <v>46031</v>
      </c>
      <c r="I42" s="3">
        <f t="shared" si="12"/>
        <v>-1.3963926523148484E-2</v>
      </c>
      <c r="J42" s="3">
        <f t="shared" si="13"/>
        <v>-7.0422535211267512E-3</v>
      </c>
      <c r="K42" s="3">
        <f t="shared" si="14"/>
        <v>-6.2274432099638233E-3</v>
      </c>
      <c r="L42" s="3">
        <f t="shared" si="15"/>
        <v>-9.8154667201183488E-3</v>
      </c>
      <c r="M42" s="3">
        <f t="shared" si="16"/>
        <v>-1.2764801738185394E-3</v>
      </c>
      <c r="O42">
        <v>38</v>
      </c>
      <c r="P42" s="8">
        <v>2.5456988209418077</v>
      </c>
      <c r="Q42" s="8">
        <v>1.2806541621009115</v>
      </c>
      <c r="R42" s="8">
        <v>1.6882463661530445</v>
      </c>
      <c r="S42" s="8">
        <v>-1.4278982890271752</v>
      </c>
      <c r="T42" s="8">
        <v>1.1302654478884926</v>
      </c>
      <c r="V42">
        <v>38</v>
      </c>
      <c r="W42">
        <v>2.5456988209418077</v>
      </c>
      <c r="X42">
        <v>0.1709132527572394</v>
      </c>
      <c r="Y42">
        <v>1.9873107283365983</v>
      </c>
      <c r="Z42">
        <v>-1.0985247735029042</v>
      </c>
      <c r="AA42">
        <v>1.3649281798459447</v>
      </c>
      <c r="AQ42">
        <v>38</v>
      </c>
      <c r="AR42" s="21">
        <f t="shared" si="0"/>
        <v>2439.0179587513876</v>
      </c>
      <c r="AS42" s="21">
        <f t="shared" si="1"/>
        <v>2372.2870802165908</v>
      </c>
      <c r="AT42" s="21">
        <f t="shared" si="2"/>
        <v>2422.8713612216493</v>
      </c>
      <c r="AU42" s="21">
        <f t="shared" si="3"/>
        <v>2337.5730706653408</v>
      </c>
      <c r="AV42" s="21">
        <f t="shared" si="4"/>
        <v>2405.4278375878521</v>
      </c>
      <c r="BE42">
        <v>38</v>
      </c>
      <c r="BF42" s="3">
        <f t="shared" si="7"/>
        <v>2.4984124649825263E-2</v>
      </c>
      <c r="BG42" s="3">
        <f t="shared" si="8"/>
        <v>1.2116118551642387E-3</v>
      </c>
      <c r="BH42" s="3">
        <f t="shared" si="9"/>
        <v>2.4520394949478861E-2</v>
      </c>
      <c r="BI42" s="3">
        <f t="shared" si="10"/>
        <v>-3.6915517119039357E-2</v>
      </c>
      <c r="BJ42" s="3">
        <f t="shared" si="11"/>
        <v>3.4888923266629311E-2</v>
      </c>
      <c r="BL42">
        <v>38</v>
      </c>
      <c r="BM42" s="3">
        <v>-8.0308408287995767E-3</v>
      </c>
    </row>
    <row r="43" spans="1:65" x14ac:dyDescent="0.3">
      <c r="A43" s="2">
        <v>46030</v>
      </c>
      <c r="B43">
        <v>2386.6999999999998</v>
      </c>
      <c r="C43">
        <v>4249</v>
      </c>
      <c r="D43">
        <v>1435</v>
      </c>
      <c r="E43">
        <v>3203.9</v>
      </c>
      <c r="F43">
        <v>3724</v>
      </c>
      <c r="H43" s="2">
        <v>46030</v>
      </c>
      <c r="I43" s="3">
        <f t="shared" si="12"/>
        <v>5.9428475090617106E-3</v>
      </c>
      <c r="J43" s="3">
        <f t="shared" si="13"/>
        <v>1.1233280974820348E-2</v>
      </c>
      <c r="K43" s="3">
        <f t="shared" si="14"/>
        <v>2.1861425621306108E-2</v>
      </c>
      <c r="L43" s="3">
        <f t="shared" si="15"/>
        <v>1.338571220718765E-2</v>
      </c>
      <c r="M43" s="3">
        <f t="shared" si="16"/>
        <v>1.2699534984907279E-2</v>
      </c>
      <c r="O43">
        <v>39</v>
      </c>
      <c r="P43" s="8">
        <v>-0.43530910131395784</v>
      </c>
      <c r="Q43" s="8">
        <v>0.37715289278428343</v>
      </c>
      <c r="R43" s="8">
        <v>-0.57215095602778421</v>
      </c>
      <c r="S43" s="8">
        <v>1.6586714490229026</v>
      </c>
      <c r="T43" s="8">
        <v>-0.17226924857378145</v>
      </c>
      <c r="V43">
        <v>39</v>
      </c>
      <c r="W43">
        <v>-0.43530910131395784</v>
      </c>
      <c r="X43">
        <v>9.0985731120781899E-2</v>
      </c>
      <c r="Y43">
        <v>-0.49040837656405745</v>
      </c>
      <c r="Z43">
        <v>1.6677055030657102</v>
      </c>
      <c r="AA43">
        <v>-0.26599574353026345</v>
      </c>
      <c r="AQ43">
        <v>39</v>
      </c>
      <c r="AR43" s="21">
        <f t="shared" si="0"/>
        <v>2356.0255516420539</v>
      </c>
      <c r="AS43" s="21">
        <f t="shared" si="1"/>
        <v>2370.0993586842346</v>
      </c>
      <c r="AT43" s="21">
        <f t="shared" si="2"/>
        <v>2354.1483598570208</v>
      </c>
      <c r="AU43" s="21">
        <f t="shared" si="3"/>
        <v>2413.8980894761448</v>
      </c>
      <c r="AV43" s="21">
        <f t="shared" si="4"/>
        <v>2360.2846978859789</v>
      </c>
      <c r="BE43">
        <v>39</v>
      </c>
      <c r="BF43" s="3">
        <f t="shared" si="7"/>
        <v>-3.4619371288926649E-2</v>
      </c>
      <c r="BG43" s="3">
        <f t="shared" si="8"/>
        <v>-9.2262480745974765E-4</v>
      </c>
      <c r="BH43" s="3">
        <f t="shared" si="9"/>
        <v>-2.8774318289677976E-2</v>
      </c>
      <c r="BI43" s="3">
        <f t="shared" si="10"/>
        <v>3.2129663458783084E-2</v>
      </c>
      <c r="BJ43" s="3">
        <f t="shared" si="11"/>
        <v>-1.8945536324013589E-2</v>
      </c>
      <c r="BL43">
        <v>39</v>
      </c>
      <c r="BM43" s="3">
        <v>-7.8806071346956639E-3</v>
      </c>
    </row>
    <row r="44" spans="1:65" x14ac:dyDescent="0.3">
      <c r="A44" s="2">
        <v>46029</v>
      </c>
      <c r="B44">
        <v>2399.4</v>
      </c>
      <c r="C44">
        <v>4273.2</v>
      </c>
      <c r="D44">
        <v>1427.7</v>
      </c>
      <c r="E44">
        <v>3295.6</v>
      </c>
      <c r="F44">
        <v>3748.8</v>
      </c>
      <c r="H44" s="2">
        <v>46029</v>
      </c>
      <c r="I44" s="3">
        <f t="shared" si="12"/>
        <v>5.3211547324758524E-3</v>
      </c>
      <c r="J44" s="3">
        <f t="shared" si="13"/>
        <v>5.6954577547658758E-3</v>
      </c>
      <c r="K44" s="3">
        <f t="shared" si="14"/>
        <v>-5.0871080139373026E-3</v>
      </c>
      <c r="L44" s="3">
        <f t="shared" si="15"/>
        <v>2.8621367708105749E-2</v>
      </c>
      <c r="M44" s="3">
        <f t="shared" si="16"/>
        <v>6.6595059076262064E-3</v>
      </c>
      <c r="O44">
        <v>40</v>
      </c>
      <c r="P44" s="8">
        <v>-9.3576263901891707E-2</v>
      </c>
      <c r="Q44" s="8">
        <v>-2.1167804032192947</v>
      </c>
      <c r="R44" s="8">
        <v>-1.9187282704640409</v>
      </c>
      <c r="S44" s="8">
        <v>-1.6230993548658157</v>
      </c>
      <c r="T44" s="8">
        <v>0.79831602689258818</v>
      </c>
      <c r="V44">
        <v>40</v>
      </c>
      <c r="W44">
        <v>-9.3576263901891707E-2</v>
      </c>
      <c r="X44">
        <v>-0.42363685652317573</v>
      </c>
      <c r="Y44">
        <v>-2.3255380358475497</v>
      </c>
      <c r="Z44">
        <v>-1.9875220913038436</v>
      </c>
      <c r="AA44">
        <v>0.72094560687944442</v>
      </c>
      <c r="AQ44">
        <v>40</v>
      </c>
      <c r="AR44" s="21">
        <f t="shared" si="0"/>
        <v>2365.3941922578247</v>
      </c>
      <c r="AS44" s="21">
        <f t="shared" si="1"/>
        <v>2355.975308848635</v>
      </c>
      <c r="AT44" s="21">
        <f t="shared" si="2"/>
        <v>2304.510050514928</v>
      </c>
      <c r="AU44" s="21">
        <f t="shared" si="3"/>
        <v>2313.5821587704581</v>
      </c>
      <c r="AV44" s="21">
        <f t="shared" si="4"/>
        <v>2387.5091968168308</v>
      </c>
      <c r="BE44">
        <v>40</v>
      </c>
      <c r="BF44" s="3">
        <f t="shared" si="7"/>
        <v>3.9685744627502443E-3</v>
      </c>
      <c r="BG44" s="3">
        <f t="shared" si="8"/>
        <v>-5.9770921444891678E-3</v>
      </c>
      <c r="BH44" s="3">
        <f t="shared" si="9"/>
        <v>-2.1310937005171064E-2</v>
      </c>
      <c r="BI44" s="3">
        <f t="shared" si="10"/>
        <v>-4.2445863834145156E-2</v>
      </c>
      <c r="BJ44" s="3">
        <f t="shared" si="11"/>
        <v>1.1468398976018352E-2</v>
      </c>
      <c r="BL44">
        <v>40</v>
      </c>
      <c r="BM44" s="3">
        <v>-7.7917644453587148E-3</v>
      </c>
    </row>
    <row r="45" spans="1:65" x14ac:dyDescent="0.3">
      <c r="A45" s="2">
        <v>46028</v>
      </c>
      <c r="B45">
        <v>2424.6999999999998</v>
      </c>
      <c r="C45">
        <v>4111.8</v>
      </c>
      <c r="D45">
        <v>1411.2</v>
      </c>
      <c r="E45">
        <v>3255.8</v>
      </c>
      <c r="F45">
        <v>3785.6</v>
      </c>
      <c r="H45" s="2">
        <v>46028</v>
      </c>
      <c r="I45" s="3">
        <f t="shared" si="12"/>
        <v>1.0544302742352185E-2</v>
      </c>
      <c r="J45" s="3">
        <f t="shared" si="13"/>
        <v>-3.7770289244594135E-2</v>
      </c>
      <c r="K45" s="3">
        <f t="shared" si="14"/>
        <v>-1.1557049800378194E-2</v>
      </c>
      <c r="L45" s="3">
        <f t="shared" si="15"/>
        <v>-1.2076708338390474E-2</v>
      </c>
      <c r="M45" s="3">
        <f t="shared" si="16"/>
        <v>9.8164746052069596E-3</v>
      </c>
      <c r="O45">
        <v>41</v>
      </c>
      <c r="P45" s="8">
        <v>0.97754221640643624</v>
      </c>
      <c r="Q45" s="8">
        <v>0.91103418707305894</v>
      </c>
      <c r="R45" s="8">
        <v>0.94274994972927928</v>
      </c>
      <c r="S45" s="8">
        <v>0.81546208609890525</v>
      </c>
      <c r="T45" s="8">
        <v>-1.2915267804339512</v>
      </c>
      <c r="V45">
        <v>41</v>
      </c>
      <c r="W45">
        <v>0.97754221640643624</v>
      </c>
      <c r="X45">
        <v>0.15017492432239954</v>
      </c>
      <c r="Y45">
        <v>1.1396548547680023</v>
      </c>
      <c r="Z45">
        <v>0.99790568434269178</v>
      </c>
      <c r="AA45">
        <v>-1.2516772692611562</v>
      </c>
      <c r="AQ45">
        <v>41</v>
      </c>
      <c r="AR45" s="21">
        <f t="shared" si="0"/>
        <v>2395.0014244390918</v>
      </c>
      <c r="AS45" s="21">
        <f t="shared" si="1"/>
        <v>2371.7228467449813</v>
      </c>
      <c r="AT45" s="21">
        <f t="shared" si="2"/>
        <v>2399.1375434935535</v>
      </c>
      <c r="AU45" s="21">
        <f t="shared" si="3"/>
        <v>2395.1869667093292</v>
      </c>
      <c r="AV45" s="21">
        <f t="shared" si="4"/>
        <v>2333.4235051105252</v>
      </c>
      <c r="BE45">
        <v>41</v>
      </c>
      <c r="BF45" s="3">
        <f t="shared" si="7"/>
        <v>1.2439140075864179E-2</v>
      </c>
      <c r="BG45" s="3">
        <f t="shared" si="8"/>
        <v>6.6618449900613611E-3</v>
      </c>
      <c r="BH45" s="3">
        <f t="shared" si="9"/>
        <v>4.0241221466935928E-2</v>
      </c>
      <c r="BI45" s="3">
        <f t="shared" si="10"/>
        <v>3.4664251753361706E-2</v>
      </c>
      <c r="BJ45" s="3">
        <f t="shared" si="11"/>
        <v>-2.2914140747334884E-2</v>
      </c>
      <c r="BL45">
        <v>41</v>
      </c>
      <c r="BM45" s="3">
        <v>-7.6319267111832866E-3</v>
      </c>
    </row>
    <row r="46" spans="1:65" x14ac:dyDescent="0.3">
      <c r="A46" s="2">
        <v>46027</v>
      </c>
      <c r="B46">
        <v>2384.1</v>
      </c>
      <c r="C46">
        <v>4079.7</v>
      </c>
      <c r="D46">
        <v>1371.5</v>
      </c>
      <c r="E46">
        <v>3216.1</v>
      </c>
      <c r="F46">
        <v>3790.3</v>
      </c>
      <c r="H46" s="2">
        <v>46027</v>
      </c>
      <c r="I46" s="3">
        <f t="shared" si="12"/>
        <v>-1.6744339505918249E-2</v>
      </c>
      <c r="J46" s="3">
        <f t="shared" si="13"/>
        <v>-7.8067999416314704E-3</v>
      </c>
      <c r="K46" s="3">
        <f t="shared" si="14"/>
        <v>-2.8132086167800496E-2</v>
      </c>
      <c r="L46" s="3">
        <f t="shared" si="15"/>
        <v>-1.2193623686958754E-2</v>
      </c>
      <c r="M46" s="3">
        <f t="shared" si="16"/>
        <v>1.2415469146238589E-3</v>
      </c>
      <c r="O46">
        <v>42</v>
      </c>
      <c r="P46" s="8">
        <v>0.28270540094693103</v>
      </c>
      <c r="Q46" s="8">
        <v>0.42671432931245129</v>
      </c>
      <c r="R46" s="8">
        <v>-0.43145708860340626</v>
      </c>
      <c r="S46" s="8">
        <v>-0.57464068183895012</v>
      </c>
      <c r="T46" s="8">
        <v>0.40203023526610432</v>
      </c>
      <c r="V46">
        <v>42</v>
      </c>
      <c r="W46">
        <v>0.28270540094693103</v>
      </c>
      <c r="X46">
        <v>7.6348442457654042E-2</v>
      </c>
      <c r="Y46">
        <v>-0.323674142367604</v>
      </c>
      <c r="Z46">
        <v>-0.50742153749784547</v>
      </c>
      <c r="AA46">
        <v>0.66541648540753373</v>
      </c>
      <c r="AQ46">
        <v>42</v>
      </c>
      <c r="AR46" s="21">
        <f t="shared" si="0"/>
        <v>2375.7529481846673</v>
      </c>
      <c r="AS46" s="21">
        <f t="shared" si="1"/>
        <v>2369.693354316506</v>
      </c>
      <c r="AT46" s="21">
        <f t="shared" si="2"/>
        <v>2358.7112550367187</v>
      </c>
      <c r="AU46" s="21">
        <f t="shared" si="3"/>
        <v>2353.6850836452545</v>
      </c>
      <c r="AV46" s="21">
        <f t="shared" si="4"/>
        <v>2385.9635941255665</v>
      </c>
      <c r="BE46">
        <v>42</v>
      </c>
      <c r="BF46" s="3">
        <f t="shared" si="7"/>
        <v>-8.0694075605121686E-3</v>
      </c>
      <c r="BG46" s="3">
        <f t="shared" si="8"/>
        <v>-8.5607019774592132E-4</v>
      </c>
      <c r="BH46" s="3">
        <f t="shared" si="9"/>
        <v>-1.6993924383909266E-2</v>
      </c>
      <c r="BI46" s="3">
        <f t="shared" si="10"/>
        <v>-1.7479072609062882E-2</v>
      </c>
      <c r="BJ46" s="3">
        <f t="shared" si="11"/>
        <v>2.2266560751399468E-2</v>
      </c>
      <c r="BL46">
        <v>42</v>
      </c>
      <c r="BM46" s="3">
        <v>-7.4424732280094488E-3</v>
      </c>
    </row>
    <row r="47" spans="1:65" x14ac:dyDescent="0.3">
      <c r="A47" s="2">
        <v>46024</v>
      </c>
      <c r="B47">
        <v>2348</v>
      </c>
      <c r="C47">
        <v>4051.7</v>
      </c>
      <c r="D47">
        <v>1355.4</v>
      </c>
      <c r="E47">
        <v>3250.7</v>
      </c>
      <c r="F47">
        <v>3802.4</v>
      </c>
      <c r="H47" s="2">
        <v>46024</v>
      </c>
      <c r="I47" s="3">
        <f t="shared" si="12"/>
        <v>-1.5141982299400114E-2</v>
      </c>
      <c r="J47" s="3">
        <f t="shared" si="13"/>
        <v>-6.8632497487560729E-3</v>
      </c>
      <c r="K47" s="3">
        <f t="shared" si="14"/>
        <v>-1.1738971928545339E-2</v>
      </c>
      <c r="L47" s="3">
        <f t="shared" si="15"/>
        <v>1.0758371941171019E-2</v>
      </c>
      <c r="M47" s="3">
        <f t="shared" si="16"/>
        <v>3.1923594438434399E-3</v>
      </c>
      <c r="O47">
        <v>43</v>
      </c>
      <c r="P47" s="8">
        <v>-1.6042901312120033</v>
      </c>
      <c r="Q47" s="8">
        <v>-0.54413356986387196</v>
      </c>
      <c r="R47" s="8">
        <v>1.4020844496202462E-2</v>
      </c>
      <c r="S47" s="8">
        <v>-0.49949680537584246</v>
      </c>
      <c r="T47" s="8">
        <v>-0.69392958457864229</v>
      </c>
      <c r="V47">
        <v>43</v>
      </c>
      <c r="W47">
        <v>-1.6042901312120033</v>
      </c>
      <c r="X47">
        <v>-5.4689294631765278E-2</v>
      </c>
      <c r="Y47">
        <v>-0.14358868985482451</v>
      </c>
      <c r="Z47">
        <v>-0.61685940708119535</v>
      </c>
      <c r="AA47">
        <v>-0.66274066831415501</v>
      </c>
      <c r="AQ47">
        <v>43</v>
      </c>
      <c r="AR47" s="21">
        <f t="shared" si="0"/>
        <v>2324.2563254438055</v>
      </c>
      <c r="AS47" s="21">
        <f t="shared" si="1"/>
        <v>2366.0981638192429</v>
      </c>
      <c r="AT47" s="21">
        <f t="shared" si="2"/>
        <v>2363.6499616001042</v>
      </c>
      <c r="AU47" s="21">
        <f t="shared" si="3"/>
        <v>2350.694823646957</v>
      </c>
      <c r="AV47" s="21">
        <f t="shared" si="4"/>
        <v>2349.4446836589336</v>
      </c>
      <c r="BE47">
        <v>43</v>
      </c>
      <c r="BF47" s="3">
        <f t="shared" si="7"/>
        <v>-2.1914290208530068E-2</v>
      </c>
      <c r="BG47" s="3">
        <f t="shared" si="8"/>
        <v>-1.5183063587775954E-3</v>
      </c>
      <c r="BH47" s="3">
        <f t="shared" si="9"/>
        <v>2.0916266830738636E-3</v>
      </c>
      <c r="BI47" s="3">
        <f t="shared" si="10"/>
        <v>-1.271266547321222E-3</v>
      </c>
      <c r="BJ47" s="3">
        <f t="shared" si="11"/>
        <v>-1.5424070033573134E-2</v>
      </c>
      <c r="BL47">
        <v>43</v>
      </c>
      <c r="BM47" s="3">
        <v>-6.6085726332916674E-3</v>
      </c>
    </row>
    <row r="48" spans="1:65" x14ac:dyDescent="0.3">
      <c r="A48" s="2">
        <v>46023</v>
      </c>
      <c r="B48">
        <v>2323</v>
      </c>
      <c r="C48">
        <v>4049.3</v>
      </c>
      <c r="D48">
        <v>1338</v>
      </c>
      <c r="E48">
        <v>3227.4</v>
      </c>
      <c r="F48">
        <v>3761</v>
      </c>
      <c r="H48" s="2">
        <v>46023</v>
      </c>
      <c r="I48" s="3">
        <f t="shared" si="12"/>
        <v>-1.0647359454855176E-2</v>
      </c>
      <c r="J48" s="3">
        <f t="shared" si="13"/>
        <v>-5.9234395438945153E-4</v>
      </c>
      <c r="K48" s="3">
        <f t="shared" si="14"/>
        <v>-1.2837538733953102E-2</v>
      </c>
      <c r="L48" s="3">
        <f t="shared" si="15"/>
        <v>-7.1676869597316895E-3</v>
      </c>
      <c r="M48" s="3">
        <f t="shared" si="16"/>
        <v>-1.0887860298758656E-2</v>
      </c>
      <c r="O48">
        <v>44</v>
      </c>
      <c r="P48" s="8">
        <v>-0.32707448930861233</v>
      </c>
      <c r="Q48" s="8">
        <v>0.41127435739159385</v>
      </c>
      <c r="R48" s="8">
        <v>1.5736517848215181</v>
      </c>
      <c r="S48" s="8">
        <v>-0.33930556062865502</v>
      </c>
      <c r="T48" s="8">
        <v>-1.1888790970646668</v>
      </c>
      <c r="V48">
        <v>44</v>
      </c>
      <c r="W48">
        <v>-0.32707448930861233</v>
      </c>
      <c r="X48">
        <v>9.415333379153204E-2</v>
      </c>
      <c r="Y48">
        <v>1.615961156752056</v>
      </c>
      <c r="Z48">
        <v>-0.23321744151883325</v>
      </c>
      <c r="AA48">
        <v>-1.1433752465308462</v>
      </c>
      <c r="AQ48">
        <v>44</v>
      </c>
      <c r="AR48" s="21">
        <f t="shared" si="0"/>
        <v>2358.988047485132</v>
      </c>
      <c r="AS48" s="21">
        <f t="shared" si="1"/>
        <v>2370.1860739315762</v>
      </c>
      <c r="AT48" s="21">
        <f t="shared" si="2"/>
        <v>2412.4453517159072</v>
      </c>
      <c r="AU48" s="21">
        <f t="shared" si="3"/>
        <v>2361.1835753232667</v>
      </c>
      <c r="AV48" s="21">
        <f t="shared" si="4"/>
        <v>2336.3655549168252</v>
      </c>
      <c r="BE48">
        <v>44</v>
      </c>
      <c r="BF48" s="3">
        <f t="shared" si="7"/>
        <v>1.4832605791799031E-2</v>
      </c>
      <c r="BG48" s="3">
        <f t="shared" si="8"/>
        <v>1.72621021975283E-3</v>
      </c>
      <c r="BH48" s="3">
        <f t="shared" si="9"/>
        <v>2.0433883644733732E-2</v>
      </c>
      <c r="BI48" s="3">
        <f t="shared" si="10"/>
        <v>4.4520541969865803E-3</v>
      </c>
      <c r="BJ48" s="3">
        <f t="shared" si="11"/>
        <v>-5.5824551326052957E-3</v>
      </c>
      <c r="BL48">
        <v>44</v>
      </c>
      <c r="BM48" s="3">
        <v>-6.6040740910328338E-3</v>
      </c>
    </row>
    <row r="49" spans="1:65" x14ac:dyDescent="0.3">
      <c r="A49" s="2">
        <v>46022</v>
      </c>
      <c r="B49">
        <v>2315.9</v>
      </c>
      <c r="C49">
        <v>4051.5</v>
      </c>
      <c r="D49">
        <v>1342.9</v>
      </c>
      <c r="E49">
        <v>3206.2</v>
      </c>
      <c r="F49">
        <v>3709.2</v>
      </c>
      <c r="H49" s="2">
        <v>46022</v>
      </c>
      <c r="I49" s="3">
        <f t="shared" si="12"/>
        <v>-3.0563925957812765E-3</v>
      </c>
      <c r="J49" s="3">
        <f t="shared" si="13"/>
        <v>5.4330378090039488E-4</v>
      </c>
      <c r="K49" s="3">
        <f t="shared" si="14"/>
        <v>3.6621823617339899E-3</v>
      </c>
      <c r="L49" s="3">
        <f t="shared" si="15"/>
        <v>-6.5687550350127522E-3</v>
      </c>
      <c r="M49" s="3">
        <f t="shared" si="16"/>
        <v>-1.3772932730656828E-2</v>
      </c>
      <c r="O49">
        <v>45</v>
      </c>
      <c r="P49" s="8">
        <v>-1.2235997410674937</v>
      </c>
      <c r="Q49" s="8">
        <v>0.80882005119080558</v>
      </c>
      <c r="R49" s="8">
        <v>-0.5867347684753691</v>
      </c>
      <c r="S49" s="8">
        <v>0.84124399470810496</v>
      </c>
      <c r="T49" s="8">
        <v>2.3656376684718841</v>
      </c>
      <c r="V49">
        <v>45</v>
      </c>
      <c r="W49">
        <v>-1.2235997410674937</v>
      </c>
      <c r="X49">
        <v>0.20507316201621961</v>
      </c>
      <c r="Y49">
        <v>-0.43379049774572076</v>
      </c>
      <c r="Z49">
        <v>0.90674827408123893</v>
      </c>
      <c r="AA49">
        <v>2.384746296998991</v>
      </c>
      <c r="AQ49">
        <v>45</v>
      </c>
      <c r="AR49" s="21">
        <f t="shared" si="0"/>
        <v>2334.5544522232208</v>
      </c>
      <c r="AS49" s="21">
        <f t="shared" si="1"/>
        <v>2373.2450923034107</v>
      </c>
      <c r="AT49" s="21">
        <f t="shared" si="2"/>
        <v>2355.6962681561376</v>
      </c>
      <c r="AU49" s="21">
        <f t="shared" si="3"/>
        <v>2392.6596833223916</v>
      </c>
      <c r="AV49" s="21">
        <f t="shared" si="4"/>
        <v>2434.0767089797691</v>
      </c>
      <c r="BE49">
        <v>45</v>
      </c>
      <c r="BF49" s="3">
        <f t="shared" si="7"/>
        <v>-1.041167347939727E-2</v>
      </c>
      <c r="BG49" s="3">
        <f t="shared" si="8"/>
        <v>1.2897915828026546E-3</v>
      </c>
      <c r="BH49" s="3">
        <f t="shared" si="9"/>
        <v>-2.3804562796982249E-2</v>
      </c>
      <c r="BI49" s="3">
        <f t="shared" si="10"/>
        <v>1.3242577119779714E-2</v>
      </c>
      <c r="BJ49" s="3">
        <f t="shared" si="11"/>
        <v>4.0970969399486488E-2</v>
      </c>
      <c r="BL49">
        <v>45</v>
      </c>
      <c r="BM49" s="3">
        <v>-6.5841422055333138E-3</v>
      </c>
    </row>
    <row r="50" spans="1:65" x14ac:dyDescent="0.3">
      <c r="A50" s="2">
        <v>46021</v>
      </c>
      <c r="B50">
        <v>2290.1999999999998</v>
      </c>
      <c r="C50">
        <v>3974.1</v>
      </c>
      <c r="D50">
        <v>1342.5</v>
      </c>
      <c r="E50">
        <v>3246.8</v>
      </c>
      <c r="F50">
        <v>3660.3</v>
      </c>
      <c r="H50" s="2">
        <v>46021</v>
      </c>
      <c r="I50" s="3">
        <f t="shared" si="12"/>
        <v>-1.1097197633749389E-2</v>
      </c>
      <c r="J50" s="3">
        <f t="shared" si="13"/>
        <v>-1.9104035542391706E-2</v>
      </c>
      <c r="K50" s="3">
        <f t="shared" si="14"/>
        <v>-2.978628341648859E-4</v>
      </c>
      <c r="L50" s="3">
        <f t="shared" si="15"/>
        <v>1.2662965504335544E-2</v>
      </c>
      <c r="M50" s="3">
        <f t="shared" si="16"/>
        <v>-1.3183435781300434E-2</v>
      </c>
      <c r="O50">
        <v>46</v>
      </c>
      <c r="P50" s="8">
        <v>0.75002244179073652</v>
      </c>
      <c r="Q50" s="8">
        <v>-0.57447571987181278</v>
      </c>
      <c r="R50" s="8">
        <v>-4.8809815235546838E-2</v>
      </c>
      <c r="S50" s="8">
        <v>-1.2302308938201525</v>
      </c>
      <c r="T50" s="8">
        <v>-0.90923096039496376</v>
      </c>
      <c r="V50">
        <v>46</v>
      </c>
      <c r="W50">
        <v>0.75002244179073652</v>
      </c>
      <c r="X50">
        <v>-0.1415718747196435</v>
      </c>
      <c r="Y50">
        <v>-0.14981641748929442</v>
      </c>
      <c r="Z50">
        <v>-1.2855724231878964</v>
      </c>
      <c r="AA50">
        <v>-0.78609035960078577</v>
      </c>
      <c r="AQ50">
        <v>46</v>
      </c>
      <c r="AR50" s="21">
        <f t="shared" si="0"/>
        <v>2388.6807730731466</v>
      </c>
      <c r="AS50" s="21">
        <f t="shared" si="1"/>
        <v>2363.7017237713048</v>
      </c>
      <c r="AT50" s="21">
        <f t="shared" si="2"/>
        <v>2363.4794001709206</v>
      </c>
      <c r="AU50" s="21">
        <f t="shared" si="3"/>
        <v>2332.5101579099269</v>
      </c>
      <c r="AV50" s="21">
        <f t="shared" si="4"/>
        <v>2346.0844010742626</v>
      </c>
      <c r="BE50">
        <v>46</v>
      </c>
      <c r="BF50" s="3">
        <f t="shared" si="7"/>
        <v>2.2920175592509213E-2</v>
      </c>
      <c r="BG50" s="3">
        <f t="shared" si="8"/>
        <v>-4.029338649761809E-3</v>
      </c>
      <c r="BH50" s="3">
        <f t="shared" si="9"/>
        <v>3.2985163590587186E-3</v>
      </c>
      <c r="BI50" s="3">
        <f t="shared" si="10"/>
        <v>-2.5460576732998438E-2</v>
      </c>
      <c r="BJ50" s="3">
        <f t="shared" si="11"/>
        <v>-3.6819783500941998E-2</v>
      </c>
      <c r="BL50">
        <v>46</v>
      </c>
      <c r="BM50" s="3">
        <v>-6.3098840753434407E-3</v>
      </c>
    </row>
    <row r="51" spans="1:65" x14ac:dyDescent="0.3">
      <c r="A51" s="2">
        <v>46020</v>
      </c>
      <c r="B51">
        <v>2293.3000000000002</v>
      </c>
      <c r="C51">
        <v>3983.7</v>
      </c>
      <c r="D51">
        <v>1343.3</v>
      </c>
      <c r="E51">
        <v>3251.5</v>
      </c>
      <c r="F51">
        <v>3592.1</v>
      </c>
      <c r="H51" s="2">
        <v>46020</v>
      </c>
      <c r="I51" s="3">
        <f t="shared" si="12"/>
        <v>1.353593572613887E-3</v>
      </c>
      <c r="J51" s="3">
        <f t="shared" si="13"/>
        <v>2.4156412772702307E-3</v>
      </c>
      <c r="K51" s="3">
        <f t="shared" si="14"/>
        <v>5.9590316573543411E-4</v>
      </c>
      <c r="L51" s="3">
        <f t="shared" si="15"/>
        <v>1.4475791548600458E-3</v>
      </c>
      <c r="M51" s="3">
        <f t="shared" si="16"/>
        <v>-1.8632352539409425E-2</v>
      </c>
      <c r="O51">
        <v>47</v>
      </c>
      <c r="P51" s="8">
        <v>1.6394787204270742</v>
      </c>
      <c r="Q51" s="8">
        <v>0.60538880058812528</v>
      </c>
      <c r="R51" s="8">
        <v>1.4838351739928182</v>
      </c>
      <c r="S51" s="8">
        <v>-1.2650085571547824</v>
      </c>
      <c r="T51" s="8">
        <v>-0.9239982730656322</v>
      </c>
      <c r="V51">
        <v>47</v>
      </c>
      <c r="W51">
        <v>1.6394787204270742</v>
      </c>
      <c r="X51">
        <v>6.583422392309779E-2</v>
      </c>
      <c r="Y51">
        <v>1.6207971582826008</v>
      </c>
      <c r="Z51">
        <v>-1.0704703585330206</v>
      </c>
      <c r="AA51">
        <v>-0.7050196978247889</v>
      </c>
      <c r="AQ51">
        <v>47</v>
      </c>
      <c r="AR51" s="21">
        <f t="shared" si="0"/>
        <v>2413.4823917111639</v>
      </c>
      <c r="AS51" s="21">
        <f t="shared" si="1"/>
        <v>2369.3979930431683</v>
      </c>
      <c r="AT51" s="21">
        <f t="shared" si="2"/>
        <v>2412.580971197995</v>
      </c>
      <c r="AU51" s="21">
        <f t="shared" si="3"/>
        <v>2338.336408037394</v>
      </c>
      <c r="AV51" s="21">
        <f t="shared" si="4"/>
        <v>2348.2933499001115</v>
      </c>
      <c r="BE51">
        <v>47</v>
      </c>
      <c r="BF51" s="3">
        <f t="shared" si="7"/>
        <v>1.0329444589433955E-2</v>
      </c>
      <c r="BG51" s="3">
        <f t="shared" si="8"/>
        <v>2.4069943009211925E-3</v>
      </c>
      <c r="BH51" s="3">
        <f t="shared" si="9"/>
        <v>2.0562261460618729E-2</v>
      </c>
      <c r="BI51" s="3">
        <f t="shared" si="10"/>
        <v>2.4947311229064212E-3</v>
      </c>
      <c r="BJ51" s="3">
        <f t="shared" si="11"/>
        <v>9.4110406365353351E-4</v>
      </c>
      <c r="BL51">
        <v>47</v>
      </c>
      <c r="BM51" s="3">
        <v>-6.1199613212498784E-3</v>
      </c>
    </row>
    <row r="52" spans="1:65" x14ac:dyDescent="0.3">
      <c r="A52" s="2">
        <v>46017</v>
      </c>
      <c r="B52">
        <v>2285.4</v>
      </c>
      <c r="C52">
        <v>3992</v>
      </c>
      <c r="D52">
        <v>1350.4</v>
      </c>
      <c r="E52">
        <v>3280</v>
      </c>
      <c r="F52">
        <v>3623.1</v>
      </c>
      <c r="H52" s="2">
        <v>46017</v>
      </c>
      <c r="I52" s="3">
        <f t="shared" si="12"/>
        <v>-3.4448175118825253E-3</v>
      </c>
      <c r="J52" s="3">
        <f t="shared" si="13"/>
        <v>2.0834902226574137E-3</v>
      </c>
      <c r="K52" s="3">
        <f t="shared" si="14"/>
        <v>5.28549095511055E-3</v>
      </c>
      <c r="L52" s="3">
        <f t="shared" si="15"/>
        <v>8.7651852990926482E-3</v>
      </c>
      <c r="M52" s="3">
        <f t="shared" si="16"/>
        <v>8.6300492747974911E-3</v>
      </c>
      <c r="O52">
        <v>48</v>
      </c>
      <c r="P52" s="8">
        <v>1.387125712835394</v>
      </c>
      <c r="Q52" s="8">
        <v>0.34514562443070906</v>
      </c>
      <c r="R52" s="8">
        <v>-0.54268171640349161</v>
      </c>
      <c r="S52" s="8">
        <v>-0.5184259179223073</v>
      </c>
      <c r="T52" s="8">
        <v>0.58807745901274577</v>
      </c>
      <c r="V52">
        <v>48</v>
      </c>
      <c r="W52">
        <v>1.387125712835394</v>
      </c>
      <c r="X52">
        <v>2.2013316491480868E-2</v>
      </c>
      <c r="Y52">
        <v>-0.42073101286823872</v>
      </c>
      <c r="Z52">
        <v>-0.43995488315930908</v>
      </c>
      <c r="AA52">
        <v>0.7886861867215067</v>
      </c>
      <c r="AQ52">
        <v>48</v>
      </c>
      <c r="AR52" s="21">
        <f t="shared" si="0"/>
        <v>2406.4195158713801</v>
      </c>
      <c r="AS52" s="21">
        <f t="shared" si="1"/>
        <v>2368.1936296647064</v>
      </c>
      <c r="AT52" s="21">
        <f t="shared" si="2"/>
        <v>2356.0543711032433</v>
      </c>
      <c r="AU52" s="21">
        <f t="shared" si="3"/>
        <v>2355.5303633921535</v>
      </c>
      <c r="AV52" s="21">
        <f t="shared" si="4"/>
        <v>2389.3814085324325</v>
      </c>
      <c r="BE52">
        <v>48</v>
      </c>
      <c r="BF52" s="3">
        <f t="shared" si="7"/>
        <v>-2.9307156164239557E-3</v>
      </c>
      <c r="BG52" s="3">
        <f t="shared" si="8"/>
        <v>-5.0842854358039457E-4</v>
      </c>
      <c r="BH52" s="3">
        <f t="shared" si="9"/>
        <v>-2.3708773617752379E-2</v>
      </c>
      <c r="BI52" s="3">
        <f t="shared" si="10"/>
        <v>7.3261697001160723E-3</v>
      </c>
      <c r="BJ52" s="3">
        <f t="shared" si="11"/>
        <v>1.7345677325361401E-2</v>
      </c>
      <c r="BL52">
        <v>48</v>
      </c>
      <c r="BM52" s="3">
        <v>-6.0805759638790507E-3</v>
      </c>
    </row>
    <row r="53" spans="1:65" x14ac:dyDescent="0.3">
      <c r="A53" s="2">
        <v>46015</v>
      </c>
      <c r="B53">
        <v>2282.1999999999998</v>
      </c>
      <c r="C53">
        <v>3909.3</v>
      </c>
      <c r="D53">
        <v>1359.8</v>
      </c>
      <c r="E53">
        <v>3319</v>
      </c>
      <c r="F53">
        <v>3636.7</v>
      </c>
      <c r="H53" s="2">
        <v>46015</v>
      </c>
      <c r="I53" s="3">
        <f t="shared" si="12"/>
        <v>-1.400192526472499E-3</v>
      </c>
      <c r="J53" s="3">
        <f t="shared" si="13"/>
        <v>-2.0716432865731438E-2</v>
      </c>
      <c r="K53" s="3">
        <f t="shared" si="14"/>
        <v>6.9609004739334956E-3</v>
      </c>
      <c r="L53" s="3">
        <f t="shared" si="15"/>
        <v>1.189024390243909E-2</v>
      </c>
      <c r="M53" s="3">
        <f t="shared" si="16"/>
        <v>3.7536915900748813E-3</v>
      </c>
      <c r="O53">
        <v>49</v>
      </c>
      <c r="P53" s="8">
        <v>-1.3983218888180975</v>
      </c>
      <c r="Q53" s="8">
        <v>0.23519543154686995</v>
      </c>
      <c r="R53" s="8">
        <v>1.0308264253272659</v>
      </c>
      <c r="S53" s="8">
        <v>-4.6994169944647703E-2</v>
      </c>
      <c r="T53" s="8">
        <v>0.38068933737955818</v>
      </c>
      <c r="V53">
        <v>49</v>
      </c>
      <c r="W53">
        <v>-1.3983218888180975</v>
      </c>
      <c r="X53">
        <v>9.5396045687310138E-2</v>
      </c>
      <c r="Y53">
        <v>1.0203177724240851</v>
      </c>
      <c r="Z53">
        <v>-1.480668184848024E-2</v>
      </c>
      <c r="AA53">
        <v>0.31047448140777134</v>
      </c>
      <c r="AQ53">
        <v>49</v>
      </c>
      <c r="AR53" s="21">
        <f t="shared" si="0"/>
        <v>2329.8215852315188</v>
      </c>
      <c r="AS53" s="21">
        <f t="shared" si="1"/>
        <v>2370.2249424321008</v>
      </c>
      <c r="AT53" s="21">
        <f t="shared" si="2"/>
        <v>2395.8151335202933</v>
      </c>
      <c r="AU53" s="21">
        <f t="shared" si="3"/>
        <v>2367.1828963518469</v>
      </c>
      <c r="AV53" s="21">
        <f t="shared" si="4"/>
        <v>2376.1466274129189</v>
      </c>
      <c r="BE53">
        <v>49</v>
      </c>
      <c r="BF53" s="3">
        <f t="shared" si="7"/>
        <v>-3.2348272943193583E-2</v>
      </c>
      <c r="BG53" s="3">
        <f t="shared" si="8"/>
        <v>8.5738009883353167E-4</v>
      </c>
      <c r="BH53" s="3">
        <f t="shared" si="9"/>
        <v>1.6735177741903258E-2</v>
      </c>
      <c r="BI53" s="3">
        <f t="shared" si="10"/>
        <v>4.934687314195765E-3</v>
      </c>
      <c r="BJ53" s="3">
        <f t="shared" si="11"/>
        <v>-5.5543960902282013E-3</v>
      </c>
      <c r="BL53">
        <v>49</v>
      </c>
      <c r="BM53" s="3">
        <v>-6.0004342688080676E-3</v>
      </c>
    </row>
    <row r="54" spans="1:65" x14ac:dyDescent="0.3">
      <c r="A54" s="2">
        <v>46014</v>
      </c>
      <c r="B54">
        <v>2302.6</v>
      </c>
      <c r="C54">
        <v>3925.8</v>
      </c>
      <c r="D54">
        <v>1363</v>
      </c>
      <c r="E54">
        <v>3310</v>
      </c>
      <c r="F54">
        <v>3625.1</v>
      </c>
      <c r="H54" s="2">
        <v>46014</v>
      </c>
      <c r="I54" s="3">
        <f t="shared" si="12"/>
        <v>8.9387433178511611E-3</v>
      </c>
      <c r="J54" s="3">
        <f t="shared" si="13"/>
        <v>4.2207044739468458E-3</v>
      </c>
      <c r="K54" s="3">
        <f t="shared" si="14"/>
        <v>2.3532872481246692E-3</v>
      </c>
      <c r="L54" s="3">
        <f t="shared" si="15"/>
        <v>-2.7116601385959171E-3</v>
      </c>
      <c r="M54" s="3">
        <f t="shared" si="16"/>
        <v>-3.1897049522918719E-3</v>
      </c>
      <c r="O54">
        <v>50</v>
      </c>
      <c r="P54" s="8">
        <v>-0.938769254491014</v>
      </c>
      <c r="Q54" s="8">
        <v>-1.2945080438159751</v>
      </c>
      <c r="R54" s="8">
        <v>-0.46012629179789727</v>
      </c>
      <c r="S54" s="8">
        <v>0.94807831696660883</v>
      </c>
      <c r="T54" s="8">
        <v>1.4229952592721171</v>
      </c>
      <c r="V54">
        <v>50</v>
      </c>
      <c r="W54">
        <v>-0.938769254491014</v>
      </c>
      <c r="X54">
        <v>-0.22883219812000799</v>
      </c>
      <c r="Y54">
        <v>-0.74842094952183558</v>
      </c>
      <c r="Z54">
        <v>0.69962107442949584</v>
      </c>
      <c r="AA54">
        <v>0.8466952792585688</v>
      </c>
      <c r="AQ54">
        <v>50</v>
      </c>
      <c r="AR54" s="21">
        <f t="shared" si="0"/>
        <v>2342.288730931888</v>
      </c>
      <c r="AS54" s="21">
        <f t="shared" si="1"/>
        <v>2361.3149978605638</v>
      </c>
      <c r="AT54" s="21">
        <f t="shared" si="2"/>
        <v>2347.106397983132</v>
      </c>
      <c r="AU54" s="21">
        <f t="shared" si="3"/>
        <v>2386.9126122362095</v>
      </c>
      <c r="AV54" s="21">
        <f t="shared" si="4"/>
        <v>2390.9865605883097</v>
      </c>
      <c r="BE54">
        <v>50</v>
      </c>
      <c r="BF54" s="3">
        <f t="shared" si="7"/>
        <v>5.3368497092024271E-3</v>
      </c>
      <c r="BG54" s="3">
        <f t="shared" si="8"/>
        <v>-3.7661967206027193E-3</v>
      </c>
      <c r="BH54" s="3">
        <f t="shared" si="9"/>
        <v>-2.0540271531256114E-2</v>
      </c>
      <c r="BI54" s="3">
        <f t="shared" si="10"/>
        <v>8.300140002414089E-3</v>
      </c>
      <c r="BJ54" s="3">
        <f t="shared" si="11"/>
        <v>6.2259561569728431E-3</v>
      </c>
      <c r="BL54">
        <v>50</v>
      </c>
      <c r="BM54" s="3">
        <v>-5.8570550658079206E-3</v>
      </c>
    </row>
    <row r="55" spans="1:65" x14ac:dyDescent="0.3">
      <c r="A55" s="2">
        <v>46013</v>
      </c>
      <c r="B55">
        <v>2289.5</v>
      </c>
      <c r="C55">
        <v>3933.8</v>
      </c>
      <c r="D55">
        <v>1368.5</v>
      </c>
      <c r="E55">
        <v>3324.9</v>
      </c>
      <c r="F55">
        <v>3616.7</v>
      </c>
      <c r="H55" s="2">
        <v>46013</v>
      </c>
      <c r="I55" s="3">
        <f t="shared" si="12"/>
        <v>-5.6892208807434175E-3</v>
      </c>
      <c r="J55" s="3">
        <f t="shared" si="13"/>
        <v>2.0378012124917522E-3</v>
      </c>
      <c r="K55" s="3">
        <f t="shared" si="14"/>
        <v>4.0352164343360197E-3</v>
      </c>
      <c r="L55" s="3">
        <f t="shared" si="15"/>
        <v>4.5015105740182637E-3</v>
      </c>
      <c r="M55" s="3">
        <f t="shared" si="16"/>
        <v>-2.3171774571736359E-3</v>
      </c>
      <c r="O55">
        <v>51</v>
      </c>
      <c r="P55" s="8">
        <v>-1.1348062514548254</v>
      </c>
      <c r="Q55" s="8">
        <v>3.5922576681846709E-2</v>
      </c>
      <c r="R55" s="8">
        <v>-9.1543744405412783E-2</v>
      </c>
      <c r="S55" s="8">
        <v>-0.41534895215398387</v>
      </c>
      <c r="T55" s="8">
        <v>-1.9028452361350486E-2</v>
      </c>
      <c r="V55">
        <v>51</v>
      </c>
      <c r="W55">
        <v>-1.1348062514548254</v>
      </c>
      <c r="X55">
        <v>4.6173005207067894E-2</v>
      </c>
      <c r="Y55">
        <v>-0.11150322016845798</v>
      </c>
      <c r="Z55">
        <v>-0.43586291927849968</v>
      </c>
      <c r="AA55">
        <v>0.11825056968551978</v>
      </c>
      <c r="AQ55">
        <v>51</v>
      </c>
      <c r="AR55" s="21">
        <f t="shared" si="0"/>
        <v>2336.9621043947718</v>
      </c>
      <c r="AS55" s="21">
        <f t="shared" si="1"/>
        <v>2368.8692703872384</v>
      </c>
      <c r="AT55" s="21">
        <f t="shared" si="2"/>
        <v>2364.530421913124</v>
      </c>
      <c r="AU55" s="21">
        <f t="shared" si="3"/>
        <v>2355.6409571483928</v>
      </c>
      <c r="AV55" s="21">
        <f t="shared" si="4"/>
        <v>2370.8499940430997</v>
      </c>
      <c r="BE55">
        <v>51</v>
      </c>
      <c r="BF55" s="3">
        <f t="shared" si="7"/>
        <v>-2.2767015598842621E-3</v>
      </c>
      <c r="BG55" s="3">
        <f t="shared" si="8"/>
        <v>3.1940738545183766E-3</v>
      </c>
      <c r="BH55" s="3">
        <f t="shared" si="9"/>
        <v>7.3961996758000756E-3</v>
      </c>
      <c r="BI55" s="3">
        <f t="shared" si="10"/>
        <v>-1.3187877737095392E-2</v>
      </c>
      <c r="BJ55" s="3">
        <f t="shared" si="11"/>
        <v>-8.4575295033476831E-3</v>
      </c>
      <c r="BL55">
        <v>51</v>
      </c>
      <c r="BM55" s="3">
        <v>-5.7695136493354253E-3</v>
      </c>
    </row>
    <row r="56" spans="1:65" x14ac:dyDescent="0.3">
      <c r="A56" s="2">
        <v>46010</v>
      </c>
      <c r="B56">
        <v>2280</v>
      </c>
      <c r="C56">
        <v>3930.1</v>
      </c>
      <c r="D56">
        <v>1354.1</v>
      </c>
      <c r="E56">
        <v>3282</v>
      </c>
      <c r="F56">
        <v>3603.6</v>
      </c>
      <c r="H56" s="2">
        <v>46010</v>
      </c>
      <c r="I56" s="3">
        <f t="shared" si="12"/>
        <v>-4.1493775933609811E-3</v>
      </c>
      <c r="J56" s="3">
        <f t="shared" si="13"/>
        <v>-9.4056637348116645E-4</v>
      </c>
      <c r="K56" s="3">
        <f t="shared" si="14"/>
        <v>-1.0522469857508265E-2</v>
      </c>
      <c r="L56" s="3">
        <f t="shared" si="15"/>
        <v>-1.2902643688532001E-2</v>
      </c>
      <c r="M56" s="3">
        <f t="shared" si="16"/>
        <v>-3.6220864323830426E-3</v>
      </c>
      <c r="O56">
        <v>52</v>
      </c>
      <c r="P56" s="8">
        <v>-2.3924118326098522</v>
      </c>
      <c r="Q56" s="8">
        <v>-1.1868601762315061</v>
      </c>
      <c r="R56" s="8">
        <v>1.9878234777118324</v>
      </c>
      <c r="S56" s="8">
        <v>0.67712320170163232</v>
      </c>
      <c r="T56" s="8">
        <v>5.8504005279108817E-2</v>
      </c>
      <c r="V56">
        <v>52</v>
      </c>
      <c r="W56">
        <v>-2.3924118326098522</v>
      </c>
      <c r="X56">
        <v>-0.15725824759221402</v>
      </c>
      <c r="Y56">
        <v>1.6278533364599901</v>
      </c>
      <c r="Z56">
        <v>0.48478908118498398</v>
      </c>
      <c r="AA56">
        <v>-0.66421384818609097</v>
      </c>
      <c r="AQ56">
        <v>52</v>
      </c>
      <c r="AR56" s="21">
        <f t="shared" si="0"/>
        <v>2303.0788001502269</v>
      </c>
      <c r="AS56" s="21">
        <f t="shared" si="1"/>
        <v>2363.2848086077406</v>
      </c>
      <c r="AT56" s="21">
        <f t="shared" si="2"/>
        <v>2412.7796739228925</v>
      </c>
      <c r="AU56" s="21">
        <f t="shared" si="3"/>
        <v>2380.9543682170638</v>
      </c>
      <c r="AV56" s="21">
        <f t="shared" si="4"/>
        <v>2349.399694593671</v>
      </c>
      <c r="BE56">
        <v>52</v>
      </c>
      <c r="BF56" s="3">
        <f t="shared" si="7"/>
        <v>-1.4605003374964827E-2</v>
      </c>
      <c r="BG56" s="3">
        <f t="shared" si="8"/>
        <v>-2.3602208544754918E-3</v>
      </c>
      <c r="BH56" s="3">
        <f t="shared" si="9"/>
        <v>2.0200025399310949E-2</v>
      </c>
      <c r="BI56" s="3">
        <f t="shared" si="10"/>
        <v>1.0688543277819491E-2</v>
      </c>
      <c r="BJ56" s="3">
        <f t="shared" si="11"/>
        <v>-9.0886917097380473E-3</v>
      </c>
      <c r="BL56">
        <v>52</v>
      </c>
      <c r="BM56" s="3">
        <v>-5.6820498308926782E-3</v>
      </c>
    </row>
    <row r="57" spans="1:65" x14ac:dyDescent="0.3">
      <c r="A57" s="2">
        <v>46009</v>
      </c>
      <c r="B57">
        <v>2265.5</v>
      </c>
      <c r="C57">
        <v>3919.3</v>
      </c>
      <c r="D57">
        <v>1356.8</v>
      </c>
      <c r="E57">
        <v>3280.8</v>
      </c>
      <c r="F57">
        <v>3586.6</v>
      </c>
      <c r="H57" s="2">
        <v>46009</v>
      </c>
      <c r="I57" s="3">
        <f t="shared" si="12"/>
        <v>-6.3596491228070651E-3</v>
      </c>
      <c r="J57" s="3">
        <f t="shared" si="13"/>
        <v>-2.7480216788375866E-3</v>
      </c>
      <c r="K57" s="3">
        <f t="shared" si="14"/>
        <v>1.9939443172587445E-3</v>
      </c>
      <c r="L57" s="3">
        <f t="shared" si="15"/>
        <v>-3.6563071297979199E-4</v>
      </c>
      <c r="M57" s="3">
        <f t="shared" si="16"/>
        <v>-4.7175047175047613E-3</v>
      </c>
      <c r="O57">
        <v>53</v>
      </c>
      <c r="P57" s="8">
        <v>-0.41892094854387768</v>
      </c>
      <c r="Q57" s="8">
        <v>-0.2250476346427327</v>
      </c>
      <c r="R57" s="8">
        <v>1.3358049965599195</v>
      </c>
      <c r="S57" s="8">
        <v>0.26991214220726306</v>
      </c>
      <c r="T57" s="8">
        <v>0.30733928678185601</v>
      </c>
      <c r="V57">
        <v>53</v>
      </c>
      <c r="W57">
        <v>-0.41892094854387768</v>
      </c>
      <c r="X57">
        <v>-3.1009684357004318E-2</v>
      </c>
      <c r="Y57">
        <v>1.2463391232828349</v>
      </c>
      <c r="Z57">
        <v>0.26101814592174405</v>
      </c>
      <c r="AA57">
        <v>-2.7695434810317499E-2</v>
      </c>
      <c r="AQ57">
        <v>53</v>
      </c>
      <c r="AR57" s="21">
        <f t="shared" si="0"/>
        <v>2356.4717692007425</v>
      </c>
      <c r="AS57" s="21">
        <f t="shared" si="1"/>
        <v>2366.7437843041803</v>
      </c>
      <c r="AT57" s="21">
        <f t="shared" si="2"/>
        <v>2402.112615943141</v>
      </c>
      <c r="AU57" s="21">
        <f t="shared" si="3"/>
        <v>2374.7766841487523</v>
      </c>
      <c r="AV57" s="21">
        <f t="shared" si="4"/>
        <v>2366.8319588845493</v>
      </c>
      <c r="BE57">
        <v>53</v>
      </c>
      <c r="BF57" s="3">
        <f t="shared" si="7"/>
        <v>2.2918650781806178E-2</v>
      </c>
      <c r="BG57" s="3">
        <f t="shared" si="8"/>
        <v>1.4625604243532779E-3</v>
      </c>
      <c r="BH57" s="3">
        <f t="shared" si="9"/>
        <v>-4.4308677284545768E-3</v>
      </c>
      <c r="BI57" s="3">
        <f t="shared" si="10"/>
        <v>-2.5979970166619994E-3</v>
      </c>
      <c r="BJ57" s="3">
        <f t="shared" si="11"/>
        <v>7.3924883082298505E-3</v>
      </c>
      <c r="BL57">
        <v>53</v>
      </c>
      <c r="BM57" s="3">
        <v>-5.681374122502793E-3</v>
      </c>
    </row>
    <row r="58" spans="1:65" x14ac:dyDescent="0.3">
      <c r="A58" s="2">
        <v>46008</v>
      </c>
      <c r="B58">
        <v>2275.6</v>
      </c>
      <c r="C58">
        <v>3907.9</v>
      </c>
      <c r="D58">
        <v>1352.4</v>
      </c>
      <c r="E58">
        <v>3217.8</v>
      </c>
      <c r="F58">
        <v>3612.8</v>
      </c>
      <c r="H58" s="2">
        <v>46008</v>
      </c>
      <c r="I58" s="3">
        <f t="shared" si="12"/>
        <v>4.4581770028691015E-3</v>
      </c>
      <c r="J58" s="3">
        <f t="shared" si="13"/>
        <v>-2.9086826729263215E-3</v>
      </c>
      <c r="K58" s="3">
        <f t="shared" si="14"/>
        <v>-3.2429245283017716E-3</v>
      </c>
      <c r="L58" s="3">
        <f t="shared" si="15"/>
        <v>-1.9202633504023403E-2</v>
      </c>
      <c r="M58" s="3">
        <f t="shared" si="16"/>
        <v>7.3049684938382153E-3</v>
      </c>
      <c r="O58">
        <v>54</v>
      </c>
      <c r="P58" s="8">
        <v>1.488635380760011E-2</v>
      </c>
      <c r="Q58" s="8">
        <v>-0.19785989427270773</v>
      </c>
      <c r="R58" s="8">
        <v>-0.26989822727432045</v>
      </c>
      <c r="S58" s="8">
        <v>0.99975001185469847</v>
      </c>
      <c r="T58" s="8">
        <v>-0.76912348573307088</v>
      </c>
      <c r="V58">
        <v>54</v>
      </c>
      <c r="W58">
        <v>1.488635380760011E-2</v>
      </c>
      <c r="X58">
        <v>-4.0408952012313794E-2</v>
      </c>
      <c r="Y58">
        <v>-0.30521671253247679</v>
      </c>
      <c r="Z58">
        <v>0.94900201011679841</v>
      </c>
      <c r="AA58">
        <v>-0.91897852139874836</v>
      </c>
      <c r="AQ58">
        <v>54</v>
      </c>
      <c r="AR58" s="21">
        <f t="shared" si="0"/>
        <v>2368.3733021624048</v>
      </c>
      <c r="AS58" s="21">
        <f t="shared" si="1"/>
        <v>2366.4835538935226</v>
      </c>
      <c r="AT58" s="21">
        <f t="shared" si="2"/>
        <v>2359.2174130600847</v>
      </c>
      <c r="AU58" s="21">
        <f t="shared" si="3"/>
        <v>2393.8334926455691</v>
      </c>
      <c r="AV58" s="21">
        <f t="shared" si="4"/>
        <v>2342.4568685071508</v>
      </c>
      <c r="BE58">
        <v>54</v>
      </c>
      <c r="BF58" s="3">
        <f t="shared" si="7"/>
        <v>5.0378617515223177E-3</v>
      </c>
      <c r="BG58" s="3">
        <f t="shared" si="8"/>
        <v>-1.0995897400479122E-4</v>
      </c>
      <c r="BH58" s="3">
        <f t="shared" si="9"/>
        <v>-1.8018647389216137E-2</v>
      </c>
      <c r="BI58" s="3">
        <f t="shared" si="10"/>
        <v>7.9926474338465718E-3</v>
      </c>
      <c r="BJ58" s="3">
        <f t="shared" si="11"/>
        <v>-1.0352012351944401E-2</v>
      </c>
      <c r="BL58">
        <v>54</v>
      </c>
      <c r="BM58" s="3">
        <v>-5.625084394300631E-3</v>
      </c>
    </row>
    <row r="59" spans="1:65" x14ac:dyDescent="0.3">
      <c r="A59" s="2">
        <v>46007</v>
      </c>
      <c r="B59">
        <v>2281.1</v>
      </c>
      <c r="C59">
        <v>3929.5</v>
      </c>
      <c r="D59">
        <v>1366</v>
      </c>
      <c r="E59">
        <v>3205.1</v>
      </c>
      <c r="F59">
        <v>3621</v>
      </c>
      <c r="H59" s="2">
        <v>46007</v>
      </c>
      <c r="I59" s="3">
        <f t="shared" si="12"/>
        <v>2.4169449815434341E-3</v>
      </c>
      <c r="J59" s="3">
        <f t="shared" si="13"/>
        <v>5.5272652831444002E-3</v>
      </c>
      <c r="K59" s="3">
        <f t="shared" si="14"/>
        <v>1.0056196391600158E-2</v>
      </c>
      <c r="L59" s="3">
        <f t="shared" si="15"/>
        <v>-3.9467959475418812E-3</v>
      </c>
      <c r="M59" s="3">
        <f t="shared" si="16"/>
        <v>2.2697077059343762E-3</v>
      </c>
      <c r="O59">
        <v>55</v>
      </c>
      <c r="P59" s="8">
        <v>0.78620479001174182</v>
      </c>
      <c r="Q59" s="8">
        <v>0.48090532078183373</v>
      </c>
      <c r="R59" s="8">
        <v>-3.3202662865658228</v>
      </c>
      <c r="S59" s="8">
        <v>9.0670949990390159E-2</v>
      </c>
      <c r="T59" s="8">
        <v>1.6712722153112813</v>
      </c>
      <c r="V59">
        <v>55</v>
      </c>
      <c r="W59">
        <v>0.78620479001174182</v>
      </c>
      <c r="X59">
        <v>7.0003587587131211E-2</v>
      </c>
      <c r="Y59">
        <v>-3.1211933657706199</v>
      </c>
      <c r="Z59">
        <v>8.4633816180027577E-2</v>
      </c>
      <c r="AA59">
        <v>2.1545393317492652</v>
      </c>
      <c r="AQ59">
        <v>55</v>
      </c>
      <c r="AR59" s="21">
        <f t="shared" si="0"/>
        <v>2389.6832478506785</v>
      </c>
      <c r="AS59" s="21">
        <f t="shared" si="1"/>
        <v>2369.5165249018069</v>
      </c>
      <c r="AT59" s="21">
        <f t="shared" si="2"/>
        <v>2283.3119685029524</v>
      </c>
      <c r="AU59" s="21">
        <f t="shared" si="3"/>
        <v>2369.9361515976761</v>
      </c>
      <c r="AV59" s="21">
        <f t="shared" si="4"/>
        <v>2427.5817135039774</v>
      </c>
      <c r="BE59">
        <v>55</v>
      </c>
      <c r="BF59" s="3">
        <f t="shared" si="7"/>
        <v>8.9574757887592431E-3</v>
      </c>
      <c r="BG59" s="3">
        <f t="shared" si="8"/>
        <v>1.2808156133668057E-3</v>
      </c>
      <c r="BH59" s="3">
        <f t="shared" si="9"/>
        <v>-3.270295270675893E-2</v>
      </c>
      <c r="BI59" s="3">
        <f t="shared" si="10"/>
        <v>-1.0033038242726474E-2</v>
      </c>
      <c r="BJ59" s="3">
        <f t="shared" si="11"/>
        <v>3.5695259833840712E-2</v>
      </c>
      <c r="BL59">
        <v>55</v>
      </c>
      <c r="BM59" s="3">
        <v>-5.6066833073462738E-3</v>
      </c>
    </row>
    <row r="60" spans="1:65" x14ac:dyDescent="0.3">
      <c r="A60" s="2">
        <v>46006</v>
      </c>
      <c r="B60">
        <v>2293.5</v>
      </c>
      <c r="C60">
        <v>3866.2</v>
      </c>
      <c r="D60">
        <v>1365.2</v>
      </c>
      <c r="E60">
        <v>3230.2</v>
      </c>
      <c r="F60">
        <v>3608</v>
      </c>
      <c r="H60" s="2">
        <v>46006</v>
      </c>
      <c r="I60" s="3">
        <f t="shared" si="12"/>
        <v>5.4359738722546957E-3</v>
      </c>
      <c r="J60" s="3">
        <f t="shared" si="13"/>
        <v>-1.6108919709886815E-2</v>
      </c>
      <c r="K60" s="3">
        <f t="shared" si="14"/>
        <v>-5.8565153733525221E-4</v>
      </c>
      <c r="L60" s="3">
        <f t="shared" si="15"/>
        <v>7.8312689151665005E-3</v>
      </c>
      <c r="M60" s="3">
        <f t="shared" si="16"/>
        <v>-3.5901684617508645E-3</v>
      </c>
      <c r="O60">
        <v>56</v>
      </c>
      <c r="P60" s="8">
        <v>0.24660046219256143</v>
      </c>
      <c r="Q60" s="8">
        <v>2.3048645662530802</v>
      </c>
      <c r="R60" s="8">
        <v>0.64412913366925006</v>
      </c>
      <c r="S60" s="8">
        <v>0.42579794143026395</v>
      </c>
      <c r="T60" s="8">
        <v>1.0493702340385926</v>
      </c>
      <c r="V60">
        <v>56</v>
      </c>
      <c r="W60">
        <v>0.24660046219256143</v>
      </c>
      <c r="X60">
        <v>0.45631441062954864</v>
      </c>
      <c r="Y60">
        <v>1.1242037746268494</v>
      </c>
      <c r="Z60">
        <v>0.80030057326865134</v>
      </c>
      <c r="AA60">
        <v>1.4608503147135969</v>
      </c>
      <c r="AQ60">
        <v>56</v>
      </c>
      <c r="AR60" s="21">
        <f t="shared" si="0"/>
        <v>2374.7547688216691</v>
      </c>
      <c r="AS60" s="21">
        <f t="shared" si="1"/>
        <v>2380.1732567385816</v>
      </c>
      <c r="AT60" s="21">
        <f t="shared" si="2"/>
        <v>2398.7057191481936</v>
      </c>
      <c r="AU60" s="21">
        <f t="shared" si="3"/>
        <v>2389.6967553362383</v>
      </c>
      <c r="AV60" s="21">
        <f t="shared" si="4"/>
        <v>2408.1004441195023</v>
      </c>
      <c r="BE60">
        <v>56</v>
      </c>
      <c r="BF60" s="3">
        <f t="shared" si="7"/>
        <v>-6.2666479577552442E-3</v>
      </c>
      <c r="BG60" s="3">
        <f t="shared" si="8"/>
        <v>4.4873455778934347E-3</v>
      </c>
      <c r="BH60" s="3">
        <f t="shared" si="9"/>
        <v>4.9302301497670821E-2</v>
      </c>
      <c r="BI60" s="3">
        <f t="shared" si="10"/>
        <v>8.3034627509412182E-3</v>
      </c>
      <c r="BJ60" s="3">
        <f t="shared" si="11"/>
        <v>-8.0573429535995954E-3</v>
      </c>
      <c r="BL60">
        <v>56</v>
      </c>
      <c r="BM60" s="3">
        <v>-5.4664942933554663E-3</v>
      </c>
    </row>
    <row r="61" spans="1:65" x14ac:dyDescent="0.3">
      <c r="A61" s="2">
        <v>46003</v>
      </c>
      <c r="B61">
        <v>2260.6</v>
      </c>
      <c r="C61">
        <v>3880.2</v>
      </c>
      <c r="D61">
        <v>1366</v>
      </c>
      <c r="E61">
        <v>3220.5</v>
      </c>
      <c r="F61">
        <v>3679.6</v>
      </c>
      <c r="H61" s="2">
        <v>46003</v>
      </c>
      <c r="I61" s="3">
        <f t="shared" si="12"/>
        <v>-1.4344887726182698E-2</v>
      </c>
      <c r="J61" s="3">
        <f t="shared" si="13"/>
        <v>3.6211266877037573E-3</v>
      </c>
      <c r="K61" s="3">
        <f t="shared" si="14"/>
        <v>5.8599472604736746E-4</v>
      </c>
      <c r="L61" s="3">
        <f t="shared" si="15"/>
        <v>-3.0029100365301931E-3</v>
      </c>
      <c r="M61" s="3">
        <f t="shared" si="16"/>
        <v>1.9844789356984416E-2</v>
      </c>
      <c r="O61">
        <v>57</v>
      </c>
      <c r="P61" s="8">
        <v>-0.99025955327228687</v>
      </c>
      <c r="Q61" s="8">
        <v>-6.5962405592858875E-2</v>
      </c>
      <c r="R61" s="8">
        <v>1.8468116252539353</v>
      </c>
      <c r="S61" s="8">
        <v>1.1909544200145101</v>
      </c>
      <c r="T61" s="8">
        <v>0.76480624651573847</v>
      </c>
      <c r="V61">
        <v>57</v>
      </c>
      <c r="W61">
        <v>-0.99025955327228687</v>
      </c>
      <c r="X61">
        <v>2.0669346443583897E-2</v>
      </c>
      <c r="Y61">
        <v>1.764329314503795</v>
      </c>
      <c r="Z61">
        <v>1.1956571150792195</v>
      </c>
      <c r="AA61">
        <v>0.20234668484824569</v>
      </c>
      <c r="AQ61">
        <v>57</v>
      </c>
      <c r="AR61" s="21">
        <f t="shared" si="0"/>
        <v>2340.8874223081302</v>
      </c>
      <c r="AS61" s="21">
        <f t="shared" si="1"/>
        <v>2368.167132556021</v>
      </c>
      <c r="AT61" s="21">
        <f t="shared" si="2"/>
        <v>2416.6060089624725</v>
      </c>
      <c r="AU61" s="21">
        <f t="shared" si="3"/>
        <v>2400.691112913526</v>
      </c>
      <c r="AV61" s="21">
        <f t="shared" si="4"/>
        <v>2373.1593645505041</v>
      </c>
      <c r="BE61">
        <v>57</v>
      </c>
      <c r="BF61" s="3">
        <f t="shared" si="7"/>
        <v>-1.4364079143632259E-2</v>
      </c>
      <c r="BG61" s="3">
        <f t="shared" si="8"/>
        <v>-5.056987824965201E-3</v>
      </c>
      <c r="BH61" s="3">
        <f t="shared" si="9"/>
        <v>7.4347719439050415E-3</v>
      </c>
      <c r="BI61" s="3">
        <f t="shared" si="10"/>
        <v>4.5901823333357643E-3</v>
      </c>
      <c r="BJ61" s="3">
        <f t="shared" si="11"/>
        <v>-1.4616106635184587E-2</v>
      </c>
      <c r="BL61">
        <v>57</v>
      </c>
      <c r="BM61" s="3">
        <v>-5.3678210329467383E-3</v>
      </c>
    </row>
    <row r="62" spans="1:65" x14ac:dyDescent="0.3">
      <c r="A62" s="2">
        <v>46002</v>
      </c>
      <c r="B62">
        <v>2305.6</v>
      </c>
      <c r="C62">
        <v>3844.8</v>
      </c>
      <c r="D62">
        <v>1360</v>
      </c>
      <c r="E62">
        <v>3191.9</v>
      </c>
      <c r="F62">
        <v>3665.2</v>
      </c>
      <c r="H62" s="2">
        <v>46002</v>
      </c>
      <c r="I62" s="3">
        <f t="shared" si="12"/>
        <v>1.9906219587719987E-2</v>
      </c>
      <c r="J62" s="3">
        <f t="shared" si="13"/>
        <v>-9.123241070047805E-3</v>
      </c>
      <c r="K62" s="3">
        <f t="shared" si="14"/>
        <v>-4.3923865300146137E-3</v>
      </c>
      <c r="L62" s="3">
        <f t="shared" si="15"/>
        <v>-8.8806086011488095E-3</v>
      </c>
      <c r="M62" s="3">
        <f t="shared" si="16"/>
        <v>-3.9134688553104091E-3</v>
      </c>
      <c r="O62">
        <v>58</v>
      </c>
      <c r="P62" s="8">
        <v>1.2514092098727809</v>
      </c>
      <c r="Q62" s="8">
        <v>2.5550923268971761</v>
      </c>
      <c r="R62" s="8">
        <v>-0.66613861377886574</v>
      </c>
      <c r="S62" s="8">
        <v>-1.0555777595145002</v>
      </c>
      <c r="T62" s="8">
        <v>-0.13871004510336177</v>
      </c>
      <c r="V62">
        <v>58</v>
      </c>
      <c r="W62">
        <v>1.2514092098727809</v>
      </c>
      <c r="X62">
        <v>0.47230290972019029</v>
      </c>
      <c r="Y62">
        <v>-7.6524916980248214E-2</v>
      </c>
      <c r="Z62">
        <v>-0.63744315523452921</v>
      </c>
      <c r="AA62">
        <v>0.89510936709823907</v>
      </c>
      <c r="AQ62">
        <v>58</v>
      </c>
      <c r="AR62" s="21">
        <f t="shared" si="0"/>
        <v>2402.6280895122609</v>
      </c>
      <c r="AS62" s="21">
        <f t="shared" si="1"/>
        <v>2380.6107714337468</v>
      </c>
      <c r="AT62" s="21">
        <f t="shared" si="2"/>
        <v>2365.4892473406085</v>
      </c>
      <c r="AU62" s="21">
        <f t="shared" si="3"/>
        <v>2350.1326774764016</v>
      </c>
      <c r="AV62" s="21">
        <f t="shared" si="4"/>
        <v>2392.3371965355368</v>
      </c>
      <c r="BE62">
        <v>58</v>
      </c>
      <c r="BF62" s="3">
        <f t="shared" si="7"/>
        <v>2.6033077755862138E-2</v>
      </c>
      <c r="BG62" s="3">
        <f t="shared" si="8"/>
        <v>5.2407872553984994E-3</v>
      </c>
      <c r="BH62" s="3">
        <f t="shared" si="9"/>
        <v>-2.1379209683074381E-2</v>
      </c>
      <c r="BI62" s="3">
        <f t="shared" si="10"/>
        <v>-2.1284874551333825E-2</v>
      </c>
      <c r="BJ62" s="3">
        <f t="shared" si="11"/>
        <v>8.0486619889256431E-3</v>
      </c>
      <c r="BL62">
        <v>58</v>
      </c>
      <c r="BM62" s="3">
        <v>-5.3538471125403426E-3</v>
      </c>
    </row>
    <row r="63" spans="1:65" x14ac:dyDescent="0.3">
      <c r="A63" s="2">
        <v>46001</v>
      </c>
      <c r="B63">
        <v>2301.6999999999998</v>
      </c>
      <c r="C63">
        <v>3845.7</v>
      </c>
      <c r="D63">
        <v>1363.6</v>
      </c>
      <c r="E63">
        <v>3189.2</v>
      </c>
      <c r="F63">
        <v>3630</v>
      </c>
      <c r="H63" s="2">
        <v>46001</v>
      </c>
      <c r="I63" s="3">
        <f t="shared" si="12"/>
        <v>-1.6915336571825534E-3</v>
      </c>
      <c r="J63" s="3">
        <f t="shared" si="13"/>
        <v>2.3408239700373201E-4</v>
      </c>
      <c r="K63" s="3">
        <f t="shared" si="14"/>
        <v>2.6470588235294468E-3</v>
      </c>
      <c r="L63" s="3">
        <f t="shared" si="15"/>
        <v>-8.4589116200395331E-4</v>
      </c>
      <c r="M63" s="3">
        <f t="shared" si="16"/>
        <v>-9.6038415366146435E-3</v>
      </c>
      <c r="O63">
        <v>59</v>
      </c>
      <c r="P63" s="8">
        <v>0.8914156481911476</v>
      </c>
      <c r="Q63" s="8">
        <v>-1.6860719021671064E-2</v>
      </c>
      <c r="R63" s="8">
        <v>-1.1795114873102095</v>
      </c>
      <c r="S63" s="8">
        <v>0.68775962025596027</v>
      </c>
      <c r="T63" s="8">
        <v>1.8987765652235784</v>
      </c>
      <c r="V63">
        <v>59</v>
      </c>
      <c r="W63">
        <v>0.8914156481911476</v>
      </c>
      <c r="X63">
        <v>-3.3979743296400425E-2</v>
      </c>
      <c r="Y63">
        <v>-1.1325600848332418</v>
      </c>
      <c r="Z63">
        <v>0.66385334939554674</v>
      </c>
      <c r="AA63">
        <v>1.7719627718633366</v>
      </c>
      <c r="AQ63">
        <v>59</v>
      </c>
      <c r="AR63" s="21">
        <f t="shared" si="0"/>
        <v>2392.6042071438233</v>
      </c>
      <c r="AS63" s="21">
        <f t="shared" si="1"/>
        <v>2366.6563851152819</v>
      </c>
      <c r="AT63" s="21">
        <f t="shared" si="2"/>
        <v>2336.6581575439373</v>
      </c>
      <c r="AU63" s="21">
        <f t="shared" si="3"/>
        <v>2385.9230212760467</v>
      </c>
      <c r="AV63" s="21">
        <f t="shared" si="4"/>
        <v>2416.8173556792058</v>
      </c>
      <c r="BE63">
        <v>59</v>
      </c>
      <c r="BF63" s="3">
        <f t="shared" si="7"/>
        <v>-4.1807763832224102E-3</v>
      </c>
      <c r="BG63" s="3">
        <f t="shared" si="8"/>
        <v>-5.8789303609941557E-3</v>
      </c>
      <c r="BH63" s="3">
        <f t="shared" si="9"/>
        <v>-1.2263099653619389E-2</v>
      </c>
      <c r="BI63" s="3">
        <f t="shared" si="10"/>
        <v>1.5114275425124507E-2</v>
      </c>
      <c r="BJ63" s="3">
        <f t="shared" si="11"/>
        <v>1.0180737724115119E-2</v>
      </c>
      <c r="BL63">
        <v>59</v>
      </c>
      <c r="BM63" s="3">
        <v>-5.2391771873933572E-3</v>
      </c>
    </row>
    <row r="64" spans="1:65" x14ac:dyDescent="0.3">
      <c r="A64" s="2">
        <v>46000</v>
      </c>
      <c r="B64">
        <v>2306.5</v>
      </c>
      <c r="C64">
        <v>3849</v>
      </c>
      <c r="D64">
        <v>1375.2</v>
      </c>
      <c r="E64">
        <v>3208.3</v>
      </c>
      <c r="F64">
        <v>3635.9</v>
      </c>
      <c r="H64" s="2">
        <v>46000</v>
      </c>
      <c r="I64" s="3">
        <f t="shared" si="12"/>
        <v>2.0854151279490196E-3</v>
      </c>
      <c r="J64" s="3">
        <f t="shared" si="13"/>
        <v>8.581012559483181E-4</v>
      </c>
      <c r="K64" s="3">
        <f t="shared" si="14"/>
        <v>8.5068935171606075E-3</v>
      </c>
      <c r="L64" s="3">
        <f t="shared" si="15"/>
        <v>5.9889627492788478E-3</v>
      </c>
      <c r="M64" s="3">
        <f t="shared" si="16"/>
        <v>1.6253443526170752E-3</v>
      </c>
      <c r="O64">
        <v>60</v>
      </c>
      <c r="P64" s="8">
        <v>1.0075434057128485</v>
      </c>
      <c r="Q64" s="8">
        <v>-0.10815412398948694</v>
      </c>
      <c r="R64" s="8">
        <v>0.32812984052833422</v>
      </c>
      <c r="S64" s="8">
        <v>-1.1982699949660294</v>
      </c>
      <c r="T64" s="8">
        <v>0.48597086166402281</v>
      </c>
      <c r="V64">
        <v>60</v>
      </c>
      <c r="W64">
        <v>1.0075434057128485</v>
      </c>
      <c r="X64">
        <v>-5.6372714767742985E-2</v>
      </c>
      <c r="Y64">
        <v>0.32399477516242964</v>
      </c>
      <c r="Z64">
        <v>-1.1645973641274001</v>
      </c>
      <c r="AA64">
        <v>0.56811330592215337</v>
      </c>
      <c r="AQ64">
        <v>60</v>
      </c>
      <c r="AR64" s="21">
        <f t="shared" si="0"/>
        <v>2395.8329484842807</v>
      </c>
      <c r="AS64" s="21">
        <f t="shared" si="1"/>
        <v>2366.040486721</v>
      </c>
      <c r="AT64" s="21">
        <f t="shared" si="2"/>
        <v>2376.5199306072259</v>
      </c>
      <c r="AU64" s="21">
        <f t="shared" si="3"/>
        <v>2335.7873929027928</v>
      </c>
      <c r="AV64" s="21">
        <f t="shared" si="4"/>
        <v>2383.2718309261604</v>
      </c>
      <c r="BE64">
        <v>60</v>
      </c>
      <c r="BF64" s="3">
        <f t="shared" si="7"/>
        <v>1.3485576712561832E-3</v>
      </c>
      <c r="BG64" s="3">
        <f t="shared" si="8"/>
        <v>-2.6027375698781623E-4</v>
      </c>
      <c r="BH64" s="3">
        <f t="shared" si="9"/>
        <v>1.6915432767511153E-2</v>
      </c>
      <c r="BI64" s="3">
        <f t="shared" si="10"/>
        <v>-2.1237012976210223E-2</v>
      </c>
      <c r="BJ64" s="3">
        <f t="shared" si="11"/>
        <v>-1.3977269829653671E-2</v>
      </c>
      <c r="BL64">
        <v>60</v>
      </c>
      <c r="BM64" s="3">
        <v>-5.2152448780931303E-3</v>
      </c>
    </row>
    <row r="65" spans="1:65" x14ac:dyDescent="0.3">
      <c r="A65" s="2">
        <v>45999</v>
      </c>
      <c r="B65">
        <v>2314</v>
      </c>
      <c r="C65">
        <v>3767</v>
      </c>
      <c r="D65">
        <v>1389.6</v>
      </c>
      <c r="E65">
        <v>3236.5</v>
      </c>
      <c r="F65">
        <v>3681.7</v>
      </c>
      <c r="H65" s="2">
        <v>45999</v>
      </c>
      <c r="I65" s="3">
        <f t="shared" si="12"/>
        <v>3.2516800346846786E-3</v>
      </c>
      <c r="J65" s="3">
        <f t="shared" si="13"/>
        <v>-2.1304234866199034E-2</v>
      </c>
      <c r="K65" s="3">
        <f t="shared" si="14"/>
        <v>1.0471204188481575E-2</v>
      </c>
      <c r="L65" s="3">
        <f t="shared" si="15"/>
        <v>8.7897017111866482E-3</v>
      </c>
      <c r="M65" s="3">
        <f t="shared" si="16"/>
        <v>1.259660606727353E-2</v>
      </c>
      <c r="O65">
        <v>61</v>
      </c>
      <c r="P65" s="8">
        <v>-1.9429055755202154</v>
      </c>
      <c r="Q65" s="8">
        <v>-1.2243862506648062</v>
      </c>
      <c r="R65" s="8">
        <v>1.6937647321023721</v>
      </c>
      <c r="S65" s="8">
        <v>-0.95686298776751655</v>
      </c>
      <c r="T65" s="8">
        <v>0.87682879767991928</v>
      </c>
      <c r="V65">
        <v>61</v>
      </c>
      <c r="W65">
        <v>-1.9429055755202154</v>
      </c>
      <c r="X65">
        <v>-0.18024554970278417</v>
      </c>
      <c r="Y65">
        <v>1.3443825810672059</v>
      </c>
      <c r="Z65">
        <v>-1.1316836687560798</v>
      </c>
      <c r="AA65">
        <v>0.42600084565191437</v>
      </c>
      <c r="AQ65">
        <v>61</v>
      </c>
      <c r="AR65" s="21">
        <f t="shared" si="0"/>
        <v>2315.1314674480736</v>
      </c>
      <c r="AS65" s="21">
        <f t="shared" si="1"/>
        <v>2362.6520743671699</v>
      </c>
      <c r="AT65" s="21">
        <f t="shared" si="2"/>
        <v>2404.8498992167051</v>
      </c>
      <c r="AU65" s="21">
        <f t="shared" si="3"/>
        <v>2336.6759221069328</v>
      </c>
      <c r="AV65" s="21">
        <f t="shared" si="4"/>
        <v>2379.3415973362066</v>
      </c>
      <c r="BE65">
        <v>61</v>
      </c>
      <c r="BF65" s="3">
        <f t="shared" si="7"/>
        <v>-3.4264481502541154E-2</v>
      </c>
      <c r="BG65" s="3">
        <f t="shared" si="8"/>
        <v>-1.4331288786486377E-3</v>
      </c>
      <c r="BH65" s="3">
        <f t="shared" si="9"/>
        <v>1.1850286067289684E-2</v>
      </c>
      <c r="BI65" s="3">
        <f t="shared" si="10"/>
        <v>3.8032581743163696E-4</v>
      </c>
      <c r="BJ65" s="3">
        <f t="shared" si="11"/>
        <v>-1.6504528622005063E-3</v>
      </c>
      <c r="BL65">
        <v>61</v>
      </c>
      <c r="BM65" s="3">
        <v>-5.1406063967521405E-3</v>
      </c>
    </row>
    <row r="66" spans="1:65" x14ac:dyDescent="0.3">
      <c r="A66" s="2">
        <v>45996</v>
      </c>
      <c r="B66">
        <v>2338.6</v>
      </c>
      <c r="C66">
        <v>3813.3</v>
      </c>
      <c r="D66">
        <v>1392.5</v>
      </c>
      <c r="E66">
        <v>3238.2</v>
      </c>
      <c r="F66">
        <v>3717.1</v>
      </c>
      <c r="H66" s="2">
        <v>45996</v>
      </c>
      <c r="I66" s="3">
        <f t="shared" si="12"/>
        <v>1.0630942091616191E-2</v>
      </c>
      <c r="J66" s="3">
        <f t="shared" si="13"/>
        <v>1.2290947703743171E-2</v>
      </c>
      <c r="K66" s="3">
        <f t="shared" si="14"/>
        <v>2.0869314910765269E-3</v>
      </c>
      <c r="L66" s="3">
        <f t="shared" si="15"/>
        <v>5.2525876718667597E-4</v>
      </c>
      <c r="M66" s="3">
        <f t="shared" si="16"/>
        <v>9.6151234484069814E-3</v>
      </c>
      <c r="O66">
        <v>62</v>
      </c>
      <c r="P66" s="8">
        <v>0.3185826131073049</v>
      </c>
      <c r="Q66" s="8">
        <v>-0.55722069508089078</v>
      </c>
      <c r="R66" s="8">
        <v>-0.93593926271984629</v>
      </c>
      <c r="S66" s="8">
        <v>1.1539788221864697</v>
      </c>
      <c r="T66" s="8">
        <v>-0.82038289605416603</v>
      </c>
      <c r="V66">
        <v>62</v>
      </c>
      <c r="W66">
        <v>0.3185826131073049</v>
      </c>
      <c r="X66">
        <v>-0.12329197688535609</v>
      </c>
      <c r="Y66">
        <v>-1.0241116573399414</v>
      </c>
      <c r="Z66">
        <v>1.0338550509431843</v>
      </c>
      <c r="AA66">
        <v>-1.0080852847963455</v>
      </c>
      <c r="AQ66">
        <v>62</v>
      </c>
      <c r="AR66" s="21">
        <f t="shared" si="0"/>
        <v>2376.739812124049</v>
      </c>
      <c r="AS66" s="21">
        <f t="shared" si="1"/>
        <v>2364.2054703421463</v>
      </c>
      <c r="AT66" s="21">
        <f t="shared" si="2"/>
        <v>2339.6032855711705</v>
      </c>
      <c r="AU66" s="21">
        <f t="shared" si="3"/>
        <v>2396.1967627902595</v>
      </c>
      <c r="AV66" s="21">
        <f t="shared" si="4"/>
        <v>2340.0337222636372</v>
      </c>
      <c r="BE66">
        <v>62</v>
      </c>
      <c r="BF66" s="3">
        <f t="shared" si="7"/>
        <v>2.6263246454133533E-2</v>
      </c>
      <c r="BG66" s="3">
        <f t="shared" si="8"/>
        <v>6.5726373862772208E-4</v>
      </c>
      <c r="BH66" s="3">
        <f t="shared" si="9"/>
        <v>-2.7506110725862724E-2</v>
      </c>
      <c r="BI66" s="3">
        <f t="shared" si="10"/>
        <v>2.515342491702232E-2</v>
      </c>
      <c r="BJ66" s="3">
        <f t="shared" si="11"/>
        <v>-1.6658469147293322E-2</v>
      </c>
      <c r="BL66">
        <v>62</v>
      </c>
      <c r="BM66" s="3">
        <v>-5.0250456479270719E-3</v>
      </c>
    </row>
    <row r="67" spans="1:65" x14ac:dyDescent="0.3">
      <c r="A67" s="2">
        <v>45995</v>
      </c>
      <c r="B67">
        <v>2422</v>
      </c>
      <c r="C67">
        <v>3800.4</v>
      </c>
      <c r="D67">
        <v>1386.7</v>
      </c>
      <c r="E67">
        <v>3229.2</v>
      </c>
      <c r="F67">
        <v>3671.6</v>
      </c>
      <c r="H67" s="2">
        <v>45995</v>
      </c>
      <c r="I67" s="3">
        <f t="shared" si="12"/>
        <v>3.5662362096981148E-2</v>
      </c>
      <c r="J67" s="3">
        <f t="shared" si="13"/>
        <v>-3.3828967036425572E-3</v>
      </c>
      <c r="K67" s="3">
        <f t="shared" si="14"/>
        <v>-4.1651705565529662E-3</v>
      </c>
      <c r="L67" s="3">
        <f t="shared" si="15"/>
        <v>-2.7793218454696955E-3</v>
      </c>
      <c r="M67" s="3">
        <f t="shared" si="16"/>
        <v>-1.224072529660214E-2</v>
      </c>
      <c r="O67">
        <v>63</v>
      </c>
      <c r="P67" s="8">
        <v>-1.2776803873250826</v>
      </c>
      <c r="Q67" s="8">
        <v>1.0977968630480548</v>
      </c>
      <c r="R67" s="8">
        <v>-0.34865500443356129</v>
      </c>
      <c r="S67" s="8">
        <v>1.2047083996381762</v>
      </c>
      <c r="T67" s="8">
        <v>1.3393674785673855E-2</v>
      </c>
      <c r="V67">
        <v>63</v>
      </c>
      <c r="W67">
        <v>-1.2776803873250826</v>
      </c>
      <c r="X67">
        <v>0.26520031345068856</v>
      </c>
      <c r="Y67">
        <v>-0.14137268039082318</v>
      </c>
      <c r="Z67">
        <v>1.3157720910067503</v>
      </c>
      <c r="AA67">
        <v>0.19402109531573575</v>
      </c>
      <c r="AQ67">
        <v>63</v>
      </c>
      <c r="AR67" s="21">
        <f t="shared" si="0"/>
        <v>2333.0858540663862</v>
      </c>
      <c r="AS67" s="21">
        <f t="shared" si="1"/>
        <v>2374.9030813988315</v>
      </c>
      <c r="AT67" s="21">
        <f t="shared" si="2"/>
        <v>2363.709387824586</v>
      </c>
      <c r="AU67" s="21">
        <f t="shared" si="3"/>
        <v>2404.0508206303934</v>
      </c>
      <c r="AV67" s="21">
        <f t="shared" si="4"/>
        <v>2372.9293832588969</v>
      </c>
      <c r="BE67">
        <v>63</v>
      </c>
      <c r="BF67" s="3">
        <f t="shared" si="7"/>
        <v>-1.8537929555093539E-2</v>
      </c>
      <c r="BG67" s="3">
        <f t="shared" si="8"/>
        <v>4.5146166666432614E-3</v>
      </c>
      <c r="BH67" s="3">
        <f t="shared" si="9"/>
        <v>1.0250780678690828E-2</v>
      </c>
      <c r="BI67" s="3">
        <f t="shared" si="10"/>
        <v>3.2723582324844826E-3</v>
      </c>
      <c r="BJ67" s="3">
        <f t="shared" si="11"/>
        <v>1.3959878096888971E-2</v>
      </c>
      <c r="BL67">
        <v>63</v>
      </c>
      <c r="BM67" s="3">
        <v>-5.0197432583206098E-3</v>
      </c>
    </row>
    <row r="68" spans="1:65" x14ac:dyDescent="0.3">
      <c r="A68" s="2">
        <v>45994</v>
      </c>
      <c r="B68">
        <v>2408.0300000000002</v>
      </c>
      <c r="C68">
        <v>3817.8</v>
      </c>
      <c r="D68">
        <v>1391.5</v>
      </c>
      <c r="E68">
        <v>3180</v>
      </c>
      <c r="F68">
        <v>3649.4</v>
      </c>
      <c r="H68" s="2">
        <v>45994</v>
      </c>
      <c r="I68" s="3">
        <f t="shared" si="12"/>
        <v>-5.7679603633360443E-3</v>
      </c>
      <c r="J68" s="3">
        <f t="shared" si="13"/>
        <v>4.5784654246920908E-3</v>
      </c>
      <c r="K68" s="3">
        <f t="shared" si="14"/>
        <v>3.4614552534795173E-3</v>
      </c>
      <c r="L68" s="3">
        <f t="shared" si="15"/>
        <v>-1.5235971757710853E-2</v>
      </c>
      <c r="M68" s="3">
        <f t="shared" si="16"/>
        <v>-6.0464102843446055E-3</v>
      </c>
      <c r="O68">
        <v>64</v>
      </c>
      <c r="P68" s="8">
        <v>0.18038374546352676</v>
      </c>
      <c r="Q68" s="8">
        <v>-1.6542893133979679</v>
      </c>
      <c r="R68" s="8">
        <v>5.1053591000934815E-3</v>
      </c>
      <c r="S68" s="8">
        <v>-0.3330667106196738</v>
      </c>
      <c r="T68" s="8">
        <v>0.54766101043312077</v>
      </c>
      <c r="V68">
        <v>64</v>
      </c>
      <c r="W68">
        <v>0.18038374546352676</v>
      </c>
      <c r="X68">
        <v>-0.33977405225297996</v>
      </c>
      <c r="Y68">
        <v>-0.34089595497200398</v>
      </c>
      <c r="Z68">
        <v>-0.57862260874261873</v>
      </c>
      <c r="AA68">
        <v>7.5840855764331527E-2</v>
      </c>
      <c r="AQ68">
        <v>64</v>
      </c>
      <c r="AR68" s="21">
        <f t="shared" si="0"/>
        <v>2372.9280189511041</v>
      </c>
      <c r="AS68" s="21">
        <f t="shared" si="1"/>
        <v>2358.2697667956404</v>
      </c>
      <c r="AT68" s="21">
        <f t="shared" si="2"/>
        <v>2358.2413721922103</v>
      </c>
      <c r="AU68" s="21">
        <f t="shared" si="3"/>
        <v>2351.7397508630283</v>
      </c>
      <c r="AV68" s="21">
        <f t="shared" si="4"/>
        <v>2369.6832228587077</v>
      </c>
      <c r="BE68">
        <v>64</v>
      </c>
      <c r="BF68" s="3">
        <f t="shared" si="7"/>
        <v>1.6932851420425509E-2</v>
      </c>
      <c r="BG68" s="3">
        <f t="shared" si="8"/>
        <v>-7.0284283328612479E-3</v>
      </c>
      <c r="BH68" s="3">
        <f t="shared" si="9"/>
        <v>-2.3159996172822011E-3</v>
      </c>
      <c r="BI68" s="3">
        <f t="shared" si="10"/>
        <v>-2.1999782707864166E-2</v>
      </c>
      <c r="BJ68" s="3">
        <f t="shared" si="11"/>
        <v>-1.3689336139064965E-3</v>
      </c>
      <c r="BL68">
        <v>64</v>
      </c>
      <c r="BM68" s="3">
        <v>-4.909000921842939E-3</v>
      </c>
    </row>
    <row r="69" spans="1:65" x14ac:dyDescent="0.3">
      <c r="A69" s="2">
        <v>45993</v>
      </c>
      <c r="B69">
        <v>2437.34</v>
      </c>
      <c r="C69">
        <v>3885.8</v>
      </c>
      <c r="D69">
        <v>1373</v>
      </c>
      <c r="E69">
        <v>3135.7</v>
      </c>
      <c r="F69">
        <v>3716.5</v>
      </c>
      <c r="H69" s="2">
        <v>45993</v>
      </c>
      <c r="I69" s="3">
        <f t="shared" si="12"/>
        <v>1.2171775268580598E-2</v>
      </c>
      <c r="J69" s="3">
        <f t="shared" si="13"/>
        <v>1.7811304940017703E-2</v>
      </c>
      <c r="K69" s="3">
        <f t="shared" si="14"/>
        <v>-1.3295005389867054E-2</v>
      </c>
      <c r="L69" s="3">
        <f t="shared" si="15"/>
        <v>-1.3930817610062984E-2</v>
      </c>
      <c r="M69" s="3">
        <f t="shared" si="16"/>
        <v>1.838658409601579E-2</v>
      </c>
      <c r="O69">
        <v>65</v>
      </c>
      <c r="P69" s="8">
        <v>0.59103717004771084</v>
      </c>
      <c r="Q69" s="8">
        <v>-0.11080130555797446</v>
      </c>
      <c r="R69" s="8">
        <v>-0.63888591025587937</v>
      </c>
      <c r="S69" s="8">
        <v>0.90739107362044125</v>
      </c>
      <c r="T69" s="8">
        <v>-7.7501154867765654E-2</v>
      </c>
      <c r="V69">
        <v>65</v>
      </c>
      <c r="W69">
        <v>0.59103717004771084</v>
      </c>
      <c r="X69">
        <v>-4.2618373131330274E-2</v>
      </c>
      <c r="Y69">
        <v>-0.6321714215631542</v>
      </c>
      <c r="Z69">
        <v>0.87475144111206804</v>
      </c>
      <c r="AA69">
        <v>-0.19661475948981311</v>
      </c>
      <c r="AQ69">
        <v>65</v>
      </c>
      <c r="AR69" s="21">
        <f t="shared" ref="AR69:AR132" si="24">$AE$7*EXP($AE$5-($AE$6^2/2)*(AQ69/1000)+($AE$6*W69))</f>
        <v>2384.2714661214832</v>
      </c>
      <c r="AS69" s="21">
        <f t="shared" ref="AS69:AS132" si="25">$AE$7*EXP($AE$5-($AE$6^2/2)*(AR69/1000)+($AE$6*X69))</f>
        <v>2366.4202969191642</v>
      </c>
      <c r="AT69" s="21">
        <f t="shared" ref="AT69:AT132" si="26">$AE$7*EXP($AE$5-($AE$6^2/2)*(AS69/1000)+($AE$6*Y69))</f>
        <v>2350.276414523023</v>
      </c>
      <c r="AU69" s="21">
        <f t="shared" ref="AU69:AU132" si="27">$AE$7*EXP($AE$5-($AE$6^2/2)*(AT69/1000)+($AE$6*Z69))</f>
        <v>2391.7716379632493</v>
      </c>
      <c r="AV69" s="21">
        <f t="shared" ref="AV69:AV132" si="28">$AE$7*EXP($AE$5-($AE$6^2/2)*(AU69/1000)+($AE$6*AA69))</f>
        <v>2362.1907678334683</v>
      </c>
      <c r="BE69">
        <v>65</v>
      </c>
      <c r="BF69" s="3">
        <f t="shared" si="7"/>
        <v>4.7689690981829952E-3</v>
      </c>
      <c r="BG69" s="3">
        <f t="shared" si="8"/>
        <v>3.4501895780691128E-3</v>
      </c>
      <c r="BH69" s="3">
        <f t="shared" si="9"/>
        <v>-3.3832155371689861E-3</v>
      </c>
      <c r="BI69" s="3">
        <f t="shared" si="10"/>
        <v>1.6878988681082015E-2</v>
      </c>
      <c r="BJ69" s="3">
        <f t="shared" si="11"/>
        <v>-3.1668050762044043E-3</v>
      </c>
      <c r="BL69">
        <v>65</v>
      </c>
      <c r="BM69" s="3">
        <v>-4.8933433729942775E-3</v>
      </c>
    </row>
    <row r="70" spans="1:65" x14ac:dyDescent="0.3">
      <c r="A70" s="2">
        <v>45992</v>
      </c>
      <c r="B70">
        <v>2424.2600000000002</v>
      </c>
      <c r="C70">
        <v>3894.9</v>
      </c>
      <c r="D70">
        <v>1390.1</v>
      </c>
      <c r="E70">
        <v>3133.4</v>
      </c>
      <c r="F70">
        <v>3741.6</v>
      </c>
      <c r="H70" s="2">
        <v>45992</v>
      </c>
      <c r="I70" s="3">
        <f t="shared" si="12"/>
        <v>-5.3665061091189292E-3</v>
      </c>
      <c r="J70" s="3">
        <f t="shared" si="13"/>
        <v>2.3418601060269939E-3</v>
      </c>
      <c r="K70" s="3">
        <f t="shared" si="14"/>
        <v>1.2454479242534511E-2</v>
      </c>
      <c r="L70" s="3">
        <f t="shared" si="15"/>
        <v>-7.3348853525523339E-4</v>
      </c>
      <c r="M70" s="3">
        <f t="shared" si="16"/>
        <v>6.7536660836808871E-3</v>
      </c>
      <c r="O70">
        <v>66</v>
      </c>
      <c r="P70" s="8">
        <v>-0.50159798324790816</v>
      </c>
      <c r="Q70" s="8">
        <v>-0.58842149893827966</v>
      </c>
      <c r="R70" s="8">
        <v>6.292413428490834E-2</v>
      </c>
      <c r="S70" s="8">
        <v>1.2224874291578989</v>
      </c>
      <c r="T70" s="8">
        <v>-0.76027999743050645</v>
      </c>
      <c r="V70">
        <v>66</v>
      </c>
      <c r="W70">
        <v>-0.50159798324790816</v>
      </c>
      <c r="X70">
        <v>-0.10144749964191355</v>
      </c>
      <c r="Y70">
        <v>-7.6355316800589962E-2</v>
      </c>
      <c r="Z70">
        <v>1.1057209555483005</v>
      </c>
      <c r="AA70">
        <v>-1.1053785767015436</v>
      </c>
      <c r="AQ70">
        <v>66</v>
      </c>
      <c r="AR70" s="21">
        <f t="shared" si="24"/>
        <v>2354.2082196440915</v>
      </c>
      <c r="AS70" s="21">
        <f t="shared" si="25"/>
        <v>2364.8089058343821</v>
      </c>
      <c r="AT70" s="21">
        <f t="shared" si="26"/>
        <v>2365.4964270901319</v>
      </c>
      <c r="AU70" s="21">
        <f t="shared" si="27"/>
        <v>2398.1932746278089</v>
      </c>
      <c r="AV70" s="21">
        <f t="shared" si="28"/>
        <v>2337.3909082550458</v>
      </c>
      <c r="BE70">
        <v>66</v>
      </c>
      <c r="BF70" s="3">
        <f t="shared" ref="BF70:BF133" si="29">LN(AR70/AR69)</f>
        <v>-1.2689154266861041E-2</v>
      </c>
      <c r="BG70" s="3">
        <f t="shared" ref="BG70:BG133" si="30">LN(AS70/AS69)</f>
        <v>-6.811723034474517E-4</v>
      </c>
      <c r="BH70" s="3">
        <f t="shared" ref="BH70:BH133" si="31">LN(AT70/AT69)</f>
        <v>6.4549612228357901E-3</v>
      </c>
      <c r="BI70" s="3">
        <f t="shared" ref="BI70:BI133" si="32">LN(AU70/AU69)</f>
        <v>2.6812891655807422E-3</v>
      </c>
      <c r="BJ70" s="3">
        <f t="shared" ref="BJ70:BJ133" si="33">LN(AV70/AV69)</f>
        <v>-1.0554169069930843E-2</v>
      </c>
      <c r="BL70">
        <v>66</v>
      </c>
      <c r="BM70" s="3">
        <v>-4.835892428873308E-3</v>
      </c>
    </row>
    <row r="71" spans="1:65" x14ac:dyDescent="0.3">
      <c r="A71" s="2">
        <v>45989</v>
      </c>
      <c r="B71">
        <v>2426.33</v>
      </c>
      <c r="C71">
        <v>3907.7</v>
      </c>
      <c r="D71">
        <v>1388.8</v>
      </c>
      <c r="E71">
        <v>3137.5</v>
      </c>
      <c r="F71">
        <v>3757.3</v>
      </c>
      <c r="H71" s="2">
        <v>45989</v>
      </c>
      <c r="I71" s="3">
        <f t="shared" ref="I71:I134" si="34">B71/B70-1</f>
        <v>8.538688094510416E-4</v>
      </c>
      <c r="J71" s="3">
        <f t="shared" ref="J71:J134" si="35">C71/C70-1</f>
        <v>3.2863488151171349E-3</v>
      </c>
      <c r="K71" s="3">
        <f t="shared" ref="K71:K134" si="36">D71/D70-1</f>
        <v>-9.3518451909935241E-4</v>
      </c>
      <c r="L71" s="3">
        <f t="shared" ref="L71:L134" si="37">E71/E70-1</f>
        <v>1.308482798238364E-3</v>
      </c>
      <c r="M71" s="3">
        <f t="shared" ref="M71:M134" si="38">F71/F70-1</f>
        <v>4.1960658541801976E-3</v>
      </c>
      <c r="O71">
        <v>67</v>
      </c>
      <c r="P71" s="8">
        <v>-0.45724593999540852</v>
      </c>
      <c r="Q71" s="8">
        <v>0.79136495385886918</v>
      </c>
      <c r="R71" s="8">
        <v>0.9500965234953298</v>
      </c>
      <c r="S71" s="8">
        <v>0.32851473467718273</v>
      </c>
      <c r="T71" s="8">
        <v>-0.52098814187198028</v>
      </c>
      <c r="V71">
        <v>67</v>
      </c>
      <c r="W71">
        <v>-0.45724593999540852</v>
      </c>
      <c r="X71">
        <v>0.1752637786173846</v>
      </c>
      <c r="Y71">
        <v>1.0839385954462932</v>
      </c>
      <c r="Z71">
        <v>0.46280074110934066</v>
      </c>
      <c r="AA71">
        <v>-0.4436038521826049</v>
      </c>
      <c r="AQ71">
        <v>67</v>
      </c>
      <c r="AR71" s="21">
        <f t="shared" si="24"/>
        <v>2355.4209623710326</v>
      </c>
      <c r="AS71" s="21">
        <f t="shared" si="25"/>
        <v>2372.4203144691978</v>
      </c>
      <c r="AT71" s="21">
        <f t="shared" si="26"/>
        <v>2397.5855733646399</v>
      </c>
      <c r="AU71" s="21">
        <f t="shared" si="27"/>
        <v>2380.3488915542657</v>
      </c>
      <c r="AV71" s="21">
        <f t="shared" si="28"/>
        <v>2355.4266874504019</v>
      </c>
      <c r="BE71">
        <v>67</v>
      </c>
      <c r="BF71" s="3">
        <f t="shared" si="29"/>
        <v>5.1500562225885156E-4</v>
      </c>
      <c r="BG71" s="3">
        <f t="shared" si="30"/>
        <v>3.2134460169074811E-3</v>
      </c>
      <c r="BH71" s="3">
        <f t="shared" si="31"/>
        <v>1.3474314223908077E-2</v>
      </c>
      <c r="BI71" s="3">
        <f t="shared" si="32"/>
        <v>-7.4685815879005201E-3</v>
      </c>
      <c r="BJ71" s="3">
        <f t="shared" si="33"/>
        <v>7.6865838609599712E-3</v>
      </c>
      <c r="BL71">
        <v>67</v>
      </c>
      <c r="BM71" s="3">
        <v>-4.6507131390675699E-3</v>
      </c>
    </row>
    <row r="72" spans="1:65" x14ac:dyDescent="0.3">
      <c r="A72" s="2">
        <v>45988</v>
      </c>
      <c r="B72">
        <v>2451.6999999999998</v>
      </c>
      <c r="C72">
        <v>3903.3</v>
      </c>
      <c r="D72">
        <v>1392.2</v>
      </c>
      <c r="E72">
        <v>3136.6</v>
      </c>
      <c r="F72">
        <v>3681.2</v>
      </c>
      <c r="H72" s="2">
        <v>45988</v>
      </c>
      <c r="I72" s="3">
        <f t="shared" si="34"/>
        <v>1.0456120972827332E-2</v>
      </c>
      <c r="J72" s="3">
        <f t="shared" si="35"/>
        <v>-1.1259820354683203E-3</v>
      </c>
      <c r="K72" s="3">
        <f t="shared" si="36"/>
        <v>2.4481566820278022E-3</v>
      </c>
      <c r="L72" s="3">
        <f t="shared" si="37"/>
        <v>-2.8685258964145088E-4</v>
      </c>
      <c r="M72" s="3">
        <f t="shared" si="38"/>
        <v>-2.0253905730178712E-2</v>
      </c>
      <c r="O72">
        <v>68</v>
      </c>
      <c r="P72" s="8">
        <v>-1.0018841371128822</v>
      </c>
      <c r="Q72" s="8">
        <v>-7.37305418036628E-2</v>
      </c>
      <c r="R72" s="8">
        <v>1.6186013895668674</v>
      </c>
      <c r="S72" s="8">
        <v>1.0852623669461106</v>
      </c>
      <c r="T72" s="8">
        <v>0.85024536486582281</v>
      </c>
      <c r="V72">
        <v>68</v>
      </c>
      <c r="W72">
        <v>-1.0018841371128822</v>
      </c>
      <c r="X72">
        <v>1.9501686864217958E-2</v>
      </c>
      <c r="Y72">
        <v>1.5394326506537941</v>
      </c>
      <c r="Z72">
        <v>1.0830349486206787</v>
      </c>
      <c r="AA72">
        <v>0.33451756993948495</v>
      </c>
      <c r="AQ72">
        <v>68</v>
      </c>
      <c r="AR72" s="21">
        <f t="shared" si="24"/>
        <v>2340.5696884957865</v>
      </c>
      <c r="AS72" s="21">
        <f t="shared" si="25"/>
        <v>2368.1350702980453</v>
      </c>
      <c r="AT72" s="21">
        <f t="shared" si="26"/>
        <v>2410.3025825673885</v>
      </c>
      <c r="AU72" s="21">
        <f t="shared" si="27"/>
        <v>2397.5542877802418</v>
      </c>
      <c r="AV72" s="21">
        <f t="shared" si="28"/>
        <v>2376.8053182074041</v>
      </c>
      <c r="BE72">
        <v>68</v>
      </c>
      <c r="BF72" s="3">
        <f t="shared" si="29"/>
        <v>-6.3251077322167186E-3</v>
      </c>
      <c r="BG72" s="3">
        <f t="shared" si="30"/>
        <v>-1.8079085636790132E-3</v>
      </c>
      <c r="BH72" s="3">
        <f t="shared" si="31"/>
        <v>5.290072666948707E-3</v>
      </c>
      <c r="BI72" s="3">
        <f t="shared" si="32"/>
        <v>7.2021009848106925E-3</v>
      </c>
      <c r="BJ72" s="3">
        <f t="shared" si="33"/>
        <v>9.0353880258000098E-3</v>
      </c>
      <c r="BL72">
        <v>68</v>
      </c>
      <c r="BM72" s="3">
        <v>-4.4795448911250507E-3</v>
      </c>
    </row>
    <row r="73" spans="1:65" x14ac:dyDescent="0.3">
      <c r="A73" s="2">
        <v>45987</v>
      </c>
      <c r="B73">
        <v>2425.1999999999998</v>
      </c>
      <c r="C73">
        <v>3897.7</v>
      </c>
      <c r="D73">
        <v>1375</v>
      </c>
      <c r="E73">
        <v>3162.9</v>
      </c>
      <c r="F73">
        <v>3686.4</v>
      </c>
      <c r="H73" s="2">
        <v>45987</v>
      </c>
      <c r="I73" s="3">
        <f t="shared" si="34"/>
        <v>-1.0808826528531212E-2</v>
      </c>
      <c r="J73" s="3">
        <f t="shared" si="35"/>
        <v>-1.4346834729588309E-3</v>
      </c>
      <c r="K73" s="3">
        <f t="shared" si="36"/>
        <v>-1.2354546760522944E-2</v>
      </c>
      <c r="L73" s="3">
        <f t="shared" si="37"/>
        <v>8.3848753427278044E-3</v>
      </c>
      <c r="M73" s="3">
        <f t="shared" si="38"/>
        <v>1.4125828534174989E-3</v>
      </c>
      <c r="O73">
        <v>69</v>
      </c>
      <c r="P73" s="8">
        <v>-1.117927972905437</v>
      </c>
      <c r="Q73" s="8">
        <v>-0.7603132230672387</v>
      </c>
      <c r="R73" s="8">
        <v>-1.158891857988352</v>
      </c>
      <c r="S73" s="8">
        <v>-1.5863164793777385</v>
      </c>
      <c r="T73" s="8">
        <v>-0.56107781640870846</v>
      </c>
      <c r="V73">
        <v>69</v>
      </c>
      <c r="W73">
        <v>-1.117927972905437</v>
      </c>
      <c r="X73">
        <v>-0.1149662714740689</v>
      </c>
      <c r="Y73">
        <v>-1.3225402953317711</v>
      </c>
      <c r="Z73">
        <v>-1.7457674434178354</v>
      </c>
      <c r="AA73">
        <v>-0.22904148923915901</v>
      </c>
      <c r="AQ73">
        <v>69</v>
      </c>
      <c r="AR73" s="21">
        <f t="shared" si="24"/>
        <v>2337.4173854391584</v>
      </c>
      <c r="AS73" s="21">
        <f t="shared" si="25"/>
        <v>2364.440343345665</v>
      </c>
      <c r="AT73" s="21">
        <f t="shared" si="26"/>
        <v>2331.5088318751691</v>
      </c>
      <c r="AU73" s="21">
        <f t="shared" si="27"/>
        <v>2320.0825970700748</v>
      </c>
      <c r="AV73" s="21">
        <f t="shared" si="28"/>
        <v>2361.3127945078959</v>
      </c>
      <c r="BE73">
        <v>69</v>
      </c>
      <c r="BF73" s="3">
        <f t="shared" si="29"/>
        <v>-1.347717932497508E-3</v>
      </c>
      <c r="BG73" s="3">
        <f t="shared" si="30"/>
        <v>-1.5614025684058586E-3</v>
      </c>
      <c r="BH73" s="3">
        <f t="shared" si="31"/>
        <v>-3.3236667229220924E-2</v>
      </c>
      <c r="BI73" s="3">
        <f t="shared" si="32"/>
        <v>-3.2846383784651725E-2</v>
      </c>
      <c r="BJ73" s="3">
        <f t="shared" si="33"/>
        <v>-6.5395494765262165E-3</v>
      </c>
      <c r="BL73">
        <v>69</v>
      </c>
      <c r="BM73" s="3">
        <v>-4.4488291582996291E-3</v>
      </c>
    </row>
    <row r="74" spans="1:65" x14ac:dyDescent="0.3">
      <c r="A74" s="2">
        <v>45986</v>
      </c>
      <c r="B74">
        <v>2414.1</v>
      </c>
      <c r="C74">
        <v>3855.1</v>
      </c>
      <c r="D74">
        <v>1357.8</v>
      </c>
      <c r="E74">
        <v>3119.2</v>
      </c>
      <c r="F74">
        <v>3669.3</v>
      </c>
      <c r="H74" s="2">
        <v>45986</v>
      </c>
      <c r="I74" s="3">
        <f t="shared" si="34"/>
        <v>-4.57694210786741E-3</v>
      </c>
      <c r="J74" s="3">
        <f t="shared" si="35"/>
        <v>-1.0929522538933201E-2</v>
      </c>
      <c r="K74" s="3">
        <f t="shared" si="36"/>
        <v>-1.2509090909090914E-2</v>
      </c>
      <c r="L74" s="3">
        <f t="shared" si="37"/>
        <v>-1.3816434284991685E-2</v>
      </c>
      <c r="M74" s="3">
        <f t="shared" si="38"/>
        <v>-4.638671875E-3</v>
      </c>
      <c r="O74">
        <v>70</v>
      </c>
      <c r="P74" s="8">
        <v>-9.9397087782775811E-2</v>
      </c>
      <c r="Q74" s="8">
        <v>1.0665451703706414</v>
      </c>
      <c r="R74" s="8">
        <v>0.14186938806987351</v>
      </c>
      <c r="S74" s="8">
        <v>-1.2812335569591533</v>
      </c>
      <c r="T74" s="8">
        <v>-0.61994875382712045</v>
      </c>
      <c r="V74">
        <v>70</v>
      </c>
      <c r="W74">
        <v>-9.9397087782775811E-2</v>
      </c>
      <c r="X74">
        <v>0.21847771863183985</v>
      </c>
      <c r="Y74">
        <v>0.36203533857780745</v>
      </c>
      <c r="Z74">
        <v>-1.0992268187794418</v>
      </c>
      <c r="AA74">
        <v>-3.1107982622395114E-2</v>
      </c>
      <c r="AQ74">
        <v>70</v>
      </c>
      <c r="AR74" s="21">
        <f t="shared" si="24"/>
        <v>2365.2295146776569</v>
      </c>
      <c r="AS74" s="21">
        <f t="shared" si="25"/>
        <v>2373.6096565117837</v>
      </c>
      <c r="AT74" s="21">
        <f t="shared" si="26"/>
        <v>2377.5688385106141</v>
      </c>
      <c r="AU74" s="21">
        <f t="shared" si="27"/>
        <v>2337.5611534833338</v>
      </c>
      <c r="AV74" s="21">
        <f t="shared" si="28"/>
        <v>2366.7441006354593</v>
      </c>
      <c r="BE74">
        <v>70</v>
      </c>
      <c r="BF74" s="3">
        <f t="shared" si="29"/>
        <v>1.1828425182042877E-2</v>
      </c>
      <c r="BG74" s="3">
        <f t="shared" si="30"/>
        <v>3.8705056355981555E-3</v>
      </c>
      <c r="BH74" s="3">
        <f t="shared" si="31"/>
        <v>1.9562843851472521E-2</v>
      </c>
      <c r="BI74" s="3">
        <f t="shared" si="32"/>
        <v>7.5053565266387573E-3</v>
      </c>
      <c r="BJ74" s="3">
        <f t="shared" si="33"/>
        <v>2.2974801856548714E-3</v>
      </c>
      <c r="BL74">
        <v>70</v>
      </c>
      <c r="BM74" s="3">
        <v>-4.4266047382017061E-3</v>
      </c>
    </row>
    <row r="75" spans="1:65" x14ac:dyDescent="0.3">
      <c r="A75" s="2">
        <v>45985</v>
      </c>
      <c r="B75">
        <v>2424.1999999999998</v>
      </c>
      <c r="C75">
        <v>3874.3</v>
      </c>
      <c r="D75">
        <v>1368.4</v>
      </c>
      <c r="E75">
        <v>3141.2</v>
      </c>
      <c r="F75">
        <v>3690.8</v>
      </c>
      <c r="H75" s="2">
        <v>45985</v>
      </c>
      <c r="I75" s="3">
        <f t="shared" si="34"/>
        <v>4.1837537798765645E-3</v>
      </c>
      <c r="J75" s="3">
        <f t="shared" si="35"/>
        <v>4.9804155534227679E-3</v>
      </c>
      <c r="K75" s="3">
        <f t="shared" si="36"/>
        <v>7.8067462070998683E-3</v>
      </c>
      <c r="L75" s="3">
        <f t="shared" si="37"/>
        <v>7.0530905360348672E-3</v>
      </c>
      <c r="M75" s="3">
        <f t="shared" si="38"/>
        <v>5.8594282288175759E-3</v>
      </c>
      <c r="O75">
        <v>71</v>
      </c>
      <c r="P75" s="8">
        <v>0.54387998058758524</v>
      </c>
      <c r="Q75" s="8">
        <v>0.32187164878105273</v>
      </c>
      <c r="R75" s="8">
        <v>2.5366086060921265</v>
      </c>
      <c r="S75" s="8">
        <v>-0.71091685895611445</v>
      </c>
      <c r="T75" s="8">
        <v>0.97686288327007187</v>
      </c>
      <c r="V75">
        <v>71</v>
      </c>
      <c r="W75">
        <v>0.54387998058758524</v>
      </c>
      <c r="X75">
        <v>4.6247475688338938E-2</v>
      </c>
      <c r="Y75">
        <v>2.5605409214096313</v>
      </c>
      <c r="Z75">
        <v>-0.56332108391661084</v>
      </c>
      <c r="AA75">
        <v>0.7286604409206684</v>
      </c>
      <c r="AQ75">
        <v>71</v>
      </c>
      <c r="AR75" s="21">
        <f t="shared" si="24"/>
        <v>2382.9651131073342</v>
      </c>
      <c r="AS75" s="21">
        <f t="shared" si="25"/>
        <v>2368.8639704500974</v>
      </c>
      <c r="AT75" s="21">
        <f t="shared" si="26"/>
        <v>2439.054996912947</v>
      </c>
      <c r="AU75" s="21">
        <f t="shared" si="27"/>
        <v>2352.1448762458167</v>
      </c>
      <c r="AV75" s="21">
        <f t="shared" si="28"/>
        <v>2387.7169051684991</v>
      </c>
      <c r="BE75">
        <v>71</v>
      </c>
      <c r="BF75" s="3">
        <f t="shared" si="29"/>
        <v>7.4704944943069888E-3</v>
      </c>
      <c r="BG75" s="3">
        <f t="shared" si="30"/>
        <v>-2.0013554187190796E-3</v>
      </c>
      <c r="BH75" s="3">
        <f t="shared" si="31"/>
        <v>2.5532198763125357E-2</v>
      </c>
      <c r="BI75" s="3">
        <f t="shared" si="32"/>
        <v>6.2194814261581684E-3</v>
      </c>
      <c r="BJ75" s="3">
        <f t="shared" si="33"/>
        <v>8.8224261561802853E-3</v>
      </c>
      <c r="BL75">
        <v>71</v>
      </c>
      <c r="BM75" s="3">
        <v>-4.4222666187730322E-3</v>
      </c>
    </row>
    <row r="76" spans="1:65" x14ac:dyDescent="0.3">
      <c r="A76" s="2">
        <v>45982</v>
      </c>
      <c r="B76">
        <v>2433.6999999999998</v>
      </c>
      <c r="C76">
        <v>3904.2</v>
      </c>
      <c r="D76">
        <v>1369.5</v>
      </c>
      <c r="E76">
        <v>3150.6</v>
      </c>
      <c r="F76">
        <v>3749.6</v>
      </c>
      <c r="H76" s="2">
        <v>45982</v>
      </c>
      <c r="I76" s="3">
        <f t="shared" si="34"/>
        <v>3.9188185793250785E-3</v>
      </c>
      <c r="J76" s="3">
        <f t="shared" si="35"/>
        <v>7.7175231654749155E-3</v>
      </c>
      <c r="K76" s="3">
        <f t="shared" si="36"/>
        <v>8.03858520900258E-4</v>
      </c>
      <c r="L76" s="3">
        <f t="shared" si="37"/>
        <v>2.9924869476634086E-3</v>
      </c>
      <c r="M76" s="3">
        <f t="shared" si="38"/>
        <v>1.5931505364690457E-2</v>
      </c>
      <c r="O76">
        <v>72</v>
      </c>
      <c r="P76" s="8">
        <v>0.18494521732571872</v>
      </c>
      <c r="Q76" s="8">
        <v>-0.72812302843207721</v>
      </c>
      <c r="R76" s="8">
        <v>-1.2054980946542995</v>
      </c>
      <c r="S76" s="8">
        <v>0.52274436915272515</v>
      </c>
      <c r="T76" s="8">
        <v>-2.0088836578269458</v>
      </c>
      <c r="V76">
        <v>72</v>
      </c>
      <c r="W76">
        <v>0.18494521732571872</v>
      </c>
      <c r="X76">
        <v>-0.15316988912820401</v>
      </c>
      <c r="Y76">
        <v>-1.3271686401460925</v>
      </c>
      <c r="Z76">
        <v>0.37295321275088833</v>
      </c>
      <c r="AA76">
        <v>-1.9894012781079411</v>
      </c>
      <c r="AQ76">
        <v>72</v>
      </c>
      <c r="AR76" s="21">
        <f t="shared" si="24"/>
        <v>2373.0524448265583</v>
      </c>
      <c r="AS76" s="21">
        <f t="shared" si="25"/>
        <v>2363.3858664004069</v>
      </c>
      <c r="AT76" s="21">
        <f t="shared" si="26"/>
        <v>2331.3836817193901</v>
      </c>
      <c r="AU76" s="21">
        <f t="shared" si="27"/>
        <v>2377.8770862639731</v>
      </c>
      <c r="AV76" s="21">
        <f t="shared" si="28"/>
        <v>2313.5202227207915</v>
      </c>
      <c r="BE76">
        <v>72</v>
      </c>
      <c r="BF76" s="3">
        <f t="shared" si="29"/>
        <v>-4.1684802521249967E-3</v>
      </c>
      <c r="BG76" s="3">
        <f t="shared" si="30"/>
        <v>-2.315222858284218E-3</v>
      </c>
      <c r="BH76" s="3">
        <f t="shared" si="31"/>
        <v>-4.5148721808550521E-2</v>
      </c>
      <c r="BI76" s="3">
        <f t="shared" si="32"/>
        <v>1.08804838879964E-2</v>
      </c>
      <c r="BJ76" s="3">
        <f t="shared" si="33"/>
        <v>-3.1567369071376743E-2</v>
      </c>
      <c r="BL76">
        <v>72</v>
      </c>
      <c r="BM76" s="3">
        <v>-4.3807995848627792E-3</v>
      </c>
    </row>
    <row r="77" spans="1:65" x14ac:dyDescent="0.3">
      <c r="A77" s="2">
        <v>45981</v>
      </c>
      <c r="B77">
        <v>2428.4</v>
      </c>
      <c r="C77">
        <v>3902.4</v>
      </c>
      <c r="D77">
        <v>1383</v>
      </c>
      <c r="E77">
        <v>3144.8</v>
      </c>
      <c r="F77">
        <v>3716.7</v>
      </c>
      <c r="H77" s="2">
        <v>45981</v>
      </c>
      <c r="I77" s="3">
        <f t="shared" si="34"/>
        <v>-2.1777540370627735E-3</v>
      </c>
      <c r="J77" s="3">
        <f t="shared" si="35"/>
        <v>-4.6104195481777577E-4</v>
      </c>
      <c r="K77" s="3">
        <f t="shared" si="36"/>
        <v>9.8576122672509037E-3</v>
      </c>
      <c r="L77" s="3">
        <f t="shared" si="37"/>
        <v>-1.8409191899955157E-3</v>
      </c>
      <c r="M77" s="3">
        <f t="shared" si="38"/>
        <v>-8.7742692553872681E-3</v>
      </c>
      <c r="O77">
        <v>73</v>
      </c>
      <c r="P77" s="8">
        <v>1.4783494639427195</v>
      </c>
      <c r="Q77" s="8">
        <v>-1.7158112999575617</v>
      </c>
      <c r="R77" s="8">
        <v>0.80696720138322375</v>
      </c>
      <c r="S77" s="8">
        <v>1.4316512481271473</v>
      </c>
      <c r="T77" s="8">
        <v>-0.19192923896520636</v>
      </c>
      <c r="V77">
        <v>73</v>
      </c>
      <c r="W77">
        <v>1.4783494639427195</v>
      </c>
      <c r="X77">
        <v>-0.39670630189911932</v>
      </c>
      <c r="Y77">
        <v>0.4633833981628237</v>
      </c>
      <c r="Z77">
        <v>1.2107922790567454</v>
      </c>
      <c r="AA77">
        <v>-1.1224317210079426</v>
      </c>
      <c r="AQ77">
        <v>73</v>
      </c>
      <c r="AR77" s="21">
        <f t="shared" si="24"/>
        <v>2408.9661849655536</v>
      </c>
      <c r="AS77" s="21">
        <f t="shared" si="25"/>
        <v>2356.7053361718104</v>
      </c>
      <c r="AT77" s="21">
        <f t="shared" si="26"/>
        <v>2380.3715604187196</v>
      </c>
      <c r="AU77" s="21">
        <f t="shared" si="27"/>
        <v>2401.1189841120909</v>
      </c>
      <c r="AV77" s="21">
        <f t="shared" si="28"/>
        <v>2336.9275889401465</v>
      </c>
      <c r="BE77">
        <v>73</v>
      </c>
      <c r="BF77" s="3">
        <f t="shared" si="29"/>
        <v>1.5020608722411751E-2</v>
      </c>
      <c r="BG77" s="3">
        <f t="shared" si="30"/>
        <v>-2.830680341829431E-3</v>
      </c>
      <c r="BH77" s="3">
        <f t="shared" si="31"/>
        <v>2.0794647190449007E-2</v>
      </c>
      <c r="BI77" s="3">
        <f t="shared" si="32"/>
        <v>9.7267630056195875E-3</v>
      </c>
      <c r="BJ77" s="3">
        <f t="shared" si="33"/>
        <v>1.0066799948355288E-2</v>
      </c>
      <c r="BL77">
        <v>73</v>
      </c>
      <c r="BM77" s="3">
        <v>-4.2925815444885065E-3</v>
      </c>
    </row>
    <row r="78" spans="1:65" x14ac:dyDescent="0.3">
      <c r="A78" s="2">
        <v>45980</v>
      </c>
      <c r="B78">
        <v>2441.6</v>
      </c>
      <c r="C78">
        <v>3933.1</v>
      </c>
      <c r="D78">
        <v>1383.1</v>
      </c>
      <c r="E78">
        <v>3147.7</v>
      </c>
      <c r="F78">
        <v>3722.5</v>
      </c>
      <c r="H78" s="2">
        <v>45980</v>
      </c>
      <c r="I78" s="3">
        <f t="shared" si="34"/>
        <v>5.4356778125514982E-3</v>
      </c>
      <c r="J78" s="3">
        <f t="shared" si="35"/>
        <v>7.8669536695366027E-3</v>
      </c>
      <c r="K78" s="3">
        <f t="shared" si="36"/>
        <v>7.230657989865108E-5</v>
      </c>
      <c r="L78" s="3">
        <f t="shared" si="37"/>
        <v>9.2215721190536115E-4</v>
      </c>
      <c r="M78" s="3">
        <f t="shared" si="38"/>
        <v>1.5605241208600518E-3</v>
      </c>
      <c r="O78">
        <v>74</v>
      </c>
      <c r="P78" s="8">
        <v>4.1549933585472663E-4</v>
      </c>
      <c r="Q78" s="8">
        <v>-5.1429475510080487E-2</v>
      </c>
      <c r="R78" s="8">
        <v>-1.4551066746668666</v>
      </c>
      <c r="S78" s="8">
        <v>-1.1560787460636761</v>
      </c>
      <c r="T78" s="8">
        <v>-1.1207189546061929</v>
      </c>
      <c r="V78">
        <v>74</v>
      </c>
      <c r="W78">
        <v>4.1549933585472663E-4</v>
      </c>
      <c r="X78">
        <v>-1.0384963577473308E-2</v>
      </c>
      <c r="Y78">
        <v>-1.4324314419141193</v>
      </c>
      <c r="Z78">
        <v>-1.1925719671109047</v>
      </c>
      <c r="AA78">
        <v>-0.60474636366761747</v>
      </c>
      <c r="AQ78">
        <v>74</v>
      </c>
      <c r="AR78" s="21">
        <f t="shared" si="24"/>
        <v>2367.9721268691733</v>
      </c>
      <c r="AS78" s="21">
        <f t="shared" si="25"/>
        <v>2367.3089007318458</v>
      </c>
      <c r="AT78" s="21">
        <f t="shared" si="26"/>
        <v>2328.5348134301444</v>
      </c>
      <c r="AU78" s="21">
        <f t="shared" si="27"/>
        <v>2335.0362280541922</v>
      </c>
      <c r="AV78" s="21">
        <f t="shared" si="28"/>
        <v>2351.0300608813227</v>
      </c>
      <c r="BE78">
        <v>74</v>
      </c>
      <c r="BF78" s="3">
        <f t="shared" si="29"/>
        <v>-1.7163740370457693E-2</v>
      </c>
      <c r="BG78" s="3">
        <f t="shared" si="30"/>
        <v>4.4892254071234386E-3</v>
      </c>
      <c r="BH78" s="3">
        <f t="shared" si="31"/>
        <v>-2.2017358981283274E-2</v>
      </c>
      <c r="BI78" s="3">
        <f t="shared" si="32"/>
        <v>-2.7907465849130158E-2</v>
      </c>
      <c r="BJ78" s="3">
        <f t="shared" si="33"/>
        <v>6.0164854441074021E-3</v>
      </c>
      <c r="BL78">
        <v>74</v>
      </c>
      <c r="BM78" s="3">
        <v>-4.2560145083377215E-3</v>
      </c>
    </row>
    <row r="79" spans="1:65" x14ac:dyDescent="0.3">
      <c r="A79" s="2">
        <v>45979</v>
      </c>
      <c r="B79">
        <v>2404</v>
      </c>
      <c r="C79">
        <v>3879.2</v>
      </c>
      <c r="D79">
        <v>1373.4</v>
      </c>
      <c r="E79">
        <v>3087.1</v>
      </c>
      <c r="F79">
        <v>3694.8</v>
      </c>
      <c r="H79" s="2">
        <v>45979</v>
      </c>
      <c r="I79" s="3">
        <f t="shared" si="34"/>
        <v>-1.5399737876802044E-2</v>
      </c>
      <c r="J79" s="3">
        <f t="shared" si="35"/>
        <v>-1.3704202791691045E-2</v>
      </c>
      <c r="K79" s="3">
        <f t="shared" si="36"/>
        <v>-7.0132311474223608E-3</v>
      </c>
      <c r="L79" s="3">
        <f t="shared" si="37"/>
        <v>-1.9252152365219044E-2</v>
      </c>
      <c r="M79" s="3">
        <f t="shared" si="38"/>
        <v>-7.4412357286769426E-3</v>
      </c>
      <c r="O79">
        <v>75</v>
      </c>
      <c r="P79" s="8">
        <v>0.139302917074311</v>
      </c>
      <c r="Q79" s="8">
        <v>-0.33062808878325972</v>
      </c>
      <c r="R79" s="8">
        <v>0.18171189743000565</v>
      </c>
      <c r="S79" s="8">
        <v>1.2672930492391621</v>
      </c>
      <c r="T79" s="8">
        <v>0.48906623179244929</v>
      </c>
      <c r="V79">
        <v>75</v>
      </c>
      <c r="W79">
        <v>0.139302917074311</v>
      </c>
      <c r="X79">
        <v>-7.1449624938079936E-2</v>
      </c>
      <c r="Y79">
        <v>0.11109263945769869</v>
      </c>
      <c r="Z79">
        <v>1.2092859436227172</v>
      </c>
      <c r="AA79">
        <v>7.9197379922297195E-2</v>
      </c>
      <c r="AQ79">
        <v>75</v>
      </c>
      <c r="AR79" s="21">
        <f t="shared" si="24"/>
        <v>2371.7944448209309</v>
      </c>
      <c r="AS79" s="21">
        <f t="shared" si="25"/>
        <v>2365.6300817653178</v>
      </c>
      <c r="AT79" s="21">
        <f t="shared" si="26"/>
        <v>2370.6513234431018</v>
      </c>
      <c r="AU79" s="21">
        <f t="shared" si="27"/>
        <v>2401.0785543373399</v>
      </c>
      <c r="AV79" s="21">
        <f t="shared" si="28"/>
        <v>2369.7677110548352</v>
      </c>
      <c r="BE79">
        <v>75</v>
      </c>
      <c r="BF79" s="3">
        <f t="shared" si="29"/>
        <v>1.6128721626033318E-3</v>
      </c>
      <c r="BG79" s="3">
        <f t="shared" si="30"/>
        <v>-7.0941926069433144E-4</v>
      </c>
      <c r="BH79" s="3">
        <f t="shared" si="31"/>
        <v>1.7925503069149931E-2</v>
      </c>
      <c r="BI79" s="3">
        <f t="shared" si="32"/>
        <v>2.7890627818445982E-2</v>
      </c>
      <c r="BJ79" s="3">
        <f t="shared" si="33"/>
        <v>7.9383822308310044E-3</v>
      </c>
      <c r="BL79">
        <v>75</v>
      </c>
      <c r="BM79" s="3">
        <v>-4.2088502529817702E-3</v>
      </c>
    </row>
    <row r="80" spans="1:65" x14ac:dyDescent="0.3">
      <c r="A80" s="2">
        <v>45978</v>
      </c>
      <c r="B80">
        <v>2425</v>
      </c>
      <c r="C80">
        <v>3868.6</v>
      </c>
      <c r="D80">
        <v>1379</v>
      </c>
      <c r="E80">
        <v>3102.2</v>
      </c>
      <c r="F80">
        <v>3734.9</v>
      </c>
      <c r="H80" s="2">
        <v>45978</v>
      </c>
      <c r="I80" s="3">
        <f t="shared" si="34"/>
        <v>8.7354409317803583E-3</v>
      </c>
      <c r="J80" s="3">
        <f t="shared" si="35"/>
        <v>-2.732522169519469E-3</v>
      </c>
      <c r="K80" s="3">
        <f t="shared" si="36"/>
        <v>4.0774719673801751E-3</v>
      </c>
      <c r="L80" s="3">
        <f t="shared" si="37"/>
        <v>4.8913219526416363E-3</v>
      </c>
      <c r="M80" s="3">
        <f t="shared" si="38"/>
        <v>1.0853090830356127E-2</v>
      </c>
      <c r="O80">
        <v>76</v>
      </c>
      <c r="P80" s="8">
        <v>0.99218420857748668</v>
      </c>
      <c r="Q80" s="8">
        <v>0.81080838504718533</v>
      </c>
      <c r="R80" s="8">
        <v>0.83516066841499792</v>
      </c>
      <c r="S80" s="8">
        <v>-0.29692053002526475</v>
      </c>
      <c r="T80" s="8">
        <v>-0.17962255311887765</v>
      </c>
      <c r="V80">
        <v>76</v>
      </c>
      <c r="W80">
        <v>0.99218420857748668</v>
      </c>
      <c r="X80">
        <v>0.12946218670060672</v>
      </c>
      <c r="Y80">
        <v>1.0136889076720446</v>
      </c>
      <c r="Z80">
        <v>-0.11862859992798036</v>
      </c>
      <c r="AA80">
        <v>-2.5500311599355036E-2</v>
      </c>
      <c r="AQ80">
        <v>76</v>
      </c>
      <c r="AR80" s="21">
        <f t="shared" si="24"/>
        <v>2395.4030554838728</v>
      </c>
      <c r="AS80" s="21">
        <f t="shared" si="25"/>
        <v>2371.1523498311317</v>
      </c>
      <c r="AT80" s="21">
        <f t="shared" si="26"/>
        <v>2395.6305539633518</v>
      </c>
      <c r="AU80" s="21">
        <f t="shared" si="27"/>
        <v>2364.3305005348561</v>
      </c>
      <c r="AV80" s="21">
        <f t="shared" si="28"/>
        <v>2366.8939636613163</v>
      </c>
      <c r="BE80">
        <v>76</v>
      </c>
      <c r="BF80" s="3">
        <f t="shared" si="29"/>
        <v>9.9046887262937977E-3</v>
      </c>
      <c r="BG80" s="3">
        <f t="shared" si="30"/>
        <v>2.3316547244591613E-3</v>
      </c>
      <c r="BH80" s="3">
        <f t="shared" si="31"/>
        <v>1.0481738118478409E-2</v>
      </c>
      <c r="BI80" s="3">
        <f t="shared" si="32"/>
        <v>-1.5423138632825531E-2</v>
      </c>
      <c r="BJ80" s="3">
        <f t="shared" si="33"/>
        <v>-1.2134063792044916E-3</v>
      </c>
      <c r="BL80">
        <v>76</v>
      </c>
      <c r="BM80" s="3">
        <v>-4.1585875407062428E-3</v>
      </c>
    </row>
    <row r="81" spans="1:65" x14ac:dyDescent="0.3">
      <c r="A81" s="2">
        <v>45975</v>
      </c>
      <c r="B81">
        <v>2427.6999999999998</v>
      </c>
      <c r="C81">
        <v>3829.2</v>
      </c>
      <c r="D81">
        <v>1373</v>
      </c>
      <c r="E81">
        <v>3106</v>
      </c>
      <c r="F81">
        <v>3698.6</v>
      </c>
      <c r="H81" s="2">
        <v>45975</v>
      </c>
      <c r="I81" s="3">
        <f t="shared" si="34"/>
        <v>1.1134020618555063E-3</v>
      </c>
      <c r="J81" s="3">
        <f t="shared" si="35"/>
        <v>-1.0184562890968363E-2</v>
      </c>
      <c r="K81" s="3">
        <f t="shared" si="36"/>
        <v>-4.35097897026826E-3</v>
      </c>
      <c r="L81" s="3">
        <f t="shared" si="37"/>
        <v>1.2249371413834975E-3</v>
      </c>
      <c r="M81" s="3">
        <f t="shared" si="38"/>
        <v>-9.7191357198318507E-3</v>
      </c>
      <c r="O81">
        <v>77</v>
      </c>
      <c r="P81" s="8">
        <v>1.1352326125517729</v>
      </c>
      <c r="Q81" s="8">
        <v>0.99165415523028089</v>
      </c>
      <c r="R81" s="8">
        <v>0.99950994333140064</v>
      </c>
      <c r="S81" s="8">
        <v>1.2116467946968452</v>
      </c>
      <c r="T81" s="8">
        <v>-1.3494494309591476</v>
      </c>
      <c r="V81">
        <v>77</v>
      </c>
      <c r="W81">
        <v>1.1352326125517729</v>
      </c>
      <c r="X81">
        <v>0.16102234220800749</v>
      </c>
      <c r="Y81">
        <v>1.2163166768155913</v>
      </c>
      <c r="Z81">
        <v>1.4071304521896271</v>
      </c>
      <c r="AA81">
        <v>-1.3704303393569282</v>
      </c>
      <c r="AQ81">
        <v>77</v>
      </c>
      <c r="AR81" s="21">
        <f t="shared" si="24"/>
        <v>2399.3855937803951</v>
      </c>
      <c r="AS81" s="21">
        <f t="shared" si="25"/>
        <v>2372.0209401555821</v>
      </c>
      <c r="AT81" s="21">
        <f t="shared" si="26"/>
        <v>2401.2743884581018</v>
      </c>
      <c r="AU81" s="21">
        <f t="shared" si="27"/>
        <v>2406.5967059913582</v>
      </c>
      <c r="AV81" s="21">
        <f t="shared" si="28"/>
        <v>2330.2058741163</v>
      </c>
      <c r="BE81">
        <v>77</v>
      </c>
      <c r="BF81" s="3">
        <f t="shared" si="29"/>
        <v>1.6611948945753744E-3</v>
      </c>
      <c r="BG81" s="3">
        <f t="shared" si="30"/>
        <v>3.6624861924966777E-4</v>
      </c>
      <c r="BH81" s="3">
        <f t="shared" si="31"/>
        <v>2.35311608911441E-3</v>
      </c>
      <c r="BI81" s="3">
        <f t="shared" si="32"/>
        <v>1.7718698868665381E-2</v>
      </c>
      <c r="BJ81" s="3">
        <f t="shared" si="33"/>
        <v>-1.5621910087074514E-2</v>
      </c>
      <c r="BL81">
        <v>77</v>
      </c>
      <c r="BM81" s="3">
        <v>-4.1140764459628165E-3</v>
      </c>
    </row>
    <row r="82" spans="1:65" x14ac:dyDescent="0.3">
      <c r="A82" s="2">
        <v>45974</v>
      </c>
      <c r="B82">
        <v>2407.6</v>
      </c>
      <c r="C82">
        <v>3839.2</v>
      </c>
      <c r="D82">
        <v>1385.9</v>
      </c>
      <c r="E82">
        <v>3105.7</v>
      </c>
      <c r="F82">
        <v>3699.5</v>
      </c>
      <c r="H82" s="2">
        <v>45974</v>
      </c>
      <c r="I82" s="3">
        <f t="shared" si="34"/>
        <v>-8.2794414466367261E-3</v>
      </c>
      <c r="J82" s="3">
        <f t="shared" si="35"/>
        <v>2.6115115428810842E-3</v>
      </c>
      <c r="K82" s="3">
        <f t="shared" si="36"/>
        <v>9.3954843408594613E-3</v>
      </c>
      <c r="L82" s="3">
        <f t="shared" si="37"/>
        <v>-9.6587250483004539E-5</v>
      </c>
      <c r="M82" s="3">
        <f t="shared" si="38"/>
        <v>2.4333531606557379E-4</v>
      </c>
      <c r="O82">
        <v>78</v>
      </c>
      <c r="P82" s="8">
        <v>-1.9525231831824144</v>
      </c>
      <c r="Q82" s="8">
        <v>1.4747379681804931</v>
      </c>
      <c r="R82" s="8">
        <v>-1.0323304906186734</v>
      </c>
      <c r="S82" s="8">
        <v>-1.4070980443239953</v>
      </c>
      <c r="T82" s="8">
        <v>2.0350335359794025</v>
      </c>
      <c r="V82">
        <v>78</v>
      </c>
      <c r="W82">
        <v>-1.9525231831824144</v>
      </c>
      <c r="X82">
        <v>0.36436048200378912</v>
      </c>
      <c r="Y82">
        <v>-0.74704373659320522</v>
      </c>
      <c r="Z82">
        <v>-1.2422729750428525</v>
      </c>
      <c r="AA82">
        <v>2.7956526668173658</v>
      </c>
      <c r="AQ82">
        <v>78</v>
      </c>
      <c r="AR82" s="21">
        <f t="shared" si="24"/>
        <v>2314.8702463847931</v>
      </c>
      <c r="AS82" s="21">
        <f t="shared" si="25"/>
        <v>2377.6424577584785</v>
      </c>
      <c r="AT82" s="21">
        <f t="shared" si="26"/>
        <v>2347.1413535601455</v>
      </c>
      <c r="AU82" s="21">
        <f t="shared" si="27"/>
        <v>2333.6859242989922</v>
      </c>
      <c r="AV82" s="21">
        <f t="shared" si="28"/>
        <v>2445.7295443841122</v>
      </c>
      <c r="BE82">
        <v>78</v>
      </c>
      <c r="BF82" s="3">
        <f t="shared" si="29"/>
        <v>-3.5859065098594857E-2</v>
      </c>
      <c r="BG82" s="3">
        <f t="shared" si="30"/>
        <v>2.3671236282863431E-3</v>
      </c>
      <c r="BH82" s="3">
        <f t="shared" si="31"/>
        <v>-2.2801449224334001E-2</v>
      </c>
      <c r="BI82" s="3">
        <f t="shared" si="32"/>
        <v>-3.0764634896392591E-2</v>
      </c>
      <c r="BJ82" s="3">
        <f t="shared" si="33"/>
        <v>4.8386838916822265E-2</v>
      </c>
      <c r="BL82">
        <v>78</v>
      </c>
      <c r="BM82" s="3">
        <v>-4.0952515877563942E-3</v>
      </c>
    </row>
    <row r="83" spans="1:65" x14ac:dyDescent="0.3">
      <c r="A83" s="2">
        <v>45973</v>
      </c>
      <c r="B83">
        <v>2424.5</v>
      </c>
      <c r="C83">
        <v>3851.1</v>
      </c>
      <c r="D83">
        <v>1358.9</v>
      </c>
      <c r="E83">
        <v>3131.8</v>
      </c>
      <c r="F83">
        <v>3754.3</v>
      </c>
      <c r="H83" s="2">
        <v>45973</v>
      </c>
      <c r="I83" s="3">
        <f t="shared" si="34"/>
        <v>7.0194384449244751E-3</v>
      </c>
      <c r="J83" s="3">
        <f t="shared" si="35"/>
        <v>3.0996040841841932E-3</v>
      </c>
      <c r="K83" s="3">
        <f t="shared" si="36"/>
        <v>-1.9481925102821318E-2</v>
      </c>
      <c r="L83" s="3">
        <f t="shared" si="37"/>
        <v>8.4039025018516345E-3</v>
      </c>
      <c r="M83" s="3">
        <f t="shared" si="38"/>
        <v>1.4812812542235543E-2</v>
      </c>
      <c r="O83">
        <v>79</v>
      </c>
      <c r="P83" s="8">
        <v>0.36796122167202455</v>
      </c>
      <c r="Q83" s="8">
        <v>-1.7989282660825938</v>
      </c>
      <c r="R83" s="8">
        <v>-0.74369014277110668</v>
      </c>
      <c r="S83" s="8">
        <v>-0.83847934598342411</v>
      </c>
      <c r="T83" s="8">
        <v>-0.52100422271157198</v>
      </c>
      <c r="V83">
        <v>79</v>
      </c>
      <c r="W83">
        <v>0.36796122167202455</v>
      </c>
      <c r="X83">
        <v>-0.37537517298294826</v>
      </c>
      <c r="Y83">
        <v>-1.0981668539668732</v>
      </c>
      <c r="Z83">
        <v>-1.1174075656317224</v>
      </c>
      <c r="AA83">
        <v>-0.7466557698824603</v>
      </c>
      <c r="AQ83">
        <v>79</v>
      </c>
      <c r="AR83" s="21">
        <f t="shared" si="24"/>
        <v>2378.1004134825371</v>
      </c>
      <c r="AS83" s="21">
        <f t="shared" si="25"/>
        <v>2357.2941287386166</v>
      </c>
      <c r="AT83" s="21">
        <f t="shared" si="26"/>
        <v>2337.5931242598504</v>
      </c>
      <c r="AU83" s="21">
        <f t="shared" si="27"/>
        <v>2337.0739571245331</v>
      </c>
      <c r="AV83" s="21">
        <f t="shared" si="28"/>
        <v>2347.1583499172302</v>
      </c>
      <c r="BE83">
        <v>79</v>
      </c>
      <c r="BF83" s="3">
        <f t="shared" si="29"/>
        <v>2.6948386510484781E-2</v>
      </c>
      <c r="BG83" s="3">
        <f t="shared" si="30"/>
        <v>-8.5950271630989179E-3</v>
      </c>
      <c r="BH83" s="3">
        <f t="shared" si="31"/>
        <v>-4.0763217496872584E-3</v>
      </c>
      <c r="BI83" s="3">
        <f t="shared" si="32"/>
        <v>1.4507418517636214E-3</v>
      </c>
      <c r="BJ83" s="3">
        <f t="shared" si="33"/>
        <v>-4.1138076913736422E-2</v>
      </c>
      <c r="BL83">
        <v>79</v>
      </c>
      <c r="BM83" s="3">
        <v>-4.0204795669670484E-3</v>
      </c>
    </row>
    <row r="84" spans="1:65" x14ac:dyDescent="0.3">
      <c r="A84" s="2">
        <v>45972</v>
      </c>
      <c r="B84">
        <v>2427.5</v>
      </c>
      <c r="C84">
        <v>3812.4</v>
      </c>
      <c r="D84">
        <v>1358.3</v>
      </c>
      <c r="E84">
        <v>3047</v>
      </c>
      <c r="F84">
        <v>3749.1</v>
      </c>
      <c r="H84" s="2">
        <v>45972</v>
      </c>
      <c r="I84" s="3">
        <f t="shared" si="34"/>
        <v>1.2373685295936632E-3</v>
      </c>
      <c r="J84" s="3">
        <f t="shared" si="35"/>
        <v>-1.0049076887123087E-2</v>
      </c>
      <c r="K84" s="3">
        <f t="shared" si="36"/>
        <v>-4.4153359334764275E-4</v>
      </c>
      <c r="L84" s="3">
        <f t="shared" si="37"/>
        <v>-2.7077080273325338E-2</v>
      </c>
      <c r="M84" s="3">
        <f t="shared" si="38"/>
        <v>-1.3850784433849794E-3</v>
      </c>
      <c r="O84">
        <v>80</v>
      </c>
      <c r="P84" s="8">
        <v>3.7231670853374364E-4</v>
      </c>
      <c r="Q84" s="8">
        <v>0.26852891229484044</v>
      </c>
      <c r="R84" s="8">
        <v>-0.3824732600747302</v>
      </c>
      <c r="S84" s="8">
        <v>-0.73153165991687996</v>
      </c>
      <c r="T84" s="8">
        <v>0.56342902618042323</v>
      </c>
      <c r="V84">
        <v>80</v>
      </c>
      <c r="W84">
        <v>3.7231670853374364E-4</v>
      </c>
      <c r="X84">
        <v>5.4135854440836274E-2</v>
      </c>
      <c r="Y84">
        <v>-0.31673052573345051</v>
      </c>
      <c r="Z84">
        <v>-0.69231295561799089</v>
      </c>
      <c r="AA84">
        <v>0.79817118104298379</v>
      </c>
      <c r="AQ84">
        <v>80</v>
      </c>
      <c r="AR84" s="21">
        <f t="shared" si="24"/>
        <v>2367.969981256108</v>
      </c>
      <c r="AS84" s="21">
        <f t="shared" si="25"/>
        <v>2369.0833876356587</v>
      </c>
      <c r="AT84" s="21">
        <f t="shared" si="26"/>
        <v>2358.9015620117921</v>
      </c>
      <c r="AU84" s="21">
        <f t="shared" si="27"/>
        <v>2348.6366491303925</v>
      </c>
      <c r="AV84" s="21">
        <f t="shared" si="28"/>
        <v>2389.6457289820196</v>
      </c>
      <c r="BE84">
        <v>80</v>
      </c>
      <c r="BF84" s="3">
        <f t="shared" si="29"/>
        <v>-4.2689832930370188E-3</v>
      </c>
      <c r="BG84" s="3">
        <f t="shared" si="30"/>
        <v>4.9887184451244291E-3</v>
      </c>
      <c r="BH84" s="3">
        <f t="shared" si="31"/>
        <v>9.0742502185754727E-3</v>
      </c>
      <c r="BI84" s="3">
        <f t="shared" si="32"/>
        <v>4.9353092613344633E-3</v>
      </c>
      <c r="BJ84" s="3">
        <f t="shared" si="33"/>
        <v>1.7939740737542884E-2</v>
      </c>
      <c r="BL84">
        <v>80</v>
      </c>
      <c r="BM84" s="3">
        <v>-3.9388654004596218E-3</v>
      </c>
    </row>
    <row r="85" spans="1:65" x14ac:dyDescent="0.3">
      <c r="A85" s="2">
        <v>45971</v>
      </c>
      <c r="B85">
        <v>2408.8000000000002</v>
      </c>
      <c r="C85">
        <v>3803</v>
      </c>
      <c r="D85">
        <v>1348</v>
      </c>
      <c r="E85">
        <v>3025.2</v>
      </c>
      <c r="F85">
        <v>3663.9</v>
      </c>
      <c r="H85" s="2">
        <v>45971</v>
      </c>
      <c r="I85" s="3">
        <f t="shared" si="34"/>
        <v>-7.7033985581873576E-3</v>
      </c>
      <c r="J85" s="3">
        <f t="shared" si="35"/>
        <v>-2.4656384429755374E-3</v>
      </c>
      <c r="K85" s="3">
        <f t="shared" si="36"/>
        <v>-7.5830081719796549E-3</v>
      </c>
      <c r="L85" s="3">
        <f t="shared" si="37"/>
        <v>-7.154578273711909E-3</v>
      </c>
      <c r="M85" s="3">
        <f t="shared" si="38"/>
        <v>-2.2725454108986076E-2</v>
      </c>
      <c r="O85">
        <v>81</v>
      </c>
      <c r="P85" s="8">
        <v>-0.34223609784169157</v>
      </c>
      <c r="Q85" s="8">
        <v>-0.26162302897306977</v>
      </c>
      <c r="R85" s="8">
        <v>9.668014707902646E-2</v>
      </c>
      <c r="S85" s="8">
        <v>0.35444145387765752</v>
      </c>
      <c r="T85" s="8">
        <v>-0.71693575179532176</v>
      </c>
      <c r="V85">
        <v>81</v>
      </c>
      <c r="W85">
        <v>-0.34223609784169157</v>
      </c>
      <c r="X85">
        <v>-4.1015736365769023E-2</v>
      </c>
      <c r="Y85">
        <v>3.0050741877171161E-2</v>
      </c>
      <c r="Z85">
        <v>0.30395974398518388</v>
      </c>
      <c r="AA85">
        <v>-0.81217864127410455</v>
      </c>
      <c r="AQ85">
        <v>81</v>
      </c>
      <c r="AR85" s="21">
        <f t="shared" si="24"/>
        <v>2358.5668377805137</v>
      </c>
      <c r="AS85" s="21">
        <f t="shared" si="25"/>
        <v>2366.4684428317023</v>
      </c>
      <c r="AT85" s="21">
        <f t="shared" si="26"/>
        <v>2368.4210700763083</v>
      </c>
      <c r="AU85" s="21">
        <f t="shared" si="27"/>
        <v>2375.9666624640545</v>
      </c>
      <c r="AV85" s="21">
        <f t="shared" si="28"/>
        <v>2345.3668408274129</v>
      </c>
      <c r="BE85">
        <v>81</v>
      </c>
      <c r="BF85" s="3">
        <f t="shared" si="29"/>
        <v>-3.9788776607778105E-3</v>
      </c>
      <c r="BG85" s="3">
        <f t="shared" si="30"/>
        <v>-1.1043887442701674E-3</v>
      </c>
      <c r="BH85" s="3">
        <f t="shared" si="31"/>
        <v>4.0274471081622014E-3</v>
      </c>
      <c r="BI85" s="3">
        <f t="shared" si="32"/>
        <v>1.1569359954364837E-2</v>
      </c>
      <c r="BJ85" s="3">
        <f t="shared" si="33"/>
        <v>-1.8703299420356846E-2</v>
      </c>
      <c r="BL85">
        <v>81</v>
      </c>
      <c r="BM85" s="3">
        <v>-3.7485384523774515E-3</v>
      </c>
    </row>
    <row r="86" spans="1:65" x14ac:dyDescent="0.3">
      <c r="A86" s="2">
        <v>45968</v>
      </c>
      <c r="B86">
        <v>2414</v>
      </c>
      <c r="C86">
        <v>3769.3</v>
      </c>
      <c r="D86">
        <v>1343</v>
      </c>
      <c r="E86">
        <v>2991.8</v>
      </c>
      <c r="F86">
        <v>3690.2</v>
      </c>
      <c r="H86" s="2">
        <v>45968</v>
      </c>
      <c r="I86" s="3">
        <f t="shared" si="34"/>
        <v>2.1587512454332991E-3</v>
      </c>
      <c r="J86" s="3">
        <f t="shared" si="35"/>
        <v>-8.8614251906389274E-3</v>
      </c>
      <c r="K86" s="3">
        <f t="shared" si="36"/>
        <v>-3.7091988130564246E-3</v>
      </c>
      <c r="L86" s="3">
        <f t="shared" si="37"/>
        <v>-1.1040592357529966E-2</v>
      </c>
      <c r="M86" s="3">
        <f t="shared" si="38"/>
        <v>7.1781435082833855E-3</v>
      </c>
      <c r="O86">
        <v>82</v>
      </c>
      <c r="P86" s="8">
        <v>-0.18297280556409351</v>
      </c>
      <c r="Q86" s="8">
        <v>-0.37995130352234568</v>
      </c>
      <c r="R86" s="8">
        <v>0.81702786371397074</v>
      </c>
      <c r="S86" s="8">
        <v>-0.65095999306321795</v>
      </c>
      <c r="T86" s="8">
        <v>4.9806354852459586E-2</v>
      </c>
      <c r="V86">
        <v>82</v>
      </c>
      <c r="W86">
        <v>-0.18297280556409351</v>
      </c>
      <c r="X86">
        <v>-7.0340020150634688E-2</v>
      </c>
      <c r="Y86">
        <v>0.71287072505131976</v>
      </c>
      <c r="Z86">
        <v>-0.68148786167185593</v>
      </c>
      <c r="AA86">
        <v>-6.147764413936932E-2</v>
      </c>
      <c r="AQ86">
        <v>82</v>
      </c>
      <c r="AR86" s="21">
        <f t="shared" si="24"/>
        <v>2362.9330507914051</v>
      </c>
      <c r="AS86" s="21">
        <f t="shared" si="25"/>
        <v>2365.6619794772528</v>
      </c>
      <c r="AT86" s="21">
        <f t="shared" si="26"/>
        <v>2387.2769323790108</v>
      </c>
      <c r="AU86" s="21">
        <f t="shared" si="27"/>
        <v>2348.9274317841569</v>
      </c>
      <c r="AV86" s="21">
        <f t="shared" si="28"/>
        <v>2365.9077035745668</v>
      </c>
      <c r="BE86">
        <v>82</v>
      </c>
      <c r="BF86" s="3">
        <f t="shared" si="29"/>
        <v>1.8495030640882058E-3</v>
      </c>
      <c r="BG86" s="3">
        <f t="shared" si="30"/>
        <v>-3.4084578838120661E-4</v>
      </c>
      <c r="BH86" s="3">
        <f t="shared" si="31"/>
        <v>7.9298395740367081E-3</v>
      </c>
      <c r="BI86" s="3">
        <f t="shared" si="32"/>
        <v>-1.1445558490828804E-2</v>
      </c>
      <c r="BJ86" s="3">
        <f t="shared" si="33"/>
        <v>8.7199303327282103E-3</v>
      </c>
      <c r="BL86">
        <v>82</v>
      </c>
      <c r="BM86" s="3">
        <v>-3.65963255434241E-3</v>
      </c>
    </row>
    <row r="87" spans="1:65" x14ac:dyDescent="0.3">
      <c r="A87" s="2">
        <v>45967</v>
      </c>
      <c r="B87">
        <v>2436</v>
      </c>
      <c r="C87">
        <v>3774.4</v>
      </c>
      <c r="D87">
        <v>1320.4</v>
      </c>
      <c r="E87">
        <v>3010.9</v>
      </c>
      <c r="F87">
        <v>3618.5</v>
      </c>
      <c r="H87" s="2">
        <v>45967</v>
      </c>
      <c r="I87" s="3">
        <f t="shared" si="34"/>
        <v>9.1135045567523054E-3</v>
      </c>
      <c r="J87" s="3">
        <f t="shared" si="35"/>
        <v>1.353036372801375E-3</v>
      </c>
      <c r="K87" s="3">
        <f t="shared" si="36"/>
        <v>-1.6827997021593433E-2</v>
      </c>
      <c r="L87" s="3">
        <f t="shared" si="37"/>
        <v>6.3841165853331105E-3</v>
      </c>
      <c r="M87" s="3">
        <f t="shared" si="38"/>
        <v>-1.9429841201018871E-2</v>
      </c>
      <c r="O87">
        <v>83</v>
      </c>
      <c r="P87" s="8">
        <v>-2.2613547842045145</v>
      </c>
      <c r="Q87" s="8">
        <v>1.3989387679718883</v>
      </c>
      <c r="R87" s="8">
        <v>-2.1837864419064332</v>
      </c>
      <c r="S87" s="8">
        <v>1.1062658847619993</v>
      </c>
      <c r="T87" s="8">
        <v>0.70056623624638159</v>
      </c>
      <c r="V87">
        <v>83</v>
      </c>
      <c r="W87">
        <v>-2.2613547842045145</v>
      </c>
      <c r="X87">
        <v>0.35967002957800165</v>
      </c>
      <c r="Y87">
        <v>-1.8960826868436511</v>
      </c>
      <c r="Z87">
        <v>1.185591605849087</v>
      </c>
      <c r="AA87">
        <v>1.2448229778234139</v>
      </c>
      <c r="AQ87">
        <v>83</v>
      </c>
      <c r="AR87" s="21">
        <f t="shared" si="24"/>
        <v>2306.5819406590963</v>
      </c>
      <c r="AS87" s="21">
        <f t="shared" si="25"/>
        <v>2377.5142761847151</v>
      </c>
      <c r="AT87" s="21">
        <f t="shared" si="26"/>
        <v>2316.028882896549</v>
      </c>
      <c r="AU87" s="21">
        <f t="shared" si="27"/>
        <v>2400.426784205084</v>
      </c>
      <c r="AV87" s="21">
        <f t="shared" si="28"/>
        <v>2402.0648652505411</v>
      </c>
      <c r="BE87">
        <v>83</v>
      </c>
      <c r="BF87" s="3">
        <f t="shared" si="29"/>
        <v>-2.4136916151569956E-2</v>
      </c>
      <c r="BG87" s="3">
        <f t="shared" si="30"/>
        <v>4.9976305907635391E-3</v>
      </c>
      <c r="BH87" s="3">
        <f t="shared" si="31"/>
        <v>-3.0299326884338455E-2</v>
      </c>
      <c r="BI87" s="3">
        <f t="shared" si="32"/>
        <v>2.1687736335052516E-2</v>
      </c>
      <c r="BJ87" s="3">
        <f t="shared" si="33"/>
        <v>1.5166972659893686E-2</v>
      </c>
      <c r="BL87">
        <v>83</v>
      </c>
      <c r="BM87" s="3">
        <v>-3.6518895679439308E-3</v>
      </c>
    </row>
    <row r="88" spans="1:65" x14ac:dyDescent="0.3">
      <c r="A88" s="2">
        <v>45965</v>
      </c>
      <c r="B88">
        <v>2445.6999999999998</v>
      </c>
      <c r="C88">
        <v>3813.5</v>
      </c>
      <c r="D88">
        <v>1336.9</v>
      </c>
      <c r="E88">
        <v>2990.2</v>
      </c>
      <c r="F88">
        <v>3581.2</v>
      </c>
      <c r="H88" s="2">
        <v>45965</v>
      </c>
      <c r="I88" s="3">
        <f t="shared" si="34"/>
        <v>3.9819376026271058E-3</v>
      </c>
      <c r="J88" s="3">
        <f t="shared" si="35"/>
        <v>1.0359262399321612E-2</v>
      </c>
      <c r="K88" s="3">
        <f t="shared" si="36"/>
        <v>1.2496213268706535E-2</v>
      </c>
      <c r="L88" s="3">
        <f t="shared" si="37"/>
        <v>-6.8750207579130196E-3</v>
      </c>
      <c r="M88" s="3">
        <f t="shared" si="38"/>
        <v>-1.030813873151859E-2</v>
      </c>
      <c r="O88">
        <v>84</v>
      </c>
      <c r="P88" s="8">
        <v>1.4494589369204274</v>
      </c>
      <c r="Q88" s="8">
        <v>-0.66261788126143006</v>
      </c>
      <c r="R88" s="8">
        <v>-0.72609838093399182</v>
      </c>
      <c r="S88" s="8">
        <v>-0.60505582124917634</v>
      </c>
      <c r="T88" s="8">
        <v>0.123414843533332</v>
      </c>
      <c r="V88">
        <v>84</v>
      </c>
      <c r="W88">
        <v>1.4494589369204274</v>
      </c>
      <c r="X88">
        <v>-0.18333966278488792</v>
      </c>
      <c r="Y88">
        <v>-0.8118668996422882</v>
      </c>
      <c r="Z88">
        <v>-0.68438672972736325</v>
      </c>
      <c r="AA88">
        <v>0.1056774136563199</v>
      </c>
      <c r="AQ88">
        <v>84</v>
      </c>
      <c r="AR88" s="21">
        <f t="shared" si="24"/>
        <v>2408.1562923100432</v>
      </c>
      <c r="AS88" s="21">
        <f t="shared" si="25"/>
        <v>2362.5523586517893</v>
      </c>
      <c r="AT88" s="21">
        <f t="shared" si="26"/>
        <v>2345.3774534690106</v>
      </c>
      <c r="AU88" s="21">
        <f t="shared" si="27"/>
        <v>2348.8549921417175</v>
      </c>
      <c r="AV88" s="21">
        <f t="shared" si="28"/>
        <v>2370.5049227915038</v>
      </c>
      <c r="BE88">
        <v>84</v>
      </c>
      <c r="BF88" s="3">
        <f t="shared" si="29"/>
        <v>4.3094681425943554E-2</v>
      </c>
      <c r="BG88" s="3">
        <f t="shared" si="30"/>
        <v>-6.3129775913114781E-3</v>
      </c>
      <c r="BH88" s="3">
        <f t="shared" si="31"/>
        <v>1.2592319253881164E-2</v>
      </c>
      <c r="BI88" s="3">
        <f t="shared" si="32"/>
        <v>-2.171857626585744E-2</v>
      </c>
      <c r="BJ88" s="3">
        <f t="shared" si="33"/>
        <v>-1.3225747930017833E-2</v>
      </c>
      <c r="BL88">
        <v>84</v>
      </c>
      <c r="BM88" s="3">
        <v>-3.4000845576189149E-3</v>
      </c>
    </row>
    <row r="89" spans="1:65" x14ac:dyDescent="0.3">
      <c r="A89" s="2">
        <v>45964</v>
      </c>
      <c r="B89">
        <v>2460</v>
      </c>
      <c r="C89">
        <v>3724.5</v>
      </c>
      <c r="D89">
        <v>1346.4</v>
      </c>
      <c r="E89">
        <v>3016.8</v>
      </c>
      <c r="F89">
        <v>3548.9</v>
      </c>
      <c r="H89" s="2">
        <v>45964</v>
      </c>
      <c r="I89" s="3">
        <f t="shared" si="34"/>
        <v>5.8469967698411285E-3</v>
      </c>
      <c r="J89" s="3">
        <f t="shared" si="35"/>
        <v>-2.3338140815523767E-2</v>
      </c>
      <c r="K89" s="3">
        <f t="shared" si="36"/>
        <v>7.1059914728102136E-3</v>
      </c>
      <c r="L89" s="3">
        <f t="shared" si="37"/>
        <v>8.895726038392171E-3</v>
      </c>
      <c r="M89" s="3">
        <f t="shared" si="38"/>
        <v>-9.0193231319110057E-3</v>
      </c>
      <c r="O89">
        <v>85</v>
      </c>
      <c r="P89" s="8">
        <v>0.10203062338342009</v>
      </c>
      <c r="Q89" s="8">
        <v>-0.80488013199776254</v>
      </c>
      <c r="R89" s="8">
        <v>1.162014611738897</v>
      </c>
      <c r="S89" s="8">
        <v>1.8628426182710758</v>
      </c>
      <c r="T89" s="8">
        <v>0.71787341433706009</v>
      </c>
      <c r="V89">
        <v>85</v>
      </c>
      <c r="W89">
        <v>0.10203062338342009</v>
      </c>
      <c r="X89">
        <v>-0.16580352908253704</v>
      </c>
      <c r="Y89">
        <v>0.96729765208943486</v>
      </c>
      <c r="Z89">
        <v>1.7525301434669109</v>
      </c>
      <c r="AA89">
        <v>-0.11297218993123026</v>
      </c>
      <c r="AQ89">
        <v>85</v>
      </c>
      <c r="AR89" s="21">
        <f t="shared" si="24"/>
        <v>2370.7664278328075</v>
      </c>
      <c r="AS89" s="21">
        <f t="shared" si="25"/>
        <v>2363.0395046273152</v>
      </c>
      <c r="AT89" s="21">
        <f t="shared" si="26"/>
        <v>2394.3415535001554</v>
      </c>
      <c r="AU89" s="21">
        <f t="shared" si="27"/>
        <v>2416.2706261132548</v>
      </c>
      <c r="AV89" s="21">
        <f t="shared" si="28"/>
        <v>2364.4825263682678</v>
      </c>
      <c r="BE89">
        <v>85</v>
      </c>
      <c r="BF89" s="3">
        <f t="shared" si="29"/>
        <v>-1.5648140644803996E-2</v>
      </c>
      <c r="BG89" s="3">
        <f t="shared" si="30"/>
        <v>2.0617352972741003E-4</v>
      </c>
      <c r="BH89" s="3">
        <f t="shared" si="31"/>
        <v>2.0661917681268578E-2</v>
      </c>
      <c r="BI89" s="3">
        <f t="shared" si="32"/>
        <v>2.8297315888321906E-2</v>
      </c>
      <c r="BJ89" s="3">
        <f t="shared" si="33"/>
        <v>-2.5437869626486276E-3</v>
      </c>
      <c r="BL89">
        <v>85</v>
      </c>
      <c r="BM89" s="3">
        <v>-3.3277586884075494E-3</v>
      </c>
    </row>
    <row r="90" spans="1:65" x14ac:dyDescent="0.3">
      <c r="A90" s="2">
        <v>45961</v>
      </c>
      <c r="B90">
        <v>2465.5</v>
      </c>
      <c r="C90">
        <v>3746.7</v>
      </c>
      <c r="D90">
        <v>1345.3</v>
      </c>
      <c r="E90">
        <v>3058</v>
      </c>
      <c r="F90">
        <v>3487.2</v>
      </c>
      <c r="H90" s="2">
        <v>45961</v>
      </c>
      <c r="I90" s="3">
        <f t="shared" si="34"/>
        <v>2.2357723577235422E-3</v>
      </c>
      <c r="J90" s="3">
        <f t="shared" si="35"/>
        <v>5.9605316149817789E-3</v>
      </c>
      <c r="K90" s="3">
        <f t="shared" si="36"/>
        <v>-8.169934640523957E-4</v>
      </c>
      <c r="L90" s="3">
        <f t="shared" si="37"/>
        <v>1.3656854945637731E-2</v>
      </c>
      <c r="M90" s="3">
        <f t="shared" si="38"/>
        <v>-1.7385668798782783E-2</v>
      </c>
      <c r="O90">
        <v>86</v>
      </c>
      <c r="P90" s="8">
        <v>-6.5200186148896583E-2</v>
      </c>
      <c r="Q90" s="8">
        <v>-0.59543895416185966</v>
      </c>
      <c r="R90" s="8">
        <v>-2.7567046077404744E-2</v>
      </c>
      <c r="S90" s="8">
        <v>-0.4896950584346641</v>
      </c>
      <c r="T90" s="8">
        <v>1.1018311500605886</v>
      </c>
      <c r="V90">
        <v>86</v>
      </c>
      <c r="W90">
        <v>-6.5200186148896583E-2</v>
      </c>
      <c r="X90">
        <v>-0.1178330821660673</v>
      </c>
      <c r="Y90">
        <v>-0.15483112170642929</v>
      </c>
      <c r="Z90">
        <v>-0.57754528467865951</v>
      </c>
      <c r="AA90">
        <v>0.94141673052988462</v>
      </c>
      <c r="AQ90">
        <v>86</v>
      </c>
      <c r="AR90" s="21">
        <f t="shared" si="24"/>
        <v>2366.1664718851475</v>
      </c>
      <c r="AS90" s="21">
        <f t="shared" si="25"/>
        <v>2364.3570413923057</v>
      </c>
      <c r="AT90" s="21">
        <f t="shared" si="26"/>
        <v>2363.3416573067525</v>
      </c>
      <c r="AU90" s="21">
        <f t="shared" si="27"/>
        <v>2351.7683654564598</v>
      </c>
      <c r="AV90" s="21">
        <f t="shared" si="28"/>
        <v>2393.6238314184329</v>
      </c>
      <c r="BE90">
        <v>86</v>
      </c>
      <c r="BF90" s="3">
        <f t="shared" si="29"/>
        <v>-1.9421670059367542E-3</v>
      </c>
      <c r="BG90" s="3">
        <f t="shared" si="30"/>
        <v>5.5740481522043245E-4</v>
      </c>
      <c r="BH90" s="3">
        <f t="shared" si="31"/>
        <v>-1.3031693591938637E-2</v>
      </c>
      <c r="BI90" s="3">
        <f t="shared" si="32"/>
        <v>-2.7057746807308942E-2</v>
      </c>
      <c r="BJ90" s="3">
        <f t="shared" si="33"/>
        <v>1.2249271971964265E-2</v>
      </c>
      <c r="BL90">
        <v>86</v>
      </c>
      <c r="BM90" s="3">
        <v>-3.1530546601291074E-3</v>
      </c>
    </row>
    <row r="91" spans="1:65" x14ac:dyDescent="0.3">
      <c r="A91" s="2">
        <v>45960</v>
      </c>
      <c r="B91">
        <v>2469.6</v>
      </c>
      <c r="C91">
        <v>3750.7</v>
      </c>
      <c r="D91">
        <v>1362.4</v>
      </c>
      <c r="E91">
        <v>3035.3</v>
      </c>
      <c r="F91">
        <v>3502.1</v>
      </c>
      <c r="H91" s="2">
        <v>45960</v>
      </c>
      <c r="I91" s="3">
        <f t="shared" si="34"/>
        <v>1.662948691948829E-3</v>
      </c>
      <c r="J91" s="3">
        <f t="shared" si="35"/>
        <v>1.0676061600876086E-3</v>
      </c>
      <c r="K91" s="3">
        <f t="shared" si="36"/>
        <v>1.2710919497509909E-2</v>
      </c>
      <c r="L91" s="3">
        <f t="shared" si="37"/>
        <v>-7.4231523871810534E-3</v>
      </c>
      <c r="M91" s="3">
        <f t="shared" si="38"/>
        <v>4.2727689837118721E-3</v>
      </c>
      <c r="O91">
        <v>87</v>
      </c>
      <c r="P91" s="8">
        <v>0.12231498771154292</v>
      </c>
      <c r="Q91" s="8">
        <v>-1.0510950073744758</v>
      </c>
      <c r="R91" s="8">
        <v>-6.8301800815682948E-2</v>
      </c>
      <c r="S91" s="8">
        <v>5.0581297664652441E-2</v>
      </c>
      <c r="T91" s="8">
        <v>-0.81080567324696995</v>
      </c>
      <c r="V91">
        <v>87</v>
      </c>
      <c r="W91">
        <v>0.12231498771154292</v>
      </c>
      <c r="X91">
        <v>-0.21614839930704652</v>
      </c>
      <c r="Y91">
        <v>-0.28629077094330091</v>
      </c>
      <c r="Z91">
        <v>-0.11069307490225033</v>
      </c>
      <c r="AA91">
        <v>-1.0609238705019985</v>
      </c>
      <c r="AQ91">
        <v>87</v>
      </c>
      <c r="AR91" s="21">
        <f t="shared" si="24"/>
        <v>2371.3246509026417</v>
      </c>
      <c r="AS91" s="21">
        <f t="shared" si="25"/>
        <v>2361.6582224519589</v>
      </c>
      <c r="AT91" s="21">
        <f t="shared" si="26"/>
        <v>2359.7367759767694</v>
      </c>
      <c r="AU91" s="21">
        <f t="shared" si="27"/>
        <v>2364.5541247779611</v>
      </c>
      <c r="AV91" s="21">
        <f t="shared" si="28"/>
        <v>2338.6032385969311</v>
      </c>
      <c r="BE91">
        <v>87</v>
      </c>
      <c r="BF91" s="3">
        <f t="shared" si="29"/>
        <v>2.1776003045150972E-3</v>
      </c>
      <c r="BG91" s="3">
        <f t="shared" si="30"/>
        <v>-1.1421119412626142E-3</v>
      </c>
      <c r="BH91" s="3">
        <f t="shared" si="31"/>
        <v>-1.5264967884441704E-3</v>
      </c>
      <c r="BI91" s="3">
        <f t="shared" si="32"/>
        <v>5.4219323085929229E-3</v>
      </c>
      <c r="BJ91" s="3">
        <f t="shared" si="33"/>
        <v>-2.3254620488847941E-2</v>
      </c>
      <c r="BL91">
        <v>87</v>
      </c>
      <c r="BM91" s="3">
        <v>-3.138927022142446E-3</v>
      </c>
    </row>
    <row r="92" spans="1:65" x14ac:dyDescent="0.3">
      <c r="A92" s="2">
        <v>45959</v>
      </c>
      <c r="B92">
        <v>2488.1</v>
      </c>
      <c r="C92">
        <v>3748.3</v>
      </c>
      <c r="D92">
        <v>1370.4</v>
      </c>
      <c r="E92">
        <v>3057.6</v>
      </c>
      <c r="F92">
        <v>3534.7</v>
      </c>
      <c r="H92" s="2">
        <v>45959</v>
      </c>
      <c r="I92" s="3">
        <f t="shared" si="34"/>
        <v>7.491091674765249E-3</v>
      </c>
      <c r="J92" s="3">
        <f t="shared" si="35"/>
        <v>-6.3988055562946844E-4</v>
      </c>
      <c r="K92" s="3">
        <f t="shared" si="36"/>
        <v>5.871990604815025E-3</v>
      </c>
      <c r="L92" s="3">
        <f t="shared" si="37"/>
        <v>7.3468849866569208E-3</v>
      </c>
      <c r="M92" s="3">
        <f t="shared" si="38"/>
        <v>9.3087004939893525E-3</v>
      </c>
      <c r="O92">
        <v>88</v>
      </c>
      <c r="P92" s="8">
        <v>-1.3805125211189821</v>
      </c>
      <c r="Q92" s="8">
        <v>-7.8758217994108801E-2</v>
      </c>
      <c r="R92" s="8">
        <v>0.91051090979457505</v>
      </c>
      <c r="S92" s="8">
        <v>-1.2085627699382595</v>
      </c>
      <c r="T92" s="8">
        <v>0.37282177831856933</v>
      </c>
      <c r="V92">
        <v>88</v>
      </c>
      <c r="W92">
        <v>-1.3805125211189821</v>
      </c>
      <c r="X92">
        <v>3.1476613439448645E-2</v>
      </c>
      <c r="Y92">
        <v>0.83670555046422923</v>
      </c>
      <c r="Z92">
        <v>-1.2130788176651266</v>
      </c>
      <c r="AA92">
        <v>0.45134022220361442</v>
      </c>
      <c r="AQ92">
        <v>88</v>
      </c>
      <c r="AR92" s="21">
        <f t="shared" si="24"/>
        <v>2330.2973726178934</v>
      </c>
      <c r="AS92" s="21">
        <f t="shared" si="25"/>
        <v>2368.4660663013915</v>
      </c>
      <c r="AT92" s="21">
        <f t="shared" si="26"/>
        <v>2390.7121635963372</v>
      </c>
      <c r="AU92" s="21">
        <f t="shared" si="27"/>
        <v>2334.4704126244119</v>
      </c>
      <c r="AV92" s="21">
        <f t="shared" si="28"/>
        <v>2380.0422314770831</v>
      </c>
      <c r="BE92">
        <v>88</v>
      </c>
      <c r="BF92" s="3">
        <f t="shared" si="29"/>
        <v>-1.7452836271567303E-2</v>
      </c>
      <c r="BG92" s="3">
        <f t="shared" si="30"/>
        <v>2.878507258815092E-3</v>
      </c>
      <c r="BH92" s="3">
        <f t="shared" si="31"/>
        <v>1.3041220743513108E-2</v>
      </c>
      <c r="BI92" s="3">
        <f t="shared" si="32"/>
        <v>-1.2804412038764822E-2</v>
      </c>
      <c r="BJ92" s="3">
        <f t="shared" si="33"/>
        <v>1.7564387276612949E-2</v>
      </c>
      <c r="BL92">
        <v>88</v>
      </c>
      <c r="BM92" s="3">
        <v>-3.1349756047534456E-3</v>
      </c>
    </row>
    <row r="93" spans="1:65" x14ac:dyDescent="0.3">
      <c r="A93" s="2">
        <v>45958</v>
      </c>
      <c r="B93">
        <v>2497.1</v>
      </c>
      <c r="C93">
        <v>3717</v>
      </c>
      <c r="D93">
        <v>1363.1</v>
      </c>
      <c r="E93">
        <v>3057.9</v>
      </c>
      <c r="F93">
        <v>3579.1</v>
      </c>
      <c r="H93" s="2">
        <v>45958</v>
      </c>
      <c r="I93" s="3">
        <f t="shared" si="34"/>
        <v>3.6172179574776031E-3</v>
      </c>
      <c r="J93" s="3">
        <f t="shared" si="35"/>
        <v>-8.3504522049996366E-3</v>
      </c>
      <c r="K93" s="3">
        <f t="shared" si="36"/>
        <v>-5.326911850554672E-3</v>
      </c>
      <c r="L93" s="3">
        <f t="shared" si="37"/>
        <v>9.8116169544804066E-5</v>
      </c>
      <c r="M93" s="3">
        <f t="shared" si="38"/>
        <v>1.2561179166548753E-2</v>
      </c>
      <c r="O93">
        <v>89</v>
      </c>
      <c r="P93" s="8">
        <v>-0.20898681948268985</v>
      </c>
      <c r="Q93" s="8">
        <v>0.7343431658302958</v>
      </c>
      <c r="R93" s="8">
        <v>-2.6262283384282257</v>
      </c>
      <c r="S93" s="8">
        <v>0.97113404545941184</v>
      </c>
      <c r="T93" s="8">
        <v>0.6457655373654243</v>
      </c>
      <c r="V93">
        <v>89</v>
      </c>
      <c r="W93">
        <v>-0.20898681948268985</v>
      </c>
      <c r="X93">
        <v>0.15524891576613575</v>
      </c>
      <c r="Y93">
        <v>-2.4154842618380057</v>
      </c>
      <c r="Z93">
        <v>0.98848508129646329</v>
      </c>
      <c r="AA93">
        <v>1.0350406175145155</v>
      </c>
      <c r="AQ93">
        <v>89</v>
      </c>
      <c r="AR93" s="21">
        <f t="shared" si="24"/>
        <v>2362.2181820098017</v>
      </c>
      <c r="AS93" s="21">
        <f t="shared" si="25"/>
        <v>2371.8678498623403</v>
      </c>
      <c r="AT93" s="21">
        <f t="shared" si="26"/>
        <v>2302.1016147958185</v>
      </c>
      <c r="AU93" s="21">
        <f t="shared" si="27"/>
        <v>2394.9406089294694</v>
      </c>
      <c r="AV93" s="21">
        <f t="shared" si="28"/>
        <v>2396.2208128102648</v>
      </c>
      <c r="BE93">
        <v>89</v>
      </c>
      <c r="BF93" s="3">
        <f t="shared" si="29"/>
        <v>1.3605198065313325E-2</v>
      </c>
      <c r="BG93" s="3">
        <f t="shared" si="30"/>
        <v>1.4352508515515397E-3</v>
      </c>
      <c r="BH93" s="3">
        <f t="shared" si="31"/>
        <v>-3.7768846670253306E-2</v>
      </c>
      <c r="BI93" s="3">
        <f t="shared" si="32"/>
        <v>2.5573371231938844E-2</v>
      </c>
      <c r="BJ93" s="3">
        <f t="shared" si="33"/>
        <v>6.7746030986089107E-3</v>
      </c>
      <c r="BL93">
        <v>89</v>
      </c>
      <c r="BM93" s="3">
        <v>-3.1074615081231527E-3</v>
      </c>
    </row>
    <row r="94" spans="1:65" x14ac:dyDescent="0.3">
      <c r="A94" s="2">
        <v>45957</v>
      </c>
      <c r="B94">
        <v>2511.8000000000002</v>
      </c>
      <c r="C94">
        <v>3739.8</v>
      </c>
      <c r="D94">
        <v>1377.6</v>
      </c>
      <c r="E94">
        <v>3084.9</v>
      </c>
      <c r="F94">
        <v>3611.6</v>
      </c>
      <c r="H94" s="2">
        <v>45957</v>
      </c>
      <c r="I94" s="3">
        <f t="shared" si="34"/>
        <v>5.8868287213167392E-3</v>
      </c>
      <c r="J94" s="3">
        <f t="shared" si="35"/>
        <v>6.1339790153349671E-3</v>
      </c>
      <c r="K94" s="3">
        <f t="shared" si="36"/>
        <v>1.0637517423519816E-2</v>
      </c>
      <c r="L94" s="3">
        <f t="shared" si="37"/>
        <v>8.8295889335818778E-3</v>
      </c>
      <c r="M94" s="3">
        <f t="shared" si="38"/>
        <v>9.080495096532637E-3</v>
      </c>
      <c r="O94">
        <v>90</v>
      </c>
      <c r="P94" s="8">
        <v>1.2237336554684357</v>
      </c>
      <c r="Q94" s="8">
        <v>0.56711028190697643</v>
      </c>
      <c r="R94" s="8">
        <v>-0.15037368365574783</v>
      </c>
      <c r="S94" s="8">
        <v>1.2455401427106156</v>
      </c>
      <c r="T94" s="8">
        <v>-1.0371306265344347</v>
      </c>
      <c r="V94">
        <v>90</v>
      </c>
      <c r="W94">
        <v>1.2237336554684357</v>
      </c>
      <c r="X94">
        <v>7.2377424976276861E-2</v>
      </c>
      <c r="Y94">
        <v>5.2959781899038216E-3</v>
      </c>
      <c r="Z94">
        <v>1.3433479583250949</v>
      </c>
      <c r="AA94">
        <v>-1.0398808986330947</v>
      </c>
      <c r="AQ94">
        <v>90</v>
      </c>
      <c r="AR94" s="21">
        <f t="shared" si="24"/>
        <v>2401.8508159197077</v>
      </c>
      <c r="AS94" s="21">
        <f t="shared" si="25"/>
        <v>2369.5799045038898</v>
      </c>
      <c r="AT94" s="21">
        <f t="shared" si="26"/>
        <v>2367.7397874985518</v>
      </c>
      <c r="AU94" s="21">
        <f t="shared" si="27"/>
        <v>2404.8201791638603</v>
      </c>
      <c r="AV94" s="21">
        <f t="shared" si="28"/>
        <v>2339.1684602613796</v>
      </c>
      <c r="BE94">
        <v>90</v>
      </c>
      <c r="BF94" s="3">
        <f t="shared" si="29"/>
        <v>1.663852822023729E-2</v>
      </c>
      <c r="BG94" s="3">
        <f t="shared" si="30"/>
        <v>-9.6508309468282217E-4</v>
      </c>
      <c r="BH94" s="3">
        <f t="shared" si="31"/>
        <v>2.8113372660495371E-2</v>
      </c>
      <c r="BI94" s="3">
        <f t="shared" si="32"/>
        <v>4.1166985702656891E-3</v>
      </c>
      <c r="BJ94" s="3">
        <f t="shared" si="33"/>
        <v>-2.409732759063685E-2</v>
      </c>
      <c r="BL94">
        <v>90</v>
      </c>
      <c r="BM94" s="3">
        <v>-3.0228353125830499E-3</v>
      </c>
    </row>
    <row r="95" spans="1:65" x14ac:dyDescent="0.3">
      <c r="A95" s="2">
        <v>45954</v>
      </c>
      <c r="B95">
        <v>2516.4</v>
      </c>
      <c r="C95">
        <v>3714.9</v>
      </c>
      <c r="D95">
        <v>1377.7</v>
      </c>
      <c r="E95">
        <v>3063.2</v>
      </c>
      <c r="F95">
        <v>3625</v>
      </c>
      <c r="H95" s="2">
        <v>45954</v>
      </c>
      <c r="I95" s="3">
        <f t="shared" si="34"/>
        <v>1.8313559996814277E-3</v>
      </c>
      <c r="J95" s="3">
        <f t="shared" si="35"/>
        <v>-6.6581100593614551E-3</v>
      </c>
      <c r="K95" s="3">
        <f t="shared" si="36"/>
        <v>7.2590011614526162E-5</v>
      </c>
      <c r="L95" s="3">
        <f t="shared" si="37"/>
        <v>-7.0342636714318951E-3</v>
      </c>
      <c r="M95" s="3">
        <f t="shared" si="38"/>
        <v>3.7102669177095926E-3</v>
      </c>
      <c r="O95">
        <v>91</v>
      </c>
      <c r="P95" s="8">
        <v>0.91096586505283317</v>
      </c>
      <c r="Q95" s="8">
        <v>0.31695662782235251</v>
      </c>
      <c r="R95" s="8">
        <v>-0.30071187807781341</v>
      </c>
      <c r="S95" s="8">
        <v>2.1160794246244832</v>
      </c>
      <c r="T95" s="8">
        <v>1.4070833847561706</v>
      </c>
      <c r="V95">
        <v>91</v>
      </c>
      <c r="W95">
        <v>0.91096586505283317</v>
      </c>
      <c r="X95">
        <v>3.2663575289225109E-2</v>
      </c>
      <c r="Y95">
        <v>-0.20277219977638816</v>
      </c>
      <c r="Z95">
        <v>2.1520326246069041</v>
      </c>
      <c r="AA95">
        <v>1.0072982667753783</v>
      </c>
      <c r="AQ95">
        <v>91</v>
      </c>
      <c r="AR95" s="21">
        <f t="shared" si="24"/>
        <v>2393.1423270239625</v>
      </c>
      <c r="AS95" s="21">
        <f t="shared" si="25"/>
        <v>2368.48867727569</v>
      </c>
      <c r="AT95" s="21">
        <f t="shared" si="26"/>
        <v>2362.0255665719346</v>
      </c>
      <c r="AU95" s="21">
        <f t="shared" si="27"/>
        <v>2427.5123398709138</v>
      </c>
      <c r="AV95" s="21">
        <f t="shared" si="28"/>
        <v>2395.4436614731203</v>
      </c>
      <c r="BE95">
        <v>91</v>
      </c>
      <c r="BF95" s="3">
        <f t="shared" si="29"/>
        <v>-3.6323298953667023E-3</v>
      </c>
      <c r="BG95" s="3">
        <f t="shared" si="30"/>
        <v>-4.6062112806479578E-4</v>
      </c>
      <c r="BH95" s="3">
        <f t="shared" si="31"/>
        <v>-2.4162821108524319E-3</v>
      </c>
      <c r="BI95" s="3">
        <f t="shared" si="32"/>
        <v>9.3918733524977639E-3</v>
      </c>
      <c r="BJ95" s="3">
        <f t="shared" si="33"/>
        <v>2.3772951229090778E-2</v>
      </c>
      <c r="BL95">
        <v>91</v>
      </c>
      <c r="BM95" s="3">
        <v>-3.0152930268606787E-3</v>
      </c>
    </row>
    <row r="96" spans="1:65" x14ac:dyDescent="0.3">
      <c r="A96" s="2">
        <v>45953</v>
      </c>
      <c r="B96">
        <v>2601.6</v>
      </c>
      <c r="C96">
        <v>3772.3</v>
      </c>
      <c r="D96">
        <v>1363.7</v>
      </c>
      <c r="E96">
        <v>3073.2</v>
      </c>
      <c r="F96">
        <v>3623.6</v>
      </c>
      <c r="H96" s="2">
        <v>45953</v>
      </c>
      <c r="I96" s="3">
        <f t="shared" si="34"/>
        <v>3.385789222699076E-2</v>
      </c>
      <c r="J96" s="3">
        <f t="shared" si="35"/>
        <v>1.5451290748068613E-2</v>
      </c>
      <c r="K96" s="3">
        <f t="shared" si="36"/>
        <v>-1.0161863976192231E-2</v>
      </c>
      <c r="L96" s="3">
        <f t="shared" si="37"/>
        <v>3.2645599373204437E-3</v>
      </c>
      <c r="M96" s="3">
        <f t="shared" si="38"/>
        <v>-3.8620689655177731E-4</v>
      </c>
      <c r="O96">
        <v>92</v>
      </c>
      <c r="P96" s="8">
        <v>-0.31883590461855305</v>
      </c>
      <c r="Q96" s="8">
        <v>-1.2901788692565324</v>
      </c>
      <c r="R96" s="8">
        <v>-0.9994743398057222</v>
      </c>
      <c r="S96" s="8">
        <v>-0.31431596839329379</v>
      </c>
      <c r="T96" s="8">
        <v>-0.82495385714956992</v>
      </c>
      <c r="V96">
        <v>92</v>
      </c>
      <c r="W96">
        <v>-0.31883590461855305</v>
      </c>
      <c r="X96">
        <v>-0.24922588421215305</v>
      </c>
      <c r="Y96">
        <v>-1.2581944271096974</v>
      </c>
      <c r="Z96">
        <v>-0.54652602995880373</v>
      </c>
      <c r="AA96">
        <v>-0.91939969107574471</v>
      </c>
      <c r="AQ96">
        <v>92</v>
      </c>
      <c r="AR96" s="21">
        <f t="shared" si="24"/>
        <v>2359.2061229256892</v>
      </c>
      <c r="AS96" s="21">
        <f t="shared" si="25"/>
        <v>2360.7531223692395</v>
      </c>
      <c r="AT96" s="21">
        <f t="shared" si="26"/>
        <v>2333.2523230133211</v>
      </c>
      <c r="AU96" s="21">
        <f t="shared" si="27"/>
        <v>2352.6204822029117</v>
      </c>
      <c r="AV96" s="21">
        <f t="shared" si="28"/>
        <v>2342.4519212501168</v>
      </c>
      <c r="BE96">
        <v>92</v>
      </c>
      <c r="BF96" s="3">
        <f t="shared" si="29"/>
        <v>-1.4282109701692707E-2</v>
      </c>
      <c r="BG96" s="3">
        <f t="shared" si="30"/>
        <v>-3.2713750461174601E-3</v>
      </c>
      <c r="BH96" s="3">
        <f t="shared" si="31"/>
        <v>-1.225640076088098E-2</v>
      </c>
      <c r="BI96" s="3">
        <f t="shared" si="32"/>
        <v>-3.1337198831460154E-2</v>
      </c>
      <c r="BJ96" s="3">
        <f t="shared" si="33"/>
        <v>-2.2370248207685815E-2</v>
      </c>
      <c r="BL96">
        <v>92</v>
      </c>
      <c r="BM96" s="3">
        <v>-2.9834739183114841E-3</v>
      </c>
    </row>
    <row r="97" spans="1:65" x14ac:dyDescent="0.3">
      <c r="A97" s="2">
        <v>45951</v>
      </c>
      <c r="B97">
        <v>2591.6999999999998</v>
      </c>
      <c r="C97">
        <v>3729</v>
      </c>
      <c r="D97">
        <v>1382</v>
      </c>
      <c r="E97">
        <v>3006.7</v>
      </c>
      <c r="F97">
        <v>3621.2</v>
      </c>
      <c r="H97" s="2">
        <v>45951</v>
      </c>
      <c r="I97" s="3">
        <f t="shared" si="34"/>
        <v>-3.8053505535056154E-3</v>
      </c>
      <c r="J97" s="3">
        <f t="shared" si="35"/>
        <v>-1.1478408398059581E-2</v>
      </c>
      <c r="K97" s="3">
        <f t="shared" si="36"/>
        <v>1.341937376255764E-2</v>
      </c>
      <c r="L97" s="3">
        <f t="shared" si="37"/>
        <v>-2.1638682806195519E-2</v>
      </c>
      <c r="M97" s="3">
        <f t="shared" si="38"/>
        <v>-6.6232475990735118E-4</v>
      </c>
      <c r="O97">
        <v>93</v>
      </c>
      <c r="P97" s="8">
        <v>-0.47729424063928083</v>
      </c>
      <c r="Q97" s="8">
        <v>2.7051437720198926E-2</v>
      </c>
      <c r="R97" s="8">
        <v>-2.9250624126829765E-2</v>
      </c>
      <c r="S97" s="8">
        <v>1.3281108050650035</v>
      </c>
      <c r="T97" s="8">
        <v>0.37304610791345882</v>
      </c>
      <c r="V97">
        <v>93</v>
      </c>
      <c r="W97">
        <v>-0.47729424063928083</v>
      </c>
      <c r="X97">
        <v>2.1828360442909638E-2</v>
      </c>
      <c r="Y97">
        <v>-3.5327853097407089E-2</v>
      </c>
      <c r="Z97">
        <v>1.3025541747594316</v>
      </c>
      <c r="AA97">
        <v>0.11539870800352869</v>
      </c>
      <c r="AQ97">
        <v>93</v>
      </c>
      <c r="AR97" s="21">
        <f t="shared" si="24"/>
        <v>2354.8684925670823</v>
      </c>
      <c r="AS97" s="21">
        <f t="shared" si="25"/>
        <v>2368.1967754703037</v>
      </c>
      <c r="AT97" s="21">
        <f t="shared" si="26"/>
        <v>2366.6232282758688</v>
      </c>
      <c r="AU97" s="21">
        <f t="shared" si="27"/>
        <v>2403.6813465050354</v>
      </c>
      <c r="AV97" s="21">
        <f t="shared" si="28"/>
        <v>2370.7637937376526</v>
      </c>
      <c r="BE97">
        <v>93</v>
      </c>
      <c r="BF97" s="3">
        <f t="shared" si="29"/>
        <v>-1.8402897436230242E-3</v>
      </c>
      <c r="BG97" s="3">
        <f t="shared" si="30"/>
        <v>3.148123540959297E-3</v>
      </c>
      <c r="BH97" s="3">
        <f t="shared" si="31"/>
        <v>1.4200999885167261E-2</v>
      </c>
      <c r="BI97" s="3">
        <f t="shared" si="32"/>
        <v>2.147165081169276E-2</v>
      </c>
      <c r="BJ97" s="3">
        <f t="shared" si="33"/>
        <v>1.2013968692574557E-2</v>
      </c>
      <c r="BL97">
        <v>93</v>
      </c>
      <c r="BM97" s="3">
        <v>-2.8973477529871112E-3</v>
      </c>
    </row>
    <row r="98" spans="1:65" x14ac:dyDescent="0.3">
      <c r="A98" s="2">
        <v>45950</v>
      </c>
      <c r="B98">
        <v>2594.4</v>
      </c>
      <c r="C98">
        <v>3737.2</v>
      </c>
      <c r="D98">
        <v>1390.3</v>
      </c>
      <c r="E98">
        <v>3015.2</v>
      </c>
      <c r="F98">
        <v>3599.1</v>
      </c>
      <c r="H98" s="2">
        <v>45950</v>
      </c>
      <c r="I98" s="3">
        <f t="shared" si="34"/>
        <v>1.0417872438941433E-3</v>
      </c>
      <c r="J98" s="3">
        <f t="shared" si="35"/>
        <v>2.1989809600428956E-3</v>
      </c>
      <c r="K98" s="3">
        <f t="shared" si="36"/>
        <v>6.0057887120115172E-3</v>
      </c>
      <c r="L98" s="3">
        <f t="shared" si="37"/>
        <v>2.8270196561013261E-3</v>
      </c>
      <c r="M98" s="3">
        <f t="shared" si="38"/>
        <v>-6.1029492985750222E-3</v>
      </c>
      <c r="O98">
        <v>94</v>
      </c>
      <c r="P98" s="8">
        <v>-0.54879781632377811</v>
      </c>
      <c r="Q98" s="8">
        <v>-0.58483907924459766</v>
      </c>
      <c r="R98" s="8">
        <v>0.12154650630024259</v>
      </c>
      <c r="S98" s="8">
        <v>0.81392128976415923</v>
      </c>
      <c r="T98" s="8">
        <v>1.0154753868964776</v>
      </c>
      <c r="V98">
        <v>94</v>
      </c>
      <c r="W98">
        <v>-0.54879781632377811</v>
      </c>
      <c r="X98">
        <v>-9.9105929142540433E-2</v>
      </c>
      <c r="Y98">
        <v>-1.9560566957059419E-2</v>
      </c>
      <c r="Z98">
        <v>0.70343564483337317</v>
      </c>
      <c r="AA98">
        <v>0.60542966519863095</v>
      </c>
      <c r="AQ98">
        <v>94</v>
      </c>
      <c r="AR98" s="21">
        <f t="shared" si="24"/>
        <v>2352.9136825008559</v>
      </c>
      <c r="AS98" s="21">
        <f t="shared" si="25"/>
        <v>2364.8734201886755</v>
      </c>
      <c r="AT98" s="21">
        <f t="shared" si="26"/>
        <v>2367.0571508960775</v>
      </c>
      <c r="AU98" s="21">
        <f t="shared" si="27"/>
        <v>2387.0151426975981</v>
      </c>
      <c r="AV98" s="21">
        <f t="shared" si="28"/>
        <v>2384.2966462802447</v>
      </c>
      <c r="BE98">
        <v>94</v>
      </c>
      <c r="BF98" s="3">
        <f t="shared" si="29"/>
        <v>-8.3045905943804799E-4</v>
      </c>
      <c r="BG98" s="3">
        <f t="shared" si="30"/>
        <v>-1.4043129260328574E-3</v>
      </c>
      <c r="BH98" s="3">
        <f t="shared" si="31"/>
        <v>1.8333414454140955E-4</v>
      </c>
      <c r="BI98" s="3">
        <f t="shared" si="32"/>
        <v>-6.9577653603740556E-3</v>
      </c>
      <c r="BJ98" s="3">
        <f t="shared" si="33"/>
        <v>5.6919945605874711E-3</v>
      </c>
      <c r="BL98">
        <v>94</v>
      </c>
      <c r="BM98" s="3">
        <v>-2.5056502100914936E-3</v>
      </c>
    </row>
    <row r="99" spans="1:65" x14ac:dyDescent="0.3">
      <c r="A99" s="2">
        <v>45947</v>
      </c>
      <c r="B99">
        <v>2603.6999999999998</v>
      </c>
      <c r="C99">
        <v>3674.8</v>
      </c>
      <c r="D99">
        <v>1436.6</v>
      </c>
      <c r="E99">
        <v>2962.2</v>
      </c>
      <c r="F99">
        <v>3647.2</v>
      </c>
      <c r="H99" s="2">
        <v>45947</v>
      </c>
      <c r="I99" s="3">
        <f t="shared" si="34"/>
        <v>3.5846438482884935E-3</v>
      </c>
      <c r="J99" s="3">
        <f t="shared" si="35"/>
        <v>-1.669699240072775E-2</v>
      </c>
      <c r="K99" s="3">
        <f t="shared" si="36"/>
        <v>3.330216500035954E-2</v>
      </c>
      <c r="L99" s="3">
        <f t="shared" si="37"/>
        <v>-1.757760679225262E-2</v>
      </c>
      <c r="M99" s="3">
        <f t="shared" si="38"/>
        <v>1.3364452224167156E-2</v>
      </c>
      <c r="O99">
        <v>95</v>
      </c>
      <c r="P99" s="8">
        <v>-0.46227705296783006</v>
      </c>
      <c r="Q99" s="8">
        <v>-1.423952583752373</v>
      </c>
      <c r="R99" s="8">
        <v>-2.0150879392312766</v>
      </c>
      <c r="S99" s="8">
        <v>0.31548718091589728</v>
      </c>
      <c r="T99" s="8">
        <v>0.47625787343109555</v>
      </c>
      <c r="V99">
        <v>95</v>
      </c>
      <c r="W99">
        <v>-0.46227705296783006</v>
      </c>
      <c r="X99">
        <v>-0.27128052674494646</v>
      </c>
      <c r="Y99">
        <v>-2.2824849653125519</v>
      </c>
      <c r="Z99">
        <v>2.0926917535301071E-2</v>
      </c>
      <c r="AA99">
        <v>0.28124809668243034</v>
      </c>
      <c r="AQ99">
        <v>95</v>
      </c>
      <c r="AR99" s="21">
        <f t="shared" si="24"/>
        <v>2355.2788972662956</v>
      </c>
      <c r="AS99" s="21">
        <f t="shared" si="25"/>
        <v>2360.1491724123443</v>
      </c>
      <c r="AT99" s="21">
        <f t="shared" si="26"/>
        <v>2305.6619163655128</v>
      </c>
      <c r="AU99" s="21">
        <f t="shared" si="27"/>
        <v>2368.1798417194245</v>
      </c>
      <c r="AV99" s="21">
        <f t="shared" si="28"/>
        <v>2375.3401061320183</v>
      </c>
      <c r="BE99">
        <v>95</v>
      </c>
      <c r="BF99" s="3">
        <f t="shared" si="29"/>
        <v>1.0047231179844069E-3</v>
      </c>
      <c r="BG99" s="3">
        <f t="shared" si="30"/>
        <v>-1.9996727033486832E-3</v>
      </c>
      <c r="BH99" s="3">
        <f t="shared" si="31"/>
        <v>-2.6279674429706287E-2</v>
      </c>
      <c r="BI99" s="3">
        <f t="shared" si="32"/>
        <v>-7.9220303462492012E-3</v>
      </c>
      <c r="BJ99" s="3">
        <f t="shared" si="33"/>
        <v>-3.7635438105998783E-3</v>
      </c>
      <c r="BL99">
        <v>95</v>
      </c>
      <c r="BM99" s="3">
        <v>-2.4673518495407012E-3</v>
      </c>
    </row>
    <row r="100" spans="1:65" x14ac:dyDescent="0.3">
      <c r="A100" s="2">
        <v>45946</v>
      </c>
      <c r="B100">
        <v>2561.5</v>
      </c>
      <c r="C100">
        <v>3640.3</v>
      </c>
      <c r="D100">
        <v>1417.3</v>
      </c>
      <c r="E100">
        <v>2970.7</v>
      </c>
      <c r="F100">
        <v>3560.8</v>
      </c>
      <c r="H100" s="2">
        <v>45946</v>
      </c>
      <c r="I100" s="3">
        <f t="shared" si="34"/>
        <v>-1.620770442063213E-2</v>
      </c>
      <c r="J100" s="3">
        <f t="shared" si="35"/>
        <v>-9.3882660280831809E-3</v>
      </c>
      <c r="K100" s="3">
        <f t="shared" si="36"/>
        <v>-1.343449812056241E-2</v>
      </c>
      <c r="L100" s="3">
        <f t="shared" si="37"/>
        <v>2.8694888933900042E-3</v>
      </c>
      <c r="M100" s="3">
        <f t="shared" si="38"/>
        <v>-2.3689405571397093E-2</v>
      </c>
      <c r="O100">
        <v>96</v>
      </c>
      <c r="P100" s="8">
        <v>-0.6580882618755588</v>
      </c>
      <c r="Q100" s="8">
        <v>-3.3426635329710019E-2</v>
      </c>
      <c r="R100" s="8">
        <v>1.9036016851908424</v>
      </c>
      <c r="S100" s="8">
        <v>0.66670551010594514</v>
      </c>
      <c r="T100" s="8">
        <v>-1.7587185714317364</v>
      </c>
      <c r="V100">
        <v>96</v>
      </c>
      <c r="W100">
        <v>-0.6580882618755588</v>
      </c>
      <c r="X100">
        <v>1.5835102719686245E-2</v>
      </c>
      <c r="Y100">
        <v>1.8353938578427917</v>
      </c>
      <c r="Z100">
        <v>0.69310909941583887</v>
      </c>
      <c r="AA100">
        <v>-2.0347902161302542</v>
      </c>
      <c r="AQ100">
        <v>96</v>
      </c>
      <c r="AR100" s="21">
        <f t="shared" si="24"/>
        <v>2349.9288914766762</v>
      </c>
      <c r="AS100" s="21">
        <f t="shared" si="25"/>
        <v>2368.0327401147824</v>
      </c>
      <c r="AT100" s="21">
        <f t="shared" si="26"/>
        <v>2418.6012621552204</v>
      </c>
      <c r="AU100" s="21">
        <f t="shared" si="27"/>
        <v>2386.7206008525554</v>
      </c>
      <c r="AV100" s="21">
        <f t="shared" si="28"/>
        <v>2312.299674334562</v>
      </c>
      <c r="BE100">
        <v>96</v>
      </c>
      <c r="BF100" s="3">
        <f t="shared" si="29"/>
        <v>-2.2740794181377367E-3</v>
      </c>
      <c r="BG100" s="3">
        <f t="shared" si="30"/>
        <v>3.3347172989312613E-3</v>
      </c>
      <c r="BH100" s="3">
        <f t="shared" si="31"/>
        <v>4.7821581546623609E-2</v>
      </c>
      <c r="BI100" s="3">
        <f t="shared" si="32"/>
        <v>7.7986293616788133E-3</v>
      </c>
      <c r="BJ100" s="3">
        <f t="shared" si="33"/>
        <v>-2.6898070478699316E-2</v>
      </c>
      <c r="BL100">
        <v>96</v>
      </c>
      <c r="BM100" s="3">
        <v>-2.4087192077584061E-3</v>
      </c>
    </row>
    <row r="101" spans="1:65" x14ac:dyDescent="0.3">
      <c r="A101" s="2">
        <v>45945</v>
      </c>
      <c r="B101">
        <v>2519</v>
      </c>
      <c r="C101">
        <v>3549</v>
      </c>
      <c r="D101">
        <v>1398.4</v>
      </c>
      <c r="E101">
        <v>2969.8</v>
      </c>
      <c r="F101">
        <v>3497.2</v>
      </c>
      <c r="H101" s="2">
        <v>45945</v>
      </c>
      <c r="I101" s="3">
        <f t="shared" si="34"/>
        <v>-1.6591840718329087E-2</v>
      </c>
      <c r="J101" s="3">
        <f t="shared" si="35"/>
        <v>-2.5080350520561567E-2</v>
      </c>
      <c r="K101" s="3">
        <f t="shared" si="36"/>
        <v>-1.3335214845128007E-2</v>
      </c>
      <c r="L101" s="3">
        <f t="shared" si="37"/>
        <v>-3.0295889857601122E-4</v>
      </c>
      <c r="M101" s="3">
        <f t="shared" si="38"/>
        <v>-1.7861154796675049E-2</v>
      </c>
      <c r="O101">
        <v>97</v>
      </c>
      <c r="P101" s="8">
        <v>-0.55400387604512813</v>
      </c>
      <c r="Q101" s="8">
        <v>-0.44345783001591266</v>
      </c>
      <c r="R101" s="8">
        <v>-0.41388607454822118</v>
      </c>
      <c r="S101" s="8">
        <v>0.57135469268838701</v>
      </c>
      <c r="T101" s="8">
        <v>-1.8965157162630206</v>
      </c>
      <c r="V101">
        <v>97</v>
      </c>
      <c r="W101">
        <v>-0.55400387604512813</v>
      </c>
      <c r="X101">
        <v>-7.0417927943616898E-2</v>
      </c>
      <c r="Y101">
        <v>-0.51281516941733285</v>
      </c>
      <c r="Z101">
        <v>0.46964823248927789</v>
      </c>
      <c r="AA101">
        <v>-1.9119729453546417</v>
      </c>
      <c r="AQ101">
        <v>97</v>
      </c>
      <c r="AR101" s="21">
        <f t="shared" si="24"/>
        <v>2352.7709549115639</v>
      </c>
      <c r="AS101" s="21">
        <f t="shared" si="25"/>
        <v>2365.6614602321729</v>
      </c>
      <c r="AT101" s="21">
        <f t="shared" si="26"/>
        <v>2353.5365555437284</v>
      </c>
      <c r="AU101" s="21">
        <f t="shared" si="27"/>
        <v>2380.5452601128227</v>
      </c>
      <c r="AV101" s="21">
        <f t="shared" si="28"/>
        <v>2315.601053353118</v>
      </c>
      <c r="BE101">
        <v>97</v>
      </c>
      <c r="BF101" s="3">
        <f t="shared" si="29"/>
        <v>1.2086945260084037E-3</v>
      </c>
      <c r="BG101" s="3">
        <f t="shared" si="30"/>
        <v>-1.0018729476793933E-3</v>
      </c>
      <c r="BH101" s="3">
        <f t="shared" si="31"/>
        <v>-2.7270268066975946E-2</v>
      </c>
      <c r="BI101" s="3">
        <f t="shared" si="32"/>
        <v>-2.5907278401666981E-3</v>
      </c>
      <c r="BJ101" s="3">
        <f t="shared" si="33"/>
        <v>1.4267287795592986E-3</v>
      </c>
      <c r="BL101">
        <v>97</v>
      </c>
      <c r="BM101" s="3">
        <v>-2.3742792492062502E-3</v>
      </c>
    </row>
    <row r="102" spans="1:65" x14ac:dyDescent="0.3">
      <c r="A102" s="2">
        <v>45944</v>
      </c>
      <c r="B102">
        <v>2502.3000000000002</v>
      </c>
      <c r="C102">
        <v>3537.4</v>
      </c>
      <c r="D102">
        <v>1384.1</v>
      </c>
      <c r="E102">
        <v>2960.3</v>
      </c>
      <c r="F102">
        <v>3459.8</v>
      </c>
      <c r="H102" s="2">
        <v>45944</v>
      </c>
      <c r="I102" s="3">
        <f t="shared" si="34"/>
        <v>-6.6296149265581139E-3</v>
      </c>
      <c r="J102" s="3">
        <f t="shared" si="35"/>
        <v>-3.2685263454493851E-3</v>
      </c>
      <c r="K102" s="3">
        <f t="shared" si="36"/>
        <v>-1.0225972540045869E-2</v>
      </c>
      <c r="L102" s="3">
        <f t="shared" si="37"/>
        <v>-3.1988686106808606E-3</v>
      </c>
      <c r="M102" s="3">
        <f t="shared" si="38"/>
        <v>-1.0694269701475356E-2</v>
      </c>
      <c r="O102">
        <v>98</v>
      </c>
      <c r="P102" s="8">
        <v>0.686019936281141</v>
      </c>
      <c r="Q102" s="8">
        <v>-0.41119655749412759</v>
      </c>
      <c r="R102" s="8">
        <v>-2.5119267287236227</v>
      </c>
      <c r="S102" s="8">
        <v>-0.27685091370598969</v>
      </c>
      <c r="T102" s="8">
        <v>1.1941272373143006</v>
      </c>
      <c r="V102">
        <v>98</v>
      </c>
      <c r="W102">
        <v>0.686019936281141</v>
      </c>
      <c r="X102">
        <v>-0.10645118041569011</v>
      </c>
      <c r="Y102">
        <v>-2.5231876715365491</v>
      </c>
      <c r="Z102">
        <v>-0.3939616073603236</v>
      </c>
      <c r="AA102">
        <v>1.4003488539567692</v>
      </c>
      <c r="AQ102">
        <v>98</v>
      </c>
      <c r="AR102" s="21">
        <f t="shared" si="24"/>
        <v>2386.8976053412894</v>
      </c>
      <c r="AS102" s="21">
        <f t="shared" si="25"/>
        <v>2364.666280068097</v>
      </c>
      <c r="AT102" s="21">
        <f t="shared" si="26"/>
        <v>2299.2250840633978</v>
      </c>
      <c r="AU102" s="21">
        <f t="shared" si="27"/>
        <v>2356.7978981456936</v>
      </c>
      <c r="AV102" s="21">
        <f t="shared" si="28"/>
        <v>2406.4143953488051</v>
      </c>
      <c r="BE102">
        <v>98</v>
      </c>
      <c r="BF102" s="3">
        <f t="shared" si="29"/>
        <v>1.4400686359639739E-2</v>
      </c>
      <c r="BG102" s="3">
        <f t="shared" si="30"/>
        <v>-4.2076584684822937E-4</v>
      </c>
      <c r="BH102" s="3">
        <f t="shared" si="31"/>
        <v>-2.3346967963186027E-2</v>
      </c>
      <c r="BI102" s="3">
        <f t="shared" si="32"/>
        <v>-1.0025687431178511E-2</v>
      </c>
      <c r="BJ102" s="3">
        <f t="shared" si="33"/>
        <v>3.846854874834453E-2</v>
      </c>
      <c r="BL102">
        <v>98</v>
      </c>
      <c r="BM102" s="3">
        <v>-2.1400297499892624E-3</v>
      </c>
    </row>
    <row r="103" spans="1:65" x14ac:dyDescent="0.3">
      <c r="A103" s="2">
        <v>45943</v>
      </c>
      <c r="B103">
        <v>2492.8000000000002</v>
      </c>
      <c r="C103">
        <v>3533.6</v>
      </c>
      <c r="D103">
        <v>1379.4</v>
      </c>
      <c r="E103">
        <v>3007.2</v>
      </c>
      <c r="F103">
        <v>3459.7</v>
      </c>
      <c r="H103" s="2">
        <v>45943</v>
      </c>
      <c r="I103" s="3">
        <f t="shared" si="34"/>
        <v>-3.7965072133636646E-3</v>
      </c>
      <c r="J103" s="3">
        <f t="shared" si="35"/>
        <v>-1.0742353140725802E-3</v>
      </c>
      <c r="K103" s="3">
        <f t="shared" si="36"/>
        <v>-3.395708402571973E-3</v>
      </c>
      <c r="L103" s="3">
        <f t="shared" si="37"/>
        <v>1.5842988886261455E-2</v>
      </c>
      <c r="M103" s="3">
        <f t="shared" si="38"/>
        <v>-2.8903404821201129E-5</v>
      </c>
      <c r="O103">
        <v>99</v>
      </c>
      <c r="P103" s="8">
        <v>-0.42274944589152774</v>
      </c>
      <c r="Q103" s="8">
        <v>-0.10917084593136833</v>
      </c>
      <c r="R103" s="8">
        <v>-2.0883475342123132</v>
      </c>
      <c r="S103" s="8">
        <v>-1.141152245778952</v>
      </c>
      <c r="T103" s="8">
        <v>-0.29296543824835819</v>
      </c>
      <c r="V103">
        <v>99</v>
      </c>
      <c r="W103">
        <v>-0.42274944589152774</v>
      </c>
      <c r="X103">
        <v>-7.5118928567109514E-3</v>
      </c>
      <c r="Y103">
        <v>-2.0743723071355555</v>
      </c>
      <c r="Z103">
        <v>-1.2161921740388524</v>
      </c>
      <c r="AA103">
        <v>0.24831704944086264</v>
      </c>
      <c r="AQ103">
        <v>99</v>
      </c>
      <c r="AR103" s="21">
        <f t="shared" si="24"/>
        <v>2356.3596900160455</v>
      </c>
      <c r="AS103" s="21">
        <f t="shared" si="25"/>
        <v>2367.3897430450188</v>
      </c>
      <c r="AT103" s="21">
        <f t="shared" si="26"/>
        <v>2311.2400176238043</v>
      </c>
      <c r="AU103" s="21">
        <f t="shared" si="27"/>
        <v>2334.3985186690397</v>
      </c>
      <c r="AV103" s="21">
        <f t="shared" si="28"/>
        <v>2374.4372691200765</v>
      </c>
      <c r="BE103">
        <v>99</v>
      </c>
      <c r="BF103" s="3">
        <f t="shared" si="29"/>
        <v>-1.2876525715217598E-2</v>
      </c>
      <c r="BG103" s="3">
        <f t="shared" si="30"/>
        <v>1.151069752482408E-3</v>
      </c>
      <c r="BH103" s="3">
        <f t="shared" si="31"/>
        <v>5.2120384796529584E-3</v>
      </c>
      <c r="BI103" s="3">
        <f t="shared" si="32"/>
        <v>-9.5496106802003388E-3</v>
      </c>
      <c r="BJ103" s="3">
        <f t="shared" si="33"/>
        <v>-1.337736677101331E-2</v>
      </c>
      <c r="BL103">
        <v>99</v>
      </c>
      <c r="BM103" s="3">
        <v>-2.0960479724375066E-3</v>
      </c>
    </row>
    <row r="104" spans="1:65" x14ac:dyDescent="0.3">
      <c r="A104" s="2">
        <v>45940</v>
      </c>
      <c r="B104">
        <v>2528.9</v>
      </c>
      <c r="C104">
        <v>3531.9</v>
      </c>
      <c r="D104">
        <v>1380.3</v>
      </c>
      <c r="E104">
        <v>3028.3</v>
      </c>
      <c r="F104">
        <v>3454.9</v>
      </c>
      <c r="H104" s="2">
        <v>45940</v>
      </c>
      <c r="I104" s="3">
        <f t="shared" si="34"/>
        <v>1.44817073170731E-2</v>
      </c>
      <c r="J104" s="3">
        <f t="shared" si="35"/>
        <v>-4.8109576635724238E-4</v>
      </c>
      <c r="K104" s="3">
        <f t="shared" si="36"/>
        <v>6.5245759025645E-4</v>
      </c>
      <c r="L104" s="3">
        <f t="shared" si="37"/>
        <v>7.0164937483374601E-3</v>
      </c>
      <c r="M104" s="3">
        <f t="shared" si="38"/>
        <v>-1.3874035320980971E-3</v>
      </c>
      <c r="O104">
        <v>100</v>
      </c>
      <c r="P104" s="8">
        <v>-1.0202855902162495</v>
      </c>
      <c r="Q104" s="8">
        <v>1.2521499457365048</v>
      </c>
      <c r="R104" s="8">
        <v>-0.37821932792674456</v>
      </c>
      <c r="S104" s="8">
        <v>0.11862438384468522</v>
      </c>
      <c r="T104" s="8">
        <v>-1.5992295826071983</v>
      </c>
      <c r="V104">
        <v>100</v>
      </c>
      <c r="W104">
        <v>-1.0202855902162495</v>
      </c>
      <c r="X104">
        <v>0.28749561629176368</v>
      </c>
      <c r="Y104">
        <v>-0.1308092733636127</v>
      </c>
      <c r="Z104">
        <v>0.27279647863135947</v>
      </c>
      <c r="AA104">
        <v>-1.0433458987790014</v>
      </c>
      <c r="AQ104">
        <v>100</v>
      </c>
      <c r="AR104" s="21">
        <f t="shared" si="24"/>
        <v>2340.0645093528192</v>
      </c>
      <c r="AS104" s="21">
        <f t="shared" si="25"/>
        <v>2375.516957216038</v>
      </c>
      <c r="AT104" s="21">
        <f t="shared" si="26"/>
        <v>2363.9992779017894</v>
      </c>
      <c r="AU104" s="21">
        <f t="shared" si="27"/>
        <v>2375.1076449612151</v>
      </c>
      <c r="AV104" s="21">
        <f t="shared" si="28"/>
        <v>2339.0790205831167</v>
      </c>
      <c r="BE104">
        <v>100</v>
      </c>
      <c r="BF104" s="3">
        <f t="shared" si="29"/>
        <v>-6.9394268334795868E-3</v>
      </c>
      <c r="BG104" s="3">
        <f t="shared" si="30"/>
        <v>3.4271060508608625E-3</v>
      </c>
      <c r="BH104" s="3">
        <f t="shared" si="31"/>
        <v>2.257060941567364E-2</v>
      </c>
      <c r="BI104" s="3">
        <f t="shared" si="32"/>
        <v>1.7288496433545773E-2</v>
      </c>
      <c r="BJ104" s="3">
        <f t="shared" si="33"/>
        <v>-1.500319914527283E-2</v>
      </c>
      <c r="BL104">
        <v>100</v>
      </c>
      <c r="BM104" s="3">
        <v>-2.0318487475901505E-3</v>
      </c>
    </row>
    <row r="105" spans="1:65" x14ac:dyDescent="0.3">
      <c r="A105" s="2">
        <v>45939</v>
      </c>
      <c r="B105">
        <v>2517.6</v>
      </c>
      <c r="C105">
        <v>3550.6</v>
      </c>
      <c r="D105">
        <v>1376.2</v>
      </c>
      <c r="E105">
        <v>3061.7</v>
      </c>
      <c r="F105">
        <v>3442.9</v>
      </c>
      <c r="H105" s="2">
        <v>45939</v>
      </c>
      <c r="I105" s="3">
        <f t="shared" si="34"/>
        <v>-4.4683459211515286E-3</v>
      </c>
      <c r="J105" s="3">
        <f t="shared" si="35"/>
        <v>5.2946006398821854E-3</v>
      </c>
      <c r="K105" s="3">
        <f t="shared" si="36"/>
        <v>-2.9703687604143436E-3</v>
      </c>
      <c r="L105" s="3">
        <f t="shared" si="37"/>
        <v>1.1029290360928368E-2</v>
      </c>
      <c r="M105" s="3">
        <f t="shared" si="38"/>
        <v>-3.4733277374163762E-3</v>
      </c>
      <c r="O105">
        <v>101</v>
      </c>
      <c r="P105" s="8">
        <v>-0.41703300264341681</v>
      </c>
      <c r="Q105" s="8">
        <v>-1.0906092952980135</v>
      </c>
      <c r="R105" s="8">
        <v>-0.58628094649237272</v>
      </c>
      <c r="S105" s="8">
        <v>0.90527974974638159</v>
      </c>
      <c r="T105" s="8">
        <v>-8.1126290091048839E-2</v>
      </c>
      <c r="V105">
        <v>101</v>
      </c>
      <c r="W105">
        <v>-0.41703300264341681</v>
      </c>
      <c r="X105">
        <v>-0.20561422224138573</v>
      </c>
      <c r="Y105">
        <v>-0.81480475790006135</v>
      </c>
      <c r="Z105">
        <v>0.69812139869557066</v>
      </c>
      <c r="AA105">
        <v>-0.46849118552282221</v>
      </c>
      <c r="AQ105">
        <v>101</v>
      </c>
      <c r="AR105" s="21">
        <f t="shared" si="24"/>
        <v>2356.5158083384254</v>
      </c>
      <c r="AS105" s="21">
        <f t="shared" si="25"/>
        <v>2361.9495156643939</v>
      </c>
      <c r="AT105" s="21">
        <f t="shared" si="26"/>
        <v>2345.2975301318643</v>
      </c>
      <c r="AU105" s="21">
        <f t="shared" si="27"/>
        <v>2386.8713328806712</v>
      </c>
      <c r="AV105" s="21">
        <f t="shared" si="28"/>
        <v>2354.7449758128546</v>
      </c>
      <c r="BE105">
        <v>101</v>
      </c>
      <c r="BF105" s="3">
        <f t="shared" si="29"/>
        <v>7.0056786674147229E-3</v>
      </c>
      <c r="BG105" s="3">
        <f t="shared" si="30"/>
        <v>-5.7277360046766633E-3</v>
      </c>
      <c r="BH105" s="3">
        <f t="shared" si="31"/>
        <v>-7.9425217168144248E-3</v>
      </c>
      <c r="BI105" s="3">
        <f t="shared" si="32"/>
        <v>4.9406819743715441E-3</v>
      </c>
      <c r="BJ105" s="3">
        <f t="shared" si="33"/>
        <v>6.6751601302973166E-3</v>
      </c>
      <c r="BL105">
        <v>101</v>
      </c>
      <c r="BM105" s="3">
        <v>-1.986862418913762E-3</v>
      </c>
    </row>
    <row r="106" spans="1:65" x14ac:dyDescent="0.3">
      <c r="A106" s="2">
        <v>45938</v>
      </c>
      <c r="B106">
        <v>2500.1</v>
      </c>
      <c r="C106">
        <v>3565.6</v>
      </c>
      <c r="D106">
        <v>1370.3</v>
      </c>
      <c r="E106">
        <v>3027.2</v>
      </c>
      <c r="F106">
        <v>3426.5</v>
      </c>
      <c r="H106" s="2">
        <v>45938</v>
      </c>
      <c r="I106" s="3">
        <f t="shared" si="34"/>
        <v>-6.9510645058785681E-3</v>
      </c>
      <c r="J106" s="3">
        <f t="shared" si="35"/>
        <v>4.2246380893369295E-3</v>
      </c>
      <c r="K106" s="3">
        <f t="shared" si="36"/>
        <v>-4.2871675628542993E-3</v>
      </c>
      <c r="L106" s="3">
        <f t="shared" si="37"/>
        <v>-1.1268249665218666E-2</v>
      </c>
      <c r="M106" s="3">
        <f t="shared" si="38"/>
        <v>-4.7634261814168966E-3</v>
      </c>
      <c r="O106">
        <v>102</v>
      </c>
      <c r="P106" s="8">
        <v>-2.4676333638593086</v>
      </c>
      <c r="Q106" s="8">
        <v>0.88908012203609899</v>
      </c>
      <c r="R106" s="8">
        <v>1.6719746507545348</v>
      </c>
      <c r="S106" s="8">
        <v>0.18161288813497986</v>
      </c>
      <c r="T106" s="8">
        <v>-1.4762091767448373</v>
      </c>
      <c r="V106">
        <v>102</v>
      </c>
      <c r="W106">
        <v>-2.4676333638593086</v>
      </c>
      <c r="X106">
        <v>0.26393380319178161</v>
      </c>
      <c r="Y106">
        <v>1.7572870568476584</v>
      </c>
      <c r="Z106">
        <v>0.30360774765180076</v>
      </c>
      <c r="AA106">
        <v>-1.323199356307003</v>
      </c>
      <c r="AQ106">
        <v>102</v>
      </c>
      <c r="AR106" s="21">
        <f t="shared" si="24"/>
        <v>2301.0600211689816</v>
      </c>
      <c r="AS106" s="21">
        <f t="shared" si="25"/>
        <v>2374.8732796130735</v>
      </c>
      <c r="AT106" s="21">
        <f t="shared" si="26"/>
        <v>2416.4072851438027</v>
      </c>
      <c r="AU106" s="21">
        <f t="shared" si="27"/>
        <v>2375.949261545939</v>
      </c>
      <c r="AV106" s="21">
        <f t="shared" si="28"/>
        <v>2331.4891774317562</v>
      </c>
      <c r="BE106">
        <v>102</v>
      </c>
      <c r="BF106" s="3">
        <f t="shared" si="29"/>
        <v>-2.381428022430012E-2</v>
      </c>
      <c r="BG106" s="3">
        <f t="shared" si="30"/>
        <v>5.4567361184300351E-3</v>
      </c>
      <c r="BH106" s="3">
        <f t="shared" si="31"/>
        <v>2.9869571781948604E-2</v>
      </c>
      <c r="BI106" s="3">
        <f t="shared" si="32"/>
        <v>-4.5863959238826961E-3</v>
      </c>
      <c r="BJ106" s="3">
        <f t="shared" si="33"/>
        <v>-9.9252357144797368E-3</v>
      </c>
      <c r="BL106">
        <v>102</v>
      </c>
      <c r="BM106" s="3">
        <v>-1.8507521624909606E-3</v>
      </c>
    </row>
    <row r="107" spans="1:65" x14ac:dyDescent="0.3">
      <c r="A107" s="2">
        <v>45937</v>
      </c>
      <c r="B107">
        <v>2517.1999999999998</v>
      </c>
      <c r="C107">
        <v>3418.2</v>
      </c>
      <c r="D107">
        <v>1375.9</v>
      </c>
      <c r="E107">
        <v>2973.7</v>
      </c>
      <c r="F107">
        <v>3492.8</v>
      </c>
      <c r="H107" s="2">
        <v>45937</v>
      </c>
      <c r="I107" s="3">
        <f t="shared" si="34"/>
        <v>6.8397264109434364E-3</v>
      </c>
      <c r="J107" s="3">
        <f t="shared" si="35"/>
        <v>-4.1339466008525894E-2</v>
      </c>
      <c r="K107" s="3">
        <f t="shared" si="36"/>
        <v>4.0866963438663806E-3</v>
      </c>
      <c r="L107" s="3">
        <f t="shared" si="37"/>
        <v>-1.7673097251585612E-2</v>
      </c>
      <c r="M107" s="3">
        <f t="shared" si="38"/>
        <v>1.9349190135707017E-2</v>
      </c>
      <c r="O107">
        <v>103</v>
      </c>
      <c r="P107" s="8">
        <v>0.74191410245765066</v>
      </c>
      <c r="Q107" s="8">
        <v>0.3497125934285773</v>
      </c>
      <c r="R107" s="8">
        <v>0.52441719346554705</v>
      </c>
      <c r="S107" s="8">
        <v>0.81074734452025587</v>
      </c>
      <c r="T107" s="8">
        <v>0.7750907111881985</v>
      </c>
      <c r="V107">
        <v>103</v>
      </c>
      <c r="W107">
        <v>0.74191410245765066</v>
      </c>
      <c r="X107">
        <v>4.5068066845743902E-2</v>
      </c>
      <c r="Y107">
        <v>0.60584418789172356</v>
      </c>
      <c r="Z107">
        <v>0.88853957709520848</v>
      </c>
      <c r="AA107">
        <v>0.56201974514103492</v>
      </c>
      <c r="AQ107">
        <v>103</v>
      </c>
      <c r="AR107" s="21">
        <f t="shared" si="24"/>
        <v>2388.4466741660353</v>
      </c>
      <c r="AS107" s="21">
        <f t="shared" si="25"/>
        <v>2368.8306491552635</v>
      </c>
      <c r="AT107" s="21">
        <f t="shared" si="26"/>
        <v>2384.311048020983</v>
      </c>
      <c r="AU107" s="21">
        <f t="shared" si="27"/>
        <v>2392.14916225963</v>
      </c>
      <c r="AV107" s="21">
        <f t="shared" si="28"/>
        <v>2383.0941241461928</v>
      </c>
      <c r="BE107">
        <v>103</v>
      </c>
      <c r="BF107" s="3">
        <f t="shared" si="29"/>
        <v>3.7273331989819719E-2</v>
      </c>
      <c r="BG107" s="3">
        <f t="shared" si="30"/>
        <v>-2.5476437049394562E-3</v>
      </c>
      <c r="BH107" s="3">
        <f t="shared" si="31"/>
        <v>-1.3371630297459034E-2</v>
      </c>
      <c r="BI107" s="3">
        <f t="shared" si="32"/>
        <v>6.7951462441700099E-3</v>
      </c>
      <c r="BJ107" s="3">
        <f t="shared" si="33"/>
        <v>2.1892500144812983E-2</v>
      </c>
      <c r="BL107">
        <v>103</v>
      </c>
      <c r="BM107" s="3">
        <v>-1.7348500863813036E-3</v>
      </c>
    </row>
    <row r="108" spans="1:65" x14ac:dyDescent="0.3">
      <c r="A108" s="2">
        <v>45936</v>
      </c>
      <c r="B108">
        <v>2541.8000000000002</v>
      </c>
      <c r="C108">
        <v>3425.4</v>
      </c>
      <c r="D108">
        <v>1363.4</v>
      </c>
      <c r="E108">
        <v>2988.4</v>
      </c>
      <c r="F108">
        <v>3472</v>
      </c>
      <c r="H108" s="2">
        <v>45936</v>
      </c>
      <c r="I108" s="3">
        <f t="shared" si="34"/>
        <v>9.7727633878914588E-3</v>
      </c>
      <c r="J108" s="3">
        <f t="shared" si="35"/>
        <v>2.1063717746183652E-3</v>
      </c>
      <c r="K108" s="3">
        <f t="shared" si="36"/>
        <v>-9.0849625699541692E-3</v>
      </c>
      <c r="L108" s="3">
        <f t="shared" si="37"/>
        <v>4.9433365840536592E-3</v>
      </c>
      <c r="M108" s="3">
        <f t="shared" si="38"/>
        <v>-5.9551076500229394E-3</v>
      </c>
      <c r="O108">
        <v>104</v>
      </c>
      <c r="P108" s="8">
        <v>-0.43565482333442618</v>
      </c>
      <c r="Q108" s="8">
        <v>-0.8232199357371337</v>
      </c>
      <c r="R108" s="8">
        <v>0.90283841417642074</v>
      </c>
      <c r="S108" s="8">
        <v>-0.2052819220448138</v>
      </c>
      <c r="T108" s="8">
        <v>-1.2218306842128062</v>
      </c>
      <c r="V108">
        <v>104</v>
      </c>
      <c r="W108">
        <v>-0.43565482333442618</v>
      </c>
      <c r="X108">
        <v>-0.15105656844732493</v>
      </c>
      <c r="Y108">
        <v>0.69614806628455728</v>
      </c>
      <c r="Z108">
        <v>-0.31345651872663793</v>
      </c>
      <c r="AA108">
        <v>-1.4575382150964951</v>
      </c>
      <c r="AQ108">
        <v>104</v>
      </c>
      <c r="AR108" s="21">
        <f t="shared" si="24"/>
        <v>2356.0057653645404</v>
      </c>
      <c r="AS108" s="21">
        <f t="shared" si="25"/>
        <v>2363.4465876012327</v>
      </c>
      <c r="AT108" s="21">
        <f t="shared" si="26"/>
        <v>2386.8137127226755</v>
      </c>
      <c r="AU108" s="21">
        <f t="shared" si="27"/>
        <v>2358.9884333596106</v>
      </c>
      <c r="AV108" s="21">
        <f t="shared" si="28"/>
        <v>2327.8572825277233</v>
      </c>
      <c r="BE108">
        <v>104</v>
      </c>
      <c r="BF108" s="3">
        <f t="shared" si="29"/>
        <v>-1.3675514636999146E-2</v>
      </c>
      <c r="BG108" s="3">
        <f t="shared" si="30"/>
        <v>-2.2754642671043144E-3</v>
      </c>
      <c r="BH108" s="3">
        <f t="shared" si="31"/>
        <v>1.0490880271325075E-3</v>
      </c>
      <c r="BI108" s="3">
        <f t="shared" si="32"/>
        <v>-1.3959295731266478E-2</v>
      </c>
      <c r="BJ108" s="3">
        <f t="shared" si="33"/>
        <v>-2.3451472275699548E-2</v>
      </c>
      <c r="BL108">
        <v>104</v>
      </c>
      <c r="BM108" s="3">
        <v>-1.7320014414659323E-3</v>
      </c>
    </row>
    <row r="109" spans="1:65" x14ac:dyDescent="0.3">
      <c r="A109" s="2">
        <v>45933</v>
      </c>
      <c r="B109">
        <v>2544.9</v>
      </c>
      <c r="C109">
        <v>3453.3</v>
      </c>
      <c r="D109">
        <v>1365.2</v>
      </c>
      <c r="E109">
        <v>2901.9</v>
      </c>
      <c r="F109">
        <v>3462</v>
      </c>
      <c r="H109" s="2">
        <v>45933</v>
      </c>
      <c r="I109" s="3">
        <f t="shared" si="34"/>
        <v>1.2196081517035218E-3</v>
      </c>
      <c r="J109" s="3">
        <f t="shared" si="35"/>
        <v>8.1450341565949547E-3</v>
      </c>
      <c r="K109" s="3">
        <f t="shared" si="36"/>
        <v>1.3202288396654271E-3</v>
      </c>
      <c r="L109" s="3">
        <f t="shared" si="37"/>
        <v>-2.894525498594569E-2</v>
      </c>
      <c r="M109" s="3">
        <f t="shared" si="38"/>
        <v>-2.8801843317972642E-3</v>
      </c>
      <c r="O109">
        <v>105</v>
      </c>
      <c r="P109" s="8">
        <v>3.1787396472102443E-2</v>
      </c>
      <c r="Q109" s="8">
        <v>0.84613377379824917</v>
      </c>
      <c r="R109" s="8">
        <v>1.1361078376166529</v>
      </c>
      <c r="S109" s="8">
        <v>0.75142946951787748</v>
      </c>
      <c r="T109" s="8">
        <v>1.1886246063101598E-2</v>
      </c>
      <c r="V109">
        <v>105</v>
      </c>
      <c r="W109">
        <v>3.1787396472102443E-2</v>
      </c>
      <c r="X109">
        <v>0.16953169672773824</v>
      </c>
      <c r="Y109">
        <v>1.2900588929260115</v>
      </c>
      <c r="Z109">
        <v>0.90662656148572229</v>
      </c>
      <c r="AA109">
        <v>-5.8811577836069051E-2</v>
      </c>
      <c r="AQ109">
        <v>105</v>
      </c>
      <c r="AR109" s="21">
        <f t="shared" si="24"/>
        <v>2368.8300574633299</v>
      </c>
      <c r="AS109" s="21">
        <f t="shared" si="25"/>
        <v>2372.2602466199887</v>
      </c>
      <c r="AT109" s="21">
        <f t="shared" si="26"/>
        <v>2403.3316568934738</v>
      </c>
      <c r="AU109" s="21">
        <f t="shared" si="27"/>
        <v>2392.6486155282651</v>
      </c>
      <c r="AV109" s="21">
        <f t="shared" si="28"/>
        <v>2365.973981838772</v>
      </c>
      <c r="BE109">
        <v>105</v>
      </c>
      <c r="BF109" s="3">
        <f t="shared" si="29"/>
        <v>5.4284737384313218E-3</v>
      </c>
      <c r="BG109" s="3">
        <f t="shared" si="30"/>
        <v>3.7222190913953901E-3</v>
      </c>
      <c r="BH109" s="3">
        <f t="shared" si="31"/>
        <v>6.8966631981961313E-3</v>
      </c>
      <c r="BI109" s="3">
        <f t="shared" si="32"/>
        <v>1.4168062451886435E-2</v>
      </c>
      <c r="BJ109" s="3">
        <f t="shared" si="33"/>
        <v>1.6241545574976122E-2</v>
      </c>
      <c r="BL109">
        <v>105</v>
      </c>
      <c r="BM109" s="3">
        <v>-1.6579125633378496E-3</v>
      </c>
    </row>
    <row r="110" spans="1:65" x14ac:dyDescent="0.3">
      <c r="A110" s="2">
        <v>45931</v>
      </c>
      <c r="B110">
        <v>2536.1999999999998</v>
      </c>
      <c r="C110">
        <v>3408.3</v>
      </c>
      <c r="D110">
        <v>1372</v>
      </c>
      <c r="E110">
        <v>2914.2</v>
      </c>
      <c r="F110">
        <v>3463.4</v>
      </c>
      <c r="H110" s="2">
        <v>45931</v>
      </c>
      <c r="I110" s="3">
        <f t="shared" si="34"/>
        <v>-3.4186019097018905E-3</v>
      </c>
      <c r="J110" s="3">
        <f t="shared" si="35"/>
        <v>-1.3031013812874637E-2</v>
      </c>
      <c r="K110" s="3">
        <f t="shared" si="36"/>
        <v>4.9809551714035116E-3</v>
      </c>
      <c r="L110" s="3">
        <f t="shared" si="37"/>
        <v>4.2386022950480218E-3</v>
      </c>
      <c r="M110" s="3">
        <f t="shared" si="38"/>
        <v>4.043905257076208E-4</v>
      </c>
      <c r="O110">
        <v>106</v>
      </c>
      <c r="P110" s="8">
        <v>0.77987824255780192</v>
      </c>
      <c r="Q110" s="8">
        <v>-0.13450081967590136</v>
      </c>
      <c r="R110" s="8">
        <v>-0.71537639722582058</v>
      </c>
      <c r="S110" s="8">
        <v>-0.27611905139259918</v>
      </c>
      <c r="T110" s="8">
        <v>-0.63798891022769399</v>
      </c>
      <c r="V110">
        <v>106</v>
      </c>
      <c r="W110">
        <v>0.77987824255780192</v>
      </c>
      <c r="X110">
        <v>-5.3875506340484609E-2</v>
      </c>
      <c r="Y110">
        <v>-0.70698059403832869</v>
      </c>
      <c r="Z110">
        <v>-0.29492590339091451</v>
      </c>
      <c r="AA110">
        <v>-0.48753079674572009</v>
      </c>
      <c r="AQ110">
        <v>106</v>
      </c>
      <c r="AR110" s="21">
        <f t="shared" si="24"/>
        <v>2389.4994615980449</v>
      </c>
      <c r="AS110" s="21">
        <f t="shared" si="25"/>
        <v>2366.1101153359145</v>
      </c>
      <c r="AT110" s="21">
        <f t="shared" si="26"/>
        <v>2348.2354760988183</v>
      </c>
      <c r="AU110" s="21">
        <f t="shared" si="27"/>
        <v>2359.5022837639694</v>
      </c>
      <c r="AV110" s="21">
        <f t="shared" si="28"/>
        <v>2354.2287148307209</v>
      </c>
      <c r="BE110">
        <v>106</v>
      </c>
      <c r="BF110" s="3">
        <f t="shared" si="29"/>
        <v>8.6877270926491498E-3</v>
      </c>
      <c r="BG110" s="3">
        <f t="shared" si="30"/>
        <v>-2.5958860400915975E-3</v>
      </c>
      <c r="BH110" s="3">
        <f t="shared" si="31"/>
        <v>-2.3191780196677135E-2</v>
      </c>
      <c r="BI110" s="3">
        <f t="shared" si="32"/>
        <v>-1.3950259583471044E-2</v>
      </c>
      <c r="BJ110" s="3">
        <f t="shared" si="33"/>
        <v>-4.9766046094515794E-3</v>
      </c>
      <c r="BL110">
        <v>106</v>
      </c>
      <c r="BM110" s="3">
        <v>-1.6350596013990082E-3</v>
      </c>
    </row>
    <row r="111" spans="1:65" x14ac:dyDescent="0.3">
      <c r="A111" s="2">
        <v>45930</v>
      </c>
      <c r="B111">
        <v>2514.4</v>
      </c>
      <c r="C111">
        <v>3367</v>
      </c>
      <c r="D111">
        <v>1348</v>
      </c>
      <c r="E111">
        <v>2888.4</v>
      </c>
      <c r="F111">
        <v>3427</v>
      </c>
      <c r="H111" s="2">
        <v>45930</v>
      </c>
      <c r="I111" s="3">
        <f t="shared" si="34"/>
        <v>-8.5955366296032176E-3</v>
      </c>
      <c r="J111" s="3">
        <f t="shared" si="35"/>
        <v>-1.2117477921544495E-2</v>
      </c>
      <c r="K111" s="3">
        <f t="shared" si="36"/>
        <v>-1.7492711370262426E-2</v>
      </c>
      <c r="L111" s="3">
        <f t="shared" si="37"/>
        <v>-8.8532015647517781E-3</v>
      </c>
      <c r="M111" s="3">
        <f t="shared" si="38"/>
        <v>-1.0509903562972878E-2</v>
      </c>
      <c r="O111">
        <v>107</v>
      </c>
      <c r="P111" s="8">
        <v>0.35975247627285784</v>
      </c>
      <c r="Q111" s="8">
        <v>-0.3663301216347738</v>
      </c>
      <c r="R111" s="8">
        <v>0.12044857591117726</v>
      </c>
      <c r="S111" s="8">
        <v>0.89307900848224697</v>
      </c>
      <c r="T111" s="8">
        <v>-0.44647850694437469</v>
      </c>
      <c r="V111">
        <v>107</v>
      </c>
      <c r="W111">
        <v>0.35975247627285784</v>
      </c>
      <c r="X111">
        <v>-8.621137716623653E-2</v>
      </c>
      <c r="Y111">
        <v>4.9442457327712477E-2</v>
      </c>
      <c r="Z111">
        <v>0.83805320710394016</v>
      </c>
      <c r="AA111">
        <v>-0.71984590117895708</v>
      </c>
      <c r="AQ111">
        <v>107</v>
      </c>
      <c r="AR111" s="21">
        <f t="shared" si="24"/>
        <v>2377.8692289283554</v>
      </c>
      <c r="AS111" s="21">
        <f t="shared" si="25"/>
        <v>2365.2236017794644</v>
      </c>
      <c r="AT111" s="21">
        <f t="shared" si="26"/>
        <v>2368.9547011639979</v>
      </c>
      <c r="AU111" s="21">
        <f t="shared" si="27"/>
        <v>2390.7495014904425</v>
      </c>
      <c r="AV111" s="21">
        <f t="shared" si="28"/>
        <v>2347.8807548273971</v>
      </c>
      <c r="BE111">
        <v>107</v>
      </c>
      <c r="BF111" s="3">
        <f t="shared" si="29"/>
        <v>-4.8791089998760405E-3</v>
      </c>
      <c r="BG111" s="3">
        <f t="shared" si="30"/>
        <v>-3.7474150834798631E-4</v>
      </c>
      <c r="BH111" s="3">
        <f t="shared" si="31"/>
        <v>8.7846186087381477E-3</v>
      </c>
      <c r="BI111" s="3">
        <f t="shared" si="32"/>
        <v>1.3156215646024368E-2</v>
      </c>
      <c r="BJ111" s="3">
        <f t="shared" si="33"/>
        <v>-2.7000493718031884E-3</v>
      </c>
      <c r="BL111">
        <v>107</v>
      </c>
      <c r="BM111" s="3">
        <v>-1.6185526386839227E-3</v>
      </c>
    </row>
    <row r="112" spans="1:65" x14ac:dyDescent="0.3">
      <c r="A112" s="2">
        <v>45929</v>
      </c>
      <c r="B112">
        <v>2497.9</v>
      </c>
      <c r="C112">
        <v>3401.2</v>
      </c>
      <c r="D112">
        <v>1348.1</v>
      </c>
      <c r="E112">
        <v>2896.1</v>
      </c>
      <c r="F112">
        <v>3418.1</v>
      </c>
      <c r="H112" s="2">
        <v>45929</v>
      </c>
      <c r="I112" s="3">
        <f t="shared" si="34"/>
        <v>-6.5622017181037329E-3</v>
      </c>
      <c r="J112" s="3">
        <f t="shared" si="35"/>
        <v>1.0157410157410007E-2</v>
      </c>
      <c r="K112" s="3">
        <f t="shared" si="36"/>
        <v>7.4183976261021911E-5</v>
      </c>
      <c r="L112" s="3">
        <f t="shared" si="37"/>
        <v>2.6658357568203339E-3</v>
      </c>
      <c r="M112" s="3">
        <f t="shared" si="38"/>
        <v>-2.59702363583314E-3</v>
      </c>
      <c r="O112">
        <v>108</v>
      </c>
      <c r="P112" s="8">
        <v>-0.66564341867835808</v>
      </c>
      <c r="Q112" s="8">
        <v>-2.3281174296324081</v>
      </c>
      <c r="R112" s="8">
        <v>-0.12417535092848751</v>
      </c>
      <c r="S112" s="8">
        <v>-0.77816300440143982</v>
      </c>
      <c r="T112" s="8">
        <v>-0.67302678477191014</v>
      </c>
      <c r="V112">
        <v>108</v>
      </c>
      <c r="W112">
        <v>-0.66564341867835808</v>
      </c>
      <c r="X112">
        <v>-0.44662816561571861</v>
      </c>
      <c r="Y112">
        <v>-0.6321329003538344</v>
      </c>
      <c r="Z112">
        <v>-1.1468813042961221</v>
      </c>
      <c r="AA112">
        <v>-1.1208775652036935</v>
      </c>
      <c r="AQ112">
        <v>108</v>
      </c>
      <c r="AR112" s="21">
        <f t="shared" si="24"/>
        <v>2349.7208158408844</v>
      </c>
      <c r="AS112" s="21">
        <f t="shared" si="25"/>
        <v>2355.3488257682739</v>
      </c>
      <c r="AT112" s="21">
        <f t="shared" si="26"/>
        <v>2350.2792206467138</v>
      </c>
      <c r="AU112" s="21">
        <f t="shared" si="27"/>
        <v>2336.2721453095305</v>
      </c>
      <c r="AV112" s="21">
        <f t="shared" si="28"/>
        <v>2336.9799875472654</v>
      </c>
      <c r="BE112">
        <v>108</v>
      </c>
      <c r="BF112" s="3">
        <f t="shared" si="29"/>
        <v>-1.1908285387509911E-2</v>
      </c>
      <c r="BG112" s="3">
        <f t="shared" si="30"/>
        <v>-4.183725836810117E-3</v>
      </c>
      <c r="BH112" s="3">
        <f t="shared" si="31"/>
        <v>-7.9146650984483324E-3</v>
      </c>
      <c r="BI112" s="3">
        <f t="shared" si="32"/>
        <v>-2.3050356990618283E-2</v>
      </c>
      <c r="BJ112" s="3">
        <f t="shared" si="33"/>
        <v>-4.6536226163407003E-3</v>
      </c>
      <c r="BL112">
        <v>108</v>
      </c>
      <c r="BM112" s="3">
        <v>-1.4628145035696786E-3</v>
      </c>
    </row>
    <row r="113" spans="1:65" x14ac:dyDescent="0.3">
      <c r="A113" s="2">
        <v>45926</v>
      </c>
      <c r="B113">
        <v>2511.8000000000002</v>
      </c>
      <c r="C113">
        <v>3327.3</v>
      </c>
      <c r="D113">
        <v>1359.6</v>
      </c>
      <c r="E113">
        <v>2899.1</v>
      </c>
      <c r="F113">
        <v>3396.5</v>
      </c>
      <c r="H113" s="2">
        <v>45926</v>
      </c>
      <c r="I113" s="3">
        <f t="shared" si="34"/>
        <v>5.5646743264341492E-3</v>
      </c>
      <c r="J113" s="3">
        <f t="shared" si="35"/>
        <v>-2.1727625543925599E-2</v>
      </c>
      <c r="K113" s="3">
        <f t="shared" si="36"/>
        <v>8.5305244418070192E-3</v>
      </c>
      <c r="L113" s="3">
        <f t="shared" si="37"/>
        <v>1.0358758330168971E-3</v>
      </c>
      <c r="M113" s="3">
        <f t="shared" si="38"/>
        <v>-6.3193001960153428E-3</v>
      </c>
      <c r="O113">
        <v>109</v>
      </c>
      <c r="P113" s="8">
        <v>-0.91219747489592407</v>
      </c>
      <c r="Q113" s="8">
        <v>-0.41704894753109178</v>
      </c>
      <c r="R113" s="8">
        <v>3.8527445014811777E-2</v>
      </c>
      <c r="S113" s="8">
        <v>-1.0247906284564547</v>
      </c>
      <c r="T113" s="8">
        <v>0.12538161862492936</v>
      </c>
      <c r="V113">
        <v>109</v>
      </c>
      <c r="W113">
        <v>-0.91219747489592407</v>
      </c>
      <c r="X113">
        <v>-5.2804856318660019E-2</v>
      </c>
      <c r="Y113">
        <v>-7.4609877826200377E-2</v>
      </c>
      <c r="Z113">
        <v>-1.097789277184261</v>
      </c>
      <c r="AA113">
        <v>0.20871557769360988</v>
      </c>
      <c r="AQ113">
        <v>109</v>
      </c>
      <c r="AR113" s="21">
        <f t="shared" si="24"/>
        <v>2343.0023174148687</v>
      </c>
      <c r="AS113" s="21">
        <f t="shared" si="25"/>
        <v>2366.1469542211676</v>
      </c>
      <c r="AT113" s="21">
        <f t="shared" si="26"/>
        <v>2365.5441634207909</v>
      </c>
      <c r="AU113" s="21">
        <f t="shared" si="27"/>
        <v>2337.6020739234182</v>
      </c>
      <c r="AV113" s="21">
        <f t="shared" si="28"/>
        <v>2373.3449959414747</v>
      </c>
      <c r="BE113">
        <v>109</v>
      </c>
      <c r="BF113" s="3">
        <f t="shared" si="29"/>
        <v>-2.8633707233895189E-3</v>
      </c>
      <c r="BG113" s="3">
        <f t="shared" si="30"/>
        <v>4.5740366114563474E-3</v>
      </c>
      <c r="BH113" s="3">
        <f t="shared" si="31"/>
        <v>6.473947324219965E-3</v>
      </c>
      <c r="BI113" s="3">
        <f t="shared" si="32"/>
        <v>5.69090475010266E-4</v>
      </c>
      <c r="BJ113" s="3">
        <f t="shared" si="33"/>
        <v>1.5440858552759231E-2</v>
      </c>
      <c r="BL113">
        <v>109</v>
      </c>
      <c r="BM113" s="3">
        <v>-1.2586857026825439E-3</v>
      </c>
    </row>
    <row r="114" spans="1:65" x14ac:dyDescent="0.3">
      <c r="A114" s="2">
        <v>45925</v>
      </c>
      <c r="B114">
        <v>2538.3000000000002</v>
      </c>
      <c r="C114">
        <v>3378.5</v>
      </c>
      <c r="D114">
        <v>1375.8</v>
      </c>
      <c r="E114">
        <v>2957.4</v>
      </c>
      <c r="F114">
        <v>3530</v>
      </c>
      <c r="H114" s="2">
        <v>45925</v>
      </c>
      <c r="I114" s="3">
        <f t="shared" si="34"/>
        <v>1.0550203041643336E-2</v>
      </c>
      <c r="J114" s="3">
        <f t="shared" si="35"/>
        <v>1.5387852012141989E-2</v>
      </c>
      <c r="K114" s="3">
        <f t="shared" si="36"/>
        <v>1.1915269196822731E-2</v>
      </c>
      <c r="L114" s="3">
        <f t="shared" si="37"/>
        <v>2.0109689213894111E-2</v>
      </c>
      <c r="M114" s="3">
        <f t="shared" si="38"/>
        <v>3.9305167083762749E-2</v>
      </c>
      <c r="O114">
        <v>110</v>
      </c>
      <c r="P114" s="8">
        <v>1.4031271563857597</v>
      </c>
      <c r="Q114" s="8">
        <v>0.32737574371160033</v>
      </c>
      <c r="R114" s="8">
        <v>0.80768818528357456</v>
      </c>
      <c r="S114" s="8">
        <v>-0.64160784387060177</v>
      </c>
      <c r="T114" s="8">
        <v>7.7152723413033891E-2</v>
      </c>
      <c r="V114">
        <v>110</v>
      </c>
      <c r="W114">
        <v>1.4031271563857597</v>
      </c>
      <c r="X114">
        <v>1.788110959581278E-2</v>
      </c>
      <c r="Y114">
        <v>0.8951432165827794</v>
      </c>
      <c r="Z114">
        <v>-0.52377879987551101</v>
      </c>
      <c r="AA114">
        <v>0.12786833075796061</v>
      </c>
      <c r="AQ114">
        <v>110</v>
      </c>
      <c r="AR114" s="21">
        <f t="shared" si="24"/>
        <v>2406.8566779545736</v>
      </c>
      <c r="AS114" s="21">
        <f t="shared" si="25"/>
        <v>2368.0799164994646</v>
      </c>
      <c r="AT114" s="21">
        <f t="shared" si="26"/>
        <v>2392.3352416273874</v>
      </c>
      <c r="AU114" s="21">
        <f t="shared" si="27"/>
        <v>2353.2326805796311</v>
      </c>
      <c r="AV114" s="21">
        <f t="shared" si="28"/>
        <v>2371.1152032190512</v>
      </c>
      <c r="BE114">
        <v>110</v>
      </c>
      <c r="BF114" s="3">
        <f t="shared" si="29"/>
        <v>2.6888464573409997E-2</v>
      </c>
      <c r="BG114" s="3">
        <f t="shared" si="30"/>
        <v>8.1659051773087668E-4</v>
      </c>
      <c r="BH114" s="3">
        <f t="shared" si="31"/>
        <v>1.12618917315985E-2</v>
      </c>
      <c r="BI114" s="3">
        <f t="shared" si="32"/>
        <v>6.6643424145102197E-3</v>
      </c>
      <c r="BJ114" s="3">
        <f t="shared" si="33"/>
        <v>-9.3995640936765104E-4</v>
      </c>
      <c r="BL114">
        <v>110</v>
      </c>
      <c r="BM114" s="3">
        <v>-1.2430004630775626E-3</v>
      </c>
    </row>
    <row r="115" spans="1:65" x14ac:dyDescent="0.3">
      <c r="A115" s="2">
        <v>45924</v>
      </c>
      <c r="B115">
        <v>2549.5</v>
      </c>
      <c r="C115">
        <v>3418.3</v>
      </c>
      <c r="D115">
        <v>1382.7</v>
      </c>
      <c r="E115">
        <v>3035.4</v>
      </c>
      <c r="F115">
        <v>3574.9</v>
      </c>
      <c r="H115" s="2">
        <v>45924</v>
      </c>
      <c r="I115" s="3">
        <f t="shared" si="34"/>
        <v>4.4124020013394105E-3</v>
      </c>
      <c r="J115" s="3">
        <f t="shared" si="35"/>
        <v>1.1780375906467411E-2</v>
      </c>
      <c r="K115" s="3">
        <f t="shared" si="36"/>
        <v>5.0152638464893151E-3</v>
      </c>
      <c r="L115" s="3">
        <f t="shared" si="37"/>
        <v>2.637451815784142E-2</v>
      </c>
      <c r="M115" s="3">
        <f t="shared" si="38"/>
        <v>1.2719546742209653E-2</v>
      </c>
      <c r="O115">
        <v>111</v>
      </c>
      <c r="P115" s="8">
        <v>0.90798049477524667</v>
      </c>
      <c r="Q115" s="8">
        <v>0.60744361392317392</v>
      </c>
      <c r="R115" s="8">
        <v>0.3479755608967533</v>
      </c>
      <c r="S115" s="8">
        <v>-0.36421325485842121</v>
      </c>
      <c r="T115" s="8">
        <v>-0.71723863792515419</v>
      </c>
      <c r="V115">
        <v>111</v>
      </c>
      <c r="W115">
        <v>0.90798049477524667</v>
      </c>
      <c r="X115">
        <v>9.1342441251747605E-2</v>
      </c>
      <c r="Y115">
        <v>0.49243866203151121</v>
      </c>
      <c r="Z115">
        <v>-0.23294932621935865</v>
      </c>
      <c r="AA115">
        <v>-0.49172044425273426</v>
      </c>
      <c r="AQ115">
        <v>111</v>
      </c>
      <c r="AR115" s="21">
        <f t="shared" si="24"/>
        <v>2393.0561308210263</v>
      </c>
      <c r="AS115" s="21">
        <f t="shared" si="25"/>
        <v>2370.1032585648641</v>
      </c>
      <c r="AT115" s="21">
        <f t="shared" si="26"/>
        <v>2381.1727465979502</v>
      </c>
      <c r="AU115" s="21">
        <f t="shared" si="27"/>
        <v>2361.1959067412336</v>
      </c>
      <c r="AV115" s="21">
        <f t="shared" si="28"/>
        <v>2354.113902386317</v>
      </c>
      <c r="BE115">
        <v>111</v>
      </c>
      <c r="BF115" s="3">
        <f t="shared" si="29"/>
        <v>-5.7503482714451161E-3</v>
      </c>
      <c r="BG115" s="3">
        <f t="shared" si="30"/>
        <v>8.540582386243477E-4</v>
      </c>
      <c r="BH115" s="3">
        <f t="shared" si="31"/>
        <v>-4.6768604570994066E-3</v>
      </c>
      <c r="BI115" s="3">
        <f t="shared" si="32"/>
        <v>3.3782392022557342E-3</v>
      </c>
      <c r="BJ115" s="3">
        <f t="shared" si="33"/>
        <v>-7.195999946981506E-3</v>
      </c>
      <c r="BL115">
        <v>111</v>
      </c>
      <c r="BM115" s="3">
        <v>-1.1960693872403601E-3</v>
      </c>
    </row>
    <row r="116" spans="1:65" x14ac:dyDescent="0.3">
      <c r="A116" s="2">
        <v>45923</v>
      </c>
      <c r="B116">
        <v>2522.1999999999998</v>
      </c>
      <c r="C116">
        <v>3439.2</v>
      </c>
      <c r="D116">
        <v>1394.3</v>
      </c>
      <c r="E116">
        <v>3062.4</v>
      </c>
      <c r="F116">
        <v>3614.6</v>
      </c>
      <c r="H116" s="2">
        <v>45923</v>
      </c>
      <c r="I116" s="3">
        <f t="shared" si="34"/>
        <v>-1.0707981957246537E-2</v>
      </c>
      <c r="J116" s="3">
        <f t="shared" si="35"/>
        <v>6.1141503086328264E-3</v>
      </c>
      <c r="K116" s="3">
        <f t="shared" si="36"/>
        <v>8.3893830910537481E-3</v>
      </c>
      <c r="L116" s="3">
        <f t="shared" si="37"/>
        <v>8.8950385451669334E-3</v>
      </c>
      <c r="M116" s="3">
        <f t="shared" si="38"/>
        <v>1.1105205740020718E-2</v>
      </c>
      <c r="O116">
        <v>112</v>
      </c>
      <c r="P116" s="8">
        <v>-0.5564897852465911</v>
      </c>
      <c r="Q116" s="8">
        <v>-1.8403474760749825</v>
      </c>
      <c r="R116" s="8">
        <v>-0.90576366749877124</v>
      </c>
      <c r="S116" s="8">
        <v>-0.80928272376310939</v>
      </c>
      <c r="T116" s="8">
        <v>-0.52954624586430044</v>
      </c>
      <c r="V116">
        <v>112</v>
      </c>
      <c r="W116">
        <v>-0.5564897852465911</v>
      </c>
      <c r="X116">
        <v>-0.35201425795977759</v>
      </c>
      <c r="Y116">
        <v>-1.2894619458566259</v>
      </c>
      <c r="Z116">
        <v>-1.1230521356514613</v>
      </c>
      <c r="AA116">
        <v>-0.72179666925427777</v>
      </c>
      <c r="AQ116">
        <v>112</v>
      </c>
      <c r="AR116" s="21">
        <f t="shared" si="24"/>
        <v>2352.7006525936877</v>
      </c>
      <c r="AS116" s="21">
        <f t="shared" si="25"/>
        <v>2357.9377811127533</v>
      </c>
      <c r="AT116" s="21">
        <f t="shared" si="26"/>
        <v>2332.405672069654</v>
      </c>
      <c r="AU116" s="21">
        <f t="shared" si="27"/>
        <v>2336.9215797145721</v>
      </c>
      <c r="AV116" s="21">
        <f t="shared" si="28"/>
        <v>2347.8360868509585</v>
      </c>
      <c r="BE116">
        <v>112</v>
      </c>
      <c r="BF116" s="3">
        <f t="shared" si="29"/>
        <v>-1.7007382722370793E-2</v>
      </c>
      <c r="BG116" s="3">
        <f t="shared" si="30"/>
        <v>-5.1461077421359573E-3</v>
      </c>
      <c r="BH116" s="3">
        <f t="shared" si="31"/>
        <v>-2.0692904770399315E-2</v>
      </c>
      <c r="BI116" s="3">
        <f t="shared" si="32"/>
        <v>-1.0333731801929077E-2</v>
      </c>
      <c r="BJ116" s="3">
        <f t="shared" si="33"/>
        <v>-2.6703045672846412E-3</v>
      </c>
      <c r="BL116">
        <v>112</v>
      </c>
      <c r="BM116" s="3">
        <v>-1.1617861666063968E-3</v>
      </c>
    </row>
    <row r="117" spans="1:65" x14ac:dyDescent="0.3">
      <c r="A117" s="2">
        <v>45922</v>
      </c>
      <c r="B117">
        <v>2572.1999999999998</v>
      </c>
      <c r="C117">
        <v>3457.5</v>
      </c>
      <c r="D117">
        <v>1401.5</v>
      </c>
      <c r="E117">
        <v>3073.8</v>
      </c>
      <c r="F117">
        <v>3584.8</v>
      </c>
      <c r="H117" s="2">
        <v>45922</v>
      </c>
      <c r="I117" s="3">
        <f t="shared" si="34"/>
        <v>1.9823963206724304E-2</v>
      </c>
      <c r="J117" s="3">
        <f t="shared" si="35"/>
        <v>5.3210048848570946E-3</v>
      </c>
      <c r="K117" s="3">
        <f t="shared" si="36"/>
        <v>5.1638815176073827E-3</v>
      </c>
      <c r="L117" s="3">
        <f t="shared" si="37"/>
        <v>3.7225705329153591E-3</v>
      </c>
      <c r="M117" s="3">
        <f t="shared" si="38"/>
        <v>-8.244342389199244E-3</v>
      </c>
      <c r="O117">
        <v>113</v>
      </c>
      <c r="P117" s="8">
        <v>-1.8079554499277308</v>
      </c>
      <c r="Q117" s="8">
        <v>-0.75868182271967433</v>
      </c>
      <c r="R117" s="8">
        <v>-1.3374921043161396</v>
      </c>
      <c r="S117" s="8">
        <v>-1.0740021177281838</v>
      </c>
      <c r="T117" s="8">
        <v>0.20495888072326671</v>
      </c>
      <c r="V117">
        <v>113</v>
      </c>
      <c r="W117">
        <v>-1.8079554499277308</v>
      </c>
      <c r="X117">
        <v>-9.0966078803497538E-2</v>
      </c>
      <c r="Y117">
        <v>-1.5147248975557686</v>
      </c>
      <c r="Z117">
        <v>-1.2623799071880615</v>
      </c>
      <c r="AA117">
        <v>0.42685929353113022</v>
      </c>
      <c r="AQ117">
        <v>113</v>
      </c>
      <c r="AR117" s="21">
        <f t="shared" si="24"/>
        <v>2318.75448923268</v>
      </c>
      <c r="AS117" s="21">
        <f t="shared" si="25"/>
        <v>2365.102431254415</v>
      </c>
      <c r="AT117" s="21">
        <f t="shared" si="26"/>
        <v>2326.3108474641986</v>
      </c>
      <c r="AU117" s="21">
        <f t="shared" si="27"/>
        <v>2333.1443318673478</v>
      </c>
      <c r="AV117" s="21">
        <f t="shared" si="28"/>
        <v>2379.365884714713</v>
      </c>
      <c r="BE117">
        <v>113</v>
      </c>
      <c r="BF117" s="3">
        <f t="shared" si="29"/>
        <v>-1.4533698755992017E-2</v>
      </c>
      <c r="BG117" s="3">
        <f t="shared" si="30"/>
        <v>3.0339168481249689E-3</v>
      </c>
      <c r="BH117" s="3">
        <f t="shared" si="31"/>
        <v>-2.6165267009076736E-3</v>
      </c>
      <c r="BI117" s="3">
        <f t="shared" si="32"/>
        <v>-1.6176425525550727E-3</v>
      </c>
      <c r="BJ117" s="3">
        <f t="shared" si="33"/>
        <v>1.333992734910517E-2</v>
      </c>
      <c r="BL117">
        <v>113</v>
      </c>
      <c r="BM117" s="3">
        <v>-1.1081863081972437E-3</v>
      </c>
    </row>
    <row r="118" spans="1:65" x14ac:dyDescent="0.3">
      <c r="A118" s="2">
        <v>45919</v>
      </c>
      <c r="B118">
        <v>2559.6</v>
      </c>
      <c r="C118">
        <v>3467.2</v>
      </c>
      <c r="D118">
        <v>1402.2</v>
      </c>
      <c r="E118">
        <v>3169.2</v>
      </c>
      <c r="F118">
        <v>3592.1</v>
      </c>
      <c r="H118" s="2">
        <v>45919</v>
      </c>
      <c r="I118" s="3">
        <f t="shared" si="34"/>
        <v>-4.8985304408677433E-3</v>
      </c>
      <c r="J118" s="3">
        <f t="shared" si="35"/>
        <v>2.805495300072236E-3</v>
      </c>
      <c r="K118" s="3">
        <f t="shared" si="36"/>
        <v>4.9946485907947924E-4</v>
      </c>
      <c r="L118" s="3">
        <f t="shared" si="37"/>
        <v>3.1036502049580195E-2</v>
      </c>
      <c r="M118" s="3">
        <f t="shared" si="38"/>
        <v>2.0363758089712025E-3</v>
      </c>
      <c r="O118">
        <v>114</v>
      </c>
      <c r="P118" s="8">
        <v>1.6468804266774257</v>
      </c>
      <c r="Q118" s="8">
        <v>-0.98915018186266579</v>
      </c>
      <c r="R118" s="8">
        <v>2.1581510503790282</v>
      </c>
      <c r="S118" s="8">
        <v>1.4993840043863609</v>
      </c>
      <c r="T118" s="8">
        <v>-2.3341112253423044</v>
      </c>
      <c r="V118">
        <v>114</v>
      </c>
      <c r="W118">
        <v>1.6468804266774257</v>
      </c>
      <c r="X118">
        <v>-0.25595711880311489</v>
      </c>
      <c r="Y118">
        <v>1.9418137632109296</v>
      </c>
      <c r="Z118">
        <v>1.4338420337182718</v>
      </c>
      <c r="AA118">
        <v>-3.1104511247870477</v>
      </c>
      <c r="AQ118">
        <v>114</v>
      </c>
      <c r="AR118" s="21">
        <f t="shared" si="24"/>
        <v>2413.6789538507674</v>
      </c>
      <c r="AS118" s="21">
        <f t="shared" si="25"/>
        <v>2360.5599142004048</v>
      </c>
      <c r="AT118" s="21">
        <f t="shared" si="26"/>
        <v>2421.5934433887237</v>
      </c>
      <c r="AU118" s="21">
        <f t="shared" si="27"/>
        <v>2407.340071917874</v>
      </c>
      <c r="AV118" s="21">
        <f t="shared" si="28"/>
        <v>2283.5910111559747</v>
      </c>
      <c r="BE118">
        <v>114</v>
      </c>
      <c r="BF118" s="3">
        <f t="shared" si="29"/>
        <v>4.012193696815787E-2</v>
      </c>
      <c r="BG118" s="3">
        <f t="shared" si="30"/>
        <v>-1.9224896410391088E-3</v>
      </c>
      <c r="BH118" s="3">
        <f t="shared" si="31"/>
        <v>4.0142085646584037E-2</v>
      </c>
      <c r="BI118" s="3">
        <f t="shared" si="32"/>
        <v>3.130557689551923E-2</v>
      </c>
      <c r="BJ118" s="3">
        <f t="shared" si="33"/>
        <v>-4.1084808349538364E-2</v>
      </c>
      <c r="BL118">
        <v>114</v>
      </c>
      <c r="BM118" s="3">
        <v>-1.0328104146907753E-3</v>
      </c>
    </row>
    <row r="119" spans="1:65" x14ac:dyDescent="0.3">
      <c r="A119" s="2">
        <v>45918</v>
      </c>
      <c r="B119">
        <v>2586.8000000000002</v>
      </c>
      <c r="C119">
        <v>3511.3</v>
      </c>
      <c r="D119">
        <v>1421.7</v>
      </c>
      <c r="E119">
        <v>3176.7</v>
      </c>
      <c r="F119">
        <v>3642.2</v>
      </c>
      <c r="H119" s="2">
        <v>45918</v>
      </c>
      <c r="I119" s="3">
        <f t="shared" si="34"/>
        <v>1.0626660415690159E-2</v>
      </c>
      <c r="J119" s="3">
        <f t="shared" si="35"/>
        <v>1.2719197046608288E-2</v>
      </c>
      <c r="K119" s="3">
        <f t="shared" si="36"/>
        <v>1.3906718014548458E-2</v>
      </c>
      <c r="L119" s="3">
        <f t="shared" si="37"/>
        <v>2.3665278303672821E-3</v>
      </c>
      <c r="M119" s="3">
        <f t="shared" si="38"/>
        <v>1.3947273182817854E-2</v>
      </c>
      <c r="O119">
        <v>115</v>
      </c>
      <c r="P119" s="8">
        <v>0.9026848362488028</v>
      </c>
      <c r="Q119" s="8">
        <v>-1.7059629108686538</v>
      </c>
      <c r="R119" s="8">
        <v>-0.27391740990958269</v>
      </c>
      <c r="S119" s="8">
        <v>-1.2306982687923635</v>
      </c>
      <c r="T119" s="8">
        <v>2.1655082312328444</v>
      </c>
      <c r="V119">
        <v>115</v>
      </c>
      <c r="W119">
        <v>0.9026848362488028</v>
      </c>
      <c r="X119">
        <v>-0.37497234974194182</v>
      </c>
      <c r="Y119">
        <v>-0.60554013644476901</v>
      </c>
      <c r="Z119">
        <v>-1.4629290076785946</v>
      </c>
      <c r="AA119">
        <v>1.7487910632925481</v>
      </c>
      <c r="AQ119">
        <v>115</v>
      </c>
      <c r="AR119" s="21">
        <f t="shared" si="24"/>
        <v>2392.9083169190449</v>
      </c>
      <c r="AS119" s="21">
        <f t="shared" si="25"/>
        <v>2357.3028025191743</v>
      </c>
      <c r="AT119" s="21">
        <f t="shared" si="26"/>
        <v>2351.0048583473445</v>
      </c>
      <c r="AU119" s="21">
        <f t="shared" si="27"/>
        <v>2327.7128051477753</v>
      </c>
      <c r="AV119" s="21">
        <f t="shared" si="28"/>
        <v>2416.1765626327287</v>
      </c>
      <c r="BE119">
        <v>115</v>
      </c>
      <c r="BF119" s="3">
        <f t="shared" si="29"/>
        <v>-8.6426252349081356E-3</v>
      </c>
      <c r="BG119" s="3">
        <f t="shared" si="30"/>
        <v>-1.3807575142697629E-3</v>
      </c>
      <c r="BH119" s="3">
        <f t="shared" si="31"/>
        <v>-2.9582935110038538E-2</v>
      </c>
      <c r="BI119" s="3">
        <f t="shared" si="32"/>
        <v>-3.3636276601022086E-2</v>
      </c>
      <c r="BJ119" s="3">
        <f t="shared" si="33"/>
        <v>5.6437149122300558E-2</v>
      </c>
      <c r="BL119">
        <v>115</v>
      </c>
      <c r="BM119" s="3">
        <v>-1.0303128389076339E-3</v>
      </c>
    </row>
    <row r="120" spans="1:65" x14ac:dyDescent="0.3">
      <c r="A120" s="2">
        <v>45917</v>
      </c>
      <c r="B120">
        <v>2569.6999999999998</v>
      </c>
      <c r="C120">
        <v>3523</v>
      </c>
      <c r="D120">
        <v>1419.2</v>
      </c>
      <c r="E120">
        <v>3172.8</v>
      </c>
      <c r="F120">
        <v>3633.2</v>
      </c>
      <c r="H120" s="2">
        <v>45917</v>
      </c>
      <c r="I120" s="3">
        <f t="shared" si="34"/>
        <v>-6.6104839956704353E-3</v>
      </c>
      <c r="J120" s="3">
        <f t="shared" si="35"/>
        <v>3.3320992225100987E-3</v>
      </c>
      <c r="K120" s="3">
        <f t="shared" si="36"/>
        <v>-1.758458183864442E-3</v>
      </c>
      <c r="L120" s="3">
        <f t="shared" si="37"/>
        <v>-1.2276891113418564E-3</v>
      </c>
      <c r="M120" s="3">
        <f t="shared" si="38"/>
        <v>-2.4710339904453482E-3</v>
      </c>
      <c r="O120">
        <v>116</v>
      </c>
      <c r="P120" s="8">
        <v>0.23127291281411699</v>
      </c>
      <c r="Q120" s="8">
        <v>-1.6475294367401176</v>
      </c>
      <c r="R120" s="8">
        <v>-1.0181222185532699</v>
      </c>
      <c r="S120" s="8">
        <v>0.64870323511152195</v>
      </c>
      <c r="T120" s="8">
        <v>-2.0652181112735883</v>
      </c>
      <c r="V120">
        <v>116</v>
      </c>
      <c r="W120">
        <v>0.23127291281411699</v>
      </c>
      <c r="X120">
        <v>-0.34015666919442</v>
      </c>
      <c r="Y120">
        <v>-1.3377575360474254</v>
      </c>
      <c r="Z120">
        <v>0.3626235324533415</v>
      </c>
      <c r="AA120">
        <v>-2.3666563834504455</v>
      </c>
      <c r="AQ120">
        <v>116</v>
      </c>
      <c r="AR120" s="21">
        <f t="shared" si="24"/>
        <v>2374.3224857261666</v>
      </c>
      <c r="AS120" s="21">
        <f t="shared" si="25"/>
        <v>2358.2590662284633</v>
      </c>
      <c r="AT120" s="21">
        <f t="shared" si="26"/>
        <v>2331.0978105793147</v>
      </c>
      <c r="AU120" s="21">
        <f t="shared" si="27"/>
        <v>2377.5918953780874</v>
      </c>
      <c r="AV120" s="21">
        <f t="shared" si="28"/>
        <v>2303.4065077069072</v>
      </c>
      <c r="BE120">
        <v>116</v>
      </c>
      <c r="BF120" s="3">
        <f t="shared" si="29"/>
        <v>-7.7973675405186892E-3</v>
      </c>
      <c r="BG120" s="3">
        <f t="shared" si="30"/>
        <v>4.0557785011156113E-4</v>
      </c>
      <c r="BH120" s="3">
        <f t="shared" si="31"/>
        <v>-8.5035161045052543E-3</v>
      </c>
      <c r="BI120" s="3">
        <f t="shared" si="32"/>
        <v>2.1202010022089886E-2</v>
      </c>
      <c r="BJ120" s="3">
        <f t="shared" si="33"/>
        <v>-4.7797240452227309E-2</v>
      </c>
      <c r="BL120">
        <v>116</v>
      </c>
      <c r="BM120" s="3">
        <v>-8.0745536536686946E-4</v>
      </c>
    </row>
    <row r="121" spans="1:65" x14ac:dyDescent="0.3">
      <c r="A121" s="2">
        <v>45916</v>
      </c>
      <c r="B121">
        <v>2580.9</v>
      </c>
      <c r="C121">
        <v>3556.8</v>
      </c>
      <c r="D121">
        <v>1421.6</v>
      </c>
      <c r="E121">
        <v>3145.7</v>
      </c>
      <c r="F121">
        <v>3608</v>
      </c>
      <c r="H121" s="2">
        <v>45916</v>
      </c>
      <c r="I121" s="3">
        <f t="shared" si="34"/>
        <v>4.3584854263145623E-3</v>
      </c>
      <c r="J121" s="3">
        <f t="shared" si="35"/>
        <v>9.5940959409595017E-3</v>
      </c>
      <c r="K121" s="3">
        <f t="shared" si="36"/>
        <v>1.6910935738443378E-3</v>
      </c>
      <c r="L121" s="3">
        <f t="shared" si="37"/>
        <v>-8.5413514876451213E-3</v>
      </c>
      <c r="M121" s="3">
        <f t="shared" si="38"/>
        <v>-6.9360343498843235E-3</v>
      </c>
      <c r="O121">
        <v>117</v>
      </c>
      <c r="P121" s="8">
        <v>0.39259355795157808</v>
      </c>
      <c r="Q121" s="8">
        <v>0.14684241499780359</v>
      </c>
      <c r="R121" s="8">
        <v>1.0680544280056679</v>
      </c>
      <c r="S121" s="8">
        <v>-0.28332298696961267</v>
      </c>
      <c r="T121" s="8">
        <v>-0.24206501833267899</v>
      </c>
      <c r="V121">
        <v>117</v>
      </c>
      <c r="W121">
        <v>0.39259355795157808</v>
      </c>
      <c r="X121">
        <v>1.6142822992281529E-2</v>
      </c>
      <c r="Y121">
        <v>1.0848088031970182</v>
      </c>
      <c r="Z121">
        <v>-0.21551876481437332</v>
      </c>
      <c r="AA121">
        <v>-0.30056751833966527</v>
      </c>
      <c r="AQ121">
        <v>117</v>
      </c>
      <c r="AR121" s="21">
        <f t="shared" si="24"/>
        <v>2378.7747003285767</v>
      </c>
      <c r="AS121" s="21">
        <f t="shared" si="25"/>
        <v>2368.036596339095</v>
      </c>
      <c r="AT121" s="21">
        <f t="shared" si="26"/>
        <v>2397.6105121868309</v>
      </c>
      <c r="AU121" s="21">
        <f t="shared" si="27"/>
        <v>2361.6713050354797</v>
      </c>
      <c r="AV121" s="21">
        <f t="shared" si="28"/>
        <v>2359.345562015611</v>
      </c>
      <c r="BE121">
        <v>117</v>
      </c>
      <c r="BF121" s="3">
        <f t="shared" si="29"/>
        <v>1.8733956955902583E-3</v>
      </c>
      <c r="BG121" s="3">
        <f t="shared" si="30"/>
        <v>4.1375084239896071E-3</v>
      </c>
      <c r="BH121" s="3">
        <f t="shared" si="31"/>
        <v>2.8133301519235269E-2</v>
      </c>
      <c r="BI121" s="3">
        <f t="shared" si="32"/>
        <v>-6.7186182986858859E-3</v>
      </c>
      <c r="BJ121" s="3">
        <f t="shared" si="33"/>
        <v>2.399515884092638E-2</v>
      </c>
      <c r="BL121">
        <v>117</v>
      </c>
      <c r="BM121" s="3">
        <v>-7.8319224630672333E-4</v>
      </c>
    </row>
    <row r="122" spans="1:65" x14ac:dyDescent="0.3">
      <c r="A122" s="2">
        <v>45915</v>
      </c>
      <c r="B122">
        <v>2581</v>
      </c>
      <c r="C122">
        <v>3534.1</v>
      </c>
      <c r="D122">
        <v>1419.4</v>
      </c>
      <c r="E122">
        <v>3111.9</v>
      </c>
      <c r="F122">
        <v>3530.3</v>
      </c>
      <c r="H122" s="2">
        <v>45915</v>
      </c>
      <c r="I122" s="3">
        <f t="shared" si="34"/>
        <v>3.8746173815384921E-5</v>
      </c>
      <c r="J122" s="3">
        <f t="shared" si="35"/>
        <v>-6.3821412505623565E-3</v>
      </c>
      <c r="K122" s="3">
        <f t="shared" si="36"/>
        <v>-1.54755205402346E-3</v>
      </c>
      <c r="L122" s="3">
        <f t="shared" si="37"/>
        <v>-1.0744826270782215E-2</v>
      </c>
      <c r="M122" s="3">
        <f t="shared" si="38"/>
        <v>-2.1535476718403501E-2</v>
      </c>
      <c r="O122">
        <v>118</v>
      </c>
      <c r="P122" s="8">
        <v>-0.69656092236586709</v>
      </c>
      <c r="Q122" s="8">
        <v>0.19124842766683389</v>
      </c>
      <c r="R122" s="8">
        <v>-0.59960520295254205</v>
      </c>
      <c r="S122" s="8">
        <v>1.1617918710677426</v>
      </c>
      <c r="T122" s="8">
        <v>-0.20913868581254316</v>
      </c>
      <c r="V122">
        <v>118</v>
      </c>
      <c r="W122">
        <v>-0.69656092236586709</v>
      </c>
      <c r="X122">
        <v>6.2460433113676564E-2</v>
      </c>
      <c r="Y122">
        <v>-0.56346287957230878</v>
      </c>
      <c r="Z122">
        <v>1.141128790811494</v>
      </c>
      <c r="AA122">
        <v>-0.24809020130036524</v>
      </c>
      <c r="AQ122">
        <v>118</v>
      </c>
      <c r="AR122" s="21">
        <f t="shared" si="24"/>
        <v>2348.8757069676558</v>
      </c>
      <c r="AS122" s="21">
        <f t="shared" si="25"/>
        <v>2369.3154823209848</v>
      </c>
      <c r="AT122" s="21">
        <f t="shared" si="26"/>
        <v>2352.1520646860126</v>
      </c>
      <c r="AU122" s="21">
        <f t="shared" si="27"/>
        <v>2399.1817767631437</v>
      </c>
      <c r="AV122" s="21">
        <f t="shared" si="28"/>
        <v>2360.7778945554946</v>
      </c>
      <c r="BE122">
        <v>118</v>
      </c>
      <c r="BF122" s="3">
        <f t="shared" si="29"/>
        <v>-1.264873220875456E-2</v>
      </c>
      <c r="BG122" s="3">
        <f t="shared" si="30"/>
        <v>5.3991596643944775E-4</v>
      </c>
      <c r="BH122" s="3">
        <f t="shared" si="31"/>
        <v>-1.9141940173674085E-2</v>
      </c>
      <c r="BI122" s="3">
        <f t="shared" si="32"/>
        <v>1.5758204380512997E-2</v>
      </c>
      <c r="BJ122" s="3">
        <f t="shared" si="33"/>
        <v>6.069047121444142E-4</v>
      </c>
      <c r="BL122">
        <v>118</v>
      </c>
      <c r="BM122" s="3">
        <v>-7.1809473973562341E-4</v>
      </c>
    </row>
    <row r="123" spans="1:65" x14ac:dyDescent="0.3">
      <c r="A123" s="2">
        <v>45912</v>
      </c>
      <c r="B123">
        <v>2580.5</v>
      </c>
      <c r="C123">
        <v>3571.9</v>
      </c>
      <c r="D123">
        <v>1417.7</v>
      </c>
      <c r="E123">
        <v>3133.4</v>
      </c>
      <c r="F123">
        <v>3589.9</v>
      </c>
      <c r="H123" s="2">
        <v>45912</v>
      </c>
      <c r="I123" s="3">
        <f t="shared" si="34"/>
        <v>-1.9372336303757898E-4</v>
      </c>
      <c r="J123" s="3">
        <f t="shared" si="35"/>
        <v>1.0695792422398931E-2</v>
      </c>
      <c r="K123" s="3">
        <f t="shared" si="36"/>
        <v>-1.1976891644357446E-3</v>
      </c>
      <c r="L123" s="3">
        <f t="shared" si="37"/>
        <v>6.9089623702560665E-3</v>
      </c>
      <c r="M123" s="3">
        <f t="shared" si="38"/>
        <v>1.6882417924822146E-2</v>
      </c>
      <c r="O123">
        <v>119</v>
      </c>
      <c r="P123" s="8">
        <v>0.58320029251278693</v>
      </c>
      <c r="Q123" s="8">
        <v>-1.3675681765636771</v>
      </c>
      <c r="R123" s="8">
        <v>-0.34074693620647334</v>
      </c>
      <c r="S123" s="8">
        <v>0.38594835735623551</v>
      </c>
      <c r="T123" s="8">
        <v>-0.51775629908829157</v>
      </c>
      <c r="V123">
        <v>119</v>
      </c>
      <c r="W123">
        <v>0.58320029251278693</v>
      </c>
      <c r="X123">
        <v>-0.29577550114103773</v>
      </c>
      <c r="Y123">
        <v>-0.60746750248770431</v>
      </c>
      <c r="Z123">
        <v>0.17525556518594099</v>
      </c>
      <c r="AA123">
        <v>-0.91905598992126714</v>
      </c>
      <c r="AQ123">
        <v>119</v>
      </c>
      <c r="AR123" s="21">
        <f t="shared" si="24"/>
        <v>2384.0457974841665</v>
      </c>
      <c r="AS123" s="21">
        <f t="shared" si="25"/>
        <v>2359.4733057974136</v>
      </c>
      <c r="AT123" s="21">
        <f t="shared" si="26"/>
        <v>2350.9518921602084</v>
      </c>
      <c r="AU123" s="21">
        <f t="shared" si="27"/>
        <v>2372.4208031483663</v>
      </c>
      <c r="AV123" s="21">
        <f t="shared" si="28"/>
        <v>2342.4581434692091</v>
      </c>
      <c r="BE123">
        <v>119</v>
      </c>
      <c r="BF123" s="3">
        <f t="shared" si="29"/>
        <v>1.4862168264162087E-2</v>
      </c>
      <c r="BG123" s="3">
        <f t="shared" si="30"/>
        <v>-4.1626687832811869E-3</v>
      </c>
      <c r="BH123" s="3">
        <f t="shared" si="31"/>
        <v>-5.1037466442096287E-4</v>
      </c>
      <c r="BI123" s="3">
        <f t="shared" si="32"/>
        <v>-1.1216883112706567E-2</v>
      </c>
      <c r="BJ123" s="3">
        <f t="shared" si="33"/>
        <v>-7.7903144085017632E-3</v>
      </c>
      <c r="BL123">
        <v>119</v>
      </c>
      <c r="BM123" s="3">
        <v>-6.56336922917218E-4</v>
      </c>
    </row>
    <row r="124" spans="1:65" x14ac:dyDescent="0.3">
      <c r="A124" s="2">
        <v>45911</v>
      </c>
      <c r="B124">
        <v>2622</v>
      </c>
      <c r="C124">
        <v>3584.2</v>
      </c>
      <c r="D124">
        <v>1401.6</v>
      </c>
      <c r="E124">
        <v>3124.2</v>
      </c>
      <c r="F124">
        <v>3595.7</v>
      </c>
      <c r="H124" s="2">
        <v>45911</v>
      </c>
      <c r="I124" s="3">
        <f t="shared" si="34"/>
        <v>1.6082154621197553E-2</v>
      </c>
      <c r="J124" s="3">
        <f t="shared" si="35"/>
        <v>3.4435454520003184E-3</v>
      </c>
      <c r="K124" s="3">
        <f t="shared" si="36"/>
        <v>-1.135642237426826E-2</v>
      </c>
      <c r="L124" s="3">
        <f t="shared" si="37"/>
        <v>-2.9361077423885051E-3</v>
      </c>
      <c r="M124" s="3">
        <f t="shared" si="38"/>
        <v>1.6156438898018433E-3</v>
      </c>
      <c r="O124">
        <v>120</v>
      </c>
      <c r="P124" s="8">
        <v>-0.55745071633471133</v>
      </c>
      <c r="Q124" s="8">
        <v>2.2142922837207184</v>
      </c>
      <c r="R124" s="8">
        <v>1.0717930051302866</v>
      </c>
      <c r="S124" s="8">
        <v>-0.10889251088389747</v>
      </c>
      <c r="T124" s="8">
        <v>-0.21686506799326036</v>
      </c>
      <c r="V124">
        <v>120</v>
      </c>
      <c r="W124">
        <v>-0.55745071633471133</v>
      </c>
      <c r="X124">
        <v>0.46563336402224959</v>
      </c>
      <c r="Y124">
        <v>1.5017751195794231</v>
      </c>
      <c r="Z124">
        <v>0.25090957550476506</v>
      </c>
      <c r="AA124">
        <v>0.32462948034502603</v>
      </c>
      <c r="AQ124">
        <v>120</v>
      </c>
      <c r="AR124" s="21">
        <f t="shared" si="24"/>
        <v>2352.6731284075991</v>
      </c>
      <c r="AS124" s="21">
        <f t="shared" si="25"/>
        <v>2380.4344064152433</v>
      </c>
      <c r="AT124" s="21">
        <f t="shared" si="26"/>
        <v>2409.2467225805253</v>
      </c>
      <c r="AU124" s="21">
        <f t="shared" si="27"/>
        <v>2374.4967742634904</v>
      </c>
      <c r="AV124" s="21">
        <f t="shared" si="28"/>
        <v>2376.5360928297891</v>
      </c>
      <c r="BE124">
        <v>120</v>
      </c>
      <c r="BF124" s="3">
        <f t="shared" si="29"/>
        <v>-1.3246776231158353E-2</v>
      </c>
      <c r="BG124" s="3">
        <f t="shared" si="30"/>
        <v>8.8445761112541724E-3</v>
      </c>
      <c r="BH124" s="3">
        <f t="shared" si="31"/>
        <v>2.4493828764978132E-2</v>
      </c>
      <c r="BI124" s="3">
        <f t="shared" si="32"/>
        <v>8.7466075136899001E-4</v>
      </c>
      <c r="BJ124" s="3">
        <f t="shared" si="33"/>
        <v>1.4443137690968116E-2</v>
      </c>
      <c r="BL124">
        <v>120</v>
      </c>
      <c r="BM124" s="3">
        <v>-5.85567907527743E-4</v>
      </c>
    </row>
    <row r="125" spans="1:65" x14ac:dyDescent="0.3">
      <c r="A125" s="2">
        <v>45910</v>
      </c>
      <c r="B125">
        <v>2643.5</v>
      </c>
      <c r="C125">
        <v>3620.6</v>
      </c>
      <c r="D125">
        <v>1403.9</v>
      </c>
      <c r="E125">
        <v>3110</v>
      </c>
      <c r="F125">
        <v>3604.4</v>
      </c>
      <c r="H125" s="2">
        <v>45910</v>
      </c>
      <c r="I125" s="3">
        <f t="shared" si="34"/>
        <v>8.1998474446987046E-3</v>
      </c>
      <c r="J125" s="3">
        <f t="shared" si="35"/>
        <v>1.0155683276602989E-2</v>
      </c>
      <c r="K125" s="3">
        <f t="shared" si="36"/>
        <v>1.6409817351599187E-3</v>
      </c>
      <c r="L125" s="3">
        <f t="shared" si="37"/>
        <v>-4.5451635618717345E-3</v>
      </c>
      <c r="M125" s="3">
        <f t="shared" si="38"/>
        <v>2.4195566927163181E-3</v>
      </c>
      <c r="O125">
        <v>121</v>
      </c>
      <c r="P125" s="8">
        <v>0.77048529861635706</v>
      </c>
      <c r="Q125" s="8">
        <v>-2.841691149656592</v>
      </c>
      <c r="R125" s="8">
        <v>0.29263359159713925</v>
      </c>
      <c r="S125" s="8">
        <v>0.97987778319352192</v>
      </c>
      <c r="T125" s="8">
        <v>-0.74055898138776532</v>
      </c>
      <c r="V125">
        <v>121</v>
      </c>
      <c r="W125">
        <v>0.77048529861635706</v>
      </c>
      <c r="X125">
        <v>-0.59945591021647016</v>
      </c>
      <c r="Y125">
        <v>-0.29621623489609539</v>
      </c>
      <c r="Z125">
        <v>0.55844180482164363</v>
      </c>
      <c r="AA125">
        <v>-1.7755858403350318</v>
      </c>
      <c r="AQ125">
        <v>121</v>
      </c>
      <c r="AR125" s="21">
        <f t="shared" si="24"/>
        <v>2389.2364053837982</v>
      </c>
      <c r="AS125" s="21">
        <f t="shared" si="25"/>
        <v>2351.1659181685222</v>
      </c>
      <c r="AT125" s="21">
        <f t="shared" si="26"/>
        <v>2359.4664606479741</v>
      </c>
      <c r="AU125" s="21">
        <f t="shared" si="27"/>
        <v>2383.0003566731802</v>
      </c>
      <c r="AV125" s="21">
        <f t="shared" si="28"/>
        <v>2319.2712624084561</v>
      </c>
      <c r="BE125">
        <v>121</v>
      </c>
      <c r="BF125" s="3">
        <f t="shared" si="29"/>
        <v>1.542163609696898E-2</v>
      </c>
      <c r="BG125" s="3">
        <f t="shared" si="30"/>
        <v>-1.2371654219384512E-2</v>
      </c>
      <c r="BH125" s="3">
        <f t="shared" si="31"/>
        <v>-2.0878617918029134E-2</v>
      </c>
      <c r="BI125" s="3">
        <f t="shared" si="32"/>
        <v>3.5748172753374374E-3</v>
      </c>
      <c r="BJ125" s="3">
        <f t="shared" si="33"/>
        <v>-2.4390979041350853E-2</v>
      </c>
      <c r="BL125">
        <v>121</v>
      </c>
      <c r="BM125" s="3">
        <v>-4.3328453651259296E-4</v>
      </c>
    </row>
    <row r="126" spans="1:65" x14ac:dyDescent="0.3">
      <c r="A126" s="2">
        <v>45909</v>
      </c>
      <c r="B126">
        <v>2642</v>
      </c>
      <c r="C126">
        <v>3630.1</v>
      </c>
      <c r="D126">
        <v>1403.7</v>
      </c>
      <c r="E126">
        <v>3049.4</v>
      </c>
      <c r="F126">
        <v>3696.3</v>
      </c>
      <c r="H126" s="2">
        <v>45909</v>
      </c>
      <c r="I126" s="3">
        <f t="shared" si="34"/>
        <v>-5.67429544164888E-4</v>
      </c>
      <c r="J126" s="3">
        <f t="shared" si="35"/>
        <v>2.6238744959399263E-3</v>
      </c>
      <c r="K126" s="3">
        <f t="shared" si="36"/>
        <v>-1.4246028919440157E-4</v>
      </c>
      <c r="L126" s="3">
        <f t="shared" si="37"/>
        <v>-1.9485530546623719E-2</v>
      </c>
      <c r="M126" s="3">
        <f t="shared" si="38"/>
        <v>2.5496615248030263E-2</v>
      </c>
      <c r="O126">
        <v>122</v>
      </c>
      <c r="P126" s="8">
        <v>0.19116067745334911</v>
      </c>
      <c r="Q126" s="8">
        <v>-0.32737671844625643</v>
      </c>
      <c r="R126" s="8">
        <v>-0.8571502374181883</v>
      </c>
      <c r="S126" s="8">
        <v>-1.8375840811696582</v>
      </c>
      <c r="T126" s="8">
        <v>-0.42573847899619355</v>
      </c>
      <c r="V126">
        <v>122</v>
      </c>
      <c r="W126">
        <v>0.19116067745334911</v>
      </c>
      <c r="X126">
        <v>-7.257295653835924E-2</v>
      </c>
      <c r="Y126">
        <v>-0.90176110509034746</v>
      </c>
      <c r="Z126">
        <v>-1.8853170141995457</v>
      </c>
      <c r="AA126">
        <v>-1.0962164973810362E-2</v>
      </c>
      <c r="AQ126">
        <v>122</v>
      </c>
      <c r="AR126" s="21">
        <f t="shared" si="24"/>
        <v>2373.2157406999804</v>
      </c>
      <c r="AS126" s="21">
        <f t="shared" si="25"/>
        <v>2365.5989942370088</v>
      </c>
      <c r="AT126" s="21">
        <f t="shared" si="26"/>
        <v>2342.9297523664673</v>
      </c>
      <c r="AU126" s="21">
        <f t="shared" si="27"/>
        <v>2316.3238642605265</v>
      </c>
      <c r="AV126" s="21">
        <f t="shared" si="28"/>
        <v>2367.3012771920889</v>
      </c>
      <c r="BE126">
        <v>122</v>
      </c>
      <c r="BF126" s="3">
        <f t="shared" si="29"/>
        <v>-6.7279311681087157E-3</v>
      </c>
      <c r="BG126" s="3">
        <f t="shared" si="30"/>
        <v>6.1199238816818484E-3</v>
      </c>
      <c r="BH126" s="3">
        <f t="shared" si="31"/>
        <v>-7.0333403235296457E-3</v>
      </c>
      <c r="BI126" s="3">
        <f t="shared" si="32"/>
        <v>-2.8378960092637295E-2</v>
      </c>
      <c r="BJ126" s="3">
        <f t="shared" si="33"/>
        <v>2.0497579422890683E-2</v>
      </c>
      <c r="BL126">
        <v>122</v>
      </c>
      <c r="BM126" s="3">
        <v>-2.7698654368953492E-4</v>
      </c>
    </row>
    <row r="127" spans="1:65" x14ac:dyDescent="0.3">
      <c r="A127" s="2">
        <v>45908</v>
      </c>
      <c r="B127">
        <v>2623.9</v>
      </c>
      <c r="C127">
        <v>3658</v>
      </c>
      <c r="D127">
        <v>1402.7</v>
      </c>
      <c r="E127">
        <v>3019</v>
      </c>
      <c r="F127">
        <v>3701.4</v>
      </c>
      <c r="H127" s="2">
        <v>45908</v>
      </c>
      <c r="I127" s="3">
        <f t="shared" si="34"/>
        <v>-6.8508705526115765E-3</v>
      </c>
      <c r="J127" s="3">
        <f t="shared" si="35"/>
        <v>7.6857386848847575E-3</v>
      </c>
      <c r="K127" s="3">
        <f t="shared" si="36"/>
        <v>-7.1240293510010932E-4</v>
      </c>
      <c r="L127" s="3">
        <f t="shared" si="37"/>
        <v>-9.9691742637896263E-3</v>
      </c>
      <c r="M127" s="3">
        <f t="shared" si="38"/>
        <v>1.3797581365149192E-3</v>
      </c>
      <c r="O127">
        <v>123</v>
      </c>
      <c r="P127" s="8">
        <v>1.9273361485596448E-3</v>
      </c>
      <c r="Q127" s="8">
        <v>-1.1999363973441852</v>
      </c>
      <c r="R127" s="8">
        <v>0.2378355035041482</v>
      </c>
      <c r="S127" s="8">
        <v>1.6658593890688098</v>
      </c>
      <c r="T127" s="8">
        <v>-1.6008051554850629</v>
      </c>
      <c r="V127">
        <v>123</v>
      </c>
      <c r="W127">
        <v>1.9273361485596448E-3</v>
      </c>
      <c r="X127">
        <v>-0.24203227029167282</v>
      </c>
      <c r="Y127">
        <v>-2.1908780091434515E-2</v>
      </c>
      <c r="Z127">
        <v>1.4672889647546834</v>
      </c>
      <c r="AA127">
        <v>-2.1873527936820381</v>
      </c>
      <c r="AQ127">
        <v>123</v>
      </c>
      <c r="AR127" s="21">
        <f t="shared" si="24"/>
        <v>2368.0058780986701</v>
      </c>
      <c r="AS127" s="21">
        <f t="shared" si="25"/>
        <v>2360.9489504918133</v>
      </c>
      <c r="AT127" s="21">
        <f t="shared" si="26"/>
        <v>2366.9932274113035</v>
      </c>
      <c r="AU127" s="21">
        <f t="shared" si="27"/>
        <v>2408.2842009766391</v>
      </c>
      <c r="AV127" s="21">
        <f t="shared" si="28"/>
        <v>2308.2031207823989</v>
      </c>
      <c r="BE127">
        <v>123</v>
      </c>
      <c r="BF127" s="3">
        <f t="shared" si="29"/>
        <v>-2.1976887465254874E-3</v>
      </c>
      <c r="BG127" s="3">
        <f t="shared" si="30"/>
        <v>-1.9676285102008585E-3</v>
      </c>
      <c r="BH127" s="3">
        <f t="shared" si="31"/>
        <v>1.0218292115213776E-2</v>
      </c>
      <c r="BI127" s="3">
        <f t="shared" si="32"/>
        <v>3.8933156445752674E-2</v>
      </c>
      <c r="BJ127" s="3">
        <f t="shared" si="33"/>
        <v>-2.5281252682224788E-2</v>
      </c>
      <c r="BL127">
        <v>123</v>
      </c>
      <c r="BM127" s="3">
        <v>9.5164392302757783E-5</v>
      </c>
    </row>
    <row r="128" spans="1:65" x14ac:dyDescent="0.3">
      <c r="A128" s="2">
        <v>45905</v>
      </c>
      <c r="B128">
        <v>2633.4</v>
      </c>
      <c r="C128">
        <v>3665.3</v>
      </c>
      <c r="D128">
        <v>1402.8</v>
      </c>
      <c r="E128">
        <v>3048.3</v>
      </c>
      <c r="F128">
        <v>3561.3</v>
      </c>
      <c r="H128" s="2">
        <v>45905</v>
      </c>
      <c r="I128" s="3">
        <f t="shared" si="34"/>
        <v>3.6205648081100161E-3</v>
      </c>
      <c r="J128" s="3">
        <f t="shared" si="35"/>
        <v>1.9956260251503544E-3</v>
      </c>
      <c r="K128" s="3">
        <f t="shared" si="36"/>
        <v>7.129108148573593E-5</v>
      </c>
      <c r="L128" s="3">
        <f t="shared" si="37"/>
        <v>9.7052003974826828E-3</v>
      </c>
      <c r="M128" s="3">
        <f t="shared" si="38"/>
        <v>-3.7850543037769468E-2</v>
      </c>
      <c r="O128">
        <v>124</v>
      </c>
      <c r="P128" s="8">
        <v>-0.89932911045518971</v>
      </c>
      <c r="Q128" s="8">
        <v>0.37679429338881931</v>
      </c>
      <c r="R128" s="8">
        <v>0.52693658962938283</v>
      </c>
      <c r="S128" s="8">
        <v>-0.39056289949283435</v>
      </c>
      <c r="T128" s="8">
        <v>0.11245367920831749</v>
      </c>
      <c r="V128">
        <v>124</v>
      </c>
      <c r="W128">
        <v>-0.89932911045518971</v>
      </c>
      <c r="X128">
        <v>0.10683151166934432</v>
      </c>
      <c r="Y128">
        <v>0.57111331488578965</v>
      </c>
      <c r="Z128">
        <v>-0.33464667426674483</v>
      </c>
      <c r="AA128">
        <v>0.23394060182237625</v>
      </c>
      <c r="AQ128">
        <v>124</v>
      </c>
      <c r="AR128" s="21">
        <f t="shared" si="24"/>
        <v>2343.3501209424703</v>
      </c>
      <c r="AS128" s="21">
        <f t="shared" si="25"/>
        <v>2370.5375745633037</v>
      </c>
      <c r="AT128" s="21">
        <f t="shared" si="26"/>
        <v>2383.3492804556827</v>
      </c>
      <c r="AU128" s="21">
        <f t="shared" si="27"/>
        <v>2358.4085384710006</v>
      </c>
      <c r="AV128" s="21">
        <f t="shared" si="28"/>
        <v>2374.0370275224486</v>
      </c>
      <c r="BE128">
        <v>124</v>
      </c>
      <c r="BF128" s="3">
        <f t="shared" si="29"/>
        <v>-1.0466618208227932E-2</v>
      </c>
      <c r="BG128" s="3">
        <f t="shared" si="30"/>
        <v>4.0531182525203211E-3</v>
      </c>
      <c r="BH128" s="3">
        <f t="shared" si="31"/>
        <v>6.8862898421564707E-3</v>
      </c>
      <c r="BI128" s="3">
        <f t="shared" si="32"/>
        <v>-2.0927500686669039E-2</v>
      </c>
      <c r="BJ128" s="3">
        <f t="shared" si="33"/>
        <v>2.812254112396808E-2</v>
      </c>
      <c r="BL128">
        <v>124</v>
      </c>
      <c r="BM128" s="3">
        <v>1.3592775960583146E-4</v>
      </c>
    </row>
    <row r="129" spans="1:65" x14ac:dyDescent="0.3">
      <c r="A129" s="2">
        <v>45904</v>
      </c>
      <c r="B129">
        <v>2666.6</v>
      </c>
      <c r="C129">
        <v>3691.1</v>
      </c>
      <c r="D129">
        <v>1405.5</v>
      </c>
      <c r="E129">
        <v>3095.7</v>
      </c>
      <c r="F129">
        <v>3481.5</v>
      </c>
      <c r="H129" s="2">
        <v>45904</v>
      </c>
      <c r="I129" s="3">
        <f t="shared" si="34"/>
        <v>1.2607275765170511E-2</v>
      </c>
      <c r="J129" s="3">
        <f t="shared" si="35"/>
        <v>7.0389872588874081E-3</v>
      </c>
      <c r="K129" s="3">
        <f t="shared" si="36"/>
        <v>1.9247219846023622E-3</v>
      </c>
      <c r="L129" s="3">
        <f t="shared" si="37"/>
        <v>1.5549650624938405E-2</v>
      </c>
      <c r="M129" s="3">
        <f t="shared" si="38"/>
        <v>-2.2407547805576633E-2</v>
      </c>
      <c r="O129">
        <v>125</v>
      </c>
      <c r="P129" s="8">
        <v>-0.46855823722953127</v>
      </c>
      <c r="Q129" s="8">
        <v>-0.24310812231152448</v>
      </c>
      <c r="R129" s="8">
        <v>-6.9346351300541967E-2</v>
      </c>
      <c r="S129" s="8">
        <v>-2.8575899788326562</v>
      </c>
      <c r="T129" s="8">
        <v>1.0119382233576311</v>
      </c>
      <c r="V129">
        <v>125</v>
      </c>
      <c r="W129">
        <v>-0.46855823722953127</v>
      </c>
      <c r="X129">
        <v>-3.2948771398670536E-2</v>
      </c>
      <c r="Y129">
        <v>-0.13152650365689844</v>
      </c>
      <c r="Z129">
        <v>-2.8726424369622605</v>
      </c>
      <c r="AA129">
        <v>1.4339825151570111</v>
      </c>
      <c r="AQ129">
        <v>125</v>
      </c>
      <c r="AR129" s="21">
        <f t="shared" si="24"/>
        <v>2355.1023327960615</v>
      </c>
      <c r="AS129" s="21">
        <f t="shared" si="25"/>
        <v>2366.6907063398285</v>
      </c>
      <c r="AT129" s="21">
        <f t="shared" si="26"/>
        <v>2363.9809943042173</v>
      </c>
      <c r="AU129" s="21">
        <f t="shared" si="27"/>
        <v>2289.9131098110824</v>
      </c>
      <c r="AV129" s="21">
        <f t="shared" si="28"/>
        <v>2407.365376116009</v>
      </c>
      <c r="BE129">
        <v>125</v>
      </c>
      <c r="BF129" s="3">
        <f t="shared" si="29"/>
        <v>5.0025988252633087E-3</v>
      </c>
      <c r="BG129" s="3">
        <f t="shared" si="30"/>
        <v>-1.624101200509139E-3</v>
      </c>
      <c r="BH129" s="3">
        <f t="shared" si="31"/>
        <v>-8.1596992385997956E-3</v>
      </c>
      <c r="BI129" s="3">
        <f t="shared" si="32"/>
        <v>-2.9473169924711461E-2</v>
      </c>
      <c r="BJ129" s="3">
        <f t="shared" si="33"/>
        <v>1.3941051418271865E-2</v>
      </c>
      <c r="BL129">
        <v>125</v>
      </c>
      <c r="BM129" s="3">
        <v>2.088337569783298E-4</v>
      </c>
    </row>
    <row r="130" spans="1:65" x14ac:dyDescent="0.3">
      <c r="A130" s="2">
        <v>45903</v>
      </c>
      <c r="B130">
        <v>2664.7</v>
      </c>
      <c r="C130">
        <v>3690.6</v>
      </c>
      <c r="D130">
        <v>1397</v>
      </c>
      <c r="E130">
        <v>3097.5</v>
      </c>
      <c r="F130">
        <v>3286</v>
      </c>
      <c r="H130" s="2">
        <v>45903</v>
      </c>
      <c r="I130" s="3">
        <f t="shared" si="34"/>
        <v>-7.1251781294534577E-4</v>
      </c>
      <c r="J130" s="3">
        <f t="shared" si="35"/>
        <v>-1.3546097369343535E-4</v>
      </c>
      <c r="K130" s="3">
        <f t="shared" si="36"/>
        <v>-6.0476698683742391E-3</v>
      </c>
      <c r="L130" s="3">
        <f t="shared" si="37"/>
        <v>5.8145169105539019E-4</v>
      </c>
      <c r="M130" s="3">
        <f t="shared" si="38"/>
        <v>-5.6153956627890245E-2</v>
      </c>
      <c r="O130">
        <v>126</v>
      </c>
      <c r="P130" s="8">
        <v>9.572616535416191E-2</v>
      </c>
      <c r="Q130" s="8">
        <v>-0.17107047154390753</v>
      </c>
      <c r="R130" s="8">
        <v>-0.63419771175122375</v>
      </c>
      <c r="S130" s="8">
        <v>-0.83689852759391747</v>
      </c>
      <c r="T130" s="8">
        <v>0.35508626570024349</v>
      </c>
      <c r="V130">
        <v>126</v>
      </c>
      <c r="W130">
        <v>9.572616535416191E-2</v>
      </c>
      <c r="X130">
        <v>-3.7780077483681153E-2</v>
      </c>
      <c r="Y130">
        <v>-0.65332088642643826</v>
      </c>
      <c r="Z130">
        <v>-0.86904476604115399</v>
      </c>
      <c r="AA130">
        <v>0.53242332192772257</v>
      </c>
      <c r="AQ130">
        <v>126</v>
      </c>
      <c r="AR130" s="21">
        <f t="shared" si="24"/>
        <v>2370.5863031530012</v>
      </c>
      <c r="AS130" s="21">
        <f t="shared" si="25"/>
        <v>2366.5554502830664</v>
      </c>
      <c r="AT130" s="21">
        <f t="shared" si="26"/>
        <v>2349.6992012551141</v>
      </c>
      <c r="AU130" s="21">
        <f t="shared" si="27"/>
        <v>2343.822617257646</v>
      </c>
      <c r="AV130" s="21">
        <f t="shared" si="28"/>
        <v>2382.2829308721662</v>
      </c>
      <c r="BE130">
        <v>126</v>
      </c>
      <c r="BF130" s="3">
        <f t="shared" si="29"/>
        <v>6.5531299080726227E-3</v>
      </c>
      <c r="BG130" s="3">
        <f t="shared" si="30"/>
        <v>-5.7151499129054211E-5</v>
      </c>
      <c r="BH130" s="3">
        <f t="shared" si="31"/>
        <v>-6.059739379579974E-3</v>
      </c>
      <c r="BI130" s="3">
        <f t="shared" si="32"/>
        <v>2.326932008752702E-2</v>
      </c>
      <c r="BJ130" s="3">
        <f t="shared" si="33"/>
        <v>-1.0473702003926754E-2</v>
      </c>
      <c r="BL130">
        <v>126</v>
      </c>
      <c r="BM130" s="3">
        <v>5.8738135277071205E-4</v>
      </c>
    </row>
    <row r="131" spans="1:65" x14ac:dyDescent="0.3">
      <c r="A131" s="2">
        <v>45902</v>
      </c>
      <c r="B131">
        <v>2677</v>
      </c>
      <c r="C131">
        <v>3620.6</v>
      </c>
      <c r="D131">
        <v>1394.2</v>
      </c>
      <c r="E131">
        <v>3111.5</v>
      </c>
      <c r="F131">
        <v>3234.5</v>
      </c>
      <c r="H131" s="2">
        <v>45902</v>
      </c>
      <c r="I131" s="3">
        <f t="shared" si="34"/>
        <v>4.6159042293691943E-3</v>
      </c>
      <c r="J131" s="3">
        <f t="shared" si="35"/>
        <v>-1.8967105619682401E-2</v>
      </c>
      <c r="K131" s="3">
        <f t="shared" si="36"/>
        <v>-2.0042949176807268E-3</v>
      </c>
      <c r="L131" s="3">
        <f t="shared" si="37"/>
        <v>4.5197740112994378E-3</v>
      </c>
      <c r="M131" s="3">
        <f t="shared" si="38"/>
        <v>-1.5672550213024938E-2</v>
      </c>
      <c r="O131">
        <v>127</v>
      </c>
      <c r="P131" s="8">
        <v>0.17359495760277194</v>
      </c>
      <c r="Q131" s="8">
        <v>-1.3484980215603901</v>
      </c>
      <c r="R131" s="8">
        <v>-2.1078246362429405</v>
      </c>
      <c r="S131" s="8">
        <v>-1.406265875288055</v>
      </c>
      <c r="T131" s="8">
        <v>0.58604597714297946</v>
      </c>
      <c r="V131">
        <v>127</v>
      </c>
      <c r="W131">
        <v>0.17359495760277194</v>
      </c>
      <c r="X131">
        <v>-0.27787861076020642</v>
      </c>
      <c r="Y131">
        <v>-2.3404579160898344</v>
      </c>
      <c r="Z131">
        <v>-1.6541450370583684</v>
      </c>
      <c r="AA131">
        <v>0.73153314216469345</v>
      </c>
      <c r="AQ131">
        <v>127</v>
      </c>
      <c r="AR131" s="21">
        <f t="shared" si="24"/>
        <v>2372.7308640982942</v>
      </c>
      <c r="AS131" s="21">
        <f t="shared" si="25"/>
        <v>2359.9655544964489</v>
      </c>
      <c r="AT131" s="21">
        <f t="shared" si="26"/>
        <v>2304.1101652706916</v>
      </c>
      <c r="AU131" s="21">
        <f t="shared" si="27"/>
        <v>2322.5568567366931</v>
      </c>
      <c r="AV131" s="21">
        <f t="shared" si="28"/>
        <v>2387.801328576661</v>
      </c>
      <c r="BE131">
        <v>127</v>
      </c>
      <c r="BF131" s="3">
        <f t="shared" si="29"/>
        <v>9.0424528480882878E-4</v>
      </c>
      <c r="BG131" s="3">
        <f t="shared" si="30"/>
        <v>-2.7884780581706251E-3</v>
      </c>
      <c r="BH131" s="3">
        <f t="shared" si="31"/>
        <v>-1.9592764019347148E-2</v>
      </c>
      <c r="BI131" s="3">
        <f t="shared" si="32"/>
        <v>-9.1145213797829052E-3</v>
      </c>
      <c r="BJ131" s="3">
        <f t="shared" si="33"/>
        <v>2.3137537478248025E-3</v>
      </c>
      <c r="BL131">
        <v>127</v>
      </c>
      <c r="BM131" s="3">
        <v>6.8083713259509083E-4</v>
      </c>
    </row>
    <row r="132" spans="1:65" x14ac:dyDescent="0.3">
      <c r="A132" s="2">
        <v>45901</v>
      </c>
      <c r="B132">
        <v>2649.5</v>
      </c>
      <c r="C132">
        <v>3618.6</v>
      </c>
      <c r="D132">
        <v>1411</v>
      </c>
      <c r="E132">
        <v>3112.6</v>
      </c>
      <c r="F132">
        <v>3315.4</v>
      </c>
      <c r="H132" s="2">
        <v>45901</v>
      </c>
      <c r="I132" s="3">
        <f t="shared" si="34"/>
        <v>-1.0272693313410519E-2</v>
      </c>
      <c r="J132" s="3">
        <f t="shared" si="35"/>
        <v>-5.5239463072420669E-4</v>
      </c>
      <c r="K132" s="3">
        <f t="shared" si="36"/>
        <v>1.2049921101707106E-2</v>
      </c>
      <c r="L132" s="3">
        <f t="shared" si="37"/>
        <v>3.5352723766668426E-4</v>
      </c>
      <c r="M132" s="3">
        <f t="shared" si="38"/>
        <v>2.5011593754830752E-2</v>
      </c>
      <c r="O132">
        <v>128</v>
      </c>
      <c r="P132" s="8">
        <v>1.2292677342871829</v>
      </c>
      <c r="Q132" s="8">
        <v>0.99151312909538503</v>
      </c>
      <c r="R132" s="8">
        <v>-0.30476524413067452</v>
      </c>
      <c r="S132" s="8">
        <v>0.24987959617021499</v>
      </c>
      <c r="T132" s="8">
        <v>-0.24227010686630754</v>
      </c>
      <c r="V132">
        <v>128</v>
      </c>
      <c r="W132">
        <v>1.2292677342871829</v>
      </c>
      <c r="X132">
        <v>0.15776805278124181</v>
      </c>
      <c r="Y132">
        <v>-5.5443686421815352E-2</v>
      </c>
      <c r="Z132">
        <v>0.42113762355971374</v>
      </c>
      <c r="AA132">
        <v>3.3382112374462813E-2</v>
      </c>
      <c r="AQ132">
        <v>128</v>
      </c>
      <c r="AR132" s="21">
        <f t="shared" si="24"/>
        <v>2401.9990299419915</v>
      </c>
      <c r="AS132" s="21">
        <f t="shared" si="25"/>
        <v>2371.9308780430897</v>
      </c>
      <c r="AT132" s="21">
        <f t="shared" si="26"/>
        <v>2366.0698279144444</v>
      </c>
      <c r="AU132" s="21">
        <f t="shared" si="27"/>
        <v>2379.2025047240531</v>
      </c>
      <c r="AV132" s="21">
        <f t="shared" si="28"/>
        <v>2368.5106678462703</v>
      </c>
      <c r="BE132">
        <v>128</v>
      </c>
      <c r="BF132" s="3">
        <f t="shared" si="29"/>
        <v>1.2259764669641893E-2</v>
      </c>
      <c r="BG132" s="3">
        <f t="shared" si="30"/>
        <v>5.0573165409498388E-3</v>
      </c>
      <c r="BH132" s="3">
        <f t="shared" si="31"/>
        <v>2.6535721708634025E-2</v>
      </c>
      <c r="BI132" s="3">
        <f t="shared" si="32"/>
        <v>2.4096677242043653E-2</v>
      </c>
      <c r="BJ132" s="3">
        <f t="shared" si="33"/>
        <v>-8.1116489078318539E-3</v>
      </c>
      <c r="BL132">
        <v>128</v>
      </c>
      <c r="BM132" s="3">
        <v>7.4984944732779169E-4</v>
      </c>
    </row>
    <row r="133" spans="1:65" x14ac:dyDescent="0.3">
      <c r="A133" s="2">
        <v>45898</v>
      </c>
      <c r="B133">
        <v>2659.8</v>
      </c>
      <c r="C133">
        <v>3628.8</v>
      </c>
      <c r="D133">
        <v>1397.8</v>
      </c>
      <c r="E133">
        <v>3084.7</v>
      </c>
      <c r="F133">
        <v>3199.5</v>
      </c>
      <c r="H133" s="2">
        <v>45898</v>
      </c>
      <c r="I133" s="3">
        <f t="shared" si="34"/>
        <v>3.8875259482922253E-3</v>
      </c>
      <c r="J133" s="3">
        <f t="shared" si="35"/>
        <v>2.8187696899353298E-3</v>
      </c>
      <c r="K133" s="3">
        <f t="shared" si="36"/>
        <v>-9.3550673281360686E-3</v>
      </c>
      <c r="L133" s="3">
        <f t="shared" si="37"/>
        <v>-8.963567435584463E-3</v>
      </c>
      <c r="M133" s="3">
        <f t="shared" si="38"/>
        <v>-3.4958074440489817E-2</v>
      </c>
      <c r="O133">
        <v>129</v>
      </c>
      <c r="P133" s="8">
        <v>-0.64967211701297123</v>
      </c>
      <c r="Q133" s="8">
        <v>0.10892063587386835</v>
      </c>
      <c r="R133" s="8">
        <v>-0.66923021803909322</v>
      </c>
      <c r="S133" s="8">
        <v>0.66914803850782667</v>
      </c>
      <c r="T133" s="8">
        <v>0.68810327790345593</v>
      </c>
      <c r="V133">
        <v>129</v>
      </c>
      <c r="W133">
        <v>-0.64967211701297123</v>
      </c>
      <c r="X133">
        <v>4.4250595063974156E-2</v>
      </c>
      <c r="Y133">
        <v>-0.64770352848805191</v>
      </c>
      <c r="Z133">
        <v>0.64117468725067461</v>
      </c>
      <c r="AA133">
        <v>0.65966755459534743</v>
      </c>
      <c r="AQ133">
        <v>129</v>
      </c>
      <c r="AR133" s="21">
        <f t="shared" ref="AR133:AR196" si="39">$AE$7*EXP($AE$5-($AE$6^2/2)*(AQ133/1000)+($AE$6*W133))</f>
        <v>2350.153352800045</v>
      </c>
      <c r="AS133" s="21">
        <f t="shared" ref="AS133:AS196" si="40">$AE$7*EXP($AE$5-($AE$6^2/2)*(AR133/1000)+($AE$6*X133))</f>
        <v>2368.8142776199543</v>
      </c>
      <c r="AT133" s="21">
        <f t="shared" ref="AT133:AT196" si="41">$AE$7*EXP($AE$5-($AE$6^2/2)*(AS133/1000)+($AE$6*Y133))</f>
        <v>2349.8521332882419</v>
      </c>
      <c r="AU133" s="21">
        <f t="shared" ref="AU133:AU196" si="42">$AE$7*EXP($AE$5-($AE$6^2/2)*(AT133/1000)+($AE$6*Z133))</f>
        <v>2385.2925920608004</v>
      </c>
      <c r="AV133" s="21">
        <f t="shared" ref="AV133:AV196" si="43">$AE$7*EXP($AE$5-($AE$6^2/2)*(AU133/1000)+($AE$6*AA133))</f>
        <v>2385.7992178292488</v>
      </c>
      <c r="BE133">
        <v>129</v>
      </c>
      <c r="BF133" s="3">
        <f t="shared" si="29"/>
        <v>-2.182073726580705E-2</v>
      </c>
      <c r="BG133" s="3">
        <f t="shared" si="30"/>
        <v>-1.3148147684735425E-3</v>
      </c>
      <c r="BH133" s="3">
        <f t="shared" si="31"/>
        <v>-6.8778740154231627E-3</v>
      </c>
      <c r="BI133" s="3">
        <f t="shared" si="32"/>
        <v>2.5564474429333149E-3</v>
      </c>
      <c r="BJ133" s="3">
        <f t="shared" si="33"/>
        <v>7.27282259828023E-3</v>
      </c>
      <c r="BL133">
        <v>129</v>
      </c>
      <c r="BM133" s="3">
        <v>7.7884734610172935E-4</v>
      </c>
    </row>
    <row r="134" spans="1:65" x14ac:dyDescent="0.3">
      <c r="A134" s="2">
        <v>45897</v>
      </c>
      <c r="B134">
        <v>2654.4</v>
      </c>
      <c r="C134">
        <v>3637.7</v>
      </c>
      <c r="D134">
        <v>1399.1</v>
      </c>
      <c r="E134">
        <v>3093.7</v>
      </c>
      <c r="F134">
        <v>3295.3</v>
      </c>
      <c r="H134" s="2">
        <v>45897</v>
      </c>
      <c r="I134" s="3">
        <f t="shared" si="34"/>
        <v>-2.030227836679499E-3</v>
      </c>
      <c r="J134" s="3">
        <f t="shared" si="35"/>
        <v>2.4526014109347294E-3</v>
      </c>
      <c r="K134" s="3">
        <f t="shared" si="36"/>
        <v>9.300329088568482E-4</v>
      </c>
      <c r="L134" s="3">
        <f t="shared" si="37"/>
        <v>2.9176257010405937E-3</v>
      </c>
      <c r="M134" s="3">
        <f t="shared" si="38"/>
        <v>2.9942178465385272E-2</v>
      </c>
      <c r="O134">
        <v>130</v>
      </c>
      <c r="P134" s="8">
        <v>0.25218430757582777</v>
      </c>
      <c r="Q134" s="8">
        <v>0.27550784202782341</v>
      </c>
      <c r="R134" s="8">
        <v>-1.606306706343364</v>
      </c>
      <c r="S134" s="8">
        <v>-5.3573167073574443E-2</v>
      </c>
      <c r="T134" s="8">
        <v>0.3491244604109276</v>
      </c>
      <c r="V134">
        <v>130</v>
      </c>
      <c r="W134">
        <v>0.25218430757582777</v>
      </c>
      <c r="X134">
        <v>4.6904801528091379E-2</v>
      </c>
      <c r="Y134">
        <v>-1.5042685455594151</v>
      </c>
      <c r="Z134">
        <v>-5.1895937173848661E-2</v>
      </c>
      <c r="AA134">
        <v>0.65316087061086037</v>
      </c>
      <c r="AQ134">
        <v>130</v>
      </c>
      <c r="AR134" s="21">
        <f t="shared" si="39"/>
        <v>2374.896917993533</v>
      </c>
      <c r="AS134" s="21">
        <f t="shared" si="40"/>
        <v>2368.8833425940197</v>
      </c>
      <c r="AT134" s="21">
        <f t="shared" si="41"/>
        <v>2326.592761462302</v>
      </c>
      <c r="AU134" s="21">
        <f t="shared" si="42"/>
        <v>2366.1745486378868</v>
      </c>
      <c r="AV134" s="21">
        <f t="shared" si="43"/>
        <v>2385.6220196855761</v>
      </c>
      <c r="BE134">
        <v>130</v>
      </c>
      <c r="BF134" s="3">
        <f t="shared" ref="BF134:BF197" si="44">LN(AR134/AR133)</f>
        <v>1.0473451056966367E-2</v>
      </c>
      <c r="BG134" s="3">
        <f t="shared" ref="BG134:BG197" si="45">LN(AS134/AS133)</f>
        <v>2.9155501092099436E-5</v>
      </c>
      <c r="BH134" s="3">
        <f t="shared" ref="BH134:BH197" si="46">LN(AT134/AT133)</f>
        <v>-9.9475409842034682E-3</v>
      </c>
      <c r="BI134" s="3">
        <f t="shared" ref="BI134:BI197" si="47">LN(AU134/AU133)</f>
        <v>-8.0472603631006473E-3</v>
      </c>
      <c r="BJ134" s="3">
        <f t="shared" ref="BJ134:BJ197" si="48">LN(AV134/AV133)</f>
        <v>-7.4274785198595028E-5</v>
      </c>
      <c r="BL134">
        <v>130</v>
      </c>
      <c r="BM134" s="3">
        <v>8.1415525961665662E-4</v>
      </c>
    </row>
    <row r="135" spans="1:65" x14ac:dyDescent="0.3">
      <c r="A135" s="2">
        <v>45895</v>
      </c>
      <c r="B135">
        <v>2692.6</v>
      </c>
      <c r="C135">
        <v>3594</v>
      </c>
      <c r="D135">
        <v>1416.6</v>
      </c>
      <c r="E135">
        <v>3157.2</v>
      </c>
      <c r="F135">
        <v>3330.8</v>
      </c>
      <c r="H135" s="2">
        <v>45895</v>
      </c>
      <c r="I135" s="3">
        <f t="shared" ref="I135:I198" si="49">B135/B134-1</f>
        <v>1.4391199517781672E-2</v>
      </c>
      <c r="J135" s="3">
        <f t="shared" ref="J135:J198" si="50">C135/C134-1</f>
        <v>-1.2013085191192152E-2</v>
      </c>
      <c r="K135" s="3">
        <f t="shared" ref="K135:K198" si="51">D135/D134-1</f>
        <v>1.2508040883425053E-2</v>
      </c>
      <c r="L135" s="3">
        <f t="shared" ref="L135:L198" si="52">E135/E134-1</f>
        <v>2.0525584251866791E-2</v>
      </c>
      <c r="M135" s="3">
        <f t="shared" ref="M135:M198" si="53">F135/F134-1</f>
        <v>1.0772919005856751E-2</v>
      </c>
      <c r="O135">
        <v>131</v>
      </c>
      <c r="P135" s="8">
        <v>1.0859891064179796</v>
      </c>
      <c r="Q135" s="8">
        <v>-0.24378944600310742</v>
      </c>
      <c r="R135" s="8">
        <v>-0.53809413553427499</v>
      </c>
      <c r="S135" s="8">
        <v>-0.90734720969612259</v>
      </c>
      <c r="T135" s="8">
        <v>1.3168561183066101</v>
      </c>
      <c r="V135">
        <v>131</v>
      </c>
      <c r="W135">
        <v>1.0859891064179796</v>
      </c>
      <c r="X135">
        <v>-8.6414522428420446E-2</v>
      </c>
      <c r="Y135">
        <v>-0.54894243404139376</v>
      </c>
      <c r="Z135">
        <v>-0.92198967259881137</v>
      </c>
      <c r="AA135">
        <v>1.3699795913936432</v>
      </c>
      <c r="AQ135">
        <v>131</v>
      </c>
      <c r="AR135" s="21">
        <f t="shared" si="39"/>
        <v>2398.0050955400216</v>
      </c>
      <c r="AS135" s="21">
        <f t="shared" si="40"/>
        <v>2365.2148101860589</v>
      </c>
      <c r="AT135" s="21">
        <f t="shared" si="41"/>
        <v>2352.5493923499748</v>
      </c>
      <c r="AU135" s="21">
        <f t="shared" si="42"/>
        <v>2342.3814767976505</v>
      </c>
      <c r="AV135" s="21">
        <f t="shared" si="43"/>
        <v>2405.5681725288628</v>
      </c>
      <c r="BE135">
        <v>131</v>
      </c>
      <c r="BF135" s="3">
        <f t="shared" si="44"/>
        <v>9.6831479209230371E-3</v>
      </c>
      <c r="BG135" s="3">
        <f t="shared" si="45"/>
        <v>-1.5498340016967278E-3</v>
      </c>
      <c r="BH135" s="3">
        <f t="shared" si="46"/>
        <v>1.1094724755233411E-2</v>
      </c>
      <c r="BI135" s="3">
        <f t="shared" si="47"/>
        <v>-1.0106399596264647E-2</v>
      </c>
      <c r="BJ135" s="3">
        <f t="shared" si="48"/>
        <v>8.3262267934603468E-3</v>
      </c>
      <c r="BL135">
        <v>131</v>
      </c>
      <c r="BM135" s="3">
        <v>9.8542520213808129E-4</v>
      </c>
    </row>
    <row r="136" spans="1:65" x14ac:dyDescent="0.3">
      <c r="A136" s="2">
        <v>45894</v>
      </c>
      <c r="B136">
        <v>2631.6</v>
      </c>
      <c r="C136">
        <v>3651.4</v>
      </c>
      <c r="D136">
        <v>1433.2</v>
      </c>
      <c r="E136">
        <v>3140.6</v>
      </c>
      <c r="F136">
        <v>3398.9</v>
      </c>
      <c r="H136" s="2">
        <v>45894</v>
      </c>
      <c r="I136" s="3">
        <f t="shared" si="49"/>
        <v>-2.2654683205823423E-2</v>
      </c>
      <c r="J136" s="3">
        <f t="shared" si="50"/>
        <v>1.597106288258221E-2</v>
      </c>
      <c r="K136" s="3">
        <f t="shared" si="51"/>
        <v>1.1718198503459121E-2</v>
      </c>
      <c r="L136" s="3">
        <f t="shared" si="52"/>
        <v>-5.2578233878119995E-3</v>
      </c>
      <c r="M136" s="3">
        <f t="shared" si="53"/>
        <v>2.0445538609343172E-2</v>
      </c>
      <c r="O136">
        <v>132</v>
      </c>
      <c r="P136" s="8">
        <v>0.10328083371018584</v>
      </c>
      <c r="Q136" s="8">
        <v>0.68595429011609532</v>
      </c>
      <c r="R136" s="8">
        <v>-0.53803001242597959</v>
      </c>
      <c r="S136" s="8">
        <v>-1.2389139970009484</v>
      </c>
      <c r="T136" s="8">
        <v>0.30509086055137769</v>
      </c>
      <c r="V136">
        <v>132</v>
      </c>
      <c r="W136">
        <v>0.10328083371018584</v>
      </c>
      <c r="X136">
        <v>0.13477907543236747</v>
      </c>
      <c r="Y136">
        <v>-0.3775401511065461</v>
      </c>
      <c r="Z136">
        <v>-1.1310869751455541</v>
      </c>
      <c r="AA136">
        <v>0.80107946398444962</v>
      </c>
      <c r="AQ136">
        <v>132</v>
      </c>
      <c r="AR136" s="21">
        <f t="shared" si="39"/>
        <v>2370.7933353402159</v>
      </c>
      <c r="AS136" s="21">
        <f t="shared" si="40"/>
        <v>2371.3027001164296</v>
      </c>
      <c r="AT136" s="21">
        <f t="shared" si="41"/>
        <v>2357.2359417347434</v>
      </c>
      <c r="AU136" s="21">
        <f t="shared" si="42"/>
        <v>2336.6996170214475</v>
      </c>
      <c r="AV136" s="21">
        <f t="shared" si="43"/>
        <v>2389.7283636247012</v>
      </c>
      <c r="BE136">
        <v>132</v>
      </c>
      <c r="BF136" s="3">
        <f t="shared" si="44"/>
        <v>-1.141254173173269E-2</v>
      </c>
      <c r="BG136" s="3">
        <f t="shared" si="45"/>
        <v>2.5706199838049027E-3</v>
      </c>
      <c r="BH136" s="3">
        <f t="shared" si="46"/>
        <v>1.9901335619947939E-3</v>
      </c>
      <c r="BI136" s="3">
        <f t="shared" si="47"/>
        <v>-2.428623251023534E-3</v>
      </c>
      <c r="BJ136" s="3">
        <f t="shared" si="48"/>
        <v>-6.6064179326897629E-3</v>
      </c>
      <c r="BL136">
        <v>132</v>
      </c>
      <c r="BM136" s="3">
        <v>1.0024071860346595E-3</v>
      </c>
    </row>
    <row r="137" spans="1:65" x14ac:dyDescent="0.3">
      <c r="A137" s="2">
        <v>45891</v>
      </c>
      <c r="B137">
        <v>2629.9</v>
      </c>
      <c r="C137">
        <v>3621</v>
      </c>
      <c r="D137">
        <v>1436.4</v>
      </c>
      <c r="E137">
        <v>3054</v>
      </c>
      <c r="F137">
        <v>3403</v>
      </c>
      <c r="H137" s="2">
        <v>45891</v>
      </c>
      <c r="I137" s="3">
        <f t="shared" si="49"/>
        <v>-6.4599483204130781E-4</v>
      </c>
      <c r="J137" s="3">
        <f t="shared" si="50"/>
        <v>-8.3255737525332885E-3</v>
      </c>
      <c r="K137" s="3">
        <f t="shared" si="51"/>
        <v>2.2327658386827043E-3</v>
      </c>
      <c r="L137" s="3">
        <f t="shared" si="52"/>
        <v>-2.7574348850538111E-2</v>
      </c>
      <c r="M137" s="3">
        <f t="shared" si="53"/>
        <v>1.2062726176116367E-3</v>
      </c>
      <c r="O137">
        <v>133</v>
      </c>
      <c r="P137" s="8">
        <v>-0.81686658201408724</v>
      </c>
      <c r="Q137" s="8">
        <v>0.80667722703570111</v>
      </c>
      <c r="R137" s="8">
        <v>0.20508903041604803</v>
      </c>
      <c r="S137" s="8">
        <v>0.75254188218500062</v>
      </c>
      <c r="T137" s="8">
        <v>-0.25590258352418704</v>
      </c>
      <c r="V137">
        <v>133</v>
      </c>
      <c r="W137">
        <v>-0.81686658201408724</v>
      </c>
      <c r="X137">
        <v>0.19068818278089497</v>
      </c>
      <c r="Y137">
        <v>0.34995398013411333</v>
      </c>
      <c r="Z137">
        <v>0.85261453385776309</v>
      </c>
      <c r="AA137">
        <v>-0.15143145511895967</v>
      </c>
      <c r="AQ137">
        <v>133</v>
      </c>
      <c r="AR137" s="21">
        <f t="shared" si="39"/>
        <v>2345.5939075424858</v>
      </c>
      <c r="AS137" s="21">
        <f t="shared" si="40"/>
        <v>2372.8468919940087</v>
      </c>
      <c r="AT137" s="21">
        <f t="shared" si="41"/>
        <v>2377.2354010647055</v>
      </c>
      <c r="AU137" s="21">
        <f t="shared" si="42"/>
        <v>2391.152487863993</v>
      </c>
      <c r="AV137" s="21">
        <f t="shared" si="43"/>
        <v>2363.4306964091406</v>
      </c>
      <c r="BE137">
        <v>133</v>
      </c>
      <c r="BF137" s="3">
        <f t="shared" si="44"/>
        <v>-1.0686004475272451E-2</v>
      </c>
      <c r="BG137" s="3">
        <f t="shared" si="45"/>
        <v>6.5098787554303988E-4</v>
      </c>
      <c r="BH137" s="3">
        <f t="shared" si="46"/>
        <v>8.448494811905698E-3</v>
      </c>
      <c r="BI137" s="3">
        <f t="shared" si="47"/>
        <v>2.30359484970541E-2</v>
      </c>
      <c r="BJ137" s="3">
        <f t="shared" si="48"/>
        <v>-1.1065455717417563E-2</v>
      </c>
      <c r="BL137">
        <v>133</v>
      </c>
      <c r="BM137" s="3">
        <v>1.0268133882354209E-3</v>
      </c>
    </row>
    <row r="138" spans="1:65" x14ac:dyDescent="0.3">
      <c r="A138" s="2">
        <v>45890</v>
      </c>
      <c r="B138">
        <v>2648</v>
      </c>
      <c r="C138">
        <v>3616.3</v>
      </c>
      <c r="D138">
        <v>1446</v>
      </c>
      <c r="E138">
        <v>3102.6</v>
      </c>
      <c r="F138">
        <v>3375.1</v>
      </c>
      <c r="H138" s="2">
        <v>45890</v>
      </c>
      <c r="I138" s="3">
        <f t="shared" si="49"/>
        <v>6.8823909654358584E-3</v>
      </c>
      <c r="J138" s="3">
        <f t="shared" si="50"/>
        <v>-1.2979839823252792E-3</v>
      </c>
      <c r="K138" s="3">
        <f t="shared" si="51"/>
        <v>6.6833751044277356E-3</v>
      </c>
      <c r="L138" s="3">
        <f t="shared" si="52"/>
        <v>1.5913555992141504E-2</v>
      </c>
      <c r="M138" s="3">
        <f t="shared" si="53"/>
        <v>-8.1986482515428172E-3</v>
      </c>
      <c r="O138">
        <v>134</v>
      </c>
      <c r="P138" s="8">
        <v>0.71946256213090876</v>
      </c>
      <c r="Q138" s="8">
        <v>0.4968670043520616</v>
      </c>
      <c r="R138" s="8">
        <v>-0.42003772217277874</v>
      </c>
      <c r="S138" s="8">
        <v>0.77731681865686553</v>
      </c>
      <c r="T138" s="8">
        <v>-0.98928849061281543</v>
      </c>
      <c r="V138">
        <v>134</v>
      </c>
      <c r="W138">
        <v>0.71946256213090876</v>
      </c>
      <c r="X138">
        <v>7.5511823140991155E-2</v>
      </c>
      <c r="Y138">
        <v>-0.28622564755488183</v>
      </c>
      <c r="Z138">
        <v>0.84953763339423272</v>
      </c>
      <c r="AA138">
        <v>-0.87126783821921683</v>
      </c>
      <c r="AQ138">
        <v>134</v>
      </c>
      <c r="AR138" s="21">
        <f t="shared" si="39"/>
        <v>2387.8190091734846</v>
      </c>
      <c r="AS138" s="21">
        <f t="shared" si="40"/>
        <v>2369.6684026036442</v>
      </c>
      <c r="AT138" s="21">
        <f t="shared" si="41"/>
        <v>2359.7372860016922</v>
      </c>
      <c r="AU138" s="21">
        <f t="shared" si="42"/>
        <v>2391.0698678959716</v>
      </c>
      <c r="AV138" s="21">
        <f t="shared" si="43"/>
        <v>2343.7555685375551</v>
      </c>
      <c r="BE138">
        <v>134</v>
      </c>
      <c r="BF138" s="3">
        <f t="shared" si="44"/>
        <v>1.7841765546117626E-2</v>
      </c>
      <c r="BG138" s="3">
        <f t="shared" si="45"/>
        <v>-1.3404236650091349E-3</v>
      </c>
      <c r="BH138" s="3">
        <f t="shared" si="46"/>
        <v>-7.3879229660863376E-3</v>
      </c>
      <c r="BI138" s="3">
        <f t="shared" si="47"/>
        <v>-3.455295964230688E-5</v>
      </c>
      <c r="BJ138" s="3">
        <f t="shared" si="48"/>
        <v>-8.3596617364662101E-3</v>
      </c>
      <c r="BL138">
        <v>134</v>
      </c>
      <c r="BM138" s="3">
        <v>1.0836410552229085E-3</v>
      </c>
    </row>
    <row r="139" spans="1:65" x14ac:dyDescent="0.3">
      <c r="A139" s="2">
        <v>45889</v>
      </c>
      <c r="B139">
        <v>2669.8</v>
      </c>
      <c r="C139">
        <v>3595</v>
      </c>
      <c r="D139">
        <v>1430.6</v>
      </c>
      <c r="E139">
        <v>3098.6</v>
      </c>
      <c r="F139">
        <v>3395.6</v>
      </c>
      <c r="H139" s="2">
        <v>45889</v>
      </c>
      <c r="I139" s="3">
        <f t="shared" si="49"/>
        <v>8.232628398791686E-3</v>
      </c>
      <c r="J139" s="3">
        <f t="shared" si="50"/>
        <v>-5.8899980643198901E-3</v>
      </c>
      <c r="K139" s="3">
        <f t="shared" si="51"/>
        <v>-1.0650069156293296E-2</v>
      </c>
      <c r="L139" s="3">
        <f t="shared" si="52"/>
        <v>-1.2892412815058707E-3</v>
      </c>
      <c r="M139" s="3">
        <f t="shared" si="53"/>
        <v>6.0738941068412267E-3</v>
      </c>
      <c r="O139">
        <v>135</v>
      </c>
      <c r="P139" s="8">
        <v>0.83898792331762551</v>
      </c>
      <c r="Q139" s="8">
        <v>0.51730566524404664</v>
      </c>
      <c r="R139" s="8">
        <v>1.6348774892679485</v>
      </c>
      <c r="S139" s="8">
        <v>-0.49913670242175212</v>
      </c>
      <c r="T139" s="8">
        <v>-0.14836852624702529</v>
      </c>
      <c r="V139">
        <v>135</v>
      </c>
      <c r="W139">
        <v>0.83898792331762551</v>
      </c>
      <c r="X139">
        <v>7.5532973723098182E-2</v>
      </c>
      <c r="Y139">
        <v>1.7287482817837343</v>
      </c>
      <c r="Z139">
        <v>-0.34352473747328072</v>
      </c>
      <c r="AA139">
        <v>-0.16283283737223275</v>
      </c>
      <c r="AQ139">
        <v>135</v>
      </c>
      <c r="AR139" s="21">
        <f t="shared" si="39"/>
        <v>2391.1356390604024</v>
      </c>
      <c r="AS139" s="21">
        <f t="shared" si="40"/>
        <v>2369.6684546733636</v>
      </c>
      <c r="AT139" s="21">
        <f t="shared" si="41"/>
        <v>2415.6073981909881</v>
      </c>
      <c r="AU139" s="21">
        <f t="shared" si="42"/>
        <v>2358.1602611025719</v>
      </c>
      <c r="AV139" s="21">
        <f t="shared" si="43"/>
        <v>2363.1230385716208</v>
      </c>
      <c r="BE139">
        <v>135</v>
      </c>
      <c r="BF139" s="3">
        <f t="shared" si="44"/>
        <v>1.3880150214961003E-3</v>
      </c>
      <c r="BG139" s="3">
        <f t="shared" si="45"/>
        <v>2.1973419953083178E-8</v>
      </c>
      <c r="BH139" s="3">
        <f t="shared" si="46"/>
        <v>2.3400472768892219E-2</v>
      </c>
      <c r="BI139" s="3">
        <f t="shared" si="47"/>
        <v>-1.3859144602236929E-2</v>
      </c>
      <c r="BJ139" s="3">
        <f t="shared" si="48"/>
        <v>8.2294790049434723E-3</v>
      </c>
      <c r="BL139">
        <v>135</v>
      </c>
      <c r="BM139" s="3">
        <v>1.1540472198360017E-3</v>
      </c>
    </row>
    <row r="140" spans="1:65" x14ac:dyDescent="0.3">
      <c r="A140" s="2">
        <v>45888</v>
      </c>
      <c r="B140">
        <v>2604.8000000000002</v>
      </c>
      <c r="C140">
        <v>3568.1</v>
      </c>
      <c r="D140">
        <v>1436.3</v>
      </c>
      <c r="E140">
        <v>3016.2</v>
      </c>
      <c r="F140">
        <v>3354</v>
      </c>
      <c r="H140" s="2">
        <v>45888</v>
      </c>
      <c r="I140" s="3">
        <f t="shared" si="49"/>
        <v>-2.4346392988238819E-2</v>
      </c>
      <c r="J140" s="3">
        <f t="shared" si="50"/>
        <v>-7.4826147426981793E-3</v>
      </c>
      <c r="K140" s="3">
        <f t="shared" si="51"/>
        <v>3.9843422340277712E-3</v>
      </c>
      <c r="L140" s="3">
        <f t="shared" si="52"/>
        <v>-2.6592654747305211E-2</v>
      </c>
      <c r="M140" s="3">
        <f t="shared" si="53"/>
        <v>-1.225114854517606E-2</v>
      </c>
      <c r="O140">
        <v>136</v>
      </c>
      <c r="P140" s="8">
        <v>0.10988799851859408</v>
      </c>
      <c r="Q140" s="8">
        <v>-0.56229672758923455</v>
      </c>
      <c r="R140" s="8">
        <v>-0.3938719414624407</v>
      </c>
      <c r="S140" s="8">
        <v>0.76998961553033651</v>
      </c>
      <c r="T140" s="8">
        <v>-1.5907742245551284</v>
      </c>
      <c r="V140">
        <v>136</v>
      </c>
      <c r="W140">
        <v>0.10988799851859408</v>
      </c>
      <c r="X140">
        <v>-0.11715633731068965</v>
      </c>
      <c r="Y140">
        <v>-0.50108271299432061</v>
      </c>
      <c r="Z140">
        <v>0.6648019897898787</v>
      </c>
      <c r="AA140">
        <v>-1.7244080315168047</v>
      </c>
      <c r="AQ140">
        <v>136</v>
      </c>
      <c r="AR140" s="21">
        <f t="shared" si="39"/>
        <v>2370.9746159065803</v>
      </c>
      <c r="AS140" s="21">
        <f t="shared" si="40"/>
        <v>2364.3748568885267</v>
      </c>
      <c r="AT140" s="21">
        <f t="shared" si="41"/>
        <v>2353.8574566106772</v>
      </c>
      <c r="AU140" s="21">
        <f t="shared" si="42"/>
        <v>2385.9465394655153</v>
      </c>
      <c r="AV140" s="21">
        <f t="shared" si="43"/>
        <v>2320.649652872843</v>
      </c>
      <c r="BE140">
        <v>136</v>
      </c>
      <c r="BF140" s="3">
        <f t="shared" si="44"/>
        <v>-8.4673149207628584E-3</v>
      </c>
      <c r="BG140" s="3">
        <f t="shared" si="45"/>
        <v>-2.2363969413727205E-3</v>
      </c>
      <c r="BH140" s="3">
        <f t="shared" si="46"/>
        <v>-2.5895312805792978E-2</v>
      </c>
      <c r="BI140" s="3">
        <f t="shared" si="47"/>
        <v>1.1714152850931149E-2</v>
      </c>
      <c r="BJ140" s="3">
        <f t="shared" si="48"/>
        <v>-1.8136896378888521E-2</v>
      </c>
      <c r="BL140">
        <v>136</v>
      </c>
      <c r="BM140" s="3">
        <v>1.1678158493423317E-3</v>
      </c>
    </row>
    <row r="141" spans="1:65" x14ac:dyDescent="0.3">
      <c r="A141" s="2">
        <v>45887</v>
      </c>
      <c r="B141">
        <v>2568.1</v>
      </c>
      <c r="C141">
        <v>3554.8</v>
      </c>
      <c r="D141">
        <v>1434.6</v>
      </c>
      <c r="E141">
        <v>3011.2</v>
      </c>
      <c r="F141">
        <v>3383.1</v>
      </c>
      <c r="H141" s="2">
        <v>45887</v>
      </c>
      <c r="I141" s="3">
        <f t="shared" si="49"/>
        <v>-1.4089373464373556E-2</v>
      </c>
      <c r="J141" s="3">
        <f t="shared" si="50"/>
        <v>-3.7274740057733347E-3</v>
      </c>
      <c r="K141" s="3">
        <f t="shared" si="51"/>
        <v>-1.1835967416278237E-3</v>
      </c>
      <c r="L141" s="3">
        <f t="shared" si="52"/>
        <v>-1.6577150056362733E-3</v>
      </c>
      <c r="M141" s="3">
        <f t="shared" si="53"/>
        <v>8.6762075134168004E-3</v>
      </c>
      <c r="O141">
        <v>137</v>
      </c>
      <c r="P141" s="8">
        <v>-1.3874806511427979</v>
      </c>
      <c r="Q141" s="8">
        <v>0.6108818994056292</v>
      </c>
      <c r="R141" s="8">
        <v>0.80665430681304739</v>
      </c>
      <c r="S141" s="8">
        <v>1.1310607673632584</v>
      </c>
      <c r="T141" s="8">
        <v>0.2618258507179827</v>
      </c>
      <c r="V141">
        <v>137</v>
      </c>
      <c r="W141">
        <v>-1.3874806511427979</v>
      </c>
      <c r="X141">
        <v>0.17078099627928556</v>
      </c>
      <c r="Y141">
        <v>0.88122124846542249</v>
      </c>
      <c r="Z141">
        <v>1.1997237353204029</v>
      </c>
      <c r="AA141">
        <v>0.11971998220797496</v>
      </c>
      <c r="AQ141">
        <v>137</v>
      </c>
      <c r="AR141" s="21">
        <f t="shared" si="39"/>
        <v>2330.1011065099478</v>
      </c>
      <c r="AS141" s="21">
        <f t="shared" si="40"/>
        <v>2372.3008603776884</v>
      </c>
      <c r="AT141" s="21">
        <f t="shared" si="41"/>
        <v>2391.9477997116937</v>
      </c>
      <c r="AU141" s="21">
        <f t="shared" si="42"/>
        <v>2400.8084847065384</v>
      </c>
      <c r="AV141" s="21">
        <f t="shared" si="43"/>
        <v>2370.883230922263</v>
      </c>
      <c r="BE141">
        <v>137</v>
      </c>
      <c r="BF141" s="3">
        <f t="shared" si="44"/>
        <v>-1.7389440967292696E-2</v>
      </c>
      <c r="BG141" s="3">
        <f t="shared" si="45"/>
        <v>3.3466554858039479E-3</v>
      </c>
      <c r="BH141" s="3">
        <f t="shared" si="46"/>
        <v>1.6052559673923803E-2</v>
      </c>
      <c r="BI141" s="3">
        <f t="shared" si="47"/>
        <v>6.2096317533443853E-3</v>
      </c>
      <c r="BJ141" s="3">
        <f t="shared" si="48"/>
        <v>2.1415387728391244E-2</v>
      </c>
      <c r="BL141">
        <v>137</v>
      </c>
      <c r="BM141" s="3">
        <v>1.2096239169309404E-3</v>
      </c>
    </row>
    <row r="142" spans="1:65" x14ac:dyDescent="0.3">
      <c r="A142" s="2">
        <v>45883</v>
      </c>
      <c r="B142">
        <v>2480.6</v>
      </c>
      <c r="C142">
        <v>3489.4</v>
      </c>
      <c r="D142">
        <v>1427.3</v>
      </c>
      <c r="E142">
        <v>3022.3</v>
      </c>
      <c r="F142">
        <v>3265.4</v>
      </c>
      <c r="H142" s="2">
        <v>45883</v>
      </c>
      <c r="I142" s="3">
        <f t="shared" si="49"/>
        <v>-3.4071881936061699E-2</v>
      </c>
      <c r="J142" s="3">
        <f t="shared" si="50"/>
        <v>-1.8397659502644381E-2</v>
      </c>
      <c r="K142" s="3">
        <f t="shared" si="51"/>
        <v>-5.0885264185138723E-3</v>
      </c>
      <c r="L142" s="3">
        <f t="shared" si="52"/>
        <v>3.6862380446334164E-3</v>
      </c>
      <c r="M142" s="3">
        <f t="shared" si="53"/>
        <v>-3.4790576690017949E-2</v>
      </c>
      <c r="O142">
        <v>138</v>
      </c>
      <c r="P142" s="8">
        <v>0.78127395937858612</v>
      </c>
      <c r="Q142" s="8">
        <v>1.0888088807513949</v>
      </c>
      <c r="R142" s="8">
        <v>0.45081800997892452</v>
      </c>
      <c r="S142" s="8">
        <v>-1.5227168784120644</v>
      </c>
      <c r="T142" s="8">
        <v>0.93555185256606532</v>
      </c>
      <c r="V142">
        <v>138</v>
      </c>
      <c r="W142">
        <v>0.78127395937858612</v>
      </c>
      <c r="X142">
        <v>0.19275597411820602</v>
      </c>
      <c r="Y142">
        <v>0.69161272561895337</v>
      </c>
      <c r="Z142">
        <v>-1.3028639784719014</v>
      </c>
      <c r="AA142">
        <v>1.3856792129700857</v>
      </c>
      <c r="AQ142">
        <v>138</v>
      </c>
      <c r="AR142" s="21">
        <f t="shared" si="39"/>
        <v>2389.5330366100625</v>
      </c>
      <c r="AS142" s="21">
        <f t="shared" si="40"/>
        <v>2372.8968429760921</v>
      </c>
      <c r="AT142" s="21">
        <f t="shared" si="41"/>
        <v>2386.6864810693214</v>
      </c>
      <c r="AU142" s="21">
        <f t="shared" si="42"/>
        <v>2332.0381598121862</v>
      </c>
      <c r="AV142" s="21">
        <f t="shared" si="43"/>
        <v>2406.0084840506802</v>
      </c>
      <c r="BE142">
        <v>138</v>
      </c>
      <c r="BF142" s="3">
        <f t="shared" si="44"/>
        <v>2.5186304694260409E-2</v>
      </c>
      <c r="BG142" s="3">
        <f t="shared" si="45"/>
        <v>2.5119400235585411E-4</v>
      </c>
      <c r="BH142" s="3">
        <f t="shared" si="46"/>
        <v>-2.2020185932594563E-3</v>
      </c>
      <c r="BI142" s="3">
        <f t="shared" si="47"/>
        <v>-2.9062917343937161E-2</v>
      </c>
      <c r="BJ142" s="3">
        <f t="shared" si="48"/>
        <v>1.4706586754308472E-2</v>
      </c>
      <c r="BL142">
        <v>138</v>
      </c>
      <c r="BM142" s="3">
        <v>1.2491428477544421E-3</v>
      </c>
    </row>
    <row r="143" spans="1:65" x14ac:dyDescent="0.3">
      <c r="A143" s="2">
        <v>45882</v>
      </c>
      <c r="B143">
        <v>2495.1</v>
      </c>
      <c r="C143">
        <v>3466.8</v>
      </c>
      <c r="D143">
        <v>1420.8</v>
      </c>
      <c r="E143">
        <v>3036.2</v>
      </c>
      <c r="F143">
        <v>3282.2</v>
      </c>
      <c r="H143" s="2">
        <v>45882</v>
      </c>
      <c r="I143" s="3">
        <f t="shared" si="49"/>
        <v>5.8453599935499589E-3</v>
      </c>
      <c r="J143" s="3">
        <f t="shared" si="50"/>
        <v>-6.4767581819223929E-3</v>
      </c>
      <c r="K143" s="3">
        <f t="shared" si="51"/>
        <v>-4.5540531072654211E-3</v>
      </c>
      <c r="L143" s="3">
        <f t="shared" si="52"/>
        <v>4.5991463454984061E-3</v>
      </c>
      <c r="M143" s="3">
        <f t="shared" si="53"/>
        <v>5.144852085502416E-3</v>
      </c>
      <c r="O143">
        <v>139</v>
      </c>
      <c r="P143" s="8">
        <v>1.3808206826954028</v>
      </c>
      <c r="Q143" s="8">
        <v>-0.58672429672693305</v>
      </c>
      <c r="R143" s="8">
        <v>2.3577772205544383</v>
      </c>
      <c r="S143" s="8">
        <v>-0.34532518170697812</v>
      </c>
      <c r="T143" s="8">
        <v>-0.65166490023774726</v>
      </c>
      <c r="V143">
        <v>139</v>
      </c>
      <c r="W143">
        <v>1.3808206826954028</v>
      </c>
      <c r="X143">
        <v>-0.16568116768204788</v>
      </c>
      <c r="Y143">
        <v>2.2151638585881033</v>
      </c>
      <c r="Z143">
        <v>-0.32636058518698519</v>
      </c>
      <c r="AA143">
        <v>-1.1083465984973433</v>
      </c>
      <c r="AQ143">
        <v>139</v>
      </c>
      <c r="AR143" s="21">
        <f t="shared" si="39"/>
        <v>2406.2285532530345</v>
      </c>
      <c r="AS143" s="21">
        <f t="shared" si="40"/>
        <v>2363.0372116697345</v>
      </c>
      <c r="AT143" s="21">
        <f t="shared" si="41"/>
        <v>2429.29258461159</v>
      </c>
      <c r="AU143" s="21">
        <f t="shared" si="42"/>
        <v>2358.6281886738411</v>
      </c>
      <c r="AV143" s="21">
        <f t="shared" si="43"/>
        <v>2337.3165793516027</v>
      </c>
      <c r="BE143">
        <v>139</v>
      </c>
      <c r="BF143" s="3">
        <f t="shared" si="44"/>
        <v>6.9626413981187987E-3</v>
      </c>
      <c r="BG143" s="3">
        <f t="shared" si="45"/>
        <v>-4.1637596458071928E-3</v>
      </c>
      <c r="BH143" s="3">
        <f t="shared" si="46"/>
        <v>1.7694103131758558E-2</v>
      </c>
      <c r="BI143" s="3">
        <f t="shared" si="47"/>
        <v>1.1337542135285835E-2</v>
      </c>
      <c r="BJ143" s="3">
        <f t="shared" si="48"/>
        <v>-2.8965633376586492E-2</v>
      </c>
      <c r="BL143">
        <v>139</v>
      </c>
      <c r="BM143" s="3">
        <v>1.4920242479287899E-3</v>
      </c>
    </row>
    <row r="144" spans="1:65" x14ac:dyDescent="0.3">
      <c r="A144" s="2">
        <v>45881</v>
      </c>
      <c r="B144">
        <v>2483.8000000000002</v>
      </c>
      <c r="C144">
        <v>3486.8</v>
      </c>
      <c r="D144">
        <v>1422</v>
      </c>
      <c r="E144">
        <v>3035.4</v>
      </c>
      <c r="F144">
        <v>3236.5</v>
      </c>
      <c r="H144" s="2">
        <v>45881</v>
      </c>
      <c r="I144" s="3">
        <f t="shared" si="49"/>
        <v>-4.5288765981322809E-3</v>
      </c>
      <c r="J144" s="3">
        <f t="shared" si="50"/>
        <v>5.7690088842736742E-3</v>
      </c>
      <c r="K144" s="3">
        <f t="shared" si="51"/>
        <v>8.4459459459451658E-4</v>
      </c>
      <c r="L144" s="3">
        <f t="shared" si="52"/>
        <v>-2.6348725380398452E-4</v>
      </c>
      <c r="M144" s="3">
        <f t="shared" si="53"/>
        <v>-1.3923587837426088E-2</v>
      </c>
      <c r="O144">
        <v>140</v>
      </c>
      <c r="P144" s="8">
        <v>-1.5328782783033759</v>
      </c>
      <c r="Q144" s="8">
        <v>-0.58621853188273465</v>
      </c>
      <c r="R144" s="8">
        <v>-9.8820912786597437E-2</v>
      </c>
      <c r="S144" s="8">
        <v>-0.87248688695601806</v>
      </c>
      <c r="T144" s="8">
        <v>-0.20039162013980119</v>
      </c>
      <c r="V144">
        <v>140</v>
      </c>
      <c r="W144">
        <v>-1.5328782783033759</v>
      </c>
      <c r="X144">
        <v>-6.5625457389840436E-2</v>
      </c>
      <c r="Y144">
        <v>-0.26087888130354731</v>
      </c>
      <c r="Z144">
        <v>-0.99315200740441911</v>
      </c>
      <c r="AA144">
        <v>-0.13274782916928216</v>
      </c>
      <c r="AQ144">
        <v>140</v>
      </c>
      <c r="AR144" s="21">
        <f t="shared" si="39"/>
        <v>2326.1694763343808</v>
      </c>
      <c r="AS144" s="21">
        <f t="shared" si="40"/>
        <v>2365.7973718401859</v>
      </c>
      <c r="AT144" s="21">
        <f t="shared" si="41"/>
        <v>2360.4326150250263</v>
      </c>
      <c r="AU144" s="21">
        <f t="shared" si="42"/>
        <v>2340.4452210328068</v>
      </c>
      <c r="AV144" s="21">
        <f t="shared" si="43"/>
        <v>2363.9516485914146</v>
      </c>
      <c r="BE144">
        <v>140</v>
      </c>
      <c r="BF144" s="3">
        <f t="shared" si="44"/>
        <v>-3.3837692929569535E-2</v>
      </c>
      <c r="BG144" s="3">
        <f t="shared" si="45"/>
        <v>1.1673745127521603E-3</v>
      </c>
      <c r="BH144" s="3">
        <f t="shared" si="46"/>
        <v>-2.8755183836448196E-2</v>
      </c>
      <c r="BI144" s="3">
        <f t="shared" si="47"/>
        <v>-7.7389973753962142E-3</v>
      </c>
      <c r="BJ144" s="3">
        <f t="shared" si="48"/>
        <v>1.1331135740873756E-2</v>
      </c>
      <c r="BL144">
        <v>140</v>
      </c>
      <c r="BM144" s="3">
        <v>1.7000133443379854E-3</v>
      </c>
    </row>
    <row r="145" spans="1:65" x14ac:dyDescent="0.3">
      <c r="A145" s="2">
        <v>45880</v>
      </c>
      <c r="B145">
        <v>2518.4</v>
      </c>
      <c r="C145">
        <v>3467.9</v>
      </c>
      <c r="D145">
        <v>1436.6</v>
      </c>
      <c r="E145">
        <v>3040.8</v>
      </c>
      <c r="F145">
        <v>3186.2</v>
      </c>
      <c r="H145" s="2">
        <v>45880</v>
      </c>
      <c r="I145" s="3">
        <f t="shared" si="49"/>
        <v>1.3930268137531066E-2</v>
      </c>
      <c r="J145" s="3">
        <f t="shared" si="50"/>
        <v>-5.4204428128943327E-3</v>
      </c>
      <c r="K145" s="3">
        <f t="shared" si="51"/>
        <v>1.0267229254570909E-2</v>
      </c>
      <c r="L145" s="3">
        <f t="shared" si="52"/>
        <v>1.7790077090333867E-3</v>
      </c>
      <c r="M145" s="3">
        <f t="shared" si="53"/>
        <v>-1.5541479993820495E-2</v>
      </c>
      <c r="O145">
        <v>141</v>
      </c>
      <c r="P145" s="8">
        <v>0.93514062076586291</v>
      </c>
      <c r="Q145" s="8">
        <v>-0.67798946154819417</v>
      </c>
      <c r="R145" s="8">
        <v>-1.609794068827995</v>
      </c>
      <c r="S145" s="8">
        <v>-0.78417559460643615</v>
      </c>
      <c r="T145" s="8">
        <v>0.58979931471191183</v>
      </c>
      <c r="V145">
        <v>141</v>
      </c>
      <c r="W145">
        <v>0.93514062076586291</v>
      </c>
      <c r="X145">
        <v>-0.16879576605895258</v>
      </c>
      <c r="Y145">
        <v>-1.6918902480266018</v>
      </c>
      <c r="Z145">
        <v>-0.90281549686650464</v>
      </c>
      <c r="AA145">
        <v>0.7158373225291037</v>
      </c>
      <c r="AQ145">
        <v>141</v>
      </c>
      <c r="AR145" s="21">
        <f t="shared" si="39"/>
        <v>2393.8062209950913</v>
      </c>
      <c r="AS145" s="21">
        <f t="shared" si="40"/>
        <v>2362.9537198614457</v>
      </c>
      <c r="AT145" s="21">
        <f t="shared" si="41"/>
        <v>2321.5297842995583</v>
      </c>
      <c r="AU145" s="21">
        <f t="shared" si="42"/>
        <v>2342.908026052678</v>
      </c>
      <c r="AV145" s="21">
        <f t="shared" si="43"/>
        <v>2387.3628432998053</v>
      </c>
      <c r="BE145">
        <v>141</v>
      </c>
      <c r="BF145" s="3">
        <f t="shared" si="44"/>
        <v>2.8661747097734114E-2</v>
      </c>
      <c r="BG145" s="3">
        <f t="shared" si="45"/>
        <v>-1.2027075506301492E-3</v>
      </c>
      <c r="BH145" s="3">
        <f t="shared" si="46"/>
        <v>-1.6618555528723634E-2</v>
      </c>
      <c r="BI145" s="3">
        <f t="shared" si="47"/>
        <v>1.0517273060362501E-3</v>
      </c>
      <c r="BJ145" s="3">
        <f t="shared" si="48"/>
        <v>9.8546977738559055E-3</v>
      </c>
      <c r="BL145">
        <v>141</v>
      </c>
      <c r="BM145" s="3">
        <v>1.7494243042580082E-3</v>
      </c>
    </row>
    <row r="146" spans="1:65" x14ac:dyDescent="0.3">
      <c r="A146" s="2">
        <v>45877</v>
      </c>
      <c r="B146">
        <v>2498.6</v>
      </c>
      <c r="C146">
        <v>3460.2</v>
      </c>
      <c r="D146">
        <v>1435.9</v>
      </c>
      <c r="E146">
        <v>3036.4</v>
      </c>
      <c r="F146">
        <v>3144.2</v>
      </c>
      <c r="H146" s="2">
        <v>45877</v>
      </c>
      <c r="I146" s="3">
        <f t="shared" si="49"/>
        <v>-7.8621346886913468E-3</v>
      </c>
      <c r="J146" s="3">
        <f t="shared" si="50"/>
        <v>-2.2203639089940497E-3</v>
      </c>
      <c r="K146" s="3">
        <f t="shared" si="51"/>
        <v>-4.8726158986478474E-4</v>
      </c>
      <c r="L146" s="3">
        <f t="shared" si="52"/>
        <v>-1.4469876348329747E-3</v>
      </c>
      <c r="M146" s="3">
        <f t="shared" si="53"/>
        <v>-1.3181846713953949E-2</v>
      </c>
      <c r="O146">
        <v>142</v>
      </c>
      <c r="P146" s="8">
        <v>0.62376531380838851</v>
      </c>
      <c r="Q146" s="8">
        <v>-0.93525485011475407</v>
      </c>
      <c r="R146" s="8">
        <v>-1.9436163710781278</v>
      </c>
      <c r="S146" s="8">
        <v>-0.44991792639534411</v>
      </c>
      <c r="T146" s="8">
        <v>0.60205710335742202</v>
      </c>
      <c r="V146">
        <v>142</v>
      </c>
      <c r="W146">
        <v>0.62376531380838851</v>
      </c>
      <c r="X146">
        <v>-0.20999145975404718</v>
      </c>
      <c r="Y146">
        <v>-2.08068101721069</v>
      </c>
      <c r="Z146">
        <v>-0.63012906960427206</v>
      </c>
      <c r="AA146">
        <v>0.64707021159702827</v>
      </c>
      <c r="AQ146">
        <v>142</v>
      </c>
      <c r="AR146" s="21">
        <f t="shared" si="39"/>
        <v>2385.1654706588497</v>
      </c>
      <c r="AS146" s="21">
        <f t="shared" si="40"/>
        <v>2361.8248881158161</v>
      </c>
      <c r="AT146" s="21">
        <f t="shared" si="41"/>
        <v>2311.0715583891188</v>
      </c>
      <c r="AU146" s="21">
        <f t="shared" si="42"/>
        <v>2350.3409324264157</v>
      </c>
      <c r="AV146" s="21">
        <f t="shared" si="43"/>
        <v>2385.455831473806</v>
      </c>
      <c r="BE146">
        <v>142</v>
      </c>
      <c r="BF146" s="3">
        <f t="shared" si="44"/>
        <v>-3.6161585837814034E-3</v>
      </c>
      <c r="BG146" s="3">
        <f t="shared" si="45"/>
        <v>-4.7783477735966227E-4</v>
      </c>
      <c r="BH146" s="3">
        <f t="shared" si="46"/>
        <v>-4.5150630945366638E-3</v>
      </c>
      <c r="BI146" s="3">
        <f t="shared" si="47"/>
        <v>3.1674912854720459E-3</v>
      </c>
      <c r="BJ146" s="3">
        <f t="shared" si="48"/>
        <v>-7.9911350395962615E-4</v>
      </c>
      <c r="BL146">
        <v>142</v>
      </c>
      <c r="BM146" s="3">
        <v>1.7770086863679315E-3</v>
      </c>
    </row>
    <row r="147" spans="1:65" x14ac:dyDescent="0.3">
      <c r="A147" s="2">
        <v>45876</v>
      </c>
      <c r="B147">
        <v>2517.5</v>
      </c>
      <c r="C147">
        <v>3415.7</v>
      </c>
      <c r="D147">
        <v>1440.3</v>
      </c>
      <c r="E147">
        <v>3047</v>
      </c>
      <c r="F147">
        <v>3211.1</v>
      </c>
      <c r="H147" s="2">
        <v>45876</v>
      </c>
      <c r="I147" s="3">
        <f t="shared" si="49"/>
        <v>7.5642359721443952E-3</v>
      </c>
      <c r="J147" s="3">
        <f t="shared" si="50"/>
        <v>-1.2860528293162199E-2</v>
      </c>
      <c r="K147" s="3">
        <f t="shared" si="51"/>
        <v>3.0642802423566096E-3</v>
      </c>
      <c r="L147" s="3">
        <f t="shared" si="52"/>
        <v>3.490976155974046E-3</v>
      </c>
      <c r="M147" s="3">
        <f t="shared" si="53"/>
        <v>2.1277272438140038E-2</v>
      </c>
      <c r="O147">
        <v>143</v>
      </c>
      <c r="P147" s="8">
        <v>1.0327303975330653</v>
      </c>
      <c r="Q147" s="8">
        <v>-1.325606612764749</v>
      </c>
      <c r="R147" s="8">
        <v>0.54633339792904889</v>
      </c>
      <c r="S147" s="8">
        <v>1.0858691682451298</v>
      </c>
      <c r="T147" s="8">
        <v>1.6528271238381551E-2</v>
      </c>
      <c r="V147">
        <v>143</v>
      </c>
      <c r="W147">
        <v>1.0327303975330653</v>
      </c>
      <c r="X147">
        <v>-0.30273500673531373</v>
      </c>
      <c r="Y147">
        <v>0.27980303925029176</v>
      </c>
      <c r="Z147">
        <v>0.91044579794400515</v>
      </c>
      <c r="AA147">
        <v>-0.69630210461118991</v>
      </c>
      <c r="AQ147">
        <v>143</v>
      </c>
      <c r="AR147" s="21">
        <f t="shared" si="39"/>
        <v>2396.5204277491111</v>
      </c>
      <c r="AS147" s="21">
        <f t="shared" si="40"/>
        <v>2359.2806297296684</v>
      </c>
      <c r="AT147" s="21">
        <f t="shared" si="41"/>
        <v>2375.3016692671367</v>
      </c>
      <c r="AU147" s="21">
        <f t="shared" si="42"/>
        <v>2392.7592639062614</v>
      </c>
      <c r="AV147" s="21">
        <f t="shared" si="43"/>
        <v>2348.5224839622283</v>
      </c>
      <c r="BE147">
        <v>143</v>
      </c>
      <c r="BF147" s="3">
        <f t="shared" si="44"/>
        <v>4.749361909356326E-3</v>
      </c>
      <c r="BG147" s="3">
        <f t="shared" si="45"/>
        <v>-1.0778232440840929E-3</v>
      </c>
      <c r="BH147" s="3">
        <f t="shared" si="46"/>
        <v>2.741315299316513E-2</v>
      </c>
      <c r="BI147" s="3">
        <f t="shared" si="47"/>
        <v>1.7886808481367228E-2</v>
      </c>
      <c r="BJ147" s="3">
        <f t="shared" si="48"/>
        <v>-1.5603830192563188E-2</v>
      </c>
      <c r="BL147">
        <v>143</v>
      </c>
      <c r="BM147" s="3">
        <v>1.7948572851371994E-3</v>
      </c>
    </row>
    <row r="148" spans="1:65" x14ac:dyDescent="0.3">
      <c r="A148" s="2">
        <v>45875</v>
      </c>
      <c r="B148">
        <v>2535.6</v>
      </c>
      <c r="C148">
        <v>3417.7</v>
      </c>
      <c r="D148">
        <v>1443.6</v>
      </c>
      <c r="E148">
        <v>3032.3</v>
      </c>
      <c r="F148">
        <v>3227.5</v>
      </c>
      <c r="H148" s="2">
        <v>45875</v>
      </c>
      <c r="I148" s="3">
        <f t="shared" si="49"/>
        <v>7.1896722939424063E-3</v>
      </c>
      <c r="J148" s="3">
        <f t="shared" si="50"/>
        <v>5.8553151623375044E-4</v>
      </c>
      <c r="K148" s="3">
        <f t="shared" si="51"/>
        <v>2.291189335555055E-3</v>
      </c>
      <c r="L148" s="3">
        <f t="shared" si="52"/>
        <v>-4.8244174597964484E-3</v>
      </c>
      <c r="M148" s="3">
        <f t="shared" si="53"/>
        <v>5.1072841082495657E-3</v>
      </c>
      <c r="O148">
        <v>144</v>
      </c>
      <c r="P148" s="8">
        <v>0.53428988112102493</v>
      </c>
      <c r="Q148" s="8">
        <v>1.4642023644153707E-2</v>
      </c>
      <c r="R148" s="8">
        <v>-0.30334123609380964</v>
      </c>
      <c r="S148" s="8">
        <v>-0.23604394746046142</v>
      </c>
      <c r="T148" s="8">
        <v>-0.45726421944567203</v>
      </c>
      <c r="V148">
        <v>144</v>
      </c>
      <c r="W148">
        <v>0.53428988112102493</v>
      </c>
      <c r="X148">
        <v>-1.5376130805805587E-2</v>
      </c>
      <c r="Y148">
        <v>-0.27926510484308043</v>
      </c>
      <c r="Z148">
        <v>-0.22635813358011481</v>
      </c>
      <c r="AA148">
        <v>-0.34080923870876212</v>
      </c>
      <c r="AQ148">
        <v>144</v>
      </c>
      <c r="AR148" s="21">
        <f t="shared" si="39"/>
        <v>2382.6880016095042</v>
      </c>
      <c r="AS148" s="21">
        <f t="shared" si="40"/>
        <v>2367.169337269389</v>
      </c>
      <c r="AT148" s="21">
        <f t="shared" si="41"/>
        <v>2359.928440275612</v>
      </c>
      <c r="AU148" s="21">
        <f t="shared" si="42"/>
        <v>2361.3800352841636</v>
      </c>
      <c r="AV148" s="21">
        <f t="shared" si="43"/>
        <v>2358.2432524716</v>
      </c>
      <c r="BE148">
        <v>144</v>
      </c>
      <c r="BF148" s="3">
        <f t="shared" si="44"/>
        <v>-5.7886007562426558E-3</v>
      </c>
      <c r="BG148" s="3">
        <f t="shared" si="45"/>
        <v>3.3381141956971339E-3</v>
      </c>
      <c r="BH148" s="3">
        <f t="shared" si="46"/>
        <v>-6.4931513985281072E-3</v>
      </c>
      <c r="BI148" s="3">
        <f t="shared" si="47"/>
        <v>-1.3200994897731426E-2</v>
      </c>
      <c r="BJ148" s="3">
        <f t="shared" si="48"/>
        <v>4.1305571063506262E-3</v>
      </c>
      <c r="BL148">
        <v>144</v>
      </c>
      <c r="BM148" s="3">
        <v>2.0071700611168268E-3</v>
      </c>
    </row>
    <row r="149" spans="1:65" x14ac:dyDescent="0.3">
      <c r="A149" s="2">
        <v>45874</v>
      </c>
      <c r="B149">
        <v>2534.6999999999998</v>
      </c>
      <c r="C149">
        <v>3418.2</v>
      </c>
      <c r="D149">
        <v>1444.4</v>
      </c>
      <c r="E149">
        <v>3063.9</v>
      </c>
      <c r="F149">
        <v>3212.2</v>
      </c>
      <c r="H149" s="2">
        <v>45874</v>
      </c>
      <c r="I149" s="3">
        <f t="shared" si="49"/>
        <v>-3.5494557501192237E-4</v>
      </c>
      <c r="J149" s="3">
        <f t="shared" si="50"/>
        <v>1.4629721742687174E-4</v>
      </c>
      <c r="K149" s="3">
        <f t="shared" si="51"/>
        <v>5.5417013023006945E-4</v>
      </c>
      <c r="L149" s="3">
        <f t="shared" si="52"/>
        <v>1.0421132473699801E-2</v>
      </c>
      <c r="M149" s="3">
        <f t="shared" si="53"/>
        <v>-4.7405112316034614E-3</v>
      </c>
      <c r="O149">
        <v>145</v>
      </c>
      <c r="P149" s="8">
        <v>-2.122008212006818</v>
      </c>
      <c r="Q149" s="8">
        <v>2.1523342134189129E-2</v>
      </c>
      <c r="R149" s="8">
        <v>1.6475187973959815</v>
      </c>
      <c r="S149" s="8">
        <v>-9.8582586226851371E-2</v>
      </c>
      <c r="T149" s="8">
        <v>-0.13826662133472878</v>
      </c>
      <c r="V149">
        <v>145</v>
      </c>
      <c r="W149">
        <v>-2.122008212006818</v>
      </c>
      <c r="X149">
        <v>7.7135131253807082E-2</v>
      </c>
      <c r="Y149">
        <v>1.5585704232593667</v>
      </c>
      <c r="Z149">
        <v>-9.8511057603246577E-2</v>
      </c>
      <c r="AA149">
        <v>-0.29613816463009085</v>
      </c>
      <c r="AQ149">
        <v>145</v>
      </c>
      <c r="AR149" s="21">
        <f t="shared" si="39"/>
        <v>2310.307980009763</v>
      </c>
      <c r="AS149" s="21">
        <f t="shared" si="40"/>
        <v>2369.7254621602369</v>
      </c>
      <c r="AT149" s="21">
        <f t="shared" si="41"/>
        <v>2410.8380792420835</v>
      </c>
      <c r="AU149" s="21">
        <f t="shared" si="42"/>
        <v>2364.8805203237448</v>
      </c>
      <c r="AV149" s="21">
        <f t="shared" si="43"/>
        <v>2359.4664177501631</v>
      </c>
      <c r="BE149">
        <v>145</v>
      </c>
      <c r="BF149" s="3">
        <f t="shared" si="44"/>
        <v>-3.0848422491621941E-2</v>
      </c>
      <c r="BG149" s="3">
        <f t="shared" si="45"/>
        <v>1.0792408306226546E-3</v>
      </c>
      <c r="BH149" s="3">
        <f t="shared" si="46"/>
        <v>2.1343141113464963E-2</v>
      </c>
      <c r="BI149" s="3">
        <f t="shared" si="47"/>
        <v>1.481291874820189E-3</v>
      </c>
      <c r="BJ149" s="3">
        <f t="shared" si="48"/>
        <v>5.1854200087441814E-4</v>
      </c>
      <c r="BL149">
        <v>145</v>
      </c>
      <c r="BM149" s="3">
        <v>2.0753729061433785E-3</v>
      </c>
    </row>
    <row r="150" spans="1:65" x14ac:dyDescent="0.3">
      <c r="A150" s="2">
        <v>45873</v>
      </c>
      <c r="B150">
        <v>2543.6999999999998</v>
      </c>
      <c r="C150">
        <v>3356.3</v>
      </c>
      <c r="D150">
        <v>1463.2</v>
      </c>
      <c r="E150">
        <v>3074.4</v>
      </c>
      <c r="F150">
        <v>3200.2</v>
      </c>
      <c r="H150" s="2">
        <v>45873</v>
      </c>
      <c r="I150" s="3">
        <f t="shared" si="49"/>
        <v>3.5507160610723787E-3</v>
      </c>
      <c r="J150" s="3">
        <f t="shared" si="50"/>
        <v>-1.8108946229009271E-2</v>
      </c>
      <c r="K150" s="3">
        <f t="shared" si="51"/>
        <v>1.3015785101079924E-2</v>
      </c>
      <c r="L150" s="3">
        <f t="shared" si="52"/>
        <v>3.4270047978066653E-3</v>
      </c>
      <c r="M150" s="3">
        <f t="shared" si="53"/>
        <v>-3.7357574248179093E-3</v>
      </c>
      <c r="O150">
        <v>146</v>
      </c>
      <c r="P150" s="8">
        <v>0.55660025137576363</v>
      </c>
      <c r="Q150" s="8">
        <v>-1.713717326335757</v>
      </c>
      <c r="R150" s="8">
        <v>-0.52858673292242964</v>
      </c>
      <c r="S150" s="8">
        <v>-0.50599419404107082</v>
      </c>
      <c r="T150" s="8">
        <v>-1.9328680403676768</v>
      </c>
      <c r="V150">
        <v>146</v>
      </c>
      <c r="W150">
        <v>0.55660025137576363</v>
      </c>
      <c r="X150">
        <v>-0.36466367481337658</v>
      </c>
      <c r="Y150">
        <v>-0.86503148468387125</v>
      </c>
      <c r="Z150">
        <v>-0.76488423590612431</v>
      </c>
      <c r="AA150">
        <v>-2.1267313486351358</v>
      </c>
      <c r="AQ150">
        <v>146</v>
      </c>
      <c r="AR150" s="21">
        <f t="shared" si="39"/>
        <v>2383.3051068954956</v>
      </c>
      <c r="AS150" s="21">
        <f t="shared" si="40"/>
        <v>2357.5865568122067</v>
      </c>
      <c r="AT150" s="21">
        <f t="shared" si="41"/>
        <v>2343.930612579547</v>
      </c>
      <c r="AU150" s="21">
        <f t="shared" si="42"/>
        <v>2346.6604418232732</v>
      </c>
      <c r="AV150" s="21">
        <f t="shared" si="43"/>
        <v>2309.8382995817001</v>
      </c>
      <c r="BE150">
        <v>146</v>
      </c>
      <c r="BF150" s="3">
        <f t="shared" si="44"/>
        <v>3.110738438073532E-2</v>
      </c>
      <c r="BG150" s="3">
        <f t="shared" si="45"/>
        <v>-5.1356593258915203E-3</v>
      </c>
      <c r="BH150" s="3">
        <f t="shared" si="46"/>
        <v>-2.8145168639368858E-2</v>
      </c>
      <c r="BI150" s="3">
        <f t="shared" si="47"/>
        <v>-7.7342718538488744E-3</v>
      </c>
      <c r="BJ150" s="3">
        <f t="shared" si="48"/>
        <v>-2.1257977398225179E-2</v>
      </c>
      <c r="BL150">
        <v>146</v>
      </c>
      <c r="BM150" s="3">
        <v>2.1063340261517627E-3</v>
      </c>
    </row>
    <row r="151" spans="1:65" x14ac:dyDescent="0.3">
      <c r="A151" s="2">
        <v>45870</v>
      </c>
      <c r="B151">
        <v>2553.6999999999998</v>
      </c>
      <c r="C151">
        <v>3316</v>
      </c>
      <c r="D151">
        <v>1471.6</v>
      </c>
      <c r="E151">
        <v>3003</v>
      </c>
      <c r="F151">
        <v>3159.3</v>
      </c>
      <c r="H151" s="2">
        <v>45870</v>
      </c>
      <c r="I151" s="3">
        <f t="shared" si="49"/>
        <v>3.9312812045446677E-3</v>
      </c>
      <c r="J151" s="3">
        <f t="shared" si="50"/>
        <v>-1.2007269910317975E-2</v>
      </c>
      <c r="K151" s="3">
        <f t="shared" si="51"/>
        <v>5.7408419901585628E-3</v>
      </c>
      <c r="L151" s="3">
        <f t="shared" si="52"/>
        <v>-2.3224043715847076E-2</v>
      </c>
      <c r="M151" s="3">
        <f t="shared" si="53"/>
        <v>-1.2780451221798494E-2</v>
      </c>
      <c r="O151">
        <v>147</v>
      </c>
      <c r="P151" s="8">
        <v>0.84772980497980988</v>
      </c>
      <c r="Q151" s="8">
        <v>0.61299063318077318</v>
      </c>
      <c r="R151" s="8">
        <v>-0.8646181493067937</v>
      </c>
      <c r="S151" s="8">
        <v>-1.2569273428101682</v>
      </c>
      <c r="T151" s="8">
        <v>0.84120087362708662</v>
      </c>
      <c r="V151">
        <v>147</v>
      </c>
      <c r="W151">
        <v>0.84772980497980988</v>
      </c>
      <c r="X151">
        <v>9.4527877998020107E-2</v>
      </c>
      <c r="Y151">
        <v>-0.69258530491482495</v>
      </c>
      <c r="Z151">
        <v>-1.151050504320974</v>
      </c>
      <c r="AA151">
        <v>1.3072822569606588</v>
      </c>
      <c r="AQ151">
        <v>147</v>
      </c>
      <c r="AR151" s="21">
        <f t="shared" si="39"/>
        <v>2391.3764691041138</v>
      </c>
      <c r="AS151" s="21">
        <f t="shared" si="40"/>
        <v>2370.1912068156398</v>
      </c>
      <c r="AT151" s="21">
        <f t="shared" si="41"/>
        <v>2348.6274326770172</v>
      </c>
      <c r="AU151" s="21">
        <f t="shared" si="42"/>
        <v>2336.1592903582582</v>
      </c>
      <c r="AV151" s="21">
        <f t="shared" si="43"/>
        <v>2403.8182710481783</v>
      </c>
      <c r="BE151">
        <v>147</v>
      </c>
      <c r="BF151" s="3">
        <f t="shared" si="44"/>
        <v>3.3809039486547769E-3</v>
      </c>
      <c r="BG151" s="3">
        <f t="shared" si="45"/>
        <v>5.332179513662114E-3</v>
      </c>
      <c r="BH151" s="3">
        <f t="shared" si="46"/>
        <v>2.0018171839858582E-3</v>
      </c>
      <c r="BI151" s="3">
        <f t="shared" si="47"/>
        <v>-4.4849768593109825E-3</v>
      </c>
      <c r="BJ151" s="3">
        <f t="shared" si="48"/>
        <v>3.9880897507151174E-2</v>
      </c>
      <c r="BL151">
        <v>147</v>
      </c>
      <c r="BM151" s="3">
        <v>2.1483268827740317E-3</v>
      </c>
    </row>
    <row r="152" spans="1:65" x14ac:dyDescent="0.3">
      <c r="A152" s="2">
        <v>45869</v>
      </c>
      <c r="B152">
        <v>2521.1999999999998</v>
      </c>
      <c r="C152">
        <v>3347.3</v>
      </c>
      <c r="D152">
        <v>1481.4</v>
      </c>
      <c r="E152">
        <v>3036.8</v>
      </c>
      <c r="F152">
        <v>3203.1</v>
      </c>
      <c r="H152" s="2">
        <v>45869</v>
      </c>
      <c r="I152" s="3">
        <f t="shared" si="49"/>
        <v>-1.2726631945804145E-2</v>
      </c>
      <c r="J152" s="3">
        <f t="shared" si="50"/>
        <v>9.4390832328106189E-3</v>
      </c>
      <c r="K152" s="3">
        <f t="shared" si="51"/>
        <v>6.6594183201957868E-3</v>
      </c>
      <c r="L152" s="3">
        <f t="shared" si="52"/>
        <v>1.1255411255411296E-2</v>
      </c>
      <c r="M152" s="3">
        <f t="shared" si="53"/>
        <v>1.3863830595384874E-2</v>
      </c>
      <c r="O152">
        <v>148</v>
      </c>
      <c r="P152" s="8">
        <v>-0.58464819107231814</v>
      </c>
      <c r="Q152" s="8">
        <v>0.17295283674303799</v>
      </c>
      <c r="R152" s="8">
        <v>1.9503793270052809</v>
      </c>
      <c r="S152" s="8">
        <v>-0.50056401323567723</v>
      </c>
      <c r="T152" s="8">
        <v>6.930701567526433E-2</v>
      </c>
      <c r="V152">
        <v>148</v>
      </c>
      <c r="W152">
        <v>-0.58464819107231814</v>
      </c>
      <c r="X152">
        <v>5.4932004164368609E-2</v>
      </c>
      <c r="Y152">
        <v>1.9267526191229325</v>
      </c>
      <c r="Z152">
        <v>-0.42438505527844839</v>
      </c>
      <c r="AA152">
        <v>-7.1997827695094579E-2</v>
      </c>
      <c r="AQ152">
        <v>148</v>
      </c>
      <c r="AR152" s="21">
        <f t="shared" si="39"/>
        <v>2351.925708165365</v>
      </c>
      <c r="AS152" s="21">
        <f t="shared" si="40"/>
        <v>2369.1078552982717</v>
      </c>
      <c r="AT152" s="21">
        <f t="shared" si="41"/>
        <v>2421.1685253395631</v>
      </c>
      <c r="AU152" s="21">
        <f t="shared" si="42"/>
        <v>2355.9459767924673</v>
      </c>
      <c r="AV152" s="21">
        <f t="shared" si="43"/>
        <v>2365.6175493827245</v>
      </c>
      <c r="BE152">
        <v>148</v>
      </c>
      <c r="BF152" s="3">
        <f t="shared" si="44"/>
        <v>-1.6634685782572531E-2</v>
      </c>
      <c r="BG152" s="3">
        <f t="shared" si="45"/>
        <v>-4.5717795903528713E-4</v>
      </c>
      <c r="BH152" s="3">
        <f t="shared" si="46"/>
        <v>3.0419199020187578E-2</v>
      </c>
      <c r="BI152" s="3">
        <f t="shared" si="47"/>
        <v>8.4340834654272872E-3</v>
      </c>
      <c r="BJ152" s="3">
        <f t="shared" si="48"/>
        <v>-1.6019311305310778E-2</v>
      </c>
      <c r="BL152">
        <v>148</v>
      </c>
      <c r="BM152" s="3">
        <v>2.3738265895943758E-3</v>
      </c>
    </row>
    <row r="153" spans="1:65" x14ac:dyDescent="0.3">
      <c r="A153" s="2">
        <v>45868</v>
      </c>
      <c r="B153">
        <v>2437.4</v>
      </c>
      <c r="C153">
        <v>3376.5</v>
      </c>
      <c r="D153">
        <v>1482.4</v>
      </c>
      <c r="E153">
        <v>3053.6</v>
      </c>
      <c r="F153">
        <v>3208.9</v>
      </c>
      <c r="H153" s="2">
        <v>45868</v>
      </c>
      <c r="I153" s="3">
        <f t="shared" si="49"/>
        <v>-3.3238140567983354E-2</v>
      </c>
      <c r="J153" s="3">
        <f t="shared" si="50"/>
        <v>8.723448749738516E-3</v>
      </c>
      <c r="K153" s="3">
        <f t="shared" si="51"/>
        <v>6.7503712704208851E-4</v>
      </c>
      <c r="L153" s="3">
        <f t="shared" si="52"/>
        <v>5.5321390937828063E-3</v>
      </c>
      <c r="M153" s="3">
        <f t="shared" si="53"/>
        <v>1.8107458399676535E-3</v>
      </c>
      <c r="O153">
        <v>149</v>
      </c>
      <c r="P153" s="8">
        <v>-0.73829095112884191</v>
      </c>
      <c r="Q153" s="8">
        <v>-0.26504928833152802</v>
      </c>
      <c r="R153" s="8">
        <v>0.18099642306115873</v>
      </c>
      <c r="S153" s="8">
        <v>-9.0963089094550312E-3</v>
      </c>
      <c r="T153" s="8">
        <v>0.17239857484414439</v>
      </c>
      <c r="V153">
        <v>149</v>
      </c>
      <c r="W153">
        <v>-0.73829095112884191</v>
      </c>
      <c r="X153">
        <v>-2.8120074724253142E-2</v>
      </c>
      <c r="Y153">
        <v>0.10133597779952576</v>
      </c>
      <c r="Z153">
        <v>-6.2968757395778271E-2</v>
      </c>
      <c r="AA153">
        <v>7.5481656804834027E-2</v>
      </c>
      <c r="AQ153">
        <v>149</v>
      </c>
      <c r="AR153" s="21">
        <f t="shared" si="39"/>
        <v>2347.7327560696503</v>
      </c>
      <c r="AS153" s="21">
        <f t="shared" si="40"/>
        <v>2366.8246033048772</v>
      </c>
      <c r="AT153" s="21">
        <f t="shared" si="41"/>
        <v>2370.3825365155494</v>
      </c>
      <c r="AU153" s="21">
        <f t="shared" si="42"/>
        <v>2365.863311195913</v>
      </c>
      <c r="AV153" s="21">
        <f t="shared" si="43"/>
        <v>2369.6710808878979</v>
      </c>
      <c r="BE153">
        <v>149</v>
      </c>
      <c r="BF153" s="3">
        <f t="shared" si="44"/>
        <v>-1.7843650725426171E-3</v>
      </c>
      <c r="BG153" s="3">
        <f t="shared" si="45"/>
        <v>-9.642249716409699E-4</v>
      </c>
      <c r="BH153" s="3">
        <f t="shared" si="46"/>
        <v>-2.1198935404287696E-2</v>
      </c>
      <c r="BI153" s="3">
        <f t="shared" si="47"/>
        <v>4.2006563084654898E-3</v>
      </c>
      <c r="BJ153" s="3">
        <f t="shared" si="48"/>
        <v>1.7120529757692457E-3</v>
      </c>
      <c r="BL153">
        <v>149</v>
      </c>
      <c r="BM153" s="3">
        <v>2.3936017430033416E-3</v>
      </c>
    </row>
    <row r="154" spans="1:65" x14ac:dyDescent="0.3">
      <c r="A154" s="2">
        <v>45867</v>
      </c>
      <c r="B154">
        <v>2453.6</v>
      </c>
      <c r="C154">
        <v>3379.2</v>
      </c>
      <c r="D154">
        <v>1486.2</v>
      </c>
      <c r="E154">
        <v>3056</v>
      </c>
      <c r="F154">
        <v>3199.4</v>
      </c>
      <c r="H154" s="2">
        <v>45867</v>
      </c>
      <c r="I154" s="3">
        <f t="shared" si="49"/>
        <v>6.6464265200623096E-3</v>
      </c>
      <c r="J154" s="3">
        <f t="shared" si="50"/>
        <v>7.9964460239878576E-4</v>
      </c>
      <c r="K154" s="3">
        <f t="shared" si="51"/>
        <v>2.5634106853751337E-3</v>
      </c>
      <c r="L154" s="3">
        <f t="shared" si="52"/>
        <v>7.8595755829180547E-4</v>
      </c>
      <c r="M154" s="3">
        <f t="shared" si="53"/>
        <v>-2.9605160646950512E-3</v>
      </c>
      <c r="O154">
        <v>150</v>
      </c>
      <c r="P154" s="8">
        <v>1.09984249978416</v>
      </c>
      <c r="Q154" s="8">
        <v>0.31749934784206429</v>
      </c>
      <c r="R154" s="8">
        <v>0.70726443842525244</v>
      </c>
      <c r="S154" s="8">
        <v>-7.501110292500103E-2</v>
      </c>
      <c r="T154" s="8">
        <v>-9.5951704648186267E-2</v>
      </c>
      <c r="V154">
        <v>150</v>
      </c>
      <c r="W154">
        <v>1.09984249978416</v>
      </c>
      <c r="X154">
        <v>2.6293648013043215E-2</v>
      </c>
      <c r="Y154">
        <v>0.78700939423569427</v>
      </c>
      <c r="Z154">
        <v>2.3497007539334855E-2</v>
      </c>
      <c r="AA154">
        <v>-0.11963638495883872</v>
      </c>
      <c r="AQ154">
        <v>150</v>
      </c>
      <c r="AR154" s="21">
        <f t="shared" si="39"/>
        <v>2398.38785296789</v>
      </c>
      <c r="AS154" s="21">
        <f t="shared" si="40"/>
        <v>2368.3126351712381</v>
      </c>
      <c r="AT154" s="21">
        <f t="shared" si="41"/>
        <v>2389.3328208673506</v>
      </c>
      <c r="AU154" s="21">
        <f t="shared" si="42"/>
        <v>2368.2371639993326</v>
      </c>
      <c r="AV154" s="21">
        <f t="shared" si="43"/>
        <v>2364.3071967543983</v>
      </c>
      <c r="BE154">
        <v>150</v>
      </c>
      <c r="BF154" s="3">
        <f t="shared" si="44"/>
        <v>2.134670591298217E-2</v>
      </c>
      <c r="BG154" s="3">
        <f t="shared" si="45"/>
        <v>6.2850635172851548E-4</v>
      </c>
      <c r="BH154" s="3">
        <f t="shared" si="46"/>
        <v>7.9628225890875908E-3</v>
      </c>
      <c r="BI154" s="3">
        <f t="shared" si="47"/>
        <v>1.0028739418681549E-3</v>
      </c>
      <c r="BJ154" s="3">
        <f t="shared" si="48"/>
        <v>-2.2661221130928473E-3</v>
      </c>
      <c r="BL154">
        <v>150</v>
      </c>
      <c r="BM154" s="3">
        <v>2.4347099865990934E-3</v>
      </c>
    </row>
    <row r="155" spans="1:65" x14ac:dyDescent="0.3">
      <c r="A155" s="2">
        <v>45866</v>
      </c>
      <c r="B155">
        <v>2441.6</v>
      </c>
      <c r="C155">
        <v>3393</v>
      </c>
      <c r="D155">
        <v>1488.4</v>
      </c>
      <c r="E155">
        <v>3079.3</v>
      </c>
      <c r="F155">
        <v>3209.8</v>
      </c>
      <c r="H155" s="2">
        <v>45866</v>
      </c>
      <c r="I155" s="3">
        <f t="shared" si="49"/>
        <v>-4.8907727420932634E-3</v>
      </c>
      <c r="J155" s="3">
        <f t="shared" si="50"/>
        <v>4.0838068181818787E-3</v>
      </c>
      <c r="K155" s="3">
        <f t="shared" si="51"/>
        <v>1.4802852913471387E-3</v>
      </c>
      <c r="L155" s="3">
        <f t="shared" si="52"/>
        <v>7.6243455497382318E-3</v>
      </c>
      <c r="M155" s="3">
        <f t="shared" si="53"/>
        <v>3.2506094892792436E-3</v>
      </c>
      <c r="O155">
        <v>151</v>
      </c>
      <c r="P155" s="8">
        <v>-0.47541162247583535</v>
      </c>
      <c r="Q155" s="8">
        <v>0.27256706098841982</v>
      </c>
      <c r="R155" s="8">
        <v>-0.98234179134175759</v>
      </c>
      <c r="S155" s="8">
        <v>-1.6794802098252481</v>
      </c>
      <c r="T155" s="8">
        <v>-0.41946694610968055</v>
      </c>
      <c r="V155">
        <v>151</v>
      </c>
      <c r="W155">
        <v>-0.47541162247583535</v>
      </c>
      <c r="X155">
        <v>7.1271794215085518E-2</v>
      </c>
      <c r="Y155">
        <v>-0.91435200137197625</v>
      </c>
      <c r="Z155">
        <v>-1.6574389447317774</v>
      </c>
      <c r="AA155">
        <v>0.17912357061226353</v>
      </c>
      <c r="AQ155">
        <v>151</v>
      </c>
      <c r="AR155" s="21">
        <f t="shared" si="39"/>
        <v>2354.9107680208708</v>
      </c>
      <c r="AS155" s="21">
        <f t="shared" si="40"/>
        <v>2369.5569797761705</v>
      </c>
      <c r="AT155" s="21">
        <f t="shared" si="41"/>
        <v>2342.5865649813882</v>
      </c>
      <c r="AU155" s="21">
        <f t="shared" si="42"/>
        <v>2322.4619875100229</v>
      </c>
      <c r="AV155" s="21">
        <f t="shared" si="43"/>
        <v>2372.531933396268</v>
      </c>
      <c r="BE155">
        <v>151</v>
      </c>
      <c r="BF155" s="3">
        <f t="shared" si="44"/>
        <v>-1.8293947400042424E-2</v>
      </c>
      <c r="BG155" s="3">
        <f t="shared" si="45"/>
        <v>5.2527601418912988E-4</v>
      </c>
      <c r="BH155" s="3">
        <f t="shared" si="46"/>
        <v>-1.9758483975189159E-2</v>
      </c>
      <c r="BI155" s="3">
        <f t="shared" si="47"/>
        <v>-1.9518041207771026E-2</v>
      </c>
      <c r="BJ155" s="3">
        <f t="shared" si="48"/>
        <v>3.4726722531070084E-3</v>
      </c>
      <c r="BL155">
        <v>151</v>
      </c>
      <c r="BM155" s="3">
        <v>2.5302374988744906E-3</v>
      </c>
    </row>
    <row r="156" spans="1:65" x14ac:dyDescent="0.3">
      <c r="A156" s="2">
        <v>45863</v>
      </c>
      <c r="B156">
        <v>2415.4</v>
      </c>
      <c r="C156">
        <v>3462.8</v>
      </c>
      <c r="D156">
        <v>1477.1</v>
      </c>
      <c r="E156">
        <v>3135.8</v>
      </c>
      <c r="F156">
        <v>3246.4</v>
      </c>
      <c r="H156" s="2">
        <v>45863</v>
      </c>
      <c r="I156" s="3">
        <f t="shared" si="49"/>
        <v>-1.0730668414154598E-2</v>
      </c>
      <c r="J156" s="3">
        <f t="shared" si="50"/>
        <v>2.0571765399351571E-2</v>
      </c>
      <c r="K156" s="3">
        <f t="shared" si="51"/>
        <v>-7.5920451491535701E-3</v>
      </c>
      <c r="L156" s="3">
        <f t="shared" si="52"/>
        <v>1.8348325918228214E-2</v>
      </c>
      <c r="M156" s="3">
        <f t="shared" si="53"/>
        <v>1.1402579599975038E-2</v>
      </c>
      <c r="O156">
        <v>152</v>
      </c>
      <c r="P156" s="8">
        <v>-0.92476339647591888</v>
      </c>
      <c r="Q156" s="8">
        <v>-3.8814365111272953E-2</v>
      </c>
      <c r="R156" s="8">
        <v>0.50664377652840387</v>
      </c>
      <c r="S156" s="8">
        <v>9.1597460134690806E-2</v>
      </c>
      <c r="T156" s="8">
        <v>-0.3427275146848322</v>
      </c>
      <c r="V156">
        <v>152</v>
      </c>
      <c r="W156">
        <v>-0.92476339647591888</v>
      </c>
      <c r="X156">
        <v>2.3896896223601083E-2</v>
      </c>
      <c r="Y156">
        <v>0.46254119314428688</v>
      </c>
      <c r="Z156">
        <v>7.6230137014689475E-2</v>
      </c>
      <c r="AA156">
        <v>-0.39737890810374621</v>
      </c>
      <c r="AQ156">
        <v>152</v>
      </c>
      <c r="AR156" s="21">
        <f t="shared" si="39"/>
        <v>2342.6536311897357</v>
      </c>
      <c r="AS156" s="21">
        <f t="shared" si="40"/>
        <v>2368.2556168961833</v>
      </c>
      <c r="AT156" s="21">
        <f t="shared" si="41"/>
        <v>2380.3464246517974</v>
      </c>
      <c r="AU156" s="21">
        <f t="shared" si="42"/>
        <v>2369.6893645317514</v>
      </c>
      <c r="AV156" s="21">
        <f t="shared" si="43"/>
        <v>2356.6931695528838</v>
      </c>
      <c r="BE156">
        <v>152</v>
      </c>
      <c r="BF156" s="3">
        <f t="shared" si="44"/>
        <v>-5.2185190477314096E-3</v>
      </c>
      <c r="BG156" s="3">
        <f t="shared" si="45"/>
        <v>-5.4935178889482079E-4</v>
      </c>
      <c r="BH156" s="3">
        <f t="shared" si="46"/>
        <v>1.5990345118871131E-2</v>
      </c>
      <c r="BI156" s="3">
        <f t="shared" si="47"/>
        <v>2.0131052223940141E-2</v>
      </c>
      <c r="BJ156" s="3">
        <f t="shared" si="48"/>
        <v>-6.6982741223789253E-3</v>
      </c>
      <c r="BL156">
        <v>152</v>
      </c>
      <c r="BM156" s="3">
        <v>2.6002761408048069E-3</v>
      </c>
    </row>
    <row r="157" spans="1:65" x14ac:dyDescent="0.3">
      <c r="A157" s="2">
        <v>45862</v>
      </c>
      <c r="B157">
        <v>2437.8000000000002</v>
      </c>
      <c r="C157">
        <v>3484.4</v>
      </c>
      <c r="D157">
        <v>1483.4</v>
      </c>
      <c r="E157">
        <v>3148</v>
      </c>
      <c r="F157">
        <v>3260.9</v>
      </c>
      <c r="H157" s="2">
        <v>45862</v>
      </c>
      <c r="I157" s="3">
        <f t="shared" si="49"/>
        <v>9.2738262813611971E-3</v>
      </c>
      <c r="J157" s="3">
        <f t="shared" si="50"/>
        <v>6.2377266951598731E-3</v>
      </c>
      <c r="K157" s="3">
        <f t="shared" si="51"/>
        <v>4.2651140748766192E-3</v>
      </c>
      <c r="L157" s="3">
        <f t="shared" si="52"/>
        <v>3.8905542445308861E-3</v>
      </c>
      <c r="M157" s="3">
        <f t="shared" si="53"/>
        <v>4.4664859536718282E-3</v>
      </c>
      <c r="O157">
        <v>153</v>
      </c>
      <c r="P157" s="8">
        <v>-0.15959004535512339</v>
      </c>
      <c r="Q157" s="8">
        <v>0.509447975318984</v>
      </c>
      <c r="R157" s="8">
        <v>0.98057048026754823</v>
      </c>
      <c r="S157" s="8">
        <v>-5.0561798182934888E-2</v>
      </c>
      <c r="T157" s="8">
        <v>-1.5438968705101637</v>
      </c>
      <c r="V157">
        <v>153</v>
      </c>
      <c r="W157">
        <v>-0.15959004535512339</v>
      </c>
      <c r="X157">
        <v>0.10820444782577235</v>
      </c>
      <c r="Y157">
        <v>1.0617476104468933</v>
      </c>
      <c r="Z157">
        <v>5.3563779261892798E-2</v>
      </c>
      <c r="AA157">
        <v>-1.4111660128593584</v>
      </c>
      <c r="AQ157">
        <v>153</v>
      </c>
      <c r="AR157" s="21">
        <f t="shared" si="39"/>
        <v>2363.5634777497712</v>
      </c>
      <c r="AS157" s="21">
        <f t="shared" si="40"/>
        <v>2370.5721401712299</v>
      </c>
      <c r="AT157" s="21">
        <f t="shared" si="41"/>
        <v>2396.968069207081</v>
      </c>
      <c r="AU157" s="21">
        <f t="shared" si="42"/>
        <v>2369.0630156491775</v>
      </c>
      <c r="AV157" s="21">
        <f t="shared" si="43"/>
        <v>2329.1096675172639</v>
      </c>
      <c r="BE157">
        <v>153</v>
      </c>
      <c r="BF157" s="3">
        <f t="shared" si="44"/>
        <v>8.886111145235371E-3</v>
      </c>
      <c r="BG157" s="3">
        <f t="shared" si="45"/>
        <v>9.7767784706391265E-4</v>
      </c>
      <c r="BH157" s="3">
        <f t="shared" si="46"/>
        <v>6.9586005475967402E-3</v>
      </c>
      <c r="BI157" s="3">
        <f t="shared" si="47"/>
        <v>-2.6435181075974712E-4</v>
      </c>
      <c r="BJ157" s="3">
        <f t="shared" si="48"/>
        <v>-1.1773359490792628E-2</v>
      </c>
      <c r="BL157">
        <v>153</v>
      </c>
      <c r="BM157" s="3">
        <v>2.6305319583233805E-3</v>
      </c>
    </row>
    <row r="158" spans="1:65" x14ac:dyDescent="0.3">
      <c r="A158" s="2">
        <v>45861</v>
      </c>
      <c r="B158">
        <v>2450.4</v>
      </c>
      <c r="C158">
        <v>3471.4</v>
      </c>
      <c r="D158">
        <v>1488.6</v>
      </c>
      <c r="E158">
        <v>3179.1</v>
      </c>
      <c r="F158">
        <v>3268.8</v>
      </c>
      <c r="H158" s="2">
        <v>45861</v>
      </c>
      <c r="I158" s="3">
        <f t="shared" si="49"/>
        <v>5.1685946345065847E-3</v>
      </c>
      <c r="J158" s="3">
        <f t="shared" si="50"/>
        <v>-3.7309149351394399E-3</v>
      </c>
      <c r="K158" s="3">
        <f t="shared" si="51"/>
        <v>3.5054604287445557E-3</v>
      </c>
      <c r="L158" s="3">
        <f t="shared" si="52"/>
        <v>9.87928843710284E-3</v>
      </c>
      <c r="M158" s="3">
        <f t="shared" si="53"/>
        <v>2.4226440553221096E-3</v>
      </c>
      <c r="O158">
        <v>154</v>
      </c>
      <c r="P158" s="8">
        <v>-1.4410150844526035</v>
      </c>
      <c r="Q158" s="8">
        <v>0.9304776111102131</v>
      </c>
      <c r="R158" s="8">
        <v>-0.11508280491327642</v>
      </c>
      <c r="S158" s="8">
        <v>-0.16037703741537737</v>
      </c>
      <c r="T158" s="8">
        <v>-0.1533576680765979</v>
      </c>
      <c r="V158">
        <v>154</v>
      </c>
      <c r="W158">
        <v>-1.4410150844526035</v>
      </c>
      <c r="X158">
        <v>0.2370636851141403</v>
      </c>
      <c r="Y158">
        <v>4.7078502444659553E-2</v>
      </c>
      <c r="Z158">
        <v>-5.4928546581247198E-2</v>
      </c>
      <c r="AA158">
        <v>0.22123472911475914</v>
      </c>
      <c r="AQ158">
        <v>154</v>
      </c>
      <c r="AR158" s="21">
        <f t="shared" si="39"/>
        <v>2328.6502381951918</v>
      </c>
      <c r="AS158" s="21">
        <f t="shared" si="40"/>
        <v>2374.1278978888427</v>
      </c>
      <c r="AT158" s="21">
        <f t="shared" si="41"/>
        <v>2368.8882440486682</v>
      </c>
      <c r="AU158" s="21">
        <f t="shared" si="42"/>
        <v>2366.0844683600362</v>
      </c>
      <c r="AV158" s="21">
        <f t="shared" si="43"/>
        <v>2373.6855190100632</v>
      </c>
      <c r="BE158">
        <v>154</v>
      </c>
      <c r="BF158" s="3">
        <f t="shared" si="44"/>
        <v>-1.4881625602637645E-2</v>
      </c>
      <c r="BG158" s="3">
        <f t="shared" si="45"/>
        <v>1.4988337955014958E-3</v>
      </c>
      <c r="BH158" s="3">
        <f t="shared" si="46"/>
        <v>-1.1783884465748214E-2</v>
      </c>
      <c r="BI158" s="3">
        <f t="shared" si="47"/>
        <v>-1.2580590961732826E-3</v>
      </c>
      <c r="BJ158" s="3">
        <f t="shared" si="48"/>
        <v>1.8957740981019416E-2</v>
      </c>
      <c r="BL158">
        <v>154</v>
      </c>
      <c r="BM158" s="3">
        <v>2.6938268323134585E-3</v>
      </c>
    </row>
    <row r="159" spans="1:65" x14ac:dyDescent="0.3">
      <c r="A159" s="2">
        <v>45860</v>
      </c>
      <c r="B159">
        <v>2479.6999999999998</v>
      </c>
      <c r="C159">
        <v>3472.4</v>
      </c>
      <c r="D159">
        <v>1473.6</v>
      </c>
      <c r="E159">
        <v>3159.6</v>
      </c>
      <c r="F159">
        <v>3257.2</v>
      </c>
      <c r="H159" s="2">
        <v>45860</v>
      </c>
      <c r="I159" s="3">
        <f t="shared" si="49"/>
        <v>1.1957231472412566E-2</v>
      </c>
      <c r="J159" s="3">
        <f t="shared" si="50"/>
        <v>2.8806821455318321E-4</v>
      </c>
      <c r="K159" s="3">
        <f t="shared" si="51"/>
        <v>-1.0076582023377689E-2</v>
      </c>
      <c r="L159" s="3">
        <f t="shared" si="52"/>
        <v>-6.1338114560725021E-3</v>
      </c>
      <c r="M159" s="3">
        <f t="shared" si="53"/>
        <v>-3.5487028879100935E-3</v>
      </c>
      <c r="O159">
        <v>155</v>
      </c>
      <c r="P159" s="8">
        <v>0.25051000743819879</v>
      </c>
      <c r="Q159" s="8">
        <v>0.58415946837925914</v>
      </c>
      <c r="R159" s="8">
        <v>0.76765010554388946</v>
      </c>
      <c r="S159" s="8">
        <v>0.93559659130355166</v>
      </c>
      <c r="T159" s="8">
        <v>-0.61111296705857321</v>
      </c>
      <c r="V159">
        <v>155</v>
      </c>
      <c r="W159">
        <v>0.25051000743819879</v>
      </c>
      <c r="X159">
        <v>0.10920157580354849</v>
      </c>
      <c r="Y159">
        <v>0.88029995082865886</v>
      </c>
      <c r="Z159">
        <v>1.0427218756441754</v>
      </c>
      <c r="AA159">
        <v>-0.69597275142838488</v>
      </c>
      <c r="AQ159">
        <v>155</v>
      </c>
      <c r="AR159" s="21">
        <f t="shared" si="39"/>
        <v>2374.8467369859309</v>
      </c>
      <c r="AS159" s="21">
        <f t="shared" si="40"/>
        <v>2370.5977876640923</v>
      </c>
      <c r="AT159" s="21">
        <f t="shared" si="41"/>
        <v>2391.9224823950067</v>
      </c>
      <c r="AU159" s="21">
        <f t="shared" si="42"/>
        <v>2396.4350641507162</v>
      </c>
      <c r="AV159" s="21">
        <f t="shared" si="43"/>
        <v>2348.5308846389858</v>
      </c>
      <c r="BE159">
        <v>155</v>
      </c>
      <c r="BF159" s="3">
        <f t="shared" si="44"/>
        <v>1.9644100800552153E-2</v>
      </c>
      <c r="BG159" s="3">
        <f t="shared" si="45"/>
        <v>-1.4880147389172043E-3</v>
      </c>
      <c r="BH159" s="3">
        <f t="shared" si="46"/>
        <v>9.6766787884806655E-3</v>
      </c>
      <c r="BI159" s="3">
        <f t="shared" si="47"/>
        <v>1.274577729951948E-2</v>
      </c>
      <c r="BJ159" s="3">
        <f t="shared" si="48"/>
        <v>-1.0653841395831032E-2</v>
      </c>
      <c r="BL159">
        <v>155</v>
      </c>
      <c r="BM159" s="3">
        <v>2.7005253522093507E-3</v>
      </c>
    </row>
    <row r="160" spans="1:65" x14ac:dyDescent="0.3">
      <c r="A160" s="2">
        <v>45859</v>
      </c>
      <c r="B160">
        <v>2464.9</v>
      </c>
      <c r="C160">
        <v>3433</v>
      </c>
      <c r="D160">
        <v>1465.8</v>
      </c>
      <c r="E160">
        <v>3158.2</v>
      </c>
      <c r="F160">
        <v>3246.7</v>
      </c>
      <c r="H160" s="2">
        <v>45859</v>
      </c>
      <c r="I160" s="3">
        <f t="shared" si="49"/>
        <v>-5.9684639270878304E-3</v>
      </c>
      <c r="J160" s="3">
        <f t="shared" si="50"/>
        <v>-1.1346619053104523E-2</v>
      </c>
      <c r="K160" s="3">
        <f t="shared" si="51"/>
        <v>-5.293159609120468E-3</v>
      </c>
      <c r="L160" s="3">
        <f t="shared" si="52"/>
        <v>-4.4309406253961736E-4</v>
      </c>
      <c r="M160" s="3">
        <f t="shared" si="53"/>
        <v>-3.2236276556552035E-3</v>
      </c>
      <c r="O160">
        <v>156</v>
      </c>
      <c r="P160" s="8">
        <v>1.0694330383470443</v>
      </c>
      <c r="Q160" s="8">
        <v>-0.37945962523962207</v>
      </c>
      <c r="R160" s="8">
        <v>0.38180093806701498</v>
      </c>
      <c r="S160" s="8">
        <v>1.320199537644364</v>
      </c>
      <c r="T160" s="8">
        <v>-0.86760723777498583</v>
      </c>
      <c r="V160">
        <v>156</v>
      </c>
      <c r="W160">
        <v>1.0694330383470443</v>
      </c>
      <c r="X160">
        <v>-0.11320434680378128</v>
      </c>
      <c r="Y160">
        <v>0.32054761593187558</v>
      </c>
      <c r="Z160">
        <v>1.2833832785274137</v>
      </c>
      <c r="AA160">
        <v>-1.2541500779309813</v>
      </c>
      <c r="AQ160">
        <v>156</v>
      </c>
      <c r="AR160" s="21">
        <f t="shared" si="39"/>
        <v>2397.5400325804858</v>
      </c>
      <c r="AS160" s="21">
        <f t="shared" si="40"/>
        <v>2364.4791380164265</v>
      </c>
      <c r="AT160" s="21">
        <f t="shared" si="41"/>
        <v>2376.4250438476488</v>
      </c>
      <c r="AU160" s="21">
        <f t="shared" si="42"/>
        <v>2403.1446689031559</v>
      </c>
      <c r="AV160" s="21">
        <f t="shared" si="43"/>
        <v>2333.3552439953314</v>
      </c>
      <c r="BE160">
        <v>156</v>
      </c>
      <c r="BF160" s="3">
        <f t="shared" si="44"/>
        <v>9.5103216623503104E-3</v>
      </c>
      <c r="BG160" s="3">
        <f t="shared" si="45"/>
        <v>-2.584394361184494E-3</v>
      </c>
      <c r="BH160" s="3">
        <f t="shared" si="46"/>
        <v>-6.5001525280982174E-3</v>
      </c>
      <c r="BI160" s="3">
        <f t="shared" si="47"/>
        <v>2.7959152661050815E-3</v>
      </c>
      <c r="BJ160" s="3">
        <f t="shared" si="48"/>
        <v>-6.4827265653051806E-3</v>
      </c>
      <c r="BL160">
        <v>156</v>
      </c>
      <c r="BM160" s="3">
        <v>2.7572536146673659E-3</v>
      </c>
    </row>
    <row r="161" spans="1:65" x14ac:dyDescent="0.3">
      <c r="A161" s="2">
        <v>45856</v>
      </c>
      <c r="B161">
        <v>2489.6</v>
      </c>
      <c r="C161">
        <v>3402.9</v>
      </c>
      <c r="D161">
        <v>1425.8</v>
      </c>
      <c r="E161">
        <v>3189.9</v>
      </c>
      <c r="F161">
        <v>3192.4</v>
      </c>
      <c r="H161" s="2">
        <v>45856</v>
      </c>
      <c r="I161" s="3">
        <f t="shared" si="49"/>
        <v>1.0020690494543238E-2</v>
      </c>
      <c r="J161" s="3">
        <f t="shared" si="50"/>
        <v>-8.7678415380133545E-3</v>
      </c>
      <c r="K161" s="3">
        <f t="shared" si="51"/>
        <v>-2.7288852503752237E-2</v>
      </c>
      <c r="L161" s="3">
        <f t="shared" si="52"/>
        <v>1.003736305490488E-2</v>
      </c>
      <c r="M161" s="3">
        <f t="shared" si="53"/>
        <v>-1.6724674284658181E-2</v>
      </c>
      <c r="O161">
        <v>157</v>
      </c>
      <c r="P161" s="8">
        <v>-0.1136657628897807</v>
      </c>
      <c r="Q161" s="8">
        <v>-0.56725634210363873</v>
      </c>
      <c r="R161" s="8">
        <v>-0.10367296393363613</v>
      </c>
      <c r="S161" s="8">
        <v>-1.3509207803136563</v>
      </c>
      <c r="T161" s="8">
        <v>0.35882017768677632</v>
      </c>
      <c r="V161">
        <v>157</v>
      </c>
      <c r="W161">
        <v>-0.1136657628897807</v>
      </c>
      <c r="X161">
        <v>-0.11048748278481745</v>
      </c>
      <c r="Y161">
        <v>-0.22447642883142577</v>
      </c>
      <c r="Z161">
        <v>-1.4270063319687529</v>
      </c>
      <c r="AA161">
        <v>0.44205944636518413</v>
      </c>
      <c r="AQ161">
        <v>157</v>
      </c>
      <c r="AR161" s="21">
        <f t="shared" si="39"/>
        <v>2364.8237399344198</v>
      </c>
      <c r="AS161" s="21">
        <f t="shared" si="40"/>
        <v>2364.5589592674919</v>
      </c>
      <c r="AT161" s="21">
        <f t="shared" si="41"/>
        <v>2361.4309011950818</v>
      </c>
      <c r="AU161" s="21">
        <f t="shared" si="42"/>
        <v>2328.6824466192288</v>
      </c>
      <c r="AV161" s="21">
        <f t="shared" si="43"/>
        <v>2379.7866524257852</v>
      </c>
      <c r="BE161">
        <v>157</v>
      </c>
      <c r="BF161" s="3">
        <f t="shared" si="44"/>
        <v>-1.373973467374255E-2</v>
      </c>
      <c r="BG161" s="3">
        <f t="shared" si="45"/>
        <v>3.3757922617960094E-5</v>
      </c>
      <c r="BH161" s="3">
        <f t="shared" si="46"/>
        <v>-6.3295266405477661E-3</v>
      </c>
      <c r="BI161" s="3">
        <f t="shared" si="47"/>
        <v>-3.1475524314343209E-2</v>
      </c>
      <c r="BJ161" s="3">
        <f t="shared" si="48"/>
        <v>1.9703591200579681E-2</v>
      </c>
      <c r="BL161">
        <v>157</v>
      </c>
      <c r="BM161" s="3">
        <v>2.8707803938316971E-3</v>
      </c>
    </row>
    <row r="162" spans="1:65" x14ac:dyDescent="0.3">
      <c r="A162" s="2">
        <v>45855</v>
      </c>
      <c r="B162">
        <v>2509.8000000000002</v>
      </c>
      <c r="C162">
        <v>3433.3</v>
      </c>
      <c r="D162">
        <v>1418.7</v>
      </c>
      <c r="E162">
        <v>3209.2</v>
      </c>
      <c r="F162">
        <v>3195</v>
      </c>
      <c r="H162" s="2">
        <v>45855</v>
      </c>
      <c r="I162" s="3">
        <f t="shared" si="49"/>
        <v>8.1137532133677137E-3</v>
      </c>
      <c r="J162" s="3">
        <f t="shared" si="50"/>
        <v>8.9335566722501536E-3</v>
      </c>
      <c r="K162" s="3">
        <f t="shared" si="51"/>
        <v>-4.9796605414503814E-3</v>
      </c>
      <c r="L162" s="3">
        <f t="shared" si="52"/>
        <v>6.0503464058434542E-3</v>
      </c>
      <c r="M162" s="3">
        <f t="shared" si="53"/>
        <v>8.1443428141825258E-4</v>
      </c>
      <c r="O162">
        <v>158</v>
      </c>
      <c r="P162" s="8">
        <v>2.0998716635717146E-2</v>
      </c>
      <c r="Q162" s="8">
        <v>1.8653450240742987E-2</v>
      </c>
      <c r="R162" s="8">
        <v>-1.1496972437096995</v>
      </c>
      <c r="S162" s="8">
        <v>-0.89080474105411911</v>
      </c>
      <c r="T162" s="8">
        <v>0.39654903738842812</v>
      </c>
      <c r="V162">
        <v>158</v>
      </c>
      <c r="W162">
        <v>2.0998716635717146E-2</v>
      </c>
      <c r="X162">
        <v>3.0410965808667593E-3</v>
      </c>
      <c r="Y162">
        <v>-1.1186752564930114</v>
      </c>
      <c r="Z162">
        <v>-0.91028449439152537</v>
      </c>
      <c r="AA162">
        <v>0.71812451617826167</v>
      </c>
      <c r="AQ162">
        <v>158</v>
      </c>
      <c r="AR162" s="21">
        <f t="shared" si="39"/>
        <v>2368.5248153316597</v>
      </c>
      <c r="AS162" s="21">
        <f t="shared" si="40"/>
        <v>2367.677953738068</v>
      </c>
      <c r="AT162" s="21">
        <f t="shared" si="41"/>
        <v>2337.034809578719</v>
      </c>
      <c r="AU162" s="21">
        <f t="shared" si="42"/>
        <v>2342.70236245467</v>
      </c>
      <c r="AV162" s="21">
        <f t="shared" si="43"/>
        <v>2387.4262899996684</v>
      </c>
      <c r="BE162">
        <v>158</v>
      </c>
      <c r="BF162" s="3">
        <f t="shared" si="44"/>
        <v>1.5638299644720624E-3</v>
      </c>
      <c r="BG162" s="3">
        <f t="shared" si="45"/>
        <v>1.3181905215444269E-3</v>
      </c>
      <c r="BH162" s="3">
        <f t="shared" si="46"/>
        <v>-1.0384798938854408E-2</v>
      </c>
      <c r="BI162" s="3">
        <f t="shared" si="47"/>
        <v>6.0024847033679782E-3</v>
      </c>
      <c r="BJ162" s="3">
        <f t="shared" si="48"/>
        <v>3.2050777701817666E-3</v>
      </c>
      <c r="BL162">
        <v>158</v>
      </c>
      <c r="BM162" s="3">
        <v>2.9309159968138486E-3</v>
      </c>
    </row>
    <row r="163" spans="1:65" x14ac:dyDescent="0.3">
      <c r="A163" s="2">
        <v>45854</v>
      </c>
      <c r="B163">
        <v>2517.6</v>
      </c>
      <c r="C163">
        <v>3417.3</v>
      </c>
      <c r="D163">
        <v>1426.4</v>
      </c>
      <c r="E163">
        <v>3233.1</v>
      </c>
      <c r="F163">
        <v>3196.5</v>
      </c>
      <c r="H163" s="2">
        <v>45854</v>
      </c>
      <c r="I163" s="3">
        <f t="shared" si="49"/>
        <v>3.1078173559644373E-3</v>
      </c>
      <c r="J163" s="3">
        <f t="shared" si="50"/>
        <v>-4.6602394198002051E-3</v>
      </c>
      <c r="K163" s="3">
        <f t="shared" si="51"/>
        <v>5.4275040530062935E-3</v>
      </c>
      <c r="L163" s="3">
        <f t="shared" si="52"/>
        <v>7.4473389006606272E-3</v>
      </c>
      <c r="M163" s="3">
        <f t="shared" si="53"/>
        <v>4.6948356807519076E-4</v>
      </c>
      <c r="O163">
        <v>159</v>
      </c>
      <c r="P163" s="8">
        <v>0.24829182277145079</v>
      </c>
      <c r="Q163" s="8">
        <v>0.76341328599588676</v>
      </c>
      <c r="R163" s="8">
        <v>-0.13079460533810702</v>
      </c>
      <c r="S163" s="8">
        <v>0.78773005877094882</v>
      </c>
      <c r="T163" s="8">
        <v>-1.0760820140773368</v>
      </c>
      <c r="V163">
        <v>159</v>
      </c>
      <c r="W163">
        <v>0.24829182277145079</v>
      </c>
      <c r="X163">
        <v>0.14542404987639898</v>
      </c>
      <c r="Y163">
        <v>4.0511287582057298E-2</v>
      </c>
      <c r="Z163">
        <v>0.89754837076633742</v>
      </c>
      <c r="AA163">
        <v>-0.90606794683823311</v>
      </c>
      <c r="AQ163">
        <v>159</v>
      </c>
      <c r="AR163" s="21">
        <f t="shared" si="39"/>
        <v>2374.7849201629265</v>
      </c>
      <c r="AS163" s="21">
        <f t="shared" si="40"/>
        <v>2371.5952277975884</v>
      </c>
      <c r="AT163" s="21">
        <f t="shared" si="41"/>
        <v>2368.7079875855597</v>
      </c>
      <c r="AU163" s="21">
        <f t="shared" si="42"/>
        <v>2392.4019633402963</v>
      </c>
      <c r="AV163" s="21">
        <f t="shared" si="43"/>
        <v>2342.8083354470159</v>
      </c>
      <c r="BE163">
        <v>159</v>
      </c>
      <c r="BF163" s="3">
        <f t="shared" si="44"/>
        <v>2.6395528923859328E-3</v>
      </c>
      <c r="BG163" s="3">
        <f t="shared" si="45"/>
        <v>1.653112113000443E-3</v>
      </c>
      <c r="BH163" s="3">
        <f t="shared" si="46"/>
        <v>1.3461703149408517E-2</v>
      </c>
      <c r="BI163" s="3">
        <f t="shared" si="47"/>
        <v>2.0992748058602212E-2</v>
      </c>
      <c r="BJ163" s="3">
        <f t="shared" si="48"/>
        <v>-1.8865566470900392E-2</v>
      </c>
      <c r="BL163">
        <v>159</v>
      </c>
      <c r="BM163" s="3">
        <v>2.9973635460547408E-3</v>
      </c>
    </row>
    <row r="164" spans="1:65" x14ac:dyDescent="0.3">
      <c r="A164" s="2">
        <v>45853</v>
      </c>
      <c r="B164">
        <v>2526.9</v>
      </c>
      <c r="C164">
        <v>3415</v>
      </c>
      <c r="D164">
        <v>1430.8</v>
      </c>
      <c r="E164">
        <v>3252.3</v>
      </c>
      <c r="F164">
        <v>3128.6</v>
      </c>
      <c r="H164" s="2">
        <v>45853</v>
      </c>
      <c r="I164" s="3">
        <f t="shared" si="49"/>
        <v>3.6939942802669545E-3</v>
      </c>
      <c r="J164" s="3">
        <f t="shared" si="50"/>
        <v>-6.7304597196626847E-4</v>
      </c>
      <c r="K164" s="3">
        <f t="shared" si="51"/>
        <v>3.0846887268647372E-3</v>
      </c>
      <c r="L164" s="3">
        <f t="shared" si="52"/>
        <v>5.9385728867031862E-3</v>
      </c>
      <c r="M164" s="3">
        <f t="shared" si="53"/>
        <v>-2.1241983419365007E-2</v>
      </c>
      <c r="O164">
        <v>160</v>
      </c>
      <c r="P164" s="8">
        <v>0.44189593520681997</v>
      </c>
      <c r="Q164" s="8">
        <v>-0.19863334725530377</v>
      </c>
      <c r="R164" s="8">
        <v>-0.13741779989187922</v>
      </c>
      <c r="S164" s="8">
        <v>1.3342043040114544</v>
      </c>
      <c r="T164" s="8">
        <v>0.30621079955232966</v>
      </c>
      <c r="V164">
        <v>160</v>
      </c>
      <c r="W164">
        <v>0.44189593520681997</v>
      </c>
      <c r="X164">
        <v>-5.5213376376669301E-2</v>
      </c>
      <c r="Y164">
        <v>-0.16478631660456738</v>
      </c>
      <c r="Z164">
        <v>1.2937915043119799</v>
      </c>
      <c r="AA164">
        <v>-2.2952814240116193E-2</v>
      </c>
      <c r="AQ164">
        <v>160</v>
      </c>
      <c r="AR164" s="21">
        <f t="shared" si="39"/>
        <v>2380.1301864033708</v>
      </c>
      <c r="AS164" s="21">
        <f t="shared" si="40"/>
        <v>2366.0748481115334</v>
      </c>
      <c r="AT164" s="21">
        <f t="shared" si="41"/>
        <v>2363.0681674179405</v>
      </c>
      <c r="AU164" s="21">
        <f t="shared" si="42"/>
        <v>2403.4373283072887</v>
      </c>
      <c r="AV164" s="21">
        <f t="shared" si="43"/>
        <v>2366.9577468264738</v>
      </c>
      <c r="BE164">
        <v>160</v>
      </c>
      <c r="BF164" s="3">
        <f t="shared" si="44"/>
        <v>2.2483129024602391E-3</v>
      </c>
      <c r="BG164" s="3">
        <f t="shared" si="45"/>
        <v>-2.330420690327779E-3</v>
      </c>
      <c r="BH164" s="3">
        <f t="shared" si="46"/>
        <v>-2.3838079628361549E-3</v>
      </c>
      <c r="BI164" s="3">
        <f t="shared" si="47"/>
        <v>4.6020659877884394E-3</v>
      </c>
      <c r="BJ164" s="3">
        <f t="shared" si="48"/>
        <v>1.0255126306441488E-2</v>
      </c>
      <c r="BL164">
        <v>160</v>
      </c>
      <c r="BM164" s="3">
        <v>3.0282249807586708E-3</v>
      </c>
    </row>
    <row r="165" spans="1:65" x14ac:dyDescent="0.3">
      <c r="A165" s="2">
        <v>45852</v>
      </c>
      <c r="B165">
        <v>2516.6</v>
      </c>
      <c r="C165">
        <v>3404.7</v>
      </c>
      <c r="D165">
        <v>1423</v>
      </c>
      <c r="E165">
        <v>3222.7</v>
      </c>
      <c r="F165">
        <v>3092.1</v>
      </c>
      <c r="H165" s="2">
        <v>45852</v>
      </c>
      <c r="I165" s="3">
        <f t="shared" si="49"/>
        <v>-4.0761407257905446E-3</v>
      </c>
      <c r="J165" s="3">
        <f t="shared" si="50"/>
        <v>-3.0161054172768154E-3</v>
      </c>
      <c r="K165" s="3">
        <f t="shared" si="51"/>
        <v>-5.4514956667598424E-3</v>
      </c>
      <c r="L165" s="3">
        <f t="shared" si="52"/>
        <v>-9.1012514220706331E-3</v>
      </c>
      <c r="M165" s="3">
        <f t="shared" si="53"/>
        <v>-1.166656012273859E-2</v>
      </c>
      <c r="O165">
        <v>161</v>
      </c>
      <c r="P165" s="8">
        <v>0.47017392177505429</v>
      </c>
      <c r="Q165" s="8">
        <v>0.935512470974453</v>
      </c>
      <c r="R165" s="8">
        <v>2.0120769839750001</v>
      </c>
      <c r="S165" s="8">
        <v>0.8458761562430499</v>
      </c>
      <c r="T165" s="8">
        <v>-0.71484130925075851</v>
      </c>
      <c r="V165">
        <v>161</v>
      </c>
      <c r="W165">
        <v>0.47017392177505429</v>
      </c>
      <c r="X165">
        <v>0.17251609348185107</v>
      </c>
      <c r="Y165">
        <v>2.1762324045636827</v>
      </c>
      <c r="Z165">
        <v>1.0506971195624644</v>
      </c>
      <c r="AA165">
        <v>-0.86792689163827474</v>
      </c>
      <c r="AQ165">
        <v>161</v>
      </c>
      <c r="AR165" s="21">
        <f t="shared" si="39"/>
        <v>2380.9117899247144</v>
      </c>
      <c r="AS165" s="21">
        <f t="shared" si="40"/>
        <v>2372.3405346049594</v>
      </c>
      <c r="AT165" s="21">
        <f t="shared" si="41"/>
        <v>2428.1929724194347</v>
      </c>
      <c r="AU165" s="21">
        <f t="shared" si="42"/>
        <v>2396.6511674718545</v>
      </c>
      <c r="AV165" s="21">
        <f t="shared" si="43"/>
        <v>2343.8456243985456</v>
      </c>
      <c r="BE165">
        <v>161</v>
      </c>
      <c r="BF165" s="3">
        <f t="shared" si="44"/>
        <v>3.2833297091322035E-4</v>
      </c>
      <c r="BG165" s="3">
        <f t="shared" si="45"/>
        <v>2.644635237417562E-3</v>
      </c>
      <c r="BH165" s="3">
        <f t="shared" si="46"/>
        <v>2.7186502354430743E-2</v>
      </c>
      <c r="BI165" s="3">
        <f t="shared" si="47"/>
        <v>-2.8275167687413999E-3</v>
      </c>
      <c r="BJ165" s="3">
        <f t="shared" si="48"/>
        <v>-9.812469785454728E-3</v>
      </c>
      <c r="BL165">
        <v>161</v>
      </c>
      <c r="BM165" s="3">
        <v>3.2047738743774022E-3</v>
      </c>
    </row>
    <row r="166" spans="1:65" x14ac:dyDescent="0.3">
      <c r="A166" s="2">
        <v>45849</v>
      </c>
      <c r="B166">
        <v>2519.6</v>
      </c>
      <c r="C166">
        <v>3361.6</v>
      </c>
      <c r="D166">
        <v>1421.9</v>
      </c>
      <c r="E166">
        <v>3266</v>
      </c>
      <c r="F166">
        <v>3073.2</v>
      </c>
      <c r="H166" s="2">
        <v>45849</v>
      </c>
      <c r="I166" s="3">
        <f t="shared" si="49"/>
        <v>1.19208455853137E-3</v>
      </c>
      <c r="J166" s="3">
        <f t="shared" si="50"/>
        <v>-1.2658971421858012E-2</v>
      </c>
      <c r="K166" s="3">
        <f t="shared" si="51"/>
        <v>-7.7301475755442439E-4</v>
      </c>
      <c r="L166" s="3">
        <f t="shared" si="52"/>
        <v>1.3435938809073233E-2</v>
      </c>
      <c r="M166" s="3">
        <f t="shared" si="53"/>
        <v>-6.1123508295333195E-3</v>
      </c>
      <c r="O166">
        <v>162</v>
      </c>
      <c r="P166" s="8">
        <v>2.0739731781907005</v>
      </c>
      <c r="Q166" s="8">
        <v>-0.57155082279348235</v>
      </c>
      <c r="R166" s="8">
        <v>-0.76071490074915604</v>
      </c>
      <c r="S166" s="8">
        <v>-0.84537146945277541</v>
      </c>
      <c r="T166" s="8">
        <v>7.0359307045145911E-2</v>
      </c>
      <c r="V166">
        <v>162</v>
      </c>
      <c r="W166">
        <v>2.0739731781907005</v>
      </c>
      <c r="X166">
        <v>-0.18639987473999475</v>
      </c>
      <c r="Y166">
        <v>-0.81004855714769286</v>
      </c>
      <c r="Z166">
        <v>-0.89294847759230034</v>
      </c>
      <c r="AA166">
        <v>0.11758958775897936</v>
      </c>
      <c r="AQ166">
        <v>162</v>
      </c>
      <c r="AR166" s="21">
        <f t="shared" si="39"/>
        <v>2425.6725708182357</v>
      </c>
      <c r="AS166" s="21">
        <f t="shared" si="40"/>
        <v>2362.4656065662689</v>
      </c>
      <c r="AT166" s="21">
        <f t="shared" si="41"/>
        <v>2345.4269948967017</v>
      </c>
      <c r="AU166" s="21">
        <f t="shared" si="42"/>
        <v>2343.1727358370404</v>
      </c>
      <c r="AV166" s="21">
        <f t="shared" si="43"/>
        <v>2370.8337884173707</v>
      </c>
      <c r="BE166">
        <v>162</v>
      </c>
      <c r="BF166" s="3">
        <f t="shared" si="44"/>
        <v>1.8625315398625233E-2</v>
      </c>
      <c r="BG166" s="3">
        <f t="shared" si="45"/>
        <v>-4.1712129544889346E-3</v>
      </c>
      <c r="BH166" s="3">
        <f t="shared" si="46"/>
        <v>-3.4679875272929414E-2</v>
      </c>
      <c r="BI166" s="3">
        <f t="shared" si="47"/>
        <v>-2.2566535040464856E-2</v>
      </c>
      <c r="BJ166" s="3">
        <f t="shared" si="48"/>
        <v>1.144869308773252E-2</v>
      </c>
      <c r="BL166">
        <v>162</v>
      </c>
      <c r="BM166" s="3">
        <v>3.3049648931287091E-3</v>
      </c>
    </row>
    <row r="167" spans="1:65" x14ac:dyDescent="0.3">
      <c r="A167" s="2">
        <v>45848</v>
      </c>
      <c r="B167">
        <v>2408.4</v>
      </c>
      <c r="C167">
        <v>3419.8</v>
      </c>
      <c r="D167">
        <v>1424.1</v>
      </c>
      <c r="E167">
        <v>3382</v>
      </c>
      <c r="F167">
        <v>3162.4</v>
      </c>
      <c r="H167" s="2">
        <v>45848</v>
      </c>
      <c r="I167" s="3">
        <f t="shared" si="49"/>
        <v>-4.4133989522146311E-2</v>
      </c>
      <c r="J167" s="3">
        <f t="shared" si="50"/>
        <v>1.7313184198000986E-2</v>
      </c>
      <c r="K167" s="3">
        <f t="shared" si="51"/>
        <v>1.5472255432871229E-3</v>
      </c>
      <c r="L167" s="3">
        <f t="shared" si="52"/>
        <v>3.5517452541334871E-2</v>
      </c>
      <c r="M167" s="3">
        <f t="shared" si="53"/>
        <v>2.9025120395678838E-2</v>
      </c>
      <c r="O167">
        <v>163</v>
      </c>
      <c r="P167" s="8">
        <v>-1.4158608476102823</v>
      </c>
      <c r="Q167" s="8">
        <v>-1.0521684002108074</v>
      </c>
      <c r="R167" s="8">
        <v>0.88499177941107765</v>
      </c>
      <c r="S167" s="8">
        <v>0.73531550041526383</v>
      </c>
      <c r="T167" s="8">
        <v>0.59897923130417974</v>
      </c>
      <c r="V167">
        <v>163</v>
      </c>
      <c r="W167">
        <v>-1.4158608476102823</v>
      </c>
      <c r="X167">
        <v>-0.16359810592179991</v>
      </c>
      <c r="Y167">
        <v>0.60455058735760725</v>
      </c>
      <c r="Z167">
        <v>0.55478717026766156</v>
      </c>
      <c r="AA167">
        <v>5.2574319491784927E-3</v>
      </c>
      <c r="AQ167">
        <v>163</v>
      </c>
      <c r="AR167" s="21">
        <f t="shared" si="39"/>
        <v>2329.3291770987544</v>
      </c>
      <c r="AS167" s="21">
        <f t="shared" si="40"/>
        <v>2363.1066312711059</v>
      </c>
      <c r="AT167" s="21">
        <f t="shared" si="41"/>
        <v>2384.2761492086647</v>
      </c>
      <c r="AU167" s="21">
        <f t="shared" si="42"/>
        <v>2382.8952321061288</v>
      </c>
      <c r="AV167" s="21">
        <f t="shared" si="43"/>
        <v>2367.7366015707426</v>
      </c>
      <c r="BE167">
        <v>163</v>
      </c>
      <c r="BF167" s="3">
        <f t="shared" si="44"/>
        <v>-4.0528515426491794E-2</v>
      </c>
      <c r="BG167" s="3">
        <f t="shared" si="45"/>
        <v>2.7130035327202327E-4</v>
      </c>
      <c r="BH167" s="3">
        <f t="shared" si="46"/>
        <v>1.6428104196084193E-2</v>
      </c>
      <c r="BI167" s="3">
        <f t="shared" si="47"/>
        <v>1.6810351420635059E-2</v>
      </c>
      <c r="BJ167" s="3">
        <f t="shared" si="48"/>
        <v>-1.3072243452247499E-3</v>
      </c>
      <c r="BL167">
        <v>163</v>
      </c>
      <c r="BM167" s="3">
        <v>3.3786556186202353E-3</v>
      </c>
    </row>
    <row r="168" spans="1:65" x14ac:dyDescent="0.3">
      <c r="A168" s="2">
        <v>45847</v>
      </c>
      <c r="B168">
        <v>2423.4</v>
      </c>
      <c r="C168">
        <v>3432.1</v>
      </c>
      <c r="D168">
        <v>1431.9</v>
      </c>
      <c r="E168">
        <v>3383.8</v>
      </c>
      <c r="F168">
        <v>3176.3</v>
      </c>
      <c r="H168" s="2">
        <v>45847</v>
      </c>
      <c r="I168" s="3">
        <f t="shared" si="49"/>
        <v>6.2282012954659738E-3</v>
      </c>
      <c r="J168" s="3">
        <f t="shared" si="50"/>
        <v>3.5967015614948306E-3</v>
      </c>
      <c r="K168" s="3">
        <f t="shared" si="51"/>
        <v>5.4771434590268342E-3</v>
      </c>
      <c r="L168" s="3">
        <f t="shared" si="52"/>
        <v>5.3222945002961985E-4</v>
      </c>
      <c r="M168" s="3">
        <f t="shared" si="53"/>
        <v>4.3953959018467881E-3</v>
      </c>
      <c r="O168">
        <v>164</v>
      </c>
      <c r="P168" s="8">
        <v>1.1046987300796576</v>
      </c>
      <c r="Q168" s="8">
        <v>-0.86731964442501752</v>
      </c>
      <c r="R168" s="8">
        <v>0.79638508872635116</v>
      </c>
      <c r="S168" s="8">
        <v>0.47986838296835049</v>
      </c>
      <c r="T168" s="8">
        <v>-1.4466358193886777</v>
      </c>
      <c r="V168">
        <v>164</v>
      </c>
      <c r="W168">
        <v>1.1046987300796576</v>
      </c>
      <c r="X168">
        <v>-0.21279068539854232</v>
      </c>
      <c r="Y168">
        <v>0.62309660123376442</v>
      </c>
      <c r="Z168">
        <v>0.39186217678756913</v>
      </c>
      <c r="AA168">
        <v>-1.8358989649972872</v>
      </c>
      <c r="AQ168">
        <v>164</v>
      </c>
      <c r="AR168" s="21">
        <f t="shared" si="39"/>
        <v>2398.5208537911058</v>
      </c>
      <c r="AS168" s="21">
        <f t="shared" si="40"/>
        <v>2361.7459836421708</v>
      </c>
      <c r="AT168" s="21">
        <f t="shared" si="41"/>
        <v>2384.7899492084448</v>
      </c>
      <c r="AU168" s="21">
        <f t="shared" si="42"/>
        <v>2378.3907485308541</v>
      </c>
      <c r="AV168" s="21">
        <f t="shared" si="43"/>
        <v>2317.6480558951157</v>
      </c>
      <c r="BE168">
        <v>164</v>
      </c>
      <c r="BF168" s="3">
        <f t="shared" si="44"/>
        <v>2.9271917135969088E-2</v>
      </c>
      <c r="BG168" s="3">
        <f t="shared" si="45"/>
        <v>-5.7595348572501742E-4</v>
      </c>
      <c r="BH168" s="3">
        <f t="shared" si="46"/>
        <v>2.154719566325978E-4</v>
      </c>
      <c r="BI168" s="3">
        <f t="shared" si="47"/>
        <v>-1.8921295370572841E-3</v>
      </c>
      <c r="BJ168" s="3">
        <f t="shared" si="48"/>
        <v>-2.1381575934052321E-2</v>
      </c>
      <c r="BL168">
        <v>164</v>
      </c>
      <c r="BM168" s="3">
        <v>3.4736583931898263E-3</v>
      </c>
    </row>
    <row r="169" spans="1:65" x14ac:dyDescent="0.3">
      <c r="A169" s="2">
        <v>45846</v>
      </c>
      <c r="B169">
        <v>2392.6999999999998</v>
      </c>
      <c r="C169">
        <v>3441.3</v>
      </c>
      <c r="D169">
        <v>1442</v>
      </c>
      <c r="E169">
        <v>3406.2</v>
      </c>
      <c r="F169">
        <v>3157.9</v>
      </c>
      <c r="H169" s="2">
        <v>45846</v>
      </c>
      <c r="I169" s="3">
        <f t="shared" si="49"/>
        <v>-1.2668152182883641E-2</v>
      </c>
      <c r="J169" s="3">
        <f t="shared" si="50"/>
        <v>2.6805745753328836E-3</v>
      </c>
      <c r="K169" s="3">
        <f t="shared" si="51"/>
        <v>7.0535651931000753E-3</v>
      </c>
      <c r="L169" s="3">
        <f t="shared" si="52"/>
        <v>6.6197765825402044E-3</v>
      </c>
      <c r="M169" s="3">
        <f t="shared" si="53"/>
        <v>-5.7929036929761368E-3</v>
      </c>
      <c r="O169">
        <v>165</v>
      </c>
      <c r="P169" s="8">
        <v>2.1901743270827332</v>
      </c>
      <c r="Q169" s="8">
        <v>0.58272210025900029</v>
      </c>
      <c r="R169" s="8">
        <v>2.3591055385839596E-2</v>
      </c>
      <c r="S169" s="8">
        <v>0.20834917310566209</v>
      </c>
      <c r="T169" s="8">
        <v>-1.1297548878084034</v>
      </c>
      <c r="V169">
        <v>165</v>
      </c>
      <c r="W169">
        <v>2.1901743270827332</v>
      </c>
      <c r="X169">
        <v>4.2372026311359126E-2</v>
      </c>
      <c r="Y169">
        <v>0.20383687135663311</v>
      </c>
      <c r="Z169">
        <v>0.35121060207666971</v>
      </c>
      <c r="AA169">
        <v>-0.97543798626946621</v>
      </c>
      <c r="AQ169">
        <v>165</v>
      </c>
      <c r="AR169" s="21">
        <f t="shared" si="39"/>
        <v>2428.9476794767093</v>
      </c>
      <c r="AS169" s="21">
        <f t="shared" si="40"/>
        <v>2368.7500130461199</v>
      </c>
      <c r="AT169" s="21">
        <f t="shared" si="41"/>
        <v>2373.2055464170539</v>
      </c>
      <c r="AU169" s="21">
        <f t="shared" si="42"/>
        <v>2377.2700360371068</v>
      </c>
      <c r="AV169" s="21">
        <f t="shared" si="43"/>
        <v>2340.9240844123642</v>
      </c>
      <c r="BE169">
        <v>165</v>
      </c>
      <c r="BF169" s="3">
        <f t="shared" si="44"/>
        <v>1.2605873408446634E-2</v>
      </c>
      <c r="BG169" s="3">
        <f t="shared" si="45"/>
        <v>2.9612262760459617E-3</v>
      </c>
      <c r="BH169" s="3">
        <f t="shared" si="46"/>
        <v>-4.8694563466616433E-3</v>
      </c>
      <c r="BI169" s="3">
        <f t="shared" si="47"/>
        <v>-4.7131726389326527E-4</v>
      </c>
      <c r="BJ169" s="3">
        <f t="shared" si="48"/>
        <v>9.9928568264203901E-3</v>
      </c>
      <c r="BL169">
        <v>165</v>
      </c>
      <c r="BM169" s="3">
        <v>3.48147898071559E-3</v>
      </c>
    </row>
    <row r="170" spans="1:65" x14ac:dyDescent="0.3">
      <c r="A170" s="2">
        <v>45845</v>
      </c>
      <c r="B170">
        <v>2410.4</v>
      </c>
      <c r="C170">
        <v>3666.1</v>
      </c>
      <c r="D170">
        <v>1435.7</v>
      </c>
      <c r="E170">
        <v>3411.7</v>
      </c>
      <c r="F170">
        <v>3160.2</v>
      </c>
      <c r="H170" s="2">
        <v>45845</v>
      </c>
      <c r="I170" s="3">
        <f t="shared" si="49"/>
        <v>7.3975007313913377E-3</v>
      </c>
      <c r="J170" s="3">
        <f t="shared" si="50"/>
        <v>6.5324150756981281E-2</v>
      </c>
      <c r="K170" s="3">
        <f t="shared" si="51"/>
        <v>-4.3689320388349273E-3</v>
      </c>
      <c r="L170" s="3">
        <f t="shared" si="52"/>
        <v>1.6147026011390508E-3</v>
      </c>
      <c r="M170" s="3">
        <f t="shared" si="53"/>
        <v>7.2833211944645093E-4</v>
      </c>
      <c r="O170">
        <v>166</v>
      </c>
      <c r="P170" s="8">
        <v>-1.8823015976418194</v>
      </c>
      <c r="Q170" s="8">
        <v>0.35230419577776417</v>
      </c>
      <c r="R170" s="8">
        <v>-1.353279711972375</v>
      </c>
      <c r="S170" s="8">
        <v>1.3487569285041192</v>
      </c>
      <c r="T170" s="8">
        <v>-1.3659608787937449</v>
      </c>
      <c r="V170">
        <v>166</v>
      </c>
      <c r="W170">
        <v>-1.8823015976418194</v>
      </c>
      <c r="X170">
        <v>0.13561373272642546</v>
      </c>
      <c r="Y170">
        <v>-1.2966361137636178</v>
      </c>
      <c r="Z170">
        <v>1.2982383445717582</v>
      </c>
      <c r="AA170">
        <v>-1.1556787160151141</v>
      </c>
      <c r="AQ170">
        <v>166</v>
      </c>
      <c r="AR170" s="21">
        <f t="shared" si="39"/>
        <v>2316.7450530418855</v>
      </c>
      <c r="AS170" s="21">
        <f t="shared" si="40"/>
        <v>2371.3343283358067</v>
      </c>
      <c r="AT170" s="21">
        <f t="shared" si="41"/>
        <v>2332.2092473169369</v>
      </c>
      <c r="AU170" s="21">
        <f t="shared" si="42"/>
        <v>2403.5664525637894</v>
      </c>
      <c r="AV170" s="21">
        <f t="shared" si="43"/>
        <v>2336.0250736245544</v>
      </c>
      <c r="BE170">
        <v>166</v>
      </c>
      <c r="BF170" s="3">
        <f t="shared" si="44"/>
        <v>-4.7294903662739661E-2</v>
      </c>
      <c r="BG170" s="3">
        <f t="shared" si="45"/>
        <v>1.0904090980770878E-3</v>
      </c>
      <c r="BH170" s="3">
        <f t="shared" si="46"/>
        <v>-1.7425599346444109E-2</v>
      </c>
      <c r="BI170" s="3">
        <f t="shared" si="47"/>
        <v>1.1000870574157101E-2</v>
      </c>
      <c r="BJ170" s="3">
        <f t="shared" si="48"/>
        <v>-2.0949608020208997E-3</v>
      </c>
      <c r="BL170">
        <v>166</v>
      </c>
      <c r="BM170" s="3">
        <v>3.5046535601575193E-3</v>
      </c>
    </row>
    <row r="171" spans="1:65" x14ac:dyDescent="0.3">
      <c r="A171" s="2">
        <v>45842</v>
      </c>
      <c r="B171">
        <v>2339.3000000000002</v>
      </c>
      <c r="C171">
        <v>3686.9</v>
      </c>
      <c r="D171">
        <v>1442.8</v>
      </c>
      <c r="E171">
        <v>3419.8</v>
      </c>
      <c r="F171">
        <v>3162.5</v>
      </c>
      <c r="H171" s="2">
        <v>45842</v>
      </c>
      <c r="I171" s="3">
        <f t="shared" si="49"/>
        <v>-2.9497178891470299E-2</v>
      </c>
      <c r="J171" s="3">
        <f t="shared" si="50"/>
        <v>5.6736041024523232E-3</v>
      </c>
      <c r="K171" s="3">
        <f t="shared" si="51"/>
        <v>4.9453228390332615E-3</v>
      </c>
      <c r="L171" s="3">
        <f t="shared" si="52"/>
        <v>2.3741829586423346E-3</v>
      </c>
      <c r="M171" s="3">
        <f t="shared" si="53"/>
        <v>7.2780203784583719E-4</v>
      </c>
      <c r="O171">
        <v>167</v>
      </c>
      <c r="P171" s="8">
        <v>-1.3345913395043438</v>
      </c>
      <c r="Q171" s="8">
        <v>0.39822839641649654</v>
      </c>
      <c r="R171" s="8">
        <v>-1.4081128252994459</v>
      </c>
      <c r="S171" s="8">
        <v>0.64257395349986302</v>
      </c>
      <c r="T171" s="8">
        <v>-0.18398542408767268</v>
      </c>
      <c r="V171">
        <v>167</v>
      </c>
      <c r="W171">
        <v>-1.3345913395043438</v>
      </c>
      <c r="X171">
        <v>0.12608524357460738</v>
      </c>
      <c r="Y171">
        <v>-1.3261444409346252</v>
      </c>
      <c r="Z171">
        <v>0.62023253248592014</v>
      </c>
      <c r="AA171">
        <v>7.7470671263979246E-2</v>
      </c>
      <c r="AQ171">
        <v>167</v>
      </c>
      <c r="AR171" s="21">
        <f t="shared" si="39"/>
        <v>2331.5280213216993</v>
      </c>
      <c r="AS171" s="21">
        <f t="shared" si="40"/>
        <v>2371.0695742296557</v>
      </c>
      <c r="AT171" s="21">
        <f t="shared" si="41"/>
        <v>2331.4102041004048</v>
      </c>
      <c r="AU171" s="21">
        <f t="shared" si="42"/>
        <v>2384.7155077555544</v>
      </c>
      <c r="AV171" s="21">
        <f t="shared" si="43"/>
        <v>2369.7228059564663</v>
      </c>
      <c r="BE171">
        <v>167</v>
      </c>
      <c r="BF171" s="3">
        <f t="shared" si="44"/>
        <v>6.3606495934678438E-3</v>
      </c>
      <c r="BG171" s="3">
        <f t="shared" si="45"/>
        <v>-1.1165396784651731E-4</v>
      </c>
      <c r="BH171" s="3">
        <f t="shared" si="46"/>
        <v>-3.4267085154560004E-4</v>
      </c>
      <c r="BI171" s="3">
        <f t="shared" si="47"/>
        <v>-7.8738229520847504E-3</v>
      </c>
      <c r="BJ171" s="3">
        <f t="shared" si="48"/>
        <v>1.4322190314171736E-2</v>
      </c>
      <c r="BL171">
        <v>167</v>
      </c>
      <c r="BM171" s="3">
        <v>3.6220453266899945E-3</v>
      </c>
    </row>
    <row r="172" spans="1:65" x14ac:dyDescent="0.3">
      <c r="A172" s="2">
        <v>45841</v>
      </c>
      <c r="B172">
        <v>2313.4</v>
      </c>
      <c r="C172">
        <v>3678.7</v>
      </c>
      <c r="D172">
        <v>1425.9</v>
      </c>
      <c r="E172">
        <v>3400.8</v>
      </c>
      <c r="F172">
        <v>3174.4</v>
      </c>
      <c r="H172" s="2">
        <v>45841</v>
      </c>
      <c r="I172" s="3">
        <f t="shared" si="49"/>
        <v>-1.1071688111828348E-2</v>
      </c>
      <c r="J172" s="3">
        <f t="shared" si="50"/>
        <v>-2.2240906995036891E-3</v>
      </c>
      <c r="K172" s="3">
        <f t="shared" si="51"/>
        <v>-1.1713335181591233E-2</v>
      </c>
      <c r="L172" s="3">
        <f t="shared" si="52"/>
        <v>-5.5558804608456525E-3</v>
      </c>
      <c r="M172" s="3">
        <f t="shared" si="53"/>
        <v>3.7628458498024653E-3</v>
      </c>
      <c r="O172">
        <v>168</v>
      </c>
      <c r="P172" s="8">
        <v>0.41957792422194629</v>
      </c>
      <c r="Q172" s="8">
        <v>-1.9721891237657996</v>
      </c>
      <c r="R172" s="8">
        <v>0.29999281198428573</v>
      </c>
      <c r="S172" s="8">
        <v>0.21097792123010997</v>
      </c>
      <c r="T172" s="8">
        <v>-0.48500421054091603</v>
      </c>
      <c r="V172">
        <v>168</v>
      </c>
      <c r="W172">
        <v>0.41957792422194629</v>
      </c>
      <c r="X172">
        <v>-0.41208377574032767</v>
      </c>
      <c r="Y172">
        <v>-0.11392778310116464</v>
      </c>
      <c r="Z172">
        <v>-7.558453299278961E-2</v>
      </c>
      <c r="AA172">
        <v>-1.1272809888629081</v>
      </c>
      <c r="AQ172">
        <v>168</v>
      </c>
      <c r="AR172" s="21">
        <f t="shared" si="39"/>
        <v>2379.5120874443583</v>
      </c>
      <c r="AS172" s="21">
        <f t="shared" si="40"/>
        <v>2356.2891862509273</v>
      </c>
      <c r="AT172" s="21">
        <f t="shared" si="41"/>
        <v>2364.4658502601251</v>
      </c>
      <c r="AU172" s="21">
        <f t="shared" si="42"/>
        <v>2365.5176562576603</v>
      </c>
      <c r="AV172" s="21">
        <f t="shared" si="43"/>
        <v>2336.8015964263009</v>
      </c>
      <c r="BE172">
        <v>168</v>
      </c>
      <c r="BF172" s="3">
        <f t="shared" si="44"/>
        <v>2.0371605616391831E-2</v>
      </c>
      <c r="BG172" s="3">
        <f t="shared" si="45"/>
        <v>-6.2531476409083088E-3</v>
      </c>
      <c r="BH172" s="3">
        <f t="shared" si="46"/>
        <v>1.407881800135714E-2</v>
      </c>
      <c r="BI172" s="3">
        <f t="shared" si="47"/>
        <v>-8.0829531342304205E-3</v>
      </c>
      <c r="BJ172" s="3">
        <f t="shared" si="48"/>
        <v>-1.3989833535834049E-2</v>
      </c>
      <c r="BL172">
        <v>168</v>
      </c>
      <c r="BM172" s="3">
        <v>3.6230632368660885E-3</v>
      </c>
    </row>
    <row r="173" spans="1:65" x14ac:dyDescent="0.3">
      <c r="A173" s="2">
        <v>45840</v>
      </c>
      <c r="B173">
        <v>2307.1</v>
      </c>
      <c r="C173">
        <v>3708</v>
      </c>
      <c r="D173">
        <v>1427.8</v>
      </c>
      <c r="E173">
        <v>3423.3</v>
      </c>
      <c r="F173">
        <v>3165.2</v>
      </c>
      <c r="H173" s="2">
        <v>45840</v>
      </c>
      <c r="I173" s="3">
        <f t="shared" si="49"/>
        <v>-2.7232644592375399E-3</v>
      </c>
      <c r="J173" s="3">
        <f t="shared" si="50"/>
        <v>7.9647701633729362E-3</v>
      </c>
      <c r="K173" s="3">
        <f t="shared" si="51"/>
        <v>1.3324917595902708E-3</v>
      </c>
      <c r="L173" s="3">
        <f t="shared" si="52"/>
        <v>6.6160903316867525E-3</v>
      </c>
      <c r="M173" s="3">
        <f t="shared" si="53"/>
        <v>-2.8981854838711074E-3</v>
      </c>
      <c r="O173">
        <v>169</v>
      </c>
      <c r="P173" s="8">
        <v>0.74146447855325626</v>
      </c>
      <c r="Q173" s="8">
        <v>0.85613192056346965</v>
      </c>
      <c r="R173" s="8">
        <v>-0.38885547467612946</v>
      </c>
      <c r="S173" s="8">
        <v>0.55896572260879651</v>
      </c>
      <c r="T173" s="8">
        <v>1.1657399868765856</v>
      </c>
      <c r="V173">
        <v>169</v>
      </c>
      <c r="W173">
        <v>0.74146447855325626</v>
      </c>
      <c r="X173">
        <v>0.14720251748835045</v>
      </c>
      <c r="Y173">
        <v>-0.17904627454819502</v>
      </c>
      <c r="Z173">
        <v>0.69069769216462862</v>
      </c>
      <c r="AA173">
        <v>1.2603039548211836</v>
      </c>
      <c r="AQ173">
        <v>169</v>
      </c>
      <c r="AR173" s="21">
        <f t="shared" si="39"/>
        <v>2388.4235725739104</v>
      </c>
      <c r="AS173" s="21">
        <f t="shared" si="40"/>
        <v>2371.6420296628762</v>
      </c>
      <c r="AT173" s="21">
        <f t="shared" si="41"/>
        <v>2362.6759769231644</v>
      </c>
      <c r="AU173" s="21">
        <f t="shared" si="42"/>
        <v>2386.6627639415851</v>
      </c>
      <c r="AV173" s="21">
        <f t="shared" si="43"/>
        <v>2402.4989893330217</v>
      </c>
      <c r="BE173">
        <v>169</v>
      </c>
      <c r="BF173" s="3">
        <f t="shared" si="44"/>
        <v>3.7380938594520812E-3</v>
      </c>
      <c r="BG173" s="3">
        <f t="shared" si="45"/>
        <v>6.494551919224799E-3</v>
      </c>
      <c r="BH173" s="3">
        <f t="shared" si="46"/>
        <v>-7.5727510954035906E-4</v>
      </c>
      <c r="BI173" s="3">
        <f t="shared" si="47"/>
        <v>8.8991769518597681E-3</v>
      </c>
      <c r="BJ173" s="3">
        <f t="shared" si="48"/>
        <v>2.7726285930312875E-2</v>
      </c>
      <c r="BL173">
        <v>169</v>
      </c>
      <c r="BM173" s="3">
        <v>3.7978318611940221E-3</v>
      </c>
    </row>
    <row r="174" spans="1:65" x14ac:dyDescent="0.3">
      <c r="A174" s="2">
        <v>45839</v>
      </c>
      <c r="B174">
        <v>2295.5</v>
      </c>
      <c r="C174">
        <v>3700.5</v>
      </c>
      <c r="D174">
        <v>1432</v>
      </c>
      <c r="E174">
        <v>3429.7</v>
      </c>
      <c r="F174">
        <v>3176.1</v>
      </c>
      <c r="H174" s="2">
        <v>45839</v>
      </c>
      <c r="I174" s="3">
        <f t="shared" si="49"/>
        <v>-5.0279571756750574E-3</v>
      </c>
      <c r="J174" s="3">
        <f t="shared" si="50"/>
        <v>-2.0226537216828655E-3</v>
      </c>
      <c r="K174" s="3">
        <f t="shared" si="51"/>
        <v>2.9415884577672635E-3</v>
      </c>
      <c r="L174" s="3">
        <f t="shared" si="52"/>
        <v>1.8695410860865014E-3</v>
      </c>
      <c r="M174" s="3">
        <f t="shared" si="53"/>
        <v>3.4437002401113137E-3</v>
      </c>
      <c r="O174">
        <v>170</v>
      </c>
      <c r="P174" s="8">
        <v>-0.5027922518768887</v>
      </c>
      <c r="Q174" s="8">
        <v>-1.1709135839628491</v>
      </c>
      <c r="R174" s="8">
        <v>-0.14946167578058245</v>
      </c>
      <c r="S174" s="8">
        <v>2.3637794635299811</v>
      </c>
      <c r="T174" s="8">
        <v>0.10951685231672126</v>
      </c>
      <c r="V174">
        <v>170</v>
      </c>
      <c r="W174">
        <v>-0.5027922518768887</v>
      </c>
      <c r="X174">
        <v>-0.2188655638554696</v>
      </c>
      <c r="Y174">
        <v>-0.40732393193678679</v>
      </c>
      <c r="Z174">
        <v>2.1366096842441169</v>
      </c>
      <c r="AA174">
        <v>-0.66048922333810101</v>
      </c>
      <c r="AQ174">
        <v>170</v>
      </c>
      <c r="AR174" s="21">
        <f t="shared" si="39"/>
        <v>2354.159058296847</v>
      </c>
      <c r="AS174" s="21">
        <f t="shared" si="40"/>
        <v>2361.5864346446992</v>
      </c>
      <c r="AT174" s="21">
        <f t="shared" si="41"/>
        <v>2356.4222879266808</v>
      </c>
      <c r="AU174" s="21">
        <f t="shared" si="42"/>
        <v>2427.0785016011428</v>
      </c>
      <c r="AV174" s="21">
        <f t="shared" si="43"/>
        <v>2349.4940126583579</v>
      </c>
      <c r="BE174">
        <v>170</v>
      </c>
      <c r="BF174" s="3">
        <f t="shared" si="44"/>
        <v>-1.4449979325580304E-2</v>
      </c>
      <c r="BG174" s="3">
        <f t="shared" si="45"/>
        <v>-4.2489434948010853E-3</v>
      </c>
      <c r="BH174" s="3">
        <f t="shared" si="46"/>
        <v>-2.6503761126627254E-3</v>
      </c>
      <c r="BI174" s="3">
        <f t="shared" si="47"/>
        <v>1.679221425617082E-2</v>
      </c>
      <c r="BJ174" s="3">
        <f t="shared" si="48"/>
        <v>-2.2309449978851405E-2</v>
      </c>
      <c r="BL174">
        <v>170</v>
      </c>
      <c r="BM174" s="3">
        <v>4.1710720475775969E-3</v>
      </c>
    </row>
    <row r="175" spans="1:65" x14ac:dyDescent="0.3">
      <c r="A175" s="2">
        <v>45838</v>
      </c>
      <c r="B175">
        <v>2294.6</v>
      </c>
      <c r="C175">
        <v>3690.2</v>
      </c>
      <c r="D175">
        <v>1445.8</v>
      </c>
      <c r="E175">
        <v>3462</v>
      </c>
      <c r="F175">
        <v>3183.2</v>
      </c>
      <c r="H175" s="2">
        <v>45838</v>
      </c>
      <c r="I175" s="3">
        <f t="shared" si="49"/>
        <v>-3.9207144412989337E-4</v>
      </c>
      <c r="J175" s="3">
        <f t="shared" si="50"/>
        <v>-2.7834076476151992E-3</v>
      </c>
      <c r="K175" s="3">
        <f t="shared" si="51"/>
        <v>9.636871508379885E-3</v>
      </c>
      <c r="L175" s="3">
        <f t="shared" si="52"/>
        <v>9.4177333294458432E-3</v>
      </c>
      <c r="M175" s="3">
        <f t="shared" si="53"/>
        <v>2.2354459872169219E-3</v>
      </c>
      <c r="O175">
        <v>171</v>
      </c>
      <c r="P175" s="8">
        <v>-0.15069491892371642</v>
      </c>
      <c r="Q175" s="8">
        <v>-0.41808564968782996</v>
      </c>
      <c r="R175" s="8">
        <v>0.1656448237917279</v>
      </c>
      <c r="S175" s="8">
        <v>-1.2749556825097901</v>
      </c>
      <c r="T175" s="8">
        <v>4.4778369264356098E-2</v>
      </c>
      <c r="V175">
        <v>171</v>
      </c>
      <c r="W175">
        <v>-0.15069491892371642</v>
      </c>
      <c r="X175">
        <v>-7.9137063535786659E-2</v>
      </c>
      <c r="Y175">
        <v>6.9275067457535214E-2</v>
      </c>
      <c r="Z175">
        <v>-1.3219871176297342</v>
      </c>
      <c r="AA175">
        <v>0.14131595470993341</v>
      </c>
      <c r="AQ175">
        <v>171</v>
      </c>
      <c r="AR175" s="21">
        <f t="shared" si="39"/>
        <v>2363.8047811800939</v>
      </c>
      <c r="AS175" s="21">
        <f t="shared" si="40"/>
        <v>2365.4201705953324</v>
      </c>
      <c r="AT175" s="21">
        <f t="shared" si="41"/>
        <v>2369.5003545416325</v>
      </c>
      <c r="AU175" s="21">
        <f t="shared" si="42"/>
        <v>2331.5230144727002</v>
      </c>
      <c r="AV175" s="21">
        <f t="shared" si="43"/>
        <v>2371.489003676601</v>
      </c>
      <c r="BE175">
        <v>171</v>
      </c>
      <c r="BF175" s="3">
        <f t="shared" si="44"/>
        <v>4.0889403355680847E-3</v>
      </c>
      <c r="BG175" s="3">
        <f t="shared" si="45"/>
        <v>1.6220568792739397E-3</v>
      </c>
      <c r="BH175" s="3">
        <f t="shared" si="46"/>
        <v>5.5346229671271226E-3</v>
      </c>
      <c r="BI175" s="3">
        <f t="shared" si="47"/>
        <v>-4.0166563020444357E-2</v>
      </c>
      <c r="BJ175" s="3">
        <f t="shared" si="48"/>
        <v>9.3180382502400481E-3</v>
      </c>
      <c r="BL175">
        <v>171</v>
      </c>
      <c r="BM175" s="3">
        <v>4.1824541296769397E-3</v>
      </c>
    </row>
    <row r="176" spans="1:65" x14ac:dyDescent="0.3">
      <c r="A176" s="2">
        <v>45835</v>
      </c>
      <c r="B176">
        <v>2306.9</v>
      </c>
      <c r="C176">
        <v>3666.2</v>
      </c>
      <c r="D176">
        <v>1462.2</v>
      </c>
      <c r="E176">
        <v>3441.1</v>
      </c>
      <c r="F176">
        <v>3203.3</v>
      </c>
      <c r="H176" s="2">
        <v>45835</v>
      </c>
      <c r="I176" s="3">
        <f t="shared" si="49"/>
        <v>5.3604114006799986E-3</v>
      </c>
      <c r="J176" s="3">
        <f t="shared" si="50"/>
        <v>-6.5037125359058701E-3</v>
      </c>
      <c r="K176" s="3">
        <f t="shared" si="51"/>
        <v>1.1343200995988401E-2</v>
      </c>
      <c r="L176" s="3">
        <f t="shared" si="52"/>
        <v>-6.0369728480647034E-3</v>
      </c>
      <c r="M176" s="3">
        <f t="shared" si="53"/>
        <v>6.3144006031667921E-3</v>
      </c>
      <c r="O176">
        <v>172</v>
      </c>
      <c r="P176" s="8">
        <v>0.821166686460577</v>
      </c>
      <c r="Q176" s="8">
        <v>0.38265475618794803</v>
      </c>
      <c r="R176" s="8">
        <v>-0.38703278015857451</v>
      </c>
      <c r="S176" s="8">
        <v>0.30000536288056262</v>
      </c>
      <c r="T176" s="8">
        <v>-1.0252359214191042</v>
      </c>
      <c r="V176">
        <v>172</v>
      </c>
      <c r="W176">
        <v>0.821166686460577</v>
      </c>
      <c r="X176">
        <v>4.8992085615063977E-2</v>
      </c>
      <c r="Y176">
        <v>-0.27552721831439464</v>
      </c>
      <c r="Z176">
        <v>0.36424739599869982</v>
      </c>
      <c r="AA176">
        <v>-0.8544876433375912</v>
      </c>
      <c r="AQ176">
        <v>172</v>
      </c>
      <c r="AR176" s="21">
        <f t="shared" si="39"/>
        <v>2390.6348484838686</v>
      </c>
      <c r="AS176" s="21">
        <f t="shared" si="40"/>
        <v>2368.9382514737094</v>
      </c>
      <c r="AT176" s="21">
        <f t="shared" si="41"/>
        <v>2360.0306034771243</v>
      </c>
      <c r="AU176" s="21">
        <f t="shared" si="42"/>
        <v>2377.6320944595868</v>
      </c>
      <c r="AV176" s="21">
        <f t="shared" si="43"/>
        <v>2344.2144725254216</v>
      </c>
      <c r="BE176">
        <v>172</v>
      </c>
      <c r="BF176" s="3">
        <f t="shared" si="44"/>
        <v>1.1286441390627495E-2</v>
      </c>
      <c r="BG176" s="3">
        <f t="shared" si="45"/>
        <v>1.4861914592392425E-3</v>
      </c>
      <c r="BH176" s="3">
        <f t="shared" si="46"/>
        <v>-4.0045255241941101E-3</v>
      </c>
      <c r="BI176" s="3">
        <f t="shared" si="47"/>
        <v>1.9583365810535575E-2</v>
      </c>
      <c r="BJ176" s="3">
        <f t="shared" si="48"/>
        <v>-1.1567663413867278E-2</v>
      </c>
      <c r="BL176">
        <v>172</v>
      </c>
      <c r="BM176" s="3">
        <v>4.1978486832540138E-3</v>
      </c>
    </row>
    <row r="177" spans="1:65" x14ac:dyDescent="0.3">
      <c r="A177" s="2">
        <v>45834</v>
      </c>
      <c r="B177">
        <v>2280.8000000000002</v>
      </c>
      <c r="C177">
        <v>3694.7</v>
      </c>
      <c r="D177">
        <v>1439.1</v>
      </c>
      <c r="E177">
        <v>3441.8</v>
      </c>
      <c r="F177">
        <v>3215.8</v>
      </c>
      <c r="H177" s="2">
        <v>45834</v>
      </c>
      <c r="I177" s="3">
        <f t="shared" si="49"/>
        <v>-1.1313884433655552E-2</v>
      </c>
      <c r="J177" s="3">
        <f t="shared" si="50"/>
        <v>7.7737166548470515E-3</v>
      </c>
      <c r="K177" s="3">
        <f t="shared" si="51"/>
        <v>-1.5798112433319744E-2</v>
      </c>
      <c r="L177" s="3">
        <f t="shared" si="52"/>
        <v>2.0342332393719076E-4</v>
      </c>
      <c r="M177" s="3">
        <f t="shared" si="53"/>
        <v>3.9022258296133039E-3</v>
      </c>
      <c r="O177">
        <v>173</v>
      </c>
      <c r="P177" s="8">
        <v>0.46571558228279786</v>
      </c>
      <c r="Q177" s="8">
        <v>-1.6423167939567889</v>
      </c>
      <c r="R177" s="8">
        <v>-1.1662267858084074</v>
      </c>
      <c r="S177" s="8">
        <v>1.0373807116081666</v>
      </c>
      <c r="T177" s="8">
        <v>-0.94946331782341842</v>
      </c>
      <c r="V177">
        <v>173</v>
      </c>
      <c r="W177">
        <v>0.46571558228279786</v>
      </c>
      <c r="X177">
        <v>-0.34714804208686856</v>
      </c>
      <c r="Y177">
        <v>-1.4752085587267727</v>
      </c>
      <c r="Z177">
        <v>0.7486820174743628</v>
      </c>
      <c r="AA177">
        <v>-1.3935591489936643</v>
      </c>
      <c r="AQ177">
        <v>173</v>
      </c>
      <c r="AR177" s="21">
        <f t="shared" si="39"/>
        <v>2380.7865925134406</v>
      </c>
      <c r="AS177" s="21">
        <f t="shared" si="40"/>
        <v>2358.0665723931102</v>
      </c>
      <c r="AT177" s="21">
        <f t="shared" si="41"/>
        <v>2327.3797747850685</v>
      </c>
      <c r="AU177" s="21">
        <f t="shared" si="42"/>
        <v>2388.276141361413</v>
      </c>
      <c r="AV177" s="21">
        <f t="shared" si="43"/>
        <v>2329.5829393466634</v>
      </c>
      <c r="BE177">
        <v>173</v>
      </c>
      <c r="BF177" s="3">
        <f t="shared" si="44"/>
        <v>-4.1280235155097249E-3</v>
      </c>
      <c r="BG177" s="3">
        <f t="shared" si="45"/>
        <v>-4.5998253247549869E-3</v>
      </c>
      <c r="BH177" s="3">
        <f t="shared" si="46"/>
        <v>-1.393151192121622E-2</v>
      </c>
      <c r="BI177" s="3">
        <f t="shared" si="47"/>
        <v>4.4667518015586985E-3</v>
      </c>
      <c r="BJ177" s="3">
        <f t="shared" si="48"/>
        <v>-6.261110479344612E-3</v>
      </c>
      <c r="BL177">
        <v>173</v>
      </c>
      <c r="BM177" s="3">
        <v>4.3140916918996252E-3</v>
      </c>
    </row>
    <row r="178" spans="1:65" x14ac:dyDescent="0.3">
      <c r="A178" s="2">
        <v>45833</v>
      </c>
      <c r="B178">
        <v>2278.6999999999998</v>
      </c>
      <c r="C178">
        <v>3652.2</v>
      </c>
      <c r="D178">
        <v>1425.8</v>
      </c>
      <c r="E178">
        <v>3444.8</v>
      </c>
      <c r="F178">
        <v>3215.5</v>
      </c>
      <c r="H178" s="2">
        <v>45833</v>
      </c>
      <c r="I178" s="3">
        <f t="shared" si="49"/>
        <v>-9.2072956857258692E-4</v>
      </c>
      <c r="J178" s="3">
        <f t="shared" si="50"/>
        <v>-1.1502963704766334E-2</v>
      </c>
      <c r="K178" s="3">
        <f t="shared" si="51"/>
        <v>-9.2418872906677718E-3</v>
      </c>
      <c r="L178" s="3">
        <f t="shared" si="52"/>
        <v>8.7163693416236754E-4</v>
      </c>
      <c r="M178" s="3">
        <f t="shared" si="53"/>
        <v>-9.3289383668149206E-5</v>
      </c>
      <c r="O178">
        <v>174</v>
      </c>
      <c r="P178" s="8">
        <v>0.360033760515729</v>
      </c>
      <c r="Q178" s="8">
        <v>-0.45970386566080518</v>
      </c>
      <c r="R178" s="8">
        <v>0.35892164358939299</v>
      </c>
      <c r="S178" s="8">
        <v>-0.14691421997496459</v>
      </c>
      <c r="T178" s="8">
        <v>-0.29036972530079869</v>
      </c>
      <c r="V178">
        <v>174</v>
      </c>
      <c r="W178">
        <v>0.360033760515729</v>
      </c>
      <c r="X178">
        <v>-0.10504976258404483</v>
      </c>
      <c r="Y178">
        <v>0.26263298933701473</v>
      </c>
      <c r="Z178">
        <v>-0.19603292295800673</v>
      </c>
      <c r="AA178">
        <v>-0.44045336947646968</v>
      </c>
      <c r="AQ178">
        <v>174</v>
      </c>
      <c r="AR178" s="21">
        <f t="shared" si="39"/>
        <v>2377.8662531256055</v>
      </c>
      <c r="AS178" s="21">
        <f t="shared" si="40"/>
        <v>2364.7062056465752</v>
      </c>
      <c r="AT178" s="21">
        <f t="shared" si="41"/>
        <v>2374.8272107064709</v>
      </c>
      <c r="AU178" s="21">
        <f t="shared" si="42"/>
        <v>2362.2094284339769</v>
      </c>
      <c r="AV178" s="21">
        <f t="shared" si="43"/>
        <v>2355.515749428494</v>
      </c>
      <c r="BE178">
        <v>174</v>
      </c>
      <c r="BF178" s="3">
        <f t="shared" si="44"/>
        <v>-1.2273808782360585E-3</v>
      </c>
      <c r="BG178" s="3">
        <f t="shared" si="45"/>
        <v>2.8117540012628237E-3</v>
      </c>
      <c r="BH178" s="3">
        <f t="shared" si="46"/>
        <v>2.0181606845922653E-2</v>
      </c>
      <c r="BI178" s="3">
        <f t="shared" si="47"/>
        <v>-1.0974446364911541E-2</v>
      </c>
      <c r="BJ178" s="3">
        <f t="shared" si="48"/>
        <v>1.1070449804075531E-2</v>
      </c>
      <c r="BL178">
        <v>174</v>
      </c>
      <c r="BM178" s="3">
        <v>4.4908790463156845E-3</v>
      </c>
    </row>
    <row r="179" spans="1:65" x14ac:dyDescent="0.3">
      <c r="A179" s="2">
        <v>45832</v>
      </c>
      <c r="B179">
        <v>2263.1</v>
      </c>
      <c r="C179">
        <v>3526</v>
      </c>
      <c r="D179">
        <v>1424.1</v>
      </c>
      <c r="E179">
        <v>3390.4</v>
      </c>
      <c r="F179">
        <v>3150.1</v>
      </c>
      <c r="H179" s="2">
        <v>45832</v>
      </c>
      <c r="I179" s="3">
        <f t="shared" si="49"/>
        <v>-6.8460086891648508E-3</v>
      </c>
      <c r="J179" s="3">
        <f t="shared" si="50"/>
        <v>-3.4554515086796966E-2</v>
      </c>
      <c r="K179" s="3">
        <f t="shared" si="51"/>
        <v>-1.1923130873895404E-3</v>
      </c>
      <c r="L179" s="3">
        <f t="shared" si="52"/>
        <v>-1.5791918253599602E-2</v>
      </c>
      <c r="M179" s="3">
        <f t="shared" si="53"/>
        <v>-2.033898305084747E-2</v>
      </c>
      <c r="O179">
        <v>175</v>
      </c>
      <c r="P179" s="8">
        <v>2.0084358919194822</v>
      </c>
      <c r="Q179" s="8">
        <v>-0.32279987498422813</v>
      </c>
      <c r="R179" s="8">
        <v>3.4483185389683584</v>
      </c>
      <c r="S179" s="8">
        <v>-0.34959264225201148</v>
      </c>
      <c r="T179" s="8">
        <v>-0.82089442705412774</v>
      </c>
      <c r="V179">
        <v>175</v>
      </c>
      <c r="W179">
        <v>2.0084358919194822</v>
      </c>
      <c r="X179">
        <v>-0.133991217356555</v>
      </c>
      <c r="Y179">
        <v>3.3529023598643164</v>
      </c>
      <c r="Z179">
        <v>-0.24176171967750829</v>
      </c>
      <c r="AA179">
        <v>-1.3706541812606914</v>
      </c>
      <c r="AQ179">
        <v>175</v>
      </c>
      <c r="AR179" s="21">
        <f t="shared" si="39"/>
        <v>2423.8249607647363</v>
      </c>
      <c r="AS179" s="21">
        <f t="shared" si="40"/>
        <v>2363.9042223490878</v>
      </c>
      <c r="AT179" s="21">
        <f t="shared" si="41"/>
        <v>2461.6033946502807</v>
      </c>
      <c r="AU179" s="21">
        <f t="shared" si="42"/>
        <v>2360.9414670173351</v>
      </c>
      <c r="AV179" s="21">
        <f t="shared" si="43"/>
        <v>2330.2069907171599</v>
      </c>
      <c r="BE179">
        <v>175</v>
      </c>
      <c r="BF179" s="3">
        <f t="shared" si="44"/>
        <v>1.9143301436326785E-2</v>
      </c>
      <c r="BG179" s="3">
        <f t="shared" si="45"/>
        <v>-3.3920464262775452E-4</v>
      </c>
      <c r="BH179" s="3">
        <f t="shared" si="46"/>
        <v>3.5888242613745222E-2</v>
      </c>
      <c r="BI179" s="3">
        <f t="shared" si="47"/>
        <v>-5.3691337633235924E-4</v>
      </c>
      <c r="BJ179" s="3">
        <f t="shared" si="48"/>
        <v>-1.0802604521952015E-2</v>
      </c>
      <c r="BL179">
        <v>175</v>
      </c>
      <c r="BM179" s="3">
        <v>4.5080413845197806E-3</v>
      </c>
    </row>
    <row r="180" spans="1:65" x14ac:dyDescent="0.3">
      <c r="A180" s="2">
        <v>45831</v>
      </c>
      <c r="B180">
        <v>2275.1</v>
      </c>
      <c r="C180">
        <v>3505.7</v>
      </c>
      <c r="D180">
        <v>1420.1</v>
      </c>
      <c r="E180">
        <v>3393.6</v>
      </c>
      <c r="F180">
        <v>3135</v>
      </c>
      <c r="H180" s="2">
        <v>45831</v>
      </c>
      <c r="I180" s="3">
        <f t="shared" si="49"/>
        <v>5.3024612257523973E-3</v>
      </c>
      <c r="J180" s="3">
        <f t="shared" si="50"/>
        <v>-5.7572319909245939E-3</v>
      </c>
      <c r="K180" s="3">
        <f t="shared" si="51"/>
        <v>-2.8087915174496159E-3</v>
      </c>
      <c r="L180" s="3">
        <f t="shared" si="52"/>
        <v>9.4384143463899228E-4</v>
      </c>
      <c r="M180" s="3">
        <f t="shared" si="53"/>
        <v>-4.7934986190913964E-3</v>
      </c>
      <c r="O180">
        <v>176</v>
      </c>
      <c r="P180" s="8">
        <v>-0.77892825839636637</v>
      </c>
      <c r="Q180" s="8">
        <v>-1.2072627394511855</v>
      </c>
      <c r="R180" s="8">
        <v>-0.69615167177249881</v>
      </c>
      <c r="S180" s="8">
        <v>0.63504666130335996</v>
      </c>
      <c r="T180" s="8">
        <v>2.2202346625698182</v>
      </c>
      <c r="V180">
        <v>176</v>
      </c>
      <c r="W180">
        <v>-0.77892825839636637</v>
      </c>
      <c r="X180">
        <v>-0.21672256262574197</v>
      </c>
      <c r="Y180">
        <v>-0.95633059851745417</v>
      </c>
      <c r="Z180">
        <v>0.40098812895369917</v>
      </c>
      <c r="AA180">
        <v>1.7000894338926142</v>
      </c>
      <c r="AQ180">
        <v>176</v>
      </c>
      <c r="AR180" s="21">
        <f t="shared" si="39"/>
        <v>2346.6207729266462</v>
      </c>
      <c r="AS180" s="21">
        <f t="shared" si="40"/>
        <v>2361.6464093795908</v>
      </c>
      <c r="AT180" s="21">
        <f t="shared" si="41"/>
        <v>2341.4460590346089</v>
      </c>
      <c r="AU180" s="21">
        <f t="shared" si="42"/>
        <v>2378.6497816930837</v>
      </c>
      <c r="AV180" s="21">
        <f t="shared" si="43"/>
        <v>2414.8020986376764</v>
      </c>
      <c r="BE180">
        <v>176</v>
      </c>
      <c r="BF180" s="3">
        <f t="shared" si="44"/>
        <v>-3.2370530374983261E-2</v>
      </c>
      <c r="BG180" s="3">
        <f t="shared" si="45"/>
        <v>-9.5557674322367594E-4</v>
      </c>
      <c r="BH180" s="3">
        <f t="shared" si="46"/>
        <v>-5.0044211618189817E-2</v>
      </c>
      <c r="BI180" s="3">
        <f t="shared" si="47"/>
        <v>7.4725418912577786E-3</v>
      </c>
      <c r="BJ180" s="3">
        <f t="shared" si="48"/>
        <v>3.5660236163355181E-2</v>
      </c>
      <c r="BL180">
        <v>176</v>
      </c>
      <c r="BM180" s="3">
        <v>4.5950388688356658E-3</v>
      </c>
    </row>
    <row r="181" spans="1:65" x14ac:dyDescent="0.3">
      <c r="A181" s="2">
        <v>45828</v>
      </c>
      <c r="B181">
        <v>2306.1999999999998</v>
      </c>
      <c r="C181">
        <v>3519</v>
      </c>
      <c r="D181">
        <v>1427.1</v>
      </c>
      <c r="E181">
        <v>3435.7</v>
      </c>
      <c r="F181">
        <v>3184.4</v>
      </c>
      <c r="H181" s="2">
        <v>45828</v>
      </c>
      <c r="I181" s="3">
        <f t="shared" si="49"/>
        <v>1.3669728803129555E-2</v>
      </c>
      <c r="J181" s="3">
        <f t="shared" si="50"/>
        <v>3.7938214907151657E-3</v>
      </c>
      <c r="K181" s="3">
        <f t="shared" si="51"/>
        <v>4.9292303358918765E-3</v>
      </c>
      <c r="L181" s="3">
        <f t="shared" si="52"/>
        <v>1.2405704856199851E-2</v>
      </c>
      <c r="M181" s="3">
        <f t="shared" si="53"/>
        <v>1.5757575757575859E-2</v>
      </c>
      <c r="O181">
        <v>177</v>
      </c>
      <c r="P181" s="8">
        <v>0.73147441032008198</v>
      </c>
      <c r="Q181" s="8">
        <v>1.9665435674581753</v>
      </c>
      <c r="R181" s="8">
        <v>0.26814341483102072</v>
      </c>
      <c r="S181" s="8">
        <v>1.9350003213400901</v>
      </c>
      <c r="T181" s="8">
        <v>-9.2125947893818144E-2</v>
      </c>
      <c r="V181">
        <v>177</v>
      </c>
      <c r="W181">
        <v>0.73147441032008198</v>
      </c>
      <c r="X181">
        <v>0.37145878806116406</v>
      </c>
      <c r="Y181">
        <v>0.69787194173188949</v>
      </c>
      <c r="Z181">
        <v>2.2393786549650287</v>
      </c>
      <c r="AA181">
        <v>6.2270236258587644E-2</v>
      </c>
      <c r="AQ181">
        <v>177</v>
      </c>
      <c r="AR181" s="21">
        <f t="shared" si="39"/>
        <v>2388.1452012764098</v>
      </c>
      <c r="AS181" s="21">
        <f t="shared" si="40"/>
        <v>2377.8267165746402</v>
      </c>
      <c r="AT181" s="21">
        <f t="shared" si="41"/>
        <v>2386.859182313362</v>
      </c>
      <c r="AU181" s="21">
        <f t="shared" si="42"/>
        <v>2429.9719267703372</v>
      </c>
      <c r="AV181" s="21">
        <f t="shared" si="43"/>
        <v>2369.2972920374386</v>
      </c>
      <c r="BE181">
        <v>177</v>
      </c>
      <c r="BF181" s="3">
        <f t="shared" si="44"/>
        <v>1.7540673917329351E-2</v>
      </c>
      <c r="BG181" s="3">
        <f t="shared" si="45"/>
        <v>6.8279193176715791E-3</v>
      </c>
      <c r="BH181" s="3">
        <f t="shared" si="46"/>
        <v>1.9209639583065426E-2</v>
      </c>
      <c r="BI181" s="3">
        <f t="shared" si="47"/>
        <v>2.1346696435378777E-2</v>
      </c>
      <c r="BJ181" s="3">
        <f t="shared" si="48"/>
        <v>-1.9023927081009976E-2</v>
      </c>
      <c r="BL181">
        <v>177</v>
      </c>
      <c r="BM181" s="3">
        <v>4.6344982303953546E-3</v>
      </c>
    </row>
    <row r="182" spans="1:65" x14ac:dyDescent="0.3">
      <c r="A182" s="2">
        <v>45827</v>
      </c>
      <c r="B182">
        <v>2294.1999999999998</v>
      </c>
      <c r="C182">
        <v>3505.4</v>
      </c>
      <c r="D182">
        <v>1411.3</v>
      </c>
      <c r="E182">
        <v>3424</v>
      </c>
      <c r="F182">
        <v>3094.8</v>
      </c>
      <c r="H182" s="2">
        <v>45827</v>
      </c>
      <c r="I182" s="3">
        <f t="shared" si="49"/>
        <v>-5.2033648425982015E-3</v>
      </c>
      <c r="J182" s="3">
        <f t="shared" si="50"/>
        <v>-3.8647342995168366E-3</v>
      </c>
      <c r="K182" s="3">
        <f t="shared" si="51"/>
        <v>-1.1071403545651948E-2</v>
      </c>
      <c r="L182" s="3">
        <f t="shared" si="52"/>
        <v>-3.4054195651540553E-3</v>
      </c>
      <c r="M182" s="3">
        <f t="shared" si="53"/>
        <v>-2.8137168697399795E-2</v>
      </c>
      <c r="O182">
        <v>178</v>
      </c>
      <c r="P182" s="8">
        <v>0.54818989088866099</v>
      </c>
      <c r="Q182" s="8">
        <v>0.91408168671019474</v>
      </c>
      <c r="R182" s="8">
        <v>-0.75628937769720106</v>
      </c>
      <c r="S182" s="8">
        <v>0.12134969274809174</v>
      </c>
      <c r="T182" s="8">
        <v>-1.7033116610639865</v>
      </c>
      <c r="V182">
        <v>178</v>
      </c>
      <c r="W182">
        <v>0.54818989088866099</v>
      </c>
      <c r="X182">
        <v>0.16551827551804563</v>
      </c>
      <c r="Y182">
        <v>-0.53077889321912464</v>
      </c>
      <c r="Z182">
        <v>0.25175374842007264</v>
      </c>
      <c r="AA182">
        <v>-1.2252065831592707</v>
      </c>
      <c r="AQ182">
        <v>178</v>
      </c>
      <c r="AR182" s="21">
        <f t="shared" si="39"/>
        <v>2383.0671938159971</v>
      </c>
      <c r="AS182" s="21">
        <f t="shared" si="40"/>
        <v>2372.1474030495501</v>
      </c>
      <c r="AT182" s="21">
        <f t="shared" si="41"/>
        <v>2353.0445877389166</v>
      </c>
      <c r="AU182" s="21">
        <f t="shared" si="42"/>
        <v>2374.5290523733329</v>
      </c>
      <c r="AV182" s="21">
        <f t="shared" si="43"/>
        <v>2334.1441886531179</v>
      </c>
      <c r="BE182">
        <v>178</v>
      </c>
      <c r="BF182" s="3">
        <f t="shared" si="44"/>
        <v>-2.1286033642041765E-3</v>
      </c>
      <c r="BG182" s="3">
        <f t="shared" si="45"/>
        <v>-2.3913040738380597E-3</v>
      </c>
      <c r="BH182" s="3">
        <f t="shared" si="46"/>
        <v>-1.4268293150824099E-2</v>
      </c>
      <c r="BI182" s="3">
        <f t="shared" si="47"/>
        <v>-2.3080580430056827E-2</v>
      </c>
      <c r="BJ182" s="3">
        <f t="shared" si="48"/>
        <v>-1.4948100489273499E-2</v>
      </c>
      <c r="BL182">
        <v>178</v>
      </c>
      <c r="BM182" s="3">
        <v>4.6826323271921075E-3</v>
      </c>
    </row>
    <row r="183" spans="1:65" x14ac:dyDescent="0.3">
      <c r="A183" s="2">
        <v>45826</v>
      </c>
      <c r="B183">
        <v>2297.3000000000002</v>
      </c>
      <c r="C183">
        <v>3467.8</v>
      </c>
      <c r="D183">
        <v>1412.6</v>
      </c>
      <c r="E183">
        <v>3451.4</v>
      </c>
      <c r="F183">
        <v>3041.1</v>
      </c>
      <c r="H183" s="2">
        <v>45826</v>
      </c>
      <c r="I183" s="3">
        <f t="shared" si="49"/>
        <v>1.3512335454626268E-3</v>
      </c>
      <c r="J183" s="3">
        <f t="shared" si="50"/>
        <v>-1.0726307981970606E-2</v>
      </c>
      <c r="K183" s="3">
        <f t="shared" si="51"/>
        <v>9.2113654077796703E-4</v>
      </c>
      <c r="L183" s="3">
        <f t="shared" si="52"/>
        <v>8.0023364485981574E-3</v>
      </c>
      <c r="M183" s="3">
        <f t="shared" si="53"/>
        <v>-1.735168670027154E-2</v>
      </c>
      <c r="O183">
        <v>179</v>
      </c>
      <c r="P183" s="8">
        <v>-0.63217860281827631</v>
      </c>
      <c r="Q183" s="8">
        <v>-1.4842904910338346</v>
      </c>
      <c r="R183" s="8">
        <v>-1.637372777604527</v>
      </c>
      <c r="S183" s="8">
        <v>0.24145705660457378</v>
      </c>
      <c r="T183" s="8">
        <v>-0.1152048583062189</v>
      </c>
      <c r="V183">
        <v>179</v>
      </c>
      <c r="W183">
        <v>-0.63217860281827631</v>
      </c>
      <c r="X183">
        <v>-0.27761918370093502</v>
      </c>
      <c r="Y183">
        <v>-1.9307143497595516</v>
      </c>
      <c r="Z183">
        <v>-5.4501736384306887E-2</v>
      </c>
      <c r="AA183">
        <v>-0.32151018699763068</v>
      </c>
      <c r="AQ183">
        <v>179</v>
      </c>
      <c r="AR183" s="21">
        <f t="shared" si="39"/>
        <v>2350.6229262889483</v>
      </c>
      <c r="AS183" s="21">
        <f t="shared" si="40"/>
        <v>2359.9761829390213</v>
      </c>
      <c r="AT183" s="21">
        <f t="shared" si="41"/>
        <v>2315.100330360865</v>
      </c>
      <c r="AU183" s="21">
        <f t="shared" si="42"/>
        <v>2366.1047784817411</v>
      </c>
      <c r="AV183" s="21">
        <f t="shared" si="43"/>
        <v>2358.7711025039448</v>
      </c>
      <c r="BE183">
        <v>179</v>
      </c>
      <c r="BF183" s="3">
        <f t="shared" si="44"/>
        <v>-1.3708026825773498E-2</v>
      </c>
      <c r="BG183" s="3">
        <f t="shared" si="45"/>
        <v>-5.1440951313421112E-3</v>
      </c>
      <c r="BH183" s="3">
        <f t="shared" si="46"/>
        <v>-1.6257033033163067E-2</v>
      </c>
      <c r="BI183" s="3">
        <f t="shared" si="47"/>
        <v>-3.5540744380306594E-3</v>
      </c>
      <c r="BJ183" s="3">
        <f t="shared" si="48"/>
        <v>1.0495454695609389E-2</v>
      </c>
      <c r="BL183">
        <v>179</v>
      </c>
      <c r="BM183" s="3">
        <v>4.6926773838044354E-3</v>
      </c>
    </row>
    <row r="184" spans="1:65" x14ac:dyDescent="0.3">
      <c r="A184" s="2">
        <v>45825</v>
      </c>
      <c r="B184">
        <v>2328.6</v>
      </c>
      <c r="C184">
        <v>3405.7</v>
      </c>
      <c r="D184">
        <v>1423.2</v>
      </c>
      <c r="E184">
        <v>3515.3</v>
      </c>
      <c r="F184">
        <v>3007.2</v>
      </c>
      <c r="H184" s="2">
        <v>45825</v>
      </c>
      <c r="I184" s="3">
        <f t="shared" si="49"/>
        <v>1.3624689853305894E-2</v>
      </c>
      <c r="J184" s="3">
        <f t="shared" si="50"/>
        <v>-1.7907607128438863E-2</v>
      </c>
      <c r="K184" s="3">
        <f t="shared" si="51"/>
        <v>7.5038935296616316E-3</v>
      </c>
      <c r="L184" s="3">
        <f t="shared" si="52"/>
        <v>1.8514226111143284E-2</v>
      </c>
      <c r="M184" s="3">
        <f t="shared" si="53"/>
        <v>-1.1147282233402445E-2</v>
      </c>
      <c r="O184">
        <v>180</v>
      </c>
      <c r="P184" s="8">
        <v>-0.59274403678276588</v>
      </c>
      <c r="Q184" s="8">
        <v>0.12684616071882848</v>
      </c>
      <c r="R184" s="8">
        <v>0.47623624506097834</v>
      </c>
      <c r="S184" s="8">
        <v>-6.1997441943395903E-2</v>
      </c>
      <c r="T184" s="8">
        <v>0.65542844745537077</v>
      </c>
      <c r="V184">
        <v>180</v>
      </c>
      <c r="W184">
        <v>-0.59274403678276588</v>
      </c>
      <c r="X184">
        <v>4.5912358163773037E-2</v>
      </c>
      <c r="Y184">
        <v>0.47662931945836212</v>
      </c>
      <c r="Z184">
        <v>-4.2477163892863393E-2</v>
      </c>
      <c r="AA184">
        <v>0.59768914640796278</v>
      </c>
      <c r="AQ184">
        <v>180</v>
      </c>
      <c r="AR184" s="21">
        <f t="shared" si="39"/>
        <v>2351.6995172157672</v>
      </c>
      <c r="AS184" s="21">
        <f t="shared" si="40"/>
        <v>2368.8597457153369</v>
      </c>
      <c r="AT184" s="21">
        <f t="shared" si="41"/>
        <v>2380.7358067399155</v>
      </c>
      <c r="AU184" s="21">
        <f t="shared" si="42"/>
        <v>2366.4247418369346</v>
      </c>
      <c r="AV184" s="21">
        <f t="shared" si="43"/>
        <v>2384.0856349288574</v>
      </c>
      <c r="BE184">
        <v>180</v>
      </c>
      <c r="BF184" s="3">
        <f t="shared" si="44"/>
        <v>4.5789754257141306E-4</v>
      </c>
      <c r="BG184" s="3">
        <f t="shared" si="45"/>
        <v>3.7571924087618771E-3</v>
      </c>
      <c r="BH184" s="3">
        <f t="shared" si="46"/>
        <v>2.7956576550436478E-2</v>
      </c>
      <c r="BI184" s="3">
        <f t="shared" si="47"/>
        <v>1.3521874689099677E-4</v>
      </c>
      <c r="BJ184" s="3">
        <f t="shared" si="48"/>
        <v>1.0674905111441967E-2</v>
      </c>
      <c r="BL184">
        <v>180</v>
      </c>
      <c r="BM184" s="3">
        <v>4.8431107743225578E-3</v>
      </c>
    </row>
    <row r="185" spans="1:65" x14ac:dyDescent="0.3">
      <c r="A185" s="2">
        <v>45824</v>
      </c>
      <c r="B185">
        <v>2327.4</v>
      </c>
      <c r="C185">
        <v>3438.1</v>
      </c>
      <c r="D185">
        <v>1426.9</v>
      </c>
      <c r="E185">
        <v>3496.3</v>
      </c>
      <c r="F185">
        <v>3023.6</v>
      </c>
      <c r="H185" s="2">
        <v>45824</v>
      </c>
      <c r="I185" s="3">
        <f t="shared" si="49"/>
        <v>-5.153311002318306E-4</v>
      </c>
      <c r="J185" s="3">
        <f t="shared" si="50"/>
        <v>9.5134627242563496E-3</v>
      </c>
      <c r="K185" s="3">
        <f t="shared" si="51"/>
        <v>2.5997751545812076E-3</v>
      </c>
      <c r="L185" s="3">
        <f t="shared" si="52"/>
        <v>-5.404944101499165E-3</v>
      </c>
      <c r="M185" s="3">
        <f t="shared" si="53"/>
        <v>5.4535780792763777E-3</v>
      </c>
      <c r="O185">
        <v>181</v>
      </c>
      <c r="P185" s="8">
        <v>1.0428923421264933</v>
      </c>
      <c r="Q185" s="8">
        <v>-0.46763574614667902</v>
      </c>
      <c r="R185" s="8">
        <v>0.47538740650767686</v>
      </c>
      <c r="S185" s="8">
        <v>0.3841831130176549</v>
      </c>
      <c r="T185" s="8">
        <v>0.68791813360872589</v>
      </c>
      <c r="V185">
        <v>181</v>
      </c>
      <c r="W185">
        <v>1.0428923421264933</v>
      </c>
      <c r="X185">
        <v>-0.13007451452689758</v>
      </c>
      <c r="Y185">
        <v>0.39259350973797047</v>
      </c>
      <c r="Z185">
        <v>0.34777507008734154</v>
      </c>
      <c r="AA185">
        <v>0.32152440303533353</v>
      </c>
      <c r="AQ185">
        <v>181</v>
      </c>
      <c r="AR185" s="21">
        <f t="shared" si="39"/>
        <v>2396.7971246157995</v>
      </c>
      <c r="AS185" s="21">
        <f t="shared" si="40"/>
        <v>2364.0160575202995</v>
      </c>
      <c r="AT185" s="21">
        <f t="shared" si="41"/>
        <v>2378.4142805681854</v>
      </c>
      <c r="AU185" s="21">
        <f t="shared" si="42"/>
        <v>2377.1743550550973</v>
      </c>
      <c r="AV185" s="21">
        <f t="shared" si="43"/>
        <v>2376.4499670160808</v>
      </c>
      <c r="BE185">
        <v>181</v>
      </c>
      <c r="BF185" s="3">
        <f t="shared" si="44"/>
        <v>1.8995049074687291E-2</v>
      </c>
      <c r="BG185" s="3">
        <f t="shared" si="45"/>
        <v>-2.046827378305431E-3</v>
      </c>
      <c r="BH185" s="3">
        <f t="shared" si="46"/>
        <v>-9.7560543932334771E-4</v>
      </c>
      <c r="BI185" s="3">
        <f t="shared" si="47"/>
        <v>4.5322681785048904E-3</v>
      </c>
      <c r="BJ185" s="3">
        <f t="shared" si="48"/>
        <v>-3.2079056220732888E-3</v>
      </c>
      <c r="BL185">
        <v>181</v>
      </c>
      <c r="BM185" s="3">
        <v>5.2569967438392505E-3</v>
      </c>
    </row>
    <row r="186" spans="1:65" x14ac:dyDescent="0.3">
      <c r="A186" s="2">
        <v>45821</v>
      </c>
      <c r="B186">
        <v>2319</v>
      </c>
      <c r="C186">
        <v>3421.9</v>
      </c>
      <c r="D186">
        <v>1416.1</v>
      </c>
      <c r="E186">
        <v>3445.7</v>
      </c>
      <c r="F186">
        <v>3006</v>
      </c>
      <c r="H186" s="2">
        <v>45821</v>
      </c>
      <c r="I186" s="3">
        <f t="shared" si="49"/>
        <v>-3.6091776230987582E-3</v>
      </c>
      <c r="J186" s="3">
        <f t="shared" si="50"/>
        <v>-4.711904831156688E-3</v>
      </c>
      <c r="K186" s="3">
        <f t="shared" si="51"/>
        <v>-7.5688555610065045E-3</v>
      </c>
      <c r="L186" s="3">
        <f t="shared" si="52"/>
        <v>-1.4472442296141752E-2</v>
      </c>
      <c r="M186" s="3">
        <f t="shared" si="53"/>
        <v>-5.8208757772191255E-3</v>
      </c>
      <c r="O186">
        <v>182</v>
      </c>
      <c r="P186" s="8">
        <v>-1.2244453436116545</v>
      </c>
      <c r="Q186" s="8">
        <v>0.14883168880356487</v>
      </c>
      <c r="R186" s="8">
        <v>0.42619964058172477</v>
      </c>
      <c r="S186" s="8">
        <v>0.19908699342484049</v>
      </c>
      <c r="T186" s="8">
        <v>-0.33257378760930267</v>
      </c>
      <c r="V186">
        <v>182</v>
      </c>
      <c r="W186">
        <v>-1.2244453436116545</v>
      </c>
      <c r="X186">
        <v>7.2016078509972589E-2</v>
      </c>
      <c r="Y186">
        <v>0.41588231200515502</v>
      </c>
      <c r="Z186">
        <v>0.20128395061618745</v>
      </c>
      <c r="AA186">
        <v>-0.33262445009462616</v>
      </c>
      <c r="AQ186">
        <v>182</v>
      </c>
      <c r="AR186" s="21">
        <f t="shared" si="39"/>
        <v>2334.5099590380246</v>
      </c>
      <c r="AS186" s="21">
        <f t="shared" si="40"/>
        <v>2369.5807211992569</v>
      </c>
      <c r="AT186" s="21">
        <f t="shared" si="41"/>
        <v>2379.056739730845</v>
      </c>
      <c r="AU186" s="21">
        <f t="shared" si="42"/>
        <v>2373.1335377364703</v>
      </c>
      <c r="AV186" s="21">
        <f t="shared" si="43"/>
        <v>2358.4655502967134</v>
      </c>
      <c r="BE186">
        <v>182</v>
      </c>
      <c r="BF186" s="3">
        <f t="shared" si="44"/>
        <v>-2.6331313217829548E-2</v>
      </c>
      <c r="BG186" s="3">
        <f t="shared" si="45"/>
        <v>2.3511365680136376E-3</v>
      </c>
      <c r="BH186" s="3">
        <f t="shared" si="46"/>
        <v>2.7008432161700383E-4</v>
      </c>
      <c r="BI186" s="3">
        <f t="shared" si="47"/>
        <v>-1.7012868994855095E-3</v>
      </c>
      <c r="BJ186" s="3">
        <f t="shared" si="48"/>
        <v>-7.5965466077975597E-3</v>
      </c>
      <c r="BL186">
        <v>182</v>
      </c>
      <c r="BM186" s="3">
        <v>5.2794685572940302E-3</v>
      </c>
    </row>
    <row r="187" spans="1:65" x14ac:dyDescent="0.3">
      <c r="A187" s="2">
        <v>45820</v>
      </c>
      <c r="B187">
        <v>2332.6999999999998</v>
      </c>
      <c r="C187">
        <v>3452.7</v>
      </c>
      <c r="D187">
        <v>1425.2</v>
      </c>
      <c r="E187">
        <v>3434.2</v>
      </c>
      <c r="F187">
        <v>3019.2</v>
      </c>
      <c r="H187" s="2">
        <v>45820</v>
      </c>
      <c r="I187" s="3">
        <f t="shared" si="49"/>
        <v>5.9077188443292794E-3</v>
      </c>
      <c r="J187" s="3">
        <f t="shared" si="50"/>
        <v>9.0008474823928264E-3</v>
      </c>
      <c r="K187" s="3">
        <f t="shared" si="51"/>
        <v>6.4260998517053913E-3</v>
      </c>
      <c r="L187" s="3">
        <f t="shared" si="52"/>
        <v>-3.3374931073512082E-3</v>
      </c>
      <c r="M187" s="3">
        <f t="shared" si="53"/>
        <v>4.3912175648701535E-3</v>
      </c>
      <c r="O187">
        <v>183</v>
      </c>
      <c r="P187" s="8">
        <v>0.58280944210202912</v>
      </c>
      <c r="Q187" s="8">
        <v>-0.60853964053694565</v>
      </c>
      <c r="R187" s="8">
        <v>1.103998789146118</v>
      </c>
      <c r="S187" s="8">
        <v>0.60284590338778132</v>
      </c>
      <c r="T187" s="8">
        <v>1.1200400874519147</v>
      </c>
      <c r="V187">
        <v>183</v>
      </c>
      <c r="W187">
        <v>0.58280944210202912</v>
      </c>
      <c r="X187">
        <v>-0.14270463468021888</v>
      </c>
      <c r="Y187">
        <v>0.96480773124088626</v>
      </c>
      <c r="Z187">
        <v>0.54908483128649299</v>
      </c>
      <c r="AA187">
        <v>0.55327320731848006</v>
      </c>
      <c r="AQ187">
        <v>183</v>
      </c>
      <c r="AR187" s="21">
        <f t="shared" si="39"/>
        <v>2384.0246872116804</v>
      </c>
      <c r="AS187" s="21">
        <f t="shared" si="40"/>
        <v>2363.6713714638386</v>
      </c>
      <c r="AT187" s="21">
        <f t="shared" si="41"/>
        <v>2394.2722172994763</v>
      </c>
      <c r="AU187" s="21">
        <f t="shared" si="42"/>
        <v>2382.7358289370122</v>
      </c>
      <c r="AV187" s="21">
        <f t="shared" si="43"/>
        <v>2382.8535837087093</v>
      </c>
      <c r="BE187">
        <v>183</v>
      </c>
      <c r="BF187" s="3">
        <f t="shared" si="44"/>
        <v>2.0988103077618343E-2</v>
      </c>
      <c r="BG187" s="3">
        <f t="shared" si="45"/>
        <v>-2.4969524927122635E-3</v>
      </c>
      <c r="BH187" s="3">
        <f t="shared" si="46"/>
        <v>6.3752275360816554E-3</v>
      </c>
      <c r="BI187" s="3">
        <f t="shared" si="47"/>
        <v>4.0380857875738831E-3</v>
      </c>
      <c r="BJ187" s="3">
        <f t="shared" si="48"/>
        <v>1.0287537207013021E-2</v>
      </c>
      <c r="BL187">
        <v>183</v>
      </c>
      <c r="BM187" s="3">
        <v>5.4854691297823374E-3</v>
      </c>
    </row>
    <row r="188" spans="1:65" x14ac:dyDescent="0.3">
      <c r="A188" s="2">
        <v>45819</v>
      </c>
      <c r="B188">
        <v>2376.4</v>
      </c>
      <c r="C188">
        <v>3541.6</v>
      </c>
      <c r="D188">
        <v>1431</v>
      </c>
      <c r="E188">
        <v>3471.9</v>
      </c>
      <c r="F188">
        <v>3080.7</v>
      </c>
      <c r="H188" s="2">
        <v>45819</v>
      </c>
      <c r="I188" s="3">
        <f t="shared" si="49"/>
        <v>1.8733656278132838E-2</v>
      </c>
      <c r="J188" s="3">
        <f t="shared" si="50"/>
        <v>2.5747965360442659E-2</v>
      </c>
      <c r="K188" s="3">
        <f t="shared" si="51"/>
        <v>4.0696042660679499E-3</v>
      </c>
      <c r="L188" s="3">
        <f t="shared" si="52"/>
        <v>1.097781142624199E-2</v>
      </c>
      <c r="M188" s="3">
        <f t="shared" si="53"/>
        <v>2.0369634340222653E-2</v>
      </c>
      <c r="O188">
        <v>184</v>
      </c>
      <c r="P188" s="8">
        <v>1.5274755111620235</v>
      </c>
      <c r="Q188" s="8">
        <v>-0.20794134049439406</v>
      </c>
      <c r="R188" s="8">
        <v>0.99705845487531752</v>
      </c>
      <c r="S188" s="8">
        <v>-1.2784720175010265</v>
      </c>
      <c r="T188" s="8">
        <v>-3.7164921834279954E-2</v>
      </c>
      <c r="V188">
        <v>184</v>
      </c>
      <c r="W188">
        <v>1.5274755111620235</v>
      </c>
      <c r="X188">
        <v>-9.4330864533618566E-2</v>
      </c>
      <c r="Y188">
        <v>0.96994560386854833</v>
      </c>
      <c r="Z188">
        <v>-1.2261597143951215</v>
      </c>
      <c r="AA188">
        <v>-4.5868255245277455E-2</v>
      </c>
      <c r="AQ188">
        <v>184</v>
      </c>
      <c r="AR188" s="21">
        <f t="shared" si="39"/>
        <v>2410.3228864671587</v>
      </c>
      <c r="AS188" s="21">
        <f t="shared" si="40"/>
        <v>2364.9954102589872</v>
      </c>
      <c r="AT188" s="21">
        <f t="shared" si="41"/>
        <v>2394.4148682401997</v>
      </c>
      <c r="AU188" s="21">
        <f t="shared" si="42"/>
        <v>2334.1152221680481</v>
      </c>
      <c r="AV188" s="21">
        <f t="shared" si="43"/>
        <v>2366.3389891331285</v>
      </c>
      <c r="BE188">
        <v>184</v>
      </c>
      <c r="BF188" s="3">
        <f t="shared" si="44"/>
        <v>1.0970611792030422E-2</v>
      </c>
      <c r="BG188" s="3">
        <f t="shared" si="45"/>
        <v>5.6000513077748078E-4</v>
      </c>
      <c r="BH188" s="3">
        <f t="shared" si="46"/>
        <v>5.9578309552279146E-5</v>
      </c>
      <c r="BI188" s="3">
        <f t="shared" si="47"/>
        <v>-2.0616435991492411E-2</v>
      </c>
      <c r="BJ188" s="3">
        <f t="shared" si="48"/>
        <v>-6.9547237292681315E-3</v>
      </c>
      <c r="BL188">
        <v>184</v>
      </c>
      <c r="BM188" s="3">
        <v>5.5318200047624238E-3</v>
      </c>
    </row>
    <row r="189" spans="1:65" x14ac:dyDescent="0.3">
      <c r="A189" s="2">
        <v>45818</v>
      </c>
      <c r="B189">
        <v>2395.1999999999998</v>
      </c>
      <c r="C189">
        <v>3524.2</v>
      </c>
      <c r="D189">
        <v>1422.9</v>
      </c>
      <c r="E189">
        <v>3462.9</v>
      </c>
      <c r="F189">
        <v>3067.5</v>
      </c>
      <c r="H189" s="2">
        <v>45818</v>
      </c>
      <c r="I189" s="3">
        <f t="shared" si="49"/>
        <v>7.9111260730515554E-3</v>
      </c>
      <c r="J189" s="3">
        <f t="shared" si="50"/>
        <v>-4.91303365710416E-3</v>
      </c>
      <c r="K189" s="3">
        <f t="shared" si="51"/>
        <v>-5.6603773584904538E-3</v>
      </c>
      <c r="L189" s="3">
        <f t="shared" si="52"/>
        <v>-2.5922405599239084E-3</v>
      </c>
      <c r="M189" s="3">
        <f t="shared" si="53"/>
        <v>-4.2847404810594236E-3</v>
      </c>
      <c r="O189">
        <v>185</v>
      </c>
      <c r="P189" s="8">
        <v>0.23143915965860307</v>
      </c>
      <c r="Q189" s="8">
        <v>0.67310076597313329</v>
      </c>
      <c r="R189" s="8">
        <v>-0.39153514443543513</v>
      </c>
      <c r="S189" s="8">
        <v>1.4557549169985906</v>
      </c>
      <c r="T189" s="8">
        <v>0.50267658604974086</v>
      </c>
      <c r="V189">
        <v>185</v>
      </c>
      <c r="W189">
        <v>0.23143915965860307</v>
      </c>
      <c r="X189">
        <v>0.12779073350641729</v>
      </c>
      <c r="Y189">
        <v>-0.23379613454163062</v>
      </c>
      <c r="Z189">
        <v>1.5350443822480551</v>
      </c>
      <c r="AA189">
        <v>0.43693335122537924</v>
      </c>
      <c r="AQ189">
        <v>185</v>
      </c>
      <c r="AR189" s="21">
        <f t="shared" si="39"/>
        <v>2374.3160221420494</v>
      </c>
      <c r="AS189" s="21">
        <f t="shared" si="40"/>
        <v>2371.1096953663296</v>
      </c>
      <c r="AT189" s="21">
        <f t="shared" si="41"/>
        <v>2361.1742885925378</v>
      </c>
      <c r="AU189" s="21">
        <f t="shared" si="42"/>
        <v>2410.1808826405409</v>
      </c>
      <c r="AV189" s="21">
        <f t="shared" si="43"/>
        <v>2379.631908012751</v>
      </c>
      <c r="BE189">
        <v>185</v>
      </c>
      <c r="BF189" s="3">
        <f t="shared" si="44"/>
        <v>-1.5051310983250164E-2</v>
      </c>
      <c r="BG189" s="3">
        <f t="shared" si="45"/>
        <v>2.5819902083287771E-3</v>
      </c>
      <c r="BH189" s="3">
        <f t="shared" si="46"/>
        <v>-1.3979811928421435E-2</v>
      </c>
      <c r="BI189" s="3">
        <f t="shared" si="47"/>
        <v>3.2068900253424813E-2</v>
      </c>
      <c r="BJ189" s="3">
        <f t="shared" si="48"/>
        <v>5.6017847258912883E-3</v>
      </c>
      <c r="BL189">
        <v>185</v>
      </c>
      <c r="BM189" s="3">
        <v>5.6404088963820046E-3</v>
      </c>
    </row>
    <row r="190" spans="1:65" x14ac:dyDescent="0.3">
      <c r="A190" s="2">
        <v>45817</v>
      </c>
      <c r="B190">
        <v>2393.1999999999998</v>
      </c>
      <c r="C190">
        <v>3533.9</v>
      </c>
      <c r="D190">
        <v>1434.8</v>
      </c>
      <c r="E190">
        <v>3421.9</v>
      </c>
      <c r="F190">
        <v>3087.4</v>
      </c>
      <c r="H190" s="2">
        <v>45817</v>
      </c>
      <c r="I190" s="3">
        <f t="shared" si="49"/>
        <v>-8.3500334001340715E-4</v>
      </c>
      <c r="J190" s="3">
        <f t="shared" si="50"/>
        <v>2.7523977072811956E-3</v>
      </c>
      <c r="K190" s="3">
        <f t="shared" si="51"/>
        <v>8.3632019115889022E-3</v>
      </c>
      <c r="L190" s="3">
        <f t="shared" si="52"/>
        <v>-1.1839787461376261E-2</v>
      </c>
      <c r="M190" s="3">
        <f t="shared" si="53"/>
        <v>6.4873675631622607E-3</v>
      </c>
      <c r="O190">
        <v>186</v>
      </c>
      <c r="P190" s="8">
        <v>1.4880502497881718</v>
      </c>
      <c r="Q190" s="8">
        <v>-0.14706519794417677</v>
      </c>
      <c r="R190" s="8">
        <v>-0.53926531945836931</v>
      </c>
      <c r="S190" s="8">
        <v>-0.33801188844696289</v>
      </c>
      <c r="T190" s="8">
        <v>1.6919179806150488</v>
      </c>
      <c r="V190">
        <v>186</v>
      </c>
      <c r="W190">
        <v>1.4880502497881718</v>
      </c>
      <c r="X190">
        <v>-8.0702768333433941E-2</v>
      </c>
      <c r="Y190">
        <v>-0.51907020092192513</v>
      </c>
      <c r="Z190">
        <v>-0.33489749518854844</v>
      </c>
      <c r="AA190">
        <v>1.6245300206917856</v>
      </c>
      <c r="AQ190">
        <v>186</v>
      </c>
      <c r="AR190" s="21">
        <f t="shared" si="39"/>
        <v>2409.2192311316544</v>
      </c>
      <c r="AS190" s="21">
        <f t="shared" si="40"/>
        <v>2365.3699166673473</v>
      </c>
      <c r="AT190" s="21">
        <f t="shared" si="41"/>
        <v>2353.3656436346705</v>
      </c>
      <c r="AU190" s="21">
        <f t="shared" si="42"/>
        <v>2358.4064372899315</v>
      </c>
      <c r="AV190" s="21">
        <f t="shared" si="43"/>
        <v>2412.6873490964917</v>
      </c>
      <c r="BE190">
        <v>186</v>
      </c>
      <c r="BF190" s="3">
        <f t="shared" si="44"/>
        <v>1.4593319195704156E-2</v>
      </c>
      <c r="BG190" s="3">
        <f t="shared" si="45"/>
        <v>-2.4236487766383114E-3</v>
      </c>
      <c r="BH190" s="3">
        <f t="shared" si="46"/>
        <v>-3.3125828651814244E-3</v>
      </c>
      <c r="BI190" s="3">
        <f t="shared" si="47"/>
        <v>-2.1715647198744397E-2</v>
      </c>
      <c r="BJ190" s="3">
        <f t="shared" si="48"/>
        <v>1.3795393649010109E-2</v>
      </c>
      <c r="BL190">
        <v>186</v>
      </c>
      <c r="BM190" s="3">
        <v>5.6805088256174276E-3</v>
      </c>
    </row>
    <row r="191" spans="1:65" x14ac:dyDescent="0.3">
      <c r="A191" s="2">
        <v>45814</v>
      </c>
      <c r="B191">
        <v>2389.8000000000002</v>
      </c>
      <c r="C191">
        <v>3559.9</v>
      </c>
      <c r="D191">
        <v>1459.7</v>
      </c>
      <c r="E191">
        <v>3384.2</v>
      </c>
      <c r="F191">
        <v>3106.5</v>
      </c>
      <c r="H191" s="2">
        <v>45814</v>
      </c>
      <c r="I191" s="3">
        <f t="shared" si="49"/>
        <v>-1.4206919605547208E-3</v>
      </c>
      <c r="J191" s="3">
        <f t="shared" si="50"/>
        <v>7.3573106199948946E-3</v>
      </c>
      <c r="K191" s="3">
        <f t="shared" si="51"/>
        <v>1.7354335098968665E-2</v>
      </c>
      <c r="L191" s="3">
        <f t="shared" si="52"/>
        <v>-1.1017271106695148E-2</v>
      </c>
      <c r="M191" s="3">
        <f t="shared" si="53"/>
        <v>6.1864351881841806E-3</v>
      </c>
      <c r="O191">
        <v>187</v>
      </c>
      <c r="P191" s="8">
        <v>-1.0207438620528393</v>
      </c>
      <c r="Q191" s="8">
        <v>0.46664392628651746</v>
      </c>
      <c r="R191" s="8">
        <v>1.3380615313396817E-2</v>
      </c>
      <c r="S191" s="8">
        <v>2.0327873516926629</v>
      </c>
      <c r="T191" s="8">
        <v>0.33872726453284685</v>
      </c>
      <c r="V191">
        <v>187</v>
      </c>
      <c r="W191">
        <v>-1.0207438620528393</v>
      </c>
      <c r="X191">
        <v>0.12911471675726205</v>
      </c>
      <c r="Y191">
        <v>8.526955136339702E-2</v>
      </c>
      <c r="Z191">
        <v>2.0535019005244277</v>
      </c>
      <c r="AA191">
        <v>8.6769728297164117E-2</v>
      </c>
      <c r="AQ191">
        <v>187</v>
      </c>
      <c r="AR191" s="21">
        <f t="shared" si="39"/>
        <v>2340.0383269365811</v>
      </c>
      <c r="AS191" s="21">
        <f t="shared" si="40"/>
        <v>2371.1516342395039</v>
      </c>
      <c r="AT191" s="21">
        <f t="shared" si="41"/>
        <v>2369.939610701163</v>
      </c>
      <c r="AU191" s="21">
        <f t="shared" si="42"/>
        <v>2424.7349153888899</v>
      </c>
      <c r="AV191" s="21">
        <f t="shared" si="43"/>
        <v>2369.9723365691225</v>
      </c>
      <c r="BE191">
        <v>187</v>
      </c>
      <c r="BF191" s="3">
        <f t="shared" si="44"/>
        <v>-2.9135416259796224E-2</v>
      </c>
      <c r="BG191" s="3">
        <f t="shared" si="45"/>
        <v>2.441336065575055E-3</v>
      </c>
      <c r="BH191" s="3">
        <f t="shared" si="46"/>
        <v>7.0179817729976481E-3</v>
      </c>
      <c r="BI191" s="3">
        <f t="shared" si="47"/>
        <v>2.7736052647724219E-2</v>
      </c>
      <c r="BJ191" s="3">
        <f t="shared" si="48"/>
        <v>-1.7862926127167059E-2</v>
      </c>
      <c r="BL191">
        <v>187</v>
      </c>
      <c r="BM191" s="3">
        <v>5.7219418286700782E-3</v>
      </c>
    </row>
    <row r="192" spans="1:65" x14ac:dyDescent="0.3">
      <c r="A192" s="2">
        <v>45813</v>
      </c>
      <c r="B192">
        <v>2376.4</v>
      </c>
      <c r="C192">
        <v>3504</v>
      </c>
      <c r="D192">
        <v>1454.8</v>
      </c>
      <c r="E192">
        <v>3371.1</v>
      </c>
      <c r="F192">
        <v>3041.6</v>
      </c>
      <c r="H192" s="2">
        <v>45813</v>
      </c>
      <c r="I192" s="3">
        <f t="shared" si="49"/>
        <v>-5.6071637793958518E-3</v>
      </c>
      <c r="J192" s="3">
        <f t="shared" si="50"/>
        <v>-1.5702688277760668E-2</v>
      </c>
      <c r="K192" s="3">
        <f t="shared" si="51"/>
        <v>-3.356854148112709E-3</v>
      </c>
      <c r="L192" s="3">
        <f t="shared" si="52"/>
        <v>-3.8709296140889693E-3</v>
      </c>
      <c r="M192" s="3">
        <f t="shared" si="53"/>
        <v>-2.0891678738129804E-2</v>
      </c>
      <c r="O192">
        <v>188</v>
      </c>
      <c r="P192" s="8">
        <v>3.8677332452707901E-2</v>
      </c>
      <c r="Q192" s="8">
        <v>0.60349854347521581</v>
      </c>
      <c r="R192" s="8">
        <v>-0.23523111139688138</v>
      </c>
      <c r="S192" s="8">
        <v>-0.41859683522132179</v>
      </c>
      <c r="T192" s="8">
        <v>0.66840332796830049</v>
      </c>
      <c r="V192">
        <v>188</v>
      </c>
      <c r="W192">
        <v>3.8677332452707901E-2</v>
      </c>
      <c r="X192">
        <v>0.1203681514387427</v>
      </c>
      <c r="Y192">
        <v>-0.10089090341016524</v>
      </c>
      <c r="Z192">
        <v>-0.32647612828397599</v>
      </c>
      <c r="AA192">
        <v>0.91016991055123597</v>
      </c>
      <c r="AQ192">
        <v>188</v>
      </c>
      <c r="AR192" s="21">
        <f t="shared" si="39"/>
        <v>2369.0063470742944</v>
      </c>
      <c r="AS192" s="21">
        <f t="shared" si="40"/>
        <v>2370.9061620467091</v>
      </c>
      <c r="AT192" s="21">
        <f t="shared" si="41"/>
        <v>2364.8215289803611</v>
      </c>
      <c r="AU192" s="21">
        <f t="shared" si="42"/>
        <v>2358.6352780621646</v>
      </c>
      <c r="AV192" s="21">
        <f t="shared" si="43"/>
        <v>2392.7542867938737</v>
      </c>
      <c r="BE192">
        <v>188</v>
      </c>
      <c r="BF192" s="3">
        <f t="shared" si="44"/>
        <v>1.2303296125749633E-2</v>
      </c>
      <c r="BG192" s="3">
        <f t="shared" si="45"/>
        <v>-1.0352981914574932E-4</v>
      </c>
      <c r="BH192" s="3">
        <f t="shared" si="46"/>
        <v>-2.1619184424549842E-3</v>
      </c>
      <c r="BI192" s="3">
        <f t="shared" si="47"/>
        <v>-2.7639025406405573E-2</v>
      </c>
      <c r="BJ192" s="3">
        <f t="shared" si="48"/>
        <v>9.5668409232268787E-3</v>
      </c>
      <c r="BL192">
        <v>188</v>
      </c>
      <c r="BM192" s="3">
        <v>6.013238127332286E-3</v>
      </c>
    </row>
    <row r="193" spans="1:65" x14ac:dyDescent="0.3">
      <c r="A193" s="2">
        <v>45812</v>
      </c>
      <c r="B193">
        <v>2364.5</v>
      </c>
      <c r="C193">
        <v>3499.8</v>
      </c>
      <c r="D193">
        <v>1431</v>
      </c>
      <c r="E193">
        <v>3380.9</v>
      </c>
      <c r="F193">
        <v>3053.4</v>
      </c>
      <c r="H193" s="2">
        <v>45812</v>
      </c>
      <c r="I193" s="3">
        <f t="shared" si="49"/>
        <v>-5.007574482410404E-3</v>
      </c>
      <c r="J193" s="3">
        <f t="shared" si="50"/>
        <v>-1.1986301369862895E-3</v>
      </c>
      <c r="K193" s="3">
        <f t="shared" si="51"/>
        <v>-1.6359637063513843E-2</v>
      </c>
      <c r="L193" s="3">
        <f t="shared" si="52"/>
        <v>2.9070629764764711E-3</v>
      </c>
      <c r="M193" s="3">
        <f t="shared" si="53"/>
        <v>3.8795370857445111E-3</v>
      </c>
      <c r="O193">
        <v>189</v>
      </c>
      <c r="P193" s="8">
        <v>0.32995744420523976</v>
      </c>
      <c r="Q193" s="8">
        <v>-0.43073204177071406</v>
      </c>
      <c r="R193" s="8">
        <v>2.2758042858207856</v>
      </c>
      <c r="S193" s="8">
        <v>0.65625193252999303</v>
      </c>
      <c r="T193" s="8">
        <v>-0.75006487081123363</v>
      </c>
      <c r="V193">
        <v>189</v>
      </c>
      <c r="W193">
        <v>0.32995744420523976</v>
      </c>
      <c r="X193">
        <v>-9.8175858345785516E-2</v>
      </c>
      <c r="Y193">
        <v>2.1406534535177588</v>
      </c>
      <c r="Z193">
        <v>0.65761843634374739</v>
      </c>
      <c r="AA193">
        <v>-1.3034542556791195</v>
      </c>
      <c r="AQ193">
        <v>189</v>
      </c>
      <c r="AR193" s="21">
        <f t="shared" si="39"/>
        <v>2377.0334409164088</v>
      </c>
      <c r="AS193" s="21">
        <f t="shared" si="40"/>
        <v>2364.8951172516499</v>
      </c>
      <c r="AT193" s="21">
        <f t="shared" si="41"/>
        <v>2427.1910966244841</v>
      </c>
      <c r="AU193" s="21">
        <f t="shared" si="42"/>
        <v>2385.7357029878531</v>
      </c>
      <c r="AV193" s="21">
        <f t="shared" si="43"/>
        <v>2332.0223231247501</v>
      </c>
      <c r="BE193">
        <v>189</v>
      </c>
      <c r="BF193" s="3">
        <f t="shared" si="44"/>
        <v>3.3826524238100967E-3</v>
      </c>
      <c r="BG193" s="3">
        <f t="shared" si="45"/>
        <v>-2.538555850896569E-3</v>
      </c>
      <c r="BH193" s="3">
        <f t="shared" si="46"/>
        <v>2.6032105775029759E-2</v>
      </c>
      <c r="BI193" s="3">
        <f t="shared" si="47"/>
        <v>1.1424367861179783E-2</v>
      </c>
      <c r="BJ193" s="3">
        <f t="shared" si="48"/>
        <v>-2.5709282702533615E-2</v>
      </c>
      <c r="BL193">
        <v>189</v>
      </c>
      <c r="BM193" s="3">
        <v>6.1101431089193772E-3</v>
      </c>
    </row>
    <row r="194" spans="1:65" x14ac:dyDescent="0.3">
      <c r="A194" s="2">
        <v>45811</v>
      </c>
      <c r="B194">
        <v>2352.3000000000002</v>
      </c>
      <c r="C194">
        <v>3519.8</v>
      </c>
      <c r="D194">
        <v>1437.9</v>
      </c>
      <c r="E194">
        <v>3405.2</v>
      </c>
      <c r="F194">
        <v>3046.5</v>
      </c>
      <c r="H194" s="2">
        <v>45811</v>
      </c>
      <c r="I194" s="3">
        <f t="shared" si="49"/>
        <v>-5.1596532036370935E-3</v>
      </c>
      <c r="J194" s="3">
        <f t="shared" si="50"/>
        <v>5.71461226355785E-3</v>
      </c>
      <c r="K194" s="3">
        <f t="shared" si="51"/>
        <v>4.8218029350104441E-3</v>
      </c>
      <c r="L194" s="3">
        <f t="shared" si="52"/>
        <v>7.1874352982932432E-3</v>
      </c>
      <c r="M194" s="3">
        <f t="shared" si="53"/>
        <v>-2.2597759874238843E-3</v>
      </c>
      <c r="O194">
        <v>190</v>
      </c>
      <c r="P194" s="8">
        <v>4.3293672745646099E-2</v>
      </c>
      <c r="Q194" s="8">
        <v>0.27115459828819877</v>
      </c>
      <c r="R194" s="8">
        <v>-0.49591388813011733</v>
      </c>
      <c r="S194" s="8">
        <v>-0.61574995578121094</v>
      </c>
      <c r="T194" s="8">
        <v>0.86265104094057821</v>
      </c>
      <c r="V194">
        <v>190</v>
      </c>
      <c r="W194">
        <v>4.3293672745646099E-2</v>
      </c>
      <c r="X194">
        <v>5.319291526892185E-2</v>
      </c>
      <c r="Y194">
        <v>-0.42587527247851109</v>
      </c>
      <c r="Z194">
        <v>-0.57988428109295576</v>
      </c>
      <c r="AA194">
        <v>1.0691470268997485</v>
      </c>
      <c r="AQ194">
        <v>190</v>
      </c>
      <c r="AR194" s="21">
        <f t="shared" si="39"/>
        <v>2369.1330354956967</v>
      </c>
      <c r="AS194" s="21">
        <f t="shared" si="40"/>
        <v>2369.0572590312763</v>
      </c>
      <c r="AT194" s="21">
        <f t="shared" si="41"/>
        <v>2355.9134832476179</v>
      </c>
      <c r="AU194" s="21">
        <f t="shared" si="42"/>
        <v>2351.7056622070854</v>
      </c>
      <c r="AV194" s="21">
        <f t="shared" si="43"/>
        <v>2397.1771030489836</v>
      </c>
      <c r="BE194">
        <v>190</v>
      </c>
      <c r="BF194" s="3">
        <f t="shared" si="44"/>
        <v>-3.329176402442405E-3</v>
      </c>
      <c r="BG194" s="3">
        <f t="shared" si="45"/>
        <v>1.7584219363677752E-3</v>
      </c>
      <c r="BH194" s="3">
        <f t="shared" si="46"/>
        <v>-2.9806118204407907E-2</v>
      </c>
      <c r="BI194" s="3">
        <f t="shared" si="47"/>
        <v>-1.4366669041570173E-2</v>
      </c>
      <c r="BJ194" s="3">
        <f t="shared" si="48"/>
        <v>2.755599705064958E-2</v>
      </c>
      <c r="BL194">
        <v>190</v>
      </c>
      <c r="BM194" s="3">
        <v>6.1250783458091703E-3</v>
      </c>
    </row>
    <row r="195" spans="1:65" x14ac:dyDescent="0.3">
      <c r="A195" s="2">
        <v>45810</v>
      </c>
      <c r="B195">
        <v>2371.6</v>
      </c>
      <c r="C195">
        <v>3525.5</v>
      </c>
      <c r="D195">
        <v>1450.5</v>
      </c>
      <c r="E195">
        <v>3449.8</v>
      </c>
      <c r="F195">
        <v>3025.9</v>
      </c>
      <c r="H195" s="2">
        <v>45810</v>
      </c>
      <c r="I195" s="3">
        <f t="shared" si="49"/>
        <v>8.2047357905028484E-3</v>
      </c>
      <c r="J195" s="3">
        <f t="shared" si="50"/>
        <v>1.619410193760995E-3</v>
      </c>
      <c r="K195" s="3">
        <f t="shared" si="51"/>
        <v>8.76277905278533E-3</v>
      </c>
      <c r="L195" s="3">
        <f t="shared" si="52"/>
        <v>1.3097615411723273E-2</v>
      </c>
      <c r="M195" s="3">
        <f t="shared" si="53"/>
        <v>-6.7618578696865272E-3</v>
      </c>
      <c r="O195">
        <v>191</v>
      </c>
      <c r="P195" s="8">
        <v>-0.80453879437414932</v>
      </c>
      <c r="Q195" s="8">
        <v>-0.62117045636068802</v>
      </c>
      <c r="R195" s="8">
        <v>1.7070612823456863</v>
      </c>
      <c r="S195" s="8">
        <v>-1.9822451014153293</v>
      </c>
      <c r="T195" s="8">
        <v>2.0223461059837726</v>
      </c>
      <c r="V195">
        <v>191</v>
      </c>
      <c r="W195">
        <v>-0.80453879437414932</v>
      </c>
      <c r="X195">
        <v>-9.7658989333715779E-2</v>
      </c>
      <c r="Y195">
        <v>1.5149925055619038</v>
      </c>
      <c r="Z195">
        <v>-2.0222178857767621</v>
      </c>
      <c r="AA195">
        <v>1.824146465812519</v>
      </c>
      <c r="AQ195">
        <v>191</v>
      </c>
      <c r="AR195" s="21">
        <f t="shared" si="39"/>
        <v>2345.9205658820779</v>
      </c>
      <c r="AS195" s="21">
        <f t="shared" si="40"/>
        <v>2364.914274449553</v>
      </c>
      <c r="AT195" s="21">
        <f t="shared" si="41"/>
        <v>2409.6190857366387</v>
      </c>
      <c r="AU195" s="21">
        <f t="shared" si="42"/>
        <v>2312.633737790321</v>
      </c>
      <c r="AV195" s="21">
        <f t="shared" si="43"/>
        <v>2418.2944012356688</v>
      </c>
      <c r="BE195">
        <v>191</v>
      </c>
      <c r="BF195" s="3">
        <f t="shared" si="44"/>
        <v>-9.8461901425812431E-3</v>
      </c>
      <c r="BG195" s="3">
        <f t="shared" si="45"/>
        <v>-1.7503213148345772E-3</v>
      </c>
      <c r="BH195" s="3">
        <f t="shared" si="46"/>
        <v>2.2540136065746268E-2</v>
      </c>
      <c r="BI195" s="3">
        <f t="shared" si="47"/>
        <v>-1.6753857295645967E-2</v>
      </c>
      <c r="BJ195" s="3">
        <f t="shared" si="48"/>
        <v>8.770660790955195E-3</v>
      </c>
      <c r="BL195">
        <v>191</v>
      </c>
      <c r="BM195" s="3">
        <v>6.2509525224152297E-3</v>
      </c>
    </row>
    <row r="196" spans="1:65" x14ac:dyDescent="0.3">
      <c r="A196" s="2">
        <v>45807</v>
      </c>
      <c r="B196">
        <v>2348.3000000000002</v>
      </c>
      <c r="C196">
        <v>3555</v>
      </c>
      <c r="D196">
        <v>1445.8</v>
      </c>
      <c r="E196">
        <v>3463.4</v>
      </c>
      <c r="F196">
        <v>2976.8</v>
      </c>
      <c r="H196" s="2">
        <v>45807</v>
      </c>
      <c r="I196" s="3">
        <f t="shared" si="49"/>
        <v>-9.8245909934220332E-3</v>
      </c>
      <c r="J196" s="3">
        <f t="shared" si="50"/>
        <v>8.3676074315699456E-3</v>
      </c>
      <c r="K196" s="3">
        <f t="shared" si="51"/>
        <v>-3.240261978628145E-3</v>
      </c>
      <c r="L196" s="3">
        <f t="shared" si="52"/>
        <v>3.942257522175252E-3</v>
      </c>
      <c r="M196" s="3">
        <f t="shared" si="53"/>
        <v>-1.6226577216695848E-2</v>
      </c>
      <c r="O196">
        <v>192</v>
      </c>
      <c r="P196" s="8">
        <v>0.34690489237687178</v>
      </c>
      <c r="Q196" s="8">
        <v>0.5682549579302496</v>
      </c>
      <c r="R196" s="8">
        <v>0.63192187047062864</v>
      </c>
      <c r="S196" s="8">
        <v>-0.68469891493458379</v>
      </c>
      <c r="T196" s="8">
        <v>0.27131414494531986</v>
      </c>
      <c r="V196">
        <v>192</v>
      </c>
      <c r="W196">
        <v>0.34690489237687178</v>
      </c>
      <c r="X196">
        <v>0.10268764208407564</v>
      </c>
      <c r="Y196">
        <v>0.74685325536849612</v>
      </c>
      <c r="Z196">
        <v>-0.56109642724620057</v>
      </c>
      <c r="AA196">
        <v>0.44268537379623202</v>
      </c>
      <c r="AQ196">
        <v>192</v>
      </c>
      <c r="AR196" s="21">
        <f t="shared" si="39"/>
        <v>2377.5008432422983</v>
      </c>
      <c r="AS196" s="21">
        <f t="shared" si="40"/>
        <v>2370.4180387656784</v>
      </c>
      <c r="AT196" s="21">
        <f t="shared" si="41"/>
        <v>2388.2184886092873</v>
      </c>
      <c r="AU196" s="21">
        <f t="shared" si="42"/>
        <v>2352.213709714204</v>
      </c>
      <c r="AV196" s="21">
        <f t="shared" si="43"/>
        <v>2379.8001750377898</v>
      </c>
      <c r="BE196">
        <v>192</v>
      </c>
      <c r="BF196" s="3">
        <f t="shared" si="44"/>
        <v>1.3371979840652796E-2</v>
      </c>
      <c r="BG196" s="3">
        <f t="shared" si="45"/>
        <v>2.3245535605124676E-3</v>
      </c>
      <c r="BH196" s="3">
        <f t="shared" si="46"/>
        <v>-8.9209935620072536E-3</v>
      </c>
      <c r="BI196" s="3">
        <f t="shared" si="47"/>
        <v>1.6969867592134733E-2</v>
      </c>
      <c r="BJ196" s="3">
        <f t="shared" si="48"/>
        <v>-1.6045974717128215E-2</v>
      </c>
      <c r="BL196">
        <v>192</v>
      </c>
      <c r="BM196" s="3">
        <v>6.2535442966769666E-3</v>
      </c>
    </row>
    <row r="197" spans="1:65" x14ac:dyDescent="0.3">
      <c r="A197" s="2">
        <v>45806</v>
      </c>
      <c r="B197">
        <v>2366.6999999999998</v>
      </c>
      <c r="C197">
        <v>3588.3</v>
      </c>
      <c r="D197">
        <v>1456.5</v>
      </c>
      <c r="E197">
        <v>3498.1</v>
      </c>
      <c r="F197">
        <v>3009</v>
      </c>
      <c r="H197" s="2">
        <v>45806</v>
      </c>
      <c r="I197" s="3">
        <f t="shared" si="49"/>
        <v>7.8354554358470718E-3</v>
      </c>
      <c r="J197" s="3">
        <f t="shared" si="50"/>
        <v>9.3670886075949422E-3</v>
      </c>
      <c r="K197" s="3">
        <f t="shared" si="51"/>
        <v>7.4007469912851231E-3</v>
      </c>
      <c r="L197" s="3">
        <f t="shared" si="52"/>
        <v>1.0019056418548278E-2</v>
      </c>
      <c r="M197" s="3">
        <f t="shared" si="53"/>
        <v>1.0816984681537134E-2</v>
      </c>
      <c r="O197">
        <v>193</v>
      </c>
      <c r="P197" s="8">
        <v>-0.76643356676288676</v>
      </c>
      <c r="Q197" s="8">
        <v>2.1717549307459496</v>
      </c>
      <c r="R197" s="8">
        <v>0.83205709969461961</v>
      </c>
      <c r="S197" s="8">
        <v>1.9566082430823049</v>
      </c>
      <c r="T197" s="8">
        <v>0.38354706824550555</v>
      </c>
      <c r="V197">
        <v>193</v>
      </c>
      <c r="W197">
        <v>-0.76643356676288676</v>
      </c>
      <c r="X197">
        <v>0.46422484805990538</v>
      </c>
      <c r="Y197">
        <v>1.2530873157551059</v>
      </c>
      <c r="Z197">
        <v>2.2713095223916149</v>
      </c>
      <c r="AA197">
        <v>0.5128169979259003</v>
      </c>
      <c r="AQ197">
        <v>193</v>
      </c>
      <c r="AR197" s="21">
        <f t="shared" ref="AR197:AR260" si="54">$AE$7*EXP($AE$5-($AE$6^2/2)*(AQ197/1000)+($AE$6*W197))</f>
        <v>2346.9586122452447</v>
      </c>
      <c r="AS197" s="21">
        <f t="shared" ref="AS197:AS260" si="55">$AE$7*EXP($AE$5-($AE$6^2/2)*(AR197/1000)+($AE$6*X197))</f>
        <v>2380.3963860690033</v>
      </c>
      <c r="AT197" s="21">
        <f t="shared" ref="AT197:AT260" si="56">$AE$7*EXP($AE$5-($AE$6^2/2)*(AS197/1000)+($AE$6*Y197))</f>
        <v>2402.2986620871689</v>
      </c>
      <c r="AU197" s="21">
        <f t="shared" ref="AU197:AU260" si="57">$AE$7*EXP($AE$5-($AE$6^2/2)*(AT197/1000)+($AE$6*Z197))</f>
        <v>2430.8706508936989</v>
      </c>
      <c r="AV197" s="21">
        <f t="shared" ref="AV197:AV260" si="58">$AE$7*EXP($AE$5-($AE$6^2/2)*(AU197/1000)+($AE$6*AA197))</f>
        <v>2381.726580538575</v>
      </c>
      <c r="BE197">
        <v>193</v>
      </c>
      <c r="BF197" s="3">
        <f t="shared" si="44"/>
        <v>-1.2929587722426195E-2</v>
      </c>
      <c r="BG197" s="3">
        <f t="shared" si="45"/>
        <v>4.200695326757882E-3</v>
      </c>
      <c r="BH197" s="3">
        <f t="shared" si="46"/>
        <v>5.8783691114041988E-3</v>
      </c>
      <c r="BI197" s="3">
        <f t="shared" si="47"/>
        <v>3.2892596847539972E-2</v>
      </c>
      <c r="BJ197" s="3">
        <f t="shared" si="48"/>
        <v>8.091545862408964E-4</v>
      </c>
      <c r="BL197">
        <v>193</v>
      </c>
      <c r="BM197" s="3">
        <v>6.2729164775052609E-3</v>
      </c>
    </row>
    <row r="198" spans="1:65" x14ac:dyDescent="0.3">
      <c r="A198" s="2">
        <v>45805</v>
      </c>
      <c r="B198">
        <v>2362</v>
      </c>
      <c r="C198">
        <v>3574.7</v>
      </c>
      <c r="D198">
        <v>1453.8</v>
      </c>
      <c r="E198">
        <v>3497.7</v>
      </c>
      <c r="F198">
        <v>2997.8</v>
      </c>
      <c r="H198" s="2">
        <v>45805</v>
      </c>
      <c r="I198" s="3">
        <f t="shared" si="49"/>
        <v>-1.9858875227108941E-3</v>
      </c>
      <c r="J198" s="3">
        <f t="shared" si="50"/>
        <v>-3.7900955884403453E-3</v>
      </c>
      <c r="K198" s="3">
        <f t="shared" si="51"/>
        <v>-1.8537590113285596E-3</v>
      </c>
      <c r="L198" s="3">
        <f t="shared" si="52"/>
        <v>-1.1434778879970686E-4</v>
      </c>
      <c r="M198" s="3">
        <f t="shared" si="53"/>
        <v>-3.7221668328347723E-3</v>
      </c>
      <c r="O198">
        <v>194</v>
      </c>
      <c r="P198" s="8">
        <v>0.69322751575860797</v>
      </c>
      <c r="Q198" s="8">
        <v>-1.2980433973406855</v>
      </c>
      <c r="R198" s="8">
        <v>0.68489154606026048</v>
      </c>
      <c r="S198" s="8">
        <v>-1.0752930950729114</v>
      </c>
      <c r="T198" s="8">
        <v>-1.7932448931100358</v>
      </c>
      <c r="V198">
        <v>194</v>
      </c>
      <c r="W198">
        <v>0.69322751575860797</v>
      </c>
      <c r="X198">
        <v>-0.2855303452885129</v>
      </c>
      <c r="Y198">
        <v>0.41212603034765116</v>
      </c>
      <c r="Z198">
        <v>-1.2235281167526062</v>
      </c>
      <c r="AA198">
        <v>-1.9560844864473081</v>
      </c>
      <c r="AQ198">
        <v>194</v>
      </c>
      <c r="AR198" s="21">
        <f t="shared" si="54"/>
        <v>2387.081952587901</v>
      </c>
      <c r="AS198" s="21">
        <f t="shared" si="55"/>
        <v>2359.7535693688565</v>
      </c>
      <c r="AT198" s="21">
        <f t="shared" si="56"/>
        <v>2378.9545374233717</v>
      </c>
      <c r="AU198" s="21">
        <f t="shared" si="57"/>
        <v>2334.1889908445369</v>
      </c>
      <c r="AV198" s="21">
        <f t="shared" si="58"/>
        <v>2314.422355825162</v>
      </c>
      <c r="BE198">
        <v>194</v>
      </c>
      <c r="BF198" s="3">
        <f t="shared" ref="BF198:BF251" si="59">LN(AR198/AR197)</f>
        <v>1.6951397257767942E-2</v>
      </c>
      <c r="BG198" s="3">
        <f t="shared" ref="BG198:BG251" si="60">LN(AS198/AS197)</f>
        <v>-8.7098287577286829E-3</v>
      </c>
      <c r="BH198" s="3">
        <f t="shared" ref="BH198:BH251" si="61">LN(AT198/AT197)</f>
        <v>-9.7649336630237747E-3</v>
      </c>
      <c r="BI198" s="3">
        <f t="shared" ref="BI198:BI251" si="62">LN(AU198/AU197)</f>
        <v>-4.0584982202520034E-2</v>
      </c>
      <c r="BJ198" s="3">
        <f t="shared" ref="BJ198:BJ251" si="63">LN(AV198/AV197)</f>
        <v>-2.8665544596045752E-2</v>
      </c>
      <c r="BL198">
        <v>194</v>
      </c>
      <c r="BM198" s="3">
        <v>6.4274807520422247E-3</v>
      </c>
    </row>
    <row r="199" spans="1:65" x14ac:dyDescent="0.3">
      <c r="A199" s="2">
        <v>45804</v>
      </c>
      <c r="B199">
        <v>2380.1999999999998</v>
      </c>
      <c r="C199">
        <v>3589.4</v>
      </c>
      <c r="D199">
        <v>1446.4</v>
      </c>
      <c r="E199">
        <v>3498.7</v>
      </c>
      <c r="F199">
        <v>3039.8</v>
      </c>
      <c r="H199" s="2">
        <v>45804</v>
      </c>
      <c r="I199" s="3">
        <f t="shared" ref="I199:I251" si="64">B199/B198-1</f>
        <v>7.7053344623199127E-3</v>
      </c>
      <c r="J199" s="3">
        <f t="shared" ref="J199:J251" si="65">C199/C198-1</f>
        <v>4.1122331943939106E-3</v>
      </c>
      <c r="K199" s="3">
        <f t="shared" ref="K199:K251" si="66">D199/D198-1</f>
        <v>-5.0901086806988127E-3</v>
      </c>
      <c r="L199" s="3">
        <f t="shared" ref="L199:L251" si="67">E199/E198-1</f>
        <v>2.8590216427937243E-4</v>
      </c>
      <c r="M199" s="3">
        <f t="shared" ref="M199:M251" si="68">F199/F198-1</f>
        <v>1.4010274201080808E-2</v>
      </c>
      <c r="O199">
        <v>195</v>
      </c>
      <c r="P199" s="8">
        <v>0.95827434345305407</v>
      </c>
      <c r="Q199" s="8">
        <v>1.8996320675193086E-2</v>
      </c>
      <c r="R199" s="8">
        <v>1.4217257882582426</v>
      </c>
      <c r="S199" s="8">
        <v>-0.28575972852898363</v>
      </c>
      <c r="T199" s="8">
        <v>0.71310959210761604</v>
      </c>
      <c r="V199">
        <v>195</v>
      </c>
      <c r="W199">
        <v>0.95827434345305407</v>
      </c>
      <c r="X199">
        <v>-2.9042772780636703E-2</v>
      </c>
      <c r="Y199">
        <v>1.4180242627116084</v>
      </c>
      <c r="Z199">
        <v>-0.21283323516544439</v>
      </c>
      <c r="AA199">
        <v>0.47389436252896067</v>
      </c>
      <c r="AQ199">
        <v>195</v>
      </c>
      <c r="AR199" s="21">
        <f t="shared" si="54"/>
        <v>2394.4407047398809</v>
      </c>
      <c r="AS199" s="21">
        <f t="shared" si="55"/>
        <v>2366.7917868632671</v>
      </c>
      <c r="AT199" s="21">
        <f t="shared" si="56"/>
        <v>2406.9067877172342</v>
      </c>
      <c r="AU199" s="21">
        <f t="shared" si="57"/>
        <v>2361.7434810389632</v>
      </c>
      <c r="AV199" s="21">
        <f t="shared" si="58"/>
        <v>2380.6613338154416</v>
      </c>
      <c r="BE199">
        <v>195</v>
      </c>
      <c r="BF199" s="3">
        <f t="shared" si="59"/>
        <v>3.0779977380130377E-3</v>
      </c>
      <c r="BG199" s="3">
        <f t="shared" si="60"/>
        <v>2.978167843980385E-3</v>
      </c>
      <c r="BH199" s="3">
        <f t="shared" si="61"/>
        <v>1.1681311363432664E-2</v>
      </c>
      <c r="BI199" s="3">
        <f t="shared" si="62"/>
        <v>1.1735605911111752E-2</v>
      </c>
      <c r="BJ199" s="3">
        <f t="shared" si="63"/>
        <v>2.8218186354736441E-2</v>
      </c>
      <c r="BL199">
        <v>195</v>
      </c>
      <c r="BM199" s="3">
        <v>6.5096335092651465E-3</v>
      </c>
    </row>
    <row r="200" spans="1:65" x14ac:dyDescent="0.3">
      <c r="A200" s="2">
        <v>45803</v>
      </c>
      <c r="B200">
        <v>2394.1</v>
      </c>
      <c r="C200">
        <v>3610.3</v>
      </c>
      <c r="D200">
        <v>1460.6</v>
      </c>
      <c r="E200">
        <v>3537.3</v>
      </c>
      <c r="F200">
        <v>3080.2</v>
      </c>
      <c r="H200" s="2">
        <v>45803</v>
      </c>
      <c r="I200" s="3">
        <f t="shared" si="64"/>
        <v>5.8398453911436832E-3</v>
      </c>
      <c r="J200" s="3">
        <f t="shared" si="65"/>
        <v>5.8227001727308991E-3</v>
      </c>
      <c r="K200" s="3">
        <f t="shared" si="66"/>
        <v>9.8174778761059844E-3</v>
      </c>
      <c r="L200" s="3">
        <f t="shared" si="67"/>
        <v>1.103266927716029E-2</v>
      </c>
      <c r="M200" s="3">
        <f t="shared" si="68"/>
        <v>1.3290348049213696E-2</v>
      </c>
      <c r="O200">
        <v>196</v>
      </c>
      <c r="P200" s="8">
        <v>0.24992745740597946</v>
      </c>
      <c r="Q200" s="8">
        <v>-0.26678003034970194</v>
      </c>
      <c r="R200" s="8">
        <v>-0.72550013480013031</v>
      </c>
      <c r="S200" s="8">
        <v>0.92314175658028685</v>
      </c>
      <c r="T200" s="8">
        <v>-0.95049557869795465</v>
      </c>
      <c r="V200">
        <v>196</v>
      </c>
      <c r="W200">
        <v>0.24992745740597946</v>
      </c>
      <c r="X200">
        <v>-6.2369665817541303E-2</v>
      </c>
      <c r="Y200">
        <v>-0.75876790491081214</v>
      </c>
      <c r="Z200">
        <v>0.85514392810772744</v>
      </c>
      <c r="AA200">
        <v>-1.0286636832031801</v>
      </c>
      <c r="AQ200">
        <v>196</v>
      </c>
      <c r="AR200" s="21">
        <f t="shared" si="54"/>
        <v>2374.8241045079776</v>
      </c>
      <c r="AS200" s="21">
        <f t="shared" si="55"/>
        <v>2365.8790629518867</v>
      </c>
      <c r="AT200" s="21">
        <f t="shared" si="56"/>
        <v>2346.8236592280646</v>
      </c>
      <c r="AU200" s="21">
        <f t="shared" si="57"/>
        <v>2391.2276319120665</v>
      </c>
      <c r="AV200" s="21">
        <f t="shared" si="58"/>
        <v>2339.4753450411031</v>
      </c>
      <c r="BE200">
        <v>196</v>
      </c>
      <c r="BF200" s="3">
        <f t="shared" si="59"/>
        <v>-8.2263039026108081E-3</v>
      </c>
      <c r="BG200" s="3">
        <f t="shared" si="60"/>
        <v>-3.8571198025821315E-4</v>
      </c>
      <c r="BH200" s="3">
        <f t="shared" si="61"/>
        <v>-2.5279653045958819E-2</v>
      </c>
      <c r="BI200" s="3">
        <f t="shared" si="62"/>
        <v>1.2406778149851513E-2</v>
      </c>
      <c r="BJ200" s="3">
        <f t="shared" si="63"/>
        <v>-1.7451627725762413E-2</v>
      </c>
      <c r="BL200">
        <v>196</v>
      </c>
      <c r="BM200" s="3">
        <v>6.6011479114659512E-3</v>
      </c>
    </row>
    <row r="201" spans="1:65" x14ac:dyDescent="0.3">
      <c r="A201" s="2">
        <v>45800</v>
      </c>
      <c r="B201">
        <v>2359.1999999999998</v>
      </c>
      <c r="C201">
        <v>3579.7</v>
      </c>
      <c r="D201">
        <v>1449.8</v>
      </c>
      <c r="E201">
        <v>3514.6</v>
      </c>
      <c r="F201">
        <v>3012.7</v>
      </c>
      <c r="H201" s="2">
        <v>45800</v>
      </c>
      <c r="I201" s="3">
        <f t="shared" si="64"/>
        <v>-1.4577503028277872E-2</v>
      </c>
      <c r="J201" s="3">
        <f t="shared" si="65"/>
        <v>-8.4757499376784118E-3</v>
      </c>
      <c r="K201" s="3">
        <f t="shared" si="66"/>
        <v>-7.3942215527864619E-3</v>
      </c>
      <c r="L201" s="3">
        <f t="shared" si="67"/>
        <v>-6.4173239476437161E-3</v>
      </c>
      <c r="M201" s="3">
        <f t="shared" si="68"/>
        <v>-2.1914161418089773E-2</v>
      </c>
      <c r="O201">
        <v>197</v>
      </c>
      <c r="P201" s="8">
        <v>-2.3694434553502832</v>
      </c>
      <c r="Q201" s="8">
        <v>0.29593323957486306</v>
      </c>
      <c r="R201" s="8">
        <v>-0.25272567419579217</v>
      </c>
      <c r="S201" s="8">
        <v>0.65698962847441822</v>
      </c>
      <c r="T201" s="8">
        <v>-0.9899171394230688</v>
      </c>
      <c r="V201">
        <v>197</v>
      </c>
      <c r="W201">
        <v>-2.3694434553502832</v>
      </c>
      <c r="X201">
        <v>0.14095785849010894</v>
      </c>
      <c r="Y201">
        <v>-0.24615756605739958</v>
      </c>
      <c r="Z201">
        <v>0.6269992142430203</v>
      </c>
      <c r="AA201">
        <v>-0.84784004023012693</v>
      </c>
      <c r="AQ201">
        <v>197</v>
      </c>
      <c r="AR201" s="21">
        <f t="shared" si="54"/>
        <v>2303.670676285044</v>
      </c>
      <c r="AS201" s="21">
        <f t="shared" si="55"/>
        <v>2371.4835955647441</v>
      </c>
      <c r="AT201" s="21">
        <f t="shared" si="56"/>
        <v>2360.8352906161977</v>
      </c>
      <c r="AU201" s="21">
        <f t="shared" si="57"/>
        <v>2384.8981819725727</v>
      </c>
      <c r="AV201" s="21">
        <f t="shared" si="58"/>
        <v>2344.3943053975763</v>
      </c>
      <c r="BE201">
        <v>197</v>
      </c>
      <c r="BF201" s="3">
        <f t="shared" si="59"/>
        <v>-3.0419576506934345E-2</v>
      </c>
      <c r="BG201" s="3">
        <f t="shared" si="60"/>
        <v>2.3660992968290899E-3</v>
      </c>
      <c r="BH201" s="3">
        <f t="shared" si="61"/>
        <v>5.9527136151261931E-3</v>
      </c>
      <c r="BI201" s="3">
        <f t="shared" si="62"/>
        <v>-2.6504551561068045E-3</v>
      </c>
      <c r="BJ201" s="3">
        <f t="shared" si="63"/>
        <v>2.1003838842488889E-3</v>
      </c>
      <c r="BL201">
        <v>197</v>
      </c>
      <c r="BM201" s="3">
        <v>6.8248115391536333E-3</v>
      </c>
    </row>
    <row r="202" spans="1:65" x14ac:dyDescent="0.3">
      <c r="A202" s="2">
        <v>45799</v>
      </c>
      <c r="B202">
        <v>2330.6999999999998</v>
      </c>
      <c r="C202">
        <v>3541</v>
      </c>
      <c r="D202">
        <v>1442.1</v>
      </c>
      <c r="E202">
        <v>3477</v>
      </c>
      <c r="F202">
        <v>3006.3</v>
      </c>
      <c r="H202" s="2">
        <v>45799</v>
      </c>
      <c r="I202" s="3">
        <f t="shared" si="64"/>
        <v>-1.2080366225839301E-2</v>
      </c>
      <c r="J202" s="3">
        <f t="shared" si="65"/>
        <v>-1.0810961812442343E-2</v>
      </c>
      <c r="K202" s="3">
        <f t="shared" si="66"/>
        <v>-5.3110773899848196E-3</v>
      </c>
      <c r="L202" s="3">
        <f t="shared" si="67"/>
        <v>-1.069823023957206E-2</v>
      </c>
      <c r="M202" s="3">
        <f t="shared" si="68"/>
        <v>-2.1243402927605404E-3</v>
      </c>
      <c r="O202">
        <v>198</v>
      </c>
      <c r="P202" s="8">
        <v>0.82015650224868208</v>
      </c>
      <c r="Q202" s="8">
        <v>0.40294881102256108</v>
      </c>
      <c r="R202" s="8">
        <v>-0.28992566338082737</v>
      </c>
      <c r="S202" s="8">
        <v>0.39715792878723616</v>
      </c>
      <c r="T202" s="8">
        <v>2.0819760845366544E-2</v>
      </c>
      <c r="V202">
        <v>198</v>
      </c>
      <c r="W202">
        <v>0.82015650224868208</v>
      </c>
      <c r="X202">
        <v>5.3119018624192452E-2</v>
      </c>
      <c r="Y202">
        <v>-0.17638541452307777</v>
      </c>
      <c r="Z202">
        <v>0.46615096887966134</v>
      </c>
      <c r="AA202">
        <v>8.3548126396518138E-2</v>
      </c>
      <c r="AQ202">
        <v>198</v>
      </c>
      <c r="AR202" s="21">
        <f t="shared" si="54"/>
        <v>2390.6026113482094</v>
      </c>
      <c r="AS202" s="21">
        <f t="shared" si="55"/>
        <v>2369.0517960688881</v>
      </c>
      <c r="AT202" s="21">
        <f t="shared" si="56"/>
        <v>2362.7494005932986</v>
      </c>
      <c r="AU202" s="21">
        <f t="shared" si="57"/>
        <v>2380.4470979938101</v>
      </c>
      <c r="AV202" s="21">
        <f t="shared" si="58"/>
        <v>2369.8907472294218</v>
      </c>
      <c r="BE202">
        <v>198</v>
      </c>
      <c r="BF202" s="3">
        <f t="shared" si="59"/>
        <v>3.7041675824032019E-2</v>
      </c>
      <c r="BG202" s="3">
        <f t="shared" si="60"/>
        <v>-1.0259599426072424E-3</v>
      </c>
      <c r="BH202" s="3">
        <f t="shared" si="61"/>
        <v>8.1044808424117075E-4</v>
      </c>
      <c r="BI202" s="3">
        <f t="shared" si="62"/>
        <v>-1.8681060916748001E-3</v>
      </c>
      <c r="BJ202" s="3">
        <f t="shared" si="63"/>
        <v>1.0816779275248468E-2</v>
      </c>
      <c r="BL202">
        <v>198</v>
      </c>
      <c r="BM202" s="3">
        <v>6.9613863922185163E-3</v>
      </c>
    </row>
    <row r="203" spans="1:65" x14ac:dyDescent="0.3">
      <c r="A203" s="2">
        <v>45798</v>
      </c>
      <c r="B203">
        <v>2363.9</v>
      </c>
      <c r="C203">
        <v>3580.5</v>
      </c>
      <c r="D203">
        <v>1444.7</v>
      </c>
      <c r="E203">
        <v>3525.8</v>
      </c>
      <c r="F203">
        <v>3090.7</v>
      </c>
      <c r="H203" s="2">
        <v>45798</v>
      </c>
      <c r="I203" s="3">
        <f t="shared" si="64"/>
        <v>1.4244647530784915E-2</v>
      </c>
      <c r="J203" s="3">
        <f t="shared" si="65"/>
        <v>1.1155040948884531E-2</v>
      </c>
      <c r="K203" s="3">
        <f t="shared" si="66"/>
        <v>1.8029262880523422E-3</v>
      </c>
      <c r="L203" s="3">
        <f t="shared" si="67"/>
        <v>1.4035087719298289E-2</v>
      </c>
      <c r="M203" s="3">
        <f t="shared" si="68"/>
        <v>2.8074377141336315E-2</v>
      </c>
      <c r="O203">
        <v>199</v>
      </c>
      <c r="P203" s="8">
        <v>-1.8480416851587051</v>
      </c>
      <c r="Q203" s="8">
        <v>1.2302614220391401</v>
      </c>
      <c r="R203" s="8">
        <v>-0.51236468795914891</v>
      </c>
      <c r="S203" s="8">
        <v>-0.48528592396037812</v>
      </c>
      <c r="T203" s="8">
        <v>0.64677349658333494</v>
      </c>
      <c r="V203">
        <v>199</v>
      </c>
      <c r="W203">
        <v>-1.8480416851587051</v>
      </c>
      <c r="X203">
        <v>0.31147778251374036</v>
      </c>
      <c r="Y203">
        <v>-0.28815181391250944</v>
      </c>
      <c r="Z203">
        <v>-0.35166391106755346</v>
      </c>
      <c r="AA203">
        <v>1.182730122829782</v>
      </c>
      <c r="AQ203">
        <v>199</v>
      </c>
      <c r="AR203" s="21">
        <f t="shared" si="54"/>
        <v>2317.6618427670928</v>
      </c>
      <c r="AS203" s="21">
        <f t="shared" si="55"/>
        <v>2376.18224858653</v>
      </c>
      <c r="AT203" s="21">
        <f t="shared" si="56"/>
        <v>2359.6834648282929</v>
      </c>
      <c r="AU203" s="21">
        <f t="shared" si="57"/>
        <v>2357.9462645138015</v>
      </c>
      <c r="AV203" s="21">
        <f t="shared" si="58"/>
        <v>2400.3402314331984</v>
      </c>
      <c r="BE203">
        <v>199</v>
      </c>
      <c r="BF203" s="3">
        <f t="shared" si="59"/>
        <v>-3.098662171500768E-2</v>
      </c>
      <c r="BG203" s="3">
        <f t="shared" si="60"/>
        <v>3.0053134649795743E-3</v>
      </c>
      <c r="BH203" s="3">
        <f t="shared" si="61"/>
        <v>-1.2984562335299364E-3</v>
      </c>
      <c r="BI203" s="3">
        <f t="shared" si="62"/>
        <v>-9.4973130711770454E-3</v>
      </c>
      <c r="BJ203" s="3">
        <f t="shared" si="63"/>
        <v>1.2766634534577099E-2</v>
      </c>
      <c r="BL203">
        <v>199</v>
      </c>
      <c r="BM203" s="3">
        <v>7.1597148715609599E-3</v>
      </c>
    </row>
    <row r="204" spans="1:65" x14ac:dyDescent="0.3">
      <c r="A204" s="2">
        <v>45797</v>
      </c>
      <c r="B204">
        <v>2341.1</v>
      </c>
      <c r="C204">
        <v>3580.6</v>
      </c>
      <c r="D204">
        <v>1438.2</v>
      </c>
      <c r="E204">
        <v>3498.3</v>
      </c>
      <c r="F204">
        <v>3063.5</v>
      </c>
      <c r="H204" s="2">
        <v>45797</v>
      </c>
      <c r="I204" s="3">
        <f t="shared" si="64"/>
        <v>-9.6450780489869548E-3</v>
      </c>
      <c r="J204" s="3">
        <f t="shared" si="65"/>
        <v>2.792906018700414E-5</v>
      </c>
      <c r="K204" s="3">
        <f t="shared" si="66"/>
        <v>-4.4992039869868883E-3</v>
      </c>
      <c r="L204" s="3">
        <f t="shared" si="67"/>
        <v>-7.7996483067672706E-3</v>
      </c>
      <c r="M204" s="3">
        <f t="shared" si="68"/>
        <v>-8.8005953343902599E-3</v>
      </c>
      <c r="O204">
        <v>200</v>
      </c>
      <c r="P204" s="8">
        <v>0.73878426072814285</v>
      </c>
      <c r="Q204" s="8">
        <v>0.2790458915336369</v>
      </c>
      <c r="R204" s="8">
        <v>-0.35473556174453164</v>
      </c>
      <c r="S204" s="8">
        <v>-0.88460998809565183</v>
      </c>
      <c r="T204" s="8">
        <v>-0.58136013423274113</v>
      </c>
      <c r="V204">
        <v>200</v>
      </c>
      <c r="W204">
        <v>0.73878426072814285</v>
      </c>
      <c r="X204">
        <v>3.0925554986310114E-2</v>
      </c>
      <c r="Y204">
        <v>-0.26808830337409784</v>
      </c>
      <c r="Z204">
        <v>-0.82241166685486422</v>
      </c>
      <c r="AA204">
        <v>-0.25083619883044528</v>
      </c>
      <c r="AQ204">
        <v>200</v>
      </c>
      <c r="AR204" s="21">
        <f t="shared" si="54"/>
        <v>2388.344238574065</v>
      </c>
      <c r="AS204" s="21">
        <f t="shared" si="55"/>
        <v>2368.4416381955207</v>
      </c>
      <c r="AT204" s="21">
        <f t="shared" si="56"/>
        <v>2360.2345749885699</v>
      </c>
      <c r="AU204" s="21">
        <f t="shared" si="57"/>
        <v>2345.0906240252684</v>
      </c>
      <c r="AV204" s="21">
        <f t="shared" si="58"/>
        <v>2360.7112213094556</v>
      </c>
      <c r="BE204">
        <v>200</v>
      </c>
      <c r="BF204" s="3">
        <f t="shared" si="59"/>
        <v>3.0041487561739636E-2</v>
      </c>
      <c r="BG204" s="3">
        <f t="shared" si="60"/>
        <v>-3.2629002607006009E-3</v>
      </c>
      <c r="BH204" s="3">
        <f t="shared" si="61"/>
        <v>2.3352531045337974E-4</v>
      </c>
      <c r="BI204" s="3">
        <f t="shared" si="62"/>
        <v>-5.4669664780488238E-3</v>
      </c>
      <c r="BJ204" s="3">
        <f t="shared" si="63"/>
        <v>-1.6647551805773847E-2</v>
      </c>
      <c r="BL204">
        <v>200</v>
      </c>
      <c r="BM204" s="3">
        <v>7.2333707638280575E-3</v>
      </c>
    </row>
    <row r="205" spans="1:65" x14ac:dyDescent="0.3">
      <c r="A205" s="2">
        <v>45796</v>
      </c>
      <c r="B205">
        <v>2382.6999999999998</v>
      </c>
      <c r="C205">
        <v>3617.7</v>
      </c>
      <c r="D205">
        <v>1449</v>
      </c>
      <c r="E205">
        <v>3518.8</v>
      </c>
      <c r="F205">
        <v>3128</v>
      </c>
      <c r="H205" s="2">
        <v>45796</v>
      </c>
      <c r="I205" s="3">
        <f t="shared" si="64"/>
        <v>1.776942462944775E-2</v>
      </c>
      <c r="J205" s="3">
        <f t="shared" si="65"/>
        <v>1.0361391945483911E-2</v>
      </c>
      <c r="K205" s="3">
        <f t="shared" si="66"/>
        <v>7.509386733416834E-3</v>
      </c>
      <c r="L205" s="3">
        <f t="shared" si="67"/>
        <v>5.859989137581012E-3</v>
      </c>
      <c r="M205" s="3">
        <f t="shared" si="68"/>
        <v>2.1054349600130529E-2</v>
      </c>
      <c r="O205">
        <v>201</v>
      </c>
      <c r="P205" s="8">
        <v>0.40635865466766158</v>
      </c>
      <c r="Q205" s="8">
        <v>-0.27727748543117492</v>
      </c>
      <c r="R205" s="8">
        <v>0.13547710276692052</v>
      </c>
      <c r="S205" s="8">
        <v>0.62020972970499755</v>
      </c>
      <c r="T205" s="8">
        <v>-0.66436590008976892</v>
      </c>
      <c r="V205">
        <v>201</v>
      </c>
      <c r="W205">
        <v>0.40635865466766158</v>
      </c>
      <c r="X205">
        <v>-6.9852802289681604E-2</v>
      </c>
      <c r="Y205">
        <v>8.4216839794409137E-2</v>
      </c>
      <c r="Z205">
        <v>0.5839601352791769</v>
      </c>
      <c r="AA205">
        <v>-0.84598675860787076</v>
      </c>
      <c r="AQ205">
        <v>201</v>
      </c>
      <c r="AR205" s="21">
        <f t="shared" si="54"/>
        <v>2379.141520344775</v>
      </c>
      <c r="AS205" s="21">
        <f t="shared" si="55"/>
        <v>2365.6727792118513</v>
      </c>
      <c r="AT205" s="21">
        <f t="shared" si="56"/>
        <v>2369.9115129102156</v>
      </c>
      <c r="AU205" s="21">
        <f t="shared" si="57"/>
        <v>2383.7049886165191</v>
      </c>
      <c r="AV205" s="21">
        <f t="shared" si="58"/>
        <v>2344.4449522593754</v>
      </c>
      <c r="BE205">
        <v>201</v>
      </c>
      <c r="BF205" s="3">
        <f t="shared" si="59"/>
        <v>-3.8606217720332423E-3</v>
      </c>
      <c r="BG205" s="3">
        <f t="shared" si="60"/>
        <v>-1.1697475199203325E-3</v>
      </c>
      <c r="BH205" s="3">
        <f t="shared" si="61"/>
        <v>4.0916078455753941E-3</v>
      </c>
      <c r="BI205" s="3">
        <f t="shared" si="62"/>
        <v>1.6331948368906814E-2</v>
      </c>
      <c r="BJ205" s="3">
        <f t="shared" si="63"/>
        <v>-6.9142588485506329E-3</v>
      </c>
      <c r="BL205">
        <v>201</v>
      </c>
      <c r="BM205" s="3">
        <v>7.2893271811538844E-3</v>
      </c>
    </row>
    <row r="206" spans="1:65" x14ac:dyDescent="0.3">
      <c r="A206" s="2">
        <v>45793</v>
      </c>
      <c r="B206">
        <v>2381.4</v>
      </c>
      <c r="C206">
        <v>3633.7</v>
      </c>
      <c r="D206">
        <v>1454</v>
      </c>
      <c r="E206">
        <v>3561.3</v>
      </c>
      <c r="F206">
        <v>3135.6</v>
      </c>
      <c r="H206" s="2">
        <v>45793</v>
      </c>
      <c r="I206" s="3">
        <f t="shared" si="64"/>
        <v>-5.45599529944929E-4</v>
      </c>
      <c r="J206" s="3">
        <f t="shared" si="65"/>
        <v>4.42269950521057E-3</v>
      </c>
      <c r="K206" s="3">
        <f t="shared" si="66"/>
        <v>3.4506556245685882E-3</v>
      </c>
      <c r="L206" s="3">
        <f t="shared" si="67"/>
        <v>1.2077981129930748E-2</v>
      </c>
      <c r="M206" s="3">
        <f t="shared" si="68"/>
        <v>2.4296675191814998E-3</v>
      </c>
      <c r="O206">
        <v>202</v>
      </c>
      <c r="P206" s="8">
        <v>0.28832597302904861</v>
      </c>
      <c r="Q206" s="8">
        <v>-0.53391823892179435</v>
      </c>
      <c r="R206" s="8">
        <v>1.2392707273773527</v>
      </c>
      <c r="S206" s="8">
        <v>-1.1115289905532417</v>
      </c>
      <c r="T206" s="8">
        <v>-0.99702088771895592</v>
      </c>
      <c r="V206">
        <v>202</v>
      </c>
      <c r="W206">
        <v>0.28832597302904861</v>
      </c>
      <c r="X206">
        <v>-0.11755510986368131</v>
      </c>
      <c r="Y206">
        <v>1.105071216780815</v>
      </c>
      <c r="Z206">
        <v>-1.1354875648471647</v>
      </c>
      <c r="AA206">
        <v>-1.0626916004576015</v>
      </c>
      <c r="AQ206">
        <v>202</v>
      </c>
      <c r="AR206" s="21">
        <f t="shared" si="54"/>
        <v>2375.8823918688563</v>
      </c>
      <c r="AS206" s="21">
        <f t="shared" si="55"/>
        <v>2364.3631248597026</v>
      </c>
      <c r="AT206" s="21">
        <f t="shared" si="56"/>
        <v>2398.1753621571297</v>
      </c>
      <c r="AU206" s="21">
        <f t="shared" si="57"/>
        <v>2336.5737516695549</v>
      </c>
      <c r="AV206" s="21">
        <f t="shared" si="58"/>
        <v>2338.5596420078878</v>
      </c>
      <c r="BE206">
        <v>202</v>
      </c>
      <c r="BF206" s="3">
        <f t="shared" si="59"/>
        <v>-1.3708149723112443E-3</v>
      </c>
      <c r="BG206" s="3">
        <f t="shared" si="60"/>
        <v>-5.537608644740899E-4</v>
      </c>
      <c r="BH206" s="3">
        <f t="shared" si="61"/>
        <v>1.1855564312237603E-2</v>
      </c>
      <c r="BI206" s="3">
        <f t="shared" si="62"/>
        <v>-1.9970347479881263E-2</v>
      </c>
      <c r="BJ206" s="3">
        <f t="shared" si="63"/>
        <v>-2.5134775042059414E-3</v>
      </c>
      <c r="BL206">
        <v>202</v>
      </c>
      <c r="BM206" s="3">
        <v>7.3196091290268451E-3</v>
      </c>
    </row>
    <row r="207" spans="1:65" x14ac:dyDescent="0.3">
      <c r="A207" s="2">
        <v>45792</v>
      </c>
      <c r="B207">
        <v>2355.1999999999998</v>
      </c>
      <c r="C207">
        <v>3636.8</v>
      </c>
      <c r="D207">
        <v>1450.8</v>
      </c>
      <c r="E207">
        <v>3579.9</v>
      </c>
      <c r="F207">
        <v>3144.3</v>
      </c>
      <c r="H207" s="2">
        <v>45792</v>
      </c>
      <c r="I207" s="3">
        <f t="shared" si="64"/>
        <v>-1.1001931636852369E-2</v>
      </c>
      <c r="J207" s="3">
        <f t="shared" si="65"/>
        <v>8.5312491399958112E-4</v>
      </c>
      <c r="K207" s="3">
        <f t="shared" si="66"/>
        <v>-2.2008253094910613E-3</v>
      </c>
      <c r="L207" s="3">
        <f t="shared" si="67"/>
        <v>5.2228118945327751E-3</v>
      </c>
      <c r="M207" s="3">
        <f t="shared" si="68"/>
        <v>2.7745885954841842E-3</v>
      </c>
      <c r="O207">
        <v>203</v>
      </c>
      <c r="P207" s="8">
        <v>-0.14159334198433013</v>
      </c>
      <c r="Q207" s="8">
        <v>1.6688112870269607</v>
      </c>
      <c r="R207" s="8">
        <v>-0.40294497156903403</v>
      </c>
      <c r="S207" s="8">
        <v>-0.28646202264577286</v>
      </c>
      <c r="T207" s="8">
        <v>1.4297164382293659</v>
      </c>
      <c r="V207">
        <v>203</v>
      </c>
      <c r="W207">
        <v>-0.14159334198433013</v>
      </c>
      <c r="X207">
        <v>0.34137170066751604</v>
      </c>
      <c r="Y207">
        <v>-4.3674530809189205E-2</v>
      </c>
      <c r="Z207">
        <v>-4.1668087753140071E-2</v>
      </c>
      <c r="AA207">
        <v>1.9323825437910425</v>
      </c>
      <c r="AQ207">
        <v>203</v>
      </c>
      <c r="AR207" s="21">
        <f t="shared" si="54"/>
        <v>2364.0495453657086</v>
      </c>
      <c r="AS207" s="21">
        <f t="shared" si="55"/>
        <v>2376.9998875595629</v>
      </c>
      <c r="AT207" s="21">
        <f t="shared" si="56"/>
        <v>2366.3924322236871</v>
      </c>
      <c r="AU207" s="21">
        <f t="shared" si="57"/>
        <v>2366.4492658595459</v>
      </c>
      <c r="AV207" s="21">
        <f t="shared" si="58"/>
        <v>2421.327265298502</v>
      </c>
      <c r="BE207">
        <v>203</v>
      </c>
      <c r="BF207" s="3">
        <f t="shared" si="59"/>
        <v>-4.9928443028636029E-3</v>
      </c>
      <c r="BG207" s="3">
        <f t="shared" si="60"/>
        <v>5.3304472102827577E-3</v>
      </c>
      <c r="BH207" s="3">
        <f t="shared" si="61"/>
        <v>-1.3341567480473862E-2</v>
      </c>
      <c r="BI207" s="3">
        <f t="shared" si="62"/>
        <v>1.2704983983533483E-2</v>
      </c>
      <c r="BJ207" s="3">
        <f t="shared" si="63"/>
        <v>3.4780644310991198E-2</v>
      </c>
      <c r="BL207">
        <v>203</v>
      </c>
      <c r="BM207" s="3">
        <v>7.3963359353388953E-3</v>
      </c>
    </row>
    <row r="208" spans="1:65" x14ac:dyDescent="0.3">
      <c r="A208" s="2">
        <v>45791</v>
      </c>
      <c r="B208">
        <v>2350.5</v>
      </c>
      <c r="C208">
        <v>3587.6</v>
      </c>
      <c r="D208">
        <v>1426.2</v>
      </c>
      <c r="E208">
        <v>3548.7</v>
      </c>
      <c r="F208">
        <v>3101.8</v>
      </c>
      <c r="H208" s="2">
        <v>45791</v>
      </c>
      <c r="I208" s="3">
        <f t="shared" si="64"/>
        <v>-1.9955842391303769E-3</v>
      </c>
      <c r="J208" s="3">
        <f t="shared" si="65"/>
        <v>-1.3528376594808655E-2</v>
      </c>
      <c r="K208" s="3">
        <f t="shared" si="66"/>
        <v>-1.6956162117452322E-2</v>
      </c>
      <c r="L208" s="3">
        <f t="shared" si="67"/>
        <v>-8.7153272437778817E-3</v>
      </c>
      <c r="M208" s="3">
        <f t="shared" si="68"/>
        <v>-1.3516521960372785E-2</v>
      </c>
      <c r="O208">
        <v>204</v>
      </c>
      <c r="P208" s="8">
        <v>0.27595123773232666</v>
      </c>
      <c r="Q208" s="8">
        <v>0.69108710574325005</v>
      </c>
      <c r="R208" s="8">
        <v>1.5221922089292259</v>
      </c>
      <c r="S208" s="8">
        <v>1.9304211256823391</v>
      </c>
      <c r="T208" s="8">
        <v>1.6372021916414132</v>
      </c>
      <c r="V208">
        <v>204</v>
      </c>
      <c r="W208">
        <v>0.27595123773232666</v>
      </c>
      <c r="X208">
        <v>0.12989068777164334</v>
      </c>
      <c r="Y208">
        <v>1.6407646986557856</v>
      </c>
      <c r="Z208">
        <v>2.0644529209179461</v>
      </c>
      <c r="AA208">
        <v>1.1036217349736124</v>
      </c>
      <c r="AQ208">
        <v>204</v>
      </c>
      <c r="AR208" s="21">
        <f t="shared" si="54"/>
        <v>2375.5406547120224</v>
      </c>
      <c r="AS208" s="21">
        <f t="shared" si="55"/>
        <v>2371.1673253940126</v>
      </c>
      <c r="AT208" s="21">
        <f t="shared" si="56"/>
        <v>2413.1401986520973</v>
      </c>
      <c r="AU208" s="21">
        <f t="shared" si="57"/>
        <v>2425.0362417495626</v>
      </c>
      <c r="AV208" s="21">
        <f t="shared" si="58"/>
        <v>2398.125181594668</v>
      </c>
      <c r="BE208">
        <v>204</v>
      </c>
      <c r="BF208" s="3">
        <f t="shared" si="59"/>
        <v>4.8489980681365331E-3</v>
      </c>
      <c r="BG208" s="3">
        <f t="shared" si="60"/>
        <v>-2.4567648263388552E-3</v>
      </c>
      <c r="BH208" s="3">
        <f t="shared" si="61"/>
        <v>1.9562271387274805E-2</v>
      </c>
      <c r="BI208" s="3">
        <f t="shared" si="62"/>
        <v>2.4455837665284714E-2</v>
      </c>
      <c r="BJ208" s="3">
        <f t="shared" si="63"/>
        <v>-9.6285888134074165E-3</v>
      </c>
      <c r="BL208">
        <v>204</v>
      </c>
      <c r="BM208" s="3">
        <v>7.5024332159631521E-3</v>
      </c>
    </row>
    <row r="209" spans="1:65" x14ac:dyDescent="0.3">
      <c r="A209" s="2">
        <v>45790</v>
      </c>
      <c r="B209">
        <v>2360</v>
      </c>
      <c r="C209">
        <v>3563.2</v>
      </c>
      <c r="D209">
        <v>1430.6</v>
      </c>
      <c r="E209">
        <v>3515</v>
      </c>
      <c r="F209">
        <v>3053.8</v>
      </c>
      <c r="H209" s="2">
        <v>45790</v>
      </c>
      <c r="I209" s="3">
        <f t="shared" si="64"/>
        <v>4.0416932567539643E-3</v>
      </c>
      <c r="J209" s="3">
        <f t="shared" si="65"/>
        <v>-6.8012041476196439E-3</v>
      </c>
      <c r="K209" s="3">
        <f t="shared" si="66"/>
        <v>3.085121301360072E-3</v>
      </c>
      <c r="L209" s="3">
        <f t="shared" si="67"/>
        <v>-9.4964353143404123E-3</v>
      </c>
      <c r="M209" s="3">
        <f t="shared" si="68"/>
        <v>-1.5474885550325612E-2</v>
      </c>
      <c r="O209">
        <v>205</v>
      </c>
      <c r="P209" s="8">
        <v>0.5706792036487125</v>
      </c>
      <c r="Q209" s="8">
        <v>2.0834514889014666</v>
      </c>
      <c r="R209" s="8">
        <v>-0.84408984959225375</v>
      </c>
      <c r="S209" s="8">
        <v>-0.30456953206012782</v>
      </c>
      <c r="T209" s="8">
        <v>-1.3107206345141769</v>
      </c>
      <c r="V209">
        <v>205</v>
      </c>
      <c r="W209">
        <v>0.5706792036487125</v>
      </c>
      <c r="X209">
        <v>0.40054921079571476</v>
      </c>
      <c r="Y209">
        <v>-0.3681352938095836</v>
      </c>
      <c r="Z209">
        <v>9.0664141624710592E-3</v>
      </c>
      <c r="AA209">
        <v>-0.42354641175726315</v>
      </c>
      <c r="AQ209">
        <v>205</v>
      </c>
      <c r="AR209" s="21">
        <f t="shared" si="54"/>
        <v>2383.6853323236046</v>
      </c>
      <c r="AS209" s="21">
        <f t="shared" si="55"/>
        <v>2378.6308818354755</v>
      </c>
      <c r="AT209" s="21">
        <f t="shared" si="56"/>
        <v>2357.4922512074099</v>
      </c>
      <c r="AU209" s="21">
        <f t="shared" si="57"/>
        <v>2367.8453964486939</v>
      </c>
      <c r="AV209" s="21">
        <f t="shared" si="58"/>
        <v>2355.9773940433338</v>
      </c>
      <c r="BE209">
        <v>205</v>
      </c>
      <c r="BF209" s="3">
        <f t="shared" si="59"/>
        <v>3.4226933475708012E-3</v>
      </c>
      <c r="BG209" s="3">
        <f t="shared" si="60"/>
        <v>3.1426861768170623E-3</v>
      </c>
      <c r="BH209" s="3">
        <f t="shared" si="61"/>
        <v>-2.333043769272606E-2</v>
      </c>
      <c r="BI209" s="3">
        <f t="shared" si="62"/>
        <v>-2.386604310064366E-2</v>
      </c>
      <c r="BJ209" s="3">
        <f t="shared" si="63"/>
        <v>-1.7731587057381263E-2</v>
      </c>
      <c r="BL209">
        <v>205</v>
      </c>
      <c r="BM209" s="3">
        <v>7.512429048963566E-3</v>
      </c>
    </row>
    <row r="210" spans="1:65" x14ac:dyDescent="0.3">
      <c r="A210" s="2">
        <v>45789</v>
      </c>
      <c r="B210">
        <v>2382.5</v>
      </c>
      <c r="C210">
        <v>3562.9</v>
      </c>
      <c r="D210">
        <v>1448.5</v>
      </c>
      <c r="E210">
        <v>3620.4</v>
      </c>
      <c r="F210">
        <v>3104.7</v>
      </c>
      <c r="H210" s="2">
        <v>45789</v>
      </c>
      <c r="I210" s="3">
        <f t="shared" si="64"/>
        <v>9.5338983050847759E-3</v>
      </c>
      <c r="J210" s="3">
        <f t="shared" si="65"/>
        <v>-8.4193982936575651E-5</v>
      </c>
      <c r="K210" s="3">
        <f t="shared" si="66"/>
        <v>1.2512232629665831E-2</v>
      </c>
      <c r="L210" s="3">
        <f t="shared" si="67"/>
        <v>2.99857752489332E-2</v>
      </c>
      <c r="M210" s="3">
        <f t="shared" si="68"/>
        <v>1.6667758202894678E-2</v>
      </c>
      <c r="O210">
        <v>206</v>
      </c>
      <c r="P210" s="8">
        <v>-0.34464167637305959</v>
      </c>
      <c r="Q210" s="8">
        <v>0.31643057642118749</v>
      </c>
      <c r="R210" s="8">
        <v>-0.31501963552353601</v>
      </c>
      <c r="S210" s="8">
        <v>-0.22052390569172664</v>
      </c>
      <c r="T210" s="8">
        <v>-1.9358994556313007</v>
      </c>
      <c r="V210">
        <v>206</v>
      </c>
      <c r="W210">
        <v>-0.34464167637305959</v>
      </c>
      <c r="X210">
        <v>7.5630804074785452E-2</v>
      </c>
      <c r="Y210">
        <v>-0.24970566053456572</v>
      </c>
      <c r="Z210">
        <v>-0.18709647976989741</v>
      </c>
      <c r="AA210">
        <v>-1.5934272884789695</v>
      </c>
      <c r="AQ210">
        <v>206</v>
      </c>
      <c r="AR210" s="21">
        <f t="shared" si="54"/>
        <v>2358.4810678037747</v>
      </c>
      <c r="AS210" s="21">
        <f t="shared" si="55"/>
        <v>2369.6763650378302</v>
      </c>
      <c r="AT210" s="21">
        <f t="shared" si="56"/>
        <v>2360.7383020010102</v>
      </c>
      <c r="AU210" s="21">
        <f t="shared" si="57"/>
        <v>2362.4568392778397</v>
      </c>
      <c r="AV210" s="21">
        <f t="shared" si="58"/>
        <v>2324.1860004046248</v>
      </c>
      <c r="BE210">
        <v>206</v>
      </c>
      <c r="BF210" s="3">
        <f t="shared" si="59"/>
        <v>-1.062995252559356E-2</v>
      </c>
      <c r="BG210" s="3">
        <f t="shared" si="60"/>
        <v>-3.7716714388058032E-3</v>
      </c>
      <c r="BH210" s="3">
        <f t="shared" si="61"/>
        <v>1.3759612927479264E-3</v>
      </c>
      <c r="BI210" s="3">
        <f t="shared" si="62"/>
        <v>-2.2783150983588431E-3</v>
      </c>
      <c r="BJ210" s="3">
        <f t="shared" si="63"/>
        <v>-1.3585800300717456E-2</v>
      </c>
      <c r="BL210">
        <v>206</v>
      </c>
      <c r="BM210" s="3">
        <v>7.5336812348788858E-3</v>
      </c>
    </row>
    <row r="211" spans="1:65" x14ac:dyDescent="0.3">
      <c r="A211" s="2">
        <v>45786</v>
      </c>
      <c r="B211">
        <v>2332.9</v>
      </c>
      <c r="C211">
        <v>3510.3</v>
      </c>
      <c r="D211">
        <v>1388.9</v>
      </c>
      <c r="E211">
        <v>3440.3</v>
      </c>
      <c r="F211">
        <v>2982.1</v>
      </c>
      <c r="H211" s="2">
        <v>45786</v>
      </c>
      <c r="I211" s="3">
        <f t="shared" si="64"/>
        <v>-2.081846799580267E-2</v>
      </c>
      <c r="J211" s="3">
        <f t="shared" si="65"/>
        <v>-1.4763254652109259E-2</v>
      </c>
      <c r="K211" s="3">
        <f t="shared" si="66"/>
        <v>-4.1146013117017488E-2</v>
      </c>
      <c r="L211" s="3">
        <f t="shared" si="67"/>
        <v>-4.9745884432659371E-2</v>
      </c>
      <c r="M211" s="3">
        <f t="shared" si="68"/>
        <v>-3.948851740908943E-2</v>
      </c>
      <c r="O211">
        <v>207</v>
      </c>
      <c r="P211" s="8">
        <v>0.20941758775458605</v>
      </c>
      <c r="Q211" s="8">
        <v>-4.6702425555252058E-2</v>
      </c>
      <c r="R211" s="8">
        <v>2.4906780456998847</v>
      </c>
      <c r="S211" s="8">
        <v>8.4513379728827026E-2</v>
      </c>
      <c r="T211" s="8">
        <v>0.22858498585465348</v>
      </c>
      <c r="V211">
        <v>207</v>
      </c>
      <c r="W211">
        <v>0.20941758775458605</v>
      </c>
      <c r="X211">
        <v>-1.6601523000907625E-2</v>
      </c>
      <c r="Y211">
        <v>2.4288071319869351</v>
      </c>
      <c r="Z211">
        <v>0.15554634116197494</v>
      </c>
      <c r="AA211">
        <v>-0.20687949487095988</v>
      </c>
      <c r="AQ211">
        <v>207</v>
      </c>
      <c r="AR211" s="21">
        <f t="shared" si="54"/>
        <v>2373.7053638923517</v>
      </c>
      <c r="AS211" s="21">
        <f t="shared" si="55"/>
        <v>2367.1370845811907</v>
      </c>
      <c r="AT211" s="21">
        <f t="shared" si="56"/>
        <v>2435.3267146796375</v>
      </c>
      <c r="AU211" s="21">
        <f t="shared" si="57"/>
        <v>2371.8643491520643</v>
      </c>
      <c r="AV211" s="21">
        <f t="shared" si="58"/>
        <v>2361.912364870067</v>
      </c>
      <c r="BE211">
        <v>207</v>
      </c>
      <c r="BF211" s="3">
        <f t="shared" si="59"/>
        <v>6.4343824292340162E-3</v>
      </c>
      <c r="BG211" s="3">
        <f t="shared" si="60"/>
        <v>-1.072147225931243E-3</v>
      </c>
      <c r="BH211" s="3">
        <f t="shared" si="61"/>
        <v>3.1106511996115714E-2</v>
      </c>
      <c r="BI211" s="3">
        <f t="shared" si="62"/>
        <v>3.974179985568576E-3</v>
      </c>
      <c r="BJ211" s="3">
        <f t="shared" si="63"/>
        <v>1.6101744615103039E-2</v>
      </c>
      <c r="BL211">
        <v>207</v>
      </c>
      <c r="BM211" s="3">
        <v>7.7235235081446977E-3</v>
      </c>
    </row>
    <row r="212" spans="1:65" x14ac:dyDescent="0.3">
      <c r="A212" s="2">
        <v>45785</v>
      </c>
      <c r="B212">
        <v>2354.9</v>
      </c>
      <c r="C212">
        <v>3369.3</v>
      </c>
      <c r="D212">
        <v>1435.5</v>
      </c>
      <c r="E212">
        <v>3448.9</v>
      </c>
      <c r="F212">
        <v>3033.1</v>
      </c>
      <c r="H212" s="2">
        <v>45785</v>
      </c>
      <c r="I212" s="3">
        <f t="shared" si="64"/>
        <v>9.4303227742293938E-3</v>
      </c>
      <c r="J212" s="3">
        <f t="shared" si="65"/>
        <v>-4.0167507050679396E-2</v>
      </c>
      <c r="K212" s="3">
        <f t="shared" si="66"/>
        <v>3.3551731586147326E-2</v>
      </c>
      <c r="L212" s="3">
        <f t="shared" si="67"/>
        <v>2.4997819957561784E-3</v>
      </c>
      <c r="M212" s="3">
        <f t="shared" si="68"/>
        <v>1.7102042185037414E-2</v>
      </c>
      <c r="O212">
        <v>208</v>
      </c>
      <c r="P212" s="8">
        <v>7.4020022076128428E-2</v>
      </c>
      <c r="Q212" s="8">
        <v>-0.41499842195090453</v>
      </c>
      <c r="R212" s="8">
        <v>-0.88797802392452918</v>
      </c>
      <c r="S212" s="8">
        <v>0.6939162318831068</v>
      </c>
      <c r="T212" s="8">
        <v>-1.5845902907116274</v>
      </c>
      <c r="V212">
        <v>208</v>
      </c>
      <c r="W212">
        <v>7.4020022076128428E-2</v>
      </c>
      <c r="X212">
        <v>-8.6223317241228739E-2</v>
      </c>
      <c r="Y212">
        <v>-0.95351209446529539</v>
      </c>
      <c r="Z212">
        <v>0.59676430275715275</v>
      </c>
      <c r="AA212">
        <v>-1.5838902950159179</v>
      </c>
      <c r="AQ212">
        <v>208</v>
      </c>
      <c r="AR212" s="21">
        <f t="shared" si="54"/>
        <v>2369.975696721257</v>
      </c>
      <c r="AS212" s="21">
        <f t="shared" si="55"/>
        <v>2365.22453280436</v>
      </c>
      <c r="AT212" s="21">
        <f t="shared" si="56"/>
        <v>2341.5221357532591</v>
      </c>
      <c r="AU212" s="21">
        <f t="shared" si="57"/>
        <v>2384.0640323793054</v>
      </c>
      <c r="AV212" s="21">
        <f t="shared" si="58"/>
        <v>2324.4400450014714</v>
      </c>
      <c r="BE212">
        <v>208</v>
      </c>
      <c r="BF212" s="3">
        <f t="shared" si="59"/>
        <v>-1.5724783736356762E-3</v>
      </c>
      <c r="BG212" s="3">
        <f t="shared" si="60"/>
        <v>-8.0828644790427223E-4</v>
      </c>
      <c r="BH212" s="3">
        <f t="shared" si="61"/>
        <v>-3.9279718680046469E-2</v>
      </c>
      <c r="BI212" s="3">
        <f t="shared" si="62"/>
        <v>5.130316946205739E-3</v>
      </c>
      <c r="BJ212" s="3">
        <f t="shared" si="63"/>
        <v>-1.599244582676505E-2</v>
      </c>
      <c r="BL212">
        <v>208</v>
      </c>
      <c r="BM212" s="3">
        <v>7.8256119259990896E-3</v>
      </c>
    </row>
    <row r="213" spans="1:65" x14ac:dyDescent="0.3">
      <c r="A213" s="2">
        <v>45784</v>
      </c>
      <c r="B213">
        <v>2370.8000000000002</v>
      </c>
      <c r="C213">
        <v>3338.9</v>
      </c>
      <c r="D213">
        <v>1435.4</v>
      </c>
      <c r="E213">
        <v>3445.1</v>
      </c>
      <c r="F213">
        <v>3119.9</v>
      </c>
      <c r="H213" s="2">
        <v>45784</v>
      </c>
      <c r="I213" s="3">
        <f t="shared" si="64"/>
        <v>6.7518790606819756E-3</v>
      </c>
      <c r="J213" s="3">
        <f t="shared" si="65"/>
        <v>-9.02264565339983E-3</v>
      </c>
      <c r="K213" s="3">
        <f t="shared" si="66"/>
        <v>-6.9662138627579751E-5</v>
      </c>
      <c r="L213" s="3">
        <f t="shared" si="67"/>
        <v>-1.1018005740961456E-3</v>
      </c>
      <c r="M213" s="3">
        <f t="shared" si="68"/>
        <v>2.8617585968151449E-2</v>
      </c>
      <c r="O213">
        <v>209</v>
      </c>
      <c r="P213" s="8">
        <v>0.10714525685756167</v>
      </c>
      <c r="Q213" s="8">
        <v>1.5140308561875524</v>
      </c>
      <c r="R213" s="8">
        <v>-8.8557130153492397E-2</v>
      </c>
      <c r="S213" s="8">
        <v>0.64383452113447515</v>
      </c>
      <c r="T213" s="8">
        <v>-1.2731530987142137</v>
      </c>
      <c r="V213">
        <v>209</v>
      </c>
      <c r="W213">
        <v>0.10714525685756167</v>
      </c>
      <c r="X213">
        <v>0.30162744229042304</v>
      </c>
      <c r="Y213">
        <v>0.23716461784184645</v>
      </c>
      <c r="Z213">
        <v>0.86863976540591947</v>
      </c>
      <c r="AA213">
        <v>-0.84162953475584512</v>
      </c>
      <c r="AQ213">
        <v>209</v>
      </c>
      <c r="AR213" s="21">
        <f t="shared" si="54"/>
        <v>2370.8874250417625</v>
      </c>
      <c r="AS213" s="21">
        <f t="shared" si="55"/>
        <v>2375.901913483156</v>
      </c>
      <c r="AT213" s="21">
        <f t="shared" si="56"/>
        <v>2374.1231158789301</v>
      </c>
      <c r="AU213" s="21">
        <f t="shared" si="57"/>
        <v>2391.598038153742</v>
      </c>
      <c r="AV213" s="21">
        <f t="shared" si="58"/>
        <v>2344.5623402304586</v>
      </c>
      <c r="BE213">
        <v>209</v>
      </c>
      <c r="BF213" s="3">
        <f t="shared" si="59"/>
        <v>3.8462546094614869E-4</v>
      </c>
      <c r="BG213" s="3">
        <f t="shared" si="60"/>
        <v>4.5041611318206737E-3</v>
      </c>
      <c r="BH213" s="3">
        <f t="shared" si="61"/>
        <v>1.3826951683084119E-2</v>
      </c>
      <c r="BI213" s="3">
        <f t="shared" si="62"/>
        <v>3.1551696553522197E-3</v>
      </c>
      <c r="BJ213" s="3">
        <f t="shared" si="63"/>
        <v>8.619580010608625E-3</v>
      </c>
      <c r="BL213">
        <v>209</v>
      </c>
      <c r="BM213" s="3">
        <v>7.9314805560254283E-3</v>
      </c>
    </row>
    <row r="214" spans="1:65" x14ac:dyDescent="0.3">
      <c r="A214" s="2">
        <v>45783</v>
      </c>
      <c r="B214">
        <v>2381.8000000000002</v>
      </c>
      <c r="C214">
        <v>3299.3</v>
      </c>
      <c r="D214">
        <v>1431.6</v>
      </c>
      <c r="E214">
        <v>3460</v>
      </c>
      <c r="F214">
        <v>3068.4</v>
      </c>
      <c r="H214" s="2">
        <v>45783</v>
      </c>
      <c r="I214" s="3">
        <f t="shared" si="64"/>
        <v>4.6397840391430023E-3</v>
      </c>
      <c r="J214" s="3">
        <f t="shared" si="65"/>
        <v>-1.1860193476893599E-2</v>
      </c>
      <c r="K214" s="3">
        <f t="shared" si="66"/>
        <v>-2.6473456876133783E-3</v>
      </c>
      <c r="L214" s="3">
        <f t="shared" si="67"/>
        <v>4.3249833096281609E-3</v>
      </c>
      <c r="M214" s="3">
        <f t="shared" si="68"/>
        <v>-1.6506939324978376E-2</v>
      </c>
      <c r="O214">
        <v>210</v>
      </c>
      <c r="P214" s="8">
        <v>0.66673427919252726</v>
      </c>
      <c r="Q214" s="8">
        <v>0.43850231847275595</v>
      </c>
      <c r="R214" s="8">
        <v>-0.68631146547211586</v>
      </c>
      <c r="S214" s="8">
        <v>-1.2000433106253123</v>
      </c>
      <c r="T214" s="8">
        <v>-1.0850043063463632E-2</v>
      </c>
      <c r="V214">
        <v>210</v>
      </c>
      <c r="W214">
        <v>0.66673427919252726</v>
      </c>
      <c r="X214">
        <v>6.5551464619368852E-2</v>
      </c>
      <c r="Y214">
        <v>-0.5601062102392188</v>
      </c>
      <c r="Z214">
        <v>-1.1209879170748585</v>
      </c>
      <c r="AA214">
        <v>0.43613105754440201</v>
      </c>
      <c r="AQ214">
        <v>210</v>
      </c>
      <c r="AR214" s="21">
        <f t="shared" si="54"/>
        <v>2386.3450487456839</v>
      </c>
      <c r="AS214" s="21">
        <f t="shared" si="55"/>
        <v>2369.3945484636247</v>
      </c>
      <c r="AT214" s="21">
        <f t="shared" si="56"/>
        <v>2352.2437454482179</v>
      </c>
      <c r="AU214" s="21">
        <f t="shared" si="57"/>
        <v>2336.9744755980205</v>
      </c>
      <c r="AV214" s="21">
        <f t="shared" si="58"/>
        <v>2379.6214837011862</v>
      </c>
      <c r="BE214">
        <v>210</v>
      </c>
      <c r="BF214" s="3">
        <f t="shared" si="59"/>
        <v>6.4986011044653267E-3</v>
      </c>
      <c r="BG214" s="3">
        <f t="shared" si="60"/>
        <v>-2.7426607171330431E-3</v>
      </c>
      <c r="BH214" s="3">
        <f t="shared" si="61"/>
        <v>-9.2584970078078994E-3</v>
      </c>
      <c r="BI214" s="3">
        <f t="shared" si="62"/>
        <v>-2.3104644086670345E-2</v>
      </c>
      <c r="BJ214" s="3">
        <f t="shared" si="63"/>
        <v>1.4842685389892698E-2</v>
      </c>
      <c r="BL214">
        <v>210</v>
      </c>
      <c r="BM214" s="3">
        <v>8.0478197508754862E-3</v>
      </c>
    </row>
    <row r="215" spans="1:65" x14ac:dyDescent="0.3">
      <c r="A215" s="2">
        <v>45782</v>
      </c>
      <c r="B215">
        <v>2348.6</v>
      </c>
      <c r="C215">
        <v>3321.8</v>
      </c>
      <c r="D215">
        <v>1429.4</v>
      </c>
      <c r="E215">
        <v>3454.3</v>
      </c>
      <c r="F215">
        <v>3021.5</v>
      </c>
      <c r="H215" s="2">
        <v>45782</v>
      </c>
      <c r="I215" s="3">
        <f t="shared" si="64"/>
        <v>-1.3939037702577983E-2</v>
      </c>
      <c r="J215" s="3">
        <f t="shared" si="65"/>
        <v>6.8196284060255685E-3</v>
      </c>
      <c r="K215" s="3">
        <f t="shared" si="66"/>
        <v>-1.5367421067336018E-3</v>
      </c>
      <c r="L215" s="3">
        <f t="shared" si="67"/>
        <v>-1.6473988439306142E-3</v>
      </c>
      <c r="M215" s="3">
        <f t="shared" si="68"/>
        <v>-1.5284839004041206E-2</v>
      </c>
      <c r="O215">
        <v>211</v>
      </c>
      <c r="P215" s="8">
        <v>1.176200732207715</v>
      </c>
      <c r="Q215" s="8">
        <v>-0.92923651621360803</v>
      </c>
      <c r="R215" s="8">
        <v>-0.27896604840910033</v>
      </c>
      <c r="S215" s="8">
        <v>-0.63483924441524653</v>
      </c>
      <c r="T215" s="8">
        <v>1.0231964303111869</v>
      </c>
      <c r="V215">
        <v>211</v>
      </c>
      <c r="W215">
        <v>1.176200732207715</v>
      </c>
      <c r="X215">
        <v>-0.22772902843346066</v>
      </c>
      <c r="Y215">
        <v>-0.4387020611045831</v>
      </c>
      <c r="Z215">
        <v>-0.74840078794960407</v>
      </c>
      <c r="AA215">
        <v>0.80231597850014325</v>
      </c>
      <c r="AQ215">
        <v>211</v>
      </c>
      <c r="AR215" s="21">
        <f t="shared" si="54"/>
        <v>2400.5057405367393</v>
      </c>
      <c r="AS215" s="21">
        <f t="shared" si="55"/>
        <v>2361.3359796736113</v>
      </c>
      <c r="AT215" s="21">
        <f t="shared" si="56"/>
        <v>2355.5637961954026</v>
      </c>
      <c r="AU215" s="21">
        <f t="shared" si="57"/>
        <v>2347.1078578133638</v>
      </c>
      <c r="AV215" s="21">
        <f t="shared" si="58"/>
        <v>2389.761003062551</v>
      </c>
      <c r="BE215">
        <v>211</v>
      </c>
      <c r="BF215" s="3">
        <f t="shared" si="59"/>
        <v>5.9165132662196964E-3</v>
      </c>
      <c r="BG215" s="3">
        <f t="shared" si="60"/>
        <v>-3.4069057777595716E-3</v>
      </c>
      <c r="BH215" s="3">
        <f t="shared" si="61"/>
        <v>1.410444784844291E-3</v>
      </c>
      <c r="BI215" s="3">
        <f t="shared" si="62"/>
        <v>4.3267377909609814E-3</v>
      </c>
      <c r="BJ215" s="3">
        <f t="shared" si="63"/>
        <v>4.2519276511946329E-3</v>
      </c>
      <c r="BL215">
        <v>211</v>
      </c>
      <c r="BM215" s="3">
        <v>8.1911503279203796E-3</v>
      </c>
    </row>
    <row r="216" spans="1:65" x14ac:dyDescent="0.3">
      <c r="A216" s="2">
        <v>45779</v>
      </c>
      <c r="B216">
        <v>2323.9</v>
      </c>
      <c r="C216">
        <v>3341</v>
      </c>
      <c r="D216">
        <v>1432.4</v>
      </c>
      <c r="E216">
        <v>3444.7</v>
      </c>
      <c r="F216">
        <v>2926.2</v>
      </c>
      <c r="H216" s="2">
        <v>45779</v>
      </c>
      <c r="I216" s="3">
        <f t="shared" si="64"/>
        <v>-1.0516903687302959E-2</v>
      </c>
      <c r="J216" s="3">
        <f t="shared" si="65"/>
        <v>5.7799987958335741E-3</v>
      </c>
      <c r="K216" s="3">
        <f t="shared" si="66"/>
        <v>2.0987827060305886E-3</v>
      </c>
      <c r="L216" s="3">
        <f t="shared" si="67"/>
        <v>-2.7791448339751224E-3</v>
      </c>
      <c r="M216" s="3">
        <f t="shared" si="68"/>
        <v>-3.154062551712733E-2</v>
      </c>
      <c r="O216">
        <v>212</v>
      </c>
      <c r="P216" s="8">
        <v>0.58237656814766015</v>
      </c>
      <c r="Q216" s="8">
        <v>0.25499301018947734</v>
      </c>
      <c r="R216" s="8">
        <v>-0.88522988664010116</v>
      </c>
      <c r="S216" s="8">
        <v>-0.73447904291240151</v>
      </c>
      <c r="T216" s="8">
        <v>-1.1064712823040734</v>
      </c>
      <c r="V216">
        <v>212</v>
      </c>
      <c r="W216">
        <v>0.58237656814766015</v>
      </c>
      <c r="X216">
        <v>3.1440839194746634E-2</v>
      </c>
      <c r="Y216">
        <v>-0.79553500309599778</v>
      </c>
      <c r="Z216">
        <v>-0.69758641098564633</v>
      </c>
      <c r="AA216">
        <v>-0.68568705990111245</v>
      </c>
      <c r="AQ216">
        <v>212</v>
      </c>
      <c r="AR216" s="21">
        <f t="shared" si="54"/>
        <v>2384.0080403820352</v>
      </c>
      <c r="AS216" s="21">
        <f t="shared" si="55"/>
        <v>2368.456503889649</v>
      </c>
      <c r="AT216" s="21">
        <f t="shared" si="56"/>
        <v>2345.8214024407289</v>
      </c>
      <c r="AU216" s="21">
        <f t="shared" si="57"/>
        <v>2348.494889451611</v>
      </c>
      <c r="AV216" s="21">
        <f t="shared" si="58"/>
        <v>2348.8190283211652</v>
      </c>
      <c r="BE216">
        <v>212</v>
      </c>
      <c r="BF216" s="3">
        <f t="shared" si="59"/>
        <v>-6.8963185372128612E-3</v>
      </c>
      <c r="BG216" s="3">
        <f t="shared" si="60"/>
        <v>3.0109268515049348E-3</v>
      </c>
      <c r="BH216" s="3">
        <f t="shared" si="61"/>
        <v>-4.1444839289983357E-3</v>
      </c>
      <c r="BI216" s="3">
        <f t="shared" si="62"/>
        <v>5.9077897055782641E-4</v>
      </c>
      <c r="BJ216" s="3">
        <f t="shared" si="63"/>
        <v>-1.7280701524598149E-2</v>
      </c>
      <c r="BL216">
        <v>212</v>
      </c>
      <c r="BM216" s="3">
        <v>8.2715918409472858E-3</v>
      </c>
    </row>
    <row r="217" spans="1:65" x14ac:dyDescent="0.3">
      <c r="A217" s="2">
        <v>45777</v>
      </c>
      <c r="B217">
        <v>2342.1</v>
      </c>
      <c r="C217">
        <v>3379.7</v>
      </c>
      <c r="D217">
        <v>1427</v>
      </c>
      <c r="E217">
        <v>3453.7</v>
      </c>
      <c r="F217">
        <v>2928.8</v>
      </c>
      <c r="H217" s="2">
        <v>45777</v>
      </c>
      <c r="I217" s="3">
        <f t="shared" si="64"/>
        <v>7.8316622918368495E-3</v>
      </c>
      <c r="J217" s="3">
        <f t="shared" si="65"/>
        <v>1.1583358275965239E-2</v>
      </c>
      <c r="K217" s="3">
        <f t="shared" si="66"/>
        <v>-3.7698966769059705E-3</v>
      </c>
      <c r="L217" s="3">
        <f t="shared" si="67"/>
        <v>2.6127093796266543E-3</v>
      </c>
      <c r="M217" s="3">
        <f t="shared" si="68"/>
        <v>8.8852436607211871E-4</v>
      </c>
      <c r="O217">
        <v>213</v>
      </c>
      <c r="P217" s="8">
        <v>-0.48152773583285691</v>
      </c>
      <c r="Q217" s="8">
        <v>1.7623118458663658</v>
      </c>
      <c r="R217" s="8">
        <v>0.30480412439778881</v>
      </c>
      <c r="S217" s="8">
        <v>-0.26405791335375389</v>
      </c>
      <c r="T217" s="8">
        <v>2.9072772560936933E-2</v>
      </c>
      <c r="V217">
        <v>213</v>
      </c>
      <c r="W217">
        <v>-0.48152773583285691</v>
      </c>
      <c r="X217">
        <v>0.37188737422320151</v>
      </c>
      <c r="Y217">
        <v>0.65867337287931127</v>
      </c>
      <c r="Z217">
        <v>7.3046204541963866E-3</v>
      </c>
      <c r="AA217">
        <v>0.56368176399386649</v>
      </c>
      <c r="AQ217">
        <v>213</v>
      </c>
      <c r="AR217" s="21">
        <f t="shared" si="54"/>
        <v>2354.7336639407072</v>
      </c>
      <c r="AS217" s="21">
        <f t="shared" si="55"/>
        <v>2377.8439092177427</v>
      </c>
      <c r="AT217" s="21">
        <f t="shared" si="56"/>
        <v>2385.772870585954</v>
      </c>
      <c r="AU217" s="21">
        <f t="shared" si="57"/>
        <v>2367.7924347333201</v>
      </c>
      <c r="AV217" s="21">
        <f t="shared" si="58"/>
        <v>2383.1440361468167</v>
      </c>
      <c r="BE217">
        <v>213</v>
      </c>
      <c r="BF217" s="3">
        <f t="shared" si="59"/>
        <v>-1.2355494636164659E-2</v>
      </c>
      <c r="BG217" s="3">
        <f t="shared" si="60"/>
        <v>3.9556777918495082E-3</v>
      </c>
      <c r="BH217" s="3">
        <f t="shared" si="61"/>
        <v>1.688750780745368E-2</v>
      </c>
      <c r="BI217" s="3">
        <f t="shared" si="62"/>
        <v>8.1834085366600598E-3</v>
      </c>
      <c r="BJ217" s="3">
        <f t="shared" si="63"/>
        <v>1.4507978790480904E-2</v>
      </c>
      <c r="BL217">
        <v>213</v>
      </c>
      <c r="BM217" s="3">
        <v>8.5444246845772405E-3</v>
      </c>
    </row>
    <row r="218" spans="1:65" x14ac:dyDescent="0.3">
      <c r="A218" s="2">
        <v>45776</v>
      </c>
      <c r="B218">
        <v>2321.6999999999998</v>
      </c>
      <c r="C218">
        <v>3378.6</v>
      </c>
      <c r="D218">
        <v>1429.8</v>
      </c>
      <c r="E218">
        <v>3472.5</v>
      </c>
      <c r="F218">
        <v>2909.6</v>
      </c>
      <c r="H218" s="2">
        <v>45776</v>
      </c>
      <c r="I218" s="3">
        <f t="shared" si="64"/>
        <v>-8.710131932880838E-3</v>
      </c>
      <c r="J218" s="3">
        <f t="shared" si="65"/>
        <v>-3.2547267508953315E-4</v>
      </c>
      <c r="K218" s="3">
        <f t="shared" si="66"/>
        <v>1.9621583742115423E-3</v>
      </c>
      <c r="L218" s="3">
        <f t="shared" si="67"/>
        <v>5.4434374728553614E-3</v>
      </c>
      <c r="M218" s="3">
        <f t="shared" si="68"/>
        <v>-6.5555859054904353E-3</v>
      </c>
      <c r="O218">
        <v>214</v>
      </c>
      <c r="P218" s="8">
        <v>-0.35703518667677209</v>
      </c>
      <c r="Q218" s="8">
        <v>0.1184224594482053</v>
      </c>
      <c r="R218" s="8">
        <v>0.42642169294007298</v>
      </c>
      <c r="S218" s="8">
        <v>-0.89059456624822275</v>
      </c>
      <c r="T218" s="8">
        <v>-5.6430603530574795E-2</v>
      </c>
      <c r="V218">
        <v>214</v>
      </c>
      <c r="W218">
        <v>-0.35703518667677209</v>
      </c>
      <c r="X218">
        <v>3.6127792081935388E-2</v>
      </c>
      <c r="Y218">
        <v>0.43234421511251386</v>
      </c>
      <c r="Z218">
        <v>-0.85741531615062794</v>
      </c>
      <c r="AA218">
        <v>9.8106337876387978E-2</v>
      </c>
      <c r="AQ218">
        <v>214</v>
      </c>
      <c r="AR218" s="21">
        <f t="shared" si="54"/>
        <v>2358.1403652972231</v>
      </c>
      <c r="AS218" s="21">
        <f t="shared" si="55"/>
        <v>2368.589556383733</v>
      </c>
      <c r="AT218" s="21">
        <f t="shared" si="56"/>
        <v>2379.5117627626896</v>
      </c>
      <c r="AU218" s="21">
        <f t="shared" si="57"/>
        <v>2344.1344736758679</v>
      </c>
      <c r="AV218" s="21">
        <f t="shared" si="58"/>
        <v>2370.297259632624</v>
      </c>
      <c r="BE218">
        <v>214</v>
      </c>
      <c r="BF218" s="3">
        <f t="shared" si="59"/>
        <v>1.4457004064734455E-3</v>
      </c>
      <c r="BG218" s="3">
        <f t="shared" si="60"/>
        <v>-3.8995024908597474E-3</v>
      </c>
      <c r="BH218" s="3">
        <f t="shared" si="61"/>
        <v>-2.6278016563255307E-3</v>
      </c>
      <c r="BI218" s="3">
        <f t="shared" si="62"/>
        <v>-1.0041819543915913E-2</v>
      </c>
      <c r="BJ218" s="3">
        <f t="shared" si="63"/>
        <v>-5.4052662033163166E-3</v>
      </c>
      <c r="BL218">
        <v>214</v>
      </c>
      <c r="BM218" s="3">
        <v>8.5723936913992445E-3</v>
      </c>
    </row>
    <row r="219" spans="1:65" x14ac:dyDescent="0.3">
      <c r="A219" s="2">
        <v>45775</v>
      </c>
      <c r="B219">
        <v>2318.6</v>
      </c>
      <c r="C219">
        <v>3369.1</v>
      </c>
      <c r="D219">
        <v>1428.8</v>
      </c>
      <c r="E219">
        <v>3443.5</v>
      </c>
      <c r="F219">
        <v>2930.6</v>
      </c>
      <c r="H219" s="2">
        <v>45775</v>
      </c>
      <c r="I219" s="3">
        <f t="shared" si="64"/>
        <v>-1.3352284963603633E-3</v>
      </c>
      <c r="J219" s="3">
        <f t="shared" si="65"/>
        <v>-2.8118155449002868E-3</v>
      </c>
      <c r="K219" s="3">
        <f t="shared" si="66"/>
        <v>-6.9939851727518487E-4</v>
      </c>
      <c r="L219" s="3">
        <f t="shared" si="67"/>
        <v>-8.3513318934484992E-3</v>
      </c>
      <c r="M219" s="3">
        <f t="shared" si="68"/>
        <v>7.2174869397856334E-3</v>
      </c>
      <c r="O219">
        <v>215</v>
      </c>
      <c r="P219" s="8">
        <v>-1.0492832069628673</v>
      </c>
      <c r="Q219" s="8">
        <v>0.42185091709891626</v>
      </c>
      <c r="R219" s="8">
        <v>0.86918825307697478</v>
      </c>
      <c r="S219" s="8">
        <v>1.8264403062363599</v>
      </c>
      <c r="T219" s="8">
        <v>1.1037996674707258</v>
      </c>
      <c r="V219">
        <v>215</v>
      </c>
      <c r="W219">
        <v>-1.0492832069628673</v>
      </c>
      <c r="X219">
        <v>0.12106127974744879</v>
      </c>
      <c r="Y219">
        <v>0.9110970388262627</v>
      </c>
      <c r="Z219">
        <v>1.8675914485828022</v>
      </c>
      <c r="AA219">
        <v>0.68883121556754778</v>
      </c>
      <c r="AQ219">
        <v>215</v>
      </c>
      <c r="AR219" s="21">
        <f t="shared" si="54"/>
        <v>2339.2584664651881</v>
      </c>
      <c r="AS219" s="21">
        <f t="shared" si="55"/>
        <v>2370.9300028708121</v>
      </c>
      <c r="AT219" s="21">
        <f t="shared" si="56"/>
        <v>2392.7780659186151</v>
      </c>
      <c r="AU219" s="21">
        <f t="shared" si="57"/>
        <v>2419.5017570100113</v>
      </c>
      <c r="AV219" s="21">
        <f t="shared" si="58"/>
        <v>2386.6018858836392</v>
      </c>
      <c r="BE219">
        <v>215</v>
      </c>
      <c r="BF219" s="3">
        <f t="shared" si="59"/>
        <v>-8.039343136309645E-3</v>
      </c>
      <c r="BG219" s="3">
        <f t="shared" si="60"/>
        <v>9.8763034862935561E-4</v>
      </c>
      <c r="BH219" s="3">
        <f t="shared" si="61"/>
        <v>5.5597366483091902E-3</v>
      </c>
      <c r="BI219" s="3">
        <f t="shared" si="62"/>
        <v>3.1645394053352711E-2</v>
      </c>
      <c r="BJ219" s="3">
        <f t="shared" si="63"/>
        <v>6.8551758627050539E-3</v>
      </c>
      <c r="BL219">
        <v>215</v>
      </c>
      <c r="BM219" s="3">
        <v>8.784896072575028E-3</v>
      </c>
    </row>
    <row r="220" spans="1:65" x14ac:dyDescent="0.3">
      <c r="A220" s="2">
        <v>45772</v>
      </c>
      <c r="B220">
        <v>2332.1999999999998</v>
      </c>
      <c r="C220">
        <v>3365.2</v>
      </c>
      <c r="D220">
        <v>1404.8</v>
      </c>
      <c r="E220">
        <v>3448</v>
      </c>
      <c r="F220">
        <v>2864.2</v>
      </c>
      <c r="H220" s="2">
        <v>45772</v>
      </c>
      <c r="I220" s="3">
        <f t="shared" si="64"/>
        <v>5.8656085568877803E-3</v>
      </c>
      <c r="J220" s="3">
        <f t="shared" si="65"/>
        <v>-1.157579175447454E-3</v>
      </c>
      <c r="K220" s="3">
        <f t="shared" si="66"/>
        <v>-1.6797312430011146E-2</v>
      </c>
      <c r="L220" s="3">
        <f t="shared" si="67"/>
        <v>1.3068099317554704E-3</v>
      </c>
      <c r="M220" s="3">
        <f t="shared" si="68"/>
        <v>-2.2657476284719924E-2</v>
      </c>
      <c r="O220">
        <v>216</v>
      </c>
      <c r="P220" s="8">
        <v>0.73318642905054532</v>
      </c>
      <c r="Q220" s="8">
        <v>-1.2717142627026092</v>
      </c>
      <c r="R220" s="8">
        <v>1.2757136621425345</v>
      </c>
      <c r="S220" s="8">
        <v>0.13088028006092206</v>
      </c>
      <c r="T220" s="8">
        <v>1.6739926363283708</v>
      </c>
      <c r="V220">
        <v>216</v>
      </c>
      <c r="W220">
        <v>0.73318642905054532</v>
      </c>
      <c r="X220">
        <v>-0.28159187834371507</v>
      </c>
      <c r="Y220">
        <v>0.99594532134087088</v>
      </c>
      <c r="Z220">
        <v>-1.0023544498569792E-2</v>
      </c>
      <c r="AA220">
        <v>0.92904490720726585</v>
      </c>
      <c r="AQ220">
        <v>216</v>
      </c>
      <c r="AR220" s="21">
        <f t="shared" si="54"/>
        <v>2388.1864024663532</v>
      </c>
      <c r="AS220" s="21">
        <f t="shared" si="55"/>
        <v>2359.8613277898703</v>
      </c>
      <c r="AT220" s="21">
        <f t="shared" si="56"/>
        <v>2395.1387815436678</v>
      </c>
      <c r="AU220" s="21">
        <f t="shared" si="57"/>
        <v>2367.3145001376251</v>
      </c>
      <c r="AV220" s="21">
        <f t="shared" si="58"/>
        <v>2393.2774371451037</v>
      </c>
      <c r="BE220">
        <v>216</v>
      </c>
      <c r="BF220" s="3">
        <f t="shared" si="59"/>
        <v>2.0700265993338289E-2</v>
      </c>
      <c r="BG220" s="3">
        <f t="shared" si="60"/>
        <v>-4.6794265503922652E-3</v>
      </c>
      <c r="BH220" s="3">
        <f t="shared" si="61"/>
        <v>9.8611395793330174E-4</v>
      </c>
      <c r="BI220" s="3">
        <f t="shared" si="62"/>
        <v>-2.1805443064420556E-2</v>
      </c>
      <c r="BJ220" s="3">
        <f t="shared" si="63"/>
        <v>2.793190016104835E-3</v>
      </c>
      <c r="BL220">
        <v>216</v>
      </c>
      <c r="BM220" s="3">
        <v>8.8548576768890472E-3</v>
      </c>
    </row>
    <row r="221" spans="1:65" x14ac:dyDescent="0.3">
      <c r="A221" s="2">
        <v>45771</v>
      </c>
      <c r="B221">
        <v>2325.3000000000002</v>
      </c>
      <c r="C221">
        <v>3382.6</v>
      </c>
      <c r="D221">
        <v>1402.7</v>
      </c>
      <c r="E221">
        <v>3401.6</v>
      </c>
      <c r="F221">
        <v>2901.4</v>
      </c>
      <c r="H221" s="2">
        <v>45771</v>
      </c>
      <c r="I221" s="3">
        <f t="shared" si="64"/>
        <v>-2.9585798816565978E-3</v>
      </c>
      <c r="J221" s="3">
        <f t="shared" si="65"/>
        <v>5.1705693569477074E-3</v>
      </c>
      <c r="K221" s="3">
        <f t="shared" si="66"/>
        <v>-1.4948747152618846E-3</v>
      </c>
      <c r="L221" s="3">
        <f t="shared" si="67"/>
        <v>-1.345707656612527E-2</v>
      </c>
      <c r="M221" s="3">
        <f t="shared" si="68"/>
        <v>1.2987919838000295E-2</v>
      </c>
      <c r="O221">
        <v>217</v>
      </c>
      <c r="P221" s="8">
        <v>-2.5767014792789698</v>
      </c>
      <c r="Q221" s="8">
        <v>-0.55662491203836051</v>
      </c>
      <c r="R221" s="8">
        <v>-0.54813169041295029</v>
      </c>
      <c r="S221" s="8">
        <v>-1.1852884918849151</v>
      </c>
      <c r="T221" s="8">
        <v>-0.44233833972498326</v>
      </c>
      <c r="V221">
        <v>217</v>
      </c>
      <c r="W221">
        <v>-2.5767014792789698</v>
      </c>
      <c r="X221">
        <v>-2.3849832019762457E-2</v>
      </c>
      <c r="Y221">
        <v>-0.72085812536467198</v>
      </c>
      <c r="Z221">
        <v>-1.3370802923934419</v>
      </c>
      <c r="AA221">
        <v>-0.18943478738835201</v>
      </c>
      <c r="AQ221">
        <v>217</v>
      </c>
      <c r="AR221" s="21">
        <f t="shared" si="54"/>
        <v>2298.1294309605387</v>
      </c>
      <c r="AS221" s="21">
        <f t="shared" si="55"/>
        <v>2366.9498980811945</v>
      </c>
      <c r="AT221" s="21">
        <f t="shared" si="56"/>
        <v>2347.856923152985</v>
      </c>
      <c r="AU221" s="21">
        <f t="shared" si="57"/>
        <v>2331.1177799820398</v>
      </c>
      <c r="AV221" s="21">
        <f t="shared" si="58"/>
        <v>2362.39740532932</v>
      </c>
      <c r="BE221">
        <v>217</v>
      </c>
      <c r="BF221" s="3">
        <f t="shared" si="59"/>
        <v>-3.8438749320300621E-2</v>
      </c>
      <c r="BG221" s="3">
        <f t="shared" si="60"/>
        <v>2.9993055641792513E-3</v>
      </c>
      <c r="BH221" s="3">
        <f t="shared" si="61"/>
        <v>-1.9938211064435062E-2</v>
      </c>
      <c r="BI221" s="3">
        <f t="shared" si="62"/>
        <v>-1.5408303933821957E-2</v>
      </c>
      <c r="BJ221" s="3">
        <f t="shared" si="63"/>
        <v>-1.2986786038813425E-2</v>
      </c>
      <c r="BL221">
        <v>217</v>
      </c>
      <c r="BM221" s="3">
        <v>8.9129003327776471E-3</v>
      </c>
    </row>
    <row r="222" spans="1:65" x14ac:dyDescent="0.3">
      <c r="A222" s="2">
        <v>45770</v>
      </c>
      <c r="B222">
        <v>2423.8000000000002</v>
      </c>
      <c r="C222">
        <v>3357.3</v>
      </c>
      <c r="D222">
        <v>1424.4</v>
      </c>
      <c r="E222">
        <v>3413</v>
      </c>
      <c r="F222">
        <v>2917.8</v>
      </c>
      <c r="H222" s="2">
        <v>45770</v>
      </c>
      <c r="I222" s="3">
        <f t="shared" si="64"/>
        <v>4.236012557519464E-2</v>
      </c>
      <c r="J222" s="3">
        <f t="shared" si="65"/>
        <v>-7.4794536746880524E-3</v>
      </c>
      <c r="K222" s="3">
        <f t="shared" si="66"/>
        <v>1.5470164682398257E-2</v>
      </c>
      <c r="L222" s="3">
        <f t="shared" si="67"/>
        <v>3.3513640639699638E-3</v>
      </c>
      <c r="M222" s="3">
        <f t="shared" si="68"/>
        <v>5.6524436478941897E-3</v>
      </c>
      <c r="O222">
        <v>218</v>
      </c>
      <c r="P222" s="8">
        <v>0.37124505096763544</v>
      </c>
      <c r="Q222" s="8">
        <v>-1.4534570022472777</v>
      </c>
      <c r="R222" s="8">
        <v>-0.54127724855004367</v>
      </c>
      <c r="S222" s="8">
        <v>9.0193673050001644E-3</v>
      </c>
      <c r="T222" s="8">
        <v>-8.17344277046093E-2</v>
      </c>
      <c r="V222">
        <v>218</v>
      </c>
      <c r="W222">
        <v>0.37124505096763544</v>
      </c>
      <c r="X222">
        <v>-0.30582383754428416</v>
      </c>
      <c r="Y222">
        <v>-0.82711949766126813</v>
      </c>
      <c r="Z222">
        <v>-0.221406974779183</v>
      </c>
      <c r="AA222">
        <v>-0.43298557631251128</v>
      </c>
      <c r="AQ222">
        <v>218</v>
      </c>
      <c r="AR222" s="21">
        <f t="shared" si="54"/>
        <v>2378.1688150495106</v>
      </c>
      <c r="AS222" s="21">
        <f t="shared" si="55"/>
        <v>2359.1989199249501</v>
      </c>
      <c r="AT222" s="21">
        <f t="shared" si="56"/>
        <v>2344.9625772318377</v>
      </c>
      <c r="AU222" s="21">
        <f t="shared" si="57"/>
        <v>2361.5182000001369</v>
      </c>
      <c r="AV222" s="21">
        <f t="shared" si="58"/>
        <v>2355.7201516886648</v>
      </c>
      <c r="BE222">
        <v>218</v>
      </c>
      <c r="BF222" s="3">
        <f t="shared" si="59"/>
        <v>3.4235284949797461E-2</v>
      </c>
      <c r="BG222" s="3">
        <f t="shared" si="60"/>
        <v>-3.2800427595102719E-3</v>
      </c>
      <c r="BH222" s="3">
        <f t="shared" si="61"/>
        <v>-1.2335212500318104E-3</v>
      </c>
      <c r="BI222" s="3">
        <f t="shared" si="62"/>
        <v>1.2956830850342323E-2</v>
      </c>
      <c r="BJ222" s="3">
        <f t="shared" si="63"/>
        <v>-2.8304755097400655E-3</v>
      </c>
      <c r="BL222">
        <v>218</v>
      </c>
      <c r="BM222" s="3">
        <v>8.9578131705245409E-3</v>
      </c>
    </row>
    <row r="223" spans="1:65" x14ac:dyDescent="0.3">
      <c r="A223" s="2">
        <v>45769</v>
      </c>
      <c r="B223">
        <v>2398.6999999999998</v>
      </c>
      <c r="C223">
        <v>3337.4</v>
      </c>
      <c r="D223">
        <v>1416.5</v>
      </c>
      <c r="E223">
        <v>3314.4</v>
      </c>
      <c r="F223">
        <v>2817.1</v>
      </c>
      <c r="H223" s="2">
        <v>45769</v>
      </c>
      <c r="I223" s="3">
        <f t="shared" si="64"/>
        <v>-1.0355639904282676E-2</v>
      </c>
      <c r="J223" s="3">
        <f t="shared" si="65"/>
        <v>-5.92738212253896E-3</v>
      </c>
      <c r="K223" s="3">
        <f t="shared" si="66"/>
        <v>-5.5461948890761503E-3</v>
      </c>
      <c r="L223" s="3">
        <f t="shared" si="67"/>
        <v>-2.8889539994140012E-2</v>
      </c>
      <c r="M223" s="3">
        <f t="shared" si="68"/>
        <v>-3.4512303790527166E-2</v>
      </c>
      <c r="O223">
        <v>219</v>
      </c>
      <c r="P223" s="8">
        <v>0.41598471593479752</v>
      </c>
      <c r="Q223" s="8">
        <v>0.81619384411638507</v>
      </c>
      <c r="R223" s="8">
        <v>3.5010029763184708E-2</v>
      </c>
      <c r="S223" s="8">
        <v>-1.1635297053208433</v>
      </c>
      <c r="T223" s="8">
        <v>0.432323676763741</v>
      </c>
      <c r="V223">
        <v>219</v>
      </c>
      <c r="W223">
        <v>0.41598471593479752</v>
      </c>
      <c r="X223">
        <v>0.1503145412267764</v>
      </c>
      <c r="Y223">
        <v>0.21806397997936439</v>
      </c>
      <c r="Z223">
        <v>-1.0117192636938062</v>
      </c>
      <c r="AA223">
        <v>0.84586800070519419</v>
      </c>
      <c r="AQ223">
        <v>219</v>
      </c>
      <c r="AR223" s="21">
        <f t="shared" si="54"/>
        <v>2379.4046118107085</v>
      </c>
      <c r="AS223" s="21">
        <f t="shared" si="55"/>
        <v>2371.7291867727445</v>
      </c>
      <c r="AT223" s="21">
        <f t="shared" si="56"/>
        <v>2373.5972113136368</v>
      </c>
      <c r="AU223" s="21">
        <f t="shared" si="57"/>
        <v>2339.9385352302093</v>
      </c>
      <c r="AV223" s="21">
        <f t="shared" si="58"/>
        <v>2390.971163250008</v>
      </c>
      <c r="BE223">
        <v>219</v>
      </c>
      <c r="BF223" s="3">
        <f t="shared" si="59"/>
        <v>5.1950718490845638E-4</v>
      </c>
      <c r="BG223" s="3">
        <f t="shared" si="60"/>
        <v>5.2971830749814893E-3</v>
      </c>
      <c r="BH223" s="3">
        <f t="shared" si="61"/>
        <v>1.213717188312023E-2</v>
      </c>
      <c r="BI223" s="3">
        <f t="shared" si="62"/>
        <v>-9.1800552613162389E-3</v>
      </c>
      <c r="BJ223" s="3">
        <f t="shared" si="63"/>
        <v>1.4853150246499736E-2</v>
      </c>
      <c r="BL223">
        <v>219</v>
      </c>
      <c r="BM223" s="3">
        <v>9.1021272125029525E-3</v>
      </c>
    </row>
    <row r="224" spans="1:65" x14ac:dyDescent="0.3">
      <c r="A224" s="2">
        <v>45768</v>
      </c>
      <c r="B224">
        <v>2351</v>
      </c>
      <c r="C224">
        <v>3336.1</v>
      </c>
      <c r="D224">
        <v>1409.8</v>
      </c>
      <c r="E224">
        <v>3321.6</v>
      </c>
      <c r="F224">
        <v>2764</v>
      </c>
      <c r="H224" s="2">
        <v>45768</v>
      </c>
      <c r="I224" s="3">
        <f t="shared" si="64"/>
        <v>-1.9885771459540513E-2</v>
      </c>
      <c r="J224" s="3">
        <f t="shared" si="65"/>
        <v>-3.8952477976872402E-4</v>
      </c>
      <c r="K224" s="3">
        <f t="shared" si="66"/>
        <v>-4.7299682315566915E-3</v>
      </c>
      <c r="L224" s="3">
        <f t="shared" si="67"/>
        <v>2.1723388848660097E-3</v>
      </c>
      <c r="M224" s="3">
        <f t="shared" si="68"/>
        <v>-1.8849171133435094E-2</v>
      </c>
      <c r="O224">
        <v>220</v>
      </c>
      <c r="P224" s="8">
        <v>-1.0830362234235411</v>
      </c>
      <c r="Q224" s="8">
        <v>-1.4520028788813018</v>
      </c>
      <c r="R224" s="8">
        <v>-0.40019354351193243</v>
      </c>
      <c r="S224" s="8">
        <v>-0.15753914017076354</v>
      </c>
      <c r="T224" s="8">
        <v>1.8853470206960232</v>
      </c>
      <c r="V224">
        <v>220</v>
      </c>
      <c r="W224">
        <v>-1.0830362234235411</v>
      </c>
      <c r="X224">
        <v>-0.25564185486023661</v>
      </c>
      <c r="Y224">
        <v>-0.72702306659647109</v>
      </c>
      <c r="Z224">
        <v>-0.41806744181790745</v>
      </c>
      <c r="AA224">
        <v>1.4338460045520067</v>
      </c>
      <c r="AQ224">
        <v>220</v>
      </c>
      <c r="AR224" s="21">
        <f t="shared" si="54"/>
        <v>2338.3409070032067</v>
      </c>
      <c r="AS224" s="21">
        <f t="shared" si="55"/>
        <v>2360.5805493946718</v>
      </c>
      <c r="AT224" s="21">
        <f t="shared" si="56"/>
        <v>2347.6898421544579</v>
      </c>
      <c r="AU224" s="21">
        <f t="shared" si="57"/>
        <v>2356.1305093499041</v>
      </c>
      <c r="AV224" s="21">
        <f t="shared" si="58"/>
        <v>2407.3508100194545</v>
      </c>
      <c r="BE224">
        <v>220</v>
      </c>
      <c r="BF224" s="3">
        <f t="shared" si="59"/>
        <v>-1.7408629483582131E-2</v>
      </c>
      <c r="BG224" s="3">
        <f t="shared" si="60"/>
        <v>-4.7117194878931595E-3</v>
      </c>
      <c r="BH224" s="3">
        <f t="shared" si="61"/>
        <v>-1.0974816359658083E-2</v>
      </c>
      <c r="BI224" s="3">
        <f t="shared" si="62"/>
        <v>6.89599668704433E-3</v>
      </c>
      <c r="BJ224" s="3">
        <f t="shared" si="63"/>
        <v>6.8272660667855808E-3</v>
      </c>
      <c r="BL224">
        <v>220</v>
      </c>
      <c r="BM224" s="3">
        <v>9.1187738432649684E-3</v>
      </c>
    </row>
    <row r="225" spans="1:65" x14ac:dyDescent="0.3">
      <c r="A225" s="2">
        <v>45764</v>
      </c>
      <c r="B225">
        <v>2375</v>
      </c>
      <c r="C225">
        <v>3327.5</v>
      </c>
      <c r="D225">
        <v>1406.7</v>
      </c>
      <c r="E225">
        <v>3298.9</v>
      </c>
      <c r="F225">
        <v>2679.4</v>
      </c>
      <c r="H225" s="2">
        <v>45764</v>
      </c>
      <c r="I225" s="3">
        <f t="shared" si="64"/>
        <v>1.0208421948107116E-2</v>
      </c>
      <c r="J225" s="3">
        <f t="shared" si="65"/>
        <v>-2.5778603758880303E-3</v>
      </c>
      <c r="K225" s="3">
        <f t="shared" si="66"/>
        <v>-2.1988934600651877E-3</v>
      </c>
      <c r="L225" s="3">
        <f t="shared" si="67"/>
        <v>-6.8340558766858406E-3</v>
      </c>
      <c r="M225" s="3">
        <f t="shared" si="68"/>
        <v>-3.0607814761215546E-2</v>
      </c>
      <c r="O225">
        <v>221</v>
      </c>
      <c r="P225" s="8">
        <v>-0.53954947759886429</v>
      </c>
      <c r="Q225" s="8">
        <v>1.1730654471445752</v>
      </c>
      <c r="R225" s="8">
        <v>1.2693222857219815</v>
      </c>
      <c r="S225" s="8">
        <v>1.8165129611722348</v>
      </c>
      <c r="T225" s="8">
        <v>-0.29273083046519605</v>
      </c>
      <c r="V225">
        <v>221</v>
      </c>
      <c r="W225">
        <v>-0.53954947759886429</v>
      </c>
      <c r="X225">
        <v>0.25505676083074419</v>
      </c>
      <c r="Y225">
        <v>1.4745438153926731</v>
      </c>
      <c r="Z225">
        <v>1.9980742314228463</v>
      </c>
      <c r="AA225">
        <v>-0.45238105468958684</v>
      </c>
      <c r="AQ225">
        <v>221</v>
      </c>
      <c r="AR225" s="21">
        <f t="shared" si="54"/>
        <v>2353.1462547471492</v>
      </c>
      <c r="AS225" s="21">
        <f t="shared" si="55"/>
        <v>2374.620122007821</v>
      </c>
      <c r="AT225" s="21">
        <f t="shared" si="56"/>
        <v>2408.4858751823344</v>
      </c>
      <c r="AU225" s="21">
        <f t="shared" si="57"/>
        <v>2423.1683232003206</v>
      </c>
      <c r="AV225" s="21">
        <f t="shared" si="58"/>
        <v>2355.1798053253005</v>
      </c>
      <c r="BE225">
        <v>221</v>
      </c>
      <c r="BF225" s="3">
        <f t="shared" si="59"/>
        <v>6.3116007281495533E-3</v>
      </c>
      <c r="BG225" s="3">
        <f t="shared" si="60"/>
        <v>5.9298917733704333E-3</v>
      </c>
      <c r="BH225" s="3">
        <f t="shared" si="61"/>
        <v>2.556648374276484E-2</v>
      </c>
      <c r="BI225" s="3">
        <f t="shared" si="62"/>
        <v>2.8055249628456229E-2</v>
      </c>
      <c r="BJ225" s="3">
        <f t="shared" si="63"/>
        <v>-2.1909818920287961E-2</v>
      </c>
      <c r="BL225">
        <v>221</v>
      </c>
      <c r="BM225" s="3">
        <v>9.1915221420038381E-3</v>
      </c>
    </row>
    <row r="226" spans="1:65" x14ac:dyDescent="0.3">
      <c r="A226" s="2">
        <v>45763</v>
      </c>
      <c r="B226">
        <v>2366.6</v>
      </c>
      <c r="C226">
        <v>3272.1</v>
      </c>
      <c r="D226">
        <v>1356.4</v>
      </c>
      <c r="E226">
        <v>3273.8</v>
      </c>
      <c r="F226">
        <v>2634.6</v>
      </c>
      <c r="H226" s="2">
        <v>45763</v>
      </c>
      <c r="I226" s="3">
        <f t="shared" si="64"/>
        <v>-3.5368421052631716E-3</v>
      </c>
      <c r="J226" s="3">
        <f t="shared" si="65"/>
        <v>-1.6649135987979014E-2</v>
      </c>
      <c r="K226" s="3">
        <f t="shared" si="66"/>
        <v>-3.5757446506006985E-2</v>
      </c>
      <c r="L226" s="3">
        <f t="shared" si="67"/>
        <v>-7.6085968049955932E-3</v>
      </c>
      <c r="M226" s="3">
        <f t="shared" si="68"/>
        <v>-1.6720161230126207E-2</v>
      </c>
      <c r="O226">
        <v>222</v>
      </c>
      <c r="P226" s="8">
        <v>1.3530721208025429</v>
      </c>
      <c r="Q226" s="8">
        <v>1.6159328588743866</v>
      </c>
      <c r="R226" s="8">
        <v>-0.22377293742786214</v>
      </c>
      <c r="S226" s="8">
        <v>2.5485817447477081E-2</v>
      </c>
      <c r="T226" s="8">
        <v>-1.1948538914521538</v>
      </c>
      <c r="V226">
        <v>222</v>
      </c>
      <c r="W226">
        <v>1.3530721208025429</v>
      </c>
      <c r="X226">
        <v>0.27943468107111691</v>
      </c>
      <c r="Y226">
        <v>0.15925538358814642</v>
      </c>
      <c r="Z226">
        <v>0.30116318072522386</v>
      </c>
      <c r="AA226">
        <v>-0.63462713122104797</v>
      </c>
      <c r="AQ226">
        <v>222</v>
      </c>
      <c r="AR226" s="21">
        <f t="shared" si="54"/>
        <v>2405.4398027262432</v>
      </c>
      <c r="AS226" s="21">
        <f t="shared" si="55"/>
        <v>2375.2841145273323</v>
      </c>
      <c r="AT226" s="21">
        <f t="shared" si="56"/>
        <v>2371.9761213979405</v>
      </c>
      <c r="AU226" s="21">
        <f t="shared" si="57"/>
        <v>2375.888929170213</v>
      </c>
      <c r="AV226" s="21">
        <f t="shared" si="58"/>
        <v>2350.207887634353</v>
      </c>
      <c r="BE226">
        <v>222</v>
      </c>
      <c r="BF226" s="3">
        <f t="shared" si="59"/>
        <v>2.1979492468260219E-2</v>
      </c>
      <c r="BG226" s="3">
        <f t="shared" si="60"/>
        <v>2.7958143607586671E-4</v>
      </c>
      <c r="BH226" s="3">
        <f t="shared" si="61"/>
        <v>-1.5274868280067909E-2</v>
      </c>
      <c r="BI226" s="3">
        <f t="shared" si="62"/>
        <v>-1.9704254918999426E-2</v>
      </c>
      <c r="BJ226" s="3">
        <f t="shared" si="63"/>
        <v>-2.1132879438447924E-3</v>
      </c>
      <c r="BL226">
        <v>222</v>
      </c>
      <c r="BM226" s="3">
        <v>9.3079820714913452E-3</v>
      </c>
    </row>
    <row r="227" spans="1:65" x14ac:dyDescent="0.3">
      <c r="A227" s="2">
        <v>45762</v>
      </c>
      <c r="B227">
        <v>2361.5</v>
      </c>
      <c r="C227">
        <v>3273.4</v>
      </c>
      <c r="D227">
        <v>1350.2</v>
      </c>
      <c r="E227">
        <v>3248.2</v>
      </c>
      <c r="F227">
        <v>2646</v>
      </c>
      <c r="H227" s="2">
        <v>45762</v>
      </c>
      <c r="I227" s="3">
        <f t="shared" si="64"/>
        <v>-2.1549902814163024E-3</v>
      </c>
      <c r="J227" s="3">
        <f t="shared" si="65"/>
        <v>3.9729837107671528E-4</v>
      </c>
      <c r="K227" s="3">
        <f t="shared" si="66"/>
        <v>-4.5709230315541527E-3</v>
      </c>
      <c r="L227" s="3">
        <f t="shared" si="67"/>
        <v>-7.8196591117356551E-3</v>
      </c>
      <c r="M227" s="3">
        <f t="shared" si="68"/>
        <v>4.3270325666135978E-3</v>
      </c>
      <c r="O227">
        <v>223</v>
      </c>
      <c r="P227" s="8">
        <v>-0.63578782226778474</v>
      </c>
      <c r="Q227" s="8">
        <v>-0.89734580509466511</v>
      </c>
      <c r="R227" s="8">
        <v>0.90833952378786154</v>
      </c>
      <c r="S227" s="8">
        <v>-1.3221686744967851</v>
      </c>
      <c r="T227" s="8">
        <v>0.26448664605625716</v>
      </c>
      <c r="V227">
        <v>223</v>
      </c>
      <c r="W227">
        <v>-0.63578782226778474</v>
      </c>
      <c r="X227">
        <v>-0.15913847382947502</v>
      </c>
      <c r="Y227">
        <v>0.6805773198200129</v>
      </c>
      <c r="Z227">
        <v>-1.43247189956732</v>
      </c>
      <c r="AA227">
        <v>0.11141570414352581</v>
      </c>
      <c r="AQ227">
        <v>223</v>
      </c>
      <c r="AR227" s="21">
        <f t="shared" si="54"/>
        <v>2350.5174279713647</v>
      </c>
      <c r="AS227" s="21">
        <f t="shared" si="55"/>
        <v>2363.2256454670437</v>
      </c>
      <c r="AT227" s="21">
        <f t="shared" si="56"/>
        <v>2386.3821855867263</v>
      </c>
      <c r="AU227" s="21">
        <f t="shared" si="57"/>
        <v>2328.5307244365645</v>
      </c>
      <c r="AV227" s="21">
        <f t="shared" si="58"/>
        <v>2370.6661486180001</v>
      </c>
      <c r="BE227">
        <v>223</v>
      </c>
      <c r="BF227" s="3">
        <f t="shared" si="59"/>
        <v>-2.3097270960440262E-2</v>
      </c>
      <c r="BG227" s="3">
        <f t="shared" si="60"/>
        <v>-5.0895727564171794E-3</v>
      </c>
      <c r="BH227" s="3">
        <f t="shared" si="61"/>
        <v>6.0550749962904674E-3</v>
      </c>
      <c r="BI227" s="3">
        <f t="shared" si="62"/>
        <v>-2.0134175124185496E-2</v>
      </c>
      <c r="BJ227" s="3">
        <f t="shared" si="63"/>
        <v>8.6672039524124302E-3</v>
      </c>
      <c r="BL227">
        <v>223</v>
      </c>
      <c r="BM227" s="3">
        <v>9.3805104424798079E-3</v>
      </c>
    </row>
    <row r="228" spans="1:65" x14ac:dyDescent="0.3">
      <c r="A228" s="2">
        <v>45758</v>
      </c>
      <c r="B228">
        <v>2366.15</v>
      </c>
      <c r="C228">
        <v>3234.9</v>
      </c>
      <c r="D228">
        <v>1311.65</v>
      </c>
      <c r="E228">
        <v>3231.5</v>
      </c>
      <c r="F228">
        <v>2580.35</v>
      </c>
      <c r="H228" s="2">
        <v>45758</v>
      </c>
      <c r="I228" s="3">
        <f t="shared" si="64"/>
        <v>1.969087444420925E-3</v>
      </c>
      <c r="J228" s="3">
        <f t="shared" si="65"/>
        <v>-1.1761471253131317E-2</v>
      </c>
      <c r="K228" s="3">
        <f t="shared" si="66"/>
        <v>-2.8551325729521571E-2</v>
      </c>
      <c r="L228" s="3">
        <f t="shared" si="67"/>
        <v>-5.1413090326949407E-3</v>
      </c>
      <c r="M228" s="3">
        <f t="shared" si="68"/>
        <v>-2.4811035525321268E-2</v>
      </c>
      <c r="O228">
        <v>224</v>
      </c>
      <c r="P228" s="8">
        <v>-0.13555855507352721</v>
      </c>
      <c r="Q228" s="8">
        <v>-1.1186039005683128</v>
      </c>
      <c r="R228" s="8">
        <v>-0.44598520937831804</v>
      </c>
      <c r="S228" s="8">
        <v>-1.1648970383343131</v>
      </c>
      <c r="T228" s="8">
        <v>-0.25109816746001667</v>
      </c>
      <c r="V228">
        <v>224</v>
      </c>
      <c r="W228">
        <v>-0.13555855507352721</v>
      </c>
      <c r="X228">
        <v>-0.22091522197988642</v>
      </c>
      <c r="Y228">
        <v>-0.6763153571662841</v>
      </c>
      <c r="Z228">
        <v>-1.3388740623683362</v>
      </c>
      <c r="AA228">
        <v>-0.26602449406537021</v>
      </c>
      <c r="AQ228">
        <v>224</v>
      </c>
      <c r="AR228" s="21">
        <f t="shared" si="54"/>
        <v>2364.2118845484733</v>
      </c>
      <c r="AS228" s="21">
        <f t="shared" si="55"/>
        <v>2361.5286209417723</v>
      </c>
      <c r="AT228" s="21">
        <f t="shared" si="56"/>
        <v>2349.0726143206125</v>
      </c>
      <c r="AU228" s="21">
        <f t="shared" si="57"/>
        <v>2331.0690285512301</v>
      </c>
      <c r="AV228" s="21">
        <f t="shared" si="58"/>
        <v>2360.2970932503667</v>
      </c>
      <c r="BE228">
        <v>224</v>
      </c>
      <c r="BF228" s="3">
        <f t="shared" si="59"/>
        <v>5.8092391659701221E-3</v>
      </c>
      <c r="BG228" s="3">
        <f t="shared" si="60"/>
        <v>-7.1835464981259028E-4</v>
      </c>
      <c r="BH228" s="3">
        <f t="shared" si="61"/>
        <v>-1.5757871152530883E-2</v>
      </c>
      <c r="BI228" s="3">
        <f t="shared" si="62"/>
        <v>1.0894945919413194E-3</v>
      </c>
      <c r="BJ228" s="3">
        <f t="shared" si="63"/>
        <v>-4.3834929340909167E-3</v>
      </c>
      <c r="BL228">
        <v>224</v>
      </c>
      <c r="BM228" s="3">
        <v>9.8795748484228462E-3</v>
      </c>
    </row>
    <row r="229" spans="1:65" x14ac:dyDescent="0.3">
      <c r="A229" s="2">
        <v>45756</v>
      </c>
      <c r="B229">
        <v>2350</v>
      </c>
      <c r="C229">
        <v>3174.15</v>
      </c>
      <c r="D229">
        <v>1300.8</v>
      </c>
      <c r="E229">
        <v>3246.6</v>
      </c>
      <c r="F229">
        <v>2523.1</v>
      </c>
      <c r="H229" s="2">
        <v>45756</v>
      </c>
      <c r="I229" s="3">
        <f t="shared" si="64"/>
        <v>-6.8254337214462835E-3</v>
      </c>
      <c r="J229" s="3">
        <f t="shared" si="65"/>
        <v>-1.8779560419178387E-2</v>
      </c>
      <c r="K229" s="3">
        <f t="shared" si="66"/>
        <v>-8.272023786833449E-3</v>
      </c>
      <c r="L229" s="3">
        <f t="shared" si="67"/>
        <v>4.6727525916756552E-3</v>
      </c>
      <c r="M229" s="3">
        <f t="shared" si="68"/>
        <v>-2.2186912628131883E-2</v>
      </c>
      <c r="O229">
        <v>225</v>
      </c>
      <c r="P229" s="8">
        <v>0.61319500921153847</v>
      </c>
      <c r="Q229" s="8">
        <v>-0.22125812976131126</v>
      </c>
      <c r="R229" s="8">
        <v>0.2336139332174208</v>
      </c>
      <c r="S229" s="8">
        <v>0.1010745541244642</v>
      </c>
      <c r="T229" s="8">
        <v>1.0436815259930661</v>
      </c>
      <c r="V229">
        <v>225</v>
      </c>
      <c r="W229">
        <v>0.61319500921153847</v>
      </c>
      <c r="X229">
        <v>-6.5652016944502511E-2</v>
      </c>
      <c r="Y229">
        <v>0.19737291198377543</v>
      </c>
      <c r="Z229">
        <v>8.8145326201175184E-2</v>
      </c>
      <c r="AA229">
        <v>0.82586461733897543</v>
      </c>
      <c r="AQ229">
        <v>225</v>
      </c>
      <c r="AR229" s="21">
        <f t="shared" si="54"/>
        <v>2384.859347080951</v>
      </c>
      <c r="AS229" s="21">
        <f t="shared" si="55"/>
        <v>2365.7872790152023</v>
      </c>
      <c r="AT229" s="21">
        <f t="shared" si="56"/>
        <v>2373.0278758373006</v>
      </c>
      <c r="AU229" s="21">
        <f t="shared" si="57"/>
        <v>2370.0184615124717</v>
      </c>
      <c r="AV229" s="21">
        <f t="shared" si="58"/>
        <v>2390.4109443202005</v>
      </c>
      <c r="BE229">
        <v>225</v>
      </c>
      <c r="BF229" s="3">
        <f t="shared" si="59"/>
        <v>8.6954234300327202E-3</v>
      </c>
      <c r="BG229" s="3">
        <f t="shared" si="60"/>
        <v>1.8017239869710531E-3</v>
      </c>
      <c r="BH229" s="3">
        <f t="shared" si="61"/>
        <v>1.014610640727389E-2</v>
      </c>
      <c r="BI229" s="3">
        <f t="shared" si="62"/>
        <v>1.6570771891163582E-2</v>
      </c>
      <c r="BJ229" s="3">
        <f t="shared" si="63"/>
        <v>1.2677796308172522E-2</v>
      </c>
      <c r="BL229">
        <v>225</v>
      </c>
      <c r="BM229" s="3">
        <v>9.9101485715344089E-3</v>
      </c>
    </row>
    <row r="230" spans="1:65" x14ac:dyDescent="0.3">
      <c r="A230" s="2">
        <v>45755</v>
      </c>
      <c r="B230">
        <v>2289.25</v>
      </c>
      <c r="C230">
        <v>3122.3</v>
      </c>
      <c r="D230">
        <v>1299.9000000000001</v>
      </c>
      <c r="E230">
        <v>3292.95</v>
      </c>
      <c r="F230">
        <v>2523.65</v>
      </c>
      <c r="H230" s="2">
        <v>45755</v>
      </c>
      <c r="I230" s="3">
        <f t="shared" si="64"/>
        <v>-2.5851063829787191E-2</v>
      </c>
      <c r="J230" s="3">
        <f t="shared" si="65"/>
        <v>-1.6335081832931642E-2</v>
      </c>
      <c r="K230" s="3">
        <f t="shared" si="66"/>
        <v>-6.9188191881908168E-4</v>
      </c>
      <c r="L230" s="3">
        <f t="shared" si="67"/>
        <v>1.4276473849565763E-2</v>
      </c>
      <c r="M230" s="3">
        <f t="shared" si="68"/>
        <v>2.1798581110554771E-4</v>
      </c>
      <c r="O230">
        <v>226</v>
      </c>
      <c r="P230" s="8">
        <v>-0.70152083429282508</v>
      </c>
      <c r="Q230" s="8">
        <v>-3.8688616232169445E-2</v>
      </c>
      <c r="R230" s="8">
        <v>0.84652927112078324</v>
      </c>
      <c r="S230" s="8">
        <v>-0.58882371477065476</v>
      </c>
      <c r="T230" s="8">
        <v>0.30939928692440288</v>
      </c>
      <c r="V230">
        <v>226</v>
      </c>
      <c r="W230">
        <v>-0.70152083429282508</v>
      </c>
      <c r="X230">
        <v>1.6263972418060935E-2</v>
      </c>
      <c r="Y230">
        <v>0.80045299226957611</v>
      </c>
      <c r="Z230">
        <v>-0.57982795902378503</v>
      </c>
      <c r="AA230">
        <v>0.27672320703460013</v>
      </c>
      <c r="AQ230">
        <v>226</v>
      </c>
      <c r="AR230" s="21">
        <f t="shared" si="54"/>
        <v>2348.7233079699745</v>
      </c>
      <c r="AS230" s="21">
        <f t="shared" si="55"/>
        <v>2368.0447268544422</v>
      </c>
      <c r="AT230" s="21">
        <f t="shared" si="56"/>
        <v>2389.7059262600669</v>
      </c>
      <c r="AU230" s="21">
        <f t="shared" si="57"/>
        <v>2351.7018414340496</v>
      </c>
      <c r="AV230" s="21">
        <f t="shared" si="58"/>
        <v>2375.2179273236302</v>
      </c>
      <c r="BE230">
        <v>226</v>
      </c>
      <c r="BF230" s="3">
        <f t="shared" si="59"/>
        <v>-1.5268241305576335E-2</v>
      </c>
      <c r="BG230" s="3">
        <f t="shared" si="60"/>
        <v>9.5375079114051709E-4</v>
      </c>
      <c r="BH230" s="3">
        <f t="shared" si="61"/>
        <v>7.0035904955621162E-3</v>
      </c>
      <c r="BI230" s="3">
        <f t="shared" si="62"/>
        <v>-7.7584908815520595E-3</v>
      </c>
      <c r="BJ230" s="3">
        <f t="shared" si="63"/>
        <v>-6.3761022429616445E-3</v>
      </c>
      <c r="BL230">
        <v>226</v>
      </c>
      <c r="BM230" s="3">
        <v>1.0008203982596853E-2</v>
      </c>
    </row>
    <row r="231" spans="1:65" x14ac:dyDescent="0.3">
      <c r="A231" s="2">
        <v>45754</v>
      </c>
      <c r="B231">
        <v>2249.4</v>
      </c>
      <c r="C231">
        <v>3022.2</v>
      </c>
      <c r="D231">
        <v>1287.55</v>
      </c>
      <c r="E231">
        <v>3274.05</v>
      </c>
      <c r="F231">
        <v>2491.25</v>
      </c>
      <c r="H231" s="2">
        <v>45754</v>
      </c>
      <c r="I231" s="3">
        <f t="shared" si="64"/>
        <v>-1.7407447854100644E-2</v>
      </c>
      <c r="J231" s="3">
        <f t="shared" si="65"/>
        <v>-3.2059699580437639E-2</v>
      </c>
      <c r="K231" s="3">
        <f t="shared" si="66"/>
        <v>-9.5007308254482226E-3</v>
      </c>
      <c r="L231" s="3">
        <f t="shared" si="67"/>
        <v>-5.7395344599825426E-3</v>
      </c>
      <c r="M231" s="3">
        <f t="shared" si="68"/>
        <v>-1.2838547342143403E-2</v>
      </c>
      <c r="O231">
        <v>227</v>
      </c>
      <c r="P231" s="8">
        <v>-0.84927737148453231</v>
      </c>
      <c r="Q231" s="8">
        <v>-0.41505986799989908</v>
      </c>
      <c r="R231" s="8">
        <v>1.0800442354587456</v>
      </c>
      <c r="S231" s="8">
        <v>-1.0698239010100263</v>
      </c>
      <c r="T231" s="8">
        <v>-0.82802656461040658</v>
      </c>
      <c r="V231">
        <v>227</v>
      </c>
      <c r="W231">
        <v>-0.84927737148453231</v>
      </c>
      <c r="X231">
        <v>-5.4562218731435956E-2</v>
      </c>
      <c r="Y231">
        <v>0.94495028937626169</v>
      </c>
      <c r="Z231">
        <v>-1.1094114527322236</v>
      </c>
      <c r="AA231">
        <v>-0.82361586051550328</v>
      </c>
      <c r="AQ231">
        <v>227</v>
      </c>
      <c r="AR231" s="21">
        <f t="shared" si="54"/>
        <v>2344.6963392470111</v>
      </c>
      <c r="AS231" s="21">
        <f t="shared" si="55"/>
        <v>2366.0983943066567</v>
      </c>
      <c r="AT231" s="21">
        <f t="shared" si="56"/>
        <v>2393.7197456135186</v>
      </c>
      <c r="AU231" s="21">
        <f t="shared" si="57"/>
        <v>2337.2821443147418</v>
      </c>
      <c r="AV231" s="21">
        <f t="shared" si="58"/>
        <v>2345.0614586231022</v>
      </c>
      <c r="BE231">
        <v>227</v>
      </c>
      <c r="BF231" s="3">
        <f t="shared" si="59"/>
        <v>-1.7160066705429414E-3</v>
      </c>
      <c r="BG231" s="3">
        <f t="shared" si="60"/>
        <v>-8.2225340790614756E-4</v>
      </c>
      <c r="BH231" s="3">
        <f t="shared" si="61"/>
        <v>1.6782199916280959E-3</v>
      </c>
      <c r="BI231" s="3">
        <f t="shared" si="62"/>
        <v>-6.1504763587287552E-3</v>
      </c>
      <c r="BJ231" s="3">
        <f t="shared" si="63"/>
        <v>-1.2777582227254005E-2</v>
      </c>
      <c r="BL231">
        <v>227</v>
      </c>
      <c r="BM231" s="3">
        <v>1.0170766823174341E-2</v>
      </c>
    </row>
    <row r="232" spans="1:65" x14ac:dyDescent="0.3">
      <c r="A232" s="2">
        <v>45751</v>
      </c>
      <c r="B232">
        <v>2244.5500000000002</v>
      </c>
      <c r="C232">
        <v>3076.2</v>
      </c>
      <c r="D232">
        <v>1335.3</v>
      </c>
      <c r="E232">
        <v>3299.4</v>
      </c>
      <c r="F232">
        <v>2596.5500000000002</v>
      </c>
      <c r="H232" s="2">
        <v>45751</v>
      </c>
      <c r="I232" s="3">
        <f t="shared" si="64"/>
        <v>-2.1561305236951211E-3</v>
      </c>
      <c r="J232" s="3">
        <f t="shared" si="65"/>
        <v>1.7867778439547344E-2</v>
      </c>
      <c r="K232" s="3">
        <f t="shared" si="66"/>
        <v>3.7085938410158725E-2</v>
      </c>
      <c r="L232" s="3">
        <f t="shared" si="67"/>
        <v>7.7427039904705008E-3</v>
      </c>
      <c r="M232" s="3">
        <f t="shared" si="68"/>
        <v>4.2267937782237919E-2</v>
      </c>
      <c r="O232">
        <v>228</v>
      </c>
      <c r="P232" s="8">
        <v>1.4387602737838054</v>
      </c>
      <c r="Q232" s="8">
        <v>1.6264720349143489</v>
      </c>
      <c r="R232" s="8">
        <v>-1.9479244391610735</v>
      </c>
      <c r="S232" s="8">
        <v>0.43243997055802896</v>
      </c>
      <c r="T232" s="8">
        <v>-0.8676930638323751</v>
      </c>
      <c r="V232">
        <v>228</v>
      </c>
      <c r="W232">
        <v>1.4387602737838054</v>
      </c>
      <c r="X232">
        <v>0.27862038602675532</v>
      </c>
      <c r="Y232">
        <v>-1.5206510878298096</v>
      </c>
      <c r="Z232">
        <v>0.65550554976065889</v>
      </c>
      <c r="AA232">
        <v>-0.14546231912798735</v>
      </c>
      <c r="AQ232">
        <v>228</v>
      </c>
      <c r="AR232" s="21">
        <f t="shared" si="54"/>
        <v>2407.8337240740011</v>
      </c>
      <c r="AS232" s="21">
        <f t="shared" si="55"/>
        <v>2375.2612689759653</v>
      </c>
      <c r="AT232" s="21">
        <f t="shared" si="56"/>
        <v>2326.1491567801331</v>
      </c>
      <c r="AU232" s="21">
        <f t="shared" si="57"/>
        <v>2385.6934188807513</v>
      </c>
      <c r="AV232" s="21">
        <f t="shared" si="58"/>
        <v>2363.5954082726316</v>
      </c>
      <c r="BE232">
        <v>228</v>
      </c>
      <c r="BF232" s="3">
        <f t="shared" si="59"/>
        <v>2.6571572943226131E-2</v>
      </c>
      <c r="BG232" s="3">
        <f t="shared" si="60"/>
        <v>3.8650879608255646E-3</v>
      </c>
      <c r="BH232" s="3">
        <f t="shared" si="61"/>
        <v>-2.8634357045459836E-2</v>
      </c>
      <c r="BI232" s="3">
        <f t="shared" si="62"/>
        <v>2.0501046208084749E-2</v>
      </c>
      <c r="BJ232" s="3">
        <f t="shared" si="63"/>
        <v>7.8723278808513156E-3</v>
      </c>
      <c r="BL232">
        <v>228</v>
      </c>
      <c r="BM232" s="3">
        <v>1.0267014420842558E-2</v>
      </c>
    </row>
    <row r="233" spans="1:65" x14ac:dyDescent="0.3">
      <c r="A233" s="2">
        <v>45750</v>
      </c>
      <c r="B233">
        <v>2244.5500000000002</v>
      </c>
      <c r="C233">
        <v>3127.55</v>
      </c>
      <c r="D233">
        <v>1329.55</v>
      </c>
      <c r="E233">
        <v>3403.15</v>
      </c>
      <c r="F233">
        <v>2611.4499999999998</v>
      </c>
      <c r="H233" s="2">
        <v>45750</v>
      </c>
      <c r="I233" s="3">
        <f t="shared" si="64"/>
        <v>0</v>
      </c>
      <c r="J233" s="3">
        <f t="shared" si="65"/>
        <v>1.6692672778102935E-2</v>
      </c>
      <c r="K233" s="3">
        <f t="shared" si="66"/>
        <v>-4.3061484310641385E-3</v>
      </c>
      <c r="L233" s="3">
        <f t="shared" si="67"/>
        <v>3.144511123234528E-2</v>
      </c>
      <c r="M233" s="3">
        <f t="shared" si="68"/>
        <v>5.7383836244244701E-3</v>
      </c>
      <c r="O233">
        <v>229</v>
      </c>
      <c r="P233" s="8">
        <v>7.7724424598807962E-2</v>
      </c>
      <c r="Q233" s="8">
        <v>-0.196077192683657</v>
      </c>
      <c r="R233" s="8">
        <v>-1.2157508595158499</v>
      </c>
      <c r="S233" s="8">
        <v>-0.90382624362995345</v>
      </c>
      <c r="T233" s="8">
        <v>-0.24528450296658505</v>
      </c>
      <c r="V233">
        <v>229</v>
      </c>
      <c r="W233">
        <v>7.7724424598807962E-2</v>
      </c>
      <c r="X233">
        <v>-4.2205116252740829E-2</v>
      </c>
      <c r="Y233">
        <v>-1.2272303881859812</v>
      </c>
      <c r="Z233">
        <v>-0.95670605342076831</v>
      </c>
      <c r="AA233">
        <v>7.3430725259848728E-2</v>
      </c>
      <c r="AQ233">
        <v>229</v>
      </c>
      <c r="AR233" s="21">
        <f t="shared" si="54"/>
        <v>2370.0742996558515</v>
      </c>
      <c r="AS233" s="21">
        <f t="shared" si="55"/>
        <v>2366.4339196027554</v>
      </c>
      <c r="AT233" s="21">
        <f t="shared" si="56"/>
        <v>2334.0906039890688</v>
      </c>
      <c r="AU233" s="21">
        <f t="shared" si="57"/>
        <v>2341.4402006000496</v>
      </c>
      <c r="AV233" s="21">
        <f t="shared" si="58"/>
        <v>2369.6185432433499</v>
      </c>
      <c r="BE233">
        <v>229</v>
      </c>
      <c r="BF233" s="3">
        <f t="shared" si="59"/>
        <v>-1.5806168876730305E-2</v>
      </c>
      <c r="BG233" s="3">
        <f t="shared" si="60"/>
        <v>-3.7232927127826302E-3</v>
      </c>
      <c r="BH233" s="3">
        <f t="shared" si="61"/>
        <v>3.4081743874544378E-3</v>
      </c>
      <c r="BI233" s="3">
        <f t="shared" si="62"/>
        <v>-1.8723613364894948E-2</v>
      </c>
      <c r="BJ233" s="3">
        <f t="shared" si="63"/>
        <v>2.5450521711243694E-3</v>
      </c>
      <c r="BL233">
        <v>229</v>
      </c>
      <c r="BM233" s="3">
        <v>1.0341562665540965E-2</v>
      </c>
    </row>
    <row r="234" spans="1:65" x14ac:dyDescent="0.3">
      <c r="A234" s="2">
        <v>45749</v>
      </c>
      <c r="B234">
        <v>2237.9</v>
      </c>
      <c r="C234">
        <v>3098.45</v>
      </c>
      <c r="D234">
        <v>1331.25</v>
      </c>
      <c r="E234">
        <v>3543.95</v>
      </c>
      <c r="F234">
        <v>2637.55</v>
      </c>
      <c r="H234" s="2">
        <v>45749</v>
      </c>
      <c r="I234" s="3">
        <f t="shared" si="64"/>
        <v>-2.9627319507251615E-3</v>
      </c>
      <c r="J234" s="3">
        <f t="shared" si="65"/>
        <v>-9.3044076033957923E-3</v>
      </c>
      <c r="K234" s="3">
        <f t="shared" si="66"/>
        <v>1.2786281072543204E-3</v>
      </c>
      <c r="L234" s="3">
        <f t="shared" si="67"/>
        <v>4.1373433436668883E-2</v>
      </c>
      <c r="M234" s="3">
        <f t="shared" si="68"/>
        <v>9.9944475291506851E-3</v>
      </c>
      <c r="O234">
        <v>230</v>
      </c>
      <c r="P234" s="8">
        <v>0.5321298501616436</v>
      </c>
      <c r="Q234" s="8">
        <v>2.3286318532429386</v>
      </c>
      <c r="R234" s="8">
        <v>1.0172184424878812</v>
      </c>
      <c r="S234" s="8">
        <v>0.84010778392785601</v>
      </c>
      <c r="T234" s="8">
        <v>-1.246138338301076</v>
      </c>
      <c r="V234">
        <v>230</v>
      </c>
      <c r="W234">
        <v>0.5321298501616436</v>
      </c>
      <c r="X234">
        <v>0.45131204869230468</v>
      </c>
      <c r="Y234">
        <v>1.5011932699339521</v>
      </c>
      <c r="Z234">
        <v>1.2312953745950606</v>
      </c>
      <c r="AA234">
        <v>-0.79559720071116991</v>
      </c>
      <c r="AQ234">
        <v>230</v>
      </c>
      <c r="AR234" s="21">
        <f t="shared" si="54"/>
        <v>2382.614414843039</v>
      </c>
      <c r="AS234" s="21">
        <f t="shared" si="55"/>
        <v>2380.0337258381601</v>
      </c>
      <c r="AT234" s="21">
        <f t="shared" si="56"/>
        <v>2409.2305079999351</v>
      </c>
      <c r="AU234" s="21">
        <f t="shared" si="57"/>
        <v>2401.6861047967818</v>
      </c>
      <c r="AV234" s="21">
        <f t="shared" si="58"/>
        <v>2345.8144514740029</v>
      </c>
      <c r="BE234">
        <v>230</v>
      </c>
      <c r="BF234" s="3">
        <f t="shared" si="59"/>
        <v>5.2770736908689091E-3</v>
      </c>
      <c r="BG234" s="3">
        <f t="shared" si="60"/>
        <v>5.730511389950863E-3</v>
      </c>
      <c r="BH234" s="3">
        <f t="shared" si="61"/>
        <v>3.1685052931162624E-2</v>
      </c>
      <c r="BI234" s="3">
        <f t="shared" si="62"/>
        <v>2.5404823963629211E-2</v>
      </c>
      <c r="BJ234" s="3">
        <f t="shared" si="63"/>
        <v>-1.0096334314761712E-2</v>
      </c>
      <c r="BL234">
        <v>230</v>
      </c>
      <c r="BM234" s="3">
        <v>1.040603384925355E-2</v>
      </c>
    </row>
    <row r="235" spans="1:65" x14ac:dyDescent="0.3">
      <c r="A235" s="2">
        <v>45748</v>
      </c>
      <c r="B235">
        <v>2233.85</v>
      </c>
      <c r="C235">
        <v>2986.95</v>
      </c>
      <c r="D235">
        <v>1318.45</v>
      </c>
      <c r="E235">
        <v>3550.8</v>
      </c>
      <c r="F235">
        <v>2637.9</v>
      </c>
      <c r="H235" s="2">
        <v>45748</v>
      </c>
      <c r="I235" s="3">
        <f t="shared" si="64"/>
        <v>-1.8097323383530206E-3</v>
      </c>
      <c r="J235" s="3">
        <f t="shared" si="65"/>
        <v>-3.5985734802885361E-2</v>
      </c>
      <c r="K235" s="3">
        <f t="shared" si="66"/>
        <v>-9.6150234741784191E-3</v>
      </c>
      <c r="L235" s="3">
        <f t="shared" si="67"/>
        <v>1.9328715134243613E-3</v>
      </c>
      <c r="M235" s="3">
        <f t="shared" si="68"/>
        <v>1.3269890618183844E-4</v>
      </c>
      <c r="O235">
        <v>231</v>
      </c>
      <c r="P235" s="8">
        <v>-4.1886191465025265E-2</v>
      </c>
      <c r="Q235" s="8">
        <v>0.4304467687417261</v>
      </c>
      <c r="R235" s="8">
        <v>-1.3345653874881358</v>
      </c>
      <c r="S235" s="8">
        <v>0.91426227258285031</v>
      </c>
      <c r="T235" s="8">
        <v>-0.52756101465252048</v>
      </c>
      <c r="V235">
        <v>231</v>
      </c>
      <c r="W235">
        <v>-4.1886191465025265E-2</v>
      </c>
      <c r="X235">
        <v>8.8236120103821106E-2</v>
      </c>
      <c r="Y235">
        <v>-1.2136506286699946</v>
      </c>
      <c r="Z235">
        <v>0.9281789286350256</v>
      </c>
      <c r="AA235">
        <v>-0.32946779778998281</v>
      </c>
      <c r="AQ235">
        <v>231</v>
      </c>
      <c r="AR235" s="21">
        <f t="shared" si="54"/>
        <v>2366.7840608091483</v>
      </c>
      <c r="AS235" s="21">
        <f t="shared" si="55"/>
        <v>2370.0219583886783</v>
      </c>
      <c r="AT235" s="21">
        <f t="shared" si="56"/>
        <v>2334.4581674770652</v>
      </c>
      <c r="AU235" s="21">
        <f t="shared" si="57"/>
        <v>2393.2586710105929</v>
      </c>
      <c r="AV235" s="21">
        <f t="shared" si="58"/>
        <v>2358.5488102931245</v>
      </c>
      <c r="BE235">
        <v>231</v>
      </c>
      <c r="BF235" s="3">
        <f t="shared" si="59"/>
        <v>-6.6662811045066998E-3</v>
      </c>
      <c r="BG235" s="3">
        <f t="shared" si="60"/>
        <v>-4.2154378561969482E-3</v>
      </c>
      <c r="BH235" s="3">
        <f t="shared" si="61"/>
        <v>-3.1527589228093948E-2</v>
      </c>
      <c r="BI235" s="3">
        <f t="shared" si="62"/>
        <v>-3.5151364021058888E-3</v>
      </c>
      <c r="BJ235" s="3">
        <f t="shared" si="63"/>
        <v>5.4138633494495514E-3</v>
      </c>
      <c r="BL235">
        <v>231</v>
      </c>
      <c r="BM235" s="3">
        <v>1.0489489959229522E-2</v>
      </c>
    </row>
    <row r="236" spans="1:65" x14ac:dyDescent="0.3">
      <c r="A236" s="2">
        <v>45744</v>
      </c>
      <c r="B236">
        <v>2258.85</v>
      </c>
      <c r="C236">
        <v>3063.35</v>
      </c>
      <c r="D236">
        <v>1348.35</v>
      </c>
      <c r="E236">
        <v>3606.15</v>
      </c>
      <c r="F236">
        <v>2665.8</v>
      </c>
      <c r="H236" s="2">
        <v>45744</v>
      </c>
      <c r="I236" s="3">
        <f t="shared" si="64"/>
        <v>1.1191440786086693E-2</v>
      </c>
      <c r="J236" s="3">
        <f t="shared" si="65"/>
        <v>2.5577930665059645E-2</v>
      </c>
      <c r="K236" s="3">
        <f t="shared" si="66"/>
        <v>2.2678144791232091E-2</v>
      </c>
      <c r="L236" s="3">
        <f t="shared" si="67"/>
        <v>1.5588036498817237E-2</v>
      </c>
      <c r="M236" s="3">
        <f t="shared" si="68"/>
        <v>1.0576595018765067E-2</v>
      </c>
      <c r="O236">
        <v>232</v>
      </c>
      <c r="P236" s="8">
        <v>1.3245800733434061</v>
      </c>
      <c r="Q236" s="8">
        <v>-0.95624818137137413</v>
      </c>
      <c r="R236" s="8">
        <v>-0.62238594432789485</v>
      </c>
      <c r="S236" s="8">
        <v>1.4677619419400323</v>
      </c>
      <c r="T236" s="8">
        <v>-0.16260723714293746</v>
      </c>
      <c r="V236">
        <v>232</v>
      </c>
      <c r="W236">
        <v>1.3245800733434061</v>
      </c>
      <c r="X236">
        <v>-0.23826602437979649</v>
      </c>
      <c r="Y236">
        <v>-0.77604390229087372</v>
      </c>
      <c r="Z236">
        <v>1.316937419015737</v>
      </c>
      <c r="AA236">
        <v>-0.65480516933559496</v>
      </c>
      <c r="AQ236">
        <v>232</v>
      </c>
      <c r="AR236" s="21">
        <f t="shared" si="54"/>
        <v>2404.642385629053</v>
      </c>
      <c r="AS236" s="21">
        <f t="shared" si="55"/>
        <v>2361.0463840117268</v>
      </c>
      <c r="AT236" s="21">
        <f t="shared" si="56"/>
        <v>2346.3536252121653</v>
      </c>
      <c r="AU236" s="21">
        <f t="shared" si="57"/>
        <v>2404.0861692419357</v>
      </c>
      <c r="AV236" s="21">
        <f t="shared" si="58"/>
        <v>2349.6527522490082</v>
      </c>
      <c r="BE236">
        <v>232</v>
      </c>
      <c r="BF236" s="3">
        <f t="shared" si="59"/>
        <v>1.5869098989452907E-2</v>
      </c>
      <c r="BG236" s="3">
        <f t="shared" si="60"/>
        <v>-3.7943164189077963E-3</v>
      </c>
      <c r="BH236" s="3">
        <f t="shared" si="61"/>
        <v>5.0826582525817336E-3</v>
      </c>
      <c r="BI236" s="3">
        <f t="shared" si="62"/>
        <v>4.5139621923560675E-3</v>
      </c>
      <c r="BJ236" s="3">
        <f t="shared" si="63"/>
        <v>-3.7789667722113057E-3</v>
      </c>
      <c r="BL236">
        <v>232</v>
      </c>
      <c r="BM236" s="3">
        <v>1.0683873050349093E-2</v>
      </c>
    </row>
    <row r="237" spans="1:65" x14ac:dyDescent="0.3">
      <c r="A237" s="2">
        <v>45743</v>
      </c>
      <c r="B237">
        <v>2244.65</v>
      </c>
      <c r="C237">
        <v>3087.65</v>
      </c>
      <c r="D237">
        <v>1336.65</v>
      </c>
      <c r="E237">
        <v>3651.2</v>
      </c>
      <c r="F237">
        <v>2733</v>
      </c>
      <c r="H237" s="2">
        <v>45743</v>
      </c>
      <c r="I237" s="3">
        <f t="shared" si="64"/>
        <v>-6.2863846647629451E-3</v>
      </c>
      <c r="J237" s="3">
        <f t="shared" si="65"/>
        <v>7.9324922062449232E-3</v>
      </c>
      <c r="K237" s="3">
        <f t="shared" si="66"/>
        <v>-8.6772722216040821E-3</v>
      </c>
      <c r="L237" s="3">
        <f t="shared" si="67"/>
        <v>1.2492547453655467E-2</v>
      </c>
      <c r="M237" s="3">
        <f t="shared" si="68"/>
        <v>2.5208192662615314E-2</v>
      </c>
      <c r="O237">
        <v>233</v>
      </c>
      <c r="P237" s="8">
        <v>0.25124518673885154</v>
      </c>
      <c r="Q237" s="8">
        <v>1.4143361609052996</v>
      </c>
      <c r="R237" s="8">
        <v>-5.1717283156835263E-2</v>
      </c>
      <c r="S237" s="8">
        <v>-0.28765102587501107</v>
      </c>
      <c r="T237" s="8">
        <v>1.8443680959448774</v>
      </c>
      <c r="V237">
        <v>233</v>
      </c>
      <c r="W237">
        <v>0.25124518673885154</v>
      </c>
      <c r="X237">
        <v>0.27658077931148961</v>
      </c>
      <c r="Y237">
        <v>0.25579526575471401</v>
      </c>
      <c r="Z237">
        <v>-6.1655246224817384E-2</v>
      </c>
      <c r="AA237">
        <v>2.1755253969846615</v>
      </c>
      <c r="AQ237">
        <v>233</v>
      </c>
      <c r="AR237" s="21">
        <f t="shared" si="54"/>
        <v>2374.8545216965708</v>
      </c>
      <c r="AS237" s="21">
        <f t="shared" si="55"/>
        <v>2375.210290208975</v>
      </c>
      <c r="AT237" s="21">
        <f t="shared" si="56"/>
        <v>2374.6369547977824</v>
      </c>
      <c r="AU237" s="21">
        <f t="shared" si="57"/>
        <v>2365.8987220237605</v>
      </c>
      <c r="AV237" s="21">
        <f t="shared" si="58"/>
        <v>2428.1740901746025</v>
      </c>
      <c r="BE237">
        <v>233</v>
      </c>
      <c r="BF237" s="3">
        <f t="shared" si="59"/>
        <v>-1.2465014709208116E-2</v>
      </c>
      <c r="BG237" s="3">
        <f t="shared" si="60"/>
        <v>5.9810729846538121E-3</v>
      </c>
      <c r="BH237" s="3">
        <f t="shared" si="61"/>
        <v>1.1982090407972372E-2</v>
      </c>
      <c r="BI237" s="3">
        <f t="shared" si="62"/>
        <v>-1.6011901070181873E-2</v>
      </c>
      <c r="BJ237" s="3">
        <f t="shared" si="63"/>
        <v>3.2872019449911367E-2</v>
      </c>
      <c r="BL237">
        <v>233</v>
      </c>
      <c r="BM237" s="3">
        <v>1.0735847975998553E-2</v>
      </c>
    </row>
    <row r="238" spans="1:65" x14ac:dyDescent="0.3">
      <c r="A238" s="2">
        <v>45742</v>
      </c>
      <c r="B238">
        <v>2245.9499999999998</v>
      </c>
      <c r="C238">
        <v>3057.5</v>
      </c>
      <c r="D238">
        <v>1335.9</v>
      </c>
      <c r="E238">
        <v>3635.8</v>
      </c>
      <c r="F238">
        <v>2742.25</v>
      </c>
      <c r="H238" s="2">
        <v>45742</v>
      </c>
      <c r="I238" s="3">
        <f t="shared" si="64"/>
        <v>5.7915487937965082E-4</v>
      </c>
      <c r="J238" s="3">
        <f t="shared" si="65"/>
        <v>-9.7647077874759569E-3</v>
      </c>
      <c r="K238" s="3">
        <f t="shared" si="66"/>
        <v>-5.6110425317024148E-4</v>
      </c>
      <c r="L238" s="3">
        <f t="shared" si="67"/>
        <v>-4.2177914110428372E-3</v>
      </c>
      <c r="M238" s="3">
        <f t="shared" si="68"/>
        <v>3.3845590925722924E-3</v>
      </c>
      <c r="O238">
        <v>234</v>
      </c>
      <c r="P238" s="8">
        <v>2.4128118485804411E-2</v>
      </c>
      <c r="Q238" s="8">
        <v>-1.0272557383211758</v>
      </c>
      <c r="R238" s="8">
        <v>1.3327642373108777</v>
      </c>
      <c r="S238" s="8">
        <v>-2.3753246727419288</v>
      </c>
      <c r="T238" s="8">
        <v>-0.51646453030470463</v>
      </c>
      <c r="V238">
        <v>234</v>
      </c>
      <c r="W238">
        <v>2.4128118485804411E-2</v>
      </c>
      <c r="X238">
        <v>-0.20797295468829821</v>
      </c>
      <c r="Y238">
        <v>1.0849417150099399</v>
      </c>
      <c r="Z238">
        <v>-2.4630344926451992</v>
      </c>
      <c r="AA238">
        <v>-0.52923986823348856</v>
      </c>
      <c r="AQ238">
        <v>234</v>
      </c>
      <c r="AR238" s="21">
        <f t="shared" si="54"/>
        <v>2368.5987562497676</v>
      </c>
      <c r="AS238" s="21">
        <f t="shared" si="55"/>
        <v>2361.8828920458895</v>
      </c>
      <c r="AT238" s="21">
        <f t="shared" si="56"/>
        <v>2397.6152079439594</v>
      </c>
      <c r="AU238" s="21">
        <f t="shared" si="57"/>
        <v>2300.8267169510841</v>
      </c>
      <c r="AV238" s="21">
        <f t="shared" si="58"/>
        <v>2353.0979615043229</v>
      </c>
      <c r="BE238">
        <v>234</v>
      </c>
      <c r="BF238" s="3">
        <f t="shared" si="59"/>
        <v>-2.6376433821968396E-3</v>
      </c>
      <c r="BG238" s="3">
        <f t="shared" si="60"/>
        <v>-5.6268402642316567E-3</v>
      </c>
      <c r="BH238" s="3">
        <f t="shared" si="61"/>
        <v>9.6300153221281874E-3</v>
      </c>
      <c r="BI238" s="3">
        <f t="shared" si="62"/>
        <v>-2.7889458567122289E-2</v>
      </c>
      <c r="BJ238" s="3">
        <f t="shared" si="63"/>
        <v>-3.1406830210098442E-2</v>
      </c>
      <c r="BL238">
        <v>234</v>
      </c>
      <c r="BM238" s="3">
        <v>1.0811169140461981E-2</v>
      </c>
    </row>
    <row r="239" spans="1:65" x14ac:dyDescent="0.3">
      <c r="A239" s="2">
        <v>45741</v>
      </c>
      <c r="B239">
        <v>2271.3000000000002</v>
      </c>
      <c r="C239">
        <v>3053.7</v>
      </c>
      <c r="D239">
        <v>1343.7</v>
      </c>
      <c r="E239">
        <v>3657.75</v>
      </c>
      <c r="F239">
        <v>2736</v>
      </c>
      <c r="H239" s="2">
        <v>45741</v>
      </c>
      <c r="I239" s="3">
        <f t="shared" si="64"/>
        <v>1.1286983236492576E-2</v>
      </c>
      <c r="J239" s="3">
        <f t="shared" si="65"/>
        <v>-1.2428454619788365E-3</v>
      </c>
      <c r="K239" s="3">
        <f t="shared" si="66"/>
        <v>5.8387603862564141E-3</v>
      </c>
      <c r="L239" s="3">
        <f t="shared" si="67"/>
        <v>6.0371857637933068E-3</v>
      </c>
      <c r="M239" s="3">
        <f t="shared" si="68"/>
        <v>-2.2791503327559415E-3</v>
      </c>
      <c r="O239">
        <v>235</v>
      </c>
      <c r="P239" s="8">
        <v>-0.85179720010615811</v>
      </c>
      <c r="Q239" s="8">
        <v>0.30424185344338867</v>
      </c>
      <c r="R239" s="8">
        <v>-0.64704404296701179</v>
      </c>
      <c r="S239" s="8">
        <v>-0.82889394069710831</v>
      </c>
      <c r="T239" s="8">
        <v>-1.2780708232769189</v>
      </c>
      <c r="V239">
        <v>235</v>
      </c>
      <c r="W239">
        <v>-0.85179720010615811</v>
      </c>
      <c r="X239">
        <v>9.0570803443810452E-2</v>
      </c>
      <c r="Y239">
        <v>-0.58992087666483783</v>
      </c>
      <c r="Z239">
        <v>-0.81227337677993849</v>
      </c>
      <c r="AA239">
        <v>-0.80813719628508529</v>
      </c>
      <c r="AQ239">
        <v>235</v>
      </c>
      <c r="AR239" s="21">
        <f t="shared" si="54"/>
        <v>2344.6264613745579</v>
      </c>
      <c r="AS239" s="21">
        <f t="shared" si="55"/>
        <v>2370.0897598349775</v>
      </c>
      <c r="AT239" s="21">
        <f t="shared" si="56"/>
        <v>2351.4293204760565</v>
      </c>
      <c r="AU239" s="21">
        <f t="shared" si="57"/>
        <v>2345.3681412540577</v>
      </c>
      <c r="AV239" s="21">
        <f t="shared" si="58"/>
        <v>2345.4817615819584</v>
      </c>
      <c r="BE239">
        <v>235</v>
      </c>
      <c r="BF239" s="3">
        <f t="shared" si="59"/>
        <v>-1.0172440520515328E-2</v>
      </c>
      <c r="BG239" s="3">
        <f t="shared" si="60"/>
        <v>3.4686912294190405E-3</v>
      </c>
      <c r="BH239" s="3">
        <f t="shared" si="61"/>
        <v>-1.9451215242979419E-2</v>
      </c>
      <c r="BI239" s="3">
        <f t="shared" si="62"/>
        <v>1.9173878946526245E-2</v>
      </c>
      <c r="BJ239" s="3">
        <f t="shared" si="63"/>
        <v>-3.2419186400036888E-3</v>
      </c>
      <c r="BL239">
        <v>235</v>
      </c>
      <c r="BM239" s="3">
        <v>1.1814190716734193E-2</v>
      </c>
    </row>
    <row r="240" spans="1:65" x14ac:dyDescent="0.3">
      <c r="A240" s="2">
        <v>45740</v>
      </c>
      <c r="B240">
        <v>2256.1999999999998</v>
      </c>
      <c r="C240">
        <v>3079.1</v>
      </c>
      <c r="D240">
        <v>1358.15</v>
      </c>
      <c r="E240">
        <v>3628.95</v>
      </c>
      <c r="F240">
        <v>2774.7</v>
      </c>
      <c r="H240" s="2">
        <v>45740</v>
      </c>
      <c r="I240" s="3">
        <f t="shared" si="64"/>
        <v>-6.6481750539340023E-3</v>
      </c>
      <c r="J240" s="3">
        <f t="shared" si="65"/>
        <v>8.3177784327210791E-3</v>
      </c>
      <c r="K240" s="3">
        <f t="shared" si="66"/>
        <v>1.0753888516782162E-2</v>
      </c>
      <c r="L240" s="3">
        <f t="shared" si="67"/>
        <v>-7.873692843961555E-3</v>
      </c>
      <c r="M240" s="3">
        <f t="shared" si="68"/>
        <v>1.4144736842105265E-2</v>
      </c>
      <c r="O240">
        <v>236</v>
      </c>
      <c r="P240" s="8">
        <v>-1.2316113057917011</v>
      </c>
      <c r="Q240" s="8">
        <v>3.5594466140646819E-2</v>
      </c>
      <c r="R240" s="8">
        <v>2.493002813125476</v>
      </c>
      <c r="S240" s="8">
        <v>-0.75488756420065317</v>
      </c>
      <c r="T240" s="8">
        <v>-0.45189224680633872</v>
      </c>
      <c r="V240">
        <v>236</v>
      </c>
      <c r="W240">
        <v>-1.2316113057917011</v>
      </c>
      <c r="X240">
        <v>4.9427715476071117E-2</v>
      </c>
      <c r="Y240">
        <v>2.4108253749506883</v>
      </c>
      <c r="Z240">
        <v>-0.69678560321482819</v>
      </c>
      <c r="AA240">
        <v>-0.61007672708006666</v>
      </c>
      <c r="AQ240">
        <v>236</v>
      </c>
      <c r="AR240" s="21">
        <f t="shared" si="54"/>
        <v>2334.3071880332623</v>
      </c>
      <c r="AS240" s="21">
        <f t="shared" si="55"/>
        <v>2368.9592344550006</v>
      </c>
      <c r="AT240" s="21">
        <f t="shared" si="56"/>
        <v>2434.8179058341939</v>
      </c>
      <c r="AU240" s="21">
        <f t="shared" si="57"/>
        <v>2348.5026362111616</v>
      </c>
      <c r="AV240" s="21">
        <f t="shared" si="58"/>
        <v>2350.8823946337952</v>
      </c>
      <c r="BE240">
        <v>236</v>
      </c>
      <c r="BF240" s="3">
        <f t="shared" si="59"/>
        <v>-4.4109580712058897E-3</v>
      </c>
      <c r="BG240" s="3">
        <f t="shared" si="60"/>
        <v>-4.7711066198502375E-4</v>
      </c>
      <c r="BH240" s="3">
        <f t="shared" si="61"/>
        <v>3.4848606996439387E-2</v>
      </c>
      <c r="BI240" s="3">
        <f t="shared" si="62"/>
        <v>1.3355695423404848E-3</v>
      </c>
      <c r="BJ240" s="3">
        <f t="shared" si="63"/>
        <v>2.2999219195156753E-3</v>
      </c>
      <c r="BL240">
        <v>236</v>
      </c>
      <c r="BM240" s="3">
        <v>1.236552371145397E-2</v>
      </c>
    </row>
    <row r="241" spans="1:65" x14ac:dyDescent="0.3">
      <c r="A241" s="2">
        <v>45737</v>
      </c>
      <c r="B241">
        <v>2246.1999999999998</v>
      </c>
      <c r="C241">
        <v>3162.7</v>
      </c>
      <c r="D241">
        <v>1343.1</v>
      </c>
      <c r="E241">
        <v>3578.1</v>
      </c>
      <c r="F241">
        <v>2801.85</v>
      </c>
      <c r="H241" s="2">
        <v>45737</v>
      </c>
      <c r="I241" s="3">
        <f t="shared" si="64"/>
        <v>-4.4322311851786589E-3</v>
      </c>
      <c r="J241" s="3">
        <f t="shared" si="65"/>
        <v>2.7150790815497983E-2</v>
      </c>
      <c r="K241" s="3">
        <f t="shared" si="66"/>
        <v>-1.1081250230092543E-2</v>
      </c>
      <c r="L241" s="3">
        <f t="shared" si="67"/>
        <v>-1.4012317612532521E-2</v>
      </c>
      <c r="M241" s="3">
        <f t="shared" si="68"/>
        <v>9.7848416044978848E-3</v>
      </c>
      <c r="O241">
        <v>237</v>
      </c>
      <c r="P241" s="8">
        <v>-1.5639848022854881</v>
      </c>
      <c r="Q241" s="8">
        <v>-4.1011858759333018E-2</v>
      </c>
      <c r="R241" s="8">
        <v>-4.6153128964472573E-2</v>
      </c>
      <c r="S241" s="8">
        <v>0.78459478644430913</v>
      </c>
      <c r="T241" s="8">
        <v>0.18020114901192805</v>
      </c>
      <c r="V241">
        <v>237</v>
      </c>
      <c r="W241">
        <v>-1.5639848022854881</v>
      </c>
      <c r="X241">
        <v>4.5382105952908557E-2</v>
      </c>
      <c r="Y241">
        <v>-9.4691186744412681E-2</v>
      </c>
      <c r="Z241">
        <v>0.7275823717542953</v>
      </c>
      <c r="AA241">
        <v>5.4339963877942349E-2</v>
      </c>
      <c r="AQ241">
        <v>237</v>
      </c>
      <c r="AR241" s="21">
        <f t="shared" si="54"/>
        <v>2325.3140914351657</v>
      </c>
      <c r="AS241" s="21">
        <f t="shared" si="55"/>
        <v>2368.8493732336351</v>
      </c>
      <c r="AT241" s="21">
        <f t="shared" si="56"/>
        <v>2364.9921281414436</v>
      </c>
      <c r="AU241" s="21">
        <f t="shared" si="57"/>
        <v>2387.6849427535849</v>
      </c>
      <c r="AV241" s="21">
        <f t="shared" si="58"/>
        <v>2369.0858536595356</v>
      </c>
      <c r="BE241">
        <v>237</v>
      </c>
      <c r="BF241" s="3">
        <f t="shared" si="59"/>
        <v>-3.8600166086220108E-3</v>
      </c>
      <c r="BG241" s="3">
        <f t="shared" si="60"/>
        <v>-4.6376386419212415E-5</v>
      </c>
      <c r="BH241" s="3">
        <f t="shared" si="61"/>
        <v>-2.9097278283024781E-2</v>
      </c>
      <c r="BI241" s="3">
        <f t="shared" si="62"/>
        <v>1.6546304313327639E-2</v>
      </c>
      <c r="BJ241" s="3">
        <f t="shared" si="63"/>
        <v>7.7134202274665217E-3</v>
      </c>
      <c r="BL241">
        <v>237</v>
      </c>
      <c r="BM241" s="3">
        <v>1.2434084615361024E-2</v>
      </c>
    </row>
    <row r="242" spans="1:65" x14ac:dyDescent="0.3">
      <c r="A242" s="2">
        <v>45736</v>
      </c>
      <c r="B242">
        <v>2242.4</v>
      </c>
      <c r="C242">
        <v>3193.1</v>
      </c>
      <c r="D242">
        <v>1321.7</v>
      </c>
      <c r="E242">
        <v>3563.15</v>
      </c>
      <c r="F242">
        <v>2828.1</v>
      </c>
      <c r="H242" s="2">
        <v>45736</v>
      </c>
      <c r="I242" s="3">
        <f t="shared" si="64"/>
        <v>-1.6917460600123224E-3</v>
      </c>
      <c r="J242" s="3">
        <f t="shared" si="65"/>
        <v>9.6120403452746306E-3</v>
      </c>
      <c r="K242" s="3">
        <f t="shared" si="66"/>
        <v>-1.5933288660561318E-2</v>
      </c>
      <c r="L242" s="3">
        <f t="shared" si="67"/>
        <v>-4.1781951314943111E-3</v>
      </c>
      <c r="M242" s="3">
        <f t="shared" si="68"/>
        <v>9.3688098934632258E-3</v>
      </c>
      <c r="O242">
        <v>238</v>
      </c>
      <c r="P242" s="8">
        <v>-2.799931465053656</v>
      </c>
      <c r="Q242" s="8">
        <v>1.3893547442797871</v>
      </c>
      <c r="R242" s="8">
        <v>-0.23919426099493041</v>
      </c>
      <c r="S242" s="8">
        <v>-1.0930409977765518</v>
      </c>
      <c r="T242" s="8">
        <v>0.31455892798690177</v>
      </c>
      <c r="V242">
        <v>238</v>
      </c>
      <c r="W242">
        <v>-2.799931465053656</v>
      </c>
      <c r="X242">
        <v>0.37621315937623112</v>
      </c>
      <c r="Y242">
        <v>-1.2464559587017254E-2</v>
      </c>
      <c r="Z242">
        <v>-0.94310351689634131</v>
      </c>
      <c r="AA242">
        <v>1.0240748187962208</v>
      </c>
      <c r="AQ242">
        <v>238</v>
      </c>
      <c r="AR242" s="21">
        <f t="shared" si="54"/>
        <v>2292.1761516383244</v>
      </c>
      <c r="AS242" s="21">
        <f t="shared" si="55"/>
        <v>2377.9733984878249</v>
      </c>
      <c r="AT242" s="21">
        <f t="shared" si="56"/>
        <v>2367.2501321285563</v>
      </c>
      <c r="AU242" s="21">
        <f t="shared" si="57"/>
        <v>2341.8048710503181</v>
      </c>
      <c r="AV242" s="21">
        <f t="shared" si="58"/>
        <v>2395.9242609468656</v>
      </c>
      <c r="BE242">
        <v>238</v>
      </c>
      <c r="BF242" s="3">
        <f t="shared" si="59"/>
        <v>-1.4353472115621034E-2</v>
      </c>
      <c r="BG242" s="3">
        <f t="shared" si="60"/>
        <v>3.8442709700888342E-3</v>
      </c>
      <c r="BH242" s="3">
        <f t="shared" si="61"/>
        <v>9.5430623974332191E-4</v>
      </c>
      <c r="BI242" s="3">
        <f t="shared" si="62"/>
        <v>-1.9402308830364826E-2</v>
      </c>
      <c r="BJ242" s="3">
        <f t="shared" si="63"/>
        <v>1.1264904146285058E-2</v>
      </c>
      <c r="BL242">
        <v>238</v>
      </c>
      <c r="BM242" s="3">
        <v>1.2467919370911684E-2</v>
      </c>
    </row>
    <row r="243" spans="1:65" x14ac:dyDescent="0.3">
      <c r="A243" s="2">
        <v>45735</v>
      </c>
      <c r="B243">
        <v>2200.0500000000002</v>
      </c>
      <c r="C243">
        <v>3076.3</v>
      </c>
      <c r="D243">
        <v>1313.1</v>
      </c>
      <c r="E243">
        <v>3497.1</v>
      </c>
      <c r="F243">
        <v>2789.1</v>
      </c>
      <c r="H243" s="2">
        <v>45735</v>
      </c>
      <c r="I243" s="3">
        <f t="shared" si="64"/>
        <v>-1.8886014983945709E-2</v>
      </c>
      <c r="J243" s="3">
        <f t="shared" si="65"/>
        <v>-3.6578873195327377E-2</v>
      </c>
      <c r="K243" s="3">
        <f t="shared" si="66"/>
        <v>-6.5067715820534833E-3</v>
      </c>
      <c r="L243" s="3">
        <f t="shared" si="67"/>
        <v>-1.8536968693431466E-2</v>
      </c>
      <c r="M243" s="3">
        <f t="shared" si="68"/>
        <v>-1.3790177150737271E-2</v>
      </c>
      <c r="O243">
        <v>239</v>
      </c>
      <c r="P243" s="8">
        <v>-0.55150382107172025</v>
      </c>
      <c r="Q243" s="8">
        <v>1.5678522165947588</v>
      </c>
      <c r="R243" s="8">
        <v>-0.88778819825713273</v>
      </c>
      <c r="S243" s="8">
        <v>0.61775521137673284</v>
      </c>
      <c r="T243" s="8">
        <v>0.58603245147227045</v>
      </c>
      <c r="V243">
        <v>239</v>
      </c>
      <c r="W243">
        <v>-0.55150382107172025</v>
      </c>
      <c r="X243">
        <v>0.33507526776753738</v>
      </c>
      <c r="Y243">
        <v>-0.54945340117280916</v>
      </c>
      <c r="Z243">
        <v>0.810830789513863</v>
      </c>
      <c r="AA243">
        <v>1.0362485245198201</v>
      </c>
      <c r="AQ243">
        <v>239</v>
      </c>
      <c r="AR243" s="21">
        <f t="shared" si="54"/>
        <v>2352.8167360400234</v>
      </c>
      <c r="AS243" s="21">
        <f t="shared" si="55"/>
        <v>2376.8278826297055</v>
      </c>
      <c r="AT243" s="21">
        <f t="shared" si="56"/>
        <v>2352.5335900297396</v>
      </c>
      <c r="AU243" s="21">
        <f t="shared" si="57"/>
        <v>2389.9964517001563</v>
      </c>
      <c r="AV243" s="21">
        <f t="shared" si="58"/>
        <v>2396.2552256097856</v>
      </c>
      <c r="BE243">
        <v>239</v>
      </c>
      <c r="BF243" s="3">
        <f t="shared" si="59"/>
        <v>2.6111570586311205E-2</v>
      </c>
      <c r="BG243" s="3">
        <f t="shared" si="60"/>
        <v>-4.8183543856228036E-4</v>
      </c>
      <c r="BH243" s="3">
        <f t="shared" si="61"/>
        <v>-6.2361288813725275E-3</v>
      </c>
      <c r="BI243" s="3">
        <f t="shared" si="62"/>
        <v>2.0369936822307089E-2</v>
      </c>
      <c r="BJ243" s="3">
        <f t="shared" si="63"/>
        <v>1.3812698976515465E-4</v>
      </c>
      <c r="BL243">
        <v>239</v>
      </c>
      <c r="BM243" s="3">
        <v>1.3519226209056944E-2</v>
      </c>
    </row>
    <row r="244" spans="1:65" x14ac:dyDescent="0.3">
      <c r="A244" s="2">
        <v>45734</v>
      </c>
      <c r="B244">
        <v>2201.4</v>
      </c>
      <c r="C244">
        <v>3081.7</v>
      </c>
      <c r="D244">
        <v>1309.8499999999999</v>
      </c>
      <c r="E244">
        <v>3552.45</v>
      </c>
      <c r="F244">
        <v>2791.4</v>
      </c>
      <c r="H244" s="2">
        <v>45734</v>
      </c>
      <c r="I244" s="3">
        <f t="shared" si="64"/>
        <v>6.13622417672266E-4</v>
      </c>
      <c r="J244" s="3">
        <f t="shared" si="65"/>
        <v>1.7553554594804677E-3</v>
      </c>
      <c r="K244" s="3">
        <f t="shared" si="66"/>
        <v>-2.4750590206381595E-3</v>
      </c>
      <c r="L244" s="3">
        <f t="shared" si="67"/>
        <v>1.5827399845586232E-2</v>
      </c>
      <c r="M244" s="3">
        <f t="shared" si="68"/>
        <v>8.2463877236382821E-4</v>
      </c>
      <c r="O244">
        <v>240</v>
      </c>
      <c r="P244" s="8">
        <v>0.83897886353059947</v>
      </c>
      <c r="Q244" s="8">
        <v>0.91412789348586609</v>
      </c>
      <c r="R244" s="8">
        <v>1.6023161188890056</v>
      </c>
      <c r="S244" s="8">
        <v>1.0314695289885989</v>
      </c>
      <c r="T244" s="8">
        <v>0.42312848919056167</v>
      </c>
      <c r="V244">
        <v>240</v>
      </c>
      <c r="W244">
        <v>0.83897886353059947</v>
      </c>
      <c r="X244">
        <v>0.15555214918661972</v>
      </c>
      <c r="Y244">
        <v>1.7810383229343107</v>
      </c>
      <c r="Z244">
        <v>1.2277619904989805</v>
      </c>
      <c r="AA244">
        <v>0.19317996310291319</v>
      </c>
      <c r="AQ244">
        <v>240</v>
      </c>
      <c r="AR244" s="21">
        <f t="shared" si="54"/>
        <v>2391.1184568802855</v>
      </c>
      <c r="AS244" s="21">
        <f t="shared" si="55"/>
        <v>2371.8715800289856</v>
      </c>
      <c r="AT244" s="21">
        <f t="shared" si="56"/>
        <v>2417.0743846695832</v>
      </c>
      <c r="AU244" s="21">
        <f t="shared" si="57"/>
        <v>2401.5862852234723</v>
      </c>
      <c r="AV244" s="21">
        <f t="shared" si="58"/>
        <v>2372.9065982234861</v>
      </c>
      <c r="BE244">
        <v>240</v>
      </c>
      <c r="BF244" s="3">
        <f t="shared" si="59"/>
        <v>1.6148008591852555E-2</v>
      </c>
      <c r="BG244" s="3">
        <f t="shared" si="60"/>
        <v>-2.0874365452713969E-3</v>
      </c>
      <c r="BH244" s="3">
        <f t="shared" si="61"/>
        <v>2.7065006050840789E-2</v>
      </c>
      <c r="BI244" s="3">
        <f t="shared" si="62"/>
        <v>4.8375898996255856E-3</v>
      </c>
      <c r="BJ244" s="3">
        <f t="shared" si="63"/>
        <v>-9.7915796504053475E-3</v>
      </c>
      <c r="BL244">
        <v>240</v>
      </c>
      <c r="BM244" s="3">
        <v>1.3708960700465067E-2</v>
      </c>
    </row>
    <row r="245" spans="1:65" x14ac:dyDescent="0.3">
      <c r="A245" s="2">
        <v>45733</v>
      </c>
      <c r="B245">
        <v>2171.25</v>
      </c>
      <c r="C245">
        <v>3017.35</v>
      </c>
      <c r="D245">
        <v>1269</v>
      </c>
      <c r="E245">
        <v>3497.7</v>
      </c>
      <c r="F245">
        <v>2705.15</v>
      </c>
      <c r="H245" s="2">
        <v>45733</v>
      </c>
      <c r="I245" s="3">
        <f t="shared" si="64"/>
        <v>-1.3695829926410497E-2</v>
      </c>
      <c r="J245" s="3">
        <f t="shared" si="65"/>
        <v>-2.0881331732485298E-2</v>
      </c>
      <c r="K245" s="3">
        <f t="shared" si="66"/>
        <v>-3.1186777111883002E-2</v>
      </c>
      <c r="L245" s="3">
        <f t="shared" si="67"/>
        <v>-1.5411898830384629E-2</v>
      </c>
      <c r="M245" s="3">
        <f t="shared" si="68"/>
        <v>-3.0898473884072519E-2</v>
      </c>
      <c r="O245">
        <v>241</v>
      </c>
      <c r="P245" s="8">
        <v>1.2934563070733656</v>
      </c>
      <c r="Q245" s="8">
        <v>1.7369159374490162</v>
      </c>
      <c r="R245" s="8">
        <v>0.18522112324191517</v>
      </c>
      <c r="S245" s="8">
        <v>0.1096428210322055</v>
      </c>
      <c r="T245" s="8">
        <v>0.85264055242982795</v>
      </c>
      <c r="V245">
        <v>241</v>
      </c>
      <c r="W245">
        <v>1.2934563070733656</v>
      </c>
      <c r="X245">
        <v>0.30587592168771549</v>
      </c>
      <c r="Y245">
        <v>0.58289655479720781</v>
      </c>
      <c r="Z245">
        <v>0.41351630587924082</v>
      </c>
      <c r="AA245">
        <v>1.2137380348360911</v>
      </c>
      <c r="AQ245">
        <v>241</v>
      </c>
      <c r="AR245" s="21">
        <f t="shared" si="54"/>
        <v>2403.771927596852</v>
      </c>
      <c r="AS245" s="21">
        <f t="shared" si="55"/>
        <v>2376.0138716463439</v>
      </c>
      <c r="AT245" s="21">
        <f t="shared" si="56"/>
        <v>2383.674565168114</v>
      </c>
      <c r="AU245" s="21">
        <f t="shared" si="57"/>
        <v>2378.9891100130517</v>
      </c>
      <c r="AV245" s="21">
        <f t="shared" si="58"/>
        <v>2401.2013514335745</v>
      </c>
      <c r="BE245">
        <v>241</v>
      </c>
      <c r="BF245" s="3">
        <f t="shared" si="59"/>
        <v>5.2779100564188585E-3</v>
      </c>
      <c r="BG245" s="3">
        <f t="shared" si="60"/>
        <v>1.7449000025438299E-3</v>
      </c>
      <c r="BH245" s="3">
        <f t="shared" si="61"/>
        <v>-1.3914644880378215E-2</v>
      </c>
      <c r="BI245" s="3">
        <f t="shared" si="62"/>
        <v>-9.4538174354207079E-3</v>
      </c>
      <c r="BJ245" s="3">
        <f t="shared" si="63"/>
        <v>1.1853558741548881E-2</v>
      </c>
      <c r="BL245">
        <v>241</v>
      </c>
      <c r="BM245" s="3">
        <v>1.3795513710269013E-2</v>
      </c>
    </row>
    <row r="246" spans="1:65" x14ac:dyDescent="0.3">
      <c r="A246" s="2">
        <v>45729</v>
      </c>
      <c r="B246">
        <v>2174.8000000000002</v>
      </c>
      <c r="C246">
        <v>3010.15</v>
      </c>
      <c r="D246">
        <v>1250.05</v>
      </c>
      <c r="E246">
        <v>3511.05</v>
      </c>
      <c r="F246">
        <v>2643.5</v>
      </c>
      <c r="H246" s="2">
        <v>45729</v>
      </c>
      <c r="I246" s="3">
        <f t="shared" si="64"/>
        <v>1.6350028785263593E-3</v>
      </c>
      <c r="J246" s="3">
        <f t="shared" si="65"/>
        <v>-2.3861998110924487E-3</v>
      </c>
      <c r="K246" s="3">
        <f t="shared" si="66"/>
        <v>-1.4933018124507536E-2</v>
      </c>
      <c r="L246" s="3">
        <f t="shared" si="67"/>
        <v>3.8167938931299439E-3</v>
      </c>
      <c r="M246" s="3">
        <f t="shared" si="68"/>
        <v>-2.2789863778348685E-2</v>
      </c>
      <c r="O246">
        <v>242</v>
      </c>
      <c r="P246" s="8">
        <v>-0.19426150380333285</v>
      </c>
      <c r="Q246" s="8">
        <v>6.6402782185701406E-2</v>
      </c>
      <c r="R246" s="8">
        <v>-0.73068219514716992</v>
      </c>
      <c r="S246" s="8">
        <v>-2.2932138491908605</v>
      </c>
      <c r="T246" s="8">
        <v>-0.48242286724001882</v>
      </c>
      <c r="V246">
        <v>242</v>
      </c>
      <c r="W246">
        <v>-0.19426150380333285</v>
      </c>
      <c r="X246">
        <v>2.0054157435695469E-2</v>
      </c>
      <c r="Y246">
        <v>-0.70483640389042401</v>
      </c>
      <c r="Z246">
        <v>-2.2805502067536265</v>
      </c>
      <c r="AA246">
        <v>0.13149293462120537</v>
      </c>
      <c r="AQ246">
        <v>242</v>
      </c>
      <c r="AR246" s="21">
        <f t="shared" si="54"/>
        <v>2362.5978018288738</v>
      </c>
      <c r="AS246" s="21">
        <f t="shared" si="55"/>
        <v>2368.1467465376863</v>
      </c>
      <c r="AT246" s="21">
        <f t="shared" si="56"/>
        <v>2348.2936279569294</v>
      </c>
      <c r="AU246" s="21">
        <f t="shared" si="57"/>
        <v>2305.715566002877</v>
      </c>
      <c r="AV246" s="21">
        <f t="shared" si="58"/>
        <v>2371.2226120701471</v>
      </c>
      <c r="BE246">
        <v>242</v>
      </c>
      <c r="BF246" s="3">
        <f t="shared" si="59"/>
        <v>-1.7277362995998212E-2</v>
      </c>
      <c r="BG246" s="3">
        <f t="shared" si="60"/>
        <v>-3.3165539504397372E-3</v>
      </c>
      <c r="BH246" s="3">
        <f t="shared" si="61"/>
        <v>-1.4954283342445746E-2</v>
      </c>
      <c r="BI246" s="3">
        <f t="shared" si="62"/>
        <v>-3.1284584708233962E-2</v>
      </c>
      <c r="BJ246" s="3">
        <f t="shared" si="63"/>
        <v>-1.2563483007697268E-2</v>
      </c>
      <c r="BL246">
        <v>242</v>
      </c>
      <c r="BM246" s="3">
        <v>1.5072180905899497E-2</v>
      </c>
    </row>
    <row r="247" spans="1:65" x14ac:dyDescent="0.3">
      <c r="A247" s="2">
        <v>45728</v>
      </c>
      <c r="B247">
        <v>2192.9</v>
      </c>
      <c r="C247">
        <v>3018.95</v>
      </c>
      <c r="D247">
        <v>1243.95</v>
      </c>
      <c r="E247">
        <v>3506.2</v>
      </c>
      <c r="F247">
        <v>2653.3</v>
      </c>
      <c r="H247" s="2">
        <v>45728</v>
      </c>
      <c r="I247" s="3">
        <f t="shared" si="64"/>
        <v>8.3226043774140557E-3</v>
      </c>
      <c r="J247" s="3">
        <f t="shared" si="65"/>
        <v>2.923442353371053E-3</v>
      </c>
      <c r="K247" s="3">
        <f t="shared" si="66"/>
        <v>-4.8798048078075862E-3</v>
      </c>
      <c r="L247" s="3">
        <f t="shared" si="67"/>
        <v>-1.3813531564632608E-3</v>
      </c>
      <c r="M247" s="3">
        <f t="shared" si="68"/>
        <v>3.7072063552110457E-3</v>
      </c>
      <c r="O247">
        <v>243</v>
      </c>
      <c r="P247" s="8">
        <v>1.0636595931380506</v>
      </c>
      <c r="Q247" s="8">
        <v>-0.49521081927185484</v>
      </c>
      <c r="R247" s="8">
        <v>0.54821592395147534</v>
      </c>
      <c r="S247" s="8">
        <v>-0.42364225053658527</v>
      </c>
      <c r="T247" s="8">
        <v>-0.67129951926730091</v>
      </c>
      <c r="V247">
        <v>243</v>
      </c>
      <c r="W247">
        <v>1.0636595931380506</v>
      </c>
      <c r="X247">
        <v>-0.13634741997594502</v>
      </c>
      <c r="Y247">
        <v>0.45844123898980427</v>
      </c>
      <c r="Z247">
        <v>-0.45136963119009754</v>
      </c>
      <c r="AA247">
        <v>-0.79806522876322172</v>
      </c>
      <c r="AQ247">
        <v>243</v>
      </c>
      <c r="AR247" s="21">
        <f t="shared" si="54"/>
        <v>2397.3652212179336</v>
      </c>
      <c r="AS247" s="21">
        <f t="shared" si="55"/>
        <v>2363.8437568926884</v>
      </c>
      <c r="AT247" s="21">
        <f t="shared" si="56"/>
        <v>2380.2337978012924</v>
      </c>
      <c r="AU247" s="21">
        <f t="shared" si="57"/>
        <v>2355.2142882579101</v>
      </c>
      <c r="AV247" s="21">
        <f t="shared" si="58"/>
        <v>2345.7545679829173</v>
      </c>
      <c r="BE247">
        <v>243</v>
      </c>
      <c r="BF247" s="3">
        <f t="shared" si="59"/>
        <v>1.4608532682234001E-2</v>
      </c>
      <c r="BG247" s="3">
        <f t="shared" si="60"/>
        <v>-1.8186810932635459E-3</v>
      </c>
      <c r="BH247" s="3">
        <f t="shared" si="61"/>
        <v>1.3509768585669248E-2</v>
      </c>
      <c r="BI247" s="3">
        <f t="shared" si="62"/>
        <v>2.1240647165609403E-2</v>
      </c>
      <c r="BJ247" s="3">
        <f t="shared" si="63"/>
        <v>-1.0798564673173272E-2</v>
      </c>
      <c r="BL247">
        <v>243</v>
      </c>
      <c r="BM247" s="3">
        <v>1.5801036141716511E-2</v>
      </c>
    </row>
    <row r="248" spans="1:65" x14ac:dyDescent="0.3">
      <c r="A248" s="2">
        <v>45727</v>
      </c>
      <c r="B248">
        <v>2216.9499999999998</v>
      </c>
      <c r="C248">
        <v>3046.4</v>
      </c>
      <c r="D248">
        <v>1245.4000000000001</v>
      </c>
      <c r="E248">
        <v>3575.3</v>
      </c>
      <c r="F248">
        <v>2645.6</v>
      </c>
      <c r="H248" s="2">
        <v>45727</v>
      </c>
      <c r="I248" s="3">
        <f t="shared" si="64"/>
        <v>1.0967212367184898E-2</v>
      </c>
      <c r="J248" s="3">
        <f t="shared" si="65"/>
        <v>9.0925652958810943E-3</v>
      </c>
      <c r="K248" s="3">
        <f t="shared" si="66"/>
        <v>1.1656417058563129E-3</v>
      </c>
      <c r="L248" s="3">
        <f t="shared" si="67"/>
        <v>1.9707945924362757E-2</v>
      </c>
      <c r="M248" s="3">
        <f t="shared" si="68"/>
        <v>-2.9020465081220914E-3</v>
      </c>
      <c r="O248">
        <v>244</v>
      </c>
      <c r="P248" s="8">
        <v>0.25309056349318271</v>
      </c>
      <c r="Q248" s="8">
        <v>-0.40145186809826622</v>
      </c>
      <c r="R248" s="8">
        <v>1.856962993830672</v>
      </c>
      <c r="S248" s="8">
        <v>-0.71846852667572692</v>
      </c>
      <c r="T248" s="8">
        <v>0.57259642389981213</v>
      </c>
      <c r="V248">
        <v>244</v>
      </c>
      <c r="W248">
        <v>0.25309056349318271</v>
      </c>
      <c r="X248">
        <v>-8.9634636880664836E-2</v>
      </c>
      <c r="Y248">
        <v>1.7356681337712865</v>
      </c>
      <c r="Z248">
        <v>-0.70956261963047573</v>
      </c>
      <c r="AA248">
        <v>0.25603561972172406</v>
      </c>
      <c r="AQ248">
        <v>244</v>
      </c>
      <c r="AR248" s="21">
        <f t="shared" si="54"/>
        <v>2374.9036558440571</v>
      </c>
      <c r="AS248" s="21">
        <f t="shared" si="55"/>
        <v>2365.1300464528808</v>
      </c>
      <c r="AT248" s="21">
        <f t="shared" si="56"/>
        <v>2415.8022689420509</v>
      </c>
      <c r="AU248" s="21">
        <f t="shared" si="57"/>
        <v>2348.1571948429473</v>
      </c>
      <c r="AV248" s="21">
        <f t="shared" si="58"/>
        <v>2374.6479152081661</v>
      </c>
      <c r="BE248">
        <v>244</v>
      </c>
      <c r="BF248" s="3">
        <f t="shared" si="59"/>
        <v>-9.4134391072744697E-3</v>
      </c>
      <c r="BG248" s="3">
        <f t="shared" si="60"/>
        <v>5.4400368680594311E-4</v>
      </c>
      <c r="BH248" s="3">
        <f t="shared" si="61"/>
        <v>1.4832717168998144E-2</v>
      </c>
      <c r="BI248" s="3">
        <f t="shared" si="62"/>
        <v>-3.0008680948130926E-3</v>
      </c>
      <c r="BJ248" s="3">
        <f t="shared" si="63"/>
        <v>1.2242052738468821E-2</v>
      </c>
      <c r="BL248">
        <v>244</v>
      </c>
      <c r="BM248" s="3">
        <v>1.58274879049396E-2</v>
      </c>
    </row>
    <row r="249" spans="1:65" x14ac:dyDescent="0.3">
      <c r="A249" s="2">
        <v>45726</v>
      </c>
      <c r="B249">
        <v>2247.75</v>
      </c>
      <c r="C249">
        <v>3026.8</v>
      </c>
      <c r="D249">
        <v>1214.8499999999999</v>
      </c>
      <c r="E249">
        <v>3589.65</v>
      </c>
      <c r="F249">
        <v>2702.6</v>
      </c>
      <c r="H249" s="2">
        <v>45726</v>
      </c>
      <c r="I249" s="3">
        <f t="shared" si="64"/>
        <v>1.3892961050091523E-2</v>
      </c>
      <c r="J249" s="3">
        <f t="shared" si="65"/>
        <v>-6.4338235294116863E-3</v>
      </c>
      <c r="K249" s="3">
        <f t="shared" si="66"/>
        <v>-2.4530271398747527E-2</v>
      </c>
      <c r="L249" s="3">
        <f t="shared" si="67"/>
        <v>4.0136492042626148E-3</v>
      </c>
      <c r="M249" s="3">
        <f t="shared" si="68"/>
        <v>2.1545207136377309E-2</v>
      </c>
      <c r="O249">
        <v>245</v>
      </c>
      <c r="P249" s="8">
        <v>-3.1800888982201867</v>
      </c>
      <c r="Q249" s="8">
        <v>0.70486692541024742</v>
      </c>
      <c r="R249" s="8">
        <v>-0.51558212101621492</v>
      </c>
      <c r="S249" s="8">
        <v>-0.8886871241565284</v>
      </c>
      <c r="T249" s="8">
        <v>-0.92189221291771595</v>
      </c>
      <c r="V249">
        <v>245</v>
      </c>
      <c r="W249">
        <v>-3.1800888982201867</v>
      </c>
      <c r="X249">
        <v>0.25122797998523533</v>
      </c>
      <c r="Y249">
        <v>-0.437488344663507</v>
      </c>
      <c r="Z249">
        <v>-0.86441809214132637</v>
      </c>
      <c r="AA249">
        <v>-0.30524862746545367</v>
      </c>
      <c r="AQ249">
        <v>245</v>
      </c>
      <c r="AR249" s="21">
        <f t="shared" si="54"/>
        <v>2282.0777025384023</v>
      </c>
      <c r="AS249" s="21">
        <f t="shared" si="55"/>
        <v>2374.5259172775036</v>
      </c>
      <c r="AT249" s="21">
        <f t="shared" si="56"/>
        <v>2355.5949034708397</v>
      </c>
      <c r="AU249" s="21">
        <f t="shared" si="57"/>
        <v>2343.9476244441571</v>
      </c>
      <c r="AV249" s="21">
        <f t="shared" si="58"/>
        <v>2359.2201239339661</v>
      </c>
      <c r="BE249">
        <v>245</v>
      </c>
      <c r="BF249" s="3">
        <f t="shared" si="59"/>
        <v>-3.9870569651084257E-2</v>
      </c>
      <c r="BG249" s="3">
        <f t="shared" si="60"/>
        <v>3.9647954217775375E-3</v>
      </c>
      <c r="BH249" s="3">
        <f t="shared" si="61"/>
        <v>-2.5238125892102219E-2</v>
      </c>
      <c r="BI249" s="3">
        <f t="shared" si="62"/>
        <v>-1.7943211800854019E-3</v>
      </c>
      <c r="BJ249" s="3">
        <f t="shared" si="63"/>
        <v>-6.5180718041734616E-3</v>
      </c>
      <c r="BL249">
        <v>245</v>
      </c>
      <c r="BM249" s="3">
        <v>1.9732928373089122E-2</v>
      </c>
    </row>
    <row r="250" spans="1:65" x14ac:dyDescent="0.3">
      <c r="A250" s="2">
        <v>45723</v>
      </c>
      <c r="B250">
        <v>2204.5500000000002</v>
      </c>
      <c r="C250">
        <v>3079.35</v>
      </c>
      <c r="D250">
        <v>1214.55</v>
      </c>
      <c r="E250">
        <v>3611.2</v>
      </c>
      <c r="F250">
        <v>2727.85</v>
      </c>
      <c r="H250" s="2">
        <v>45723</v>
      </c>
      <c r="I250" s="3">
        <f t="shared" si="64"/>
        <v>-1.9219219219219097E-2</v>
      </c>
      <c r="J250" s="3">
        <f t="shared" si="65"/>
        <v>1.73615699748908E-2</v>
      </c>
      <c r="K250" s="3">
        <f t="shared" si="66"/>
        <v>-2.4694406716874173E-4</v>
      </c>
      <c r="L250" s="3">
        <f t="shared" si="67"/>
        <v>6.0033708021671739E-3</v>
      </c>
      <c r="M250" s="3">
        <f t="shared" si="68"/>
        <v>9.3428550284910816E-3</v>
      </c>
      <c r="O250">
        <v>246</v>
      </c>
      <c r="P250" s="8">
        <v>2.1022375084116263</v>
      </c>
      <c r="Q250" s="8">
        <v>-0.35993559096269856</v>
      </c>
      <c r="R250" s="8">
        <v>-3.4395854544534865E-2</v>
      </c>
      <c r="S250" s="8">
        <v>0.87808622500296107</v>
      </c>
      <c r="T250" s="8">
        <v>0.39700232881062492</v>
      </c>
      <c r="V250">
        <v>246</v>
      </c>
      <c r="W250">
        <v>2.1022375084116263</v>
      </c>
      <c r="X250">
        <v>-0.14469744417187391</v>
      </c>
      <c r="Y250">
        <v>-5.489503522603096E-2</v>
      </c>
      <c r="Z250">
        <v>0.86351991531763961</v>
      </c>
      <c r="AA250">
        <v>3.880794959281364E-2</v>
      </c>
      <c r="AQ250">
        <v>246</v>
      </c>
      <c r="AR250" s="21">
        <f t="shared" si="54"/>
        <v>2426.4551640276118</v>
      </c>
      <c r="AS250" s="21">
        <f t="shared" si="55"/>
        <v>2363.609906555364</v>
      </c>
      <c r="AT250" s="21">
        <f t="shared" si="56"/>
        <v>2366.0862313719908</v>
      </c>
      <c r="AU250" s="21">
        <f t="shared" si="57"/>
        <v>2391.4571381179585</v>
      </c>
      <c r="AV250" s="21">
        <f t="shared" si="58"/>
        <v>2368.6579592780622</v>
      </c>
      <c r="BE250">
        <v>246</v>
      </c>
      <c r="BF250" s="3">
        <f t="shared" si="59"/>
        <v>6.1345111008801877E-2</v>
      </c>
      <c r="BG250" s="3">
        <f t="shared" si="60"/>
        <v>-4.6077320031872454E-3</v>
      </c>
      <c r="BH250" s="3">
        <f t="shared" si="61"/>
        <v>4.443902443640217E-3</v>
      </c>
      <c r="BI250" s="3">
        <f t="shared" si="62"/>
        <v>2.0066334439521147E-2</v>
      </c>
      <c r="BJ250" s="3">
        <f t="shared" si="63"/>
        <v>3.9924243874925004E-3</v>
      </c>
      <c r="BL250">
        <v>246</v>
      </c>
      <c r="BM250" s="3">
        <v>2.0245134974914598E-2</v>
      </c>
    </row>
    <row r="251" spans="1:65" x14ac:dyDescent="0.3">
      <c r="A251" s="2">
        <v>45722</v>
      </c>
      <c r="B251">
        <v>2218.9499999999998</v>
      </c>
      <c r="C251">
        <v>3121.1</v>
      </c>
      <c r="D251">
        <v>1218.05</v>
      </c>
      <c r="E251">
        <v>3601.6</v>
      </c>
      <c r="F251">
        <v>2742.4</v>
      </c>
      <c r="H251" s="2">
        <v>45722</v>
      </c>
      <c r="I251" s="3">
        <f t="shared" si="64"/>
        <v>6.5319452949579304E-3</v>
      </c>
      <c r="J251" s="3">
        <f t="shared" si="65"/>
        <v>1.3558056083264436E-2</v>
      </c>
      <c r="K251" s="3">
        <f t="shared" si="66"/>
        <v>2.881725742044372E-3</v>
      </c>
      <c r="L251" s="3">
        <f t="shared" si="67"/>
        <v>-2.6583961010190338E-3</v>
      </c>
      <c r="M251" s="3">
        <f t="shared" si="68"/>
        <v>5.3338709973056453E-3</v>
      </c>
      <c r="O251">
        <v>247</v>
      </c>
      <c r="P251" s="8">
        <v>-0.75756032482478652</v>
      </c>
      <c r="Q251" s="8">
        <v>0.11571144346326288</v>
      </c>
      <c r="R251" s="8">
        <v>-0.75379467497023278</v>
      </c>
      <c r="S251" s="8">
        <v>-0.27114988955378855</v>
      </c>
      <c r="T251" s="8">
        <v>0.8789970325201667</v>
      </c>
      <c r="V251">
        <v>247</v>
      </c>
      <c r="W251">
        <v>-0.75756032482478652</v>
      </c>
      <c r="X251">
        <v>4.9321033959218039E-2</v>
      </c>
      <c r="Y251">
        <v>-0.73170032177646416</v>
      </c>
      <c r="Z251">
        <v>-0.29139532016401049</v>
      </c>
      <c r="AA251">
        <v>1.0341444047066941</v>
      </c>
      <c r="AQ251">
        <v>247</v>
      </c>
      <c r="AR251" s="21">
        <f t="shared" si="54"/>
        <v>2347.1919257656627</v>
      </c>
      <c r="AS251" s="21">
        <f t="shared" si="55"/>
        <v>2368.9542411784992</v>
      </c>
      <c r="AT251" s="21">
        <f t="shared" si="56"/>
        <v>2347.5609974627969</v>
      </c>
      <c r="AU251" s="21">
        <f t="shared" si="57"/>
        <v>2359.5991366269241</v>
      </c>
      <c r="AV251" s="21">
        <f t="shared" si="58"/>
        <v>2396.2015838083171</v>
      </c>
      <c r="BE251">
        <v>247</v>
      </c>
      <c r="BF251" s="3">
        <f t="shared" si="59"/>
        <v>-3.3211723603495072E-2</v>
      </c>
      <c r="BG251" s="3">
        <f t="shared" si="60"/>
        <v>2.2585375403639941E-3</v>
      </c>
      <c r="BH251" s="3">
        <f t="shared" si="61"/>
        <v>-7.860295177117161E-3</v>
      </c>
      <c r="BI251" s="3">
        <f t="shared" si="62"/>
        <v>-1.3411114135583655E-2</v>
      </c>
      <c r="BJ251" s="3">
        <f t="shared" si="63"/>
        <v>1.1561277337881081E-2</v>
      </c>
    </row>
  </sheetData>
  <sortState xmlns:xlrd2="http://schemas.microsoft.com/office/spreadsheetml/2017/richdata2" ref="BM5:BM250">
    <sortCondition ref="BM5:BM250"/>
  </sortState>
  <mergeCells count="1">
    <mergeCell ref="BP6:B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2026-03-06T05:11:45Z</dcterms:created>
  <dcterms:modified xsi:type="dcterms:W3CDTF">2026-03-07T06:11:09Z</dcterms:modified>
</cp:coreProperties>
</file>