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2AFC2A56-EF9D-49E4-AF18-F3FA1F44EDE9}" xr6:coauthVersionLast="47" xr6:coauthVersionMax="47" xr10:uidLastSave="{00000000-0000-0000-0000-000000000000}"/>
  <bookViews>
    <workbookView xWindow="-108" yWindow="-108" windowWidth="23256" windowHeight="13176" xr2:uid="{3C87373B-6DD1-4312-9A65-1BABF6DD5DF4}"/>
  </bookViews>
  <sheets>
    <sheet name="VaR using historical method" sheetId="1" r:id="rId1"/>
  </sheets>
  <definedNames>
    <definedName name="_xlchart.v1.0" hidden="1">'VaR using historical method'!$Q$10:$Q$255</definedName>
    <definedName name="_xlchart.v1.1" hidden="1">'VaR using historical method'!$Q$10:$Q$255</definedName>
    <definedName name="_xlchart.v1.2" hidden="1">'VaR using historical method'!$Q$10:$Q$255</definedName>
    <definedName name="_xlchart.v1.3" hidden="1">'VaR using historical method'!$Q$10:$Q$255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" i="1" l="1"/>
  <c r="AB12" i="1"/>
  <c r="Z12" i="1"/>
  <c r="AA11" i="1"/>
  <c r="AB11" i="1"/>
  <c r="Z11" i="1"/>
  <c r="AB10" i="1"/>
  <c r="AA10" i="1"/>
  <c r="AA9" i="1"/>
  <c r="Z10" i="1"/>
  <c r="AB9" i="1"/>
  <c r="Z9" i="1"/>
  <c r="AA8" i="1"/>
  <c r="AB8" i="1"/>
  <c r="Z8" i="1"/>
  <c r="AA7" i="1"/>
  <c r="AB7" i="1"/>
  <c r="Z7" i="1"/>
  <c r="AA5" i="1"/>
  <c r="AB5" i="1"/>
  <c r="Z5" i="1"/>
  <c r="O114" i="1"/>
  <c r="O126" i="1"/>
  <c r="O138" i="1"/>
  <c r="O150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O10" i="1" s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O18" i="1" s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O22" i="1" s="1"/>
  <c r="J22" i="1"/>
  <c r="K22" i="1"/>
  <c r="L22" i="1"/>
  <c r="M22" i="1"/>
  <c r="I23" i="1"/>
  <c r="J23" i="1"/>
  <c r="K23" i="1"/>
  <c r="L23" i="1"/>
  <c r="M23" i="1"/>
  <c r="I24" i="1"/>
  <c r="J24" i="1"/>
  <c r="K24" i="1"/>
  <c r="O24" i="1" s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O30" i="1" s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O34" i="1" s="1"/>
  <c r="J34" i="1"/>
  <c r="K34" i="1"/>
  <c r="L34" i="1"/>
  <c r="M34" i="1"/>
  <c r="I35" i="1"/>
  <c r="J35" i="1"/>
  <c r="K35" i="1"/>
  <c r="L35" i="1"/>
  <c r="M35" i="1"/>
  <c r="I36" i="1"/>
  <c r="J36" i="1"/>
  <c r="K36" i="1"/>
  <c r="O36" i="1" s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O42" i="1" s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O46" i="1" s="1"/>
  <c r="J46" i="1"/>
  <c r="K46" i="1"/>
  <c r="L46" i="1"/>
  <c r="M46" i="1"/>
  <c r="I47" i="1"/>
  <c r="J47" i="1"/>
  <c r="K47" i="1"/>
  <c r="L47" i="1"/>
  <c r="M47" i="1"/>
  <c r="I48" i="1"/>
  <c r="J48" i="1"/>
  <c r="K48" i="1"/>
  <c r="O48" i="1" s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O54" i="1" s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O58" i="1" s="1"/>
  <c r="J58" i="1"/>
  <c r="K58" i="1"/>
  <c r="L58" i="1"/>
  <c r="M58" i="1"/>
  <c r="I59" i="1"/>
  <c r="J59" i="1"/>
  <c r="K59" i="1"/>
  <c r="L59" i="1"/>
  <c r="M59" i="1"/>
  <c r="I60" i="1"/>
  <c r="J60" i="1"/>
  <c r="K60" i="1"/>
  <c r="O60" i="1" s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O66" i="1" s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O70" i="1" s="1"/>
  <c r="J70" i="1"/>
  <c r="K70" i="1"/>
  <c r="L70" i="1"/>
  <c r="M70" i="1"/>
  <c r="I71" i="1"/>
  <c r="J71" i="1"/>
  <c r="K71" i="1"/>
  <c r="L71" i="1"/>
  <c r="M71" i="1"/>
  <c r="I72" i="1"/>
  <c r="J72" i="1"/>
  <c r="K72" i="1"/>
  <c r="O72" i="1" s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O78" i="1" s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O82" i="1" s="1"/>
  <c r="J82" i="1"/>
  <c r="K82" i="1"/>
  <c r="L82" i="1"/>
  <c r="M82" i="1"/>
  <c r="I83" i="1"/>
  <c r="J83" i="1"/>
  <c r="K83" i="1"/>
  <c r="L83" i="1"/>
  <c r="M83" i="1"/>
  <c r="I84" i="1"/>
  <c r="J84" i="1"/>
  <c r="K84" i="1"/>
  <c r="O84" i="1" s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O90" i="1" s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O94" i="1" s="1"/>
  <c r="J94" i="1"/>
  <c r="K94" i="1"/>
  <c r="L94" i="1"/>
  <c r="M94" i="1"/>
  <c r="I95" i="1"/>
  <c r="J95" i="1"/>
  <c r="K95" i="1"/>
  <c r="L95" i="1"/>
  <c r="M95" i="1"/>
  <c r="I96" i="1"/>
  <c r="J96" i="1"/>
  <c r="K96" i="1"/>
  <c r="O96" i="1" s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O102" i="1" s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O106" i="1" s="1"/>
  <c r="J106" i="1"/>
  <c r="K106" i="1"/>
  <c r="L106" i="1"/>
  <c r="M106" i="1"/>
  <c r="I107" i="1"/>
  <c r="J107" i="1"/>
  <c r="K107" i="1"/>
  <c r="L107" i="1"/>
  <c r="M107" i="1"/>
  <c r="I108" i="1"/>
  <c r="J108" i="1"/>
  <c r="K108" i="1"/>
  <c r="O108" i="1" s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I118" i="1"/>
  <c r="O118" i="1" s="1"/>
  <c r="J118" i="1"/>
  <c r="K118" i="1"/>
  <c r="L118" i="1"/>
  <c r="M118" i="1"/>
  <c r="I119" i="1"/>
  <c r="J119" i="1"/>
  <c r="K119" i="1"/>
  <c r="L119" i="1"/>
  <c r="M119" i="1"/>
  <c r="I120" i="1"/>
  <c r="J120" i="1"/>
  <c r="K120" i="1"/>
  <c r="O120" i="1" s="1"/>
  <c r="L120" i="1"/>
  <c r="M120" i="1"/>
  <c r="I121" i="1"/>
  <c r="J121" i="1"/>
  <c r="K121" i="1"/>
  <c r="L121" i="1"/>
  <c r="M121" i="1"/>
  <c r="I122" i="1"/>
  <c r="J122" i="1"/>
  <c r="K122" i="1"/>
  <c r="L122" i="1"/>
  <c r="M122" i="1"/>
  <c r="I123" i="1"/>
  <c r="J123" i="1"/>
  <c r="K123" i="1"/>
  <c r="L123" i="1"/>
  <c r="M123" i="1"/>
  <c r="I124" i="1"/>
  <c r="J124" i="1"/>
  <c r="K124" i="1"/>
  <c r="L124" i="1"/>
  <c r="M124" i="1"/>
  <c r="I125" i="1"/>
  <c r="J125" i="1"/>
  <c r="K125" i="1"/>
  <c r="L125" i="1"/>
  <c r="M125" i="1"/>
  <c r="I126" i="1"/>
  <c r="J126" i="1"/>
  <c r="K126" i="1"/>
  <c r="L126" i="1"/>
  <c r="M126" i="1"/>
  <c r="I127" i="1"/>
  <c r="J127" i="1"/>
  <c r="K127" i="1"/>
  <c r="L127" i="1"/>
  <c r="M127" i="1"/>
  <c r="I128" i="1"/>
  <c r="J128" i="1"/>
  <c r="K128" i="1"/>
  <c r="L128" i="1"/>
  <c r="M128" i="1"/>
  <c r="I129" i="1"/>
  <c r="J129" i="1"/>
  <c r="K129" i="1"/>
  <c r="L129" i="1"/>
  <c r="M129" i="1"/>
  <c r="I130" i="1"/>
  <c r="O130" i="1" s="1"/>
  <c r="J130" i="1"/>
  <c r="K130" i="1"/>
  <c r="L130" i="1"/>
  <c r="M130" i="1"/>
  <c r="I131" i="1"/>
  <c r="J131" i="1"/>
  <c r="K131" i="1"/>
  <c r="L131" i="1"/>
  <c r="M131" i="1"/>
  <c r="I132" i="1"/>
  <c r="J132" i="1"/>
  <c r="K132" i="1"/>
  <c r="O132" i="1" s="1"/>
  <c r="L132" i="1"/>
  <c r="M132" i="1"/>
  <c r="I133" i="1"/>
  <c r="J133" i="1"/>
  <c r="K133" i="1"/>
  <c r="L133" i="1"/>
  <c r="M133" i="1"/>
  <c r="I134" i="1"/>
  <c r="J134" i="1"/>
  <c r="K134" i="1"/>
  <c r="L134" i="1"/>
  <c r="M134" i="1"/>
  <c r="I135" i="1"/>
  <c r="J135" i="1"/>
  <c r="K135" i="1"/>
  <c r="L135" i="1"/>
  <c r="M135" i="1"/>
  <c r="I136" i="1"/>
  <c r="J136" i="1"/>
  <c r="K136" i="1"/>
  <c r="L136" i="1"/>
  <c r="M136" i="1"/>
  <c r="I137" i="1"/>
  <c r="J137" i="1"/>
  <c r="K137" i="1"/>
  <c r="L137" i="1"/>
  <c r="M137" i="1"/>
  <c r="I138" i="1"/>
  <c r="J138" i="1"/>
  <c r="K138" i="1"/>
  <c r="L138" i="1"/>
  <c r="M138" i="1"/>
  <c r="I139" i="1"/>
  <c r="J139" i="1"/>
  <c r="K139" i="1"/>
  <c r="L139" i="1"/>
  <c r="M139" i="1"/>
  <c r="I140" i="1"/>
  <c r="J140" i="1"/>
  <c r="K140" i="1"/>
  <c r="L140" i="1"/>
  <c r="M140" i="1"/>
  <c r="I141" i="1"/>
  <c r="J141" i="1"/>
  <c r="K141" i="1"/>
  <c r="L141" i="1"/>
  <c r="M141" i="1"/>
  <c r="I142" i="1"/>
  <c r="O142" i="1" s="1"/>
  <c r="J142" i="1"/>
  <c r="K142" i="1"/>
  <c r="L142" i="1"/>
  <c r="M142" i="1"/>
  <c r="I143" i="1"/>
  <c r="J143" i="1"/>
  <c r="K143" i="1"/>
  <c r="L143" i="1"/>
  <c r="M143" i="1"/>
  <c r="I144" i="1"/>
  <c r="J144" i="1"/>
  <c r="K144" i="1"/>
  <c r="O144" i="1" s="1"/>
  <c r="L144" i="1"/>
  <c r="M144" i="1"/>
  <c r="I145" i="1"/>
  <c r="J145" i="1"/>
  <c r="K145" i="1"/>
  <c r="L145" i="1"/>
  <c r="M145" i="1"/>
  <c r="I146" i="1"/>
  <c r="J146" i="1"/>
  <c r="K146" i="1"/>
  <c r="L146" i="1"/>
  <c r="M146" i="1"/>
  <c r="I147" i="1"/>
  <c r="J147" i="1"/>
  <c r="K147" i="1"/>
  <c r="L147" i="1"/>
  <c r="M147" i="1"/>
  <c r="I148" i="1"/>
  <c r="J148" i="1"/>
  <c r="K148" i="1"/>
  <c r="L148" i="1"/>
  <c r="M148" i="1"/>
  <c r="I149" i="1"/>
  <c r="J149" i="1"/>
  <c r="K149" i="1"/>
  <c r="L149" i="1"/>
  <c r="M149" i="1"/>
  <c r="I150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I153" i="1"/>
  <c r="J153" i="1"/>
  <c r="K153" i="1"/>
  <c r="L153" i="1"/>
  <c r="M153" i="1"/>
  <c r="I154" i="1"/>
  <c r="O154" i="1" s="1"/>
  <c r="J154" i="1"/>
  <c r="K154" i="1"/>
  <c r="L154" i="1"/>
  <c r="M154" i="1"/>
  <c r="I155" i="1"/>
  <c r="J155" i="1"/>
  <c r="K155" i="1"/>
  <c r="L155" i="1"/>
  <c r="M155" i="1"/>
  <c r="I156" i="1"/>
  <c r="J156" i="1"/>
  <c r="K156" i="1"/>
  <c r="O156" i="1" s="1"/>
  <c r="L156" i="1"/>
  <c r="M156" i="1"/>
  <c r="I157" i="1"/>
  <c r="J157" i="1"/>
  <c r="K157" i="1"/>
  <c r="L157" i="1"/>
  <c r="M157" i="1"/>
  <c r="I158" i="1"/>
  <c r="J158" i="1"/>
  <c r="K158" i="1"/>
  <c r="L158" i="1"/>
  <c r="M158" i="1"/>
  <c r="I159" i="1"/>
  <c r="J159" i="1"/>
  <c r="K159" i="1"/>
  <c r="L159" i="1"/>
  <c r="M159" i="1"/>
  <c r="I160" i="1"/>
  <c r="J160" i="1"/>
  <c r="K160" i="1"/>
  <c r="L160" i="1"/>
  <c r="M160" i="1"/>
  <c r="I161" i="1"/>
  <c r="J161" i="1"/>
  <c r="K161" i="1"/>
  <c r="L161" i="1"/>
  <c r="M161" i="1"/>
  <c r="I162" i="1"/>
  <c r="O162" i="1" s="1"/>
  <c r="J162" i="1"/>
  <c r="K162" i="1"/>
  <c r="L162" i="1"/>
  <c r="M162" i="1"/>
  <c r="I163" i="1"/>
  <c r="J163" i="1"/>
  <c r="K163" i="1"/>
  <c r="L163" i="1"/>
  <c r="M163" i="1"/>
  <c r="I164" i="1"/>
  <c r="J164" i="1"/>
  <c r="K164" i="1"/>
  <c r="L164" i="1"/>
  <c r="M164" i="1"/>
  <c r="I165" i="1"/>
  <c r="J165" i="1"/>
  <c r="K165" i="1"/>
  <c r="L165" i="1"/>
  <c r="M165" i="1"/>
  <c r="I166" i="1"/>
  <c r="O166" i="1" s="1"/>
  <c r="J166" i="1"/>
  <c r="K166" i="1"/>
  <c r="L166" i="1"/>
  <c r="M166" i="1"/>
  <c r="I167" i="1"/>
  <c r="J167" i="1"/>
  <c r="K167" i="1"/>
  <c r="L167" i="1"/>
  <c r="M167" i="1"/>
  <c r="I168" i="1"/>
  <c r="J168" i="1"/>
  <c r="K168" i="1"/>
  <c r="O168" i="1" s="1"/>
  <c r="L168" i="1"/>
  <c r="M168" i="1"/>
  <c r="I169" i="1"/>
  <c r="J169" i="1"/>
  <c r="K169" i="1"/>
  <c r="L169" i="1"/>
  <c r="M169" i="1"/>
  <c r="I170" i="1"/>
  <c r="J170" i="1"/>
  <c r="K170" i="1"/>
  <c r="L170" i="1"/>
  <c r="M170" i="1"/>
  <c r="I171" i="1"/>
  <c r="J171" i="1"/>
  <c r="K171" i="1"/>
  <c r="L171" i="1"/>
  <c r="M171" i="1"/>
  <c r="I172" i="1"/>
  <c r="J172" i="1"/>
  <c r="K172" i="1"/>
  <c r="L172" i="1"/>
  <c r="M172" i="1"/>
  <c r="I173" i="1"/>
  <c r="J173" i="1"/>
  <c r="K173" i="1"/>
  <c r="L173" i="1"/>
  <c r="M173" i="1"/>
  <c r="I174" i="1"/>
  <c r="O174" i="1" s="1"/>
  <c r="J174" i="1"/>
  <c r="K174" i="1"/>
  <c r="L174" i="1"/>
  <c r="M174" i="1"/>
  <c r="I175" i="1"/>
  <c r="J175" i="1"/>
  <c r="K175" i="1"/>
  <c r="L175" i="1"/>
  <c r="M175" i="1"/>
  <c r="I176" i="1"/>
  <c r="J176" i="1"/>
  <c r="K176" i="1"/>
  <c r="L176" i="1"/>
  <c r="M176" i="1"/>
  <c r="I177" i="1"/>
  <c r="J177" i="1"/>
  <c r="K177" i="1"/>
  <c r="L177" i="1"/>
  <c r="M177" i="1"/>
  <c r="I178" i="1"/>
  <c r="O178" i="1" s="1"/>
  <c r="J178" i="1"/>
  <c r="K178" i="1"/>
  <c r="L178" i="1"/>
  <c r="M178" i="1"/>
  <c r="I179" i="1"/>
  <c r="J179" i="1"/>
  <c r="K179" i="1"/>
  <c r="L179" i="1"/>
  <c r="M179" i="1"/>
  <c r="I180" i="1"/>
  <c r="J180" i="1"/>
  <c r="K180" i="1"/>
  <c r="O180" i="1" s="1"/>
  <c r="L180" i="1"/>
  <c r="M180" i="1"/>
  <c r="I181" i="1"/>
  <c r="J181" i="1"/>
  <c r="K181" i="1"/>
  <c r="L181" i="1"/>
  <c r="M181" i="1"/>
  <c r="I182" i="1"/>
  <c r="J182" i="1"/>
  <c r="K182" i="1"/>
  <c r="L182" i="1"/>
  <c r="M182" i="1"/>
  <c r="I183" i="1"/>
  <c r="J183" i="1"/>
  <c r="K183" i="1"/>
  <c r="L183" i="1"/>
  <c r="M183" i="1"/>
  <c r="I184" i="1"/>
  <c r="J184" i="1"/>
  <c r="K184" i="1"/>
  <c r="L184" i="1"/>
  <c r="M184" i="1"/>
  <c r="I185" i="1"/>
  <c r="J185" i="1"/>
  <c r="K185" i="1"/>
  <c r="L185" i="1"/>
  <c r="M185" i="1"/>
  <c r="I186" i="1"/>
  <c r="O186" i="1" s="1"/>
  <c r="J186" i="1"/>
  <c r="K186" i="1"/>
  <c r="L186" i="1"/>
  <c r="M186" i="1"/>
  <c r="I187" i="1"/>
  <c r="J187" i="1"/>
  <c r="K187" i="1"/>
  <c r="L187" i="1"/>
  <c r="M187" i="1"/>
  <c r="I188" i="1"/>
  <c r="J188" i="1"/>
  <c r="K188" i="1"/>
  <c r="L188" i="1"/>
  <c r="M188" i="1"/>
  <c r="I189" i="1"/>
  <c r="J189" i="1"/>
  <c r="K189" i="1"/>
  <c r="L189" i="1"/>
  <c r="M189" i="1"/>
  <c r="I190" i="1"/>
  <c r="O190" i="1" s="1"/>
  <c r="J190" i="1"/>
  <c r="K190" i="1"/>
  <c r="L190" i="1"/>
  <c r="M190" i="1"/>
  <c r="I191" i="1"/>
  <c r="J191" i="1"/>
  <c r="K191" i="1"/>
  <c r="L191" i="1"/>
  <c r="M191" i="1"/>
  <c r="I192" i="1"/>
  <c r="J192" i="1"/>
  <c r="K192" i="1"/>
  <c r="O192" i="1" s="1"/>
  <c r="L192" i="1"/>
  <c r="M192" i="1"/>
  <c r="I193" i="1"/>
  <c r="J193" i="1"/>
  <c r="K193" i="1"/>
  <c r="L193" i="1"/>
  <c r="M193" i="1"/>
  <c r="I194" i="1"/>
  <c r="J194" i="1"/>
  <c r="K194" i="1"/>
  <c r="L194" i="1"/>
  <c r="M194" i="1"/>
  <c r="I195" i="1"/>
  <c r="J195" i="1"/>
  <c r="K195" i="1"/>
  <c r="L195" i="1"/>
  <c r="M195" i="1"/>
  <c r="I196" i="1"/>
  <c r="J196" i="1"/>
  <c r="K196" i="1"/>
  <c r="L196" i="1"/>
  <c r="M196" i="1"/>
  <c r="I197" i="1"/>
  <c r="J197" i="1"/>
  <c r="K197" i="1"/>
  <c r="L197" i="1"/>
  <c r="M197" i="1"/>
  <c r="I198" i="1"/>
  <c r="O198" i="1" s="1"/>
  <c r="J198" i="1"/>
  <c r="K198" i="1"/>
  <c r="L198" i="1"/>
  <c r="M198" i="1"/>
  <c r="I199" i="1"/>
  <c r="J199" i="1"/>
  <c r="K199" i="1"/>
  <c r="L199" i="1"/>
  <c r="M199" i="1"/>
  <c r="I200" i="1"/>
  <c r="J200" i="1"/>
  <c r="K200" i="1"/>
  <c r="L200" i="1"/>
  <c r="M200" i="1"/>
  <c r="I201" i="1"/>
  <c r="J201" i="1"/>
  <c r="K201" i="1"/>
  <c r="L201" i="1"/>
  <c r="M201" i="1"/>
  <c r="I202" i="1"/>
  <c r="O202" i="1" s="1"/>
  <c r="J202" i="1"/>
  <c r="K202" i="1"/>
  <c r="L202" i="1"/>
  <c r="M202" i="1"/>
  <c r="I203" i="1"/>
  <c r="J203" i="1"/>
  <c r="K203" i="1"/>
  <c r="L203" i="1"/>
  <c r="M203" i="1"/>
  <c r="I204" i="1"/>
  <c r="J204" i="1"/>
  <c r="K204" i="1"/>
  <c r="O204" i="1" s="1"/>
  <c r="L204" i="1"/>
  <c r="M204" i="1"/>
  <c r="I205" i="1"/>
  <c r="J205" i="1"/>
  <c r="K205" i="1"/>
  <c r="L205" i="1"/>
  <c r="M205" i="1"/>
  <c r="I206" i="1"/>
  <c r="J206" i="1"/>
  <c r="K206" i="1"/>
  <c r="L206" i="1"/>
  <c r="M206" i="1"/>
  <c r="I207" i="1"/>
  <c r="J207" i="1"/>
  <c r="K207" i="1"/>
  <c r="L207" i="1"/>
  <c r="M207" i="1"/>
  <c r="I208" i="1"/>
  <c r="J208" i="1"/>
  <c r="K208" i="1"/>
  <c r="L208" i="1"/>
  <c r="M208" i="1"/>
  <c r="I209" i="1"/>
  <c r="J209" i="1"/>
  <c r="K209" i="1"/>
  <c r="L209" i="1"/>
  <c r="M209" i="1"/>
  <c r="I210" i="1"/>
  <c r="J210" i="1"/>
  <c r="O210" i="1" s="1"/>
  <c r="K210" i="1"/>
  <c r="L210" i="1"/>
  <c r="M210" i="1"/>
  <c r="I211" i="1"/>
  <c r="J211" i="1"/>
  <c r="K211" i="1"/>
  <c r="L211" i="1"/>
  <c r="M211" i="1"/>
  <c r="I212" i="1"/>
  <c r="J212" i="1"/>
  <c r="K212" i="1"/>
  <c r="L212" i="1"/>
  <c r="M212" i="1"/>
  <c r="I213" i="1"/>
  <c r="J213" i="1"/>
  <c r="K213" i="1"/>
  <c r="L213" i="1"/>
  <c r="M213" i="1"/>
  <c r="I214" i="1"/>
  <c r="O214" i="1" s="1"/>
  <c r="J214" i="1"/>
  <c r="K214" i="1"/>
  <c r="L214" i="1"/>
  <c r="M214" i="1"/>
  <c r="I215" i="1"/>
  <c r="J215" i="1"/>
  <c r="K215" i="1"/>
  <c r="L215" i="1"/>
  <c r="M215" i="1"/>
  <c r="I216" i="1"/>
  <c r="J216" i="1"/>
  <c r="K216" i="1"/>
  <c r="O216" i="1" s="1"/>
  <c r="L216" i="1"/>
  <c r="M216" i="1"/>
  <c r="I217" i="1"/>
  <c r="J217" i="1"/>
  <c r="K217" i="1"/>
  <c r="L217" i="1"/>
  <c r="M217" i="1"/>
  <c r="I218" i="1"/>
  <c r="J218" i="1"/>
  <c r="K218" i="1"/>
  <c r="L218" i="1"/>
  <c r="M218" i="1"/>
  <c r="I219" i="1"/>
  <c r="J219" i="1"/>
  <c r="K219" i="1"/>
  <c r="L219" i="1"/>
  <c r="M219" i="1"/>
  <c r="I220" i="1"/>
  <c r="J220" i="1"/>
  <c r="K220" i="1"/>
  <c r="L220" i="1"/>
  <c r="M220" i="1"/>
  <c r="I221" i="1"/>
  <c r="J221" i="1"/>
  <c r="K221" i="1"/>
  <c r="L221" i="1"/>
  <c r="M221" i="1"/>
  <c r="I222" i="1"/>
  <c r="J222" i="1"/>
  <c r="K222" i="1"/>
  <c r="O222" i="1" s="1"/>
  <c r="L222" i="1"/>
  <c r="M222" i="1"/>
  <c r="I223" i="1"/>
  <c r="J223" i="1"/>
  <c r="K223" i="1"/>
  <c r="L223" i="1"/>
  <c r="M223" i="1"/>
  <c r="I224" i="1"/>
  <c r="J224" i="1"/>
  <c r="K224" i="1"/>
  <c r="L224" i="1"/>
  <c r="M224" i="1"/>
  <c r="I225" i="1"/>
  <c r="J225" i="1"/>
  <c r="K225" i="1"/>
  <c r="L225" i="1"/>
  <c r="M225" i="1"/>
  <c r="I226" i="1"/>
  <c r="O226" i="1" s="1"/>
  <c r="J226" i="1"/>
  <c r="K226" i="1"/>
  <c r="L226" i="1"/>
  <c r="M226" i="1"/>
  <c r="I227" i="1"/>
  <c r="J227" i="1"/>
  <c r="K227" i="1"/>
  <c r="L227" i="1"/>
  <c r="M227" i="1"/>
  <c r="I228" i="1"/>
  <c r="J228" i="1"/>
  <c r="K228" i="1"/>
  <c r="O228" i="1" s="1"/>
  <c r="L228" i="1"/>
  <c r="M228" i="1"/>
  <c r="I229" i="1"/>
  <c r="J229" i="1"/>
  <c r="K229" i="1"/>
  <c r="L229" i="1"/>
  <c r="M229" i="1"/>
  <c r="I230" i="1"/>
  <c r="J230" i="1"/>
  <c r="K230" i="1"/>
  <c r="L230" i="1"/>
  <c r="M230" i="1"/>
  <c r="I231" i="1"/>
  <c r="J231" i="1"/>
  <c r="K231" i="1"/>
  <c r="L231" i="1"/>
  <c r="M231" i="1"/>
  <c r="I232" i="1"/>
  <c r="J232" i="1"/>
  <c r="K232" i="1"/>
  <c r="L232" i="1"/>
  <c r="M232" i="1"/>
  <c r="I233" i="1"/>
  <c r="J233" i="1"/>
  <c r="K233" i="1"/>
  <c r="L233" i="1"/>
  <c r="M233" i="1"/>
  <c r="I234" i="1"/>
  <c r="J234" i="1"/>
  <c r="K234" i="1"/>
  <c r="L234" i="1"/>
  <c r="O234" i="1" s="1"/>
  <c r="M234" i="1"/>
  <c r="I235" i="1"/>
  <c r="J235" i="1"/>
  <c r="K235" i="1"/>
  <c r="L235" i="1"/>
  <c r="M235" i="1"/>
  <c r="I236" i="1"/>
  <c r="J236" i="1"/>
  <c r="K236" i="1"/>
  <c r="L236" i="1"/>
  <c r="M236" i="1"/>
  <c r="I237" i="1"/>
  <c r="J237" i="1"/>
  <c r="K237" i="1"/>
  <c r="L237" i="1"/>
  <c r="M237" i="1"/>
  <c r="I238" i="1"/>
  <c r="O238" i="1" s="1"/>
  <c r="J238" i="1"/>
  <c r="K238" i="1"/>
  <c r="L238" i="1"/>
  <c r="M238" i="1"/>
  <c r="I239" i="1"/>
  <c r="J239" i="1"/>
  <c r="K239" i="1"/>
  <c r="L239" i="1"/>
  <c r="M239" i="1"/>
  <c r="I240" i="1"/>
  <c r="J240" i="1"/>
  <c r="K240" i="1"/>
  <c r="O240" i="1" s="1"/>
  <c r="L240" i="1"/>
  <c r="M240" i="1"/>
  <c r="I241" i="1"/>
  <c r="J241" i="1"/>
  <c r="K241" i="1"/>
  <c r="L241" i="1"/>
  <c r="M241" i="1"/>
  <c r="I242" i="1"/>
  <c r="J242" i="1"/>
  <c r="K242" i="1"/>
  <c r="L242" i="1"/>
  <c r="M242" i="1"/>
  <c r="I243" i="1"/>
  <c r="J243" i="1"/>
  <c r="K243" i="1"/>
  <c r="L243" i="1"/>
  <c r="M243" i="1"/>
  <c r="I244" i="1"/>
  <c r="J244" i="1"/>
  <c r="K244" i="1"/>
  <c r="L244" i="1"/>
  <c r="M244" i="1"/>
  <c r="I245" i="1"/>
  <c r="J245" i="1"/>
  <c r="K245" i="1"/>
  <c r="L245" i="1"/>
  <c r="M245" i="1"/>
  <c r="I246" i="1"/>
  <c r="J246" i="1"/>
  <c r="K246" i="1"/>
  <c r="L246" i="1"/>
  <c r="M246" i="1"/>
  <c r="O246" i="1" s="1"/>
  <c r="I247" i="1"/>
  <c r="J247" i="1"/>
  <c r="K247" i="1"/>
  <c r="L247" i="1"/>
  <c r="M247" i="1"/>
  <c r="I248" i="1"/>
  <c r="J248" i="1"/>
  <c r="K248" i="1"/>
  <c r="L248" i="1"/>
  <c r="M248" i="1"/>
  <c r="I249" i="1"/>
  <c r="J249" i="1"/>
  <c r="K249" i="1"/>
  <c r="L249" i="1"/>
  <c r="M249" i="1"/>
  <c r="I250" i="1"/>
  <c r="O250" i="1" s="1"/>
  <c r="J250" i="1"/>
  <c r="K250" i="1"/>
  <c r="L250" i="1"/>
  <c r="M250" i="1"/>
  <c r="I251" i="1"/>
  <c r="J251" i="1"/>
  <c r="K251" i="1"/>
  <c r="L251" i="1"/>
  <c r="M251" i="1"/>
  <c r="J6" i="1"/>
  <c r="K6" i="1"/>
  <c r="L6" i="1"/>
  <c r="M6" i="1"/>
  <c r="I6" i="1"/>
  <c r="AC8" i="1"/>
  <c r="P6" i="1"/>
  <c r="AC9" i="1"/>
  <c r="O247" i="1" l="1"/>
  <c r="O235" i="1"/>
  <c r="O223" i="1"/>
  <c r="O211" i="1"/>
  <c r="O163" i="1"/>
  <c r="O127" i="1"/>
  <c r="O103" i="1"/>
  <c r="O55" i="1"/>
  <c r="O199" i="1"/>
  <c r="O187" i="1"/>
  <c r="O175" i="1"/>
  <c r="O151" i="1"/>
  <c r="O139" i="1"/>
  <c r="O115" i="1"/>
  <c r="O91" i="1"/>
  <c r="O79" i="1"/>
  <c r="O67" i="1"/>
  <c r="O31" i="1"/>
  <c r="O230" i="1"/>
  <c r="O218" i="1"/>
  <c r="O208" i="1"/>
  <c r="O194" i="1"/>
  <c r="O184" i="1"/>
  <c r="O172" i="1"/>
  <c r="O160" i="1"/>
  <c r="O148" i="1"/>
  <c r="O134" i="1"/>
  <c r="O122" i="1"/>
  <c r="O98" i="1"/>
  <c r="O86" i="1"/>
  <c r="O64" i="1"/>
  <c r="O40" i="1"/>
  <c r="O251" i="1"/>
  <c r="O237" i="1"/>
  <c r="O227" i="1"/>
  <c r="O203" i="1"/>
  <c r="O191" i="1"/>
  <c r="O167" i="1"/>
  <c r="O153" i="1"/>
  <c r="O141" i="1"/>
  <c r="O131" i="1"/>
  <c r="O107" i="1"/>
  <c r="O93" i="1"/>
  <c r="O83" i="1"/>
  <c r="O69" i="1"/>
  <c r="O45" i="1"/>
  <c r="O35" i="1"/>
  <c r="O21" i="1"/>
  <c r="O241" i="1"/>
  <c r="O229" i="1"/>
  <c r="O217" i="1"/>
  <c r="O205" i="1"/>
  <c r="O193" i="1"/>
  <c r="O181" i="1"/>
  <c r="O169" i="1"/>
  <c r="O157" i="1"/>
  <c r="O145" i="1"/>
  <c r="O133" i="1"/>
  <c r="O121" i="1"/>
  <c r="O109" i="1"/>
  <c r="O97" i="1"/>
  <c r="O85" i="1"/>
  <c r="O73" i="1"/>
  <c r="O61" i="1"/>
  <c r="O49" i="1"/>
  <c r="O37" i="1"/>
  <c r="O25" i="1"/>
  <c r="O13" i="1"/>
  <c r="O244" i="1"/>
  <c r="O232" i="1"/>
  <c r="O196" i="1"/>
  <c r="O158" i="1"/>
  <c r="O124" i="1"/>
  <c r="O112" i="1"/>
  <c r="O74" i="1"/>
  <c r="O50" i="1"/>
  <c r="O38" i="1"/>
  <c r="O26" i="1"/>
  <c r="O14" i="1"/>
  <c r="O239" i="1"/>
  <c r="O213" i="1"/>
  <c r="O177" i="1"/>
  <c r="O155" i="1"/>
  <c r="O119" i="1"/>
  <c r="O95" i="1"/>
  <c r="O81" i="1"/>
  <c r="O59" i="1"/>
  <c r="O9" i="1"/>
  <c r="O248" i="1"/>
  <c r="O224" i="1"/>
  <c r="O212" i="1"/>
  <c r="O200" i="1"/>
  <c r="O188" i="1"/>
  <c r="O164" i="1"/>
  <c r="O152" i="1"/>
  <c r="O140" i="1"/>
  <c r="O128" i="1"/>
  <c r="O116" i="1"/>
  <c r="O104" i="1"/>
  <c r="O92" i="1"/>
  <c r="O80" i="1"/>
  <c r="O68" i="1"/>
  <c r="O56" i="1"/>
  <c r="O44" i="1"/>
  <c r="O32" i="1"/>
  <c r="O20" i="1"/>
  <c r="O8" i="1"/>
  <c r="O43" i="1"/>
  <c r="O19" i="1"/>
  <c r="O7" i="1"/>
  <c r="O242" i="1"/>
  <c r="O220" i="1"/>
  <c r="O206" i="1"/>
  <c r="O182" i="1"/>
  <c r="O170" i="1"/>
  <c r="O146" i="1"/>
  <c r="O136" i="1"/>
  <c r="O110" i="1"/>
  <c r="O100" i="1"/>
  <c r="O88" i="1"/>
  <c r="O76" i="1"/>
  <c r="O62" i="1"/>
  <c r="O52" i="1"/>
  <c r="O28" i="1"/>
  <c r="O16" i="1"/>
  <c r="O249" i="1"/>
  <c r="O225" i="1"/>
  <c r="O215" i="1"/>
  <c r="O201" i="1"/>
  <c r="O189" i="1"/>
  <c r="O179" i="1"/>
  <c r="O165" i="1"/>
  <c r="O143" i="1"/>
  <c r="O129" i="1"/>
  <c r="O117" i="1"/>
  <c r="O105" i="1"/>
  <c r="O71" i="1"/>
  <c r="O57" i="1"/>
  <c r="O47" i="1"/>
  <c r="O33" i="1"/>
  <c r="O23" i="1"/>
  <c r="O11" i="1"/>
  <c r="O6" i="1"/>
  <c r="O236" i="1"/>
  <c r="O176" i="1"/>
  <c r="O245" i="1"/>
  <c r="O243" i="1"/>
  <c r="O233" i="1"/>
  <c r="O231" i="1"/>
  <c r="O221" i="1"/>
  <c r="O219" i="1"/>
  <c r="O209" i="1"/>
  <c r="O207" i="1"/>
  <c r="O197" i="1"/>
  <c r="O195" i="1"/>
  <c r="O185" i="1"/>
  <c r="O183" i="1"/>
  <c r="O173" i="1"/>
  <c r="O171" i="1"/>
  <c r="O161" i="1"/>
  <c r="O159" i="1"/>
  <c r="O149" i="1"/>
  <c r="O147" i="1"/>
  <c r="O137" i="1"/>
  <c r="O135" i="1"/>
  <c r="O125" i="1"/>
  <c r="O123" i="1"/>
  <c r="O113" i="1"/>
  <c r="O111" i="1"/>
  <c r="O101" i="1"/>
  <c r="O99" i="1"/>
  <c r="O89" i="1"/>
  <c r="O87" i="1"/>
  <c r="O77" i="1"/>
  <c r="O75" i="1"/>
  <c r="O65" i="1"/>
  <c r="O63" i="1"/>
  <c r="O53" i="1"/>
  <c r="O51" i="1"/>
  <c r="O41" i="1"/>
  <c r="O39" i="1"/>
  <c r="O29" i="1"/>
  <c r="O27" i="1"/>
  <c r="O17" i="1"/>
  <c r="O15" i="1"/>
  <c r="O12" i="1"/>
</calcChain>
</file>

<file path=xl/sharedStrings.xml><?xml version="1.0" encoding="utf-8"?>
<sst xmlns="http://schemas.openxmlformats.org/spreadsheetml/2006/main" count="36" uniqueCount="25">
  <si>
    <t xml:space="preserve">Date </t>
  </si>
  <si>
    <t>HUL</t>
  </si>
  <si>
    <t>Titan</t>
  </si>
  <si>
    <t>ICICI</t>
  </si>
  <si>
    <t>TCS</t>
  </si>
  <si>
    <t>MAHM</t>
  </si>
  <si>
    <t>1. Historical Stock Data</t>
  </si>
  <si>
    <t>2. Calculate returns</t>
  </si>
  <si>
    <t>(Yt/Yt-1)-1</t>
  </si>
  <si>
    <t>Assumption</t>
  </si>
  <si>
    <t>Weights</t>
  </si>
  <si>
    <t>Returns of Portfolio</t>
  </si>
  <si>
    <t>Returns (Sorted)</t>
  </si>
  <si>
    <t>[Rank]</t>
  </si>
  <si>
    <t>VaR Using Historical Method</t>
  </si>
  <si>
    <t>Total No of Data</t>
  </si>
  <si>
    <t>CI</t>
  </si>
  <si>
    <t xml:space="preserve">Alpha </t>
  </si>
  <si>
    <t>Historic VaR Position</t>
  </si>
  <si>
    <t>Historic VaR Position (Rounded)</t>
  </si>
  <si>
    <t>Returns at specific position</t>
  </si>
  <si>
    <t>Portfolio value</t>
  </si>
  <si>
    <t>1-Day VaR</t>
  </si>
  <si>
    <t>4. Calculate VaR using historical method</t>
  </si>
  <si>
    <t>3. Assume Weights for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</si>
</sst>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_ [$₹-4009]\ * #,##0_ ;_ [$₹-4009]\ * \-#,##0_ ;_ [$₹-4009]\ * &quot;-&quot;??_ ;_ @_ "/>
    <numFmt numFmtId="166" formatCode="_ [$₹-4009]\ * #,##0.00_ ;_ [$₹-4009]\ * \(#,##0.00\)_ ;_ [$₹-4009]\ * &quot;-&quot;??_ ;_ @_ 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0" fontId="3" fillId="2" borderId="1" xfId="0" applyFont="1" applyFill="1" applyBorder="1" applyAlignment="1">
      <alignment horizontal="center"/>
    </xf>
    <xf numFmtId="10" fontId="0" fillId="0" borderId="0" xfId="1" applyNumberFormat="1" applyFont="1"/>
    <xf numFmtId="164" fontId="0" fillId="0" borderId="0" xfId="1" applyNumberFormat="1" applyFont="1"/>
    <xf numFmtId="0" fontId="5" fillId="0" borderId="0" xfId="0" applyFont="1"/>
    <xf numFmtId="0" fontId="0" fillId="2" borderId="0" xfId="0" applyFill="1"/>
    <xf numFmtId="9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10" fontId="0" fillId="3" borderId="0" xfId="1" applyNumberFormat="1" applyFont="1" applyFill="1"/>
    <xf numFmtId="0" fontId="0" fillId="3" borderId="0" xfId="0" applyFill="1"/>
    <xf numFmtId="0" fontId="3" fillId="2" borderId="0" xfId="0" applyFont="1" applyFill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4" borderId="0" xfId="0" applyFont="1" applyFill="1"/>
    <xf numFmtId="166" fontId="3" fillId="0" borderId="2" xfId="0" applyNumberFormat="1" applyFont="1" applyBorder="1"/>
    <xf numFmtId="9" fontId="3" fillId="0" borderId="0" xfId="0" applyNumberFormat="1" applyFont="1"/>
    <xf numFmtId="0" fontId="0" fillId="2" borderId="3" xfId="0" applyFill="1" applyBorder="1"/>
    <xf numFmtId="9" fontId="0" fillId="0" borderId="2" xfId="0" applyNumberFormat="1" applyBorder="1"/>
    <xf numFmtId="9" fontId="0" fillId="0" borderId="4" xfId="0" applyNumberFormat="1" applyBorder="1"/>
    <xf numFmtId="9" fontId="0" fillId="0" borderId="1" xfId="0" applyNumberFormat="1" applyBorder="1"/>
    <xf numFmtId="0" fontId="4" fillId="4" borderId="0" xfId="0" applyFont="1" applyFill="1"/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VaR using Historical Method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u="sng"/>
          </a:pPr>
          <a:r>
            <a:rPr lang="en-US" sz="1400" b="1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VaR using Historical Method</a:t>
          </a:r>
        </a:p>
      </cx:txPr>
    </cx:title>
    <cx:plotArea>
      <cx:plotAreaRegion>
        <cx:series layoutId="clusteredColumn" uniqueId="{DE40766E-69F8-4625-A8A7-5BB33A9ED87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114300</xdr:rowOff>
    </xdr:from>
    <xdr:to>
      <xdr:col>6</xdr:col>
      <xdr:colOff>548640</xdr:colOff>
      <xdr:row>1</xdr:row>
      <xdr:rowOff>144780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BDEE96A-7597-D8D6-4A08-078DDF816D4A}"/>
            </a:ext>
          </a:extLst>
        </xdr:cNvPr>
        <xdr:cNvCxnSpPr/>
      </xdr:nvCxnSpPr>
      <xdr:spPr>
        <a:xfrm>
          <a:off x="1402080" y="297180"/>
          <a:ext cx="2971800" cy="304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</xdr:colOff>
      <xdr:row>1</xdr:row>
      <xdr:rowOff>91440</xdr:rowOff>
    </xdr:from>
    <xdr:to>
      <xdr:col>15</xdr:col>
      <xdr:colOff>624840</xdr:colOff>
      <xdr:row>1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AF0A515-9D44-470D-A839-BAABCED5A1E4}"/>
            </a:ext>
          </a:extLst>
        </xdr:cNvPr>
        <xdr:cNvCxnSpPr/>
      </xdr:nvCxnSpPr>
      <xdr:spPr>
        <a:xfrm>
          <a:off x="6385560" y="274320"/>
          <a:ext cx="4213860" cy="22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</xdr:row>
      <xdr:rowOff>99060</xdr:rowOff>
    </xdr:from>
    <xdr:to>
      <xdr:col>23</xdr:col>
      <xdr:colOff>548640</xdr:colOff>
      <xdr:row>1</xdr:row>
      <xdr:rowOff>106680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0A51704-5227-4016-B79B-01DB87A7C307}"/>
            </a:ext>
          </a:extLst>
        </xdr:cNvPr>
        <xdr:cNvCxnSpPr/>
      </xdr:nvCxnSpPr>
      <xdr:spPr>
        <a:xfrm>
          <a:off x="12893040" y="281940"/>
          <a:ext cx="2971800" cy="7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601980</xdr:colOff>
      <xdr:row>1</xdr:row>
      <xdr:rowOff>121920</xdr:rowOff>
    </xdr:from>
    <xdr:to>
      <xdr:col>15</xdr:col>
      <xdr:colOff>601980</xdr:colOff>
      <xdr:row>7</xdr:row>
      <xdr:rowOff>121920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89E5FC-D9B0-4822-8A4C-F638AAC51273}"/>
            </a:ext>
          </a:extLst>
        </xdr:cNvPr>
        <xdr:cNvCxnSpPr/>
      </xdr:nvCxnSpPr>
      <xdr:spPr>
        <a:xfrm>
          <a:off x="10576560" y="304800"/>
          <a:ext cx="0" cy="10972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441960</xdr:colOff>
      <xdr:row>13</xdr:row>
      <xdr:rowOff>144780</xdr:rowOff>
    </xdr:from>
    <xdr:to>
      <xdr:col>30</xdr:col>
      <xdr:colOff>129540</xdr:colOff>
      <xdr:row>36</xdr:row>
      <xdr:rowOff>54429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E7C6B6-1945-44C3-A86E-CBB64C318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90074" y="2550523"/>
              <a:ext cx="6610895" cy="4165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69A9-7480-4156-A899-1CA067B3EF94}">
  <dimension ref="A2:AC255"/>
  <sheetViews>
    <sheetView showGridLines="0" tabSelected="1" topLeftCell="C1" zoomScale="70" zoomScaleNormal="70" workbookViewId="0">
      <selection activeCell="U14" sqref="U14"/>
    </sheetView>
  </sheetViews>
  <sheetFormatPr defaultRowHeight="14.4" x14ac:dyDescent="0.3"/>
  <cols>
    <col min="1" max="1" width="11.109375" customWidth="1"/>
    <col min="2" max="2" width="10.33203125" customWidth="1"/>
    <col min="8" max="8" width="10.77734375" customWidth="1"/>
    <col min="14" max="14" width="8.77734375" customWidth="1"/>
    <col min="15" max="15" width="17.6640625" bestFit="1" customWidth="1"/>
    <col min="16" max="16" width="9.6640625" customWidth="1"/>
    <col min="17" max="17" width="14.88671875" customWidth="1"/>
    <col min="25" max="25" width="27.77734375" customWidth="1"/>
    <col min="26" max="28" width="12.5546875" customWidth="1"/>
  </cols>
  <sheetData>
    <row r="2" spans="1:29" x14ac:dyDescent="0.3">
      <c r="A2" s="16" t="s">
        <v>6</v>
      </c>
      <c r="B2" s="23"/>
      <c r="H2" s="16" t="s">
        <v>7</v>
      </c>
      <c r="I2" s="23"/>
      <c r="J2" s="5" t="s">
        <v>8</v>
      </c>
      <c r="Q2" s="16" t="s">
        <v>24</v>
      </c>
      <c r="R2" s="23"/>
      <c r="S2" s="23"/>
      <c r="Y2" s="16" t="s">
        <v>23</v>
      </c>
      <c r="Z2" s="23"/>
    </row>
    <row r="4" spans="1:29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H4" s="2" t="s">
        <v>0</v>
      </c>
      <c r="I4" s="2" t="s">
        <v>1</v>
      </c>
      <c r="J4" s="2" t="s">
        <v>2</v>
      </c>
      <c r="K4" s="2" t="s">
        <v>3</v>
      </c>
      <c r="L4" s="2" t="s">
        <v>4</v>
      </c>
      <c r="M4" s="2" t="s">
        <v>5</v>
      </c>
      <c r="N4" s="8"/>
      <c r="O4" s="9" t="s">
        <v>11</v>
      </c>
      <c r="Q4" s="2" t="s">
        <v>9</v>
      </c>
      <c r="R4" s="2" t="s">
        <v>1</v>
      </c>
      <c r="S4" s="2" t="s">
        <v>2</v>
      </c>
      <c r="T4" s="2" t="s">
        <v>3</v>
      </c>
      <c r="U4" s="2" t="s">
        <v>4</v>
      </c>
      <c r="V4" s="2" t="s">
        <v>5</v>
      </c>
      <c r="Y4" s="24" t="s">
        <v>14</v>
      </c>
      <c r="Z4" s="24"/>
      <c r="AA4" s="24"/>
      <c r="AB4" s="24"/>
    </row>
    <row r="5" spans="1:29" x14ac:dyDescent="0.3">
      <c r="A5" s="1">
        <v>46086</v>
      </c>
      <c r="B5">
        <v>2255</v>
      </c>
      <c r="C5">
        <v>4275.2</v>
      </c>
      <c r="D5">
        <v>1357.6</v>
      </c>
      <c r="E5">
        <v>2578.8000000000002</v>
      </c>
      <c r="F5">
        <v>3348</v>
      </c>
      <c r="H5" s="1">
        <v>46086</v>
      </c>
      <c r="Q5" s="19" t="s">
        <v>10</v>
      </c>
      <c r="R5" s="22">
        <v>0.15</v>
      </c>
      <c r="S5" s="20">
        <v>0.25</v>
      </c>
      <c r="T5" s="20">
        <v>0.3</v>
      </c>
      <c r="U5" s="20">
        <v>0.2</v>
      </c>
      <c r="V5" s="21">
        <v>0.1</v>
      </c>
      <c r="W5" s="7"/>
      <c r="Y5" s="6" t="s">
        <v>15</v>
      </c>
      <c r="Z5">
        <f>COUNT($R$10:$R$255)</f>
        <v>246</v>
      </c>
      <c r="AA5">
        <f t="shared" ref="AA5:AB5" si="0">COUNT($R$10:$R$255)</f>
        <v>246</v>
      </c>
      <c r="AB5">
        <f t="shared" si="0"/>
        <v>246</v>
      </c>
    </row>
    <row r="6" spans="1:29" x14ac:dyDescent="0.3">
      <c r="A6" s="1">
        <v>46085</v>
      </c>
      <c r="B6">
        <v>2261.3000000000002</v>
      </c>
      <c r="C6">
        <v>4204.3999999999996</v>
      </c>
      <c r="D6">
        <v>1365.4</v>
      </c>
      <c r="E6">
        <v>2587.8000000000002</v>
      </c>
      <c r="F6">
        <v>3264.3</v>
      </c>
      <c r="H6" s="1">
        <v>46085</v>
      </c>
      <c r="I6" s="3">
        <f>B6/B5-1</f>
        <v>2.7937915742795028E-3</v>
      </c>
      <c r="J6" s="3">
        <f t="shared" ref="J6:M6" si="1">C6/C5-1</f>
        <v>-1.656062874251496E-2</v>
      </c>
      <c r="K6" s="3">
        <f t="shared" si="1"/>
        <v>5.7454331172659412E-3</v>
      </c>
      <c r="L6" s="3">
        <f t="shared" si="1"/>
        <v>3.4899953466729361E-3</v>
      </c>
      <c r="M6" s="3">
        <f t="shared" si="1"/>
        <v>-2.4999999999999911E-2</v>
      </c>
      <c r="N6" s="3"/>
      <c r="O6" s="3">
        <f>I6*$R$5+J6*$S$5+K6*$T$5+L6*$U$5+M6*$V$5</f>
        <v>-3.7994594449724363E-3</v>
      </c>
      <c r="P6" t="str">
        <f ca="1">_xlfn.FORMULATEXT(O6)</f>
        <v>=I6*$R$5+J6*$S$5+K6*$T$5+L6*$U$5+M6*$V$5</v>
      </c>
      <c r="Y6" s="12" t="s">
        <v>16</v>
      </c>
      <c r="Z6" s="18">
        <v>0.99</v>
      </c>
      <c r="AA6" s="18">
        <v>0.95</v>
      </c>
      <c r="AB6" s="18">
        <v>0.9</v>
      </c>
    </row>
    <row r="7" spans="1:29" x14ac:dyDescent="0.3">
      <c r="A7" s="1">
        <v>46083</v>
      </c>
      <c r="B7">
        <v>2320.6</v>
      </c>
      <c r="C7">
        <v>4270.3</v>
      </c>
      <c r="D7">
        <v>1374</v>
      </c>
      <c r="E7">
        <v>2613.5</v>
      </c>
      <c r="F7">
        <v>3334.3</v>
      </c>
      <c r="H7" s="1">
        <v>46083</v>
      </c>
      <c r="I7" s="3">
        <f t="shared" ref="I7:I70" si="2">B7/B6-1</f>
        <v>2.6223853535576769E-2</v>
      </c>
      <c r="J7" s="3">
        <f t="shared" ref="J7:J70" si="3">C7/C6-1</f>
        <v>1.567405575111791E-2</v>
      </c>
      <c r="K7" s="3">
        <f t="shared" ref="K7:K70" si="4">D7/D6-1</f>
        <v>6.2985205800496491E-3</v>
      </c>
      <c r="L7" s="3">
        <f t="shared" ref="L7:L70" si="5">E7/E6-1</f>
        <v>9.9312157044593175E-3</v>
      </c>
      <c r="M7" s="3">
        <f t="shared" ref="M7:M70" si="6">F7/F6-1</f>
        <v>2.1444107465612872E-2</v>
      </c>
      <c r="N7" s="3"/>
      <c r="O7" s="3">
        <f t="shared" ref="O7:O70" si="7">I7*$R$5+J7*$S$5+K7*$T$5+L7*$U$5+M7*$V$5</f>
        <v>1.387230202958404E-2</v>
      </c>
      <c r="Y7" s="6" t="s">
        <v>17</v>
      </c>
      <c r="Z7" s="7">
        <f>1-Z6</f>
        <v>1.0000000000000009E-2</v>
      </c>
      <c r="AA7" s="7">
        <f t="shared" ref="AA7:AB7" si="8">1-AA6</f>
        <v>5.0000000000000044E-2</v>
      </c>
      <c r="AB7" s="7">
        <f t="shared" si="8"/>
        <v>9.9999999999999978E-2</v>
      </c>
    </row>
    <row r="8" spans="1:29" x14ac:dyDescent="0.3">
      <c r="A8" s="1">
        <v>46080</v>
      </c>
      <c r="B8">
        <v>2338.1</v>
      </c>
      <c r="C8">
        <v>4327.5</v>
      </c>
      <c r="D8">
        <v>1378.9</v>
      </c>
      <c r="E8">
        <v>2637.4</v>
      </c>
      <c r="F8">
        <v>3397.4</v>
      </c>
      <c r="H8" s="1">
        <v>46080</v>
      </c>
      <c r="I8" s="3">
        <f t="shared" si="2"/>
        <v>7.5411531500473306E-3</v>
      </c>
      <c r="J8" s="3">
        <f t="shared" si="3"/>
        <v>1.3394843453621519E-2</v>
      </c>
      <c r="K8" s="3">
        <f t="shared" si="4"/>
        <v>3.5662299854439805E-3</v>
      </c>
      <c r="L8" s="3">
        <f t="shared" si="5"/>
        <v>9.1448249473886634E-3</v>
      </c>
      <c r="M8" s="3">
        <f t="shared" si="6"/>
        <v>1.8924511891551532E-2</v>
      </c>
      <c r="N8" s="3"/>
      <c r="O8" s="3">
        <f t="shared" si="7"/>
        <v>9.2711690101785586E-3</v>
      </c>
      <c r="Q8" s="9" t="s">
        <v>12</v>
      </c>
      <c r="R8" s="13" t="s">
        <v>13</v>
      </c>
      <c r="Y8" s="6" t="s">
        <v>18</v>
      </c>
      <c r="Z8">
        <f>Z5*Z7</f>
        <v>2.4600000000000022</v>
      </c>
      <c r="AA8">
        <f t="shared" ref="AA8:AB8" si="9">AA5*AA7</f>
        <v>12.300000000000011</v>
      </c>
      <c r="AB8">
        <f t="shared" si="9"/>
        <v>24.599999999999994</v>
      </c>
      <c r="AC8" t="str">
        <f ca="1">_xlfn.FORMULATEXT(AB8)</f>
        <v>=AB5*AB7</v>
      </c>
    </row>
    <row r="9" spans="1:29" x14ac:dyDescent="0.3">
      <c r="A9" s="1">
        <v>46079</v>
      </c>
      <c r="B9">
        <v>2383.3000000000002</v>
      </c>
      <c r="C9">
        <v>4342.6000000000004</v>
      </c>
      <c r="D9">
        <v>1404.9</v>
      </c>
      <c r="E9">
        <v>2647.7</v>
      </c>
      <c r="F9">
        <v>3484.6</v>
      </c>
      <c r="H9" s="1">
        <v>46079</v>
      </c>
      <c r="I9" s="3">
        <f t="shared" si="2"/>
        <v>1.9331936187502841E-2</v>
      </c>
      <c r="J9" s="3">
        <f t="shared" si="3"/>
        <v>3.4893125361064037E-3</v>
      </c>
      <c r="K9" s="3">
        <f t="shared" si="4"/>
        <v>1.8855609543839247E-2</v>
      </c>
      <c r="L9" s="3">
        <f t="shared" si="5"/>
        <v>3.9053613407142862E-3</v>
      </c>
      <c r="M9" s="3">
        <f t="shared" si="6"/>
        <v>2.5666686289515406E-2</v>
      </c>
      <c r="N9" s="3"/>
      <c r="O9" s="3">
        <f t="shared" si="7"/>
        <v>1.2776542322398199E-2</v>
      </c>
      <c r="Y9" s="6" t="s">
        <v>19</v>
      </c>
      <c r="Z9">
        <f>ROUNDUP(Z8,0)</f>
        <v>3</v>
      </c>
      <c r="AA9">
        <f t="shared" ref="AA9:AB9" si="10">ROUNDUP(AA8,0)</f>
        <v>13</v>
      </c>
      <c r="AB9">
        <f t="shared" si="10"/>
        <v>25</v>
      </c>
      <c r="AC9" t="str">
        <f ca="1">_xlfn.FORMULATEXT(AB9)</f>
        <v>=ROUNDUP(AB8,0)</v>
      </c>
    </row>
    <row r="10" spans="1:29" x14ac:dyDescent="0.3">
      <c r="A10" s="1">
        <v>46078</v>
      </c>
      <c r="B10">
        <v>2374.9</v>
      </c>
      <c r="C10">
        <v>4325</v>
      </c>
      <c r="D10">
        <v>1400.5</v>
      </c>
      <c r="E10">
        <v>2629.3</v>
      </c>
      <c r="F10">
        <v>3491.3</v>
      </c>
      <c r="H10" s="1">
        <v>46078</v>
      </c>
      <c r="I10" s="3">
        <f t="shared" si="2"/>
        <v>-3.5245248185289402E-3</v>
      </c>
      <c r="J10" s="3">
        <f t="shared" si="3"/>
        <v>-4.0528715516051639E-3</v>
      </c>
      <c r="K10" s="3">
        <f t="shared" si="4"/>
        <v>-3.131895508577176E-3</v>
      </c>
      <c r="L10" s="3">
        <f t="shared" si="5"/>
        <v>-6.9494278052648628E-3</v>
      </c>
      <c r="M10" s="3">
        <f t="shared" si="6"/>
        <v>1.9227457957873284E-3</v>
      </c>
      <c r="N10" s="3"/>
      <c r="O10" s="3">
        <f t="shared" si="7"/>
        <v>-3.6790762447280246E-3</v>
      </c>
      <c r="Q10" s="3">
        <v>-3.3055416424943779E-2</v>
      </c>
      <c r="R10">
        <v>1</v>
      </c>
      <c r="Y10" s="6" t="s">
        <v>20</v>
      </c>
      <c r="Z10" s="4">
        <f>Q12</f>
        <v>-2.1060146295442971E-2</v>
      </c>
      <c r="AA10" s="14">
        <f>Q22</f>
        <v>-1.2761736047066562E-2</v>
      </c>
      <c r="AB10" s="14">
        <f>Q34</f>
        <v>-8.6371566774141317E-3</v>
      </c>
    </row>
    <row r="11" spans="1:29" x14ac:dyDescent="0.3">
      <c r="A11" s="1">
        <v>46077</v>
      </c>
      <c r="B11">
        <v>2358.6</v>
      </c>
      <c r="C11">
        <v>4294.5</v>
      </c>
      <c r="D11">
        <v>1384.8</v>
      </c>
      <c r="E11">
        <v>2573.6999999999998</v>
      </c>
      <c r="F11">
        <v>3433.2</v>
      </c>
      <c r="H11" s="1">
        <v>46077</v>
      </c>
      <c r="I11" s="3">
        <f t="shared" si="2"/>
        <v>-6.8634468819740446E-3</v>
      </c>
      <c r="J11" s="3">
        <f t="shared" si="3"/>
        <v>-7.0520231213873075E-3</v>
      </c>
      <c r="K11" s="3">
        <f t="shared" si="4"/>
        <v>-1.1210282042127817E-2</v>
      </c>
      <c r="L11" s="3">
        <f t="shared" si="5"/>
        <v>-2.1146312706804227E-2</v>
      </c>
      <c r="M11" s="3">
        <f t="shared" si="6"/>
        <v>-1.664136568040564E-2</v>
      </c>
      <c r="N11" s="3"/>
      <c r="O11" s="3">
        <f t="shared" si="7"/>
        <v>-1.2049006534682688E-2</v>
      </c>
      <c r="Q11" s="3">
        <v>-2.2802967710131974E-2</v>
      </c>
      <c r="R11">
        <v>2</v>
      </c>
      <c r="Y11" s="6" t="s">
        <v>21</v>
      </c>
      <c r="Z11" s="15">
        <f>1*10^5</f>
        <v>100000</v>
      </c>
      <c r="AA11" s="15">
        <f t="shared" ref="AA11:AB11" si="11">1*10^5</f>
        <v>100000</v>
      </c>
      <c r="AB11" s="15">
        <f t="shared" si="11"/>
        <v>100000</v>
      </c>
    </row>
    <row r="12" spans="1:29" x14ac:dyDescent="0.3">
      <c r="A12" s="1">
        <v>46076</v>
      </c>
      <c r="B12">
        <v>2345.4</v>
      </c>
      <c r="C12">
        <v>4272.7</v>
      </c>
      <c r="D12">
        <v>1399.4</v>
      </c>
      <c r="E12">
        <v>2676.3</v>
      </c>
      <c r="F12">
        <v>3447.1</v>
      </c>
      <c r="H12" s="1">
        <v>46076</v>
      </c>
      <c r="I12" s="3">
        <f t="shared" si="2"/>
        <v>-5.5965403205290309E-3</v>
      </c>
      <c r="J12" s="3">
        <f t="shared" si="3"/>
        <v>-5.0762603329841394E-3</v>
      </c>
      <c r="K12" s="3">
        <f t="shared" si="4"/>
        <v>1.0543038705950414E-2</v>
      </c>
      <c r="L12" s="3">
        <f t="shared" si="5"/>
        <v>3.9864786105606953E-2</v>
      </c>
      <c r="M12" s="3">
        <f t="shared" si="6"/>
        <v>4.0487009204241975E-3</v>
      </c>
      <c r="N12" s="3"/>
      <c r="O12" s="3">
        <f t="shared" si="7"/>
        <v>9.4321927936235461E-3</v>
      </c>
      <c r="Q12" s="10">
        <v>-2.1060146295442971E-2</v>
      </c>
      <c r="R12" s="11">
        <v>3</v>
      </c>
      <c r="Y12" s="12" t="s">
        <v>22</v>
      </c>
      <c r="Z12" s="17">
        <f>Z11*Z10</f>
        <v>-2106.0146295442969</v>
      </c>
      <c r="AA12" s="17">
        <f t="shared" ref="AA12:AB12" si="12">AA11*AA10</f>
        <v>-1276.1736047066561</v>
      </c>
      <c r="AB12" s="17">
        <f t="shared" si="12"/>
        <v>-863.7156677414132</v>
      </c>
    </row>
    <row r="13" spans="1:29" x14ac:dyDescent="0.3">
      <c r="A13" s="1">
        <v>46073</v>
      </c>
      <c r="B13">
        <v>2314.5</v>
      </c>
      <c r="C13">
        <v>4236.3999999999996</v>
      </c>
      <c r="D13">
        <v>1394.5</v>
      </c>
      <c r="E13">
        <v>2686.2</v>
      </c>
      <c r="F13">
        <v>3412.8</v>
      </c>
      <c r="H13" s="1">
        <v>46073</v>
      </c>
      <c r="I13" s="3">
        <f t="shared" si="2"/>
        <v>-1.3174724993604503E-2</v>
      </c>
      <c r="J13" s="3">
        <f t="shared" si="3"/>
        <v>-8.4957989093548125E-3</v>
      </c>
      <c r="K13" s="3">
        <f t="shared" si="4"/>
        <v>-3.5015006431328155E-3</v>
      </c>
      <c r="L13" s="3">
        <f t="shared" si="5"/>
        <v>3.6991368680638903E-3</v>
      </c>
      <c r="M13" s="3">
        <f t="shared" si="6"/>
        <v>-9.9503930840415533E-3</v>
      </c>
      <c r="N13" s="3"/>
      <c r="O13" s="3">
        <f t="shared" si="7"/>
        <v>-5.4058206041105996E-3</v>
      </c>
      <c r="Q13" s="3">
        <v>-1.9016063474799765E-2</v>
      </c>
      <c r="R13">
        <v>4</v>
      </c>
    </row>
    <row r="14" spans="1:29" x14ac:dyDescent="0.3">
      <c r="A14" s="1">
        <v>46072</v>
      </c>
      <c r="B14">
        <v>2279.3000000000002</v>
      </c>
      <c r="C14">
        <v>4198.2</v>
      </c>
      <c r="D14">
        <v>1388.8</v>
      </c>
      <c r="E14">
        <v>2677.9</v>
      </c>
      <c r="F14">
        <v>3431.8</v>
      </c>
      <c r="H14" s="1">
        <v>46072</v>
      </c>
      <c r="I14" s="3">
        <f t="shared" si="2"/>
        <v>-1.5208468351695759E-2</v>
      </c>
      <c r="J14" s="3">
        <f t="shared" si="3"/>
        <v>-9.0170899820601891E-3</v>
      </c>
      <c r="K14" s="3">
        <f t="shared" si="4"/>
        <v>-4.087486554320563E-3</v>
      </c>
      <c r="L14" s="3">
        <f t="shared" si="5"/>
        <v>-3.0898667262302393E-3</v>
      </c>
      <c r="M14" s="3">
        <f t="shared" si="6"/>
        <v>5.5672761368963375E-3</v>
      </c>
      <c r="N14" s="3"/>
      <c r="O14" s="3">
        <f t="shared" si="7"/>
        <v>-5.8230344461219939E-3</v>
      </c>
      <c r="Q14" s="3">
        <v>-1.8613779748598062E-2</v>
      </c>
      <c r="R14">
        <v>5</v>
      </c>
    </row>
    <row r="15" spans="1:29" x14ac:dyDescent="0.3">
      <c r="A15" s="1">
        <v>46071</v>
      </c>
      <c r="B15">
        <v>2323.5</v>
      </c>
      <c r="C15">
        <v>4248.6000000000004</v>
      </c>
      <c r="D15">
        <v>1408.2</v>
      </c>
      <c r="E15">
        <v>2694.9</v>
      </c>
      <c r="F15">
        <v>3530.5</v>
      </c>
      <c r="H15" s="1">
        <v>46071</v>
      </c>
      <c r="I15" s="3">
        <f t="shared" si="2"/>
        <v>1.9391918571491251E-2</v>
      </c>
      <c r="J15" s="3">
        <f t="shared" si="3"/>
        <v>1.2005145062169653E-2</v>
      </c>
      <c r="K15" s="3">
        <f t="shared" si="4"/>
        <v>1.3968894009216637E-2</v>
      </c>
      <c r="L15" s="3">
        <f t="shared" si="5"/>
        <v>6.3482579633293845E-3</v>
      </c>
      <c r="M15" s="3">
        <f t="shared" si="6"/>
        <v>2.8760417273733907E-2</v>
      </c>
      <c r="N15" s="3"/>
      <c r="O15" s="3">
        <f t="shared" si="7"/>
        <v>1.4246435574070359E-2</v>
      </c>
      <c r="Q15" s="3">
        <v>-1.5908022947069823E-2</v>
      </c>
      <c r="R15">
        <v>6</v>
      </c>
    </row>
    <row r="16" spans="1:29" x14ac:dyDescent="0.3">
      <c r="A16" s="1">
        <v>46070</v>
      </c>
      <c r="B16">
        <v>2312.3000000000002</v>
      </c>
      <c r="C16">
        <v>4236.3999999999996</v>
      </c>
      <c r="D16">
        <v>1407.5</v>
      </c>
      <c r="E16">
        <v>2717.4</v>
      </c>
      <c r="F16">
        <v>3489.2</v>
      </c>
      <c r="H16" s="1">
        <v>46070</v>
      </c>
      <c r="I16" s="3">
        <f t="shared" si="2"/>
        <v>-4.8203141811921091E-3</v>
      </c>
      <c r="J16" s="3">
        <f t="shared" si="3"/>
        <v>-2.8715341524268023E-3</v>
      </c>
      <c r="K16" s="3">
        <f t="shared" si="4"/>
        <v>-4.9708848174978559E-4</v>
      </c>
      <c r="L16" s="3">
        <f t="shared" si="5"/>
        <v>8.3491038628520364E-3</v>
      </c>
      <c r="M16" s="3">
        <f t="shared" si="6"/>
        <v>-1.1698059764905899E-2</v>
      </c>
      <c r="N16" s="3"/>
      <c r="O16" s="3">
        <f t="shared" si="7"/>
        <v>-1.0900424137306349E-3</v>
      </c>
      <c r="Q16" s="3">
        <v>-1.5217546807565119E-2</v>
      </c>
      <c r="R16">
        <v>7</v>
      </c>
    </row>
    <row r="17" spans="1:18" x14ac:dyDescent="0.3">
      <c r="A17" s="1">
        <v>46069</v>
      </c>
      <c r="B17">
        <v>2319</v>
      </c>
      <c r="C17">
        <v>4181.1000000000004</v>
      </c>
      <c r="D17">
        <v>1411.6</v>
      </c>
      <c r="E17">
        <v>2706.6</v>
      </c>
      <c r="F17">
        <v>3509.7</v>
      </c>
      <c r="H17" s="1">
        <v>46069</v>
      </c>
      <c r="I17" s="3">
        <f t="shared" si="2"/>
        <v>2.8975478960342471E-3</v>
      </c>
      <c r="J17" s="3">
        <f t="shared" si="3"/>
        <v>-1.3053536021149892E-2</v>
      </c>
      <c r="K17" s="3">
        <f t="shared" si="4"/>
        <v>2.9129662522202615E-3</v>
      </c>
      <c r="L17" s="3">
        <f t="shared" si="5"/>
        <v>-3.9743872819607562E-3</v>
      </c>
      <c r="M17" s="3">
        <f t="shared" si="6"/>
        <v>5.8752722687149816E-3</v>
      </c>
      <c r="N17" s="3"/>
      <c r="O17" s="3">
        <f t="shared" si="7"/>
        <v>-2.1622121747369109E-3</v>
      </c>
      <c r="Q17" s="3">
        <v>-1.5215505957095499E-2</v>
      </c>
      <c r="R17">
        <v>8</v>
      </c>
    </row>
    <row r="18" spans="1:18" x14ac:dyDescent="0.3">
      <c r="A18" s="1">
        <v>46066</v>
      </c>
      <c r="B18">
        <v>2305.1999999999998</v>
      </c>
      <c r="C18">
        <v>4179.2</v>
      </c>
      <c r="D18">
        <v>1414.6</v>
      </c>
      <c r="E18">
        <v>2692.2</v>
      </c>
      <c r="F18">
        <v>3533.4</v>
      </c>
      <c r="H18" s="1">
        <v>46066</v>
      </c>
      <c r="I18" s="3">
        <f t="shared" si="2"/>
        <v>-5.9508408796895562E-3</v>
      </c>
      <c r="J18" s="3">
        <f t="shared" si="3"/>
        <v>-4.5442586879063107E-4</v>
      </c>
      <c r="K18" s="3">
        <f t="shared" si="4"/>
        <v>2.1252479455935447E-3</v>
      </c>
      <c r="L18" s="3">
        <f t="shared" si="5"/>
        <v>-5.3203280868987513E-3</v>
      </c>
      <c r="M18" s="3">
        <f t="shared" si="6"/>
        <v>6.7527139071716924E-3</v>
      </c>
      <c r="N18" s="3"/>
      <c r="O18" s="3">
        <f t="shared" si="7"/>
        <v>-7.5745244213560887E-4</v>
      </c>
      <c r="Q18" s="3">
        <v>-1.4719767774547275E-2</v>
      </c>
      <c r="R18">
        <v>9</v>
      </c>
    </row>
    <row r="19" spans="1:18" x14ac:dyDescent="0.3">
      <c r="A19" s="1">
        <v>46065</v>
      </c>
      <c r="B19">
        <v>2409.6999999999998</v>
      </c>
      <c r="C19">
        <v>4275.8</v>
      </c>
      <c r="D19">
        <v>1430</v>
      </c>
      <c r="E19">
        <v>2750.1</v>
      </c>
      <c r="F19">
        <v>3593.1</v>
      </c>
      <c r="H19" s="1">
        <v>46065</v>
      </c>
      <c r="I19" s="3">
        <f t="shared" si="2"/>
        <v>4.5332292208918989E-2</v>
      </c>
      <c r="J19" s="3">
        <f t="shared" si="3"/>
        <v>2.3114471669219094E-2</v>
      </c>
      <c r="K19" s="3">
        <f t="shared" si="4"/>
        <v>1.0886469673405896E-2</v>
      </c>
      <c r="L19" s="3">
        <f t="shared" si="5"/>
        <v>2.15065745486962E-2</v>
      </c>
      <c r="M19" s="3">
        <f t="shared" si="6"/>
        <v>1.6895907624384421E-2</v>
      </c>
      <c r="N19" s="3"/>
      <c r="O19" s="3">
        <f t="shared" si="7"/>
        <v>2.1835308322842074E-2</v>
      </c>
      <c r="Q19" s="3">
        <v>-1.4606135450810865E-2</v>
      </c>
      <c r="R19">
        <v>10</v>
      </c>
    </row>
    <row r="20" spans="1:18" x14ac:dyDescent="0.3">
      <c r="A20" s="1">
        <v>46064</v>
      </c>
      <c r="B20">
        <v>2462.9</v>
      </c>
      <c r="C20">
        <v>4249.1000000000004</v>
      </c>
      <c r="D20">
        <v>1406.1</v>
      </c>
      <c r="E20">
        <v>2909.8</v>
      </c>
      <c r="F20">
        <v>3674.9</v>
      </c>
      <c r="H20" s="1">
        <v>46064</v>
      </c>
      <c r="I20" s="3">
        <f t="shared" si="2"/>
        <v>2.2077437025356028E-2</v>
      </c>
      <c r="J20" s="3">
        <f t="shared" si="3"/>
        <v>-6.2444454838860297E-3</v>
      </c>
      <c r="K20" s="3">
        <f t="shared" si="4"/>
        <v>-1.6713286713286757E-2</v>
      </c>
      <c r="L20" s="3">
        <f t="shared" si="5"/>
        <v>5.8070615613977861E-2</v>
      </c>
      <c r="M20" s="3">
        <f t="shared" si="6"/>
        <v>2.2765856781052696E-2</v>
      </c>
      <c r="N20" s="3"/>
      <c r="O20" s="3">
        <f t="shared" si="7"/>
        <v>1.0627226969746712E-2</v>
      </c>
      <c r="Q20" s="3">
        <v>-1.3978565151699623E-2</v>
      </c>
      <c r="R20">
        <v>11</v>
      </c>
    </row>
    <row r="21" spans="1:18" x14ac:dyDescent="0.3">
      <c r="A21" s="1">
        <v>46063</v>
      </c>
      <c r="B21">
        <v>2453.6</v>
      </c>
      <c r="C21">
        <v>4269.1000000000004</v>
      </c>
      <c r="D21">
        <v>1406.5</v>
      </c>
      <c r="E21">
        <v>2984.6</v>
      </c>
      <c r="F21">
        <v>3675.8</v>
      </c>
      <c r="H21" s="1">
        <v>46063</v>
      </c>
      <c r="I21" s="3">
        <f t="shared" si="2"/>
        <v>-3.7760363798774454E-3</v>
      </c>
      <c r="J21" s="3">
        <f t="shared" si="3"/>
        <v>4.7068791038102908E-3</v>
      </c>
      <c r="K21" s="3">
        <f t="shared" si="4"/>
        <v>2.8447478842186236E-4</v>
      </c>
      <c r="L21" s="3">
        <f t="shared" si="5"/>
        <v>2.5706234105436598E-2</v>
      </c>
      <c r="M21" s="3">
        <f t="shared" si="6"/>
        <v>2.4490462325510443E-4</v>
      </c>
      <c r="N21" s="3"/>
      <c r="O21" s="3">
        <f t="shared" si="7"/>
        <v>5.8613940389103452E-3</v>
      </c>
      <c r="Q21" s="3">
        <v>-1.3928188360880705E-2</v>
      </c>
      <c r="R21">
        <v>12</v>
      </c>
    </row>
    <row r="22" spans="1:18" x14ac:dyDescent="0.3">
      <c r="A22" s="1">
        <v>46062</v>
      </c>
      <c r="B22">
        <v>2435</v>
      </c>
      <c r="C22">
        <v>4257.8</v>
      </c>
      <c r="D22">
        <v>1396.3</v>
      </c>
      <c r="E22">
        <v>2948.2</v>
      </c>
      <c r="F22">
        <v>3609.6</v>
      </c>
      <c r="H22" s="1">
        <v>46062</v>
      </c>
      <c r="I22" s="3">
        <f t="shared" si="2"/>
        <v>-7.5806977502445028E-3</v>
      </c>
      <c r="J22" s="3">
        <f t="shared" si="3"/>
        <v>-2.6469279239184074E-3</v>
      </c>
      <c r="K22" s="3">
        <f t="shared" si="4"/>
        <v>-7.252044081052289E-3</v>
      </c>
      <c r="L22" s="3">
        <f t="shared" si="5"/>
        <v>-1.2195939154325597E-2</v>
      </c>
      <c r="M22" s="3">
        <f t="shared" si="6"/>
        <v>-1.8009684966537987E-2</v>
      </c>
      <c r="N22" s="3"/>
      <c r="O22" s="3">
        <f t="shared" si="7"/>
        <v>-8.2146061953508823E-3</v>
      </c>
      <c r="Q22" s="3">
        <v>-1.2761736047066562E-2</v>
      </c>
      <c r="R22">
        <v>13</v>
      </c>
    </row>
    <row r="23" spans="1:18" x14ac:dyDescent="0.3">
      <c r="A23" s="1">
        <v>46059</v>
      </c>
      <c r="B23">
        <v>2424.1999999999998</v>
      </c>
      <c r="C23">
        <v>4141</v>
      </c>
      <c r="D23">
        <v>1406.1</v>
      </c>
      <c r="E23">
        <v>2941.6</v>
      </c>
      <c r="F23">
        <v>3578</v>
      </c>
      <c r="H23" s="1">
        <v>46059</v>
      </c>
      <c r="I23" s="3">
        <f t="shared" si="2"/>
        <v>-4.4353182751540876E-3</v>
      </c>
      <c r="J23" s="3">
        <f t="shared" si="3"/>
        <v>-2.7432007139837511E-2</v>
      </c>
      <c r="K23" s="3">
        <f t="shared" si="4"/>
        <v>7.0185490224163871E-3</v>
      </c>
      <c r="L23" s="3">
        <f t="shared" si="5"/>
        <v>-2.2386540940234623E-3</v>
      </c>
      <c r="M23" s="3">
        <f t="shared" si="6"/>
        <v>-8.7544326241134618E-3</v>
      </c>
      <c r="N23" s="3"/>
      <c r="O23" s="3">
        <f t="shared" si="7"/>
        <v>-6.7409089007236141E-3</v>
      </c>
      <c r="Q23" s="3">
        <v>-1.2434534769581279E-2</v>
      </c>
      <c r="R23">
        <v>14</v>
      </c>
    </row>
    <row r="24" spans="1:18" x14ac:dyDescent="0.3">
      <c r="A24" s="1">
        <v>46058</v>
      </c>
      <c r="B24">
        <v>2354.4</v>
      </c>
      <c r="C24">
        <v>4097.6000000000004</v>
      </c>
      <c r="D24">
        <v>1396.5</v>
      </c>
      <c r="E24">
        <v>2991.5</v>
      </c>
      <c r="F24">
        <v>3572</v>
      </c>
      <c r="H24" s="1">
        <v>46058</v>
      </c>
      <c r="I24" s="3">
        <f t="shared" si="2"/>
        <v>-2.879300387756778E-2</v>
      </c>
      <c r="J24" s="3">
        <f t="shared" si="3"/>
        <v>-1.0480560251146964E-2</v>
      </c>
      <c r="K24" s="3">
        <f t="shared" si="4"/>
        <v>-6.8273949221249186E-3</v>
      </c>
      <c r="L24" s="3">
        <f t="shared" si="5"/>
        <v>1.6963557247756444E-2</v>
      </c>
      <c r="M24" s="3">
        <f t="shared" si="6"/>
        <v>-1.676914477361624E-3</v>
      </c>
      <c r="N24" s="3"/>
      <c r="O24" s="3">
        <f t="shared" si="7"/>
        <v>-5.7622891192442571E-3</v>
      </c>
      <c r="Q24" s="3">
        <v>-1.2388144055152978E-2</v>
      </c>
      <c r="R24">
        <v>15</v>
      </c>
    </row>
    <row r="25" spans="1:18" x14ac:dyDescent="0.3">
      <c r="A25" s="1">
        <v>46057</v>
      </c>
      <c r="B25">
        <v>2371</v>
      </c>
      <c r="C25">
        <v>4144</v>
      </c>
      <c r="D25">
        <v>1408.4</v>
      </c>
      <c r="E25">
        <v>2999.1</v>
      </c>
      <c r="F25">
        <v>3574</v>
      </c>
      <c r="H25" s="1">
        <v>46057</v>
      </c>
      <c r="I25" s="3">
        <f t="shared" si="2"/>
        <v>7.0506286102616222E-3</v>
      </c>
      <c r="J25" s="3">
        <f t="shared" si="3"/>
        <v>1.1323701679031517E-2</v>
      </c>
      <c r="K25" s="3">
        <f t="shared" si="4"/>
        <v>8.5213032581454851E-3</v>
      </c>
      <c r="L25" s="3">
        <f t="shared" si="5"/>
        <v>2.5405315059334743E-3</v>
      </c>
      <c r="M25" s="3">
        <f t="shared" si="6"/>
        <v>5.5991041433367528E-4</v>
      </c>
      <c r="N25" s="3"/>
      <c r="O25" s="3">
        <f t="shared" si="7"/>
        <v>7.0090080313608303E-3</v>
      </c>
      <c r="Q25" s="3">
        <v>-1.2049006534682688E-2</v>
      </c>
      <c r="R25">
        <v>16</v>
      </c>
    </row>
    <row r="26" spans="1:18" x14ac:dyDescent="0.3">
      <c r="A26" s="1">
        <v>46056</v>
      </c>
      <c r="B26">
        <v>2368.6</v>
      </c>
      <c r="C26">
        <v>4068.6</v>
      </c>
      <c r="D26">
        <v>1389.7</v>
      </c>
      <c r="E26">
        <v>3225.3</v>
      </c>
      <c r="F26">
        <v>3527.9</v>
      </c>
      <c r="H26" s="1">
        <v>46056</v>
      </c>
      <c r="I26" s="3">
        <f t="shared" si="2"/>
        <v>-1.0122311261071548E-3</v>
      </c>
      <c r="J26" s="3">
        <f t="shared" si="3"/>
        <v>-1.8194980694980711E-2</v>
      </c>
      <c r="K26" s="3">
        <f t="shared" si="4"/>
        <v>-1.3277477989207642E-2</v>
      </c>
      <c r="L26" s="3">
        <f t="shared" si="5"/>
        <v>7.5422626788036462E-2</v>
      </c>
      <c r="M26" s="3">
        <f t="shared" si="6"/>
        <v>-1.2898712926692757E-2</v>
      </c>
      <c r="N26" s="3"/>
      <c r="O26" s="3">
        <f t="shared" si="7"/>
        <v>5.110830825514473E-3</v>
      </c>
      <c r="Q26" s="3">
        <v>-1.1862998064600271E-2</v>
      </c>
      <c r="R26">
        <v>17</v>
      </c>
    </row>
    <row r="27" spans="1:18" x14ac:dyDescent="0.3">
      <c r="A27" s="1">
        <v>46055</v>
      </c>
      <c r="B27">
        <v>2357.3000000000002</v>
      </c>
      <c r="C27">
        <v>3953.2</v>
      </c>
      <c r="D27">
        <v>1352.8</v>
      </c>
      <c r="E27">
        <v>3169.6</v>
      </c>
      <c r="F27">
        <v>3463.2</v>
      </c>
      <c r="H27" s="1">
        <v>46055</v>
      </c>
      <c r="I27" s="3">
        <f t="shared" si="2"/>
        <v>-4.7707506543949174E-3</v>
      </c>
      <c r="J27" s="3">
        <f t="shared" si="3"/>
        <v>-2.8363564862606272E-2</v>
      </c>
      <c r="K27" s="3">
        <f t="shared" si="4"/>
        <v>-2.6552493343887207E-2</v>
      </c>
      <c r="L27" s="3">
        <f t="shared" si="5"/>
        <v>-1.7269711344681249E-2</v>
      </c>
      <c r="M27" s="3">
        <f t="shared" si="6"/>
        <v>-1.8339522095297545E-2</v>
      </c>
      <c r="N27" s="3"/>
      <c r="O27" s="3">
        <f t="shared" si="7"/>
        <v>-2.1060146295442971E-2</v>
      </c>
      <c r="Q27" s="3">
        <v>-1.1752556400424762E-2</v>
      </c>
      <c r="R27">
        <v>18</v>
      </c>
    </row>
    <row r="28" spans="1:18" x14ac:dyDescent="0.3">
      <c r="A28" s="1">
        <v>46054</v>
      </c>
      <c r="B28">
        <v>2350.6999999999998</v>
      </c>
      <c r="C28">
        <v>3985.3</v>
      </c>
      <c r="D28">
        <v>1334.2</v>
      </c>
      <c r="E28">
        <v>3186.9</v>
      </c>
      <c r="F28">
        <v>3363.8</v>
      </c>
      <c r="H28" s="1">
        <v>46054</v>
      </c>
      <c r="I28" s="3">
        <f t="shared" si="2"/>
        <v>-2.799813345777058E-3</v>
      </c>
      <c r="J28" s="3">
        <f t="shared" si="3"/>
        <v>8.1200040473541346E-3</v>
      </c>
      <c r="K28" s="3">
        <f t="shared" si="4"/>
        <v>-1.374926079243044E-2</v>
      </c>
      <c r="L28" s="3">
        <f t="shared" si="5"/>
        <v>5.4581019687027776E-3</v>
      </c>
      <c r="M28" s="3">
        <f t="shared" si="6"/>
        <v>-2.8701778701778591E-2</v>
      </c>
      <c r="N28" s="3"/>
      <c r="O28" s="3">
        <f t="shared" si="7"/>
        <v>-4.2933067041944599E-3</v>
      </c>
      <c r="Q28" s="3">
        <v>-1.0870955767680685E-2</v>
      </c>
      <c r="R28">
        <v>19</v>
      </c>
    </row>
    <row r="29" spans="1:18" x14ac:dyDescent="0.3">
      <c r="A29" s="1">
        <v>46052</v>
      </c>
      <c r="B29">
        <v>2373</v>
      </c>
      <c r="C29">
        <v>3977.4</v>
      </c>
      <c r="D29">
        <v>1355</v>
      </c>
      <c r="E29">
        <v>3123.9</v>
      </c>
      <c r="F29">
        <v>3431.8</v>
      </c>
      <c r="H29" s="1">
        <v>46052</v>
      </c>
      <c r="I29" s="3">
        <f t="shared" si="2"/>
        <v>9.4865359254689974E-3</v>
      </c>
      <c r="J29" s="3">
        <f t="shared" si="3"/>
        <v>-1.9822848969964779E-3</v>
      </c>
      <c r="K29" s="3">
        <f t="shared" si="4"/>
        <v>1.5589866586718681E-2</v>
      </c>
      <c r="L29" s="3">
        <f t="shared" si="5"/>
        <v>-1.976842699802317E-2</v>
      </c>
      <c r="M29" s="3">
        <f t="shared" si="6"/>
        <v>2.0215232772459624E-2</v>
      </c>
      <c r="N29" s="3"/>
      <c r="O29" s="3">
        <f t="shared" si="7"/>
        <v>3.6722070182281619E-3</v>
      </c>
      <c r="Q29" s="3">
        <v>-1.0603614384746045E-2</v>
      </c>
      <c r="R29">
        <v>20</v>
      </c>
    </row>
    <row r="30" spans="1:18" x14ac:dyDescent="0.3">
      <c r="A30" s="1">
        <v>46051</v>
      </c>
      <c r="B30">
        <v>2352.6</v>
      </c>
      <c r="C30">
        <v>3939.7</v>
      </c>
      <c r="D30">
        <v>1383.6</v>
      </c>
      <c r="E30">
        <v>3144.4</v>
      </c>
      <c r="F30">
        <v>3384.4</v>
      </c>
      <c r="H30" s="1">
        <v>46051</v>
      </c>
      <c r="I30" s="3">
        <f t="shared" si="2"/>
        <v>-8.5967130214917864E-3</v>
      </c>
      <c r="J30" s="3">
        <f t="shared" si="3"/>
        <v>-9.4785538291346505E-3</v>
      </c>
      <c r="K30" s="3">
        <f t="shared" si="4"/>
        <v>2.1107011070110593E-2</v>
      </c>
      <c r="L30" s="3">
        <f t="shared" si="5"/>
        <v>6.5623099330964774E-3</v>
      </c>
      <c r="M30" s="3">
        <f t="shared" si="6"/>
        <v>-1.3811993705926895E-2</v>
      </c>
      <c r="N30" s="3"/>
      <c r="O30" s="3">
        <f t="shared" si="7"/>
        <v>2.6042205265523529E-3</v>
      </c>
      <c r="Q30" s="3">
        <v>-1.0398803268139021E-2</v>
      </c>
      <c r="R30">
        <v>21</v>
      </c>
    </row>
    <row r="31" spans="1:18" x14ac:dyDescent="0.3">
      <c r="A31" s="1">
        <v>46050</v>
      </c>
      <c r="B31">
        <v>2378.4</v>
      </c>
      <c r="C31">
        <v>3975.2</v>
      </c>
      <c r="D31">
        <v>1367.7</v>
      </c>
      <c r="E31">
        <v>3200.1</v>
      </c>
      <c r="F31">
        <v>3449.2</v>
      </c>
      <c r="H31" s="1">
        <v>46050</v>
      </c>
      <c r="I31" s="3">
        <f t="shared" si="2"/>
        <v>1.0966590155572664E-2</v>
      </c>
      <c r="J31" s="3">
        <f t="shared" si="3"/>
        <v>9.0108383887097521E-3</v>
      </c>
      <c r="K31" s="3">
        <f t="shared" si="4"/>
        <v>-1.1491760624457892E-2</v>
      </c>
      <c r="L31" s="3">
        <f t="shared" si="5"/>
        <v>1.7714031293728505E-2</v>
      </c>
      <c r="M31" s="3">
        <f t="shared" si="6"/>
        <v>1.9146672970097978E-2</v>
      </c>
      <c r="N31" s="3"/>
      <c r="O31" s="3">
        <f t="shared" si="7"/>
        <v>5.9076434889314697E-3</v>
      </c>
      <c r="Q31" s="3">
        <v>-9.9987103358349424E-3</v>
      </c>
      <c r="R31">
        <v>22</v>
      </c>
    </row>
    <row r="32" spans="1:18" x14ac:dyDescent="0.3">
      <c r="A32" s="1">
        <v>46049</v>
      </c>
      <c r="B32">
        <v>2400.9</v>
      </c>
      <c r="C32">
        <v>3997</v>
      </c>
      <c r="D32">
        <v>1361.4</v>
      </c>
      <c r="E32">
        <v>3158</v>
      </c>
      <c r="F32">
        <v>3393.5</v>
      </c>
      <c r="H32" s="1">
        <v>46049</v>
      </c>
      <c r="I32" s="3">
        <f t="shared" si="2"/>
        <v>9.4601412714430122E-3</v>
      </c>
      <c r="J32" s="3">
        <f t="shared" si="3"/>
        <v>5.4840008049910072E-3</v>
      </c>
      <c r="K32" s="3">
        <f t="shared" si="4"/>
        <v>-4.6062733055494132E-3</v>
      </c>
      <c r="L32" s="3">
        <f t="shared" si="5"/>
        <v>-1.315583888003502E-2</v>
      </c>
      <c r="M32" s="3">
        <f t="shared" si="6"/>
        <v>-1.6148672155862132E-2</v>
      </c>
      <c r="N32" s="3"/>
      <c r="O32" s="3">
        <f t="shared" si="7"/>
        <v>-2.8378955912938377E-3</v>
      </c>
      <c r="Q32" s="3">
        <v>-9.6825990740764655E-3</v>
      </c>
      <c r="R32">
        <v>23</v>
      </c>
    </row>
    <row r="33" spans="1:18" x14ac:dyDescent="0.3">
      <c r="A33" s="1">
        <v>46045</v>
      </c>
      <c r="B33">
        <v>2409.5</v>
      </c>
      <c r="C33">
        <v>4021.8</v>
      </c>
      <c r="D33">
        <v>1343.4</v>
      </c>
      <c r="E33">
        <v>3162.5</v>
      </c>
      <c r="F33">
        <v>3543.4</v>
      </c>
      <c r="H33" s="1">
        <v>46045</v>
      </c>
      <c r="I33" s="3">
        <f t="shared" si="2"/>
        <v>3.5819900870506238E-3</v>
      </c>
      <c r="J33" s="3">
        <f t="shared" si="3"/>
        <v>6.2046534901176731E-3</v>
      </c>
      <c r="K33" s="3">
        <f t="shared" si="4"/>
        <v>-1.3221683561040143E-2</v>
      </c>
      <c r="L33" s="3">
        <f t="shared" si="5"/>
        <v>1.4249525015832543E-3</v>
      </c>
      <c r="M33" s="3">
        <f t="shared" si="6"/>
        <v>4.4172683070576202E-2</v>
      </c>
      <c r="N33" s="3"/>
      <c r="O33" s="3">
        <f t="shared" si="7"/>
        <v>2.82421562464924E-3</v>
      </c>
      <c r="Q33" s="3">
        <v>-9.4844530435396306E-3</v>
      </c>
      <c r="R33">
        <v>24</v>
      </c>
    </row>
    <row r="34" spans="1:18" x14ac:dyDescent="0.3">
      <c r="A34" s="1">
        <v>46044</v>
      </c>
      <c r="B34">
        <v>2390.6</v>
      </c>
      <c r="C34">
        <v>4018.6</v>
      </c>
      <c r="D34">
        <v>1345.5</v>
      </c>
      <c r="E34">
        <v>3150.4</v>
      </c>
      <c r="F34">
        <v>3573.7</v>
      </c>
      <c r="H34" s="1">
        <v>46044</v>
      </c>
      <c r="I34" s="3">
        <f t="shared" si="2"/>
        <v>-7.8439510271840485E-3</v>
      </c>
      <c r="J34" s="3">
        <f t="shared" si="3"/>
        <v>-7.9566363319916178E-4</v>
      </c>
      <c r="K34" s="3">
        <f t="shared" si="4"/>
        <v>1.5631978561856386E-3</v>
      </c>
      <c r="L34" s="3">
        <f t="shared" si="5"/>
        <v>-3.826086956521757E-3</v>
      </c>
      <c r="M34" s="3">
        <f t="shared" si="6"/>
        <v>8.5511091042500542E-3</v>
      </c>
      <c r="N34" s="3"/>
      <c r="O34" s="3">
        <f t="shared" si="7"/>
        <v>-8.16655686401052E-4</v>
      </c>
      <c r="Q34" s="3">
        <v>-8.6371566774141317E-3</v>
      </c>
      <c r="R34">
        <v>25</v>
      </c>
    </row>
    <row r="35" spans="1:18" x14ac:dyDescent="0.3">
      <c r="A35" s="1">
        <v>46043</v>
      </c>
      <c r="B35">
        <v>2368</v>
      </c>
      <c r="C35">
        <v>4079.2</v>
      </c>
      <c r="D35">
        <v>1349</v>
      </c>
      <c r="E35">
        <v>3122.6</v>
      </c>
      <c r="F35">
        <v>3553.3</v>
      </c>
      <c r="H35" s="1">
        <v>46043</v>
      </c>
      <c r="I35" s="3">
        <f t="shared" si="2"/>
        <v>-9.4536936333974309E-3</v>
      </c>
      <c r="J35" s="3">
        <f t="shared" si="3"/>
        <v>1.5079878564674187E-2</v>
      </c>
      <c r="K35" s="3">
        <f t="shared" si="4"/>
        <v>2.6012634708287852E-3</v>
      </c>
      <c r="L35" s="3">
        <f t="shared" si="5"/>
        <v>-8.8242762823769194E-3</v>
      </c>
      <c r="M35" s="3">
        <f t="shared" si="6"/>
        <v>-5.708369477012476E-3</v>
      </c>
      <c r="N35" s="3"/>
      <c r="O35" s="3">
        <f t="shared" si="7"/>
        <v>7.9660243323093646E-4</v>
      </c>
      <c r="Q35" s="3">
        <v>-8.5629101477353135E-3</v>
      </c>
      <c r="R35">
        <v>26</v>
      </c>
    </row>
    <row r="36" spans="1:18" x14ac:dyDescent="0.3">
      <c r="A36" s="1">
        <v>46042</v>
      </c>
      <c r="B36">
        <v>2379.1</v>
      </c>
      <c r="C36">
        <v>4075.5</v>
      </c>
      <c r="D36">
        <v>1375.8</v>
      </c>
      <c r="E36">
        <v>3102.3</v>
      </c>
      <c r="F36">
        <v>3557.5</v>
      </c>
      <c r="H36" s="1">
        <v>46042</v>
      </c>
      <c r="I36" s="3">
        <f t="shared" si="2"/>
        <v>4.6874999999999556E-3</v>
      </c>
      <c r="J36" s="3">
        <f t="shared" si="3"/>
        <v>-9.0704059619528543E-4</v>
      </c>
      <c r="K36" s="3">
        <f t="shared" si="4"/>
        <v>1.9866567828020765E-2</v>
      </c>
      <c r="L36" s="3">
        <f t="shared" si="5"/>
        <v>-6.5009927624414265E-3</v>
      </c>
      <c r="M36" s="3">
        <f t="shared" si="6"/>
        <v>1.1819998311428659E-3</v>
      </c>
      <c r="N36" s="3"/>
      <c r="O36" s="3">
        <f t="shared" si="7"/>
        <v>5.2543366299834032E-3</v>
      </c>
      <c r="Q36" s="3">
        <v>-8.5405073789323674E-3</v>
      </c>
      <c r="R36">
        <v>27</v>
      </c>
    </row>
    <row r="37" spans="1:18" x14ac:dyDescent="0.3">
      <c r="A37" s="1">
        <v>46041</v>
      </c>
      <c r="B37">
        <v>2413.9</v>
      </c>
      <c r="C37">
        <v>4144.1000000000004</v>
      </c>
      <c r="D37">
        <v>1380.6</v>
      </c>
      <c r="E37">
        <v>3163.6</v>
      </c>
      <c r="F37">
        <v>3657.4</v>
      </c>
      <c r="H37" s="1">
        <v>46041</v>
      </c>
      <c r="I37" s="3">
        <f t="shared" si="2"/>
        <v>1.4627380101719156E-2</v>
      </c>
      <c r="J37" s="3">
        <f t="shared" si="3"/>
        <v>1.6832290516501036E-2</v>
      </c>
      <c r="K37" s="3">
        <f t="shared" si="4"/>
        <v>3.4888791975578037E-3</v>
      </c>
      <c r="L37" s="3">
        <f t="shared" si="5"/>
        <v>1.9759533249524397E-2</v>
      </c>
      <c r="M37" s="3">
        <f t="shared" si="6"/>
        <v>2.8081517919887666E-2</v>
      </c>
      <c r="N37" s="3"/>
      <c r="O37" s="3">
        <f t="shared" si="7"/>
        <v>1.420890184554412E-2</v>
      </c>
      <c r="Q37" s="3">
        <v>-8.4601986811723932E-3</v>
      </c>
      <c r="R37">
        <v>28</v>
      </c>
    </row>
    <row r="38" spans="1:18" x14ac:dyDescent="0.3">
      <c r="A38" s="1">
        <v>46038</v>
      </c>
      <c r="B38">
        <v>2360.4</v>
      </c>
      <c r="C38">
        <v>4196.8999999999996</v>
      </c>
      <c r="D38">
        <v>1410.8</v>
      </c>
      <c r="E38">
        <v>3206.7</v>
      </c>
      <c r="F38">
        <v>3658.2</v>
      </c>
      <c r="H38" s="1">
        <v>46038</v>
      </c>
      <c r="I38" s="3">
        <f t="shared" si="2"/>
        <v>-2.2163304196528455E-2</v>
      </c>
      <c r="J38" s="3">
        <f t="shared" si="3"/>
        <v>1.2741005284621298E-2</v>
      </c>
      <c r="K38" s="3">
        <f t="shared" si="4"/>
        <v>2.1874547298276203E-2</v>
      </c>
      <c r="L38" s="3">
        <f t="shared" si="5"/>
        <v>1.3623719812871471E-2</v>
      </c>
      <c r="M38" s="3">
        <f t="shared" si="6"/>
        <v>2.187346202220386E-4</v>
      </c>
      <c r="N38" s="3"/>
      <c r="O38" s="3">
        <f t="shared" si="7"/>
        <v>9.1697373057554165E-3</v>
      </c>
      <c r="Q38" s="3">
        <v>-8.2146061953508823E-3</v>
      </c>
      <c r="R38">
        <v>29</v>
      </c>
    </row>
    <row r="39" spans="1:18" x14ac:dyDescent="0.3">
      <c r="A39" s="1">
        <v>46036</v>
      </c>
      <c r="B39">
        <v>2353.5</v>
      </c>
      <c r="C39">
        <v>4221.5</v>
      </c>
      <c r="D39">
        <v>1418.4</v>
      </c>
      <c r="E39">
        <v>3146.5</v>
      </c>
      <c r="F39">
        <v>3649.5</v>
      </c>
      <c r="H39" s="1">
        <v>46036</v>
      </c>
      <c r="I39" s="3">
        <f t="shared" si="2"/>
        <v>-2.9232333502796637E-3</v>
      </c>
      <c r="J39" s="3">
        <f t="shared" si="3"/>
        <v>5.8614691796325946E-3</v>
      </c>
      <c r="K39" s="3">
        <f t="shared" si="4"/>
        <v>5.3870144598811009E-3</v>
      </c>
      <c r="L39" s="3">
        <f t="shared" si="5"/>
        <v>-1.8773193625845841E-2</v>
      </c>
      <c r="M39" s="3">
        <f t="shared" si="6"/>
        <v>-2.3782187961292056E-3</v>
      </c>
      <c r="N39" s="3"/>
      <c r="O39" s="3">
        <f t="shared" si="7"/>
        <v>-1.3494739744515595E-3</v>
      </c>
      <c r="Q39" s="3">
        <v>-8.1187749488337724E-3</v>
      </c>
      <c r="R39">
        <v>30</v>
      </c>
    </row>
    <row r="40" spans="1:18" x14ac:dyDescent="0.3">
      <c r="A40" s="1">
        <v>46035</v>
      </c>
      <c r="B40">
        <v>2389.5</v>
      </c>
      <c r="C40">
        <v>4239.2</v>
      </c>
      <c r="D40">
        <v>1437</v>
      </c>
      <c r="E40">
        <v>3220.91</v>
      </c>
      <c r="F40">
        <v>3661.5</v>
      </c>
      <c r="H40" s="1">
        <v>46035</v>
      </c>
      <c r="I40" s="3">
        <f t="shared" si="2"/>
        <v>1.5296367112810794E-2</v>
      </c>
      <c r="J40" s="3">
        <f t="shared" si="3"/>
        <v>4.1928224564726779E-3</v>
      </c>
      <c r="K40" s="3">
        <f t="shared" si="4"/>
        <v>1.311336717428091E-2</v>
      </c>
      <c r="L40" s="3">
        <f t="shared" si="5"/>
        <v>2.3648498331479306E-2</v>
      </c>
      <c r="M40" s="3">
        <f t="shared" si="6"/>
        <v>3.2881216605014085E-3</v>
      </c>
      <c r="N40" s="3"/>
      <c r="O40" s="3">
        <f t="shared" si="7"/>
        <v>1.2335182665670064E-2</v>
      </c>
      <c r="Q40" s="3">
        <v>-8.0130479193495814E-3</v>
      </c>
      <c r="R40">
        <v>31</v>
      </c>
    </row>
    <row r="41" spans="1:18" x14ac:dyDescent="0.3">
      <c r="A41" s="1">
        <v>46034</v>
      </c>
      <c r="B41">
        <v>2406.1999999999998</v>
      </c>
      <c r="C41">
        <v>4231.6000000000004</v>
      </c>
      <c r="D41">
        <v>1413.1</v>
      </c>
      <c r="E41">
        <v>3192.92</v>
      </c>
      <c r="F41">
        <v>3682</v>
      </c>
      <c r="H41" s="1">
        <v>46034</v>
      </c>
      <c r="I41" s="3">
        <f t="shared" si="2"/>
        <v>6.9889098137685401E-3</v>
      </c>
      <c r="J41" s="3">
        <f t="shared" si="3"/>
        <v>-1.7927910926588408E-3</v>
      </c>
      <c r="K41" s="3">
        <f t="shared" si="4"/>
        <v>-1.6631871955462785E-2</v>
      </c>
      <c r="L41" s="3">
        <f t="shared" si="5"/>
        <v>-8.6900906886562268E-3</v>
      </c>
      <c r="M41" s="3">
        <f t="shared" si="6"/>
        <v>5.5987983067049552E-3</v>
      </c>
      <c r="N41" s="3"/>
      <c r="O41" s="3">
        <f t="shared" si="7"/>
        <v>-5.5675611947990158E-3</v>
      </c>
      <c r="Q41" s="3">
        <v>-7.8141266831486308E-3</v>
      </c>
      <c r="R41">
        <v>32</v>
      </c>
    </row>
    <row r="42" spans="1:18" x14ac:dyDescent="0.3">
      <c r="A42" s="1">
        <v>46031</v>
      </c>
      <c r="B42">
        <v>2372.6</v>
      </c>
      <c r="C42">
        <v>4201.8</v>
      </c>
      <c r="D42">
        <v>1404.3</v>
      </c>
      <c r="E42">
        <v>3161.58</v>
      </c>
      <c r="F42">
        <v>3677.3</v>
      </c>
      <c r="H42" s="1">
        <v>46031</v>
      </c>
      <c r="I42" s="3">
        <f t="shared" si="2"/>
        <v>-1.3963926523148484E-2</v>
      </c>
      <c r="J42" s="3">
        <f t="shared" si="3"/>
        <v>-7.0422535211267512E-3</v>
      </c>
      <c r="K42" s="3">
        <f t="shared" si="4"/>
        <v>-6.2274432099638233E-3</v>
      </c>
      <c r="L42" s="3">
        <f t="shared" si="5"/>
        <v>-9.8154667201183488E-3</v>
      </c>
      <c r="M42" s="3">
        <f t="shared" si="6"/>
        <v>-1.2764801738185394E-3</v>
      </c>
      <c r="N42" s="3"/>
      <c r="O42" s="3">
        <f t="shared" si="7"/>
        <v>-7.8141266831486308E-3</v>
      </c>
      <c r="Q42" s="3">
        <v>-7.7502829117068739E-3</v>
      </c>
      <c r="R42">
        <v>33</v>
      </c>
    </row>
    <row r="43" spans="1:18" x14ac:dyDescent="0.3">
      <c r="A43" s="1">
        <v>46030</v>
      </c>
      <c r="B43">
        <v>2386.6999999999998</v>
      </c>
      <c r="C43">
        <v>4249</v>
      </c>
      <c r="D43">
        <v>1435</v>
      </c>
      <c r="E43">
        <v>3203.9</v>
      </c>
      <c r="F43">
        <v>3724</v>
      </c>
      <c r="H43" s="1">
        <v>46030</v>
      </c>
      <c r="I43" s="3">
        <f t="shared" si="2"/>
        <v>5.9428475090617106E-3</v>
      </c>
      <c r="J43" s="3">
        <f t="shared" si="3"/>
        <v>1.1233280974820348E-2</v>
      </c>
      <c r="K43" s="3">
        <f t="shared" si="4"/>
        <v>2.1861425621306108E-2</v>
      </c>
      <c r="L43" s="3">
        <f t="shared" si="5"/>
        <v>1.338571220718765E-2</v>
      </c>
      <c r="M43" s="3">
        <f t="shared" si="6"/>
        <v>1.2699534984907279E-2</v>
      </c>
      <c r="N43" s="3"/>
      <c r="O43" s="3">
        <f t="shared" si="7"/>
        <v>1.4205270996384432E-2</v>
      </c>
      <c r="Q43" s="3">
        <v>-7.4665855565062E-3</v>
      </c>
      <c r="R43">
        <v>34</v>
      </c>
    </row>
    <row r="44" spans="1:18" x14ac:dyDescent="0.3">
      <c r="A44" s="1">
        <v>46029</v>
      </c>
      <c r="B44">
        <v>2399.4</v>
      </c>
      <c r="C44">
        <v>4273.2</v>
      </c>
      <c r="D44">
        <v>1427.7</v>
      </c>
      <c r="E44">
        <v>3295.6</v>
      </c>
      <c r="F44">
        <v>3748.8</v>
      </c>
      <c r="H44" s="1">
        <v>46029</v>
      </c>
      <c r="I44" s="3">
        <f t="shared" si="2"/>
        <v>5.3211547324758524E-3</v>
      </c>
      <c r="J44" s="3">
        <f t="shared" si="3"/>
        <v>5.6954577547658758E-3</v>
      </c>
      <c r="K44" s="3">
        <f t="shared" si="4"/>
        <v>-5.0871080139373026E-3</v>
      </c>
      <c r="L44" s="3">
        <f t="shared" si="5"/>
        <v>2.8621367708105749E-2</v>
      </c>
      <c r="M44" s="3">
        <f t="shared" si="6"/>
        <v>6.6595059076262064E-3</v>
      </c>
      <c r="N44" s="3"/>
      <c r="O44" s="3">
        <f t="shared" si="7"/>
        <v>7.0861293767654262E-3</v>
      </c>
      <c r="Q44" s="3">
        <v>-7.454149200455379E-3</v>
      </c>
      <c r="R44">
        <v>35</v>
      </c>
    </row>
    <row r="45" spans="1:18" x14ac:dyDescent="0.3">
      <c r="A45" s="1">
        <v>46028</v>
      </c>
      <c r="B45">
        <v>2424.6999999999998</v>
      </c>
      <c r="C45">
        <v>4111.8</v>
      </c>
      <c r="D45">
        <v>1411.2</v>
      </c>
      <c r="E45">
        <v>3255.8</v>
      </c>
      <c r="F45">
        <v>3785.6</v>
      </c>
      <c r="H45" s="1">
        <v>46028</v>
      </c>
      <c r="I45" s="3">
        <f t="shared" si="2"/>
        <v>1.0544302742352185E-2</v>
      </c>
      <c r="J45" s="3">
        <f t="shared" si="3"/>
        <v>-3.7770289244594135E-2</v>
      </c>
      <c r="K45" s="3">
        <f t="shared" si="4"/>
        <v>-1.1557049800378194E-2</v>
      </c>
      <c r="L45" s="3">
        <f t="shared" si="5"/>
        <v>-1.2076708338390474E-2</v>
      </c>
      <c r="M45" s="3">
        <f t="shared" si="6"/>
        <v>9.8164746052069596E-3</v>
      </c>
      <c r="N45" s="3"/>
      <c r="O45" s="3">
        <f t="shared" si="7"/>
        <v>-1.2761736047066562E-2</v>
      </c>
      <c r="Q45" s="3">
        <v>-6.9570265705716228E-3</v>
      </c>
      <c r="R45">
        <v>36</v>
      </c>
    </row>
    <row r="46" spans="1:18" x14ac:dyDescent="0.3">
      <c r="A46" s="1">
        <v>46027</v>
      </c>
      <c r="B46">
        <v>2384.1</v>
      </c>
      <c r="C46">
        <v>4079.7</v>
      </c>
      <c r="D46">
        <v>1371.5</v>
      </c>
      <c r="E46">
        <v>3216.1</v>
      </c>
      <c r="F46">
        <v>3790.3</v>
      </c>
      <c r="H46" s="1">
        <v>46027</v>
      </c>
      <c r="I46" s="3">
        <f t="shared" si="2"/>
        <v>-1.6744339505918249E-2</v>
      </c>
      <c r="J46" s="3">
        <f t="shared" si="3"/>
        <v>-7.8067999416314704E-3</v>
      </c>
      <c r="K46" s="3">
        <f t="shared" si="4"/>
        <v>-2.8132086167800496E-2</v>
      </c>
      <c r="L46" s="3">
        <f t="shared" si="5"/>
        <v>-1.2193623686958754E-2</v>
      </c>
      <c r="M46" s="3">
        <f t="shared" si="6"/>
        <v>1.2415469146238589E-3</v>
      </c>
      <c r="N46" s="3"/>
      <c r="O46" s="3">
        <f t="shared" si="7"/>
        <v>-1.5217546807565119E-2</v>
      </c>
      <c r="Q46" s="3">
        <v>-6.902705419681166E-3</v>
      </c>
      <c r="R46">
        <v>37</v>
      </c>
    </row>
    <row r="47" spans="1:18" x14ac:dyDescent="0.3">
      <c r="A47" s="1">
        <v>46024</v>
      </c>
      <c r="B47">
        <v>2348</v>
      </c>
      <c r="C47">
        <v>4051.7</v>
      </c>
      <c r="D47">
        <v>1355.4</v>
      </c>
      <c r="E47">
        <v>3250.7</v>
      </c>
      <c r="F47">
        <v>3802.4</v>
      </c>
      <c r="H47" s="1">
        <v>46024</v>
      </c>
      <c r="I47" s="3">
        <f t="shared" si="2"/>
        <v>-1.5141982299400114E-2</v>
      </c>
      <c r="J47" s="3">
        <f t="shared" si="3"/>
        <v>-6.8632497487560729E-3</v>
      </c>
      <c r="K47" s="3">
        <f t="shared" si="4"/>
        <v>-1.1738971928545339E-2</v>
      </c>
      <c r="L47" s="3">
        <f t="shared" si="5"/>
        <v>1.0758371941171019E-2</v>
      </c>
      <c r="M47" s="3">
        <f t="shared" si="6"/>
        <v>3.1923594438434399E-3</v>
      </c>
      <c r="N47" s="3"/>
      <c r="O47" s="3">
        <f t="shared" si="7"/>
        <v>-5.0378910280440888E-3</v>
      </c>
      <c r="Q47" s="3">
        <v>-6.8072198148790286E-3</v>
      </c>
      <c r="R47">
        <v>38</v>
      </c>
    </row>
    <row r="48" spans="1:18" x14ac:dyDescent="0.3">
      <c r="A48" s="1">
        <v>46023</v>
      </c>
      <c r="B48">
        <v>2323</v>
      </c>
      <c r="C48">
        <v>4049.3</v>
      </c>
      <c r="D48">
        <v>1338</v>
      </c>
      <c r="E48">
        <v>3227.4</v>
      </c>
      <c r="F48">
        <v>3761</v>
      </c>
      <c r="H48" s="1">
        <v>46023</v>
      </c>
      <c r="I48" s="3">
        <f t="shared" si="2"/>
        <v>-1.0647359454855176E-2</v>
      </c>
      <c r="J48" s="3">
        <f t="shared" si="3"/>
        <v>-5.9234395438945153E-4</v>
      </c>
      <c r="K48" s="3">
        <f t="shared" si="4"/>
        <v>-1.2837538733953102E-2</v>
      </c>
      <c r="L48" s="3">
        <f t="shared" si="5"/>
        <v>-7.1676869597316895E-3</v>
      </c>
      <c r="M48" s="3">
        <f t="shared" si="6"/>
        <v>-1.0887860298758656E-2</v>
      </c>
      <c r="N48" s="3"/>
      <c r="O48" s="3">
        <f t="shared" si="7"/>
        <v>-8.1187749488337724E-3</v>
      </c>
      <c r="Q48" s="3">
        <v>-6.7409089007236141E-3</v>
      </c>
      <c r="R48">
        <v>39</v>
      </c>
    </row>
    <row r="49" spans="1:18" x14ac:dyDescent="0.3">
      <c r="A49" s="1">
        <v>46022</v>
      </c>
      <c r="B49">
        <v>2315.9</v>
      </c>
      <c r="C49">
        <v>4051.5</v>
      </c>
      <c r="D49">
        <v>1342.9</v>
      </c>
      <c r="E49">
        <v>3206.2</v>
      </c>
      <c r="F49">
        <v>3709.2</v>
      </c>
      <c r="H49" s="1">
        <v>46022</v>
      </c>
      <c r="I49" s="3">
        <f t="shared" si="2"/>
        <v>-3.0563925957812765E-3</v>
      </c>
      <c r="J49" s="3">
        <f t="shared" si="3"/>
        <v>5.4330378090039488E-4</v>
      </c>
      <c r="K49" s="3">
        <f t="shared" si="4"/>
        <v>3.6621823617339899E-3</v>
      </c>
      <c r="L49" s="3">
        <f t="shared" si="5"/>
        <v>-6.5687550350127522E-3</v>
      </c>
      <c r="M49" s="3">
        <f t="shared" si="6"/>
        <v>-1.3772932730656828E-2</v>
      </c>
      <c r="N49" s="3"/>
      <c r="O49" s="3">
        <f t="shared" si="7"/>
        <v>-1.9150225156901292E-3</v>
      </c>
      <c r="Q49" s="3">
        <v>-6.6127265651994898E-3</v>
      </c>
      <c r="R49">
        <v>40</v>
      </c>
    </row>
    <row r="50" spans="1:18" x14ac:dyDescent="0.3">
      <c r="A50" s="1">
        <v>46021</v>
      </c>
      <c r="B50">
        <v>2290.1999999999998</v>
      </c>
      <c r="C50">
        <v>3974.1</v>
      </c>
      <c r="D50">
        <v>1342.5</v>
      </c>
      <c r="E50">
        <v>3246.8</v>
      </c>
      <c r="F50">
        <v>3660.3</v>
      </c>
      <c r="H50" s="1">
        <v>46021</v>
      </c>
      <c r="I50" s="3">
        <f t="shared" si="2"/>
        <v>-1.1097197633749389E-2</v>
      </c>
      <c r="J50" s="3">
        <f t="shared" si="3"/>
        <v>-1.9104035542391706E-2</v>
      </c>
      <c r="K50" s="3">
        <f t="shared" si="4"/>
        <v>-2.978628341648859E-4</v>
      </c>
      <c r="L50" s="3">
        <f t="shared" si="5"/>
        <v>1.2662965504335544E-2</v>
      </c>
      <c r="M50" s="3">
        <f t="shared" si="6"/>
        <v>-1.3183435781300434E-2</v>
      </c>
      <c r="N50" s="3"/>
      <c r="O50" s="3">
        <f t="shared" si="7"/>
        <v>-5.3156978581727354E-3</v>
      </c>
      <c r="Q50" s="3">
        <v>-6.5885662796435311E-3</v>
      </c>
      <c r="R50">
        <v>41</v>
      </c>
    </row>
    <row r="51" spans="1:18" x14ac:dyDescent="0.3">
      <c r="A51" s="1">
        <v>46020</v>
      </c>
      <c r="B51">
        <v>2293.3000000000002</v>
      </c>
      <c r="C51">
        <v>3983.7</v>
      </c>
      <c r="D51">
        <v>1343.3</v>
      </c>
      <c r="E51">
        <v>3251.5</v>
      </c>
      <c r="F51">
        <v>3592.1</v>
      </c>
      <c r="H51" s="1">
        <v>46020</v>
      </c>
      <c r="I51" s="3">
        <f t="shared" si="2"/>
        <v>1.353593572613887E-3</v>
      </c>
      <c r="J51" s="3">
        <f t="shared" si="3"/>
        <v>2.4156412772702307E-3</v>
      </c>
      <c r="K51" s="3">
        <f t="shared" si="4"/>
        <v>5.9590316573543411E-4</v>
      </c>
      <c r="L51" s="3">
        <f t="shared" si="5"/>
        <v>1.4475791548600458E-3</v>
      </c>
      <c r="M51" s="3">
        <f t="shared" si="6"/>
        <v>-1.8632352539409425E-2</v>
      </c>
      <c r="N51" s="3"/>
      <c r="O51" s="3">
        <f t="shared" si="7"/>
        <v>-5.8799911803866225E-4</v>
      </c>
      <c r="Q51" s="3">
        <v>-6.465667953316428E-3</v>
      </c>
      <c r="R51">
        <v>42</v>
      </c>
    </row>
    <row r="52" spans="1:18" x14ac:dyDescent="0.3">
      <c r="A52" s="1">
        <v>46017</v>
      </c>
      <c r="B52">
        <v>2285.4</v>
      </c>
      <c r="C52">
        <v>3992</v>
      </c>
      <c r="D52">
        <v>1350.4</v>
      </c>
      <c r="E52">
        <v>3280</v>
      </c>
      <c r="F52">
        <v>3623.1</v>
      </c>
      <c r="H52" s="1">
        <v>46017</v>
      </c>
      <c r="I52" s="3">
        <f t="shared" si="2"/>
        <v>-3.4448175118825253E-3</v>
      </c>
      <c r="J52" s="3">
        <f t="shared" si="3"/>
        <v>2.0834902226574137E-3</v>
      </c>
      <c r="K52" s="3">
        <f t="shared" si="4"/>
        <v>5.28549095511055E-3</v>
      </c>
      <c r="L52" s="3">
        <f t="shared" si="5"/>
        <v>8.7651852990926482E-3</v>
      </c>
      <c r="M52" s="3">
        <f t="shared" si="6"/>
        <v>8.6300492747974911E-3</v>
      </c>
      <c r="N52" s="3"/>
      <c r="O52" s="3">
        <f t="shared" si="7"/>
        <v>4.2058392027134184E-3</v>
      </c>
      <c r="Q52" s="3">
        <v>-6.4531328814529387E-3</v>
      </c>
      <c r="R52">
        <v>43</v>
      </c>
    </row>
    <row r="53" spans="1:18" x14ac:dyDescent="0.3">
      <c r="A53" s="1">
        <v>46015</v>
      </c>
      <c r="B53">
        <v>2282.1999999999998</v>
      </c>
      <c r="C53">
        <v>3909.3</v>
      </c>
      <c r="D53">
        <v>1359.8</v>
      </c>
      <c r="E53">
        <v>3319</v>
      </c>
      <c r="F53">
        <v>3636.7</v>
      </c>
      <c r="H53" s="1">
        <v>46015</v>
      </c>
      <c r="I53" s="3">
        <f t="shared" si="2"/>
        <v>-1.400192526472499E-3</v>
      </c>
      <c r="J53" s="3">
        <f t="shared" si="3"/>
        <v>-2.0716432865731438E-2</v>
      </c>
      <c r="K53" s="3">
        <f t="shared" si="4"/>
        <v>6.9609004739334956E-3</v>
      </c>
      <c r="L53" s="3">
        <f t="shared" si="5"/>
        <v>1.189024390243909E-2</v>
      </c>
      <c r="M53" s="3">
        <f t="shared" si="6"/>
        <v>3.7536915900748813E-3</v>
      </c>
      <c r="N53" s="3"/>
      <c r="O53" s="3">
        <f t="shared" si="7"/>
        <v>-5.4744901372837888E-4</v>
      </c>
      <c r="Q53" s="3">
        <v>-6.3565019287721127E-3</v>
      </c>
      <c r="R53">
        <v>44</v>
      </c>
    </row>
    <row r="54" spans="1:18" x14ac:dyDescent="0.3">
      <c r="A54" s="1">
        <v>46014</v>
      </c>
      <c r="B54">
        <v>2302.6</v>
      </c>
      <c r="C54">
        <v>3925.8</v>
      </c>
      <c r="D54">
        <v>1363</v>
      </c>
      <c r="E54">
        <v>3310</v>
      </c>
      <c r="F54">
        <v>3625.1</v>
      </c>
      <c r="H54" s="1">
        <v>46014</v>
      </c>
      <c r="I54" s="3">
        <f t="shared" si="2"/>
        <v>8.9387433178511611E-3</v>
      </c>
      <c r="J54" s="3">
        <f t="shared" si="3"/>
        <v>4.2207044739468458E-3</v>
      </c>
      <c r="K54" s="3">
        <f t="shared" si="4"/>
        <v>2.3532872481246692E-3</v>
      </c>
      <c r="L54" s="3">
        <f t="shared" si="5"/>
        <v>-2.7116601385959171E-3</v>
      </c>
      <c r="M54" s="3">
        <f t="shared" si="6"/>
        <v>-3.1897049522918719E-3</v>
      </c>
      <c r="N54" s="3"/>
      <c r="O54" s="3">
        <f t="shared" si="7"/>
        <v>2.240671267653416E-3</v>
      </c>
      <c r="Q54" s="3">
        <v>-6.346832557555299E-3</v>
      </c>
      <c r="R54">
        <v>45</v>
      </c>
    </row>
    <row r="55" spans="1:18" x14ac:dyDescent="0.3">
      <c r="A55" s="1">
        <v>46013</v>
      </c>
      <c r="B55">
        <v>2289.5</v>
      </c>
      <c r="C55">
        <v>3933.8</v>
      </c>
      <c r="D55">
        <v>1368.5</v>
      </c>
      <c r="E55">
        <v>3324.9</v>
      </c>
      <c r="F55">
        <v>3616.7</v>
      </c>
      <c r="H55" s="1">
        <v>46013</v>
      </c>
      <c r="I55" s="3">
        <f t="shared" si="2"/>
        <v>-5.6892208807434175E-3</v>
      </c>
      <c r="J55" s="3">
        <f t="shared" si="3"/>
        <v>2.0378012124917522E-3</v>
      </c>
      <c r="K55" s="3">
        <f t="shared" si="4"/>
        <v>4.0352164343360197E-3</v>
      </c>
      <c r="L55" s="3">
        <f t="shared" si="5"/>
        <v>4.5015105740182637E-3</v>
      </c>
      <c r="M55" s="3">
        <f t="shared" si="6"/>
        <v>-2.3171774571736359E-3</v>
      </c>
      <c r="N55" s="3"/>
      <c r="O55" s="3">
        <f t="shared" si="7"/>
        <v>1.5352164703985208E-3</v>
      </c>
      <c r="Q55" s="3">
        <v>-5.987802459903724E-3</v>
      </c>
      <c r="R55">
        <v>46</v>
      </c>
    </row>
    <row r="56" spans="1:18" x14ac:dyDescent="0.3">
      <c r="A56" s="1">
        <v>46010</v>
      </c>
      <c r="B56">
        <v>2280</v>
      </c>
      <c r="C56">
        <v>3930.1</v>
      </c>
      <c r="D56">
        <v>1354.1</v>
      </c>
      <c r="E56">
        <v>3282</v>
      </c>
      <c r="F56">
        <v>3603.6</v>
      </c>
      <c r="H56" s="1">
        <v>46010</v>
      </c>
      <c r="I56" s="3">
        <f t="shared" si="2"/>
        <v>-4.1493775933609811E-3</v>
      </c>
      <c r="J56" s="3">
        <f t="shared" si="3"/>
        <v>-9.4056637348116645E-4</v>
      </c>
      <c r="K56" s="3">
        <f t="shared" si="4"/>
        <v>-1.0522469857508265E-2</v>
      </c>
      <c r="L56" s="3">
        <f t="shared" si="5"/>
        <v>-1.2902643688532001E-2</v>
      </c>
      <c r="M56" s="3">
        <f t="shared" si="6"/>
        <v>-3.6220864323830426E-3</v>
      </c>
      <c r="N56" s="3"/>
      <c r="O56" s="3">
        <f t="shared" si="7"/>
        <v>-6.9570265705716228E-3</v>
      </c>
      <c r="Q56" s="3">
        <v>-5.9496867197105733E-3</v>
      </c>
      <c r="R56">
        <v>47</v>
      </c>
    </row>
    <row r="57" spans="1:18" x14ac:dyDescent="0.3">
      <c r="A57" s="1">
        <v>46009</v>
      </c>
      <c r="B57">
        <v>2265.5</v>
      </c>
      <c r="C57">
        <v>3919.3</v>
      </c>
      <c r="D57">
        <v>1356.8</v>
      </c>
      <c r="E57">
        <v>3280.8</v>
      </c>
      <c r="F57">
        <v>3586.6</v>
      </c>
      <c r="H57" s="1">
        <v>46009</v>
      </c>
      <c r="I57" s="3">
        <f t="shared" si="2"/>
        <v>-6.3596491228070651E-3</v>
      </c>
      <c r="J57" s="3">
        <f t="shared" si="3"/>
        <v>-2.7480216788375866E-3</v>
      </c>
      <c r="K57" s="3">
        <f t="shared" si="4"/>
        <v>1.9939443172587445E-3</v>
      </c>
      <c r="L57" s="3">
        <f t="shared" si="5"/>
        <v>-3.6563071297979199E-4</v>
      </c>
      <c r="M57" s="3">
        <f t="shared" si="6"/>
        <v>-4.7175047175047613E-3</v>
      </c>
      <c r="N57" s="3"/>
      <c r="O57" s="3">
        <f t="shared" si="7"/>
        <v>-1.5876461072992678E-3</v>
      </c>
      <c r="Q57" s="3">
        <v>-5.8230344461219939E-3</v>
      </c>
      <c r="R57">
        <v>48</v>
      </c>
    </row>
    <row r="58" spans="1:18" x14ac:dyDescent="0.3">
      <c r="A58" s="1">
        <v>46008</v>
      </c>
      <c r="B58">
        <v>2275.6</v>
      </c>
      <c r="C58">
        <v>3907.9</v>
      </c>
      <c r="D58">
        <v>1352.4</v>
      </c>
      <c r="E58">
        <v>3217.8</v>
      </c>
      <c r="F58">
        <v>3612.8</v>
      </c>
      <c r="H58" s="1">
        <v>46008</v>
      </c>
      <c r="I58" s="3">
        <f t="shared" si="2"/>
        <v>4.4581770028691015E-3</v>
      </c>
      <c r="J58" s="3">
        <f t="shared" si="3"/>
        <v>-2.9086826729263215E-3</v>
      </c>
      <c r="K58" s="3">
        <f t="shared" si="4"/>
        <v>-3.2429245283017716E-3</v>
      </c>
      <c r="L58" s="3">
        <f t="shared" si="5"/>
        <v>-1.9202633504023403E-2</v>
      </c>
      <c r="M58" s="3">
        <f t="shared" si="6"/>
        <v>7.3049684938382153E-3</v>
      </c>
      <c r="N58" s="3"/>
      <c r="O58" s="3">
        <f t="shared" si="7"/>
        <v>-4.1413513277126059E-3</v>
      </c>
      <c r="Q58" s="3">
        <v>-5.7622891192442571E-3</v>
      </c>
      <c r="R58">
        <v>49</v>
      </c>
    </row>
    <row r="59" spans="1:18" x14ac:dyDescent="0.3">
      <c r="A59" s="1">
        <v>46007</v>
      </c>
      <c r="B59">
        <v>2281.1</v>
      </c>
      <c r="C59">
        <v>3929.5</v>
      </c>
      <c r="D59">
        <v>1366</v>
      </c>
      <c r="E59">
        <v>3205.1</v>
      </c>
      <c r="F59">
        <v>3621</v>
      </c>
      <c r="H59" s="1">
        <v>46007</v>
      </c>
      <c r="I59" s="3">
        <f t="shared" si="2"/>
        <v>2.4169449815434341E-3</v>
      </c>
      <c r="J59" s="3">
        <f t="shared" si="3"/>
        <v>5.5272652831444002E-3</v>
      </c>
      <c r="K59" s="3">
        <f t="shared" si="4"/>
        <v>1.0056196391600158E-2</v>
      </c>
      <c r="L59" s="3">
        <f t="shared" si="5"/>
        <v>-3.9467959475418812E-3</v>
      </c>
      <c r="M59" s="3">
        <f t="shared" si="6"/>
        <v>2.2697077059343762E-3</v>
      </c>
      <c r="N59" s="3"/>
      <c r="O59" s="3">
        <f t="shared" si="7"/>
        <v>4.1988285665827251E-3</v>
      </c>
      <c r="Q59" s="3">
        <v>-5.7308538131488895E-3</v>
      </c>
      <c r="R59">
        <v>50</v>
      </c>
    </row>
    <row r="60" spans="1:18" x14ac:dyDescent="0.3">
      <c r="A60" s="1">
        <v>46006</v>
      </c>
      <c r="B60">
        <v>2293.5</v>
      </c>
      <c r="C60">
        <v>3866.2</v>
      </c>
      <c r="D60">
        <v>1365.2</v>
      </c>
      <c r="E60">
        <v>3230.2</v>
      </c>
      <c r="F60">
        <v>3608</v>
      </c>
      <c r="H60" s="1">
        <v>46006</v>
      </c>
      <c r="I60" s="3">
        <f t="shared" si="2"/>
        <v>5.4359738722546957E-3</v>
      </c>
      <c r="J60" s="3">
        <f t="shared" si="3"/>
        <v>-1.6108919709886815E-2</v>
      </c>
      <c r="K60" s="3">
        <f t="shared" si="4"/>
        <v>-5.8565153733525221E-4</v>
      </c>
      <c r="L60" s="3">
        <f t="shared" si="5"/>
        <v>7.8312689151665005E-3</v>
      </c>
      <c r="M60" s="3">
        <f t="shared" si="6"/>
        <v>-3.5901684617508645E-3</v>
      </c>
      <c r="N60" s="3"/>
      <c r="O60" s="3">
        <f t="shared" si="7"/>
        <v>-2.180292370975861E-3</v>
      </c>
      <c r="Q60" s="3">
        <v>-5.6214181002121446E-3</v>
      </c>
      <c r="R60">
        <v>51</v>
      </c>
    </row>
    <row r="61" spans="1:18" x14ac:dyDescent="0.3">
      <c r="A61" s="1">
        <v>46003</v>
      </c>
      <c r="B61">
        <v>2260.6</v>
      </c>
      <c r="C61">
        <v>3880.2</v>
      </c>
      <c r="D61">
        <v>1366</v>
      </c>
      <c r="E61">
        <v>3220.5</v>
      </c>
      <c r="F61">
        <v>3679.6</v>
      </c>
      <c r="H61" s="1">
        <v>46003</v>
      </c>
      <c r="I61" s="3">
        <f t="shared" si="2"/>
        <v>-1.4344887726182698E-2</v>
      </c>
      <c r="J61" s="3">
        <f t="shared" si="3"/>
        <v>3.6211266877037573E-3</v>
      </c>
      <c r="K61" s="3">
        <f t="shared" si="4"/>
        <v>5.8599472604736746E-4</v>
      </c>
      <c r="L61" s="3">
        <f t="shared" si="5"/>
        <v>-3.0029100365301931E-3</v>
      </c>
      <c r="M61" s="3">
        <f t="shared" si="6"/>
        <v>1.9844789356984416E-2</v>
      </c>
      <c r="N61" s="3"/>
      <c r="O61" s="3">
        <f t="shared" si="7"/>
        <v>3.1324385920514794E-4</v>
      </c>
      <c r="Q61" s="3">
        <v>-5.5675611947990158E-3</v>
      </c>
      <c r="R61">
        <v>52</v>
      </c>
    </row>
    <row r="62" spans="1:18" x14ac:dyDescent="0.3">
      <c r="A62" s="1">
        <v>46002</v>
      </c>
      <c r="B62">
        <v>2305.6</v>
      </c>
      <c r="C62">
        <v>3844.8</v>
      </c>
      <c r="D62">
        <v>1360</v>
      </c>
      <c r="E62">
        <v>3191.9</v>
      </c>
      <c r="F62">
        <v>3665.2</v>
      </c>
      <c r="H62" s="1">
        <v>46002</v>
      </c>
      <c r="I62" s="3">
        <f t="shared" si="2"/>
        <v>1.9906219587719987E-2</v>
      </c>
      <c r="J62" s="3">
        <f t="shared" si="3"/>
        <v>-9.123241070047805E-3</v>
      </c>
      <c r="K62" s="3">
        <f t="shared" si="4"/>
        <v>-4.3923865300146137E-3</v>
      </c>
      <c r="L62" s="3">
        <f t="shared" si="5"/>
        <v>-8.8806086011488095E-3</v>
      </c>
      <c r="M62" s="3">
        <f t="shared" si="6"/>
        <v>-3.9134688553104091E-3</v>
      </c>
      <c r="N62" s="3"/>
      <c r="O62" s="3">
        <f t="shared" si="7"/>
        <v>-2.7800618941191402E-3</v>
      </c>
      <c r="Q62" s="3">
        <v>-5.4058206041105996E-3</v>
      </c>
      <c r="R62">
        <v>53</v>
      </c>
    </row>
    <row r="63" spans="1:18" x14ac:dyDescent="0.3">
      <c r="A63" s="1">
        <v>46001</v>
      </c>
      <c r="B63">
        <v>2301.6999999999998</v>
      </c>
      <c r="C63">
        <v>3845.7</v>
      </c>
      <c r="D63">
        <v>1363.6</v>
      </c>
      <c r="E63">
        <v>3189.2</v>
      </c>
      <c r="F63">
        <v>3630</v>
      </c>
      <c r="H63" s="1">
        <v>46001</v>
      </c>
      <c r="I63" s="3">
        <f t="shared" si="2"/>
        <v>-1.6915336571825534E-3</v>
      </c>
      <c r="J63" s="3">
        <f t="shared" si="3"/>
        <v>2.3408239700373201E-4</v>
      </c>
      <c r="K63" s="3">
        <f t="shared" si="4"/>
        <v>2.6470588235294468E-3</v>
      </c>
      <c r="L63" s="3">
        <f t="shared" si="5"/>
        <v>-8.4589116200395331E-4</v>
      </c>
      <c r="M63" s="3">
        <f t="shared" si="6"/>
        <v>-9.6038415366146435E-3</v>
      </c>
      <c r="N63" s="3"/>
      <c r="O63" s="3">
        <f t="shared" si="7"/>
        <v>-5.3065418832987099E-4</v>
      </c>
      <c r="Q63" s="3">
        <v>-5.3156978581727354E-3</v>
      </c>
      <c r="R63">
        <v>54</v>
      </c>
    </row>
    <row r="64" spans="1:18" x14ac:dyDescent="0.3">
      <c r="A64" s="1">
        <v>46000</v>
      </c>
      <c r="B64">
        <v>2306.5</v>
      </c>
      <c r="C64">
        <v>3849</v>
      </c>
      <c r="D64">
        <v>1375.2</v>
      </c>
      <c r="E64">
        <v>3208.3</v>
      </c>
      <c r="F64">
        <v>3635.9</v>
      </c>
      <c r="H64" s="1">
        <v>46000</v>
      </c>
      <c r="I64" s="3">
        <f t="shared" si="2"/>
        <v>2.0854151279490196E-3</v>
      </c>
      <c r="J64" s="3">
        <f t="shared" si="3"/>
        <v>8.581012559483181E-4</v>
      </c>
      <c r="K64" s="3">
        <f t="shared" si="4"/>
        <v>8.5068935171606075E-3</v>
      </c>
      <c r="L64" s="3">
        <f t="shared" si="5"/>
        <v>5.9889627492788478E-3</v>
      </c>
      <c r="M64" s="3">
        <f t="shared" si="6"/>
        <v>1.6253443526170752E-3</v>
      </c>
      <c r="N64" s="3"/>
      <c r="O64" s="3">
        <f t="shared" si="7"/>
        <v>4.4397326234450916E-3</v>
      </c>
      <c r="Q64" s="3">
        <v>-5.3139794648620455E-3</v>
      </c>
      <c r="R64">
        <v>55</v>
      </c>
    </row>
    <row r="65" spans="1:18" x14ac:dyDescent="0.3">
      <c r="A65" s="1">
        <v>45999</v>
      </c>
      <c r="B65">
        <v>2314</v>
      </c>
      <c r="C65">
        <v>3767</v>
      </c>
      <c r="D65">
        <v>1389.6</v>
      </c>
      <c r="E65">
        <v>3236.5</v>
      </c>
      <c r="F65">
        <v>3681.7</v>
      </c>
      <c r="H65" s="1">
        <v>45999</v>
      </c>
      <c r="I65" s="3">
        <f t="shared" si="2"/>
        <v>3.2516800346846786E-3</v>
      </c>
      <c r="J65" s="3">
        <f t="shared" si="3"/>
        <v>-2.1304234866199034E-2</v>
      </c>
      <c r="K65" s="3">
        <f t="shared" si="4"/>
        <v>1.0471204188481575E-2</v>
      </c>
      <c r="L65" s="3">
        <f t="shared" si="5"/>
        <v>8.7897017111866482E-3</v>
      </c>
      <c r="M65" s="3">
        <f t="shared" si="6"/>
        <v>1.259660606727353E-2</v>
      </c>
      <c r="N65" s="3"/>
      <c r="O65" s="3">
        <f t="shared" si="7"/>
        <v>1.3206554941620988E-3</v>
      </c>
      <c r="Q65" s="3">
        <v>-5.2919012573230065E-3</v>
      </c>
      <c r="R65">
        <v>56</v>
      </c>
    </row>
    <row r="66" spans="1:18" x14ac:dyDescent="0.3">
      <c r="A66" s="1">
        <v>45996</v>
      </c>
      <c r="B66">
        <v>2338.6</v>
      </c>
      <c r="C66">
        <v>3813.3</v>
      </c>
      <c r="D66">
        <v>1392.5</v>
      </c>
      <c r="E66">
        <v>3238.2</v>
      </c>
      <c r="F66">
        <v>3717.1</v>
      </c>
      <c r="H66" s="1">
        <v>45996</v>
      </c>
      <c r="I66" s="3">
        <f t="shared" si="2"/>
        <v>1.0630942091616191E-2</v>
      </c>
      <c r="J66" s="3">
        <f t="shared" si="3"/>
        <v>1.2290947703743171E-2</v>
      </c>
      <c r="K66" s="3">
        <f t="shared" si="4"/>
        <v>2.0869314910765269E-3</v>
      </c>
      <c r="L66" s="3">
        <f t="shared" si="5"/>
        <v>5.2525876718667597E-4</v>
      </c>
      <c r="M66" s="3">
        <f t="shared" si="6"/>
        <v>9.6151234484069814E-3</v>
      </c>
      <c r="N66" s="3"/>
      <c r="O66" s="3">
        <f t="shared" si="7"/>
        <v>6.3600217852792127E-3</v>
      </c>
      <c r="Q66" s="3">
        <v>-5.2295298331898393E-3</v>
      </c>
      <c r="R66">
        <v>57</v>
      </c>
    </row>
    <row r="67" spans="1:18" x14ac:dyDescent="0.3">
      <c r="A67" s="1">
        <v>45995</v>
      </c>
      <c r="B67">
        <v>2422</v>
      </c>
      <c r="C67">
        <v>3800.4</v>
      </c>
      <c r="D67">
        <v>1386.7</v>
      </c>
      <c r="E67">
        <v>3229.2</v>
      </c>
      <c r="F67">
        <v>3671.6</v>
      </c>
      <c r="H67" s="1">
        <v>45995</v>
      </c>
      <c r="I67" s="3">
        <f t="shared" si="2"/>
        <v>3.5662362096981148E-2</v>
      </c>
      <c r="J67" s="3">
        <f t="shared" si="3"/>
        <v>-3.3828967036425572E-3</v>
      </c>
      <c r="K67" s="3">
        <f t="shared" si="4"/>
        <v>-4.1651705565529662E-3</v>
      </c>
      <c r="L67" s="3">
        <f t="shared" si="5"/>
        <v>-2.7793218454696955E-3</v>
      </c>
      <c r="M67" s="3">
        <f t="shared" si="6"/>
        <v>-1.224072529660214E-2</v>
      </c>
      <c r="N67" s="3"/>
      <c r="O67" s="3">
        <f t="shared" si="7"/>
        <v>1.4741420729164898E-3</v>
      </c>
      <c r="Q67" s="3">
        <v>-5.0378910280440888E-3</v>
      </c>
      <c r="R67">
        <v>58</v>
      </c>
    </row>
    <row r="68" spans="1:18" x14ac:dyDescent="0.3">
      <c r="A68" s="1">
        <v>45994</v>
      </c>
      <c r="B68">
        <v>2408.0300000000002</v>
      </c>
      <c r="C68">
        <v>3817.8</v>
      </c>
      <c r="D68">
        <v>1391.5</v>
      </c>
      <c r="E68">
        <v>3180</v>
      </c>
      <c r="F68">
        <v>3649.4</v>
      </c>
      <c r="H68" s="1">
        <v>45994</v>
      </c>
      <c r="I68" s="3">
        <f t="shared" si="2"/>
        <v>-5.7679603633360443E-3</v>
      </c>
      <c r="J68" s="3">
        <f t="shared" si="3"/>
        <v>4.5784654246920908E-3</v>
      </c>
      <c r="K68" s="3">
        <f t="shared" si="4"/>
        <v>3.4614552534795173E-3</v>
      </c>
      <c r="L68" s="3">
        <f t="shared" si="5"/>
        <v>-1.5235971757710853E-2</v>
      </c>
      <c r="M68" s="3">
        <f t="shared" si="6"/>
        <v>-6.0464102843446055E-3</v>
      </c>
      <c r="N68" s="3"/>
      <c r="O68" s="3">
        <f t="shared" si="7"/>
        <v>-2.3339765022601599E-3</v>
      </c>
      <c r="Q68" s="3">
        <v>-4.989318521792541E-3</v>
      </c>
      <c r="R68">
        <v>59</v>
      </c>
    </row>
    <row r="69" spans="1:18" x14ac:dyDescent="0.3">
      <c r="A69" s="1">
        <v>45993</v>
      </c>
      <c r="B69">
        <v>2437.34</v>
      </c>
      <c r="C69">
        <v>3885.8</v>
      </c>
      <c r="D69">
        <v>1373</v>
      </c>
      <c r="E69">
        <v>3135.7</v>
      </c>
      <c r="F69">
        <v>3716.5</v>
      </c>
      <c r="H69" s="1">
        <v>45993</v>
      </c>
      <c r="I69" s="3">
        <f t="shared" si="2"/>
        <v>1.2171775268580598E-2</v>
      </c>
      <c r="J69" s="3">
        <f t="shared" si="3"/>
        <v>1.7811304940017703E-2</v>
      </c>
      <c r="K69" s="3">
        <f t="shared" si="4"/>
        <v>-1.3295005389867054E-2</v>
      </c>
      <c r="L69" s="3">
        <f t="shared" si="5"/>
        <v>-1.3930817610062984E-2</v>
      </c>
      <c r="M69" s="3">
        <f t="shared" si="6"/>
        <v>1.838658409601579E-2</v>
      </c>
      <c r="N69" s="3"/>
      <c r="O69" s="3">
        <f t="shared" si="7"/>
        <v>1.3425857959203816E-3</v>
      </c>
      <c r="Q69" s="3">
        <v>-4.4946073754393197E-3</v>
      </c>
      <c r="R69">
        <v>60</v>
      </c>
    </row>
    <row r="70" spans="1:18" x14ac:dyDescent="0.3">
      <c r="A70" s="1">
        <v>45992</v>
      </c>
      <c r="B70">
        <v>2424.2600000000002</v>
      </c>
      <c r="C70">
        <v>3894.9</v>
      </c>
      <c r="D70">
        <v>1390.1</v>
      </c>
      <c r="E70">
        <v>3133.4</v>
      </c>
      <c r="F70">
        <v>3741.6</v>
      </c>
      <c r="H70" s="1">
        <v>45992</v>
      </c>
      <c r="I70" s="3">
        <f t="shared" si="2"/>
        <v>-5.3665061091189292E-3</v>
      </c>
      <c r="J70" s="3">
        <f t="shared" si="3"/>
        <v>2.3418601060269939E-3</v>
      </c>
      <c r="K70" s="3">
        <f t="shared" si="4"/>
        <v>1.2454479242534511E-2</v>
      </c>
      <c r="L70" s="3">
        <f t="shared" si="5"/>
        <v>-7.3348853525523339E-4</v>
      </c>
      <c r="M70" s="3">
        <f t="shared" si="6"/>
        <v>6.7536660836808871E-3</v>
      </c>
      <c r="N70" s="3"/>
      <c r="O70" s="3">
        <f t="shared" si="7"/>
        <v>4.0455017842163047E-3</v>
      </c>
      <c r="Q70" s="3">
        <v>-4.4113502482507278E-3</v>
      </c>
      <c r="R70">
        <v>61</v>
      </c>
    </row>
    <row r="71" spans="1:18" x14ac:dyDescent="0.3">
      <c r="A71" s="1">
        <v>45989</v>
      </c>
      <c r="B71">
        <v>2426.33</v>
      </c>
      <c r="C71">
        <v>3907.7</v>
      </c>
      <c r="D71">
        <v>1388.8</v>
      </c>
      <c r="E71">
        <v>3137.5</v>
      </c>
      <c r="F71">
        <v>3757.3</v>
      </c>
      <c r="H71" s="1">
        <v>45989</v>
      </c>
      <c r="I71" s="3">
        <f t="shared" ref="I71:I134" si="13">B71/B70-1</f>
        <v>8.538688094510416E-4</v>
      </c>
      <c r="J71" s="3">
        <f t="shared" ref="J71:J134" si="14">C71/C70-1</f>
        <v>3.2863488151171349E-3</v>
      </c>
      <c r="K71" s="3">
        <f t="shared" ref="K71:K134" si="15">D71/D70-1</f>
        <v>-9.3518451909935241E-4</v>
      </c>
      <c r="L71" s="3">
        <f t="shared" ref="L71:L134" si="16">E71/E70-1</f>
        <v>1.308482798238364E-3</v>
      </c>
      <c r="M71" s="3">
        <f t="shared" ref="M71:M134" si="17">F71/F70-1</f>
        <v>4.1960658541801976E-3</v>
      </c>
      <c r="N71" s="3"/>
      <c r="O71" s="3">
        <f t="shared" ref="O71:O134" si="18">I71*$R$5+J71*$S$5+K71*$T$5+L71*$U$5+M71*$V$5</f>
        <v>1.3504153145328269E-3</v>
      </c>
      <c r="Q71" s="3">
        <v>-4.2933067041944599E-3</v>
      </c>
      <c r="R71">
        <v>62</v>
      </c>
    </row>
    <row r="72" spans="1:18" x14ac:dyDescent="0.3">
      <c r="A72" s="1">
        <v>45988</v>
      </c>
      <c r="B72">
        <v>2451.6999999999998</v>
      </c>
      <c r="C72">
        <v>3903.3</v>
      </c>
      <c r="D72">
        <v>1392.2</v>
      </c>
      <c r="E72">
        <v>3136.6</v>
      </c>
      <c r="F72">
        <v>3681.2</v>
      </c>
      <c r="H72" s="1">
        <v>45988</v>
      </c>
      <c r="I72" s="3">
        <f t="shared" si="13"/>
        <v>1.0456120972827332E-2</v>
      </c>
      <c r="J72" s="3">
        <f t="shared" si="14"/>
        <v>-1.1259820354683203E-3</v>
      </c>
      <c r="K72" s="3">
        <f t="shared" si="15"/>
        <v>2.4481566820278022E-3</v>
      </c>
      <c r="L72" s="3">
        <f t="shared" si="16"/>
        <v>-2.8685258964145088E-4</v>
      </c>
      <c r="M72" s="3">
        <f t="shared" si="17"/>
        <v>-2.0253905730178712E-2</v>
      </c>
      <c r="N72" s="3"/>
      <c r="O72" s="3">
        <f t="shared" si="18"/>
        <v>-6.1391449280801414E-5</v>
      </c>
      <c r="Q72" s="3">
        <v>-4.2004624912342203E-3</v>
      </c>
      <c r="R72">
        <v>63</v>
      </c>
    </row>
    <row r="73" spans="1:18" x14ac:dyDescent="0.3">
      <c r="A73" s="1">
        <v>45987</v>
      </c>
      <c r="B73">
        <v>2425.1999999999998</v>
      </c>
      <c r="C73">
        <v>3897.7</v>
      </c>
      <c r="D73">
        <v>1375</v>
      </c>
      <c r="E73">
        <v>3162.9</v>
      </c>
      <c r="F73">
        <v>3686.4</v>
      </c>
      <c r="H73" s="1">
        <v>45987</v>
      </c>
      <c r="I73" s="3">
        <f t="shared" si="13"/>
        <v>-1.0808826528531212E-2</v>
      </c>
      <c r="J73" s="3">
        <f t="shared" si="14"/>
        <v>-1.4346834729588309E-3</v>
      </c>
      <c r="K73" s="3">
        <f t="shared" si="15"/>
        <v>-1.2354546760522944E-2</v>
      </c>
      <c r="L73" s="3">
        <f t="shared" si="16"/>
        <v>8.3848753427278044E-3</v>
      </c>
      <c r="M73" s="3">
        <f t="shared" si="17"/>
        <v>1.4125828534174989E-3</v>
      </c>
      <c r="N73" s="3"/>
      <c r="O73" s="3">
        <f t="shared" si="18"/>
        <v>-3.8681255217889615E-3</v>
      </c>
      <c r="Q73" s="3">
        <v>-4.1413513277126059E-3</v>
      </c>
      <c r="R73">
        <v>64</v>
      </c>
    </row>
    <row r="74" spans="1:18" x14ac:dyDescent="0.3">
      <c r="A74" s="1">
        <v>45986</v>
      </c>
      <c r="B74">
        <v>2414.1</v>
      </c>
      <c r="C74">
        <v>3855.1</v>
      </c>
      <c r="D74">
        <v>1357.8</v>
      </c>
      <c r="E74">
        <v>3119.2</v>
      </c>
      <c r="F74">
        <v>3669.3</v>
      </c>
      <c r="H74" s="1">
        <v>45986</v>
      </c>
      <c r="I74" s="3">
        <f t="shared" si="13"/>
        <v>-4.57694210786741E-3</v>
      </c>
      <c r="J74" s="3">
        <f t="shared" si="14"/>
        <v>-1.0929522538933201E-2</v>
      </c>
      <c r="K74" s="3">
        <f t="shared" si="15"/>
        <v>-1.2509090909090914E-2</v>
      </c>
      <c r="L74" s="3">
        <f t="shared" si="16"/>
        <v>-1.3816434284991685E-2</v>
      </c>
      <c r="M74" s="3">
        <f t="shared" si="17"/>
        <v>-4.638671875E-3</v>
      </c>
      <c r="N74" s="3"/>
      <c r="O74" s="3">
        <f t="shared" si="18"/>
        <v>-1.0398803268139021E-2</v>
      </c>
      <c r="Q74" s="3">
        <v>-4.0621799835837248E-3</v>
      </c>
      <c r="R74">
        <v>65</v>
      </c>
    </row>
    <row r="75" spans="1:18" x14ac:dyDescent="0.3">
      <c r="A75" s="1">
        <v>45985</v>
      </c>
      <c r="B75">
        <v>2424.1999999999998</v>
      </c>
      <c r="C75">
        <v>3874.3</v>
      </c>
      <c r="D75">
        <v>1368.4</v>
      </c>
      <c r="E75">
        <v>3141.2</v>
      </c>
      <c r="F75">
        <v>3690.8</v>
      </c>
      <c r="H75" s="1">
        <v>45985</v>
      </c>
      <c r="I75" s="3">
        <f t="shared" si="13"/>
        <v>4.1837537798765645E-3</v>
      </c>
      <c r="J75" s="3">
        <f t="shared" si="14"/>
        <v>4.9804155534227679E-3</v>
      </c>
      <c r="K75" s="3">
        <f t="shared" si="15"/>
        <v>7.8067462070998683E-3</v>
      </c>
      <c r="L75" s="3">
        <f t="shared" si="16"/>
        <v>7.0530905360348672E-3</v>
      </c>
      <c r="M75" s="3">
        <f t="shared" si="17"/>
        <v>5.8594282288175759E-3</v>
      </c>
      <c r="N75" s="3"/>
      <c r="O75" s="3">
        <f t="shared" si="18"/>
        <v>6.211251747555868E-3</v>
      </c>
      <c r="Q75" s="3">
        <v>-4.0092751328001056E-3</v>
      </c>
      <c r="R75">
        <v>66</v>
      </c>
    </row>
    <row r="76" spans="1:18" x14ac:dyDescent="0.3">
      <c r="A76" s="1">
        <v>45982</v>
      </c>
      <c r="B76">
        <v>2433.6999999999998</v>
      </c>
      <c r="C76">
        <v>3904.2</v>
      </c>
      <c r="D76">
        <v>1369.5</v>
      </c>
      <c r="E76">
        <v>3150.6</v>
      </c>
      <c r="F76">
        <v>3749.6</v>
      </c>
      <c r="H76" s="1">
        <v>45982</v>
      </c>
      <c r="I76" s="3">
        <f t="shared" si="13"/>
        <v>3.9188185793250785E-3</v>
      </c>
      <c r="J76" s="3">
        <f t="shared" si="14"/>
        <v>7.7175231654749155E-3</v>
      </c>
      <c r="K76" s="3">
        <f t="shared" si="15"/>
        <v>8.03858520900258E-4</v>
      </c>
      <c r="L76" s="3">
        <f t="shared" si="16"/>
        <v>2.9924869476634086E-3</v>
      </c>
      <c r="M76" s="3">
        <f t="shared" si="17"/>
        <v>1.5931505364690457E-2</v>
      </c>
      <c r="N76" s="3"/>
      <c r="O76" s="3">
        <f t="shared" si="18"/>
        <v>4.9500090605392958E-3</v>
      </c>
      <c r="Q76" s="3">
        <v>-4.0026429735892655E-3</v>
      </c>
      <c r="R76">
        <v>67</v>
      </c>
    </row>
    <row r="77" spans="1:18" x14ac:dyDescent="0.3">
      <c r="A77" s="1">
        <v>45981</v>
      </c>
      <c r="B77">
        <v>2428.4</v>
      </c>
      <c r="C77">
        <v>3902.4</v>
      </c>
      <c r="D77">
        <v>1383</v>
      </c>
      <c r="E77">
        <v>3144.8</v>
      </c>
      <c r="F77">
        <v>3716.7</v>
      </c>
      <c r="H77" s="1">
        <v>45981</v>
      </c>
      <c r="I77" s="3">
        <f t="shared" si="13"/>
        <v>-2.1777540370627735E-3</v>
      </c>
      <c r="J77" s="3">
        <f t="shared" si="14"/>
        <v>-4.6104195481777577E-4</v>
      </c>
      <c r="K77" s="3">
        <f t="shared" si="15"/>
        <v>9.8576122672509037E-3</v>
      </c>
      <c r="L77" s="3">
        <f t="shared" si="16"/>
        <v>-1.8409191899955157E-3</v>
      </c>
      <c r="M77" s="3">
        <f t="shared" si="17"/>
        <v>-8.7742692553872681E-3</v>
      </c>
      <c r="N77" s="3"/>
      <c r="O77" s="3">
        <f t="shared" si="18"/>
        <v>1.2697493223735811E-3</v>
      </c>
      <c r="Q77" s="3">
        <v>-3.9263425899731964E-3</v>
      </c>
      <c r="R77">
        <v>68</v>
      </c>
    </row>
    <row r="78" spans="1:18" x14ac:dyDescent="0.3">
      <c r="A78" s="1">
        <v>45980</v>
      </c>
      <c r="B78">
        <v>2441.6</v>
      </c>
      <c r="C78">
        <v>3933.1</v>
      </c>
      <c r="D78">
        <v>1383.1</v>
      </c>
      <c r="E78">
        <v>3147.7</v>
      </c>
      <c r="F78">
        <v>3722.5</v>
      </c>
      <c r="H78" s="1">
        <v>45980</v>
      </c>
      <c r="I78" s="3">
        <f t="shared" si="13"/>
        <v>5.4356778125514982E-3</v>
      </c>
      <c r="J78" s="3">
        <f t="shared" si="14"/>
        <v>7.8669536695366027E-3</v>
      </c>
      <c r="K78" s="3">
        <f t="shared" si="15"/>
        <v>7.230657989865108E-5</v>
      </c>
      <c r="L78" s="3">
        <f t="shared" si="16"/>
        <v>9.2215721190536115E-4</v>
      </c>
      <c r="M78" s="3">
        <f t="shared" si="17"/>
        <v>1.5605241208600518E-3</v>
      </c>
      <c r="N78" s="3"/>
      <c r="O78" s="3">
        <f t="shared" si="18"/>
        <v>3.1442659177035484E-3</v>
      </c>
      <c r="Q78" s="3">
        <v>-3.8681255217889615E-3</v>
      </c>
      <c r="R78">
        <v>69</v>
      </c>
    </row>
    <row r="79" spans="1:18" x14ac:dyDescent="0.3">
      <c r="A79" s="1">
        <v>45979</v>
      </c>
      <c r="B79">
        <v>2404</v>
      </c>
      <c r="C79">
        <v>3879.2</v>
      </c>
      <c r="D79">
        <v>1373.4</v>
      </c>
      <c r="E79">
        <v>3087.1</v>
      </c>
      <c r="F79">
        <v>3694.8</v>
      </c>
      <c r="H79" s="1">
        <v>45979</v>
      </c>
      <c r="I79" s="3">
        <f t="shared" si="13"/>
        <v>-1.5399737876802044E-2</v>
      </c>
      <c r="J79" s="3">
        <f t="shared" si="14"/>
        <v>-1.3704202791691045E-2</v>
      </c>
      <c r="K79" s="3">
        <f t="shared" si="15"/>
        <v>-7.0132311474223608E-3</v>
      </c>
      <c r="L79" s="3">
        <f t="shared" si="16"/>
        <v>-1.9252152365219044E-2</v>
      </c>
      <c r="M79" s="3">
        <f t="shared" si="17"/>
        <v>-7.4412357286769426E-3</v>
      </c>
      <c r="N79" s="3"/>
      <c r="O79" s="3">
        <f t="shared" si="18"/>
        <v>-1.2434534769581279E-2</v>
      </c>
      <c r="Q79" s="3">
        <v>-3.8489817402081682E-3</v>
      </c>
      <c r="R79">
        <v>70</v>
      </c>
    </row>
    <row r="80" spans="1:18" x14ac:dyDescent="0.3">
      <c r="A80" s="1">
        <v>45978</v>
      </c>
      <c r="B80">
        <v>2425</v>
      </c>
      <c r="C80">
        <v>3868.6</v>
      </c>
      <c r="D80">
        <v>1379</v>
      </c>
      <c r="E80">
        <v>3102.2</v>
      </c>
      <c r="F80">
        <v>3734.9</v>
      </c>
      <c r="H80" s="1">
        <v>45978</v>
      </c>
      <c r="I80" s="3">
        <f t="shared" si="13"/>
        <v>8.7354409317803583E-3</v>
      </c>
      <c r="J80" s="3">
        <f t="shared" si="14"/>
        <v>-2.732522169519469E-3</v>
      </c>
      <c r="K80" s="3">
        <f t="shared" si="15"/>
        <v>4.0774719673801751E-3</v>
      </c>
      <c r="L80" s="3">
        <f t="shared" si="16"/>
        <v>4.8913219526416363E-3</v>
      </c>
      <c r="M80" s="3">
        <f t="shared" si="17"/>
        <v>1.0853090830356127E-2</v>
      </c>
      <c r="N80" s="3"/>
      <c r="O80" s="3">
        <f t="shared" si="18"/>
        <v>3.914000661165179E-3</v>
      </c>
      <c r="Q80" s="3">
        <v>-3.8085615910032847E-3</v>
      </c>
      <c r="R80">
        <v>71</v>
      </c>
    </row>
    <row r="81" spans="1:18" x14ac:dyDescent="0.3">
      <c r="A81" s="1">
        <v>45975</v>
      </c>
      <c r="B81">
        <v>2427.6999999999998</v>
      </c>
      <c r="C81">
        <v>3829.2</v>
      </c>
      <c r="D81">
        <v>1373</v>
      </c>
      <c r="E81">
        <v>3106</v>
      </c>
      <c r="F81">
        <v>3698.6</v>
      </c>
      <c r="H81" s="1">
        <v>45975</v>
      </c>
      <c r="I81" s="3">
        <f t="shared" si="13"/>
        <v>1.1134020618555063E-3</v>
      </c>
      <c r="J81" s="3">
        <f t="shared" si="14"/>
        <v>-1.0184562890968363E-2</v>
      </c>
      <c r="K81" s="3">
        <f t="shared" si="15"/>
        <v>-4.35097897026826E-3</v>
      </c>
      <c r="L81" s="3">
        <f t="shared" si="16"/>
        <v>1.2249371413834975E-3</v>
      </c>
      <c r="M81" s="3">
        <f t="shared" si="17"/>
        <v>-9.7191357198318507E-3</v>
      </c>
      <c r="N81" s="3"/>
      <c r="O81" s="3">
        <f t="shared" si="18"/>
        <v>-4.4113502482507278E-3</v>
      </c>
      <c r="Q81" s="3">
        <v>-3.7994594449724363E-3</v>
      </c>
      <c r="R81">
        <v>72</v>
      </c>
    </row>
    <row r="82" spans="1:18" x14ac:dyDescent="0.3">
      <c r="A82" s="1">
        <v>45974</v>
      </c>
      <c r="B82">
        <v>2407.6</v>
      </c>
      <c r="C82">
        <v>3839.2</v>
      </c>
      <c r="D82">
        <v>1385.9</v>
      </c>
      <c r="E82">
        <v>3105.7</v>
      </c>
      <c r="F82">
        <v>3699.5</v>
      </c>
      <c r="H82" s="1">
        <v>45974</v>
      </c>
      <c r="I82" s="3">
        <f t="shared" si="13"/>
        <v>-8.2794414466367261E-3</v>
      </c>
      <c r="J82" s="3">
        <f t="shared" si="14"/>
        <v>2.6115115428810842E-3</v>
      </c>
      <c r="K82" s="3">
        <f t="shared" si="15"/>
        <v>9.3954843408594613E-3</v>
      </c>
      <c r="L82" s="3">
        <f t="shared" si="16"/>
        <v>-9.6587250483004539E-5</v>
      </c>
      <c r="M82" s="3">
        <f t="shared" si="17"/>
        <v>2.4333531606557379E-4</v>
      </c>
      <c r="N82" s="3"/>
      <c r="O82" s="3">
        <f t="shared" si="18"/>
        <v>2.234623052492557E-3</v>
      </c>
      <c r="Q82" s="3">
        <v>-3.6790762447280246E-3</v>
      </c>
      <c r="R82">
        <v>73</v>
      </c>
    </row>
    <row r="83" spans="1:18" x14ac:dyDescent="0.3">
      <c r="A83" s="1">
        <v>45973</v>
      </c>
      <c r="B83">
        <v>2424.5</v>
      </c>
      <c r="C83">
        <v>3851.1</v>
      </c>
      <c r="D83">
        <v>1358.9</v>
      </c>
      <c r="E83">
        <v>3131.8</v>
      </c>
      <c r="F83">
        <v>3754.3</v>
      </c>
      <c r="H83" s="1">
        <v>45973</v>
      </c>
      <c r="I83" s="3">
        <f t="shared" si="13"/>
        <v>7.0194384449244751E-3</v>
      </c>
      <c r="J83" s="3">
        <f t="shared" si="14"/>
        <v>3.0996040841841932E-3</v>
      </c>
      <c r="K83" s="3">
        <f t="shared" si="15"/>
        <v>-1.9481925102821318E-2</v>
      </c>
      <c r="L83" s="3">
        <f t="shared" si="16"/>
        <v>8.4039025018516345E-3</v>
      </c>
      <c r="M83" s="3">
        <f t="shared" si="17"/>
        <v>1.4812812542235543E-2</v>
      </c>
      <c r="N83" s="3"/>
      <c r="O83" s="3">
        <f t="shared" si="18"/>
        <v>-8.5469898846779447E-4</v>
      </c>
      <c r="Q83" s="3">
        <v>-3.6152862758844387E-3</v>
      </c>
      <c r="R83">
        <v>74</v>
      </c>
    </row>
    <row r="84" spans="1:18" x14ac:dyDescent="0.3">
      <c r="A84" s="1">
        <v>45972</v>
      </c>
      <c r="B84">
        <v>2427.5</v>
      </c>
      <c r="C84">
        <v>3812.4</v>
      </c>
      <c r="D84">
        <v>1358.3</v>
      </c>
      <c r="E84">
        <v>3047</v>
      </c>
      <c r="F84">
        <v>3749.1</v>
      </c>
      <c r="H84" s="1">
        <v>45972</v>
      </c>
      <c r="I84" s="3">
        <f t="shared" si="13"/>
        <v>1.2373685295936632E-3</v>
      </c>
      <c r="J84" s="3">
        <f t="shared" si="14"/>
        <v>-1.0049076887123087E-2</v>
      </c>
      <c r="K84" s="3">
        <f t="shared" si="15"/>
        <v>-4.4153359334764275E-4</v>
      </c>
      <c r="L84" s="3">
        <f t="shared" si="16"/>
        <v>-2.7077080273325338E-2</v>
      </c>
      <c r="M84" s="3">
        <f t="shared" si="17"/>
        <v>-1.3850784433849794E-3</v>
      </c>
      <c r="N84" s="3"/>
      <c r="O84" s="3">
        <f t="shared" si="18"/>
        <v>-8.0130479193495814E-3</v>
      </c>
      <c r="Q84" s="3">
        <v>-3.4881718558736397E-3</v>
      </c>
      <c r="R84">
        <v>75</v>
      </c>
    </row>
    <row r="85" spans="1:18" x14ac:dyDescent="0.3">
      <c r="A85" s="1">
        <v>45971</v>
      </c>
      <c r="B85">
        <v>2408.8000000000002</v>
      </c>
      <c r="C85">
        <v>3803</v>
      </c>
      <c r="D85">
        <v>1348</v>
      </c>
      <c r="E85">
        <v>3025.2</v>
      </c>
      <c r="F85">
        <v>3663.9</v>
      </c>
      <c r="H85" s="1">
        <v>45971</v>
      </c>
      <c r="I85" s="3">
        <f t="shared" si="13"/>
        <v>-7.7033985581873576E-3</v>
      </c>
      <c r="J85" s="3">
        <f t="shared" si="14"/>
        <v>-2.4656384429755374E-3</v>
      </c>
      <c r="K85" s="3">
        <f t="shared" si="15"/>
        <v>-7.5830081719796549E-3</v>
      </c>
      <c r="L85" s="3">
        <f t="shared" si="16"/>
        <v>-7.154578273711909E-3</v>
      </c>
      <c r="M85" s="3">
        <f t="shared" si="17"/>
        <v>-2.2725454108986076E-2</v>
      </c>
      <c r="N85" s="3"/>
      <c r="O85" s="3">
        <f t="shared" si="18"/>
        <v>-7.7502829117068739E-3</v>
      </c>
      <c r="Q85" s="3">
        <v>-3.4618010165649695E-3</v>
      </c>
      <c r="R85">
        <v>76</v>
      </c>
    </row>
    <row r="86" spans="1:18" x14ac:dyDescent="0.3">
      <c r="A86" s="1">
        <v>45968</v>
      </c>
      <c r="B86">
        <v>2414</v>
      </c>
      <c r="C86">
        <v>3769.3</v>
      </c>
      <c r="D86">
        <v>1343</v>
      </c>
      <c r="E86">
        <v>2991.8</v>
      </c>
      <c r="F86">
        <v>3690.2</v>
      </c>
      <c r="H86" s="1">
        <v>45968</v>
      </c>
      <c r="I86" s="3">
        <f t="shared" si="13"/>
        <v>2.1587512454332991E-3</v>
      </c>
      <c r="J86" s="3">
        <f t="shared" si="14"/>
        <v>-8.8614251906389274E-3</v>
      </c>
      <c r="K86" s="3">
        <f t="shared" si="15"/>
        <v>-3.7091988130564246E-3</v>
      </c>
      <c r="L86" s="3">
        <f t="shared" si="16"/>
        <v>-1.1040592357529966E-2</v>
      </c>
      <c r="M86" s="3">
        <f t="shared" si="17"/>
        <v>7.1781435082833855E-3</v>
      </c>
      <c r="N86" s="3"/>
      <c r="O86" s="3">
        <f t="shared" si="18"/>
        <v>-4.4946073754393197E-3</v>
      </c>
      <c r="Q86" s="3">
        <v>-3.2127925608356313E-3</v>
      </c>
      <c r="R86">
        <v>77</v>
      </c>
    </row>
    <row r="87" spans="1:18" x14ac:dyDescent="0.3">
      <c r="A87" s="1">
        <v>45967</v>
      </c>
      <c r="B87">
        <v>2436</v>
      </c>
      <c r="C87">
        <v>3774.4</v>
      </c>
      <c r="D87">
        <v>1320.4</v>
      </c>
      <c r="E87">
        <v>3010.9</v>
      </c>
      <c r="F87">
        <v>3618.5</v>
      </c>
      <c r="H87" s="1">
        <v>45967</v>
      </c>
      <c r="I87" s="3">
        <f t="shared" si="13"/>
        <v>9.1135045567523054E-3</v>
      </c>
      <c r="J87" s="3">
        <f t="shared" si="14"/>
        <v>1.353036372801375E-3</v>
      </c>
      <c r="K87" s="3">
        <f t="shared" si="15"/>
        <v>-1.6827997021593433E-2</v>
      </c>
      <c r="L87" s="3">
        <f t="shared" si="16"/>
        <v>6.3841165853331105E-3</v>
      </c>
      <c r="M87" s="3">
        <f t="shared" si="17"/>
        <v>-1.9429841201018871E-2</v>
      </c>
      <c r="N87" s="3"/>
      <c r="O87" s="3">
        <f t="shared" si="18"/>
        <v>-4.0092751328001056E-3</v>
      </c>
      <c r="Q87" s="3">
        <v>-3.0830848487662598E-3</v>
      </c>
      <c r="R87">
        <v>78</v>
      </c>
    </row>
    <row r="88" spans="1:18" x14ac:dyDescent="0.3">
      <c r="A88" s="1">
        <v>45965</v>
      </c>
      <c r="B88">
        <v>2445.6999999999998</v>
      </c>
      <c r="C88">
        <v>3813.5</v>
      </c>
      <c r="D88">
        <v>1336.9</v>
      </c>
      <c r="E88">
        <v>2990.2</v>
      </c>
      <c r="F88">
        <v>3581.2</v>
      </c>
      <c r="H88" s="1">
        <v>45965</v>
      </c>
      <c r="I88" s="3">
        <f t="shared" si="13"/>
        <v>3.9819376026271058E-3</v>
      </c>
      <c r="J88" s="3">
        <f t="shared" si="14"/>
        <v>1.0359262399321612E-2</v>
      </c>
      <c r="K88" s="3">
        <f t="shared" si="15"/>
        <v>1.2496213268706535E-2</v>
      </c>
      <c r="L88" s="3">
        <f t="shared" si="16"/>
        <v>-6.8750207579130196E-3</v>
      </c>
      <c r="M88" s="3">
        <f t="shared" si="17"/>
        <v>-1.030813873151859E-2</v>
      </c>
      <c r="N88" s="3"/>
      <c r="O88" s="3">
        <f t="shared" si="18"/>
        <v>4.5301521961019654E-3</v>
      </c>
      <c r="Q88" s="3">
        <v>-3.0277373638644524E-3</v>
      </c>
      <c r="R88">
        <v>79</v>
      </c>
    </row>
    <row r="89" spans="1:18" x14ac:dyDescent="0.3">
      <c r="A89" s="1">
        <v>45964</v>
      </c>
      <c r="B89">
        <v>2460</v>
      </c>
      <c r="C89">
        <v>3724.5</v>
      </c>
      <c r="D89">
        <v>1346.4</v>
      </c>
      <c r="E89">
        <v>3016.8</v>
      </c>
      <c r="F89">
        <v>3548.9</v>
      </c>
      <c r="H89" s="1">
        <v>45964</v>
      </c>
      <c r="I89" s="3">
        <f t="shared" si="13"/>
        <v>5.8469967698411285E-3</v>
      </c>
      <c r="J89" s="3">
        <f t="shared" si="14"/>
        <v>-2.3338140815523767E-2</v>
      </c>
      <c r="K89" s="3">
        <f t="shared" si="15"/>
        <v>7.1059914728102136E-3</v>
      </c>
      <c r="L89" s="3">
        <f t="shared" si="16"/>
        <v>8.895726038392171E-3</v>
      </c>
      <c r="M89" s="3">
        <f t="shared" si="17"/>
        <v>-9.0193231319110057E-3</v>
      </c>
      <c r="N89" s="3"/>
      <c r="O89" s="3">
        <f t="shared" si="18"/>
        <v>-1.9484753520743752E-3</v>
      </c>
      <c r="Q89" s="3">
        <v>-2.8642757933732884E-3</v>
      </c>
      <c r="R89">
        <v>80</v>
      </c>
    </row>
    <row r="90" spans="1:18" x14ac:dyDescent="0.3">
      <c r="A90" s="1">
        <v>45961</v>
      </c>
      <c r="B90">
        <v>2465.5</v>
      </c>
      <c r="C90">
        <v>3746.7</v>
      </c>
      <c r="D90">
        <v>1345.3</v>
      </c>
      <c r="E90">
        <v>3058</v>
      </c>
      <c r="F90">
        <v>3487.2</v>
      </c>
      <c r="H90" s="1">
        <v>45961</v>
      </c>
      <c r="I90" s="3">
        <f t="shared" si="13"/>
        <v>2.2357723577235422E-3</v>
      </c>
      <c r="J90" s="3">
        <f t="shared" si="14"/>
        <v>5.9605316149817789E-3</v>
      </c>
      <c r="K90" s="3">
        <f t="shared" si="15"/>
        <v>-8.169934640523957E-4</v>
      </c>
      <c r="L90" s="3">
        <f t="shared" si="16"/>
        <v>1.3656854945637731E-2</v>
      </c>
      <c r="M90" s="3">
        <f t="shared" si="17"/>
        <v>-1.7385668798782783E-2</v>
      </c>
      <c r="N90" s="3"/>
      <c r="O90" s="3">
        <f t="shared" si="18"/>
        <v>2.5732048274375256E-3</v>
      </c>
      <c r="Q90" s="3">
        <v>-2.8378955912938377E-3</v>
      </c>
      <c r="R90">
        <v>81</v>
      </c>
    </row>
    <row r="91" spans="1:18" x14ac:dyDescent="0.3">
      <c r="A91" s="1">
        <v>45960</v>
      </c>
      <c r="B91">
        <v>2469.6</v>
      </c>
      <c r="C91">
        <v>3750.7</v>
      </c>
      <c r="D91">
        <v>1362.4</v>
      </c>
      <c r="E91">
        <v>3035.3</v>
      </c>
      <c r="F91">
        <v>3502.1</v>
      </c>
      <c r="H91" s="1">
        <v>45960</v>
      </c>
      <c r="I91" s="3">
        <f t="shared" si="13"/>
        <v>1.662948691948829E-3</v>
      </c>
      <c r="J91" s="3">
        <f t="shared" si="14"/>
        <v>1.0676061600876086E-3</v>
      </c>
      <c r="K91" s="3">
        <f t="shared" si="15"/>
        <v>1.2710919497509909E-2</v>
      </c>
      <c r="L91" s="3">
        <f t="shared" si="16"/>
        <v>-7.4231523871810534E-3</v>
      </c>
      <c r="M91" s="3">
        <f t="shared" si="17"/>
        <v>4.2727689837118721E-3</v>
      </c>
      <c r="N91" s="3"/>
      <c r="O91" s="3">
        <f t="shared" si="18"/>
        <v>3.2722661140021751E-3</v>
      </c>
      <c r="Q91" s="3">
        <v>-2.7800618941191402E-3</v>
      </c>
      <c r="R91">
        <v>82</v>
      </c>
    </row>
    <row r="92" spans="1:18" x14ac:dyDescent="0.3">
      <c r="A92" s="1">
        <v>45959</v>
      </c>
      <c r="B92">
        <v>2488.1</v>
      </c>
      <c r="C92">
        <v>3748.3</v>
      </c>
      <c r="D92">
        <v>1370.4</v>
      </c>
      <c r="E92">
        <v>3057.6</v>
      </c>
      <c r="F92">
        <v>3534.7</v>
      </c>
      <c r="H92" s="1">
        <v>45959</v>
      </c>
      <c r="I92" s="3">
        <f t="shared" si="13"/>
        <v>7.491091674765249E-3</v>
      </c>
      <c r="J92" s="3">
        <f t="shared" si="14"/>
        <v>-6.3988055562946844E-4</v>
      </c>
      <c r="K92" s="3">
        <f t="shared" si="15"/>
        <v>5.871990604815025E-3</v>
      </c>
      <c r="L92" s="3">
        <f t="shared" si="16"/>
        <v>7.3468849866569208E-3</v>
      </c>
      <c r="M92" s="3">
        <f t="shared" si="17"/>
        <v>9.3087004939893525E-3</v>
      </c>
      <c r="N92" s="3"/>
      <c r="O92" s="3">
        <f t="shared" si="18"/>
        <v>5.1255378404822475E-3</v>
      </c>
      <c r="Q92" s="3">
        <v>-2.7390054125186361E-3</v>
      </c>
      <c r="R92">
        <v>83</v>
      </c>
    </row>
    <row r="93" spans="1:18" x14ac:dyDescent="0.3">
      <c r="A93" s="1">
        <v>45958</v>
      </c>
      <c r="B93">
        <v>2497.1</v>
      </c>
      <c r="C93">
        <v>3717</v>
      </c>
      <c r="D93">
        <v>1363.1</v>
      </c>
      <c r="E93">
        <v>3057.9</v>
      </c>
      <c r="F93">
        <v>3579.1</v>
      </c>
      <c r="H93" s="1">
        <v>45958</v>
      </c>
      <c r="I93" s="3">
        <f t="shared" si="13"/>
        <v>3.6172179574776031E-3</v>
      </c>
      <c r="J93" s="3">
        <f t="shared" si="14"/>
        <v>-8.3504522049996366E-3</v>
      </c>
      <c r="K93" s="3">
        <f t="shared" si="15"/>
        <v>-5.326911850554672E-3</v>
      </c>
      <c r="L93" s="3">
        <f t="shared" si="16"/>
        <v>9.8116169544804066E-5</v>
      </c>
      <c r="M93" s="3">
        <f t="shared" si="17"/>
        <v>1.2561179166548753E-2</v>
      </c>
      <c r="N93" s="3"/>
      <c r="O93" s="3">
        <f t="shared" si="18"/>
        <v>-1.867362762230834E-3</v>
      </c>
      <c r="Q93" s="3">
        <v>-2.7264294245952837E-3</v>
      </c>
      <c r="R93">
        <v>84</v>
      </c>
    </row>
    <row r="94" spans="1:18" x14ac:dyDescent="0.3">
      <c r="A94" s="1">
        <v>45957</v>
      </c>
      <c r="B94">
        <v>2511.8000000000002</v>
      </c>
      <c r="C94">
        <v>3739.8</v>
      </c>
      <c r="D94">
        <v>1377.6</v>
      </c>
      <c r="E94">
        <v>3084.9</v>
      </c>
      <c r="F94">
        <v>3611.6</v>
      </c>
      <c r="H94" s="1">
        <v>45957</v>
      </c>
      <c r="I94" s="3">
        <f t="shared" si="13"/>
        <v>5.8868287213167392E-3</v>
      </c>
      <c r="J94" s="3">
        <f t="shared" si="14"/>
        <v>6.1339790153349671E-3</v>
      </c>
      <c r="K94" s="3">
        <f t="shared" si="15"/>
        <v>1.0637517423519816E-2</v>
      </c>
      <c r="L94" s="3">
        <f t="shared" si="16"/>
        <v>8.8295889335818778E-3</v>
      </c>
      <c r="M94" s="3">
        <f t="shared" si="17"/>
        <v>9.080495096532637E-3</v>
      </c>
      <c r="N94" s="3"/>
      <c r="O94" s="3">
        <f t="shared" si="18"/>
        <v>8.2817415854568362E-3</v>
      </c>
      <c r="Q94" s="3">
        <v>-2.7049348550906294E-3</v>
      </c>
      <c r="R94">
        <v>85</v>
      </c>
    </row>
    <row r="95" spans="1:18" x14ac:dyDescent="0.3">
      <c r="A95" s="1">
        <v>45954</v>
      </c>
      <c r="B95">
        <v>2516.4</v>
      </c>
      <c r="C95">
        <v>3714.9</v>
      </c>
      <c r="D95">
        <v>1377.7</v>
      </c>
      <c r="E95">
        <v>3063.2</v>
      </c>
      <c r="F95">
        <v>3625</v>
      </c>
      <c r="H95" s="1">
        <v>45954</v>
      </c>
      <c r="I95" s="3">
        <f t="shared" si="13"/>
        <v>1.8313559996814277E-3</v>
      </c>
      <c r="J95" s="3">
        <f t="shared" si="14"/>
        <v>-6.6581100593614551E-3</v>
      </c>
      <c r="K95" s="3">
        <f t="shared" si="15"/>
        <v>7.2590011614526162E-5</v>
      </c>
      <c r="L95" s="3">
        <f t="shared" si="16"/>
        <v>-7.0342636714318951E-3</v>
      </c>
      <c r="M95" s="3">
        <f t="shared" si="17"/>
        <v>3.7102669177095926E-3</v>
      </c>
      <c r="N95" s="3"/>
      <c r="O95" s="3">
        <f t="shared" si="18"/>
        <v>-2.4038731539192115E-3</v>
      </c>
      <c r="Q95" s="3">
        <v>-2.6866248709561669E-3</v>
      </c>
      <c r="R95">
        <v>86</v>
      </c>
    </row>
    <row r="96" spans="1:18" x14ac:dyDescent="0.3">
      <c r="A96" s="1">
        <v>45953</v>
      </c>
      <c r="B96">
        <v>2601.6</v>
      </c>
      <c r="C96">
        <v>3772.3</v>
      </c>
      <c r="D96">
        <v>1363.7</v>
      </c>
      <c r="E96">
        <v>3073.2</v>
      </c>
      <c r="F96">
        <v>3623.6</v>
      </c>
      <c r="H96" s="1">
        <v>45953</v>
      </c>
      <c r="I96" s="3">
        <f t="shared" si="13"/>
        <v>3.385789222699076E-2</v>
      </c>
      <c r="J96" s="3">
        <f t="shared" si="14"/>
        <v>1.5451290748068613E-2</v>
      </c>
      <c r="K96" s="3">
        <f t="shared" si="15"/>
        <v>-1.0161863976192231E-2</v>
      </c>
      <c r="L96" s="3">
        <f t="shared" si="16"/>
        <v>3.2645599373204437E-3</v>
      </c>
      <c r="M96" s="3">
        <f t="shared" si="17"/>
        <v>-3.8620689655177731E-4</v>
      </c>
      <c r="N96" s="3"/>
      <c r="O96" s="3">
        <f t="shared" si="18"/>
        <v>6.5072386260170085E-3</v>
      </c>
      <c r="Q96" s="3">
        <v>-2.5294964578041258E-3</v>
      </c>
      <c r="R96">
        <v>87</v>
      </c>
    </row>
    <row r="97" spans="1:18" x14ac:dyDescent="0.3">
      <c r="A97" s="1">
        <v>45951</v>
      </c>
      <c r="B97">
        <v>2591.6999999999998</v>
      </c>
      <c r="C97">
        <v>3729</v>
      </c>
      <c r="D97">
        <v>1382</v>
      </c>
      <c r="E97">
        <v>3006.7</v>
      </c>
      <c r="F97">
        <v>3621.2</v>
      </c>
      <c r="H97" s="1">
        <v>45951</v>
      </c>
      <c r="I97" s="3">
        <f t="shared" si="13"/>
        <v>-3.8053505535056154E-3</v>
      </c>
      <c r="J97" s="3">
        <f t="shared" si="14"/>
        <v>-1.1478408398059581E-2</v>
      </c>
      <c r="K97" s="3">
        <f t="shared" si="15"/>
        <v>1.341937376255764E-2</v>
      </c>
      <c r="L97" s="3">
        <f t="shared" si="16"/>
        <v>-2.1638682806195519E-2</v>
      </c>
      <c r="M97" s="3">
        <f t="shared" si="17"/>
        <v>-6.6232475990735118E-4</v>
      </c>
      <c r="N97" s="3"/>
      <c r="O97" s="3">
        <f t="shared" si="18"/>
        <v>-3.8085615910032847E-3</v>
      </c>
      <c r="Q97" s="3">
        <v>-2.4628027574723262E-3</v>
      </c>
      <c r="R97">
        <v>88</v>
      </c>
    </row>
    <row r="98" spans="1:18" x14ac:dyDescent="0.3">
      <c r="A98" s="1">
        <v>45950</v>
      </c>
      <c r="B98">
        <v>2594.4</v>
      </c>
      <c r="C98">
        <v>3737.2</v>
      </c>
      <c r="D98">
        <v>1390.3</v>
      </c>
      <c r="E98">
        <v>3015.2</v>
      </c>
      <c r="F98">
        <v>3599.1</v>
      </c>
      <c r="H98" s="1">
        <v>45950</v>
      </c>
      <c r="I98" s="3">
        <f t="shared" si="13"/>
        <v>1.0417872438941433E-3</v>
      </c>
      <c r="J98" s="3">
        <f t="shared" si="14"/>
        <v>2.1989809600428956E-3</v>
      </c>
      <c r="K98" s="3">
        <f t="shared" si="15"/>
        <v>6.0057887120115172E-3</v>
      </c>
      <c r="L98" s="3">
        <f t="shared" si="16"/>
        <v>2.8270196561013261E-3</v>
      </c>
      <c r="M98" s="3">
        <f t="shared" si="17"/>
        <v>-6.1029492985750222E-3</v>
      </c>
      <c r="N98" s="3"/>
      <c r="O98" s="3">
        <f t="shared" si="18"/>
        <v>2.4628589415610636E-3</v>
      </c>
      <c r="Q98" s="3">
        <v>-2.4038731539192115E-3</v>
      </c>
      <c r="R98">
        <v>89</v>
      </c>
    </row>
    <row r="99" spans="1:18" x14ac:dyDescent="0.3">
      <c r="A99" s="1">
        <v>45947</v>
      </c>
      <c r="B99">
        <v>2603.6999999999998</v>
      </c>
      <c r="C99">
        <v>3674.8</v>
      </c>
      <c r="D99">
        <v>1436.6</v>
      </c>
      <c r="E99">
        <v>2962.2</v>
      </c>
      <c r="F99">
        <v>3647.2</v>
      </c>
      <c r="H99" s="1">
        <v>45947</v>
      </c>
      <c r="I99" s="3">
        <f t="shared" si="13"/>
        <v>3.5846438482884935E-3</v>
      </c>
      <c r="J99" s="3">
        <f t="shared" si="14"/>
        <v>-1.669699240072775E-2</v>
      </c>
      <c r="K99" s="3">
        <f t="shared" si="15"/>
        <v>3.330216500035954E-2</v>
      </c>
      <c r="L99" s="3">
        <f t="shared" si="16"/>
        <v>-1.757760679225262E-2</v>
      </c>
      <c r="M99" s="3">
        <f t="shared" si="17"/>
        <v>1.3364452224167156E-2</v>
      </c>
      <c r="N99" s="3"/>
      <c r="O99" s="3">
        <f t="shared" si="18"/>
        <v>4.1750218411353898E-3</v>
      </c>
      <c r="Q99" s="3">
        <v>-2.3372523817473899E-3</v>
      </c>
      <c r="R99">
        <v>90</v>
      </c>
    </row>
    <row r="100" spans="1:18" x14ac:dyDescent="0.3">
      <c r="A100" s="1">
        <v>45946</v>
      </c>
      <c r="B100">
        <v>2561.5</v>
      </c>
      <c r="C100">
        <v>3640.3</v>
      </c>
      <c r="D100">
        <v>1417.3</v>
      </c>
      <c r="E100">
        <v>2970.7</v>
      </c>
      <c r="F100">
        <v>3560.8</v>
      </c>
      <c r="H100" s="1">
        <v>45946</v>
      </c>
      <c r="I100" s="3">
        <f t="shared" si="13"/>
        <v>-1.620770442063213E-2</v>
      </c>
      <c r="J100" s="3">
        <f t="shared" si="14"/>
        <v>-9.3882660280831809E-3</v>
      </c>
      <c r="K100" s="3">
        <f t="shared" si="15"/>
        <v>-1.343449812056241E-2</v>
      </c>
      <c r="L100" s="3">
        <f t="shared" si="16"/>
        <v>2.8694888933900042E-3</v>
      </c>
      <c r="M100" s="3">
        <f t="shared" si="17"/>
        <v>-2.3689405571397093E-2</v>
      </c>
      <c r="N100" s="3"/>
      <c r="O100" s="3">
        <f t="shared" si="18"/>
        <v>-1.0603614384746045E-2</v>
      </c>
      <c r="Q100" s="3">
        <v>-2.3339765022601599E-3</v>
      </c>
      <c r="R100">
        <v>91</v>
      </c>
    </row>
    <row r="101" spans="1:18" x14ac:dyDescent="0.3">
      <c r="A101" s="1">
        <v>45945</v>
      </c>
      <c r="B101">
        <v>2519</v>
      </c>
      <c r="C101">
        <v>3549</v>
      </c>
      <c r="D101">
        <v>1398.4</v>
      </c>
      <c r="E101">
        <v>2969.8</v>
      </c>
      <c r="F101">
        <v>3497.2</v>
      </c>
      <c r="H101" s="1">
        <v>45945</v>
      </c>
      <c r="I101" s="3">
        <f t="shared" si="13"/>
        <v>-1.6591840718329087E-2</v>
      </c>
      <c r="J101" s="3">
        <f t="shared" si="14"/>
        <v>-2.5080350520561567E-2</v>
      </c>
      <c r="K101" s="3">
        <f t="shared" si="15"/>
        <v>-1.3335214845128007E-2</v>
      </c>
      <c r="L101" s="3">
        <f t="shared" si="16"/>
        <v>-3.0295889857601122E-4</v>
      </c>
      <c r="M101" s="3">
        <f t="shared" si="17"/>
        <v>-1.7861154796675049E-2</v>
      </c>
      <c r="N101" s="3"/>
      <c r="O101" s="3">
        <f t="shared" si="18"/>
        <v>-1.4606135450810865E-2</v>
      </c>
      <c r="Q101" s="3">
        <v>-2.1966209699587069E-3</v>
      </c>
      <c r="R101">
        <v>92</v>
      </c>
    </row>
    <row r="102" spans="1:18" x14ac:dyDescent="0.3">
      <c r="A102" s="1">
        <v>45944</v>
      </c>
      <c r="B102">
        <v>2502.3000000000002</v>
      </c>
      <c r="C102">
        <v>3537.4</v>
      </c>
      <c r="D102">
        <v>1384.1</v>
      </c>
      <c r="E102">
        <v>2960.3</v>
      </c>
      <c r="F102">
        <v>3459.8</v>
      </c>
      <c r="H102" s="1">
        <v>45944</v>
      </c>
      <c r="I102" s="3">
        <f t="shared" si="13"/>
        <v>-6.6296149265581139E-3</v>
      </c>
      <c r="J102" s="3">
        <f t="shared" si="14"/>
        <v>-3.2685263454493851E-3</v>
      </c>
      <c r="K102" s="3">
        <f t="shared" si="15"/>
        <v>-1.0225972540045869E-2</v>
      </c>
      <c r="L102" s="3">
        <f t="shared" si="16"/>
        <v>-3.1988686106808606E-3</v>
      </c>
      <c r="M102" s="3">
        <f t="shared" si="17"/>
        <v>-1.0694269701475356E-2</v>
      </c>
      <c r="N102" s="3"/>
      <c r="O102" s="3">
        <f t="shared" si="18"/>
        <v>-6.5885662796435311E-3</v>
      </c>
      <c r="Q102" s="3">
        <v>-2.180292370975861E-3</v>
      </c>
      <c r="R102">
        <v>93</v>
      </c>
    </row>
    <row r="103" spans="1:18" x14ac:dyDescent="0.3">
      <c r="A103" s="1">
        <v>45943</v>
      </c>
      <c r="B103">
        <v>2492.8000000000002</v>
      </c>
      <c r="C103">
        <v>3533.6</v>
      </c>
      <c r="D103">
        <v>1379.4</v>
      </c>
      <c r="E103">
        <v>3007.2</v>
      </c>
      <c r="F103">
        <v>3459.7</v>
      </c>
      <c r="H103" s="1">
        <v>45943</v>
      </c>
      <c r="I103" s="3">
        <f t="shared" si="13"/>
        <v>-3.7965072133636646E-3</v>
      </c>
      <c r="J103" s="3">
        <f t="shared" si="14"/>
        <v>-1.0742353140725802E-3</v>
      </c>
      <c r="K103" s="3">
        <f t="shared" si="15"/>
        <v>-3.395708402571973E-3</v>
      </c>
      <c r="L103" s="3">
        <f t="shared" si="16"/>
        <v>1.5842988886261455E-2</v>
      </c>
      <c r="M103" s="3">
        <f t="shared" si="17"/>
        <v>-2.8903404821201129E-5</v>
      </c>
      <c r="N103" s="3"/>
      <c r="O103" s="3">
        <f t="shared" si="18"/>
        <v>1.3089600054758846E-3</v>
      </c>
      <c r="Q103" s="3">
        <v>-2.1622121747369109E-3</v>
      </c>
      <c r="R103">
        <v>94</v>
      </c>
    </row>
    <row r="104" spans="1:18" x14ac:dyDescent="0.3">
      <c r="A104" s="1">
        <v>45940</v>
      </c>
      <c r="B104">
        <v>2528.9</v>
      </c>
      <c r="C104">
        <v>3531.9</v>
      </c>
      <c r="D104">
        <v>1380.3</v>
      </c>
      <c r="E104">
        <v>3028.3</v>
      </c>
      <c r="F104">
        <v>3454.9</v>
      </c>
      <c r="H104" s="1">
        <v>45940</v>
      </c>
      <c r="I104" s="3">
        <f t="shared" si="13"/>
        <v>1.44817073170731E-2</v>
      </c>
      <c r="J104" s="3">
        <f t="shared" si="14"/>
        <v>-4.8109576635724238E-4</v>
      </c>
      <c r="K104" s="3">
        <f t="shared" si="15"/>
        <v>6.5245759025645E-4</v>
      </c>
      <c r="L104" s="3">
        <f t="shared" si="16"/>
        <v>7.0164937483374601E-3</v>
      </c>
      <c r="M104" s="3">
        <f t="shared" si="17"/>
        <v>-1.3874035320980971E-3</v>
      </c>
      <c r="N104" s="3"/>
      <c r="O104" s="3">
        <f t="shared" si="18"/>
        <v>3.5122778295062717E-3</v>
      </c>
      <c r="Q104" s="3">
        <v>-2.0615754005728184E-3</v>
      </c>
      <c r="R104">
        <v>95</v>
      </c>
    </row>
    <row r="105" spans="1:18" x14ac:dyDescent="0.3">
      <c r="A105" s="1">
        <v>45939</v>
      </c>
      <c r="B105">
        <v>2517.6</v>
      </c>
      <c r="C105">
        <v>3550.6</v>
      </c>
      <c r="D105">
        <v>1376.2</v>
      </c>
      <c r="E105">
        <v>3061.7</v>
      </c>
      <c r="F105">
        <v>3442.9</v>
      </c>
      <c r="H105" s="1">
        <v>45939</v>
      </c>
      <c r="I105" s="3">
        <f t="shared" si="13"/>
        <v>-4.4683459211515286E-3</v>
      </c>
      <c r="J105" s="3">
        <f t="shared" si="14"/>
        <v>5.2946006398821854E-3</v>
      </c>
      <c r="K105" s="3">
        <f t="shared" si="15"/>
        <v>-2.9703687604143436E-3</v>
      </c>
      <c r="L105" s="3">
        <f t="shared" si="16"/>
        <v>1.1029290360928368E-2</v>
      </c>
      <c r="M105" s="3">
        <f t="shared" si="17"/>
        <v>-3.4733277374163762E-3</v>
      </c>
      <c r="N105" s="3"/>
      <c r="O105" s="3">
        <f t="shared" si="18"/>
        <v>1.6208129421175499E-3</v>
      </c>
      <c r="Q105" s="3">
        <v>-1.9484753520743752E-3</v>
      </c>
      <c r="R105">
        <v>96</v>
      </c>
    </row>
    <row r="106" spans="1:18" x14ac:dyDescent="0.3">
      <c r="A106" s="1">
        <v>45938</v>
      </c>
      <c r="B106">
        <v>2500.1</v>
      </c>
      <c r="C106">
        <v>3565.6</v>
      </c>
      <c r="D106">
        <v>1370.3</v>
      </c>
      <c r="E106">
        <v>3027.2</v>
      </c>
      <c r="F106">
        <v>3426.5</v>
      </c>
      <c r="H106" s="1">
        <v>45938</v>
      </c>
      <c r="I106" s="3">
        <f t="shared" si="13"/>
        <v>-6.9510645058785681E-3</v>
      </c>
      <c r="J106" s="3">
        <f t="shared" si="14"/>
        <v>4.2246380893369295E-3</v>
      </c>
      <c r="K106" s="3">
        <f t="shared" si="15"/>
        <v>-4.2871675628542993E-3</v>
      </c>
      <c r="L106" s="3">
        <f t="shared" si="16"/>
        <v>-1.1268249665218666E-2</v>
      </c>
      <c r="M106" s="3">
        <f t="shared" si="17"/>
        <v>-4.7634261814168966E-3</v>
      </c>
      <c r="N106" s="3"/>
      <c r="O106" s="3">
        <f t="shared" si="18"/>
        <v>-4.0026429735892655E-3</v>
      </c>
      <c r="Q106" s="3">
        <v>-1.9150225156901292E-3</v>
      </c>
      <c r="R106">
        <v>97</v>
      </c>
    </row>
    <row r="107" spans="1:18" x14ac:dyDescent="0.3">
      <c r="A107" s="1">
        <v>45937</v>
      </c>
      <c r="B107">
        <v>2517.1999999999998</v>
      </c>
      <c r="C107">
        <v>3418.2</v>
      </c>
      <c r="D107">
        <v>1375.9</v>
      </c>
      <c r="E107">
        <v>2973.7</v>
      </c>
      <c r="F107">
        <v>3492.8</v>
      </c>
      <c r="H107" s="1">
        <v>45937</v>
      </c>
      <c r="I107" s="3">
        <f t="shared" si="13"/>
        <v>6.8397264109434364E-3</v>
      </c>
      <c r="J107" s="3">
        <f t="shared" si="14"/>
        <v>-4.1339466008525894E-2</v>
      </c>
      <c r="K107" s="3">
        <f t="shared" si="15"/>
        <v>4.0866963438663806E-3</v>
      </c>
      <c r="L107" s="3">
        <f t="shared" si="16"/>
        <v>-1.7673097251585612E-2</v>
      </c>
      <c r="M107" s="3">
        <f t="shared" si="17"/>
        <v>1.9349190135707017E-2</v>
      </c>
      <c r="N107" s="3"/>
      <c r="O107" s="3">
        <f t="shared" si="18"/>
        <v>-9.6825990740764655E-3</v>
      </c>
      <c r="Q107" s="3">
        <v>-1.867362762230834E-3</v>
      </c>
      <c r="R107">
        <v>98</v>
      </c>
    </row>
    <row r="108" spans="1:18" x14ac:dyDescent="0.3">
      <c r="A108" s="1">
        <v>45936</v>
      </c>
      <c r="B108">
        <v>2541.8000000000002</v>
      </c>
      <c r="C108">
        <v>3425.4</v>
      </c>
      <c r="D108">
        <v>1363.4</v>
      </c>
      <c r="E108">
        <v>2988.4</v>
      </c>
      <c r="F108">
        <v>3472</v>
      </c>
      <c r="H108" s="1">
        <v>45936</v>
      </c>
      <c r="I108" s="3">
        <f t="shared" si="13"/>
        <v>9.7727633878914588E-3</v>
      </c>
      <c r="J108" s="3">
        <f t="shared" si="14"/>
        <v>2.1063717746183652E-3</v>
      </c>
      <c r="K108" s="3">
        <f t="shared" si="15"/>
        <v>-9.0849625699541692E-3</v>
      </c>
      <c r="L108" s="3">
        <f t="shared" si="16"/>
        <v>4.9433365840536592E-3</v>
      </c>
      <c r="M108" s="3">
        <f t="shared" si="17"/>
        <v>-5.9551076500229394E-3</v>
      </c>
      <c r="N108" s="3"/>
      <c r="O108" s="3">
        <f t="shared" si="18"/>
        <v>-3.3982476733950299E-4</v>
      </c>
      <c r="Q108" s="3">
        <v>-1.7771578440845147E-3</v>
      </c>
      <c r="R108">
        <v>99</v>
      </c>
    </row>
    <row r="109" spans="1:18" x14ac:dyDescent="0.3">
      <c r="A109" s="1">
        <v>45933</v>
      </c>
      <c r="B109">
        <v>2544.9</v>
      </c>
      <c r="C109">
        <v>3453.3</v>
      </c>
      <c r="D109">
        <v>1365.2</v>
      </c>
      <c r="E109">
        <v>2901.9</v>
      </c>
      <c r="F109">
        <v>3462</v>
      </c>
      <c r="H109" s="1">
        <v>45933</v>
      </c>
      <c r="I109" s="3">
        <f t="shared" si="13"/>
        <v>1.2196081517035218E-3</v>
      </c>
      <c r="J109" s="3">
        <f t="shared" si="14"/>
        <v>8.1450341565949547E-3</v>
      </c>
      <c r="K109" s="3">
        <f t="shared" si="15"/>
        <v>1.3202288396654271E-3</v>
      </c>
      <c r="L109" s="3">
        <f t="shared" si="16"/>
        <v>-2.894525498594569E-2</v>
      </c>
      <c r="M109" s="3">
        <f t="shared" si="17"/>
        <v>-2.8801843317972642E-3</v>
      </c>
      <c r="N109" s="3"/>
      <c r="O109" s="3">
        <f t="shared" si="18"/>
        <v>-3.4618010165649695E-3</v>
      </c>
      <c r="Q109" s="3">
        <v>-1.5876461072992678E-3</v>
      </c>
      <c r="R109">
        <v>100</v>
      </c>
    </row>
    <row r="110" spans="1:18" x14ac:dyDescent="0.3">
      <c r="A110" s="1">
        <v>45931</v>
      </c>
      <c r="B110">
        <v>2536.1999999999998</v>
      </c>
      <c r="C110">
        <v>3408.3</v>
      </c>
      <c r="D110">
        <v>1372</v>
      </c>
      <c r="E110">
        <v>2914.2</v>
      </c>
      <c r="F110">
        <v>3463.4</v>
      </c>
      <c r="H110" s="1">
        <v>45931</v>
      </c>
      <c r="I110" s="3">
        <f t="shared" si="13"/>
        <v>-3.4186019097018905E-3</v>
      </c>
      <c r="J110" s="3">
        <f t="shared" si="14"/>
        <v>-1.3031013812874637E-2</v>
      </c>
      <c r="K110" s="3">
        <f t="shared" si="15"/>
        <v>4.9809551714035116E-3</v>
      </c>
      <c r="L110" s="3">
        <f t="shared" si="16"/>
        <v>4.2386022950480218E-3</v>
      </c>
      <c r="M110" s="3">
        <f t="shared" si="17"/>
        <v>4.043905257076208E-4</v>
      </c>
      <c r="N110" s="3"/>
      <c r="O110" s="3">
        <f t="shared" si="18"/>
        <v>-1.3880976766725227E-3</v>
      </c>
      <c r="Q110" s="3">
        <v>-1.3880976766725227E-3</v>
      </c>
      <c r="R110">
        <v>101</v>
      </c>
    </row>
    <row r="111" spans="1:18" x14ac:dyDescent="0.3">
      <c r="A111" s="1">
        <v>45930</v>
      </c>
      <c r="B111">
        <v>2514.4</v>
      </c>
      <c r="C111">
        <v>3367</v>
      </c>
      <c r="D111">
        <v>1348</v>
      </c>
      <c r="E111">
        <v>2888.4</v>
      </c>
      <c r="F111">
        <v>3427</v>
      </c>
      <c r="H111" s="1">
        <v>45930</v>
      </c>
      <c r="I111" s="3">
        <f t="shared" si="13"/>
        <v>-8.5955366296032176E-3</v>
      </c>
      <c r="J111" s="3">
        <f t="shared" si="14"/>
        <v>-1.2117477921544495E-2</v>
      </c>
      <c r="K111" s="3">
        <f t="shared" si="15"/>
        <v>-1.7492711370262426E-2</v>
      </c>
      <c r="L111" s="3">
        <f t="shared" si="16"/>
        <v>-8.8532015647517781E-3</v>
      </c>
      <c r="M111" s="3">
        <f t="shared" si="17"/>
        <v>-1.0509903562972878E-2</v>
      </c>
      <c r="N111" s="3"/>
      <c r="O111" s="3">
        <f t="shared" si="18"/>
        <v>-1.2388144055152978E-2</v>
      </c>
      <c r="Q111" s="3">
        <v>-1.3494739744515595E-3</v>
      </c>
      <c r="R111">
        <v>102</v>
      </c>
    </row>
    <row r="112" spans="1:18" x14ac:dyDescent="0.3">
      <c r="A112" s="1">
        <v>45929</v>
      </c>
      <c r="B112">
        <v>2497.9</v>
      </c>
      <c r="C112">
        <v>3401.2</v>
      </c>
      <c r="D112">
        <v>1348.1</v>
      </c>
      <c r="E112">
        <v>2896.1</v>
      </c>
      <c r="F112">
        <v>3418.1</v>
      </c>
      <c r="H112" s="1">
        <v>45929</v>
      </c>
      <c r="I112" s="3">
        <f t="shared" si="13"/>
        <v>-6.5622017181037329E-3</v>
      </c>
      <c r="J112" s="3">
        <f t="shared" si="14"/>
        <v>1.0157410157410007E-2</v>
      </c>
      <c r="K112" s="3">
        <f t="shared" si="15"/>
        <v>7.4183976261021911E-5</v>
      </c>
      <c r="L112" s="3">
        <f t="shared" si="16"/>
        <v>2.6658357568203339E-3</v>
      </c>
      <c r="M112" s="3">
        <f t="shared" si="17"/>
        <v>-2.59702363583314E-3</v>
      </c>
      <c r="N112" s="3"/>
      <c r="O112" s="3">
        <f t="shared" si="18"/>
        <v>1.8507422622960014E-3</v>
      </c>
      <c r="Q112" s="3">
        <v>-1.3148453568969207E-3</v>
      </c>
      <c r="R112">
        <v>103</v>
      </c>
    </row>
    <row r="113" spans="1:18" x14ac:dyDescent="0.3">
      <c r="A113" s="1">
        <v>45926</v>
      </c>
      <c r="B113">
        <v>2511.8000000000002</v>
      </c>
      <c r="C113">
        <v>3327.3</v>
      </c>
      <c r="D113">
        <v>1359.6</v>
      </c>
      <c r="E113">
        <v>2899.1</v>
      </c>
      <c r="F113">
        <v>3396.5</v>
      </c>
      <c r="H113" s="1">
        <v>45926</v>
      </c>
      <c r="I113" s="3">
        <f t="shared" si="13"/>
        <v>5.5646743264341492E-3</v>
      </c>
      <c r="J113" s="3">
        <f t="shared" si="14"/>
        <v>-2.1727625543925599E-2</v>
      </c>
      <c r="K113" s="3">
        <f t="shared" si="15"/>
        <v>8.5305244418070192E-3</v>
      </c>
      <c r="L113" s="3">
        <f t="shared" si="16"/>
        <v>1.0358758330168971E-3</v>
      </c>
      <c r="M113" s="3">
        <f t="shared" si="17"/>
        <v>-6.3193001960153428E-3</v>
      </c>
      <c r="N113" s="3"/>
      <c r="O113" s="3">
        <f t="shared" si="18"/>
        <v>-2.4628027574723262E-3</v>
      </c>
      <c r="Q113" s="3">
        <v>-1.1880716019437964E-3</v>
      </c>
      <c r="R113">
        <v>104</v>
      </c>
    </row>
    <row r="114" spans="1:18" x14ac:dyDescent="0.3">
      <c r="A114" s="1">
        <v>45925</v>
      </c>
      <c r="B114">
        <v>2538.3000000000002</v>
      </c>
      <c r="C114">
        <v>3378.5</v>
      </c>
      <c r="D114">
        <v>1375.8</v>
      </c>
      <c r="E114">
        <v>2957.4</v>
      </c>
      <c r="F114">
        <v>3530</v>
      </c>
      <c r="H114" s="1">
        <v>45925</v>
      </c>
      <c r="I114" s="3">
        <f t="shared" si="13"/>
        <v>1.0550203041643336E-2</v>
      </c>
      <c r="J114" s="3">
        <f t="shared" si="14"/>
        <v>1.5387852012141989E-2</v>
      </c>
      <c r="K114" s="3">
        <f t="shared" si="15"/>
        <v>1.1915269196822731E-2</v>
      </c>
      <c r="L114" s="3">
        <f t="shared" si="16"/>
        <v>2.0109689213894111E-2</v>
      </c>
      <c r="M114" s="3">
        <f t="shared" si="17"/>
        <v>3.9305167083762749E-2</v>
      </c>
      <c r="N114" s="3"/>
      <c r="O114" s="3">
        <f t="shared" si="18"/>
        <v>1.6956528769483916E-2</v>
      </c>
      <c r="Q114" s="3">
        <v>-1.1787264701952794E-3</v>
      </c>
      <c r="R114">
        <v>105</v>
      </c>
    </row>
    <row r="115" spans="1:18" x14ac:dyDescent="0.3">
      <c r="A115" s="1">
        <v>45924</v>
      </c>
      <c r="B115">
        <v>2549.5</v>
      </c>
      <c r="C115">
        <v>3418.3</v>
      </c>
      <c r="D115">
        <v>1382.7</v>
      </c>
      <c r="E115">
        <v>3035.4</v>
      </c>
      <c r="F115">
        <v>3574.9</v>
      </c>
      <c r="H115" s="1">
        <v>45924</v>
      </c>
      <c r="I115" s="3">
        <f t="shared" si="13"/>
        <v>4.4124020013394105E-3</v>
      </c>
      <c r="J115" s="3">
        <f t="shared" si="14"/>
        <v>1.1780375906467411E-2</v>
      </c>
      <c r="K115" s="3">
        <f t="shared" si="15"/>
        <v>5.0152638464893151E-3</v>
      </c>
      <c r="L115" s="3">
        <f t="shared" si="16"/>
        <v>2.637451815784142E-2</v>
      </c>
      <c r="M115" s="3">
        <f t="shared" si="17"/>
        <v>1.2719546742209653E-2</v>
      </c>
      <c r="N115" s="3"/>
      <c r="O115" s="3">
        <f t="shared" si="18"/>
        <v>1.165839173655381E-2</v>
      </c>
      <c r="Q115" s="3">
        <v>-1.1757758313070132E-3</v>
      </c>
      <c r="R115">
        <v>106</v>
      </c>
    </row>
    <row r="116" spans="1:18" x14ac:dyDescent="0.3">
      <c r="A116" s="1">
        <v>45923</v>
      </c>
      <c r="B116">
        <v>2522.1999999999998</v>
      </c>
      <c r="C116">
        <v>3439.2</v>
      </c>
      <c r="D116">
        <v>1394.3</v>
      </c>
      <c r="E116">
        <v>3062.4</v>
      </c>
      <c r="F116">
        <v>3614.6</v>
      </c>
      <c r="H116" s="1">
        <v>45923</v>
      </c>
      <c r="I116" s="3">
        <f t="shared" si="13"/>
        <v>-1.0707981957246537E-2</v>
      </c>
      <c r="J116" s="3">
        <f t="shared" si="14"/>
        <v>6.1141503086328264E-3</v>
      </c>
      <c r="K116" s="3">
        <f t="shared" si="15"/>
        <v>8.3893830910537481E-3</v>
      </c>
      <c r="L116" s="3">
        <f t="shared" si="16"/>
        <v>8.8950385451669334E-3</v>
      </c>
      <c r="M116" s="3">
        <f t="shared" si="17"/>
        <v>1.1105205740020718E-2</v>
      </c>
      <c r="N116" s="3"/>
      <c r="O116" s="3">
        <f t="shared" si="18"/>
        <v>5.3286834939228088E-3</v>
      </c>
      <c r="Q116" s="3">
        <v>-1.1418819200898099E-3</v>
      </c>
      <c r="R116">
        <v>107</v>
      </c>
    </row>
    <row r="117" spans="1:18" x14ac:dyDescent="0.3">
      <c r="A117" s="1">
        <v>45922</v>
      </c>
      <c r="B117">
        <v>2572.1999999999998</v>
      </c>
      <c r="C117">
        <v>3457.5</v>
      </c>
      <c r="D117">
        <v>1401.5</v>
      </c>
      <c r="E117">
        <v>3073.8</v>
      </c>
      <c r="F117">
        <v>3584.8</v>
      </c>
      <c r="H117" s="1">
        <v>45922</v>
      </c>
      <c r="I117" s="3">
        <f t="shared" si="13"/>
        <v>1.9823963206724304E-2</v>
      </c>
      <c r="J117" s="3">
        <f t="shared" si="14"/>
        <v>5.3210048848570946E-3</v>
      </c>
      <c r="K117" s="3">
        <f t="shared" si="15"/>
        <v>5.1638815176073827E-3</v>
      </c>
      <c r="L117" s="3">
        <f t="shared" si="16"/>
        <v>3.7225705329153591E-3</v>
      </c>
      <c r="M117" s="3">
        <f t="shared" si="17"/>
        <v>-8.244342389199244E-3</v>
      </c>
      <c r="N117" s="3"/>
      <c r="O117" s="3">
        <f t="shared" si="18"/>
        <v>5.7730900251682822E-3</v>
      </c>
      <c r="Q117" s="3">
        <v>-1.0900424137306349E-3</v>
      </c>
      <c r="R117">
        <v>108</v>
      </c>
    </row>
    <row r="118" spans="1:18" x14ac:dyDescent="0.3">
      <c r="A118" s="1">
        <v>45919</v>
      </c>
      <c r="B118">
        <v>2559.6</v>
      </c>
      <c r="C118">
        <v>3467.2</v>
      </c>
      <c r="D118">
        <v>1402.2</v>
      </c>
      <c r="E118">
        <v>3169.2</v>
      </c>
      <c r="F118">
        <v>3592.1</v>
      </c>
      <c r="H118" s="1">
        <v>45919</v>
      </c>
      <c r="I118" s="3">
        <f t="shared" si="13"/>
        <v>-4.8985304408677433E-3</v>
      </c>
      <c r="J118" s="3">
        <f t="shared" si="14"/>
        <v>2.805495300072236E-3</v>
      </c>
      <c r="K118" s="3">
        <f t="shared" si="15"/>
        <v>4.9946485907947924E-4</v>
      </c>
      <c r="L118" s="3">
        <f t="shared" si="16"/>
        <v>3.1036502049580195E-2</v>
      </c>
      <c r="M118" s="3">
        <f t="shared" si="17"/>
        <v>2.0363758089712025E-3</v>
      </c>
      <c r="N118" s="3"/>
      <c r="O118" s="3">
        <f t="shared" si="18"/>
        <v>6.5273717074249005E-3</v>
      </c>
      <c r="Q118" s="3">
        <v>-9.9223038701515298E-4</v>
      </c>
      <c r="R118">
        <v>109</v>
      </c>
    </row>
    <row r="119" spans="1:18" x14ac:dyDescent="0.3">
      <c r="A119" s="1">
        <v>45918</v>
      </c>
      <c r="B119">
        <v>2586.8000000000002</v>
      </c>
      <c r="C119">
        <v>3511.3</v>
      </c>
      <c r="D119">
        <v>1421.7</v>
      </c>
      <c r="E119">
        <v>3176.7</v>
      </c>
      <c r="F119">
        <v>3642.2</v>
      </c>
      <c r="H119" s="1">
        <v>45918</v>
      </c>
      <c r="I119" s="3">
        <f t="shared" si="13"/>
        <v>1.0626660415690159E-2</v>
      </c>
      <c r="J119" s="3">
        <f t="shared" si="14"/>
        <v>1.2719197046608288E-2</v>
      </c>
      <c r="K119" s="3">
        <f t="shared" si="15"/>
        <v>1.3906718014548458E-2</v>
      </c>
      <c r="L119" s="3">
        <f t="shared" si="16"/>
        <v>2.3665278303672821E-3</v>
      </c>
      <c r="M119" s="3">
        <f t="shared" si="17"/>
        <v>1.3947273182817854E-2</v>
      </c>
      <c r="N119" s="3"/>
      <c r="O119" s="3">
        <f t="shared" si="18"/>
        <v>1.0813846612725372E-2</v>
      </c>
      <c r="Q119" s="3">
        <v>-9.7496216088443447E-4</v>
      </c>
      <c r="R119">
        <v>110</v>
      </c>
    </row>
    <row r="120" spans="1:18" x14ac:dyDescent="0.3">
      <c r="A120" s="1">
        <v>45917</v>
      </c>
      <c r="B120">
        <v>2569.6999999999998</v>
      </c>
      <c r="C120">
        <v>3523</v>
      </c>
      <c r="D120">
        <v>1419.2</v>
      </c>
      <c r="E120">
        <v>3172.8</v>
      </c>
      <c r="F120">
        <v>3633.2</v>
      </c>
      <c r="H120" s="1">
        <v>45917</v>
      </c>
      <c r="I120" s="3">
        <f t="shared" si="13"/>
        <v>-6.6104839956704353E-3</v>
      </c>
      <c r="J120" s="3">
        <f t="shared" si="14"/>
        <v>3.3320992225100987E-3</v>
      </c>
      <c r="K120" s="3">
        <f t="shared" si="15"/>
        <v>-1.758458183864442E-3</v>
      </c>
      <c r="L120" s="3">
        <f t="shared" si="16"/>
        <v>-1.2276891113418564E-3</v>
      </c>
      <c r="M120" s="3">
        <f t="shared" si="17"/>
        <v>-2.4710339904453482E-3</v>
      </c>
      <c r="N120" s="3"/>
      <c r="O120" s="3">
        <f t="shared" si="18"/>
        <v>-1.1787264701952794E-3</v>
      </c>
      <c r="Q120" s="3">
        <v>-8.5469898846779447E-4</v>
      </c>
      <c r="R120">
        <v>111</v>
      </c>
    </row>
    <row r="121" spans="1:18" x14ac:dyDescent="0.3">
      <c r="A121" s="1">
        <v>45916</v>
      </c>
      <c r="B121">
        <v>2580.9</v>
      </c>
      <c r="C121">
        <v>3556.8</v>
      </c>
      <c r="D121">
        <v>1421.6</v>
      </c>
      <c r="E121">
        <v>3145.7</v>
      </c>
      <c r="F121">
        <v>3608</v>
      </c>
      <c r="H121" s="1">
        <v>45916</v>
      </c>
      <c r="I121" s="3">
        <f t="shared" si="13"/>
        <v>4.3584854263145623E-3</v>
      </c>
      <c r="J121" s="3">
        <f t="shared" si="14"/>
        <v>9.5940959409595017E-3</v>
      </c>
      <c r="K121" s="3">
        <f t="shared" si="15"/>
        <v>1.6910935738443378E-3</v>
      </c>
      <c r="L121" s="3">
        <f t="shared" si="16"/>
        <v>-8.5413514876451213E-3</v>
      </c>
      <c r="M121" s="3">
        <f t="shared" si="17"/>
        <v>-6.9360343498843235E-3</v>
      </c>
      <c r="N121" s="3"/>
      <c r="O121" s="3">
        <f t="shared" si="18"/>
        <v>1.157751138822904E-3</v>
      </c>
      <c r="Q121" s="3">
        <v>-8.1932847891978949E-4</v>
      </c>
      <c r="R121">
        <v>112</v>
      </c>
    </row>
    <row r="122" spans="1:18" x14ac:dyDescent="0.3">
      <c r="A122" s="1">
        <v>45915</v>
      </c>
      <c r="B122">
        <v>2581</v>
      </c>
      <c r="C122">
        <v>3534.1</v>
      </c>
      <c r="D122">
        <v>1419.4</v>
      </c>
      <c r="E122">
        <v>3111.9</v>
      </c>
      <c r="F122">
        <v>3530.3</v>
      </c>
      <c r="H122" s="1">
        <v>45915</v>
      </c>
      <c r="I122" s="3">
        <f t="shared" si="13"/>
        <v>3.8746173815384921E-5</v>
      </c>
      <c r="J122" s="3">
        <f t="shared" si="14"/>
        <v>-6.3821412505623565E-3</v>
      </c>
      <c r="K122" s="3">
        <f t="shared" si="15"/>
        <v>-1.54755205402346E-3</v>
      </c>
      <c r="L122" s="3">
        <f t="shared" si="16"/>
        <v>-1.0744826270782215E-2</v>
      </c>
      <c r="M122" s="3">
        <f t="shared" si="17"/>
        <v>-2.1535476718403501E-2</v>
      </c>
      <c r="N122" s="3"/>
      <c r="O122" s="3">
        <f t="shared" si="18"/>
        <v>-6.3565019287721127E-3</v>
      </c>
      <c r="Q122" s="3">
        <v>-8.16655686401052E-4</v>
      </c>
      <c r="R122">
        <v>113</v>
      </c>
    </row>
    <row r="123" spans="1:18" x14ac:dyDescent="0.3">
      <c r="A123" s="1">
        <v>45912</v>
      </c>
      <c r="B123">
        <v>2580.5</v>
      </c>
      <c r="C123">
        <v>3571.9</v>
      </c>
      <c r="D123">
        <v>1417.7</v>
      </c>
      <c r="E123">
        <v>3133.4</v>
      </c>
      <c r="F123">
        <v>3589.9</v>
      </c>
      <c r="H123" s="1">
        <v>45912</v>
      </c>
      <c r="I123" s="3">
        <f t="shared" si="13"/>
        <v>-1.9372336303757898E-4</v>
      </c>
      <c r="J123" s="3">
        <f t="shared" si="14"/>
        <v>1.0695792422398931E-2</v>
      </c>
      <c r="K123" s="3">
        <f t="shared" si="15"/>
        <v>-1.1976891644357446E-3</v>
      </c>
      <c r="L123" s="3">
        <f t="shared" si="16"/>
        <v>6.9089623702560665E-3</v>
      </c>
      <c r="M123" s="3">
        <f t="shared" si="17"/>
        <v>1.6882417924822146E-2</v>
      </c>
      <c r="N123" s="3"/>
      <c r="O123" s="3">
        <f t="shared" si="18"/>
        <v>5.3556171183468003E-3</v>
      </c>
      <c r="Q123" s="3">
        <v>-7.8063567233059876E-4</v>
      </c>
      <c r="R123">
        <v>114</v>
      </c>
    </row>
    <row r="124" spans="1:18" x14ac:dyDescent="0.3">
      <c r="A124" s="1">
        <v>45911</v>
      </c>
      <c r="B124">
        <v>2622</v>
      </c>
      <c r="C124">
        <v>3584.2</v>
      </c>
      <c r="D124">
        <v>1401.6</v>
      </c>
      <c r="E124">
        <v>3124.2</v>
      </c>
      <c r="F124">
        <v>3595.7</v>
      </c>
      <c r="H124" s="1">
        <v>45911</v>
      </c>
      <c r="I124" s="3">
        <f t="shared" si="13"/>
        <v>1.6082154621197553E-2</v>
      </c>
      <c r="J124" s="3">
        <f t="shared" si="14"/>
        <v>3.4435454520003184E-3</v>
      </c>
      <c r="K124" s="3">
        <f t="shared" si="15"/>
        <v>-1.135642237426826E-2</v>
      </c>
      <c r="L124" s="3">
        <f t="shared" si="16"/>
        <v>-2.9361077423885051E-3</v>
      </c>
      <c r="M124" s="3">
        <f t="shared" si="17"/>
        <v>1.6156438898018433E-3</v>
      </c>
      <c r="N124" s="3"/>
      <c r="O124" s="3">
        <f t="shared" si="18"/>
        <v>-5.5937431559828206E-4</v>
      </c>
      <c r="Q124" s="3">
        <v>-7.752348714203047E-4</v>
      </c>
      <c r="R124">
        <v>115</v>
      </c>
    </row>
    <row r="125" spans="1:18" x14ac:dyDescent="0.3">
      <c r="A125" s="1">
        <v>45910</v>
      </c>
      <c r="B125">
        <v>2643.5</v>
      </c>
      <c r="C125">
        <v>3620.6</v>
      </c>
      <c r="D125">
        <v>1403.9</v>
      </c>
      <c r="E125">
        <v>3110</v>
      </c>
      <c r="F125">
        <v>3604.4</v>
      </c>
      <c r="H125" s="1">
        <v>45910</v>
      </c>
      <c r="I125" s="3">
        <f t="shared" si="13"/>
        <v>8.1998474446987046E-3</v>
      </c>
      <c r="J125" s="3">
        <f t="shared" si="14"/>
        <v>1.0155683276602989E-2</v>
      </c>
      <c r="K125" s="3">
        <f t="shared" si="15"/>
        <v>1.6409817351599187E-3</v>
      </c>
      <c r="L125" s="3">
        <f t="shared" si="16"/>
        <v>-4.5451635618717345E-3</v>
      </c>
      <c r="M125" s="3">
        <f t="shared" si="17"/>
        <v>2.4195566927163181E-3</v>
      </c>
      <c r="N125" s="3"/>
      <c r="O125" s="3">
        <f t="shared" si="18"/>
        <v>3.5941154133008134E-3</v>
      </c>
      <c r="Q125" s="3">
        <v>-7.5745244213560887E-4</v>
      </c>
      <c r="R125">
        <v>116</v>
      </c>
    </row>
    <row r="126" spans="1:18" x14ac:dyDescent="0.3">
      <c r="A126" s="1">
        <v>45909</v>
      </c>
      <c r="B126">
        <v>2642</v>
      </c>
      <c r="C126">
        <v>3630.1</v>
      </c>
      <c r="D126">
        <v>1403.7</v>
      </c>
      <c r="E126">
        <v>3049.4</v>
      </c>
      <c r="F126">
        <v>3696.3</v>
      </c>
      <c r="H126" s="1">
        <v>45909</v>
      </c>
      <c r="I126" s="3">
        <f t="shared" si="13"/>
        <v>-5.67429544164888E-4</v>
      </c>
      <c r="J126" s="3">
        <f t="shared" si="14"/>
        <v>2.6238744959399263E-3</v>
      </c>
      <c r="K126" s="3">
        <f t="shared" si="15"/>
        <v>-1.4246028919440157E-4</v>
      </c>
      <c r="L126" s="3">
        <f t="shared" si="16"/>
        <v>-1.9485530546623719E-2</v>
      </c>
      <c r="M126" s="3">
        <f t="shared" si="17"/>
        <v>2.5496615248030263E-2</v>
      </c>
      <c r="N126" s="3"/>
      <c r="O126" s="3">
        <f t="shared" si="18"/>
        <v>-8.1932847891978949E-4</v>
      </c>
      <c r="Q126" s="3">
        <v>-6.7428700097780766E-4</v>
      </c>
      <c r="R126">
        <v>117</v>
      </c>
    </row>
    <row r="127" spans="1:18" x14ac:dyDescent="0.3">
      <c r="A127" s="1">
        <v>45908</v>
      </c>
      <c r="B127">
        <v>2623.9</v>
      </c>
      <c r="C127">
        <v>3658</v>
      </c>
      <c r="D127">
        <v>1402.7</v>
      </c>
      <c r="E127">
        <v>3019</v>
      </c>
      <c r="F127">
        <v>3701.4</v>
      </c>
      <c r="H127" s="1">
        <v>45908</v>
      </c>
      <c r="I127" s="3">
        <f t="shared" si="13"/>
        <v>-6.8508705526115765E-3</v>
      </c>
      <c r="J127" s="3">
        <f t="shared" si="14"/>
        <v>7.6857386848847575E-3</v>
      </c>
      <c r="K127" s="3">
        <f t="shared" si="15"/>
        <v>-7.1240293510010932E-4</v>
      </c>
      <c r="L127" s="3">
        <f t="shared" si="16"/>
        <v>-9.9691742637896263E-3</v>
      </c>
      <c r="M127" s="3">
        <f t="shared" si="17"/>
        <v>1.3797581365149192E-3</v>
      </c>
      <c r="N127" s="3"/>
      <c r="O127" s="3">
        <f t="shared" si="18"/>
        <v>-1.1757758313070132E-3</v>
      </c>
      <c r="Q127" s="3">
        <v>-5.8799911803866225E-4</v>
      </c>
      <c r="R127">
        <v>118</v>
      </c>
    </row>
    <row r="128" spans="1:18" x14ac:dyDescent="0.3">
      <c r="A128" s="1">
        <v>45905</v>
      </c>
      <c r="B128">
        <v>2633.4</v>
      </c>
      <c r="C128">
        <v>3665.3</v>
      </c>
      <c r="D128">
        <v>1402.8</v>
      </c>
      <c r="E128">
        <v>3048.3</v>
      </c>
      <c r="F128">
        <v>3561.3</v>
      </c>
      <c r="H128" s="1">
        <v>45905</v>
      </c>
      <c r="I128" s="3">
        <f t="shared" si="13"/>
        <v>3.6205648081100161E-3</v>
      </c>
      <c r="J128" s="3">
        <f t="shared" si="14"/>
        <v>1.9956260251503544E-3</v>
      </c>
      <c r="K128" s="3">
        <f t="shared" si="15"/>
        <v>7.129108148573593E-5</v>
      </c>
      <c r="L128" s="3">
        <f t="shared" si="16"/>
        <v>9.7052003974826828E-3</v>
      </c>
      <c r="M128" s="3">
        <f t="shared" si="17"/>
        <v>-3.7850543037769468E-2</v>
      </c>
      <c r="N128" s="3"/>
      <c r="O128" s="3">
        <f t="shared" si="18"/>
        <v>-7.8063567233059876E-4</v>
      </c>
      <c r="Q128" s="3">
        <v>-5.5937431559828206E-4</v>
      </c>
      <c r="R128">
        <v>119</v>
      </c>
    </row>
    <row r="129" spans="1:18" x14ac:dyDescent="0.3">
      <c r="A129" s="1">
        <v>45904</v>
      </c>
      <c r="B129">
        <v>2666.6</v>
      </c>
      <c r="C129">
        <v>3691.1</v>
      </c>
      <c r="D129">
        <v>1405.5</v>
      </c>
      <c r="E129">
        <v>3095.7</v>
      </c>
      <c r="F129">
        <v>3481.5</v>
      </c>
      <c r="H129" s="1">
        <v>45904</v>
      </c>
      <c r="I129" s="3">
        <f t="shared" si="13"/>
        <v>1.2607275765170511E-2</v>
      </c>
      <c r="J129" s="3">
        <f t="shared" si="14"/>
        <v>7.0389872588874081E-3</v>
      </c>
      <c r="K129" s="3">
        <f t="shared" si="15"/>
        <v>1.9247219846023622E-3</v>
      </c>
      <c r="L129" s="3">
        <f t="shared" si="16"/>
        <v>1.5549650624938405E-2</v>
      </c>
      <c r="M129" s="3">
        <f t="shared" si="17"/>
        <v>-2.2407547805576633E-2</v>
      </c>
      <c r="N129" s="3"/>
      <c r="O129" s="3">
        <f t="shared" si="18"/>
        <v>5.0974301193081554E-3</v>
      </c>
      <c r="Q129" s="3">
        <v>-5.4744901372837888E-4</v>
      </c>
      <c r="R129">
        <v>120</v>
      </c>
    </row>
    <row r="130" spans="1:18" x14ac:dyDescent="0.3">
      <c r="A130" s="1">
        <v>45903</v>
      </c>
      <c r="B130">
        <v>2664.7</v>
      </c>
      <c r="C130">
        <v>3690.6</v>
      </c>
      <c r="D130">
        <v>1397</v>
      </c>
      <c r="E130">
        <v>3097.5</v>
      </c>
      <c r="F130">
        <v>3286</v>
      </c>
      <c r="H130" s="1">
        <v>45903</v>
      </c>
      <c r="I130" s="3">
        <f t="shared" si="13"/>
        <v>-7.1251781294534577E-4</v>
      </c>
      <c r="J130" s="3">
        <f t="shared" si="14"/>
        <v>-1.3546097369343535E-4</v>
      </c>
      <c r="K130" s="3">
        <f t="shared" si="15"/>
        <v>-6.0476698683742391E-3</v>
      </c>
      <c r="L130" s="3">
        <f t="shared" si="16"/>
        <v>5.8145169105539019E-4</v>
      </c>
      <c r="M130" s="3">
        <f t="shared" si="17"/>
        <v>-5.6153956627890245E-2</v>
      </c>
      <c r="N130" s="3"/>
      <c r="O130" s="3">
        <f t="shared" si="18"/>
        <v>-7.454149200455379E-3</v>
      </c>
      <c r="Q130" s="3">
        <v>-5.3065418832987099E-4</v>
      </c>
      <c r="R130">
        <v>121</v>
      </c>
    </row>
    <row r="131" spans="1:18" x14ac:dyDescent="0.3">
      <c r="A131" s="1">
        <v>45902</v>
      </c>
      <c r="B131">
        <v>2677</v>
      </c>
      <c r="C131">
        <v>3620.6</v>
      </c>
      <c r="D131">
        <v>1394.2</v>
      </c>
      <c r="E131">
        <v>3111.5</v>
      </c>
      <c r="F131">
        <v>3234.5</v>
      </c>
      <c r="H131" s="1">
        <v>45902</v>
      </c>
      <c r="I131" s="3">
        <f t="shared" si="13"/>
        <v>4.6159042293691943E-3</v>
      </c>
      <c r="J131" s="3">
        <f t="shared" si="14"/>
        <v>-1.8967105619682401E-2</v>
      </c>
      <c r="K131" s="3">
        <f t="shared" si="15"/>
        <v>-2.0042949176807268E-3</v>
      </c>
      <c r="L131" s="3">
        <f t="shared" si="16"/>
        <v>4.5197740112994378E-3</v>
      </c>
      <c r="M131" s="3">
        <f t="shared" si="17"/>
        <v>-1.5672550213024938E-2</v>
      </c>
      <c r="N131" s="3"/>
      <c r="O131" s="3">
        <f t="shared" si="18"/>
        <v>-5.3139794648620455E-3</v>
      </c>
      <c r="Q131" s="3">
        <v>-4.2875712477647419E-4</v>
      </c>
      <c r="R131">
        <v>122</v>
      </c>
    </row>
    <row r="132" spans="1:18" x14ac:dyDescent="0.3">
      <c r="A132" s="1">
        <v>45901</v>
      </c>
      <c r="B132">
        <v>2649.5</v>
      </c>
      <c r="C132">
        <v>3618.6</v>
      </c>
      <c r="D132">
        <v>1411</v>
      </c>
      <c r="E132">
        <v>3112.6</v>
      </c>
      <c r="F132">
        <v>3315.4</v>
      </c>
      <c r="H132" s="1">
        <v>45901</v>
      </c>
      <c r="I132" s="3">
        <f t="shared" si="13"/>
        <v>-1.0272693313410519E-2</v>
      </c>
      <c r="J132" s="3">
        <f t="shared" si="14"/>
        <v>-5.5239463072420669E-4</v>
      </c>
      <c r="K132" s="3">
        <f t="shared" si="15"/>
        <v>1.2049921101707106E-2</v>
      </c>
      <c r="L132" s="3">
        <f t="shared" si="16"/>
        <v>3.5352723766668426E-4</v>
      </c>
      <c r="M132" s="3">
        <f t="shared" si="17"/>
        <v>2.5011593754830752E-2</v>
      </c>
      <c r="N132" s="3"/>
      <c r="O132" s="3">
        <f t="shared" si="18"/>
        <v>4.5078384988359145E-3</v>
      </c>
      <c r="Q132" s="3">
        <v>-3.661115424190176E-4</v>
      </c>
      <c r="R132">
        <v>123</v>
      </c>
    </row>
    <row r="133" spans="1:18" x14ac:dyDescent="0.3">
      <c r="A133" s="1">
        <v>45898</v>
      </c>
      <c r="B133">
        <v>2659.8</v>
      </c>
      <c r="C133">
        <v>3628.8</v>
      </c>
      <c r="D133">
        <v>1397.8</v>
      </c>
      <c r="E133">
        <v>3084.7</v>
      </c>
      <c r="F133">
        <v>3199.5</v>
      </c>
      <c r="H133" s="1">
        <v>45898</v>
      </c>
      <c r="I133" s="3">
        <f t="shared" si="13"/>
        <v>3.8875259482922253E-3</v>
      </c>
      <c r="J133" s="3">
        <f t="shared" si="14"/>
        <v>2.8187696899353298E-3</v>
      </c>
      <c r="K133" s="3">
        <f t="shared" si="15"/>
        <v>-9.3550673281360686E-3</v>
      </c>
      <c r="L133" s="3">
        <f t="shared" si="16"/>
        <v>-8.963567435584463E-3</v>
      </c>
      <c r="M133" s="3">
        <f t="shared" si="17"/>
        <v>-3.4958074440489817E-2</v>
      </c>
      <c r="N133" s="3"/>
      <c r="O133" s="3">
        <f t="shared" si="18"/>
        <v>-6.8072198148790286E-3</v>
      </c>
      <c r="Q133" s="3">
        <v>-3.3982476733950299E-4</v>
      </c>
      <c r="R133">
        <v>124</v>
      </c>
    </row>
    <row r="134" spans="1:18" x14ac:dyDescent="0.3">
      <c r="A134" s="1">
        <v>45897</v>
      </c>
      <c r="B134">
        <v>2654.4</v>
      </c>
      <c r="C134">
        <v>3637.7</v>
      </c>
      <c r="D134">
        <v>1399.1</v>
      </c>
      <c r="E134">
        <v>3093.7</v>
      </c>
      <c r="F134">
        <v>3295.3</v>
      </c>
      <c r="H134" s="1">
        <v>45897</v>
      </c>
      <c r="I134" s="3">
        <f t="shared" si="13"/>
        <v>-2.030227836679499E-3</v>
      </c>
      <c r="J134" s="3">
        <f t="shared" si="14"/>
        <v>2.4526014109347294E-3</v>
      </c>
      <c r="K134" s="3">
        <f t="shared" si="15"/>
        <v>9.300329088568482E-4</v>
      </c>
      <c r="L134" s="3">
        <f t="shared" si="16"/>
        <v>2.9176257010405937E-3</v>
      </c>
      <c r="M134" s="3">
        <f t="shared" si="17"/>
        <v>2.9942178465385272E-2</v>
      </c>
      <c r="N134" s="3"/>
      <c r="O134" s="3">
        <f t="shared" si="18"/>
        <v>4.1653690366354581E-3</v>
      </c>
      <c r="Q134" s="3">
        <v>-6.1391449280801414E-5</v>
      </c>
      <c r="R134">
        <v>125</v>
      </c>
    </row>
    <row r="135" spans="1:18" x14ac:dyDescent="0.3">
      <c r="A135" s="1">
        <v>45895</v>
      </c>
      <c r="B135">
        <v>2692.6</v>
      </c>
      <c r="C135">
        <v>3594</v>
      </c>
      <c r="D135">
        <v>1416.6</v>
      </c>
      <c r="E135">
        <v>3157.2</v>
      </c>
      <c r="F135">
        <v>3330.8</v>
      </c>
      <c r="H135" s="1">
        <v>45895</v>
      </c>
      <c r="I135" s="3">
        <f t="shared" ref="I135:I198" si="19">B135/B134-1</f>
        <v>1.4391199517781672E-2</v>
      </c>
      <c r="J135" s="3">
        <f t="shared" ref="J135:J198" si="20">C135/C134-1</f>
        <v>-1.2013085191192152E-2</v>
      </c>
      <c r="K135" s="3">
        <f t="shared" ref="K135:K198" si="21">D135/D134-1</f>
        <v>1.2508040883425053E-2</v>
      </c>
      <c r="L135" s="3">
        <f t="shared" ref="L135:L198" si="22">E135/E134-1</f>
        <v>2.0525584251866791E-2</v>
      </c>
      <c r="M135" s="3">
        <f t="shared" ref="M135:M198" si="23">F135/F134-1</f>
        <v>1.0772919005856751E-2</v>
      </c>
      <c r="N135" s="3"/>
      <c r="O135" s="3">
        <f t="shared" ref="O135:O198" si="24">I135*$R$5+J135*$S$5+K135*$T$5+L135*$U$5+M135*$V$5</f>
        <v>8.0902296458557621E-3</v>
      </c>
      <c r="Q135" s="3">
        <v>2.2193159931205856E-4</v>
      </c>
      <c r="R135">
        <v>126</v>
      </c>
    </row>
    <row r="136" spans="1:18" x14ac:dyDescent="0.3">
      <c r="A136" s="1">
        <v>45894</v>
      </c>
      <c r="B136">
        <v>2631.6</v>
      </c>
      <c r="C136">
        <v>3651.4</v>
      </c>
      <c r="D136">
        <v>1433.2</v>
      </c>
      <c r="E136">
        <v>3140.6</v>
      </c>
      <c r="F136">
        <v>3398.9</v>
      </c>
      <c r="H136" s="1">
        <v>45894</v>
      </c>
      <c r="I136" s="3">
        <f t="shared" si="19"/>
        <v>-2.2654683205823423E-2</v>
      </c>
      <c r="J136" s="3">
        <f t="shared" si="20"/>
        <v>1.597106288258221E-2</v>
      </c>
      <c r="K136" s="3">
        <f t="shared" si="21"/>
        <v>1.1718198503459121E-2</v>
      </c>
      <c r="L136" s="3">
        <f t="shared" si="22"/>
        <v>-5.2578233878119995E-3</v>
      </c>
      <c r="M136" s="3">
        <f t="shared" si="23"/>
        <v>2.0445538609343172E-2</v>
      </c>
      <c r="N136" s="3"/>
      <c r="O136" s="3">
        <f t="shared" si="24"/>
        <v>5.103011974181693E-3</v>
      </c>
      <c r="Q136" s="3">
        <v>3.1324385920514794E-4</v>
      </c>
      <c r="R136">
        <v>127</v>
      </c>
    </row>
    <row r="137" spans="1:18" x14ac:dyDescent="0.3">
      <c r="A137" s="1">
        <v>45891</v>
      </c>
      <c r="B137">
        <v>2629.9</v>
      </c>
      <c r="C137">
        <v>3621</v>
      </c>
      <c r="D137">
        <v>1436.4</v>
      </c>
      <c r="E137">
        <v>3054</v>
      </c>
      <c r="F137">
        <v>3403</v>
      </c>
      <c r="H137" s="1">
        <v>45891</v>
      </c>
      <c r="I137" s="3">
        <f t="shared" si="19"/>
        <v>-6.4599483204130781E-4</v>
      </c>
      <c r="J137" s="3">
        <f t="shared" si="20"/>
        <v>-8.3255737525332885E-3</v>
      </c>
      <c r="K137" s="3">
        <f t="shared" si="21"/>
        <v>2.2327658386827043E-3</v>
      </c>
      <c r="L137" s="3">
        <f t="shared" si="22"/>
        <v>-2.7574348850538111E-2</v>
      </c>
      <c r="M137" s="3">
        <f t="shared" si="23"/>
        <v>1.2062726176116367E-3</v>
      </c>
      <c r="N137" s="3"/>
      <c r="O137" s="3">
        <f t="shared" si="24"/>
        <v>-6.902705419681166E-3</v>
      </c>
      <c r="Q137" s="3">
        <v>3.4089777178663574E-4</v>
      </c>
      <c r="R137">
        <v>128</v>
      </c>
    </row>
    <row r="138" spans="1:18" x14ac:dyDescent="0.3">
      <c r="A138" s="1">
        <v>45890</v>
      </c>
      <c r="B138">
        <v>2648</v>
      </c>
      <c r="C138">
        <v>3616.3</v>
      </c>
      <c r="D138">
        <v>1446</v>
      </c>
      <c r="E138">
        <v>3102.6</v>
      </c>
      <c r="F138">
        <v>3375.1</v>
      </c>
      <c r="H138" s="1">
        <v>45890</v>
      </c>
      <c r="I138" s="3">
        <f t="shared" si="19"/>
        <v>6.8823909654358584E-3</v>
      </c>
      <c r="J138" s="3">
        <f t="shared" si="20"/>
        <v>-1.2979839823252792E-3</v>
      </c>
      <c r="K138" s="3">
        <f t="shared" si="21"/>
        <v>6.6833751044277356E-3</v>
      </c>
      <c r="L138" s="3">
        <f t="shared" si="22"/>
        <v>1.5913555992141504E-2</v>
      </c>
      <c r="M138" s="3">
        <f t="shared" si="23"/>
        <v>-8.1986482515428172E-3</v>
      </c>
      <c r="N138" s="3"/>
      <c r="O138" s="3">
        <f t="shared" si="24"/>
        <v>5.0757215538363987E-3</v>
      </c>
      <c r="Q138" s="3">
        <v>3.7476050251203374E-4</v>
      </c>
      <c r="R138">
        <v>129</v>
      </c>
    </row>
    <row r="139" spans="1:18" x14ac:dyDescent="0.3">
      <c r="A139" s="1">
        <v>45889</v>
      </c>
      <c r="B139">
        <v>2669.8</v>
      </c>
      <c r="C139">
        <v>3595</v>
      </c>
      <c r="D139">
        <v>1430.6</v>
      </c>
      <c r="E139">
        <v>3098.6</v>
      </c>
      <c r="F139">
        <v>3395.6</v>
      </c>
      <c r="H139" s="1">
        <v>45889</v>
      </c>
      <c r="I139" s="3">
        <f t="shared" si="19"/>
        <v>8.232628398791686E-3</v>
      </c>
      <c r="J139" s="3">
        <f t="shared" si="20"/>
        <v>-5.8899980643198901E-3</v>
      </c>
      <c r="K139" s="3">
        <f t="shared" si="21"/>
        <v>-1.0650069156293296E-2</v>
      </c>
      <c r="L139" s="3">
        <f t="shared" si="22"/>
        <v>-1.2892412815058707E-3</v>
      </c>
      <c r="M139" s="3">
        <f t="shared" si="23"/>
        <v>6.0738941068412267E-3</v>
      </c>
      <c r="N139" s="3"/>
      <c r="O139" s="3">
        <f t="shared" si="24"/>
        <v>-3.0830848487662598E-3</v>
      </c>
      <c r="Q139" s="3">
        <v>6.0975980684104827E-4</v>
      </c>
      <c r="R139">
        <v>130</v>
      </c>
    </row>
    <row r="140" spans="1:18" x14ac:dyDescent="0.3">
      <c r="A140" s="1">
        <v>45888</v>
      </c>
      <c r="B140">
        <v>2604.8000000000002</v>
      </c>
      <c r="C140">
        <v>3568.1</v>
      </c>
      <c r="D140">
        <v>1436.3</v>
      </c>
      <c r="E140">
        <v>3016.2</v>
      </c>
      <c r="F140">
        <v>3354</v>
      </c>
      <c r="H140" s="1">
        <v>45888</v>
      </c>
      <c r="I140" s="3">
        <f t="shared" si="19"/>
        <v>-2.4346392988238819E-2</v>
      </c>
      <c r="J140" s="3">
        <f t="shared" si="20"/>
        <v>-7.4826147426981793E-3</v>
      </c>
      <c r="K140" s="3">
        <f t="shared" si="21"/>
        <v>3.9843422340277712E-3</v>
      </c>
      <c r="L140" s="3">
        <f t="shared" si="22"/>
        <v>-2.6592654747305211E-2</v>
      </c>
      <c r="M140" s="3">
        <f t="shared" si="23"/>
        <v>-1.225114854517606E-2</v>
      </c>
      <c r="N140" s="3"/>
      <c r="O140" s="3">
        <f t="shared" si="24"/>
        <v>-1.0870955767680685E-2</v>
      </c>
      <c r="Q140" s="3">
        <v>7.9660243323093646E-4</v>
      </c>
      <c r="R140">
        <v>131</v>
      </c>
    </row>
    <row r="141" spans="1:18" x14ac:dyDescent="0.3">
      <c r="A141" s="1">
        <v>45887</v>
      </c>
      <c r="B141">
        <v>2568.1</v>
      </c>
      <c r="C141">
        <v>3554.8</v>
      </c>
      <c r="D141">
        <v>1434.6</v>
      </c>
      <c r="E141">
        <v>3011.2</v>
      </c>
      <c r="F141">
        <v>3383.1</v>
      </c>
      <c r="H141" s="1">
        <v>45887</v>
      </c>
      <c r="I141" s="3">
        <f t="shared" si="19"/>
        <v>-1.4089373464373556E-2</v>
      </c>
      <c r="J141" s="3">
        <f t="shared" si="20"/>
        <v>-3.7274740057733347E-3</v>
      </c>
      <c r="K141" s="3">
        <f t="shared" si="21"/>
        <v>-1.1835967416278237E-3</v>
      </c>
      <c r="L141" s="3">
        <f t="shared" si="22"/>
        <v>-1.6577150056362733E-3</v>
      </c>
      <c r="M141" s="3">
        <f t="shared" si="23"/>
        <v>8.6762075134168004E-3</v>
      </c>
      <c r="N141" s="3"/>
      <c r="O141" s="3">
        <f t="shared" si="24"/>
        <v>-2.8642757933732884E-3</v>
      </c>
      <c r="Q141" s="3">
        <v>9.745085950132184E-4</v>
      </c>
      <c r="R141">
        <v>132</v>
      </c>
    </row>
    <row r="142" spans="1:18" x14ac:dyDescent="0.3">
      <c r="A142" s="1">
        <v>45883</v>
      </c>
      <c r="B142">
        <v>2480.6</v>
      </c>
      <c r="C142">
        <v>3489.4</v>
      </c>
      <c r="D142">
        <v>1427.3</v>
      </c>
      <c r="E142">
        <v>3022.3</v>
      </c>
      <c r="F142">
        <v>3265.4</v>
      </c>
      <c r="H142" s="1">
        <v>45883</v>
      </c>
      <c r="I142" s="3">
        <f t="shared" si="19"/>
        <v>-3.4071881936061699E-2</v>
      </c>
      <c r="J142" s="3">
        <f t="shared" si="20"/>
        <v>-1.8397659502644381E-2</v>
      </c>
      <c r="K142" s="3">
        <f t="shared" si="21"/>
        <v>-5.0885264185138723E-3</v>
      </c>
      <c r="L142" s="3">
        <f t="shared" si="22"/>
        <v>3.6862380446334164E-3</v>
      </c>
      <c r="M142" s="3">
        <f t="shared" si="23"/>
        <v>-3.4790576690017949E-2</v>
      </c>
      <c r="N142" s="3"/>
      <c r="O142" s="3">
        <f t="shared" si="24"/>
        <v>-1.3978565151699623E-2</v>
      </c>
      <c r="Q142" s="3">
        <v>1.157751138822904E-3</v>
      </c>
      <c r="R142">
        <v>133</v>
      </c>
    </row>
    <row r="143" spans="1:18" x14ac:dyDescent="0.3">
      <c r="A143" s="1">
        <v>45882</v>
      </c>
      <c r="B143">
        <v>2495.1</v>
      </c>
      <c r="C143">
        <v>3466.8</v>
      </c>
      <c r="D143">
        <v>1420.8</v>
      </c>
      <c r="E143">
        <v>3036.2</v>
      </c>
      <c r="F143">
        <v>3282.2</v>
      </c>
      <c r="H143" s="1">
        <v>45882</v>
      </c>
      <c r="I143" s="3">
        <f t="shared" si="19"/>
        <v>5.8453599935499589E-3</v>
      </c>
      <c r="J143" s="3">
        <f t="shared" si="20"/>
        <v>-6.4767581819223929E-3</v>
      </c>
      <c r="K143" s="3">
        <f t="shared" si="21"/>
        <v>-4.5540531072654211E-3</v>
      </c>
      <c r="L143" s="3">
        <f t="shared" si="22"/>
        <v>4.5991463454984061E-3</v>
      </c>
      <c r="M143" s="3">
        <f t="shared" si="23"/>
        <v>5.144852085502416E-3</v>
      </c>
      <c r="N143" s="3"/>
      <c r="O143" s="3">
        <f t="shared" si="24"/>
        <v>-6.7428700097780766E-4</v>
      </c>
      <c r="Q143" s="3">
        <v>1.2697493223735811E-3</v>
      </c>
      <c r="R143">
        <v>134</v>
      </c>
    </row>
    <row r="144" spans="1:18" x14ac:dyDescent="0.3">
      <c r="A144" s="1">
        <v>45881</v>
      </c>
      <c r="B144">
        <v>2483.8000000000002</v>
      </c>
      <c r="C144">
        <v>3486.8</v>
      </c>
      <c r="D144">
        <v>1422</v>
      </c>
      <c r="E144">
        <v>3035.4</v>
      </c>
      <c r="F144">
        <v>3236.5</v>
      </c>
      <c r="H144" s="1">
        <v>45881</v>
      </c>
      <c r="I144" s="3">
        <f t="shared" si="19"/>
        <v>-4.5288765981322809E-3</v>
      </c>
      <c r="J144" s="3">
        <f t="shared" si="20"/>
        <v>5.7690088842736742E-3</v>
      </c>
      <c r="K144" s="3">
        <f t="shared" si="21"/>
        <v>8.4459459459451658E-4</v>
      </c>
      <c r="L144" s="3">
        <f t="shared" si="22"/>
        <v>-2.6348725380398452E-4</v>
      </c>
      <c r="M144" s="3">
        <f t="shared" si="23"/>
        <v>-1.3923587837426088E-2</v>
      </c>
      <c r="N144" s="3"/>
      <c r="O144" s="3">
        <f t="shared" si="24"/>
        <v>-4.2875712477647419E-4</v>
      </c>
      <c r="Q144" s="3">
        <v>1.3089600054758846E-3</v>
      </c>
      <c r="R144">
        <v>135</v>
      </c>
    </row>
    <row r="145" spans="1:18" x14ac:dyDescent="0.3">
      <c r="A145" s="1">
        <v>45880</v>
      </c>
      <c r="B145">
        <v>2518.4</v>
      </c>
      <c r="C145">
        <v>3467.9</v>
      </c>
      <c r="D145">
        <v>1436.6</v>
      </c>
      <c r="E145">
        <v>3040.8</v>
      </c>
      <c r="F145">
        <v>3186.2</v>
      </c>
      <c r="H145" s="1">
        <v>45880</v>
      </c>
      <c r="I145" s="3">
        <f t="shared" si="19"/>
        <v>1.3930268137531066E-2</v>
      </c>
      <c r="J145" s="3">
        <f t="shared" si="20"/>
        <v>-5.4204428128943327E-3</v>
      </c>
      <c r="K145" s="3">
        <f t="shared" si="21"/>
        <v>1.0267229254570909E-2</v>
      </c>
      <c r="L145" s="3">
        <f t="shared" si="22"/>
        <v>1.7790077090333867E-3</v>
      </c>
      <c r="M145" s="3">
        <f t="shared" si="23"/>
        <v>-1.5541479993820495E-2</v>
      </c>
      <c r="N145" s="3"/>
      <c r="O145" s="3">
        <f t="shared" si="24"/>
        <v>2.6162518362019766E-3</v>
      </c>
      <c r="Q145" s="3">
        <v>1.3206554941620988E-3</v>
      </c>
      <c r="R145">
        <v>136</v>
      </c>
    </row>
    <row r="146" spans="1:18" x14ac:dyDescent="0.3">
      <c r="A146" s="1">
        <v>45877</v>
      </c>
      <c r="B146">
        <v>2498.6</v>
      </c>
      <c r="C146">
        <v>3460.2</v>
      </c>
      <c r="D146">
        <v>1435.9</v>
      </c>
      <c r="E146">
        <v>3036.4</v>
      </c>
      <c r="F146">
        <v>3144.2</v>
      </c>
      <c r="H146" s="1">
        <v>45877</v>
      </c>
      <c r="I146" s="3">
        <f t="shared" si="19"/>
        <v>-7.8621346886913468E-3</v>
      </c>
      <c r="J146" s="3">
        <f t="shared" si="20"/>
        <v>-2.2203639089940497E-3</v>
      </c>
      <c r="K146" s="3">
        <f t="shared" si="21"/>
        <v>-4.8726158986478474E-4</v>
      </c>
      <c r="L146" s="3">
        <f t="shared" si="22"/>
        <v>-1.4469876348329747E-3</v>
      </c>
      <c r="M146" s="3">
        <f t="shared" si="23"/>
        <v>-1.3181846713953949E-2</v>
      </c>
      <c r="N146" s="3"/>
      <c r="O146" s="3">
        <f t="shared" si="24"/>
        <v>-3.4881718558736397E-3</v>
      </c>
      <c r="Q146" s="3">
        <v>1.3425857959203816E-3</v>
      </c>
      <c r="R146">
        <v>137</v>
      </c>
    </row>
    <row r="147" spans="1:18" x14ac:dyDescent="0.3">
      <c r="A147" s="1">
        <v>45876</v>
      </c>
      <c r="B147">
        <v>2517.5</v>
      </c>
      <c r="C147">
        <v>3415.7</v>
      </c>
      <c r="D147">
        <v>1440.3</v>
      </c>
      <c r="E147">
        <v>3047</v>
      </c>
      <c r="F147">
        <v>3211.1</v>
      </c>
      <c r="H147" s="1">
        <v>45876</v>
      </c>
      <c r="I147" s="3">
        <f t="shared" si="19"/>
        <v>7.5642359721443952E-3</v>
      </c>
      <c r="J147" s="3">
        <f t="shared" si="20"/>
        <v>-1.2860528293162199E-2</v>
      </c>
      <c r="K147" s="3">
        <f t="shared" si="21"/>
        <v>3.0642802423566096E-3</v>
      </c>
      <c r="L147" s="3">
        <f t="shared" si="22"/>
        <v>3.490976155974046E-3</v>
      </c>
      <c r="M147" s="3">
        <f t="shared" si="23"/>
        <v>2.1277272438140038E-2</v>
      </c>
      <c r="N147" s="3"/>
      <c r="O147" s="3">
        <f t="shared" si="24"/>
        <v>1.6647098702469057E-3</v>
      </c>
      <c r="Q147" s="3">
        <v>1.3504153145328269E-3</v>
      </c>
      <c r="R147">
        <v>138</v>
      </c>
    </row>
    <row r="148" spans="1:18" x14ac:dyDescent="0.3">
      <c r="A148" s="1">
        <v>45875</v>
      </c>
      <c r="B148">
        <v>2535.6</v>
      </c>
      <c r="C148">
        <v>3417.7</v>
      </c>
      <c r="D148">
        <v>1443.6</v>
      </c>
      <c r="E148">
        <v>3032.3</v>
      </c>
      <c r="F148">
        <v>3227.5</v>
      </c>
      <c r="H148" s="1">
        <v>45875</v>
      </c>
      <c r="I148" s="3">
        <f t="shared" si="19"/>
        <v>7.1896722939424063E-3</v>
      </c>
      <c r="J148" s="3">
        <f t="shared" si="20"/>
        <v>5.8553151623375044E-4</v>
      </c>
      <c r="K148" s="3">
        <f t="shared" si="21"/>
        <v>2.291189335555055E-3</v>
      </c>
      <c r="L148" s="3">
        <f t="shared" si="22"/>
        <v>-4.8244174597964484E-3</v>
      </c>
      <c r="M148" s="3">
        <f t="shared" si="23"/>
        <v>5.1072841082495657E-3</v>
      </c>
      <c r="N148" s="3"/>
      <c r="O148" s="3">
        <f t="shared" si="24"/>
        <v>1.4580354426819819E-3</v>
      </c>
      <c r="Q148" s="3">
        <v>1.3525887633359323E-3</v>
      </c>
      <c r="R148">
        <v>139</v>
      </c>
    </row>
    <row r="149" spans="1:18" x14ac:dyDescent="0.3">
      <c r="A149" s="1">
        <v>45874</v>
      </c>
      <c r="B149">
        <v>2534.6999999999998</v>
      </c>
      <c r="C149">
        <v>3418.2</v>
      </c>
      <c r="D149">
        <v>1444.4</v>
      </c>
      <c r="E149">
        <v>3063.9</v>
      </c>
      <c r="F149">
        <v>3212.2</v>
      </c>
      <c r="H149" s="1">
        <v>45874</v>
      </c>
      <c r="I149" s="3">
        <f t="shared" si="19"/>
        <v>-3.5494557501192237E-4</v>
      </c>
      <c r="J149" s="3">
        <f t="shared" si="20"/>
        <v>1.4629721742687174E-4</v>
      </c>
      <c r="K149" s="3">
        <f t="shared" si="21"/>
        <v>5.5417013023006945E-4</v>
      </c>
      <c r="L149" s="3">
        <f t="shared" si="22"/>
        <v>1.0421132473699801E-2</v>
      </c>
      <c r="M149" s="3">
        <f t="shared" si="23"/>
        <v>-4.7405112316034614E-3</v>
      </c>
      <c r="N149" s="3"/>
      <c r="O149" s="3">
        <f t="shared" si="24"/>
        <v>1.7597588787535644E-3</v>
      </c>
      <c r="Q149" s="3">
        <v>1.3776202861599807E-3</v>
      </c>
      <c r="R149">
        <v>140</v>
      </c>
    </row>
    <row r="150" spans="1:18" x14ac:dyDescent="0.3">
      <c r="A150" s="1">
        <v>45873</v>
      </c>
      <c r="B150">
        <v>2543.6999999999998</v>
      </c>
      <c r="C150">
        <v>3356.3</v>
      </c>
      <c r="D150">
        <v>1463.2</v>
      </c>
      <c r="E150">
        <v>3074.4</v>
      </c>
      <c r="F150">
        <v>3200.2</v>
      </c>
      <c r="H150" s="1">
        <v>45873</v>
      </c>
      <c r="I150" s="3">
        <f t="shared" si="19"/>
        <v>3.5507160610723787E-3</v>
      </c>
      <c r="J150" s="3">
        <f t="shared" si="20"/>
        <v>-1.8108946229009271E-2</v>
      </c>
      <c r="K150" s="3">
        <f t="shared" si="21"/>
        <v>1.3015785101079924E-2</v>
      </c>
      <c r="L150" s="3">
        <f t="shared" si="22"/>
        <v>3.4270047978066653E-3</v>
      </c>
      <c r="M150" s="3">
        <f t="shared" si="23"/>
        <v>-3.7357574248179093E-3</v>
      </c>
      <c r="N150" s="3"/>
      <c r="O150" s="3">
        <f t="shared" si="24"/>
        <v>2.2193159931205856E-4</v>
      </c>
      <c r="Q150" s="3">
        <v>1.4580354426819819E-3</v>
      </c>
      <c r="R150">
        <v>141</v>
      </c>
    </row>
    <row r="151" spans="1:18" x14ac:dyDescent="0.3">
      <c r="A151" s="1">
        <v>45870</v>
      </c>
      <c r="B151">
        <v>2553.6999999999998</v>
      </c>
      <c r="C151">
        <v>3316</v>
      </c>
      <c r="D151">
        <v>1471.6</v>
      </c>
      <c r="E151">
        <v>3003</v>
      </c>
      <c r="F151">
        <v>3159.3</v>
      </c>
      <c r="H151" s="1">
        <v>45870</v>
      </c>
      <c r="I151" s="3">
        <f t="shared" si="19"/>
        <v>3.9312812045446677E-3</v>
      </c>
      <c r="J151" s="3">
        <f t="shared" si="20"/>
        <v>-1.2007269910317975E-2</v>
      </c>
      <c r="K151" s="3">
        <f t="shared" si="21"/>
        <v>5.7408419901585628E-3</v>
      </c>
      <c r="L151" s="3">
        <f t="shared" si="22"/>
        <v>-2.3224043715847076E-2</v>
      </c>
      <c r="M151" s="3">
        <f t="shared" si="23"/>
        <v>-1.2780451221798494E-2</v>
      </c>
      <c r="N151" s="3"/>
      <c r="O151" s="3">
        <f t="shared" si="24"/>
        <v>-6.6127265651994898E-3</v>
      </c>
      <c r="Q151" s="3">
        <v>1.4741420729164898E-3</v>
      </c>
      <c r="R151">
        <v>142</v>
      </c>
    </row>
    <row r="152" spans="1:18" x14ac:dyDescent="0.3">
      <c r="A152" s="1">
        <v>45869</v>
      </c>
      <c r="B152">
        <v>2521.1999999999998</v>
      </c>
      <c r="C152">
        <v>3347.3</v>
      </c>
      <c r="D152">
        <v>1481.4</v>
      </c>
      <c r="E152">
        <v>3036.8</v>
      </c>
      <c r="F152">
        <v>3203.1</v>
      </c>
      <c r="H152" s="1">
        <v>45869</v>
      </c>
      <c r="I152" s="3">
        <f t="shared" si="19"/>
        <v>-1.2726631945804145E-2</v>
      </c>
      <c r="J152" s="3">
        <f t="shared" si="20"/>
        <v>9.4390832328106189E-3</v>
      </c>
      <c r="K152" s="3">
        <f t="shared" si="21"/>
        <v>6.6594183201957868E-3</v>
      </c>
      <c r="L152" s="3">
        <f t="shared" si="22"/>
        <v>1.1255411255411296E-2</v>
      </c>
      <c r="M152" s="3">
        <f t="shared" si="23"/>
        <v>1.3863830595384874E-2</v>
      </c>
      <c r="N152" s="3"/>
      <c r="O152" s="3">
        <f t="shared" si="24"/>
        <v>6.0860668230115159E-3</v>
      </c>
      <c r="Q152" s="3">
        <v>1.5352164703985208E-3</v>
      </c>
      <c r="R152">
        <v>143</v>
      </c>
    </row>
    <row r="153" spans="1:18" x14ac:dyDescent="0.3">
      <c r="A153" s="1">
        <v>45868</v>
      </c>
      <c r="B153">
        <v>2437.4</v>
      </c>
      <c r="C153">
        <v>3376.5</v>
      </c>
      <c r="D153">
        <v>1482.4</v>
      </c>
      <c r="E153">
        <v>3053.6</v>
      </c>
      <c r="F153">
        <v>3208.9</v>
      </c>
      <c r="H153" s="1">
        <v>45868</v>
      </c>
      <c r="I153" s="3">
        <f t="shared" si="19"/>
        <v>-3.3238140567983354E-2</v>
      </c>
      <c r="J153" s="3">
        <f t="shared" si="20"/>
        <v>8.723448749738516E-3</v>
      </c>
      <c r="K153" s="3">
        <f t="shared" si="21"/>
        <v>6.7503712704208851E-4</v>
      </c>
      <c r="L153" s="3">
        <f t="shared" si="22"/>
        <v>5.5321390937828063E-3</v>
      </c>
      <c r="M153" s="3">
        <f t="shared" si="23"/>
        <v>1.8107458399676535E-3</v>
      </c>
      <c r="N153" s="3"/>
      <c r="O153" s="3">
        <f t="shared" si="24"/>
        <v>-1.3148453568969207E-3</v>
      </c>
      <c r="Q153" s="3">
        <v>1.6208129421175499E-3</v>
      </c>
      <c r="R153">
        <v>144</v>
      </c>
    </row>
    <row r="154" spans="1:18" x14ac:dyDescent="0.3">
      <c r="A154" s="1">
        <v>45867</v>
      </c>
      <c r="B154">
        <v>2453.6</v>
      </c>
      <c r="C154">
        <v>3379.2</v>
      </c>
      <c r="D154">
        <v>1486.2</v>
      </c>
      <c r="E154">
        <v>3056</v>
      </c>
      <c r="F154">
        <v>3199.4</v>
      </c>
      <c r="H154" s="1">
        <v>45867</v>
      </c>
      <c r="I154" s="3">
        <f t="shared" si="19"/>
        <v>6.6464265200623096E-3</v>
      </c>
      <c r="J154" s="3">
        <f t="shared" si="20"/>
        <v>7.9964460239878576E-4</v>
      </c>
      <c r="K154" s="3">
        <f t="shared" si="21"/>
        <v>2.5634106853751337E-3</v>
      </c>
      <c r="L154" s="3">
        <f t="shared" si="22"/>
        <v>7.8595755829180547E-4</v>
      </c>
      <c r="M154" s="3">
        <f t="shared" si="23"/>
        <v>-2.9605160646950512E-3</v>
      </c>
      <c r="N154" s="3"/>
      <c r="O154" s="3">
        <f t="shared" si="24"/>
        <v>1.827038239410439E-3</v>
      </c>
      <c r="Q154" s="3">
        <v>1.6306553215411244E-3</v>
      </c>
      <c r="R154">
        <v>145</v>
      </c>
    </row>
    <row r="155" spans="1:18" x14ac:dyDescent="0.3">
      <c r="A155" s="1">
        <v>45866</v>
      </c>
      <c r="B155">
        <v>2441.6</v>
      </c>
      <c r="C155">
        <v>3393</v>
      </c>
      <c r="D155">
        <v>1488.4</v>
      </c>
      <c r="E155">
        <v>3079.3</v>
      </c>
      <c r="F155">
        <v>3209.8</v>
      </c>
      <c r="H155" s="1">
        <v>45866</v>
      </c>
      <c r="I155" s="3">
        <f t="shared" si="19"/>
        <v>-4.8907727420932634E-3</v>
      </c>
      <c r="J155" s="3">
        <f t="shared" si="20"/>
        <v>4.0838068181818787E-3</v>
      </c>
      <c r="K155" s="3">
        <f t="shared" si="21"/>
        <v>1.4802852913471387E-3</v>
      </c>
      <c r="L155" s="3">
        <f t="shared" si="22"/>
        <v>7.6243455497382318E-3</v>
      </c>
      <c r="M155" s="3">
        <f t="shared" si="23"/>
        <v>3.2506094892792436E-3</v>
      </c>
      <c r="N155" s="3"/>
      <c r="O155" s="3">
        <f t="shared" si="24"/>
        <v>2.5813514395111926E-3</v>
      </c>
      <c r="Q155" s="3">
        <v>1.6647098702469057E-3</v>
      </c>
      <c r="R155">
        <v>146</v>
      </c>
    </row>
    <row r="156" spans="1:18" x14ac:dyDescent="0.3">
      <c r="A156" s="1">
        <v>45863</v>
      </c>
      <c r="B156">
        <v>2415.4</v>
      </c>
      <c r="C156">
        <v>3462.8</v>
      </c>
      <c r="D156">
        <v>1477.1</v>
      </c>
      <c r="E156">
        <v>3135.8</v>
      </c>
      <c r="F156">
        <v>3246.4</v>
      </c>
      <c r="H156" s="1">
        <v>45863</v>
      </c>
      <c r="I156" s="3">
        <f t="shared" si="19"/>
        <v>-1.0730668414154598E-2</v>
      </c>
      <c r="J156" s="3">
        <f t="shared" si="20"/>
        <v>2.0571765399351571E-2</v>
      </c>
      <c r="K156" s="3">
        <f t="shared" si="21"/>
        <v>-7.5920451491535701E-3</v>
      </c>
      <c r="L156" s="3">
        <f t="shared" si="22"/>
        <v>1.8348325918228214E-2</v>
      </c>
      <c r="M156" s="3">
        <f t="shared" si="23"/>
        <v>1.1402579599975038E-2</v>
      </c>
      <c r="N156" s="3"/>
      <c r="O156" s="3">
        <f t="shared" si="24"/>
        <v>6.0656506866117784E-3</v>
      </c>
      <c r="Q156" s="3">
        <v>1.7597588787535644E-3</v>
      </c>
      <c r="R156">
        <v>147</v>
      </c>
    </row>
    <row r="157" spans="1:18" x14ac:dyDescent="0.3">
      <c r="A157" s="1">
        <v>45862</v>
      </c>
      <c r="B157">
        <v>2437.8000000000002</v>
      </c>
      <c r="C157">
        <v>3484.4</v>
      </c>
      <c r="D157">
        <v>1483.4</v>
      </c>
      <c r="E157">
        <v>3148</v>
      </c>
      <c r="F157">
        <v>3260.9</v>
      </c>
      <c r="H157" s="1">
        <v>45862</v>
      </c>
      <c r="I157" s="3">
        <f t="shared" si="19"/>
        <v>9.2738262813611971E-3</v>
      </c>
      <c r="J157" s="3">
        <f t="shared" si="20"/>
        <v>6.2377266951598731E-3</v>
      </c>
      <c r="K157" s="3">
        <f t="shared" si="21"/>
        <v>4.2651140748766192E-3</v>
      </c>
      <c r="L157" s="3">
        <f t="shared" si="22"/>
        <v>3.8905542445308861E-3</v>
      </c>
      <c r="M157" s="3">
        <f t="shared" si="23"/>
        <v>4.4664859536718282E-3</v>
      </c>
      <c r="N157" s="3"/>
      <c r="O157" s="3">
        <f t="shared" si="24"/>
        <v>5.4547992827304933E-3</v>
      </c>
      <c r="Q157" s="3">
        <v>1.827038239410439E-3</v>
      </c>
      <c r="R157">
        <v>148</v>
      </c>
    </row>
    <row r="158" spans="1:18" x14ac:dyDescent="0.3">
      <c r="A158" s="1">
        <v>45861</v>
      </c>
      <c r="B158">
        <v>2450.4</v>
      </c>
      <c r="C158">
        <v>3471.4</v>
      </c>
      <c r="D158">
        <v>1488.6</v>
      </c>
      <c r="E158">
        <v>3179.1</v>
      </c>
      <c r="F158">
        <v>3268.8</v>
      </c>
      <c r="H158" s="1">
        <v>45861</v>
      </c>
      <c r="I158" s="3">
        <f t="shared" si="19"/>
        <v>5.1685946345065847E-3</v>
      </c>
      <c r="J158" s="3">
        <f t="shared" si="20"/>
        <v>-3.7309149351394399E-3</v>
      </c>
      <c r="K158" s="3">
        <f t="shared" si="21"/>
        <v>3.5054604287445557E-3</v>
      </c>
      <c r="L158" s="3">
        <f t="shared" si="22"/>
        <v>9.87928843710284E-3</v>
      </c>
      <c r="M158" s="3">
        <f t="shared" si="23"/>
        <v>2.4226440553221096E-3</v>
      </c>
      <c r="N158" s="3"/>
      <c r="O158" s="3">
        <f t="shared" si="24"/>
        <v>3.1123206829672735E-3</v>
      </c>
      <c r="Q158" s="3">
        <v>1.8507422622960014E-3</v>
      </c>
      <c r="R158">
        <v>149</v>
      </c>
    </row>
    <row r="159" spans="1:18" x14ac:dyDescent="0.3">
      <c r="A159" s="1">
        <v>45860</v>
      </c>
      <c r="B159">
        <v>2479.6999999999998</v>
      </c>
      <c r="C159">
        <v>3472.4</v>
      </c>
      <c r="D159">
        <v>1473.6</v>
      </c>
      <c r="E159">
        <v>3159.6</v>
      </c>
      <c r="F159">
        <v>3257.2</v>
      </c>
      <c r="H159" s="1">
        <v>45860</v>
      </c>
      <c r="I159" s="3">
        <f t="shared" si="19"/>
        <v>1.1957231472412566E-2</v>
      </c>
      <c r="J159" s="3">
        <f t="shared" si="20"/>
        <v>2.8806821455318321E-4</v>
      </c>
      <c r="K159" s="3">
        <f t="shared" si="21"/>
        <v>-1.0076582023377689E-2</v>
      </c>
      <c r="L159" s="3">
        <f t="shared" si="22"/>
        <v>-6.1338114560725021E-3</v>
      </c>
      <c r="M159" s="3">
        <f t="shared" si="23"/>
        <v>-3.5487028879100935E-3</v>
      </c>
      <c r="N159" s="3"/>
      <c r="O159" s="3">
        <f t="shared" si="24"/>
        <v>-2.7390054125186361E-3</v>
      </c>
      <c r="Q159" s="3">
        <v>2.0051393656257909E-3</v>
      </c>
      <c r="R159">
        <v>150</v>
      </c>
    </row>
    <row r="160" spans="1:18" x14ac:dyDescent="0.3">
      <c r="A160" s="1">
        <v>45859</v>
      </c>
      <c r="B160">
        <v>2464.9</v>
      </c>
      <c r="C160">
        <v>3433</v>
      </c>
      <c r="D160">
        <v>1465.8</v>
      </c>
      <c r="E160">
        <v>3158.2</v>
      </c>
      <c r="F160">
        <v>3246.7</v>
      </c>
      <c r="H160" s="1">
        <v>45859</v>
      </c>
      <c r="I160" s="3">
        <f t="shared" si="19"/>
        <v>-5.9684639270878304E-3</v>
      </c>
      <c r="J160" s="3">
        <f t="shared" si="20"/>
        <v>-1.1346619053104523E-2</v>
      </c>
      <c r="K160" s="3">
        <f t="shared" si="21"/>
        <v>-5.293159609120468E-3</v>
      </c>
      <c r="L160" s="3">
        <f t="shared" si="22"/>
        <v>-4.4309406253961736E-4</v>
      </c>
      <c r="M160" s="3">
        <f t="shared" si="23"/>
        <v>-3.2236276556552035E-3</v>
      </c>
      <c r="N160" s="3"/>
      <c r="O160" s="3">
        <f t="shared" si="24"/>
        <v>-5.7308538131488895E-3</v>
      </c>
      <c r="Q160" s="3">
        <v>2.1150337167007761E-3</v>
      </c>
      <c r="R160">
        <v>151</v>
      </c>
    </row>
    <row r="161" spans="1:18" x14ac:dyDescent="0.3">
      <c r="A161" s="1">
        <v>45856</v>
      </c>
      <c r="B161">
        <v>2489.6</v>
      </c>
      <c r="C161">
        <v>3402.9</v>
      </c>
      <c r="D161">
        <v>1425.8</v>
      </c>
      <c r="E161">
        <v>3189.9</v>
      </c>
      <c r="F161">
        <v>3192.4</v>
      </c>
      <c r="H161" s="1">
        <v>45856</v>
      </c>
      <c r="I161" s="3">
        <f t="shared" si="19"/>
        <v>1.0020690494543238E-2</v>
      </c>
      <c r="J161" s="3">
        <f t="shared" si="20"/>
        <v>-8.7678415380133545E-3</v>
      </c>
      <c r="K161" s="3">
        <f t="shared" si="21"/>
        <v>-2.7288852503752237E-2</v>
      </c>
      <c r="L161" s="3">
        <f t="shared" si="22"/>
        <v>1.003736305490488E-2</v>
      </c>
      <c r="M161" s="3">
        <f t="shared" si="23"/>
        <v>-1.6724674284658181E-2</v>
      </c>
      <c r="N161" s="3"/>
      <c r="O161" s="3">
        <f t="shared" si="24"/>
        <v>-8.5405073789323674E-3</v>
      </c>
      <c r="Q161" s="3">
        <v>2.234623052492557E-3</v>
      </c>
      <c r="R161">
        <v>152</v>
      </c>
    </row>
    <row r="162" spans="1:18" x14ac:dyDescent="0.3">
      <c r="A162" s="1">
        <v>45855</v>
      </c>
      <c r="B162">
        <v>2509.8000000000002</v>
      </c>
      <c r="C162">
        <v>3433.3</v>
      </c>
      <c r="D162">
        <v>1418.7</v>
      </c>
      <c r="E162">
        <v>3209.2</v>
      </c>
      <c r="F162">
        <v>3195</v>
      </c>
      <c r="H162" s="1">
        <v>45855</v>
      </c>
      <c r="I162" s="3">
        <f t="shared" si="19"/>
        <v>8.1137532133677137E-3</v>
      </c>
      <c r="J162" s="3">
        <f t="shared" si="20"/>
        <v>8.9335566722501536E-3</v>
      </c>
      <c r="K162" s="3">
        <f t="shared" si="21"/>
        <v>-4.9796605414503814E-3</v>
      </c>
      <c r="L162" s="3">
        <f t="shared" si="22"/>
        <v>6.0503464058434542E-3</v>
      </c>
      <c r="M162" s="3">
        <f t="shared" si="23"/>
        <v>8.1443428141825258E-4</v>
      </c>
      <c r="N162" s="3"/>
      <c r="O162" s="3">
        <f t="shared" si="24"/>
        <v>3.2480666969430974E-3</v>
      </c>
      <c r="Q162" s="3">
        <v>2.240671267653416E-3</v>
      </c>
      <c r="R162">
        <v>153</v>
      </c>
    </row>
    <row r="163" spans="1:18" x14ac:dyDescent="0.3">
      <c r="A163" s="1">
        <v>45854</v>
      </c>
      <c r="B163">
        <v>2517.6</v>
      </c>
      <c r="C163">
        <v>3417.3</v>
      </c>
      <c r="D163">
        <v>1426.4</v>
      </c>
      <c r="E163">
        <v>3233.1</v>
      </c>
      <c r="F163">
        <v>3196.5</v>
      </c>
      <c r="H163" s="1">
        <v>45854</v>
      </c>
      <c r="I163" s="3">
        <f t="shared" si="19"/>
        <v>3.1078173559644373E-3</v>
      </c>
      <c r="J163" s="3">
        <f t="shared" si="20"/>
        <v>-4.6602394198002051E-3</v>
      </c>
      <c r="K163" s="3">
        <f t="shared" si="21"/>
        <v>5.4275040530062935E-3</v>
      </c>
      <c r="L163" s="3">
        <f t="shared" si="22"/>
        <v>7.4473389006606272E-3</v>
      </c>
      <c r="M163" s="3">
        <f t="shared" si="23"/>
        <v>4.6948356807519076E-4</v>
      </c>
      <c r="N163" s="3"/>
      <c r="O163" s="3">
        <f t="shared" si="24"/>
        <v>2.4657801012861469E-3</v>
      </c>
      <c r="Q163" s="3">
        <v>2.4060867536730701E-3</v>
      </c>
      <c r="R163">
        <v>154</v>
      </c>
    </row>
    <row r="164" spans="1:18" x14ac:dyDescent="0.3">
      <c r="A164" s="1">
        <v>45853</v>
      </c>
      <c r="B164">
        <v>2526.9</v>
      </c>
      <c r="C164">
        <v>3415</v>
      </c>
      <c r="D164">
        <v>1430.8</v>
      </c>
      <c r="E164">
        <v>3252.3</v>
      </c>
      <c r="F164">
        <v>3128.6</v>
      </c>
      <c r="H164" s="1">
        <v>45853</v>
      </c>
      <c r="I164" s="3">
        <f t="shared" si="19"/>
        <v>3.6939942802669545E-3</v>
      </c>
      <c r="J164" s="3">
        <f t="shared" si="20"/>
        <v>-6.7304597196626847E-4</v>
      </c>
      <c r="K164" s="3">
        <f t="shared" si="21"/>
        <v>3.0846887268647372E-3</v>
      </c>
      <c r="L164" s="3">
        <f t="shared" si="22"/>
        <v>5.9385728867031862E-3</v>
      </c>
      <c r="M164" s="3">
        <f t="shared" si="23"/>
        <v>-2.1241983419365007E-2</v>
      </c>
      <c r="N164" s="3"/>
      <c r="O164" s="3">
        <f t="shared" si="24"/>
        <v>3.7476050251203374E-4</v>
      </c>
      <c r="Q164" s="3">
        <v>2.4628589415610636E-3</v>
      </c>
      <c r="R164">
        <v>155</v>
      </c>
    </row>
    <row r="165" spans="1:18" x14ac:dyDescent="0.3">
      <c r="A165" s="1">
        <v>45852</v>
      </c>
      <c r="B165">
        <v>2516.6</v>
      </c>
      <c r="C165">
        <v>3404.7</v>
      </c>
      <c r="D165">
        <v>1423</v>
      </c>
      <c r="E165">
        <v>3222.7</v>
      </c>
      <c r="F165">
        <v>3092.1</v>
      </c>
      <c r="H165" s="1">
        <v>45852</v>
      </c>
      <c r="I165" s="3">
        <f t="shared" si="19"/>
        <v>-4.0761407257905446E-3</v>
      </c>
      <c r="J165" s="3">
        <f t="shared" si="20"/>
        <v>-3.0161054172768154E-3</v>
      </c>
      <c r="K165" s="3">
        <f t="shared" si="21"/>
        <v>-5.4514956667598424E-3</v>
      </c>
      <c r="L165" s="3">
        <f t="shared" si="22"/>
        <v>-9.1012514220706331E-3</v>
      </c>
      <c r="M165" s="3">
        <f t="shared" si="23"/>
        <v>-1.166656012273859E-2</v>
      </c>
      <c r="N165" s="3"/>
      <c r="O165" s="3">
        <f t="shared" si="24"/>
        <v>-5.987802459903724E-3</v>
      </c>
      <c r="Q165" s="3">
        <v>2.4657801012861469E-3</v>
      </c>
      <c r="R165">
        <v>156</v>
      </c>
    </row>
    <row r="166" spans="1:18" x14ac:dyDescent="0.3">
      <c r="A166" s="1">
        <v>45849</v>
      </c>
      <c r="B166">
        <v>2519.6</v>
      </c>
      <c r="C166">
        <v>3361.6</v>
      </c>
      <c r="D166">
        <v>1421.9</v>
      </c>
      <c r="E166">
        <v>3266</v>
      </c>
      <c r="F166">
        <v>3073.2</v>
      </c>
      <c r="H166" s="1">
        <v>45849</v>
      </c>
      <c r="I166" s="3">
        <f t="shared" si="19"/>
        <v>1.19208455853137E-3</v>
      </c>
      <c r="J166" s="3">
        <f t="shared" si="20"/>
        <v>-1.2658971421858012E-2</v>
      </c>
      <c r="K166" s="3">
        <f t="shared" si="21"/>
        <v>-7.7301475755442439E-4</v>
      </c>
      <c r="L166" s="3">
        <f t="shared" si="22"/>
        <v>1.3435938809073233E-2</v>
      </c>
      <c r="M166" s="3">
        <f t="shared" si="23"/>
        <v>-6.1123508295333195E-3</v>
      </c>
      <c r="N166" s="3"/>
      <c r="O166" s="3">
        <f t="shared" si="24"/>
        <v>-1.1418819200898099E-3</v>
      </c>
      <c r="Q166" s="3">
        <v>2.5453675500314798E-3</v>
      </c>
      <c r="R166">
        <v>157</v>
      </c>
    </row>
    <row r="167" spans="1:18" x14ac:dyDescent="0.3">
      <c r="A167" s="1">
        <v>45848</v>
      </c>
      <c r="B167">
        <v>2408.4</v>
      </c>
      <c r="C167">
        <v>3419.8</v>
      </c>
      <c r="D167">
        <v>1424.1</v>
      </c>
      <c r="E167">
        <v>3382</v>
      </c>
      <c r="F167">
        <v>3162.4</v>
      </c>
      <c r="H167" s="1">
        <v>45848</v>
      </c>
      <c r="I167" s="3">
        <f t="shared" si="19"/>
        <v>-4.4133989522146311E-2</v>
      </c>
      <c r="J167" s="3">
        <f t="shared" si="20"/>
        <v>1.7313184198000986E-2</v>
      </c>
      <c r="K167" s="3">
        <f t="shared" si="21"/>
        <v>1.5472255432871229E-3</v>
      </c>
      <c r="L167" s="3">
        <f t="shared" si="22"/>
        <v>3.5517452541334871E-2</v>
      </c>
      <c r="M167" s="3">
        <f t="shared" si="23"/>
        <v>2.9025120395678838E-2</v>
      </c>
      <c r="N167" s="3"/>
      <c r="O167" s="3">
        <f t="shared" si="24"/>
        <v>8.1783678319992947E-3</v>
      </c>
      <c r="Q167" s="3">
        <v>2.5732048274375256E-3</v>
      </c>
      <c r="R167">
        <v>158</v>
      </c>
    </row>
    <row r="168" spans="1:18" x14ac:dyDescent="0.3">
      <c r="A168" s="1">
        <v>45847</v>
      </c>
      <c r="B168">
        <v>2423.4</v>
      </c>
      <c r="C168">
        <v>3432.1</v>
      </c>
      <c r="D168">
        <v>1431.9</v>
      </c>
      <c r="E168">
        <v>3383.8</v>
      </c>
      <c r="F168">
        <v>3176.3</v>
      </c>
      <c r="H168" s="1">
        <v>45847</v>
      </c>
      <c r="I168" s="3">
        <f t="shared" si="19"/>
        <v>6.2282012954659738E-3</v>
      </c>
      <c r="J168" s="3">
        <f t="shared" si="20"/>
        <v>3.5967015614948306E-3</v>
      </c>
      <c r="K168" s="3">
        <f t="shared" si="21"/>
        <v>5.4771434590268342E-3</v>
      </c>
      <c r="L168" s="3">
        <f t="shared" si="22"/>
        <v>5.3222945002961985E-4</v>
      </c>
      <c r="M168" s="3">
        <f t="shared" si="23"/>
        <v>4.3953959018467881E-3</v>
      </c>
      <c r="N168" s="3"/>
      <c r="O168" s="3">
        <f t="shared" si="24"/>
        <v>4.0225341025922571E-3</v>
      </c>
      <c r="Q168" s="3">
        <v>2.5813514395111926E-3</v>
      </c>
      <c r="R168">
        <v>159</v>
      </c>
    </row>
    <row r="169" spans="1:18" x14ac:dyDescent="0.3">
      <c r="A169" s="1">
        <v>45846</v>
      </c>
      <c r="B169">
        <v>2392.6999999999998</v>
      </c>
      <c r="C169">
        <v>3441.3</v>
      </c>
      <c r="D169">
        <v>1442</v>
      </c>
      <c r="E169">
        <v>3406.2</v>
      </c>
      <c r="F169">
        <v>3157.9</v>
      </c>
      <c r="H169" s="1">
        <v>45846</v>
      </c>
      <c r="I169" s="3">
        <f t="shared" si="19"/>
        <v>-1.2668152182883641E-2</v>
      </c>
      <c r="J169" s="3">
        <f t="shared" si="20"/>
        <v>2.6805745753328836E-3</v>
      </c>
      <c r="K169" s="3">
        <f t="shared" si="21"/>
        <v>7.0535651931000753E-3</v>
      </c>
      <c r="L169" s="3">
        <f t="shared" si="22"/>
        <v>6.6197765825402044E-3</v>
      </c>
      <c r="M169" s="3">
        <f t="shared" si="23"/>
        <v>-5.7929036929761368E-3</v>
      </c>
      <c r="N169" s="3"/>
      <c r="O169" s="3">
        <f t="shared" si="24"/>
        <v>1.6306553215411244E-3</v>
      </c>
      <c r="Q169" s="3">
        <v>2.6042205265523529E-3</v>
      </c>
      <c r="R169">
        <v>160</v>
      </c>
    </row>
    <row r="170" spans="1:18" x14ac:dyDescent="0.3">
      <c r="A170" s="1">
        <v>45845</v>
      </c>
      <c r="B170">
        <v>2410.4</v>
      </c>
      <c r="C170">
        <v>3666.1</v>
      </c>
      <c r="D170">
        <v>1435.7</v>
      </c>
      <c r="E170">
        <v>3411.7</v>
      </c>
      <c r="F170">
        <v>3160.2</v>
      </c>
      <c r="H170" s="1">
        <v>45845</v>
      </c>
      <c r="I170" s="3">
        <f t="shared" si="19"/>
        <v>7.3975007313913377E-3</v>
      </c>
      <c r="J170" s="3">
        <f t="shared" si="20"/>
        <v>6.5324150756981281E-2</v>
      </c>
      <c r="K170" s="3">
        <f t="shared" si="21"/>
        <v>-4.3689320388349273E-3</v>
      </c>
      <c r="L170" s="3">
        <f t="shared" si="22"/>
        <v>1.6147026011390508E-3</v>
      </c>
      <c r="M170" s="3">
        <f t="shared" si="23"/>
        <v>7.2833211944645093E-4</v>
      </c>
      <c r="N170" s="3"/>
      <c r="O170" s="3">
        <f t="shared" si="24"/>
        <v>1.6525756919475994E-2</v>
      </c>
      <c r="Q170" s="3">
        <v>2.6162518362019766E-3</v>
      </c>
      <c r="R170">
        <v>161</v>
      </c>
    </row>
    <row r="171" spans="1:18" x14ac:dyDescent="0.3">
      <c r="A171" s="1">
        <v>45842</v>
      </c>
      <c r="B171">
        <v>2339.3000000000002</v>
      </c>
      <c r="C171">
        <v>3686.9</v>
      </c>
      <c r="D171">
        <v>1442.8</v>
      </c>
      <c r="E171">
        <v>3419.8</v>
      </c>
      <c r="F171">
        <v>3162.5</v>
      </c>
      <c r="H171" s="1">
        <v>45842</v>
      </c>
      <c r="I171" s="3">
        <f t="shared" si="19"/>
        <v>-2.9497178891470299E-2</v>
      </c>
      <c r="J171" s="3">
        <f t="shared" si="20"/>
        <v>5.6736041024523232E-3</v>
      </c>
      <c r="K171" s="3">
        <f t="shared" si="21"/>
        <v>4.9453228390332615E-3</v>
      </c>
      <c r="L171" s="3">
        <f t="shared" si="22"/>
        <v>2.3741829586423346E-3</v>
      </c>
      <c r="M171" s="3">
        <f t="shared" si="23"/>
        <v>7.2780203784583719E-4</v>
      </c>
      <c r="N171" s="3"/>
      <c r="O171" s="3">
        <f t="shared" si="24"/>
        <v>-9.7496216088443447E-4</v>
      </c>
      <c r="Q171" s="3">
        <v>2.82421562464924E-3</v>
      </c>
      <c r="R171">
        <v>162</v>
      </c>
    </row>
    <row r="172" spans="1:18" x14ac:dyDescent="0.3">
      <c r="A172" s="1">
        <v>45841</v>
      </c>
      <c r="B172">
        <v>2313.4</v>
      </c>
      <c r="C172">
        <v>3678.7</v>
      </c>
      <c r="D172">
        <v>1425.9</v>
      </c>
      <c r="E172">
        <v>3400.8</v>
      </c>
      <c r="F172">
        <v>3174.4</v>
      </c>
      <c r="H172" s="1">
        <v>45841</v>
      </c>
      <c r="I172" s="3">
        <f t="shared" si="19"/>
        <v>-1.1071688111828348E-2</v>
      </c>
      <c r="J172" s="3">
        <f t="shared" si="20"/>
        <v>-2.2240906995036891E-3</v>
      </c>
      <c r="K172" s="3">
        <f t="shared" si="21"/>
        <v>-1.1713335181591233E-2</v>
      </c>
      <c r="L172" s="3">
        <f t="shared" si="22"/>
        <v>-5.5558804608456525E-3</v>
      </c>
      <c r="M172" s="3">
        <f t="shared" si="23"/>
        <v>3.7628458498024653E-3</v>
      </c>
      <c r="N172" s="3"/>
      <c r="O172" s="3">
        <f t="shared" si="24"/>
        <v>-6.465667953316428E-3</v>
      </c>
      <c r="Q172" s="3">
        <v>3.0158499177849241E-3</v>
      </c>
      <c r="R172">
        <v>163</v>
      </c>
    </row>
    <row r="173" spans="1:18" x14ac:dyDescent="0.3">
      <c r="A173" s="1">
        <v>45840</v>
      </c>
      <c r="B173">
        <v>2307.1</v>
      </c>
      <c r="C173">
        <v>3708</v>
      </c>
      <c r="D173">
        <v>1427.8</v>
      </c>
      <c r="E173">
        <v>3423.3</v>
      </c>
      <c r="F173">
        <v>3165.2</v>
      </c>
      <c r="H173" s="1">
        <v>45840</v>
      </c>
      <c r="I173" s="3">
        <f t="shared" si="19"/>
        <v>-2.7232644592375399E-3</v>
      </c>
      <c r="J173" s="3">
        <f t="shared" si="20"/>
        <v>7.9647701633729362E-3</v>
      </c>
      <c r="K173" s="3">
        <f t="shared" si="21"/>
        <v>1.3324917595902708E-3</v>
      </c>
      <c r="L173" s="3">
        <f t="shared" si="22"/>
        <v>6.6160903316867525E-3</v>
      </c>
      <c r="M173" s="3">
        <f t="shared" si="23"/>
        <v>-2.8981854838711074E-3</v>
      </c>
      <c r="N173" s="3"/>
      <c r="O173" s="3">
        <f t="shared" si="24"/>
        <v>3.0158499177849241E-3</v>
      </c>
      <c r="Q173" s="3">
        <v>3.0363083676831389E-3</v>
      </c>
      <c r="R173">
        <v>164</v>
      </c>
    </row>
    <row r="174" spans="1:18" x14ac:dyDescent="0.3">
      <c r="A174" s="1">
        <v>45839</v>
      </c>
      <c r="B174">
        <v>2295.5</v>
      </c>
      <c r="C174">
        <v>3700.5</v>
      </c>
      <c r="D174">
        <v>1432</v>
      </c>
      <c r="E174">
        <v>3429.7</v>
      </c>
      <c r="F174">
        <v>3176.1</v>
      </c>
      <c r="H174" s="1">
        <v>45839</v>
      </c>
      <c r="I174" s="3">
        <f t="shared" si="19"/>
        <v>-5.0279571756750574E-3</v>
      </c>
      <c r="J174" s="3">
        <f t="shared" si="20"/>
        <v>-2.0226537216828655E-3</v>
      </c>
      <c r="K174" s="3">
        <f t="shared" si="21"/>
        <v>2.9415884577672635E-3</v>
      </c>
      <c r="L174" s="3">
        <f t="shared" si="22"/>
        <v>1.8695410860865014E-3</v>
      </c>
      <c r="M174" s="3">
        <f t="shared" si="23"/>
        <v>3.4437002401113137E-3</v>
      </c>
      <c r="N174" s="3"/>
      <c r="O174" s="3">
        <f t="shared" si="24"/>
        <v>3.4089777178663574E-4</v>
      </c>
      <c r="Q174" s="3">
        <v>3.1123206829672735E-3</v>
      </c>
      <c r="R174">
        <v>165</v>
      </c>
    </row>
    <row r="175" spans="1:18" x14ac:dyDescent="0.3">
      <c r="A175" s="1">
        <v>45838</v>
      </c>
      <c r="B175">
        <v>2294.6</v>
      </c>
      <c r="C175">
        <v>3690.2</v>
      </c>
      <c r="D175">
        <v>1445.8</v>
      </c>
      <c r="E175">
        <v>3462</v>
      </c>
      <c r="F175">
        <v>3183.2</v>
      </c>
      <c r="H175" s="1">
        <v>45838</v>
      </c>
      <c r="I175" s="3">
        <f t="shared" si="19"/>
        <v>-3.9207144412989337E-4</v>
      </c>
      <c r="J175" s="3">
        <f t="shared" si="20"/>
        <v>-2.7834076476151992E-3</v>
      </c>
      <c r="K175" s="3">
        <f t="shared" si="21"/>
        <v>9.636871508379885E-3</v>
      </c>
      <c r="L175" s="3">
        <f t="shared" si="22"/>
        <v>9.4177333294458432E-3</v>
      </c>
      <c r="M175" s="3">
        <f t="shared" si="23"/>
        <v>2.2354459872169219E-3</v>
      </c>
      <c r="N175" s="3"/>
      <c r="O175" s="3">
        <f t="shared" si="24"/>
        <v>4.2434900886015427E-3</v>
      </c>
      <c r="Q175" s="3">
        <v>3.1442659177035484E-3</v>
      </c>
      <c r="R175">
        <v>166</v>
      </c>
    </row>
    <row r="176" spans="1:18" x14ac:dyDescent="0.3">
      <c r="A176" s="1">
        <v>45835</v>
      </c>
      <c r="B176">
        <v>2306.9</v>
      </c>
      <c r="C176">
        <v>3666.2</v>
      </c>
      <c r="D176">
        <v>1462.2</v>
      </c>
      <c r="E176">
        <v>3441.1</v>
      </c>
      <c r="F176">
        <v>3203.3</v>
      </c>
      <c r="H176" s="1">
        <v>45835</v>
      </c>
      <c r="I176" s="3">
        <f t="shared" si="19"/>
        <v>5.3604114006799986E-3</v>
      </c>
      <c r="J176" s="3">
        <f t="shared" si="20"/>
        <v>-6.5037125359058701E-3</v>
      </c>
      <c r="K176" s="3">
        <f t="shared" si="21"/>
        <v>1.1343200995988401E-2</v>
      </c>
      <c r="L176" s="3">
        <f t="shared" si="22"/>
        <v>-6.0369728480647034E-3</v>
      </c>
      <c r="M176" s="3">
        <f t="shared" si="23"/>
        <v>6.3144006031667921E-3</v>
      </c>
      <c r="N176" s="3"/>
      <c r="O176" s="3">
        <f t="shared" si="24"/>
        <v>2.0051393656257909E-3</v>
      </c>
      <c r="Q176" s="3">
        <v>3.2480666969430974E-3</v>
      </c>
      <c r="R176">
        <v>167</v>
      </c>
    </row>
    <row r="177" spans="1:18" x14ac:dyDescent="0.3">
      <c r="A177" s="1">
        <v>45834</v>
      </c>
      <c r="B177">
        <v>2280.8000000000002</v>
      </c>
      <c r="C177">
        <v>3694.7</v>
      </c>
      <c r="D177">
        <v>1439.1</v>
      </c>
      <c r="E177">
        <v>3441.8</v>
      </c>
      <c r="F177">
        <v>3215.8</v>
      </c>
      <c r="H177" s="1">
        <v>45834</v>
      </c>
      <c r="I177" s="3">
        <f t="shared" si="19"/>
        <v>-1.1313884433655552E-2</v>
      </c>
      <c r="J177" s="3">
        <f t="shared" si="20"/>
        <v>7.7737166548470515E-3</v>
      </c>
      <c r="K177" s="3">
        <f t="shared" si="21"/>
        <v>-1.5798112433319744E-2</v>
      </c>
      <c r="L177" s="3">
        <f t="shared" si="22"/>
        <v>2.0342332393719076E-4</v>
      </c>
      <c r="M177" s="3">
        <f t="shared" si="23"/>
        <v>3.9022258296133039E-3</v>
      </c>
      <c r="N177" s="3"/>
      <c r="O177" s="3">
        <f t="shared" si="24"/>
        <v>-4.0621799835837248E-3</v>
      </c>
      <c r="Q177" s="3">
        <v>3.2722661140021751E-3</v>
      </c>
      <c r="R177">
        <v>168</v>
      </c>
    </row>
    <row r="178" spans="1:18" x14ac:dyDescent="0.3">
      <c r="A178" s="1">
        <v>45833</v>
      </c>
      <c r="B178">
        <v>2278.6999999999998</v>
      </c>
      <c r="C178">
        <v>3652.2</v>
      </c>
      <c r="D178">
        <v>1425.8</v>
      </c>
      <c r="E178">
        <v>3444.8</v>
      </c>
      <c r="F178">
        <v>3215.5</v>
      </c>
      <c r="H178" s="1">
        <v>45833</v>
      </c>
      <c r="I178" s="3">
        <f t="shared" si="19"/>
        <v>-9.2072956857258692E-4</v>
      </c>
      <c r="J178" s="3">
        <f t="shared" si="20"/>
        <v>-1.1502963704766334E-2</v>
      </c>
      <c r="K178" s="3">
        <f t="shared" si="21"/>
        <v>-9.2418872906677718E-3</v>
      </c>
      <c r="L178" s="3">
        <f t="shared" si="22"/>
        <v>8.7163693416236754E-4</v>
      </c>
      <c r="M178" s="3">
        <f t="shared" si="23"/>
        <v>-9.3289383668149206E-5</v>
      </c>
      <c r="N178" s="3"/>
      <c r="O178" s="3">
        <f t="shared" si="24"/>
        <v>-5.6214181002121446E-3</v>
      </c>
      <c r="Q178" s="3">
        <v>3.3127554267632919E-3</v>
      </c>
      <c r="R178">
        <v>169</v>
      </c>
    </row>
    <row r="179" spans="1:18" x14ac:dyDescent="0.3">
      <c r="A179" s="1">
        <v>45832</v>
      </c>
      <c r="B179">
        <v>2263.1</v>
      </c>
      <c r="C179">
        <v>3526</v>
      </c>
      <c r="D179">
        <v>1424.1</v>
      </c>
      <c r="E179">
        <v>3390.4</v>
      </c>
      <c r="F179">
        <v>3150.1</v>
      </c>
      <c r="H179" s="1">
        <v>45832</v>
      </c>
      <c r="I179" s="3">
        <f t="shared" si="19"/>
        <v>-6.8460086891648508E-3</v>
      </c>
      <c r="J179" s="3">
        <f t="shared" si="20"/>
        <v>-3.4554515086796966E-2</v>
      </c>
      <c r="K179" s="3">
        <f t="shared" si="21"/>
        <v>-1.1923130873895404E-3</v>
      </c>
      <c r="L179" s="3">
        <f t="shared" si="22"/>
        <v>-1.5791918253599602E-2</v>
      </c>
      <c r="M179" s="3">
        <f t="shared" si="23"/>
        <v>-2.033898305084747E-2</v>
      </c>
      <c r="N179" s="3"/>
      <c r="O179" s="3">
        <f t="shared" si="24"/>
        <v>-1.5215505957095499E-2</v>
      </c>
      <c r="Q179" s="3">
        <v>3.45631244235819E-3</v>
      </c>
      <c r="R179">
        <v>170</v>
      </c>
    </row>
    <row r="180" spans="1:18" x14ac:dyDescent="0.3">
      <c r="A180" s="1">
        <v>45831</v>
      </c>
      <c r="B180">
        <v>2275.1</v>
      </c>
      <c r="C180">
        <v>3505.7</v>
      </c>
      <c r="D180">
        <v>1420.1</v>
      </c>
      <c r="E180">
        <v>3393.6</v>
      </c>
      <c r="F180">
        <v>3135</v>
      </c>
      <c r="H180" s="1">
        <v>45831</v>
      </c>
      <c r="I180" s="3">
        <f t="shared" si="19"/>
        <v>5.3024612257523973E-3</v>
      </c>
      <c r="J180" s="3">
        <f t="shared" si="20"/>
        <v>-5.7572319909245939E-3</v>
      </c>
      <c r="K180" s="3">
        <f t="shared" si="21"/>
        <v>-2.8087915174496159E-3</v>
      </c>
      <c r="L180" s="3">
        <f t="shared" si="22"/>
        <v>9.4384143463899228E-4</v>
      </c>
      <c r="M180" s="3">
        <f t="shared" si="23"/>
        <v>-4.7934986190913964E-3</v>
      </c>
      <c r="N180" s="3"/>
      <c r="O180" s="3">
        <f t="shared" si="24"/>
        <v>-1.7771578440845147E-3</v>
      </c>
      <c r="Q180" s="3">
        <v>3.5122778295062717E-3</v>
      </c>
      <c r="R180">
        <v>171</v>
      </c>
    </row>
    <row r="181" spans="1:18" x14ac:dyDescent="0.3">
      <c r="A181" s="1">
        <v>45828</v>
      </c>
      <c r="B181">
        <v>2306.1999999999998</v>
      </c>
      <c r="C181">
        <v>3519</v>
      </c>
      <c r="D181">
        <v>1427.1</v>
      </c>
      <c r="E181">
        <v>3435.7</v>
      </c>
      <c r="F181">
        <v>3184.4</v>
      </c>
      <c r="H181" s="1">
        <v>45828</v>
      </c>
      <c r="I181" s="3">
        <f t="shared" si="19"/>
        <v>1.3669728803129555E-2</v>
      </c>
      <c r="J181" s="3">
        <f t="shared" si="20"/>
        <v>3.7938214907151657E-3</v>
      </c>
      <c r="K181" s="3">
        <f t="shared" si="21"/>
        <v>4.9292303358918765E-3</v>
      </c>
      <c r="L181" s="3">
        <f t="shared" si="22"/>
        <v>1.2405704856199851E-2</v>
      </c>
      <c r="M181" s="3">
        <f t="shared" si="23"/>
        <v>1.5757575757575859E-2</v>
      </c>
      <c r="N181" s="3"/>
      <c r="O181" s="3">
        <f t="shared" si="24"/>
        <v>8.5345823409133433E-3</v>
      </c>
      <c r="Q181" s="3">
        <v>3.5183860539717564E-3</v>
      </c>
      <c r="R181">
        <v>172</v>
      </c>
    </row>
    <row r="182" spans="1:18" x14ac:dyDescent="0.3">
      <c r="A182" s="1">
        <v>45827</v>
      </c>
      <c r="B182">
        <v>2294.1999999999998</v>
      </c>
      <c r="C182">
        <v>3505.4</v>
      </c>
      <c r="D182">
        <v>1411.3</v>
      </c>
      <c r="E182">
        <v>3424</v>
      </c>
      <c r="F182">
        <v>3094.8</v>
      </c>
      <c r="H182" s="1">
        <v>45827</v>
      </c>
      <c r="I182" s="3">
        <f t="shared" si="19"/>
        <v>-5.2033648425982015E-3</v>
      </c>
      <c r="J182" s="3">
        <f t="shared" si="20"/>
        <v>-3.8647342995168366E-3</v>
      </c>
      <c r="K182" s="3">
        <f t="shared" si="21"/>
        <v>-1.1071403545651948E-2</v>
      </c>
      <c r="L182" s="3">
        <f t="shared" si="22"/>
        <v>-3.4054195651540553E-3</v>
      </c>
      <c r="M182" s="3">
        <f t="shared" si="23"/>
        <v>-2.8137168697399795E-2</v>
      </c>
      <c r="N182" s="3"/>
      <c r="O182" s="3">
        <f t="shared" si="24"/>
        <v>-8.5629101477353135E-3</v>
      </c>
      <c r="Q182" s="3">
        <v>3.5510142222275887E-3</v>
      </c>
      <c r="R182">
        <v>173</v>
      </c>
    </row>
    <row r="183" spans="1:18" x14ac:dyDescent="0.3">
      <c r="A183" s="1">
        <v>45826</v>
      </c>
      <c r="B183">
        <v>2297.3000000000002</v>
      </c>
      <c r="C183">
        <v>3467.8</v>
      </c>
      <c r="D183">
        <v>1412.6</v>
      </c>
      <c r="E183">
        <v>3451.4</v>
      </c>
      <c r="F183">
        <v>3041.1</v>
      </c>
      <c r="H183" s="1">
        <v>45826</v>
      </c>
      <c r="I183" s="3">
        <f t="shared" si="19"/>
        <v>1.3512335454626268E-3</v>
      </c>
      <c r="J183" s="3">
        <f t="shared" si="20"/>
        <v>-1.0726307981970606E-2</v>
      </c>
      <c r="K183" s="3">
        <f t="shared" si="21"/>
        <v>9.2113654077796703E-4</v>
      </c>
      <c r="L183" s="3">
        <f t="shared" si="22"/>
        <v>8.0023364485981574E-3</v>
      </c>
      <c r="M183" s="3">
        <f t="shared" si="23"/>
        <v>-1.735168670027154E-2</v>
      </c>
      <c r="N183" s="3"/>
      <c r="O183" s="3">
        <f t="shared" si="24"/>
        <v>-2.3372523817473899E-3</v>
      </c>
      <c r="Q183" s="3">
        <v>3.5941154133008134E-3</v>
      </c>
      <c r="R183">
        <v>174</v>
      </c>
    </row>
    <row r="184" spans="1:18" x14ac:dyDescent="0.3">
      <c r="A184" s="1">
        <v>45825</v>
      </c>
      <c r="B184">
        <v>2328.6</v>
      </c>
      <c r="C184">
        <v>3405.7</v>
      </c>
      <c r="D184">
        <v>1423.2</v>
      </c>
      <c r="E184">
        <v>3515.3</v>
      </c>
      <c r="F184">
        <v>3007.2</v>
      </c>
      <c r="H184" s="1">
        <v>45825</v>
      </c>
      <c r="I184" s="3">
        <f t="shared" si="19"/>
        <v>1.3624689853305894E-2</v>
      </c>
      <c r="J184" s="3">
        <f t="shared" si="20"/>
        <v>-1.7907607128438863E-2</v>
      </c>
      <c r="K184" s="3">
        <f t="shared" si="21"/>
        <v>7.5038935296616316E-3</v>
      </c>
      <c r="L184" s="3">
        <f t="shared" si="22"/>
        <v>1.8514226111143284E-2</v>
      </c>
      <c r="M184" s="3">
        <f t="shared" si="23"/>
        <v>-1.1147282233402445E-2</v>
      </c>
      <c r="N184" s="3"/>
      <c r="O184" s="3">
        <f t="shared" si="24"/>
        <v>2.4060867536730701E-3</v>
      </c>
      <c r="Q184" s="3">
        <v>3.6483517469637354E-3</v>
      </c>
      <c r="R184">
        <v>175</v>
      </c>
    </row>
    <row r="185" spans="1:18" x14ac:dyDescent="0.3">
      <c r="A185" s="1">
        <v>45824</v>
      </c>
      <c r="B185">
        <v>2327.4</v>
      </c>
      <c r="C185">
        <v>3438.1</v>
      </c>
      <c r="D185">
        <v>1426.9</v>
      </c>
      <c r="E185">
        <v>3496.3</v>
      </c>
      <c r="F185">
        <v>3023.6</v>
      </c>
      <c r="H185" s="1">
        <v>45824</v>
      </c>
      <c r="I185" s="3">
        <f t="shared" si="19"/>
        <v>-5.153311002318306E-4</v>
      </c>
      <c r="J185" s="3">
        <f t="shared" si="20"/>
        <v>9.5134627242563496E-3</v>
      </c>
      <c r="K185" s="3">
        <f t="shared" si="21"/>
        <v>2.5997751545812076E-3</v>
      </c>
      <c r="L185" s="3">
        <f t="shared" si="22"/>
        <v>-5.404944101499165E-3</v>
      </c>
      <c r="M185" s="3">
        <f t="shared" si="23"/>
        <v>5.4535780792763777E-3</v>
      </c>
      <c r="N185" s="3"/>
      <c r="O185" s="3">
        <f t="shared" si="24"/>
        <v>2.5453675500314798E-3</v>
      </c>
      <c r="Q185" s="3">
        <v>3.6722070182281619E-3</v>
      </c>
      <c r="R185">
        <v>176</v>
      </c>
    </row>
    <row r="186" spans="1:18" x14ac:dyDescent="0.3">
      <c r="A186" s="1">
        <v>45821</v>
      </c>
      <c r="B186">
        <v>2319</v>
      </c>
      <c r="C186">
        <v>3421.9</v>
      </c>
      <c r="D186">
        <v>1416.1</v>
      </c>
      <c r="E186">
        <v>3445.7</v>
      </c>
      <c r="F186">
        <v>3006</v>
      </c>
      <c r="H186" s="1">
        <v>45821</v>
      </c>
      <c r="I186" s="3">
        <f t="shared" si="19"/>
        <v>-3.6091776230987582E-3</v>
      </c>
      <c r="J186" s="3">
        <f t="shared" si="20"/>
        <v>-4.711904831156688E-3</v>
      </c>
      <c r="K186" s="3">
        <f t="shared" si="21"/>
        <v>-7.5688555610065045E-3</v>
      </c>
      <c r="L186" s="3">
        <f t="shared" si="22"/>
        <v>-1.4472442296141752E-2</v>
      </c>
      <c r="M186" s="3">
        <f t="shared" si="23"/>
        <v>-5.8208757772191255E-3</v>
      </c>
      <c r="N186" s="3"/>
      <c r="O186" s="3">
        <f t="shared" si="24"/>
        <v>-7.4665855565062E-3</v>
      </c>
      <c r="Q186" s="3">
        <v>3.914000661165179E-3</v>
      </c>
      <c r="R186">
        <v>177</v>
      </c>
    </row>
    <row r="187" spans="1:18" x14ac:dyDescent="0.3">
      <c r="A187" s="1">
        <v>45820</v>
      </c>
      <c r="B187">
        <v>2332.6999999999998</v>
      </c>
      <c r="C187">
        <v>3452.7</v>
      </c>
      <c r="D187">
        <v>1425.2</v>
      </c>
      <c r="E187">
        <v>3434.2</v>
      </c>
      <c r="F187">
        <v>3019.2</v>
      </c>
      <c r="H187" s="1">
        <v>45820</v>
      </c>
      <c r="I187" s="3">
        <f t="shared" si="19"/>
        <v>5.9077188443292794E-3</v>
      </c>
      <c r="J187" s="3">
        <f t="shared" si="20"/>
        <v>9.0008474823928264E-3</v>
      </c>
      <c r="K187" s="3">
        <f t="shared" si="21"/>
        <v>6.4260998517053913E-3</v>
      </c>
      <c r="L187" s="3">
        <f t="shared" si="22"/>
        <v>-3.3374931073512082E-3</v>
      </c>
      <c r="M187" s="3">
        <f t="shared" si="23"/>
        <v>4.3912175648701535E-3</v>
      </c>
      <c r="N187" s="3"/>
      <c r="O187" s="3">
        <f t="shared" si="24"/>
        <v>4.8358227877759894E-3</v>
      </c>
      <c r="Q187" s="3">
        <v>4.0225341025922571E-3</v>
      </c>
      <c r="R187">
        <v>178</v>
      </c>
    </row>
    <row r="188" spans="1:18" x14ac:dyDescent="0.3">
      <c r="A188" s="1">
        <v>45819</v>
      </c>
      <c r="B188">
        <v>2376.4</v>
      </c>
      <c r="C188">
        <v>3541.6</v>
      </c>
      <c r="D188">
        <v>1431</v>
      </c>
      <c r="E188">
        <v>3471.9</v>
      </c>
      <c r="F188">
        <v>3080.7</v>
      </c>
      <c r="H188" s="1">
        <v>45819</v>
      </c>
      <c r="I188" s="3">
        <f t="shared" si="19"/>
        <v>1.8733656278132838E-2</v>
      </c>
      <c r="J188" s="3">
        <f t="shared" si="20"/>
        <v>2.5747965360442659E-2</v>
      </c>
      <c r="K188" s="3">
        <f t="shared" si="21"/>
        <v>4.0696042660679499E-3</v>
      </c>
      <c r="L188" s="3">
        <f t="shared" si="22"/>
        <v>1.097781142624199E-2</v>
      </c>
      <c r="M188" s="3">
        <f t="shared" si="23"/>
        <v>2.0369634340222653E-2</v>
      </c>
      <c r="N188" s="3"/>
      <c r="O188" s="3">
        <f t="shared" si="24"/>
        <v>1.4700446780921639E-2</v>
      </c>
      <c r="Q188" s="3">
        <v>4.0455017842163047E-3</v>
      </c>
      <c r="R188">
        <v>179</v>
      </c>
    </row>
    <row r="189" spans="1:18" x14ac:dyDescent="0.3">
      <c r="A189" s="1">
        <v>45818</v>
      </c>
      <c r="B189">
        <v>2395.1999999999998</v>
      </c>
      <c r="C189">
        <v>3524.2</v>
      </c>
      <c r="D189">
        <v>1422.9</v>
      </c>
      <c r="E189">
        <v>3462.9</v>
      </c>
      <c r="F189">
        <v>3067.5</v>
      </c>
      <c r="H189" s="1">
        <v>45818</v>
      </c>
      <c r="I189" s="3">
        <f t="shared" si="19"/>
        <v>7.9111260730515554E-3</v>
      </c>
      <c r="J189" s="3">
        <f t="shared" si="20"/>
        <v>-4.91303365710416E-3</v>
      </c>
      <c r="K189" s="3">
        <f t="shared" si="21"/>
        <v>-5.6603773584904538E-3</v>
      </c>
      <c r="L189" s="3">
        <f t="shared" si="22"/>
        <v>-2.5922405599239084E-3</v>
      </c>
      <c r="M189" s="3">
        <f t="shared" si="23"/>
        <v>-4.2847404810594236E-3</v>
      </c>
      <c r="N189" s="3"/>
      <c r="O189" s="3">
        <f t="shared" si="24"/>
        <v>-2.6866248709561669E-3</v>
      </c>
      <c r="Q189" s="3">
        <v>4.1134863553391682E-3</v>
      </c>
      <c r="R189">
        <v>180</v>
      </c>
    </row>
    <row r="190" spans="1:18" x14ac:dyDescent="0.3">
      <c r="A190" s="1">
        <v>45817</v>
      </c>
      <c r="B190">
        <v>2393.1999999999998</v>
      </c>
      <c r="C190">
        <v>3533.9</v>
      </c>
      <c r="D190">
        <v>1434.8</v>
      </c>
      <c r="E190">
        <v>3421.9</v>
      </c>
      <c r="F190">
        <v>3087.4</v>
      </c>
      <c r="H190" s="1">
        <v>45817</v>
      </c>
      <c r="I190" s="3">
        <f t="shared" si="19"/>
        <v>-8.3500334001340715E-4</v>
      </c>
      <c r="J190" s="3">
        <f t="shared" si="20"/>
        <v>2.7523977072811956E-3</v>
      </c>
      <c r="K190" s="3">
        <f t="shared" si="21"/>
        <v>8.3632019115889022E-3</v>
      </c>
      <c r="L190" s="3">
        <f t="shared" si="22"/>
        <v>-1.1839787461376261E-2</v>
      </c>
      <c r="M190" s="3">
        <f t="shared" si="23"/>
        <v>6.4873675631622607E-3</v>
      </c>
      <c r="N190" s="3"/>
      <c r="O190" s="3">
        <f t="shared" si="24"/>
        <v>1.3525887633359323E-3</v>
      </c>
      <c r="Q190" s="3">
        <v>4.1481200205430342E-3</v>
      </c>
      <c r="R190">
        <v>181</v>
      </c>
    </row>
    <row r="191" spans="1:18" x14ac:dyDescent="0.3">
      <c r="A191" s="1">
        <v>45814</v>
      </c>
      <c r="B191">
        <v>2389.8000000000002</v>
      </c>
      <c r="C191">
        <v>3559.9</v>
      </c>
      <c r="D191">
        <v>1459.7</v>
      </c>
      <c r="E191">
        <v>3384.2</v>
      </c>
      <c r="F191">
        <v>3106.5</v>
      </c>
      <c r="H191" s="1">
        <v>45814</v>
      </c>
      <c r="I191" s="3">
        <f t="shared" si="19"/>
        <v>-1.4206919605547208E-3</v>
      </c>
      <c r="J191" s="3">
        <f t="shared" si="20"/>
        <v>7.3573106199948946E-3</v>
      </c>
      <c r="K191" s="3">
        <f t="shared" si="21"/>
        <v>1.7354335098968665E-2</v>
      </c>
      <c r="L191" s="3">
        <f t="shared" si="22"/>
        <v>-1.1017271106695148E-2</v>
      </c>
      <c r="M191" s="3">
        <f t="shared" si="23"/>
        <v>6.1864351881841806E-3</v>
      </c>
      <c r="N191" s="3"/>
      <c r="O191" s="3">
        <f t="shared" si="24"/>
        <v>5.2477136880855037E-3</v>
      </c>
      <c r="Q191" s="3">
        <v>4.1653690366354581E-3</v>
      </c>
      <c r="R191">
        <v>182</v>
      </c>
    </row>
    <row r="192" spans="1:18" x14ac:dyDescent="0.3">
      <c r="A192" s="1">
        <v>45813</v>
      </c>
      <c r="B192">
        <v>2376.4</v>
      </c>
      <c r="C192">
        <v>3504</v>
      </c>
      <c r="D192">
        <v>1454.8</v>
      </c>
      <c r="E192">
        <v>3371.1</v>
      </c>
      <c r="F192">
        <v>3041.6</v>
      </c>
      <c r="H192" s="1">
        <v>45813</v>
      </c>
      <c r="I192" s="3">
        <f t="shared" si="19"/>
        <v>-5.6071637793958518E-3</v>
      </c>
      <c r="J192" s="3">
        <f t="shared" si="20"/>
        <v>-1.5702688277760668E-2</v>
      </c>
      <c r="K192" s="3">
        <f t="shared" si="21"/>
        <v>-3.356854148112709E-3</v>
      </c>
      <c r="L192" s="3">
        <f t="shared" si="22"/>
        <v>-3.8709296140889693E-3</v>
      </c>
      <c r="M192" s="3">
        <f t="shared" si="23"/>
        <v>-2.0891678738129804E-2</v>
      </c>
      <c r="N192" s="3"/>
      <c r="O192" s="3">
        <f t="shared" si="24"/>
        <v>-8.6371566774141317E-3</v>
      </c>
      <c r="Q192" s="3">
        <v>4.1750218411353898E-3</v>
      </c>
      <c r="R192">
        <v>183</v>
      </c>
    </row>
    <row r="193" spans="1:18" x14ac:dyDescent="0.3">
      <c r="A193" s="1">
        <v>45812</v>
      </c>
      <c r="B193">
        <v>2364.5</v>
      </c>
      <c r="C193">
        <v>3499.8</v>
      </c>
      <c r="D193">
        <v>1431</v>
      </c>
      <c r="E193">
        <v>3380.9</v>
      </c>
      <c r="F193">
        <v>3053.4</v>
      </c>
      <c r="H193" s="1">
        <v>45812</v>
      </c>
      <c r="I193" s="3">
        <f t="shared" si="19"/>
        <v>-5.007574482410404E-3</v>
      </c>
      <c r="J193" s="3">
        <f t="shared" si="20"/>
        <v>-1.1986301369862895E-3</v>
      </c>
      <c r="K193" s="3">
        <f t="shared" si="21"/>
        <v>-1.6359637063513843E-2</v>
      </c>
      <c r="L193" s="3">
        <f t="shared" si="22"/>
        <v>2.9070629764764711E-3</v>
      </c>
      <c r="M193" s="3">
        <f t="shared" si="23"/>
        <v>3.8795370857445111E-3</v>
      </c>
      <c r="N193" s="3"/>
      <c r="O193" s="3">
        <f t="shared" si="24"/>
        <v>-4.989318521792541E-3</v>
      </c>
      <c r="Q193" s="3">
        <v>4.1988285665827251E-3</v>
      </c>
      <c r="R193">
        <v>184</v>
      </c>
    </row>
    <row r="194" spans="1:18" x14ac:dyDescent="0.3">
      <c r="A194" s="1">
        <v>45811</v>
      </c>
      <c r="B194">
        <v>2352.3000000000002</v>
      </c>
      <c r="C194">
        <v>3519.8</v>
      </c>
      <c r="D194">
        <v>1437.9</v>
      </c>
      <c r="E194">
        <v>3405.2</v>
      </c>
      <c r="F194">
        <v>3046.5</v>
      </c>
      <c r="H194" s="1">
        <v>45811</v>
      </c>
      <c r="I194" s="3">
        <f t="shared" si="19"/>
        <v>-5.1596532036370935E-3</v>
      </c>
      <c r="J194" s="3">
        <f t="shared" si="20"/>
        <v>5.71461226355785E-3</v>
      </c>
      <c r="K194" s="3">
        <f t="shared" si="21"/>
        <v>4.8218029350104441E-3</v>
      </c>
      <c r="L194" s="3">
        <f t="shared" si="22"/>
        <v>7.1874352982932432E-3</v>
      </c>
      <c r="M194" s="3">
        <f t="shared" si="23"/>
        <v>-2.2597759874238843E-3</v>
      </c>
      <c r="N194" s="3"/>
      <c r="O194" s="3">
        <f t="shared" si="24"/>
        <v>3.3127554267632919E-3</v>
      </c>
      <c r="Q194" s="3">
        <v>4.2058392027134184E-3</v>
      </c>
      <c r="R194">
        <v>185</v>
      </c>
    </row>
    <row r="195" spans="1:18" x14ac:dyDescent="0.3">
      <c r="A195" s="1">
        <v>45810</v>
      </c>
      <c r="B195">
        <v>2371.6</v>
      </c>
      <c r="C195">
        <v>3525.5</v>
      </c>
      <c r="D195">
        <v>1450.5</v>
      </c>
      <c r="E195">
        <v>3449.8</v>
      </c>
      <c r="F195">
        <v>3025.9</v>
      </c>
      <c r="H195" s="1">
        <v>45810</v>
      </c>
      <c r="I195" s="3">
        <f t="shared" si="19"/>
        <v>8.2047357905028484E-3</v>
      </c>
      <c r="J195" s="3">
        <f t="shared" si="20"/>
        <v>1.619410193760995E-3</v>
      </c>
      <c r="K195" s="3">
        <f t="shared" si="21"/>
        <v>8.76277905278533E-3</v>
      </c>
      <c r="L195" s="3">
        <f t="shared" si="22"/>
        <v>1.3097615411723273E-2</v>
      </c>
      <c r="M195" s="3">
        <f t="shared" si="23"/>
        <v>-6.7618578696865272E-3</v>
      </c>
      <c r="N195" s="3"/>
      <c r="O195" s="3">
        <f t="shared" si="24"/>
        <v>6.2077339282272772E-3</v>
      </c>
      <c r="Q195" s="3">
        <v>4.2434900886015427E-3</v>
      </c>
      <c r="R195">
        <v>186</v>
      </c>
    </row>
    <row r="196" spans="1:18" x14ac:dyDescent="0.3">
      <c r="A196" s="1">
        <v>45807</v>
      </c>
      <c r="B196">
        <v>2348.3000000000002</v>
      </c>
      <c r="C196">
        <v>3555</v>
      </c>
      <c r="D196">
        <v>1445.8</v>
      </c>
      <c r="E196">
        <v>3463.4</v>
      </c>
      <c r="F196">
        <v>2976.8</v>
      </c>
      <c r="H196" s="1">
        <v>45807</v>
      </c>
      <c r="I196" s="3">
        <f t="shared" si="19"/>
        <v>-9.8245909934220332E-3</v>
      </c>
      <c r="J196" s="3">
        <f t="shared" si="20"/>
        <v>8.3676074315699456E-3</v>
      </c>
      <c r="K196" s="3">
        <f t="shared" si="21"/>
        <v>-3.240261978628145E-3</v>
      </c>
      <c r="L196" s="3">
        <f t="shared" si="22"/>
        <v>3.942257522175252E-3</v>
      </c>
      <c r="M196" s="3">
        <f t="shared" si="23"/>
        <v>-1.6226577216695848E-2</v>
      </c>
      <c r="N196" s="3"/>
      <c r="O196" s="3">
        <f t="shared" si="24"/>
        <v>-1.1880716019437964E-3</v>
      </c>
      <c r="Q196" s="3">
        <v>4.4397326234450916E-3</v>
      </c>
      <c r="R196">
        <v>187</v>
      </c>
    </row>
    <row r="197" spans="1:18" x14ac:dyDescent="0.3">
      <c r="A197" s="1">
        <v>45806</v>
      </c>
      <c r="B197">
        <v>2366.6999999999998</v>
      </c>
      <c r="C197">
        <v>3588.3</v>
      </c>
      <c r="D197">
        <v>1456.5</v>
      </c>
      <c r="E197">
        <v>3498.1</v>
      </c>
      <c r="F197">
        <v>3009</v>
      </c>
      <c r="H197" s="1">
        <v>45806</v>
      </c>
      <c r="I197" s="3">
        <f t="shared" si="19"/>
        <v>7.8354554358470718E-3</v>
      </c>
      <c r="J197" s="3">
        <f t="shared" si="20"/>
        <v>9.3670886075949422E-3</v>
      </c>
      <c r="K197" s="3">
        <f t="shared" si="21"/>
        <v>7.4007469912851231E-3</v>
      </c>
      <c r="L197" s="3">
        <f t="shared" si="22"/>
        <v>1.0019056418548278E-2</v>
      </c>
      <c r="M197" s="3">
        <f t="shared" si="23"/>
        <v>1.0816984681537134E-2</v>
      </c>
      <c r="N197" s="3"/>
      <c r="O197" s="3">
        <f t="shared" si="24"/>
        <v>8.8228243165247022E-3</v>
      </c>
      <c r="Q197" s="3">
        <v>4.5078384988359145E-3</v>
      </c>
      <c r="R197">
        <v>188</v>
      </c>
    </row>
    <row r="198" spans="1:18" x14ac:dyDescent="0.3">
      <c r="A198" s="1">
        <v>45805</v>
      </c>
      <c r="B198">
        <v>2362</v>
      </c>
      <c r="C198">
        <v>3574.7</v>
      </c>
      <c r="D198">
        <v>1453.8</v>
      </c>
      <c r="E198">
        <v>3497.7</v>
      </c>
      <c r="F198">
        <v>2997.8</v>
      </c>
      <c r="H198" s="1">
        <v>45805</v>
      </c>
      <c r="I198" s="3">
        <f t="shared" si="19"/>
        <v>-1.9858875227108941E-3</v>
      </c>
      <c r="J198" s="3">
        <f t="shared" si="20"/>
        <v>-3.7900955884403453E-3</v>
      </c>
      <c r="K198" s="3">
        <f t="shared" si="21"/>
        <v>-1.8537590113285596E-3</v>
      </c>
      <c r="L198" s="3">
        <f t="shared" si="22"/>
        <v>-1.1434778879970686E-4</v>
      </c>
      <c r="M198" s="3">
        <f t="shared" si="23"/>
        <v>-3.7221668328347723E-3</v>
      </c>
      <c r="N198" s="3"/>
      <c r="O198" s="3">
        <f t="shared" si="24"/>
        <v>-2.1966209699587069E-3</v>
      </c>
      <c r="Q198" s="3">
        <v>4.5301521961019654E-3</v>
      </c>
      <c r="R198">
        <v>189</v>
      </c>
    </row>
    <row r="199" spans="1:18" x14ac:dyDescent="0.3">
      <c r="A199" s="1">
        <v>45804</v>
      </c>
      <c r="B199">
        <v>2380.1999999999998</v>
      </c>
      <c r="C199">
        <v>3589.4</v>
      </c>
      <c r="D199">
        <v>1446.4</v>
      </c>
      <c r="E199">
        <v>3498.7</v>
      </c>
      <c r="F199">
        <v>3039.8</v>
      </c>
      <c r="H199" s="1">
        <v>45804</v>
      </c>
      <c r="I199" s="3">
        <f t="shared" ref="I199:I251" si="25">B199/B198-1</f>
        <v>7.7053344623199127E-3</v>
      </c>
      <c r="J199" s="3">
        <f t="shared" ref="J199:J251" si="26">C199/C198-1</f>
        <v>4.1122331943939106E-3</v>
      </c>
      <c r="K199" s="3">
        <f t="shared" ref="K199:K251" si="27">D199/D198-1</f>
        <v>-5.0901086806988127E-3</v>
      </c>
      <c r="L199" s="3">
        <f t="shared" ref="L199:L251" si="28">E199/E198-1</f>
        <v>2.8590216427937243E-4</v>
      </c>
      <c r="M199" s="3">
        <f t="shared" ref="M199:M251" si="29">F199/F198-1</f>
        <v>1.4010274201080808E-2</v>
      </c>
      <c r="N199" s="3"/>
      <c r="O199" s="3">
        <f t="shared" ref="O199:O251" si="30">I199*$R$5+J199*$S$5+K199*$T$5+L199*$U$5+M199*$V$5</f>
        <v>2.1150337167007761E-3</v>
      </c>
      <c r="Q199" s="3">
        <v>4.7175946120857791E-3</v>
      </c>
      <c r="R199">
        <v>190</v>
      </c>
    </row>
    <row r="200" spans="1:18" x14ac:dyDescent="0.3">
      <c r="A200" s="1">
        <v>45803</v>
      </c>
      <c r="B200">
        <v>2394.1</v>
      </c>
      <c r="C200">
        <v>3610.3</v>
      </c>
      <c r="D200">
        <v>1460.6</v>
      </c>
      <c r="E200">
        <v>3537.3</v>
      </c>
      <c r="F200">
        <v>3080.2</v>
      </c>
      <c r="H200" s="1">
        <v>45803</v>
      </c>
      <c r="I200" s="3">
        <f t="shared" si="25"/>
        <v>5.8398453911436832E-3</v>
      </c>
      <c r="J200" s="3">
        <f t="shared" si="26"/>
        <v>5.8227001727308991E-3</v>
      </c>
      <c r="K200" s="3">
        <f t="shared" si="27"/>
        <v>9.8174778761059844E-3</v>
      </c>
      <c r="L200" s="3">
        <f t="shared" si="28"/>
        <v>1.103266927716029E-2</v>
      </c>
      <c r="M200" s="3">
        <f t="shared" si="29"/>
        <v>1.3290348049213696E-2</v>
      </c>
      <c r="N200" s="3"/>
      <c r="O200" s="3">
        <f t="shared" si="30"/>
        <v>8.8124638750395022E-3</v>
      </c>
      <c r="Q200" s="3">
        <v>4.8358227877759894E-3</v>
      </c>
      <c r="R200">
        <v>191</v>
      </c>
    </row>
    <row r="201" spans="1:18" x14ac:dyDescent="0.3">
      <c r="A201" s="1">
        <v>45800</v>
      </c>
      <c r="B201">
        <v>2359.1999999999998</v>
      </c>
      <c r="C201">
        <v>3579.7</v>
      </c>
      <c r="D201">
        <v>1449.8</v>
      </c>
      <c r="E201">
        <v>3514.6</v>
      </c>
      <c r="F201">
        <v>3012.7</v>
      </c>
      <c r="H201" s="1">
        <v>45800</v>
      </c>
      <c r="I201" s="3">
        <f t="shared" si="25"/>
        <v>-1.4577503028277872E-2</v>
      </c>
      <c r="J201" s="3">
        <f t="shared" si="26"/>
        <v>-8.4757499376784118E-3</v>
      </c>
      <c r="K201" s="3">
        <f t="shared" si="27"/>
        <v>-7.3942215527864619E-3</v>
      </c>
      <c r="L201" s="3">
        <f t="shared" si="28"/>
        <v>-6.4173239476437161E-3</v>
      </c>
      <c r="M201" s="3">
        <f t="shared" si="29"/>
        <v>-2.1914161418089773E-2</v>
      </c>
      <c r="N201" s="3"/>
      <c r="O201" s="3">
        <f t="shared" si="30"/>
        <v>-9.9987103358349424E-3</v>
      </c>
      <c r="Q201" s="3">
        <v>4.9500090605392958E-3</v>
      </c>
      <c r="R201">
        <v>192</v>
      </c>
    </row>
    <row r="202" spans="1:18" x14ac:dyDescent="0.3">
      <c r="A202" s="1">
        <v>45799</v>
      </c>
      <c r="B202">
        <v>2330.6999999999998</v>
      </c>
      <c r="C202">
        <v>3541</v>
      </c>
      <c r="D202">
        <v>1442.1</v>
      </c>
      <c r="E202">
        <v>3477</v>
      </c>
      <c r="F202">
        <v>3006.3</v>
      </c>
      <c r="H202" s="1">
        <v>45799</v>
      </c>
      <c r="I202" s="3">
        <f t="shared" si="25"/>
        <v>-1.2080366225839301E-2</v>
      </c>
      <c r="J202" s="3">
        <f t="shared" si="26"/>
        <v>-1.0810961812442343E-2</v>
      </c>
      <c r="K202" s="3">
        <f t="shared" si="27"/>
        <v>-5.3110773899848196E-3</v>
      </c>
      <c r="L202" s="3">
        <f t="shared" si="28"/>
        <v>-1.069823023957206E-2</v>
      </c>
      <c r="M202" s="3">
        <f t="shared" si="29"/>
        <v>-2.1243402927605404E-3</v>
      </c>
      <c r="N202" s="3"/>
      <c r="O202" s="3">
        <f t="shared" si="30"/>
        <v>-8.4601986811723932E-3</v>
      </c>
      <c r="Q202" s="3">
        <v>5.0757215538363987E-3</v>
      </c>
      <c r="R202">
        <v>193</v>
      </c>
    </row>
    <row r="203" spans="1:18" x14ac:dyDescent="0.3">
      <c r="A203" s="1">
        <v>45798</v>
      </c>
      <c r="B203">
        <v>2363.9</v>
      </c>
      <c r="C203">
        <v>3580.5</v>
      </c>
      <c r="D203">
        <v>1444.7</v>
      </c>
      <c r="E203">
        <v>3525.8</v>
      </c>
      <c r="F203">
        <v>3090.7</v>
      </c>
      <c r="H203" s="1">
        <v>45798</v>
      </c>
      <c r="I203" s="3">
        <f t="shared" si="25"/>
        <v>1.4244647530784915E-2</v>
      </c>
      <c r="J203" s="3">
        <f t="shared" si="26"/>
        <v>1.1155040948884531E-2</v>
      </c>
      <c r="K203" s="3">
        <f t="shared" si="27"/>
        <v>1.8029262880523422E-3</v>
      </c>
      <c r="L203" s="3">
        <f t="shared" si="28"/>
        <v>1.4035087719298289E-2</v>
      </c>
      <c r="M203" s="3">
        <f t="shared" si="29"/>
        <v>2.8074377141336315E-2</v>
      </c>
      <c r="N203" s="3"/>
      <c r="O203" s="3">
        <f t="shared" si="30"/>
        <v>1.1080790511247862E-2</v>
      </c>
      <c r="Q203" s="3">
        <v>5.0974301193081554E-3</v>
      </c>
      <c r="R203">
        <v>194</v>
      </c>
    </row>
    <row r="204" spans="1:18" x14ac:dyDescent="0.3">
      <c r="A204" s="1">
        <v>45797</v>
      </c>
      <c r="B204">
        <v>2341.1</v>
      </c>
      <c r="C204">
        <v>3580.6</v>
      </c>
      <c r="D204">
        <v>1438.2</v>
      </c>
      <c r="E204">
        <v>3498.3</v>
      </c>
      <c r="F204">
        <v>3063.5</v>
      </c>
      <c r="H204" s="1">
        <v>45797</v>
      </c>
      <c r="I204" s="3">
        <f t="shared" si="25"/>
        <v>-9.6450780489869548E-3</v>
      </c>
      <c r="J204" s="3">
        <f t="shared" si="26"/>
        <v>2.792906018700414E-5</v>
      </c>
      <c r="K204" s="3">
        <f t="shared" si="27"/>
        <v>-4.4992039869868883E-3</v>
      </c>
      <c r="L204" s="3">
        <f t="shared" si="28"/>
        <v>-7.7996483067672706E-3</v>
      </c>
      <c r="M204" s="3">
        <f t="shared" si="29"/>
        <v>-8.8005953343902599E-3</v>
      </c>
      <c r="N204" s="3"/>
      <c r="O204" s="3">
        <f t="shared" si="30"/>
        <v>-5.2295298331898393E-3</v>
      </c>
      <c r="Q204" s="3">
        <v>5.103011974181693E-3</v>
      </c>
      <c r="R204">
        <v>195</v>
      </c>
    </row>
    <row r="205" spans="1:18" x14ac:dyDescent="0.3">
      <c r="A205" s="1">
        <v>45796</v>
      </c>
      <c r="B205">
        <v>2382.6999999999998</v>
      </c>
      <c r="C205">
        <v>3617.7</v>
      </c>
      <c r="D205">
        <v>1449</v>
      </c>
      <c r="E205">
        <v>3518.8</v>
      </c>
      <c r="F205">
        <v>3128</v>
      </c>
      <c r="H205" s="1">
        <v>45796</v>
      </c>
      <c r="I205" s="3">
        <f t="shared" si="25"/>
        <v>1.776942462944775E-2</v>
      </c>
      <c r="J205" s="3">
        <f t="shared" si="26"/>
        <v>1.0361391945483911E-2</v>
      </c>
      <c r="K205" s="3">
        <f t="shared" si="27"/>
        <v>7.509386733416834E-3</v>
      </c>
      <c r="L205" s="3">
        <f t="shared" si="28"/>
        <v>5.859989137581012E-3</v>
      </c>
      <c r="M205" s="3">
        <f t="shared" si="29"/>
        <v>2.1054349600130529E-2</v>
      </c>
      <c r="N205" s="3"/>
      <c r="O205" s="3">
        <f t="shared" si="30"/>
        <v>1.0786010488342447E-2</v>
      </c>
      <c r="Q205" s="3">
        <v>5.110830825514473E-3</v>
      </c>
      <c r="R205">
        <v>196</v>
      </c>
    </row>
    <row r="206" spans="1:18" x14ac:dyDescent="0.3">
      <c r="A206" s="1">
        <v>45793</v>
      </c>
      <c r="B206">
        <v>2381.4</v>
      </c>
      <c r="C206">
        <v>3633.7</v>
      </c>
      <c r="D206">
        <v>1454</v>
      </c>
      <c r="E206">
        <v>3561.3</v>
      </c>
      <c r="F206">
        <v>3135.6</v>
      </c>
      <c r="H206" s="1">
        <v>45793</v>
      </c>
      <c r="I206" s="3">
        <f t="shared" si="25"/>
        <v>-5.45599529944929E-4</v>
      </c>
      <c r="J206" s="3">
        <f t="shared" si="26"/>
        <v>4.42269950521057E-3</v>
      </c>
      <c r="K206" s="3">
        <f t="shared" si="27"/>
        <v>3.4506556245685882E-3</v>
      </c>
      <c r="L206" s="3">
        <f t="shared" si="28"/>
        <v>1.2077981129930748E-2</v>
      </c>
      <c r="M206" s="3">
        <f t="shared" si="29"/>
        <v>2.4296675191814998E-3</v>
      </c>
      <c r="N206" s="3"/>
      <c r="O206" s="3">
        <f t="shared" si="30"/>
        <v>4.7175946120857791E-3</v>
      </c>
      <c r="Q206" s="3">
        <v>5.1255378404822475E-3</v>
      </c>
      <c r="R206">
        <v>197</v>
      </c>
    </row>
    <row r="207" spans="1:18" x14ac:dyDescent="0.3">
      <c r="A207" s="1">
        <v>45792</v>
      </c>
      <c r="B207">
        <v>2355.1999999999998</v>
      </c>
      <c r="C207">
        <v>3636.8</v>
      </c>
      <c r="D207">
        <v>1450.8</v>
      </c>
      <c r="E207">
        <v>3579.9</v>
      </c>
      <c r="F207">
        <v>3144.3</v>
      </c>
      <c r="H207" s="1">
        <v>45792</v>
      </c>
      <c r="I207" s="3">
        <f t="shared" si="25"/>
        <v>-1.1001931636852369E-2</v>
      </c>
      <c r="J207" s="3">
        <f t="shared" si="26"/>
        <v>8.5312491399958112E-4</v>
      </c>
      <c r="K207" s="3">
        <f t="shared" si="27"/>
        <v>-2.2008253094910613E-3</v>
      </c>
      <c r="L207" s="3">
        <f t="shared" si="28"/>
        <v>5.2228118945327751E-3</v>
      </c>
      <c r="M207" s="3">
        <f t="shared" si="29"/>
        <v>2.7745885954841842E-3</v>
      </c>
      <c r="N207" s="3"/>
      <c r="O207" s="3">
        <f t="shared" si="30"/>
        <v>-7.752348714203047E-4</v>
      </c>
      <c r="Q207" s="3">
        <v>5.2355314171998683E-3</v>
      </c>
      <c r="R207">
        <v>198</v>
      </c>
    </row>
    <row r="208" spans="1:18" x14ac:dyDescent="0.3">
      <c r="A208" s="1">
        <v>45791</v>
      </c>
      <c r="B208">
        <v>2350.5</v>
      </c>
      <c r="C208">
        <v>3587.6</v>
      </c>
      <c r="D208">
        <v>1426.2</v>
      </c>
      <c r="E208">
        <v>3548.7</v>
      </c>
      <c r="F208">
        <v>3101.8</v>
      </c>
      <c r="H208" s="1">
        <v>45791</v>
      </c>
      <c r="I208" s="3">
        <f t="shared" si="25"/>
        <v>-1.9955842391303769E-3</v>
      </c>
      <c r="J208" s="3">
        <f t="shared" si="26"/>
        <v>-1.3528376594808655E-2</v>
      </c>
      <c r="K208" s="3">
        <f t="shared" si="27"/>
        <v>-1.6956162117452322E-2</v>
      </c>
      <c r="L208" s="3">
        <f t="shared" si="28"/>
        <v>-8.7153272437778817E-3</v>
      </c>
      <c r="M208" s="3">
        <f t="shared" si="29"/>
        <v>-1.3516521960372785E-2</v>
      </c>
      <c r="N208" s="3"/>
      <c r="O208" s="3">
        <f t="shared" si="30"/>
        <v>-1.1862998064600271E-2</v>
      </c>
      <c r="Q208" s="3">
        <v>5.2477136880855037E-3</v>
      </c>
      <c r="R208">
        <v>199</v>
      </c>
    </row>
    <row r="209" spans="1:18" x14ac:dyDescent="0.3">
      <c r="A209" s="1">
        <v>45790</v>
      </c>
      <c r="B209">
        <v>2360</v>
      </c>
      <c r="C209">
        <v>3563.2</v>
      </c>
      <c r="D209">
        <v>1430.6</v>
      </c>
      <c r="E209">
        <v>3515</v>
      </c>
      <c r="F209">
        <v>3053.8</v>
      </c>
      <c r="H209" s="1">
        <v>45790</v>
      </c>
      <c r="I209" s="3">
        <f t="shared" si="25"/>
        <v>4.0416932567539643E-3</v>
      </c>
      <c r="J209" s="3">
        <f t="shared" si="26"/>
        <v>-6.8012041476196439E-3</v>
      </c>
      <c r="K209" s="3">
        <f t="shared" si="27"/>
        <v>3.085121301360072E-3</v>
      </c>
      <c r="L209" s="3">
        <f t="shared" si="28"/>
        <v>-9.4964353143404123E-3</v>
      </c>
      <c r="M209" s="3">
        <f t="shared" si="29"/>
        <v>-1.5474885550325612E-2</v>
      </c>
      <c r="N209" s="3"/>
      <c r="O209" s="3">
        <f t="shared" si="30"/>
        <v>-3.6152862758844387E-3</v>
      </c>
      <c r="Q209" s="3">
        <v>5.2543366299834032E-3</v>
      </c>
      <c r="R209">
        <v>200</v>
      </c>
    </row>
    <row r="210" spans="1:18" x14ac:dyDescent="0.3">
      <c r="A210" s="1">
        <v>45789</v>
      </c>
      <c r="B210">
        <v>2382.5</v>
      </c>
      <c r="C210">
        <v>3562.9</v>
      </c>
      <c r="D210">
        <v>1448.5</v>
      </c>
      <c r="E210">
        <v>3620.4</v>
      </c>
      <c r="F210">
        <v>3104.7</v>
      </c>
      <c r="H210" s="1">
        <v>45789</v>
      </c>
      <c r="I210" s="3">
        <f t="shared" si="25"/>
        <v>9.5338983050847759E-3</v>
      </c>
      <c r="J210" s="3">
        <f t="shared" si="26"/>
        <v>-8.4193982936575651E-5</v>
      </c>
      <c r="K210" s="3">
        <f t="shared" si="27"/>
        <v>1.2512232629665831E-2</v>
      </c>
      <c r="L210" s="3">
        <f t="shared" si="28"/>
        <v>2.99857752489332E-2</v>
      </c>
      <c r="M210" s="3">
        <f t="shared" si="29"/>
        <v>1.6667758202894678E-2</v>
      </c>
      <c r="N210" s="3"/>
      <c r="O210" s="3">
        <f t="shared" si="30"/>
        <v>1.282663690900443E-2</v>
      </c>
      <c r="Q210" s="3">
        <v>5.3286834939228088E-3</v>
      </c>
      <c r="R210">
        <v>201</v>
      </c>
    </row>
    <row r="211" spans="1:18" x14ac:dyDescent="0.3">
      <c r="A211" s="1">
        <v>45786</v>
      </c>
      <c r="B211">
        <v>2332.9</v>
      </c>
      <c r="C211">
        <v>3510.3</v>
      </c>
      <c r="D211">
        <v>1388.9</v>
      </c>
      <c r="E211">
        <v>3440.3</v>
      </c>
      <c r="F211">
        <v>2982.1</v>
      </c>
      <c r="H211" s="1">
        <v>45786</v>
      </c>
      <c r="I211" s="3">
        <f t="shared" si="25"/>
        <v>-2.081846799580267E-2</v>
      </c>
      <c r="J211" s="3">
        <f t="shared" si="26"/>
        <v>-1.4763254652109259E-2</v>
      </c>
      <c r="K211" s="3">
        <f t="shared" si="27"/>
        <v>-4.1146013117017488E-2</v>
      </c>
      <c r="L211" s="3">
        <f t="shared" si="28"/>
        <v>-4.9745884432659371E-2</v>
      </c>
      <c r="M211" s="3">
        <f t="shared" si="29"/>
        <v>-3.948851740908943E-2</v>
      </c>
      <c r="N211" s="3"/>
      <c r="O211" s="3">
        <f t="shared" si="30"/>
        <v>-3.3055416424943779E-2</v>
      </c>
      <c r="Q211" s="3">
        <v>5.3556171183468003E-3</v>
      </c>
      <c r="R211">
        <v>202</v>
      </c>
    </row>
    <row r="212" spans="1:18" x14ac:dyDescent="0.3">
      <c r="A212" s="1">
        <v>45785</v>
      </c>
      <c r="B212">
        <v>2354.9</v>
      </c>
      <c r="C212">
        <v>3369.3</v>
      </c>
      <c r="D212">
        <v>1435.5</v>
      </c>
      <c r="E212">
        <v>3448.9</v>
      </c>
      <c r="F212">
        <v>3033.1</v>
      </c>
      <c r="H212" s="1">
        <v>45785</v>
      </c>
      <c r="I212" s="3">
        <f t="shared" si="25"/>
        <v>9.4303227742293938E-3</v>
      </c>
      <c r="J212" s="3">
        <f t="shared" si="26"/>
        <v>-4.0167507050679396E-2</v>
      </c>
      <c r="K212" s="3">
        <f t="shared" si="27"/>
        <v>3.3551731586147326E-2</v>
      </c>
      <c r="L212" s="3">
        <f t="shared" si="28"/>
        <v>2.4997819957561784E-3</v>
      </c>
      <c r="M212" s="3">
        <f t="shared" si="29"/>
        <v>1.7102042185037414E-2</v>
      </c>
      <c r="N212" s="3"/>
      <c r="O212" s="3">
        <f t="shared" si="30"/>
        <v>3.6483517469637354E-3</v>
      </c>
      <c r="Q212" s="3">
        <v>5.4547992827304933E-3</v>
      </c>
      <c r="R212">
        <v>203</v>
      </c>
    </row>
    <row r="213" spans="1:18" x14ac:dyDescent="0.3">
      <c r="A213" s="1">
        <v>45784</v>
      </c>
      <c r="B213">
        <v>2370.8000000000002</v>
      </c>
      <c r="C213">
        <v>3338.9</v>
      </c>
      <c r="D213">
        <v>1435.4</v>
      </c>
      <c r="E213">
        <v>3445.1</v>
      </c>
      <c r="F213">
        <v>3119.9</v>
      </c>
      <c r="H213" s="1">
        <v>45784</v>
      </c>
      <c r="I213" s="3">
        <f t="shared" si="25"/>
        <v>6.7518790606819756E-3</v>
      </c>
      <c r="J213" s="3">
        <f t="shared" si="26"/>
        <v>-9.02264565339983E-3</v>
      </c>
      <c r="K213" s="3">
        <f t="shared" si="27"/>
        <v>-6.9662138627579751E-5</v>
      </c>
      <c r="L213" s="3">
        <f t="shared" si="28"/>
        <v>-1.1018005740961456E-3</v>
      </c>
      <c r="M213" s="3">
        <f t="shared" si="29"/>
        <v>2.8617585968151449E-2</v>
      </c>
      <c r="N213" s="3"/>
      <c r="O213" s="3">
        <f t="shared" si="30"/>
        <v>1.3776202861599807E-3</v>
      </c>
      <c r="Q213" s="3">
        <v>5.7730900251682822E-3</v>
      </c>
      <c r="R213">
        <v>204</v>
      </c>
    </row>
    <row r="214" spans="1:18" x14ac:dyDescent="0.3">
      <c r="A214" s="1">
        <v>45783</v>
      </c>
      <c r="B214">
        <v>2381.8000000000002</v>
      </c>
      <c r="C214">
        <v>3299.3</v>
      </c>
      <c r="D214">
        <v>1431.6</v>
      </c>
      <c r="E214">
        <v>3460</v>
      </c>
      <c r="F214">
        <v>3068.4</v>
      </c>
      <c r="H214" s="1">
        <v>45783</v>
      </c>
      <c r="I214" s="3">
        <f t="shared" si="25"/>
        <v>4.6397840391430023E-3</v>
      </c>
      <c r="J214" s="3">
        <f t="shared" si="26"/>
        <v>-1.1860193476893599E-2</v>
      </c>
      <c r="K214" s="3">
        <f t="shared" si="27"/>
        <v>-2.6473456876133783E-3</v>
      </c>
      <c r="L214" s="3">
        <f t="shared" si="28"/>
        <v>4.3249833096281609E-3</v>
      </c>
      <c r="M214" s="3">
        <f t="shared" si="29"/>
        <v>-1.6506939324978376E-2</v>
      </c>
      <c r="N214" s="3"/>
      <c r="O214" s="3">
        <f t="shared" si="30"/>
        <v>-3.8489817402081682E-3</v>
      </c>
      <c r="Q214" s="3">
        <v>5.8613940389103452E-3</v>
      </c>
      <c r="R214">
        <v>205</v>
      </c>
    </row>
    <row r="215" spans="1:18" x14ac:dyDescent="0.3">
      <c r="A215" s="1">
        <v>45782</v>
      </c>
      <c r="B215">
        <v>2348.6</v>
      </c>
      <c r="C215">
        <v>3321.8</v>
      </c>
      <c r="D215">
        <v>1429.4</v>
      </c>
      <c r="E215">
        <v>3454.3</v>
      </c>
      <c r="F215">
        <v>3021.5</v>
      </c>
      <c r="H215" s="1">
        <v>45782</v>
      </c>
      <c r="I215" s="3">
        <f t="shared" si="25"/>
        <v>-1.3939037702577983E-2</v>
      </c>
      <c r="J215" s="3">
        <f t="shared" si="26"/>
        <v>6.8196284060255685E-3</v>
      </c>
      <c r="K215" s="3">
        <f t="shared" si="27"/>
        <v>-1.5367421067336018E-3</v>
      </c>
      <c r="L215" s="3">
        <f t="shared" si="28"/>
        <v>-1.6473988439306142E-3</v>
      </c>
      <c r="M215" s="3">
        <f t="shared" si="29"/>
        <v>-1.5284839004041206E-2</v>
      </c>
      <c r="N215" s="3"/>
      <c r="O215" s="3">
        <f t="shared" si="30"/>
        <v>-2.7049348550906294E-3</v>
      </c>
      <c r="Q215" s="3">
        <v>5.9076434889314697E-3</v>
      </c>
      <c r="R215">
        <v>206</v>
      </c>
    </row>
    <row r="216" spans="1:18" x14ac:dyDescent="0.3">
      <c r="A216" s="1">
        <v>45779</v>
      </c>
      <c r="B216">
        <v>2323.9</v>
      </c>
      <c r="C216">
        <v>3341</v>
      </c>
      <c r="D216">
        <v>1432.4</v>
      </c>
      <c r="E216">
        <v>3444.7</v>
      </c>
      <c r="F216">
        <v>2926.2</v>
      </c>
      <c r="H216" s="1">
        <v>45779</v>
      </c>
      <c r="I216" s="3">
        <f t="shared" si="25"/>
        <v>-1.0516903687302959E-2</v>
      </c>
      <c r="J216" s="3">
        <f t="shared" si="26"/>
        <v>5.7799987958335741E-3</v>
      </c>
      <c r="K216" s="3">
        <f t="shared" si="27"/>
        <v>2.0987827060305886E-3</v>
      </c>
      <c r="L216" s="3">
        <f t="shared" si="28"/>
        <v>-2.7791448339751224E-3</v>
      </c>
      <c r="M216" s="3">
        <f t="shared" si="29"/>
        <v>-3.154062551712733E-2</v>
      </c>
      <c r="N216" s="3"/>
      <c r="O216" s="3">
        <f t="shared" si="30"/>
        <v>-3.2127925608356313E-3</v>
      </c>
      <c r="Q216" s="3">
        <v>6.0656506866117784E-3</v>
      </c>
      <c r="R216">
        <v>207</v>
      </c>
    </row>
    <row r="217" spans="1:18" x14ac:dyDescent="0.3">
      <c r="A217" s="1">
        <v>45777</v>
      </c>
      <c r="B217">
        <v>2342.1</v>
      </c>
      <c r="C217">
        <v>3379.7</v>
      </c>
      <c r="D217">
        <v>1427</v>
      </c>
      <c r="E217">
        <v>3453.7</v>
      </c>
      <c r="F217">
        <v>2928.8</v>
      </c>
      <c r="H217" s="1">
        <v>45777</v>
      </c>
      <c r="I217" s="3">
        <f t="shared" si="25"/>
        <v>7.8316622918368495E-3</v>
      </c>
      <c r="J217" s="3">
        <f t="shared" si="26"/>
        <v>1.1583358275965239E-2</v>
      </c>
      <c r="K217" s="3">
        <f t="shared" si="27"/>
        <v>-3.7698966769059705E-3</v>
      </c>
      <c r="L217" s="3">
        <f t="shared" si="28"/>
        <v>2.6127093796266543E-3</v>
      </c>
      <c r="M217" s="3">
        <f t="shared" si="29"/>
        <v>8.8852436607211871E-4</v>
      </c>
      <c r="N217" s="3"/>
      <c r="O217" s="3">
        <f t="shared" si="30"/>
        <v>3.5510142222275887E-3</v>
      </c>
      <c r="Q217" s="3">
        <v>6.0860668230115159E-3</v>
      </c>
      <c r="R217">
        <v>208</v>
      </c>
    </row>
    <row r="218" spans="1:18" x14ac:dyDescent="0.3">
      <c r="A218" s="1">
        <v>45776</v>
      </c>
      <c r="B218">
        <v>2321.6999999999998</v>
      </c>
      <c r="C218">
        <v>3378.6</v>
      </c>
      <c r="D218">
        <v>1429.8</v>
      </c>
      <c r="E218">
        <v>3472.5</v>
      </c>
      <c r="F218">
        <v>2909.6</v>
      </c>
      <c r="H218" s="1">
        <v>45776</v>
      </c>
      <c r="I218" s="3">
        <f t="shared" si="25"/>
        <v>-8.710131932880838E-3</v>
      </c>
      <c r="J218" s="3">
        <f t="shared" si="26"/>
        <v>-3.2547267508953315E-4</v>
      </c>
      <c r="K218" s="3">
        <f t="shared" si="27"/>
        <v>1.9621583742115423E-3</v>
      </c>
      <c r="L218" s="3">
        <f t="shared" si="28"/>
        <v>5.4434374728553614E-3</v>
      </c>
      <c r="M218" s="3">
        <f t="shared" si="29"/>
        <v>-6.5555859054904353E-3</v>
      </c>
      <c r="N218" s="3"/>
      <c r="O218" s="3">
        <f t="shared" si="30"/>
        <v>-3.661115424190176E-4</v>
      </c>
      <c r="Q218" s="3">
        <v>6.2077339282272772E-3</v>
      </c>
      <c r="R218">
        <v>209</v>
      </c>
    </row>
    <row r="219" spans="1:18" x14ac:dyDescent="0.3">
      <c r="A219" s="1">
        <v>45775</v>
      </c>
      <c r="B219">
        <v>2318.6</v>
      </c>
      <c r="C219">
        <v>3369.1</v>
      </c>
      <c r="D219">
        <v>1428.8</v>
      </c>
      <c r="E219">
        <v>3443.5</v>
      </c>
      <c r="F219">
        <v>2930.6</v>
      </c>
      <c r="H219" s="1">
        <v>45775</v>
      </c>
      <c r="I219" s="3">
        <f t="shared" si="25"/>
        <v>-1.3352284963603633E-3</v>
      </c>
      <c r="J219" s="3">
        <f t="shared" si="26"/>
        <v>-2.8118155449002868E-3</v>
      </c>
      <c r="K219" s="3">
        <f t="shared" si="27"/>
        <v>-6.9939851727518487E-4</v>
      </c>
      <c r="L219" s="3">
        <f t="shared" si="28"/>
        <v>-8.3513318934484992E-3</v>
      </c>
      <c r="M219" s="3">
        <f t="shared" si="29"/>
        <v>7.2174869397856334E-3</v>
      </c>
      <c r="N219" s="3"/>
      <c r="O219" s="3">
        <f t="shared" si="30"/>
        <v>-2.0615754005728184E-3</v>
      </c>
      <c r="Q219" s="3">
        <v>6.211251747555868E-3</v>
      </c>
      <c r="R219">
        <v>210</v>
      </c>
    </row>
    <row r="220" spans="1:18" x14ac:dyDescent="0.3">
      <c r="A220" s="1">
        <v>45772</v>
      </c>
      <c r="B220">
        <v>2332.1999999999998</v>
      </c>
      <c r="C220">
        <v>3365.2</v>
      </c>
      <c r="D220">
        <v>1404.8</v>
      </c>
      <c r="E220">
        <v>3448</v>
      </c>
      <c r="F220">
        <v>2864.2</v>
      </c>
      <c r="H220" s="1">
        <v>45772</v>
      </c>
      <c r="I220" s="3">
        <f t="shared" si="25"/>
        <v>5.8656085568877803E-3</v>
      </c>
      <c r="J220" s="3">
        <f t="shared" si="26"/>
        <v>-1.157579175447454E-3</v>
      </c>
      <c r="K220" s="3">
        <f t="shared" si="27"/>
        <v>-1.6797312430011146E-2</v>
      </c>
      <c r="L220" s="3">
        <f t="shared" si="28"/>
        <v>1.3068099317554704E-3</v>
      </c>
      <c r="M220" s="3">
        <f t="shared" si="29"/>
        <v>-2.2657476284719924E-2</v>
      </c>
      <c r="N220" s="3"/>
      <c r="O220" s="3">
        <f t="shared" si="30"/>
        <v>-6.4531328814529387E-3</v>
      </c>
      <c r="Q220" s="3">
        <v>6.3600217852792127E-3</v>
      </c>
      <c r="R220">
        <v>211</v>
      </c>
    </row>
    <row r="221" spans="1:18" x14ac:dyDescent="0.3">
      <c r="A221" s="1">
        <v>45771</v>
      </c>
      <c r="B221">
        <v>2325.3000000000002</v>
      </c>
      <c r="C221">
        <v>3382.6</v>
      </c>
      <c r="D221">
        <v>1402.7</v>
      </c>
      <c r="E221">
        <v>3401.6</v>
      </c>
      <c r="F221">
        <v>2901.4</v>
      </c>
      <c r="H221" s="1">
        <v>45771</v>
      </c>
      <c r="I221" s="3">
        <f t="shared" si="25"/>
        <v>-2.9585798816565978E-3</v>
      </c>
      <c r="J221" s="3">
        <f t="shared" si="26"/>
        <v>5.1705693569477074E-3</v>
      </c>
      <c r="K221" s="3">
        <f t="shared" si="27"/>
        <v>-1.4948747152618846E-3</v>
      </c>
      <c r="L221" s="3">
        <f t="shared" si="28"/>
        <v>-1.345707656612527E-2</v>
      </c>
      <c r="M221" s="3">
        <f t="shared" si="29"/>
        <v>1.2987919838000295E-2</v>
      </c>
      <c r="N221" s="3"/>
      <c r="O221" s="3">
        <f t="shared" si="30"/>
        <v>-9.9223038701515298E-4</v>
      </c>
      <c r="Q221" s="3">
        <v>6.5072386260170085E-3</v>
      </c>
      <c r="R221">
        <v>212</v>
      </c>
    </row>
    <row r="222" spans="1:18" x14ac:dyDescent="0.3">
      <c r="A222" s="1">
        <v>45770</v>
      </c>
      <c r="B222">
        <v>2423.8000000000002</v>
      </c>
      <c r="C222">
        <v>3357.3</v>
      </c>
      <c r="D222">
        <v>1424.4</v>
      </c>
      <c r="E222">
        <v>3413</v>
      </c>
      <c r="F222">
        <v>2917.8</v>
      </c>
      <c r="H222" s="1">
        <v>45770</v>
      </c>
      <c r="I222" s="3">
        <f t="shared" si="25"/>
        <v>4.236012557519464E-2</v>
      </c>
      <c r="J222" s="3">
        <f t="shared" si="26"/>
        <v>-7.4794536746880524E-3</v>
      </c>
      <c r="K222" s="3">
        <f t="shared" si="27"/>
        <v>1.5470164682398257E-2</v>
      </c>
      <c r="L222" s="3">
        <f t="shared" si="28"/>
        <v>3.3513640639699638E-3</v>
      </c>
      <c r="M222" s="3">
        <f t="shared" si="29"/>
        <v>5.6524436478941897E-3</v>
      </c>
      <c r="N222" s="3"/>
      <c r="O222" s="3">
        <f t="shared" si="30"/>
        <v>1.0360721999910071E-2</v>
      </c>
      <c r="Q222" s="3">
        <v>6.5273717074249005E-3</v>
      </c>
      <c r="R222">
        <v>213</v>
      </c>
    </row>
    <row r="223" spans="1:18" x14ac:dyDescent="0.3">
      <c r="A223" s="1">
        <v>45769</v>
      </c>
      <c r="B223">
        <v>2398.6999999999998</v>
      </c>
      <c r="C223">
        <v>3337.4</v>
      </c>
      <c r="D223">
        <v>1416.5</v>
      </c>
      <c r="E223">
        <v>3314.4</v>
      </c>
      <c r="F223">
        <v>2817.1</v>
      </c>
      <c r="H223" s="1">
        <v>45769</v>
      </c>
      <c r="I223" s="3">
        <f t="shared" si="25"/>
        <v>-1.0355639904282676E-2</v>
      </c>
      <c r="J223" s="3">
        <f t="shared" si="26"/>
        <v>-5.92738212253896E-3</v>
      </c>
      <c r="K223" s="3">
        <f t="shared" si="27"/>
        <v>-5.5461948890761503E-3</v>
      </c>
      <c r="L223" s="3">
        <f t="shared" si="28"/>
        <v>-2.8889539994140012E-2</v>
      </c>
      <c r="M223" s="3">
        <f t="shared" si="29"/>
        <v>-3.4512303790527166E-2</v>
      </c>
      <c r="N223" s="3"/>
      <c r="O223" s="3">
        <f t="shared" si="30"/>
        <v>-1.3928188360880705E-2</v>
      </c>
      <c r="Q223" s="3">
        <v>6.8872081789674187E-3</v>
      </c>
      <c r="R223">
        <v>214</v>
      </c>
    </row>
    <row r="224" spans="1:18" x14ac:dyDescent="0.3">
      <c r="A224" s="1">
        <v>45768</v>
      </c>
      <c r="B224">
        <v>2351</v>
      </c>
      <c r="C224">
        <v>3336.1</v>
      </c>
      <c r="D224">
        <v>1409.8</v>
      </c>
      <c r="E224">
        <v>3321.6</v>
      </c>
      <c r="F224">
        <v>2764</v>
      </c>
      <c r="H224" s="1">
        <v>45768</v>
      </c>
      <c r="I224" s="3">
        <f t="shared" si="25"/>
        <v>-1.9885771459540513E-2</v>
      </c>
      <c r="J224" s="3">
        <f t="shared" si="26"/>
        <v>-3.8952477976872402E-4</v>
      </c>
      <c r="K224" s="3">
        <f t="shared" si="27"/>
        <v>-4.7299682315566915E-3</v>
      </c>
      <c r="L224" s="3">
        <f t="shared" si="28"/>
        <v>2.1723388848660097E-3</v>
      </c>
      <c r="M224" s="3">
        <f t="shared" si="29"/>
        <v>-1.8849171133435094E-2</v>
      </c>
      <c r="N224" s="3"/>
      <c r="O224" s="3">
        <f t="shared" si="30"/>
        <v>-5.9496867197105733E-3</v>
      </c>
      <c r="Q224" s="3">
        <v>7.0090080313608303E-3</v>
      </c>
      <c r="R224">
        <v>215</v>
      </c>
    </row>
    <row r="225" spans="1:18" x14ac:dyDescent="0.3">
      <c r="A225" s="1">
        <v>45764</v>
      </c>
      <c r="B225">
        <v>2375</v>
      </c>
      <c r="C225">
        <v>3327.5</v>
      </c>
      <c r="D225">
        <v>1406.7</v>
      </c>
      <c r="E225">
        <v>3298.9</v>
      </c>
      <c r="F225">
        <v>2679.4</v>
      </c>
      <c r="H225" s="1">
        <v>45764</v>
      </c>
      <c r="I225" s="3">
        <f t="shared" si="25"/>
        <v>1.0208421948107116E-2</v>
      </c>
      <c r="J225" s="3">
        <f t="shared" si="26"/>
        <v>-2.5778603758880303E-3</v>
      </c>
      <c r="K225" s="3">
        <f t="shared" si="27"/>
        <v>-2.1988934600651877E-3</v>
      </c>
      <c r="L225" s="3">
        <f t="shared" si="28"/>
        <v>-6.8340558766858406E-3</v>
      </c>
      <c r="M225" s="3">
        <f t="shared" si="29"/>
        <v>-3.0607814761215546E-2</v>
      </c>
      <c r="N225" s="3"/>
      <c r="O225" s="3">
        <f t="shared" si="30"/>
        <v>-4.2004624912342203E-3</v>
      </c>
      <c r="Q225" s="3">
        <v>7.0861293767654262E-3</v>
      </c>
      <c r="R225">
        <v>216</v>
      </c>
    </row>
    <row r="226" spans="1:18" x14ac:dyDescent="0.3">
      <c r="A226" s="1">
        <v>45763</v>
      </c>
      <c r="B226">
        <v>2366.6</v>
      </c>
      <c r="C226">
        <v>3272.1</v>
      </c>
      <c r="D226">
        <v>1356.4</v>
      </c>
      <c r="E226">
        <v>3273.8</v>
      </c>
      <c r="F226">
        <v>2634.6</v>
      </c>
      <c r="H226" s="1">
        <v>45763</v>
      </c>
      <c r="I226" s="3">
        <f t="shared" si="25"/>
        <v>-3.5368421052631716E-3</v>
      </c>
      <c r="J226" s="3">
        <f t="shared" si="26"/>
        <v>-1.6649135987979014E-2</v>
      </c>
      <c r="K226" s="3">
        <f t="shared" si="27"/>
        <v>-3.5757446506006985E-2</v>
      </c>
      <c r="L226" s="3">
        <f t="shared" si="28"/>
        <v>-7.6085968049955932E-3</v>
      </c>
      <c r="M226" s="3">
        <f t="shared" si="29"/>
        <v>-1.6720161230126207E-2</v>
      </c>
      <c r="N226" s="3"/>
      <c r="O226" s="3">
        <f t="shared" si="30"/>
        <v>-1.8613779748598062E-2</v>
      </c>
      <c r="Q226" s="3">
        <v>7.9193002248652451E-3</v>
      </c>
      <c r="R226">
        <v>217</v>
      </c>
    </row>
    <row r="227" spans="1:18" x14ac:dyDescent="0.3">
      <c r="A227" s="1">
        <v>45762</v>
      </c>
      <c r="B227">
        <v>2361.5</v>
      </c>
      <c r="C227">
        <v>3273.4</v>
      </c>
      <c r="D227">
        <v>1350.2</v>
      </c>
      <c r="E227">
        <v>3248.2</v>
      </c>
      <c r="F227">
        <v>2646</v>
      </c>
      <c r="H227" s="1">
        <v>45762</v>
      </c>
      <c r="I227" s="3">
        <f t="shared" si="25"/>
        <v>-2.1549902814163024E-3</v>
      </c>
      <c r="J227" s="3">
        <f t="shared" si="26"/>
        <v>3.9729837107671528E-4</v>
      </c>
      <c r="K227" s="3">
        <f t="shared" si="27"/>
        <v>-4.5709230315541527E-3</v>
      </c>
      <c r="L227" s="3">
        <f t="shared" si="28"/>
        <v>-7.8196591117356551E-3</v>
      </c>
      <c r="M227" s="3">
        <f t="shared" si="29"/>
        <v>4.3270325666135978E-3</v>
      </c>
      <c r="N227" s="3"/>
      <c r="O227" s="3">
        <f t="shared" si="30"/>
        <v>-2.7264294245952837E-3</v>
      </c>
      <c r="Q227" s="3">
        <v>8.0902296458557621E-3</v>
      </c>
      <c r="R227">
        <v>218</v>
      </c>
    </row>
    <row r="228" spans="1:18" x14ac:dyDescent="0.3">
      <c r="A228" s="1">
        <v>45758</v>
      </c>
      <c r="B228">
        <v>2366.15</v>
      </c>
      <c r="C228">
        <v>3234.9</v>
      </c>
      <c r="D228">
        <v>1311.65</v>
      </c>
      <c r="E228">
        <v>3231.5</v>
      </c>
      <c r="F228">
        <v>2580.35</v>
      </c>
      <c r="H228" s="1">
        <v>45758</v>
      </c>
      <c r="I228" s="3">
        <f t="shared" si="25"/>
        <v>1.969087444420925E-3</v>
      </c>
      <c r="J228" s="3">
        <f t="shared" si="26"/>
        <v>-1.1761471253131317E-2</v>
      </c>
      <c r="K228" s="3">
        <f t="shared" si="27"/>
        <v>-2.8551325729521571E-2</v>
      </c>
      <c r="L228" s="3">
        <f t="shared" si="28"/>
        <v>-5.1413090326949407E-3</v>
      </c>
      <c r="M228" s="3">
        <f t="shared" si="29"/>
        <v>-2.4811035525321268E-2</v>
      </c>
      <c r="N228" s="3"/>
      <c r="O228" s="3">
        <f t="shared" si="30"/>
        <v>-1.4719767774547275E-2</v>
      </c>
      <c r="Q228" s="3">
        <v>8.1783678319992947E-3</v>
      </c>
      <c r="R228">
        <v>219</v>
      </c>
    </row>
    <row r="229" spans="1:18" x14ac:dyDescent="0.3">
      <c r="A229" s="1">
        <v>45756</v>
      </c>
      <c r="B229">
        <v>2350</v>
      </c>
      <c r="C229">
        <v>3174.15</v>
      </c>
      <c r="D229">
        <v>1300.8</v>
      </c>
      <c r="E229">
        <v>3246.6</v>
      </c>
      <c r="F229">
        <v>2523.1</v>
      </c>
      <c r="H229" s="1">
        <v>45756</v>
      </c>
      <c r="I229" s="3">
        <f t="shared" si="25"/>
        <v>-6.8254337214462835E-3</v>
      </c>
      <c r="J229" s="3">
        <f t="shared" si="26"/>
        <v>-1.8779560419178387E-2</v>
      </c>
      <c r="K229" s="3">
        <f t="shared" si="27"/>
        <v>-8.272023786833449E-3</v>
      </c>
      <c r="L229" s="3">
        <f t="shared" si="28"/>
        <v>4.6727525916756552E-3</v>
      </c>
      <c r="M229" s="3">
        <f t="shared" si="29"/>
        <v>-2.2186912628131883E-2</v>
      </c>
      <c r="N229" s="3"/>
      <c r="O229" s="3">
        <f t="shared" si="30"/>
        <v>-9.4844530435396306E-3</v>
      </c>
      <c r="Q229" s="3">
        <v>8.2817415854568362E-3</v>
      </c>
      <c r="R229">
        <v>220</v>
      </c>
    </row>
    <row r="230" spans="1:18" x14ac:dyDescent="0.3">
      <c r="A230" s="1">
        <v>45755</v>
      </c>
      <c r="B230">
        <v>2289.25</v>
      </c>
      <c r="C230">
        <v>3122.3</v>
      </c>
      <c r="D230">
        <v>1299.9000000000001</v>
      </c>
      <c r="E230">
        <v>3292.95</v>
      </c>
      <c r="F230">
        <v>2523.65</v>
      </c>
      <c r="H230" s="1">
        <v>45755</v>
      </c>
      <c r="I230" s="3">
        <f t="shared" si="25"/>
        <v>-2.5851063829787191E-2</v>
      </c>
      <c r="J230" s="3">
        <f t="shared" si="26"/>
        <v>-1.6335081832931642E-2</v>
      </c>
      <c r="K230" s="3">
        <f t="shared" si="27"/>
        <v>-6.9188191881908168E-4</v>
      </c>
      <c r="L230" s="3">
        <f t="shared" si="28"/>
        <v>1.4276473849565763E-2</v>
      </c>
      <c r="M230" s="3">
        <f t="shared" si="29"/>
        <v>2.1798581110554771E-4</v>
      </c>
      <c r="N230" s="3"/>
      <c r="O230" s="3">
        <f t="shared" si="30"/>
        <v>-5.2919012573230065E-3</v>
      </c>
      <c r="Q230" s="3">
        <v>8.5345823409133433E-3</v>
      </c>
      <c r="R230">
        <v>221</v>
      </c>
    </row>
    <row r="231" spans="1:18" x14ac:dyDescent="0.3">
      <c r="A231" s="1">
        <v>45754</v>
      </c>
      <c r="B231">
        <v>2249.4</v>
      </c>
      <c r="C231">
        <v>3022.2</v>
      </c>
      <c r="D231">
        <v>1287.55</v>
      </c>
      <c r="E231">
        <v>3274.05</v>
      </c>
      <c r="F231">
        <v>2491.25</v>
      </c>
      <c r="H231" s="1">
        <v>45754</v>
      </c>
      <c r="I231" s="3">
        <f t="shared" si="25"/>
        <v>-1.7407447854100644E-2</v>
      </c>
      <c r="J231" s="3">
        <f t="shared" si="26"/>
        <v>-3.2059699580437639E-2</v>
      </c>
      <c r="K231" s="3">
        <f t="shared" si="27"/>
        <v>-9.5007308254482226E-3</v>
      </c>
      <c r="L231" s="3">
        <f t="shared" si="28"/>
        <v>-5.7395344599825426E-3</v>
      </c>
      <c r="M231" s="3">
        <f t="shared" si="29"/>
        <v>-1.2838547342143403E-2</v>
      </c>
      <c r="N231" s="3"/>
      <c r="O231" s="3">
        <f t="shared" si="30"/>
        <v>-1.5908022947069823E-2</v>
      </c>
      <c r="Q231" s="3">
        <v>8.8124638750395022E-3</v>
      </c>
      <c r="R231">
        <v>222</v>
      </c>
    </row>
    <row r="232" spans="1:18" x14ac:dyDescent="0.3">
      <c r="A232" s="1">
        <v>45751</v>
      </c>
      <c r="B232">
        <v>2244.5500000000002</v>
      </c>
      <c r="C232">
        <v>3076.2</v>
      </c>
      <c r="D232">
        <v>1335.3</v>
      </c>
      <c r="E232">
        <v>3299.4</v>
      </c>
      <c r="F232">
        <v>2596.5500000000002</v>
      </c>
      <c r="H232" s="1">
        <v>45751</v>
      </c>
      <c r="I232" s="3">
        <f t="shared" si="25"/>
        <v>-2.1561305236951211E-3</v>
      </c>
      <c r="J232" s="3">
        <f t="shared" si="26"/>
        <v>1.7867778439547344E-2</v>
      </c>
      <c r="K232" s="3">
        <f t="shared" si="27"/>
        <v>3.7085938410158725E-2</v>
      </c>
      <c r="L232" s="3">
        <f t="shared" si="28"/>
        <v>7.7427039904705008E-3</v>
      </c>
      <c r="M232" s="3">
        <f t="shared" si="29"/>
        <v>4.2267937782237919E-2</v>
      </c>
      <c r="N232" s="3"/>
      <c r="O232" s="3">
        <f t="shared" si="30"/>
        <v>2.1044641130698073E-2</v>
      </c>
      <c r="Q232" s="3">
        <v>8.8228243165247022E-3</v>
      </c>
      <c r="R232">
        <v>223</v>
      </c>
    </row>
    <row r="233" spans="1:18" x14ac:dyDescent="0.3">
      <c r="A233" s="1">
        <v>45750</v>
      </c>
      <c r="B233">
        <v>2244.5500000000002</v>
      </c>
      <c r="C233">
        <v>3127.55</v>
      </c>
      <c r="D233">
        <v>1329.55</v>
      </c>
      <c r="E233">
        <v>3403.15</v>
      </c>
      <c r="F233">
        <v>2611.4499999999998</v>
      </c>
      <c r="H233" s="1">
        <v>45750</v>
      </c>
      <c r="I233" s="3">
        <f t="shared" si="25"/>
        <v>0</v>
      </c>
      <c r="J233" s="3">
        <f t="shared" si="26"/>
        <v>1.6692672778102935E-2</v>
      </c>
      <c r="K233" s="3">
        <f t="shared" si="27"/>
        <v>-4.3061484310641385E-3</v>
      </c>
      <c r="L233" s="3">
        <f t="shared" si="28"/>
        <v>3.144511123234528E-2</v>
      </c>
      <c r="M233" s="3">
        <f t="shared" si="29"/>
        <v>5.7383836244244701E-3</v>
      </c>
      <c r="N233" s="3"/>
      <c r="O233" s="3">
        <f t="shared" si="30"/>
        <v>9.7441842741179951E-3</v>
      </c>
      <c r="Q233" s="3">
        <v>9.1697373057554165E-3</v>
      </c>
      <c r="R233">
        <v>224</v>
      </c>
    </row>
    <row r="234" spans="1:18" x14ac:dyDescent="0.3">
      <c r="A234" s="1">
        <v>45749</v>
      </c>
      <c r="B234">
        <v>2237.9</v>
      </c>
      <c r="C234">
        <v>3098.45</v>
      </c>
      <c r="D234">
        <v>1331.25</v>
      </c>
      <c r="E234">
        <v>3543.95</v>
      </c>
      <c r="F234">
        <v>2637.55</v>
      </c>
      <c r="H234" s="1">
        <v>45749</v>
      </c>
      <c r="I234" s="3">
        <f t="shared" si="25"/>
        <v>-2.9627319507251615E-3</v>
      </c>
      <c r="J234" s="3">
        <f t="shared" si="26"/>
        <v>-9.3044076033957923E-3</v>
      </c>
      <c r="K234" s="3">
        <f t="shared" si="27"/>
        <v>1.2786281072543204E-3</v>
      </c>
      <c r="L234" s="3">
        <f t="shared" si="28"/>
        <v>4.1373433436668883E-2</v>
      </c>
      <c r="M234" s="3">
        <f t="shared" si="29"/>
        <v>9.9944475291506851E-3</v>
      </c>
      <c r="N234" s="3"/>
      <c r="O234" s="3">
        <f t="shared" si="30"/>
        <v>6.8872081789674187E-3</v>
      </c>
      <c r="Q234" s="3">
        <v>9.2711690101785586E-3</v>
      </c>
      <c r="R234">
        <v>225</v>
      </c>
    </row>
    <row r="235" spans="1:18" x14ac:dyDescent="0.3">
      <c r="A235" s="1">
        <v>45748</v>
      </c>
      <c r="B235">
        <v>2233.85</v>
      </c>
      <c r="C235">
        <v>2986.95</v>
      </c>
      <c r="D235">
        <v>1318.45</v>
      </c>
      <c r="E235">
        <v>3550.8</v>
      </c>
      <c r="F235">
        <v>2637.9</v>
      </c>
      <c r="H235" s="1">
        <v>45748</v>
      </c>
      <c r="I235" s="3">
        <f t="shared" si="25"/>
        <v>-1.8097323383530206E-3</v>
      </c>
      <c r="J235" s="3">
        <f t="shared" si="26"/>
        <v>-3.5985734802885361E-2</v>
      </c>
      <c r="K235" s="3">
        <f t="shared" si="27"/>
        <v>-9.6150234741784191E-3</v>
      </c>
      <c r="L235" s="3">
        <f t="shared" si="28"/>
        <v>1.9328715134243613E-3</v>
      </c>
      <c r="M235" s="3">
        <f t="shared" si="29"/>
        <v>1.3269890618183844E-4</v>
      </c>
      <c r="N235" s="3"/>
      <c r="O235" s="3">
        <f t="shared" si="30"/>
        <v>-1.1752556400424762E-2</v>
      </c>
      <c r="Q235" s="3">
        <v>9.4321927936235461E-3</v>
      </c>
      <c r="R235">
        <v>226</v>
      </c>
    </row>
    <row r="236" spans="1:18" x14ac:dyDescent="0.3">
      <c r="A236" s="1">
        <v>45744</v>
      </c>
      <c r="B236">
        <v>2258.85</v>
      </c>
      <c r="C236">
        <v>3063.35</v>
      </c>
      <c r="D236">
        <v>1348.35</v>
      </c>
      <c r="E236">
        <v>3606.15</v>
      </c>
      <c r="F236">
        <v>2665.8</v>
      </c>
      <c r="H236" s="1">
        <v>45744</v>
      </c>
      <c r="I236" s="3">
        <f t="shared" si="25"/>
        <v>1.1191440786086693E-2</v>
      </c>
      <c r="J236" s="3">
        <f t="shared" si="26"/>
        <v>2.5577930665059645E-2</v>
      </c>
      <c r="K236" s="3">
        <f t="shared" si="27"/>
        <v>2.2678144791232091E-2</v>
      </c>
      <c r="L236" s="3">
        <f t="shared" si="28"/>
        <v>1.5588036498817237E-2</v>
      </c>
      <c r="M236" s="3">
        <f t="shared" si="29"/>
        <v>1.0576595018765067E-2</v>
      </c>
      <c r="N236" s="3"/>
      <c r="O236" s="3">
        <f t="shared" si="30"/>
        <v>1.9051909023187499E-2</v>
      </c>
      <c r="Q236" s="3">
        <v>9.7441842741179951E-3</v>
      </c>
      <c r="R236">
        <v>227</v>
      </c>
    </row>
    <row r="237" spans="1:18" x14ac:dyDescent="0.3">
      <c r="A237" s="1">
        <v>45743</v>
      </c>
      <c r="B237">
        <v>2244.65</v>
      </c>
      <c r="C237">
        <v>3087.65</v>
      </c>
      <c r="D237">
        <v>1336.65</v>
      </c>
      <c r="E237">
        <v>3651.2</v>
      </c>
      <c r="F237">
        <v>2733</v>
      </c>
      <c r="H237" s="1">
        <v>45743</v>
      </c>
      <c r="I237" s="3">
        <f t="shared" si="25"/>
        <v>-6.2863846647629451E-3</v>
      </c>
      <c r="J237" s="3">
        <f t="shared" si="26"/>
        <v>7.9324922062449232E-3</v>
      </c>
      <c r="K237" s="3">
        <f t="shared" si="27"/>
        <v>-8.6772722216040821E-3</v>
      </c>
      <c r="L237" s="3">
        <f t="shared" si="28"/>
        <v>1.2492547453655467E-2</v>
      </c>
      <c r="M237" s="3">
        <f t="shared" si="29"/>
        <v>2.5208192662615314E-2</v>
      </c>
      <c r="N237" s="3"/>
      <c r="O237" s="3">
        <f t="shared" si="30"/>
        <v>3.45631244235819E-3</v>
      </c>
      <c r="Q237" s="3">
        <v>1.0360721999910071E-2</v>
      </c>
      <c r="R237">
        <v>228</v>
      </c>
    </row>
    <row r="238" spans="1:18" x14ac:dyDescent="0.3">
      <c r="A238" s="1">
        <v>45742</v>
      </c>
      <c r="B238">
        <v>2245.9499999999998</v>
      </c>
      <c r="C238">
        <v>3057.5</v>
      </c>
      <c r="D238">
        <v>1335.9</v>
      </c>
      <c r="E238">
        <v>3635.8</v>
      </c>
      <c r="F238">
        <v>2742.25</v>
      </c>
      <c r="H238" s="1">
        <v>45742</v>
      </c>
      <c r="I238" s="3">
        <f t="shared" si="25"/>
        <v>5.7915487937965082E-4</v>
      </c>
      <c r="J238" s="3">
        <f t="shared" si="26"/>
        <v>-9.7647077874759569E-3</v>
      </c>
      <c r="K238" s="3">
        <f t="shared" si="27"/>
        <v>-5.6110425317024148E-4</v>
      </c>
      <c r="L238" s="3">
        <f t="shared" si="28"/>
        <v>-4.2177914110428372E-3</v>
      </c>
      <c r="M238" s="3">
        <f t="shared" si="29"/>
        <v>3.3845590925722924E-3</v>
      </c>
      <c r="N238" s="3"/>
      <c r="O238" s="3">
        <f t="shared" si="30"/>
        <v>-3.0277373638644524E-3</v>
      </c>
      <c r="Q238" s="3">
        <v>1.0627226969746712E-2</v>
      </c>
      <c r="R238">
        <v>229</v>
      </c>
    </row>
    <row r="239" spans="1:18" x14ac:dyDescent="0.3">
      <c r="A239" s="1">
        <v>45741</v>
      </c>
      <c r="B239">
        <v>2271.3000000000002</v>
      </c>
      <c r="C239">
        <v>3053.7</v>
      </c>
      <c r="D239">
        <v>1343.7</v>
      </c>
      <c r="E239">
        <v>3657.75</v>
      </c>
      <c r="F239">
        <v>2736</v>
      </c>
      <c r="H239" s="1">
        <v>45741</v>
      </c>
      <c r="I239" s="3">
        <f t="shared" si="25"/>
        <v>1.1286983236492576E-2</v>
      </c>
      <c r="J239" s="3">
        <f t="shared" si="26"/>
        <v>-1.2428454619788365E-3</v>
      </c>
      <c r="K239" s="3">
        <f t="shared" si="27"/>
        <v>5.8387603862564141E-3</v>
      </c>
      <c r="L239" s="3">
        <f t="shared" si="28"/>
        <v>6.0371857637933068E-3</v>
      </c>
      <c r="M239" s="3">
        <f t="shared" si="29"/>
        <v>-2.2791503327559415E-3</v>
      </c>
      <c r="N239" s="3"/>
      <c r="O239" s="3">
        <f t="shared" si="30"/>
        <v>4.1134863553391682E-3</v>
      </c>
      <c r="Q239" s="3">
        <v>1.0786010488342447E-2</v>
      </c>
      <c r="R239">
        <v>230</v>
      </c>
    </row>
    <row r="240" spans="1:18" x14ac:dyDescent="0.3">
      <c r="A240" s="1">
        <v>45740</v>
      </c>
      <c r="B240">
        <v>2256.1999999999998</v>
      </c>
      <c r="C240">
        <v>3079.1</v>
      </c>
      <c r="D240">
        <v>1358.15</v>
      </c>
      <c r="E240">
        <v>3628.95</v>
      </c>
      <c r="F240">
        <v>2774.7</v>
      </c>
      <c r="H240" s="1">
        <v>45740</v>
      </c>
      <c r="I240" s="3">
        <f t="shared" si="25"/>
        <v>-6.6481750539340023E-3</v>
      </c>
      <c r="J240" s="3">
        <f t="shared" si="26"/>
        <v>8.3177784327210791E-3</v>
      </c>
      <c r="K240" s="3">
        <f t="shared" si="27"/>
        <v>1.0753888516782162E-2</v>
      </c>
      <c r="L240" s="3">
        <f t="shared" si="28"/>
        <v>-7.873692843961555E-3</v>
      </c>
      <c r="M240" s="3">
        <f t="shared" si="29"/>
        <v>1.4144736842105265E-2</v>
      </c>
      <c r="N240" s="3"/>
      <c r="O240" s="3">
        <f t="shared" si="30"/>
        <v>4.1481200205430342E-3</v>
      </c>
      <c r="Q240" s="3">
        <v>1.0813846612725372E-2</v>
      </c>
      <c r="R240">
        <v>231</v>
      </c>
    </row>
    <row r="241" spans="1:18" x14ac:dyDescent="0.3">
      <c r="A241" s="1">
        <v>45737</v>
      </c>
      <c r="B241">
        <v>2246.1999999999998</v>
      </c>
      <c r="C241">
        <v>3162.7</v>
      </c>
      <c r="D241">
        <v>1343.1</v>
      </c>
      <c r="E241">
        <v>3578.1</v>
      </c>
      <c r="F241">
        <v>2801.85</v>
      </c>
      <c r="H241" s="1">
        <v>45737</v>
      </c>
      <c r="I241" s="3">
        <f t="shared" si="25"/>
        <v>-4.4322311851786589E-3</v>
      </c>
      <c r="J241" s="3">
        <f t="shared" si="26"/>
        <v>2.7150790815497983E-2</v>
      </c>
      <c r="K241" s="3">
        <f t="shared" si="27"/>
        <v>-1.1081250230092543E-2</v>
      </c>
      <c r="L241" s="3">
        <f t="shared" si="28"/>
        <v>-1.4012317612532521E-2</v>
      </c>
      <c r="M241" s="3">
        <f t="shared" si="29"/>
        <v>9.7848416044978848E-3</v>
      </c>
      <c r="N241" s="3"/>
      <c r="O241" s="3">
        <f t="shared" si="30"/>
        <v>9.745085950132184E-4</v>
      </c>
      <c r="Q241" s="3">
        <v>1.1080790511247862E-2</v>
      </c>
      <c r="R241">
        <v>232</v>
      </c>
    </row>
    <row r="242" spans="1:18" x14ac:dyDescent="0.3">
      <c r="A242" s="1">
        <v>45736</v>
      </c>
      <c r="B242">
        <v>2242.4</v>
      </c>
      <c r="C242">
        <v>3193.1</v>
      </c>
      <c r="D242">
        <v>1321.7</v>
      </c>
      <c r="E242">
        <v>3563.15</v>
      </c>
      <c r="F242">
        <v>2828.1</v>
      </c>
      <c r="H242" s="1">
        <v>45736</v>
      </c>
      <c r="I242" s="3">
        <f t="shared" si="25"/>
        <v>-1.6917460600123224E-3</v>
      </c>
      <c r="J242" s="3">
        <f t="shared" si="26"/>
        <v>9.6120403452746306E-3</v>
      </c>
      <c r="K242" s="3">
        <f t="shared" si="27"/>
        <v>-1.5933288660561318E-2</v>
      </c>
      <c r="L242" s="3">
        <f t="shared" si="28"/>
        <v>-4.1781951314943111E-3</v>
      </c>
      <c r="M242" s="3">
        <f t="shared" si="29"/>
        <v>9.3688098934632258E-3</v>
      </c>
      <c r="N242" s="3"/>
      <c r="O242" s="3">
        <f t="shared" si="30"/>
        <v>-2.5294964578041258E-3</v>
      </c>
      <c r="Q242" s="3">
        <v>1.165839173655381E-2</v>
      </c>
      <c r="R242">
        <v>233</v>
      </c>
    </row>
    <row r="243" spans="1:18" x14ac:dyDescent="0.3">
      <c r="A243" s="1">
        <v>45735</v>
      </c>
      <c r="B243">
        <v>2200.0500000000002</v>
      </c>
      <c r="C243">
        <v>3076.3</v>
      </c>
      <c r="D243">
        <v>1313.1</v>
      </c>
      <c r="E243">
        <v>3497.1</v>
      </c>
      <c r="F243">
        <v>2789.1</v>
      </c>
      <c r="H243" s="1">
        <v>45735</v>
      </c>
      <c r="I243" s="3">
        <f t="shared" si="25"/>
        <v>-1.8886014983945709E-2</v>
      </c>
      <c r="J243" s="3">
        <f t="shared" si="26"/>
        <v>-3.6578873195327377E-2</v>
      </c>
      <c r="K243" s="3">
        <f t="shared" si="27"/>
        <v>-6.5067715820534833E-3</v>
      </c>
      <c r="L243" s="3">
        <f t="shared" si="28"/>
        <v>-1.8536968693431466E-2</v>
      </c>
      <c r="M243" s="3">
        <f t="shared" si="29"/>
        <v>-1.3790177150737271E-2</v>
      </c>
      <c r="N243" s="3"/>
      <c r="O243" s="3">
        <f t="shared" si="30"/>
        <v>-1.9016063474799765E-2</v>
      </c>
      <c r="Q243" s="3">
        <v>1.2335182665670064E-2</v>
      </c>
      <c r="R243">
        <v>234</v>
      </c>
    </row>
    <row r="244" spans="1:18" x14ac:dyDescent="0.3">
      <c r="A244" s="1">
        <v>45734</v>
      </c>
      <c r="B244">
        <v>2201.4</v>
      </c>
      <c r="C244">
        <v>3081.7</v>
      </c>
      <c r="D244">
        <v>1309.8499999999999</v>
      </c>
      <c r="E244">
        <v>3552.45</v>
      </c>
      <c r="F244">
        <v>2791.4</v>
      </c>
      <c r="H244" s="1">
        <v>45734</v>
      </c>
      <c r="I244" s="3">
        <f t="shared" si="25"/>
        <v>6.13622417672266E-4</v>
      </c>
      <c r="J244" s="3">
        <f t="shared" si="26"/>
        <v>1.7553554594804677E-3</v>
      </c>
      <c r="K244" s="3">
        <f t="shared" si="27"/>
        <v>-2.4750590206381595E-3</v>
      </c>
      <c r="L244" s="3">
        <f t="shared" si="28"/>
        <v>1.5827399845586232E-2</v>
      </c>
      <c r="M244" s="3">
        <f t="shared" si="29"/>
        <v>8.2463877236382821E-4</v>
      </c>
      <c r="N244" s="3"/>
      <c r="O244" s="3">
        <f t="shared" si="30"/>
        <v>3.0363083676831389E-3</v>
      </c>
      <c r="Q244" s="3">
        <v>1.2776542322398199E-2</v>
      </c>
      <c r="R244">
        <v>235</v>
      </c>
    </row>
    <row r="245" spans="1:18" x14ac:dyDescent="0.3">
      <c r="A245" s="1">
        <v>45733</v>
      </c>
      <c r="B245">
        <v>2171.25</v>
      </c>
      <c r="C245">
        <v>3017.35</v>
      </c>
      <c r="D245">
        <v>1269</v>
      </c>
      <c r="E245">
        <v>3497.7</v>
      </c>
      <c r="F245">
        <v>2705.15</v>
      </c>
      <c r="H245" s="1">
        <v>45733</v>
      </c>
      <c r="I245" s="3">
        <f t="shared" si="25"/>
        <v>-1.3695829926410497E-2</v>
      </c>
      <c r="J245" s="3">
        <f t="shared" si="26"/>
        <v>-2.0881331732485298E-2</v>
      </c>
      <c r="K245" s="3">
        <f t="shared" si="27"/>
        <v>-3.1186777111883002E-2</v>
      </c>
      <c r="L245" s="3">
        <f t="shared" si="28"/>
        <v>-1.5411898830384629E-2</v>
      </c>
      <c r="M245" s="3">
        <f t="shared" si="29"/>
        <v>-3.0898473884072519E-2</v>
      </c>
      <c r="N245" s="3"/>
      <c r="O245" s="3">
        <f t="shared" si="30"/>
        <v>-2.2802967710131974E-2</v>
      </c>
      <c r="Q245" s="3">
        <v>1.282663690900443E-2</v>
      </c>
      <c r="R245">
        <v>236</v>
      </c>
    </row>
    <row r="246" spans="1:18" x14ac:dyDescent="0.3">
      <c r="A246" s="1">
        <v>45729</v>
      </c>
      <c r="B246">
        <v>2174.8000000000002</v>
      </c>
      <c r="C246">
        <v>3010.15</v>
      </c>
      <c r="D246">
        <v>1250.05</v>
      </c>
      <c r="E246">
        <v>3511.05</v>
      </c>
      <c r="F246">
        <v>2643.5</v>
      </c>
      <c r="H246" s="1">
        <v>45729</v>
      </c>
      <c r="I246" s="3">
        <f t="shared" si="25"/>
        <v>1.6350028785263593E-3</v>
      </c>
      <c r="J246" s="3">
        <f t="shared" si="26"/>
        <v>-2.3861998110924487E-3</v>
      </c>
      <c r="K246" s="3">
        <f t="shared" si="27"/>
        <v>-1.4933018124507536E-2</v>
      </c>
      <c r="L246" s="3">
        <f t="shared" si="28"/>
        <v>3.8167938931299439E-3</v>
      </c>
      <c r="M246" s="3">
        <f t="shared" si="29"/>
        <v>-2.2789863778348685E-2</v>
      </c>
      <c r="N246" s="3"/>
      <c r="O246" s="3">
        <f t="shared" si="30"/>
        <v>-6.346832557555299E-3</v>
      </c>
      <c r="Q246" s="3">
        <v>1.387230202958404E-2</v>
      </c>
      <c r="R246">
        <v>237</v>
      </c>
    </row>
    <row r="247" spans="1:18" x14ac:dyDescent="0.3">
      <c r="A247" s="1">
        <v>45728</v>
      </c>
      <c r="B247">
        <v>2192.9</v>
      </c>
      <c r="C247">
        <v>3018.95</v>
      </c>
      <c r="D247">
        <v>1243.95</v>
      </c>
      <c r="E247">
        <v>3506.2</v>
      </c>
      <c r="F247">
        <v>2653.3</v>
      </c>
      <c r="H247" s="1">
        <v>45728</v>
      </c>
      <c r="I247" s="3">
        <f t="shared" si="25"/>
        <v>8.3226043774140557E-3</v>
      </c>
      <c r="J247" s="3">
        <f t="shared" si="26"/>
        <v>2.923442353371053E-3</v>
      </c>
      <c r="K247" s="3">
        <f t="shared" si="27"/>
        <v>-4.8798048078075862E-3</v>
      </c>
      <c r="L247" s="3">
        <f t="shared" si="28"/>
        <v>-1.3813531564632608E-3</v>
      </c>
      <c r="M247" s="3">
        <f t="shared" si="29"/>
        <v>3.7072063552110457E-3</v>
      </c>
      <c r="N247" s="3"/>
      <c r="O247" s="3">
        <f t="shared" si="30"/>
        <v>6.0975980684104827E-4</v>
      </c>
      <c r="Q247" s="3">
        <v>1.4205270996384432E-2</v>
      </c>
      <c r="R247">
        <v>238</v>
      </c>
    </row>
    <row r="248" spans="1:18" x14ac:dyDescent="0.3">
      <c r="A248" s="1">
        <v>45727</v>
      </c>
      <c r="B248">
        <v>2216.9499999999998</v>
      </c>
      <c r="C248">
        <v>3046.4</v>
      </c>
      <c r="D248">
        <v>1245.4000000000001</v>
      </c>
      <c r="E248">
        <v>3575.3</v>
      </c>
      <c r="F248">
        <v>2645.6</v>
      </c>
      <c r="H248" s="1">
        <v>45727</v>
      </c>
      <c r="I248" s="3">
        <f t="shared" si="25"/>
        <v>1.0967212367184898E-2</v>
      </c>
      <c r="J248" s="3">
        <f t="shared" si="26"/>
        <v>9.0925652958810943E-3</v>
      </c>
      <c r="K248" s="3">
        <f t="shared" si="27"/>
        <v>1.1656417058563129E-3</v>
      </c>
      <c r="L248" s="3">
        <f t="shared" si="28"/>
        <v>1.9707945924362757E-2</v>
      </c>
      <c r="M248" s="3">
        <f t="shared" si="29"/>
        <v>-2.9020465081220914E-3</v>
      </c>
      <c r="N248" s="3"/>
      <c r="O248" s="3">
        <f t="shared" si="30"/>
        <v>7.9193002248652451E-3</v>
      </c>
      <c r="Q248" s="3">
        <v>1.420890184554412E-2</v>
      </c>
      <c r="R248">
        <v>239</v>
      </c>
    </row>
    <row r="249" spans="1:18" x14ac:dyDescent="0.3">
      <c r="A249" s="1">
        <v>45726</v>
      </c>
      <c r="B249">
        <v>2247.75</v>
      </c>
      <c r="C249">
        <v>3026.8</v>
      </c>
      <c r="D249">
        <v>1214.8499999999999</v>
      </c>
      <c r="E249">
        <v>3589.65</v>
      </c>
      <c r="F249">
        <v>2702.6</v>
      </c>
      <c r="H249" s="1">
        <v>45726</v>
      </c>
      <c r="I249" s="3">
        <f t="shared" si="25"/>
        <v>1.3892961050091523E-2</v>
      </c>
      <c r="J249" s="3">
        <f t="shared" si="26"/>
        <v>-6.4338235294116863E-3</v>
      </c>
      <c r="K249" s="3">
        <f t="shared" si="27"/>
        <v>-2.4530271398747527E-2</v>
      </c>
      <c r="L249" s="3">
        <f t="shared" si="28"/>
        <v>4.0136492042626148E-3</v>
      </c>
      <c r="M249" s="3">
        <f t="shared" si="29"/>
        <v>2.1545207136377309E-2</v>
      </c>
      <c r="N249" s="3"/>
      <c r="O249" s="3">
        <f t="shared" si="30"/>
        <v>-3.9263425899731964E-3</v>
      </c>
      <c r="Q249" s="3">
        <v>1.4246435574070359E-2</v>
      </c>
      <c r="R249">
        <v>240</v>
      </c>
    </row>
    <row r="250" spans="1:18" x14ac:dyDescent="0.3">
      <c r="A250" s="1">
        <v>45723</v>
      </c>
      <c r="B250">
        <v>2204.5500000000002</v>
      </c>
      <c r="C250">
        <v>3079.35</v>
      </c>
      <c r="D250">
        <v>1214.55</v>
      </c>
      <c r="E250">
        <v>3611.2</v>
      </c>
      <c r="F250">
        <v>2727.85</v>
      </c>
      <c r="H250" s="1">
        <v>45723</v>
      </c>
      <c r="I250" s="3">
        <f t="shared" si="25"/>
        <v>-1.9219219219219097E-2</v>
      </c>
      <c r="J250" s="3">
        <f t="shared" si="26"/>
        <v>1.73615699748908E-2</v>
      </c>
      <c r="K250" s="3">
        <f t="shared" si="27"/>
        <v>-2.4694406716874173E-4</v>
      </c>
      <c r="L250" s="3">
        <f t="shared" si="28"/>
        <v>6.0033708021671739E-3</v>
      </c>
      <c r="M250" s="3">
        <f t="shared" si="29"/>
        <v>9.3428550284910816E-3</v>
      </c>
      <c r="N250" s="3"/>
      <c r="O250" s="3">
        <f t="shared" si="30"/>
        <v>3.5183860539717564E-3</v>
      </c>
      <c r="Q250" s="3">
        <v>1.4700446780921639E-2</v>
      </c>
      <c r="R250">
        <v>241</v>
      </c>
    </row>
    <row r="251" spans="1:18" x14ac:dyDescent="0.3">
      <c r="A251" s="1">
        <v>45722</v>
      </c>
      <c r="B251">
        <v>2218.9499999999998</v>
      </c>
      <c r="C251">
        <v>3121.1</v>
      </c>
      <c r="D251">
        <v>1218.05</v>
      </c>
      <c r="E251">
        <v>3601.6</v>
      </c>
      <c r="F251">
        <v>2742.4</v>
      </c>
      <c r="H251" s="1">
        <v>45722</v>
      </c>
      <c r="I251" s="3">
        <f t="shared" si="25"/>
        <v>6.5319452949579304E-3</v>
      </c>
      <c r="J251" s="3">
        <f t="shared" si="26"/>
        <v>1.3558056083264436E-2</v>
      </c>
      <c r="K251" s="3">
        <f t="shared" si="27"/>
        <v>2.881725742044372E-3</v>
      </c>
      <c r="L251" s="3">
        <f t="shared" si="28"/>
        <v>-2.6583961010190338E-3</v>
      </c>
      <c r="M251" s="3">
        <f t="shared" si="29"/>
        <v>5.3338709973056453E-3</v>
      </c>
      <c r="N251" s="3"/>
      <c r="O251" s="3">
        <f t="shared" si="30"/>
        <v>5.2355314171998683E-3</v>
      </c>
      <c r="Q251" s="3">
        <v>1.6525756919475994E-2</v>
      </c>
      <c r="R251">
        <v>242</v>
      </c>
    </row>
    <row r="252" spans="1:18" x14ac:dyDescent="0.3">
      <c r="Q252" s="3">
        <v>1.6956528769483916E-2</v>
      </c>
      <c r="R252">
        <v>243</v>
      </c>
    </row>
    <row r="253" spans="1:18" x14ac:dyDescent="0.3">
      <c r="Q253" s="3">
        <v>1.9051909023187499E-2</v>
      </c>
      <c r="R253">
        <v>244</v>
      </c>
    </row>
    <row r="254" spans="1:18" x14ac:dyDescent="0.3">
      <c r="Q254" s="3">
        <v>2.1044641130698073E-2</v>
      </c>
      <c r="R254">
        <v>245</v>
      </c>
    </row>
    <row r="255" spans="1:18" x14ac:dyDescent="0.3">
      <c r="Q255" s="3">
        <v>2.1835308322842074E-2</v>
      </c>
      <c r="R255">
        <v>246</v>
      </c>
    </row>
  </sheetData>
  <sortState xmlns:xlrd2="http://schemas.microsoft.com/office/spreadsheetml/2017/richdata2" ref="Q10:Q255">
    <sortCondition ref="Q10:Q255"/>
  </sortState>
  <mergeCells count="1">
    <mergeCell ref="Y4:A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 using historical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2026-03-06T04:44:40Z</dcterms:created>
  <dcterms:modified xsi:type="dcterms:W3CDTF">2026-03-06T05:14:17Z</dcterms:modified>
</cp:coreProperties>
</file>