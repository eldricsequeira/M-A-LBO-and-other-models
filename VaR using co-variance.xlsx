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"/>
    </mc:Choice>
  </mc:AlternateContent>
  <xr:revisionPtr revIDLastSave="0" documentId="13_ncr:1_{44569068-F8E7-43A5-ACCE-3AB923587D30}" xr6:coauthVersionLast="47" xr6:coauthVersionMax="47" xr10:uidLastSave="{00000000-0000-0000-0000-000000000000}"/>
  <bookViews>
    <workbookView xWindow="-108" yWindow="-108" windowWidth="23256" windowHeight="13176" xr2:uid="{14B2FE21-C621-4A9A-AC1F-3A40C90AB8D9}"/>
  </bookViews>
  <sheets>
    <sheet name="Co-vari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1" i="1" l="1"/>
  <c r="Z14" i="1"/>
  <c r="AJ11" i="1"/>
  <c r="AI11" i="1"/>
  <c r="AJ10" i="1"/>
  <c r="AK10" i="1"/>
  <c r="AI10" i="1"/>
  <c r="AI9" i="1"/>
  <c r="AJ8" i="1"/>
  <c r="AJ9" i="1" s="1"/>
  <c r="AK8" i="1"/>
  <c r="AK9" i="1" s="1"/>
  <c r="AI8" i="1"/>
  <c r="AJ6" i="1"/>
  <c r="AK6" i="1"/>
  <c r="AI6" i="1"/>
  <c r="AJ5" i="1"/>
  <c r="AK5" i="1"/>
  <c r="AI5" i="1"/>
  <c r="AD25" i="1" a="1"/>
  <c r="AD25" i="1" s="1"/>
  <c r="AC17" i="1"/>
  <c r="AD18" i="1"/>
  <c r="AE19" i="1"/>
  <c r="AF20" i="1"/>
  <c r="AG21" i="1"/>
  <c r="Y10" i="1"/>
  <c r="AE25" i="1"/>
  <c r="AL11" i="1"/>
  <c r="AC11" i="1" l="1"/>
  <c r="Z19" i="1"/>
  <c r="Z22" i="1"/>
  <c r="Z24" i="1"/>
  <c r="Z25" i="1"/>
  <c r="Z31" i="1"/>
  <c r="Z34" i="1"/>
  <c r="Z36" i="1"/>
  <c r="Z37" i="1"/>
  <c r="Z43" i="1"/>
  <c r="Z46" i="1"/>
  <c r="Z48" i="1"/>
  <c r="Z49" i="1"/>
  <c r="Z55" i="1"/>
  <c r="Z58" i="1"/>
  <c r="Z60" i="1"/>
  <c r="Z61" i="1"/>
  <c r="Z67" i="1"/>
  <c r="Z70" i="1"/>
  <c r="Z72" i="1"/>
  <c r="Z73" i="1"/>
  <c r="Z79" i="1"/>
  <c r="Z82" i="1"/>
  <c r="Z84" i="1"/>
  <c r="Z85" i="1"/>
  <c r="Z91" i="1"/>
  <c r="Z94" i="1"/>
  <c r="Z96" i="1"/>
  <c r="Z97" i="1"/>
  <c r="Z103" i="1"/>
  <c r="Z106" i="1"/>
  <c r="Z108" i="1"/>
  <c r="Z109" i="1"/>
  <c r="Z115" i="1"/>
  <c r="Z118" i="1"/>
  <c r="Z120" i="1"/>
  <c r="Z121" i="1"/>
  <c r="Z127" i="1"/>
  <c r="Z130" i="1"/>
  <c r="Z132" i="1"/>
  <c r="Z133" i="1"/>
  <c r="Z139" i="1"/>
  <c r="Z142" i="1"/>
  <c r="Z144" i="1"/>
  <c r="Z145" i="1"/>
  <c r="Z151" i="1"/>
  <c r="Z154" i="1"/>
  <c r="Z156" i="1"/>
  <c r="Z157" i="1"/>
  <c r="Z163" i="1"/>
  <c r="Z166" i="1"/>
  <c r="Z168" i="1"/>
  <c r="Z169" i="1"/>
  <c r="Z175" i="1"/>
  <c r="Z178" i="1"/>
  <c r="Z180" i="1"/>
  <c r="Z181" i="1"/>
  <c r="Z187" i="1"/>
  <c r="Z190" i="1"/>
  <c r="Z192" i="1"/>
  <c r="Z193" i="1"/>
  <c r="Z199" i="1"/>
  <c r="Z202" i="1"/>
  <c r="Z204" i="1"/>
  <c r="Z205" i="1"/>
  <c r="Z211" i="1"/>
  <c r="Z214" i="1"/>
  <c r="Z216" i="1"/>
  <c r="Z217" i="1"/>
  <c r="Z223" i="1"/>
  <c r="Z226" i="1"/>
  <c r="Z228" i="1"/>
  <c r="Z229" i="1"/>
  <c r="Z235" i="1"/>
  <c r="Z238" i="1"/>
  <c r="Z240" i="1"/>
  <c r="Z241" i="1"/>
  <c r="Z247" i="1"/>
  <c r="Z250" i="1"/>
  <c r="Z252" i="1"/>
  <c r="Z253" i="1"/>
  <c r="Z13" i="1"/>
  <c r="AA7" i="1"/>
  <c r="AB7" i="1"/>
  <c r="AC7" i="1"/>
  <c r="AD7" i="1"/>
  <c r="Z7" i="1"/>
  <c r="R7" i="1"/>
  <c r="S7" i="1"/>
  <c r="T7" i="1"/>
  <c r="U7" i="1"/>
  <c r="V7" i="1"/>
  <c r="R8" i="1"/>
  <c r="Z15" i="1" s="1"/>
  <c r="S8" i="1"/>
  <c r="T8" i="1"/>
  <c r="U8" i="1"/>
  <c r="V8" i="1"/>
  <c r="R9" i="1"/>
  <c r="Z16" i="1" s="1"/>
  <c r="S9" i="1"/>
  <c r="T9" i="1"/>
  <c r="U9" i="1"/>
  <c r="V9" i="1"/>
  <c r="R10" i="1"/>
  <c r="S10" i="1"/>
  <c r="Z17" i="1" s="1"/>
  <c r="T10" i="1"/>
  <c r="U10" i="1"/>
  <c r="V10" i="1"/>
  <c r="R11" i="1"/>
  <c r="Z18" i="1" s="1"/>
  <c r="S11" i="1"/>
  <c r="T11" i="1"/>
  <c r="U11" i="1"/>
  <c r="V11" i="1"/>
  <c r="R12" i="1"/>
  <c r="S12" i="1"/>
  <c r="T12" i="1"/>
  <c r="U12" i="1"/>
  <c r="V12" i="1"/>
  <c r="R13" i="1"/>
  <c r="S13" i="1"/>
  <c r="Z20" i="1" s="1"/>
  <c r="T13" i="1"/>
  <c r="U13" i="1"/>
  <c r="V13" i="1"/>
  <c r="R14" i="1"/>
  <c r="Z21" i="1" s="1"/>
  <c r="S14" i="1"/>
  <c r="T14" i="1"/>
  <c r="U14" i="1"/>
  <c r="V14" i="1"/>
  <c r="R15" i="1"/>
  <c r="S15" i="1"/>
  <c r="T15" i="1"/>
  <c r="U15" i="1"/>
  <c r="V15" i="1"/>
  <c r="R16" i="1"/>
  <c r="S16" i="1"/>
  <c r="Z23" i="1" s="1"/>
  <c r="T16" i="1"/>
  <c r="U16" i="1"/>
  <c r="V16" i="1"/>
  <c r="R17" i="1"/>
  <c r="S17" i="1"/>
  <c r="T17" i="1"/>
  <c r="U17" i="1"/>
  <c r="V17" i="1"/>
  <c r="R18" i="1"/>
  <c r="S18" i="1"/>
  <c r="T18" i="1"/>
  <c r="U18" i="1"/>
  <c r="V18" i="1"/>
  <c r="R19" i="1"/>
  <c r="Z26" i="1" s="1"/>
  <c r="S19" i="1"/>
  <c r="T19" i="1"/>
  <c r="U19" i="1"/>
  <c r="V19" i="1"/>
  <c r="R20" i="1"/>
  <c r="Z27" i="1" s="1"/>
  <c r="S20" i="1"/>
  <c r="T20" i="1"/>
  <c r="U20" i="1"/>
  <c r="V20" i="1"/>
  <c r="R21" i="1"/>
  <c r="Z28" i="1" s="1"/>
  <c r="S21" i="1"/>
  <c r="T21" i="1"/>
  <c r="U21" i="1"/>
  <c r="V21" i="1"/>
  <c r="R22" i="1"/>
  <c r="S22" i="1"/>
  <c r="Z29" i="1" s="1"/>
  <c r="T22" i="1"/>
  <c r="U22" i="1"/>
  <c r="V22" i="1"/>
  <c r="R23" i="1"/>
  <c r="Z30" i="1" s="1"/>
  <c r="S23" i="1"/>
  <c r="T23" i="1"/>
  <c r="U23" i="1"/>
  <c r="V23" i="1"/>
  <c r="R24" i="1"/>
  <c r="S24" i="1"/>
  <c r="T24" i="1"/>
  <c r="U24" i="1"/>
  <c r="V24" i="1"/>
  <c r="R25" i="1"/>
  <c r="S25" i="1"/>
  <c r="Z32" i="1" s="1"/>
  <c r="T25" i="1"/>
  <c r="U25" i="1"/>
  <c r="V25" i="1"/>
  <c r="R26" i="1"/>
  <c r="Z33" i="1" s="1"/>
  <c r="S26" i="1"/>
  <c r="T26" i="1"/>
  <c r="U26" i="1"/>
  <c r="V26" i="1"/>
  <c r="R27" i="1"/>
  <c r="S27" i="1"/>
  <c r="T27" i="1"/>
  <c r="U27" i="1"/>
  <c r="V27" i="1"/>
  <c r="R28" i="1"/>
  <c r="S28" i="1"/>
  <c r="Z35" i="1" s="1"/>
  <c r="T28" i="1"/>
  <c r="U28" i="1"/>
  <c r="V28" i="1"/>
  <c r="R29" i="1"/>
  <c r="S29" i="1"/>
  <c r="T29" i="1"/>
  <c r="U29" i="1"/>
  <c r="V29" i="1"/>
  <c r="R30" i="1"/>
  <c r="S30" i="1"/>
  <c r="T30" i="1"/>
  <c r="U30" i="1"/>
  <c r="V30" i="1"/>
  <c r="R31" i="1"/>
  <c r="Z38" i="1" s="1"/>
  <c r="S31" i="1"/>
  <c r="T31" i="1"/>
  <c r="U31" i="1"/>
  <c r="V31" i="1"/>
  <c r="R32" i="1"/>
  <c r="Z39" i="1" s="1"/>
  <c r="S32" i="1"/>
  <c r="T32" i="1"/>
  <c r="U32" i="1"/>
  <c r="V32" i="1"/>
  <c r="R33" i="1"/>
  <c r="Z40" i="1" s="1"/>
  <c r="S33" i="1"/>
  <c r="T33" i="1"/>
  <c r="U33" i="1"/>
  <c r="V33" i="1"/>
  <c r="R34" i="1"/>
  <c r="S34" i="1"/>
  <c r="Z41" i="1" s="1"/>
  <c r="T34" i="1"/>
  <c r="U34" i="1"/>
  <c r="V34" i="1"/>
  <c r="R35" i="1"/>
  <c r="Z42" i="1" s="1"/>
  <c r="S35" i="1"/>
  <c r="T35" i="1"/>
  <c r="U35" i="1"/>
  <c r="V35" i="1"/>
  <c r="R36" i="1"/>
  <c r="S36" i="1"/>
  <c r="T36" i="1"/>
  <c r="U36" i="1"/>
  <c r="V36" i="1"/>
  <c r="R37" i="1"/>
  <c r="S37" i="1"/>
  <c r="Z44" i="1" s="1"/>
  <c r="T37" i="1"/>
  <c r="U37" i="1"/>
  <c r="V37" i="1"/>
  <c r="R38" i="1"/>
  <c r="Z45" i="1" s="1"/>
  <c r="S38" i="1"/>
  <c r="T38" i="1"/>
  <c r="U38" i="1"/>
  <c r="V38" i="1"/>
  <c r="R39" i="1"/>
  <c r="S39" i="1"/>
  <c r="T39" i="1"/>
  <c r="U39" i="1"/>
  <c r="V39" i="1"/>
  <c r="R40" i="1"/>
  <c r="S40" i="1"/>
  <c r="Z47" i="1" s="1"/>
  <c r="T40" i="1"/>
  <c r="U40" i="1"/>
  <c r="V40" i="1"/>
  <c r="R41" i="1"/>
  <c r="S41" i="1"/>
  <c r="T41" i="1"/>
  <c r="U41" i="1"/>
  <c r="V41" i="1"/>
  <c r="R42" i="1"/>
  <c r="S42" i="1"/>
  <c r="T42" i="1"/>
  <c r="U42" i="1"/>
  <c r="V42" i="1"/>
  <c r="R43" i="1"/>
  <c r="Z50" i="1" s="1"/>
  <c r="S43" i="1"/>
  <c r="T43" i="1"/>
  <c r="U43" i="1"/>
  <c r="V43" i="1"/>
  <c r="R44" i="1"/>
  <c r="Z51" i="1" s="1"/>
  <c r="S44" i="1"/>
  <c r="T44" i="1"/>
  <c r="U44" i="1"/>
  <c r="V44" i="1"/>
  <c r="R45" i="1"/>
  <c r="Z52" i="1" s="1"/>
  <c r="S45" i="1"/>
  <c r="T45" i="1"/>
  <c r="U45" i="1"/>
  <c r="V45" i="1"/>
  <c r="R46" i="1"/>
  <c r="S46" i="1"/>
  <c r="Z53" i="1" s="1"/>
  <c r="T46" i="1"/>
  <c r="U46" i="1"/>
  <c r="V46" i="1"/>
  <c r="R47" i="1"/>
  <c r="Z54" i="1" s="1"/>
  <c r="S47" i="1"/>
  <c r="T47" i="1"/>
  <c r="U47" i="1"/>
  <c r="V47" i="1"/>
  <c r="R48" i="1"/>
  <c r="S48" i="1"/>
  <c r="T48" i="1"/>
  <c r="U48" i="1"/>
  <c r="V48" i="1"/>
  <c r="R49" i="1"/>
  <c r="S49" i="1"/>
  <c r="Z56" i="1" s="1"/>
  <c r="T49" i="1"/>
  <c r="U49" i="1"/>
  <c r="V49" i="1"/>
  <c r="R50" i="1"/>
  <c r="Z57" i="1" s="1"/>
  <c r="S50" i="1"/>
  <c r="T50" i="1"/>
  <c r="U50" i="1"/>
  <c r="V50" i="1"/>
  <c r="R51" i="1"/>
  <c r="S51" i="1"/>
  <c r="T51" i="1"/>
  <c r="U51" i="1"/>
  <c r="V51" i="1"/>
  <c r="R52" i="1"/>
  <c r="S52" i="1"/>
  <c r="Z59" i="1" s="1"/>
  <c r="T52" i="1"/>
  <c r="U52" i="1"/>
  <c r="V52" i="1"/>
  <c r="R53" i="1"/>
  <c r="S53" i="1"/>
  <c r="T53" i="1"/>
  <c r="U53" i="1"/>
  <c r="V53" i="1"/>
  <c r="R54" i="1"/>
  <c r="S54" i="1"/>
  <c r="T54" i="1"/>
  <c r="U54" i="1"/>
  <c r="V54" i="1"/>
  <c r="R55" i="1"/>
  <c r="Z62" i="1" s="1"/>
  <c r="S55" i="1"/>
  <c r="T55" i="1"/>
  <c r="U55" i="1"/>
  <c r="V55" i="1"/>
  <c r="R56" i="1"/>
  <c r="Z63" i="1" s="1"/>
  <c r="S56" i="1"/>
  <c r="T56" i="1"/>
  <c r="U56" i="1"/>
  <c r="V56" i="1"/>
  <c r="R57" i="1"/>
  <c r="Z64" i="1" s="1"/>
  <c r="S57" i="1"/>
  <c r="T57" i="1"/>
  <c r="U57" i="1"/>
  <c r="V57" i="1"/>
  <c r="R58" i="1"/>
  <c r="S58" i="1"/>
  <c r="Z65" i="1" s="1"/>
  <c r="T58" i="1"/>
  <c r="U58" i="1"/>
  <c r="V58" i="1"/>
  <c r="R59" i="1"/>
  <c r="Z66" i="1" s="1"/>
  <c r="S59" i="1"/>
  <c r="T59" i="1"/>
  <c r="U59" i="1"/>
  <c r="V59" i="1"/>
  <c r="R60" i="1"/>
  <c r="S60" i="1"/>
  <c r="T60" i="1"/>
  <c r="U60" i="1"/>
  <c r="V60" i="1"/>
  <c r="R61" i="1"/>
  <c r="S61" i="1"/>
  <c r="Z68" i="1" s="1"/>
  <c r="T61" i="1"/>
  <c r="U61" i="1"/>
  <c r="V61" i="1"/>
  <c r="R62" i="1"/>
  <c r="Z69" i="1" s="1"/>
  <c r="S62" i="1"/>
  <c r="T62" i="1"/>
  <c r="U62" i="1"/>
  <c r="V62" i="1"/>
  <c r="R63" i="1"/>
  <c r="S63" i="1"/>
  <c r="T63" i="1"/>
  <c r="U63" i="1"/>
  <c r="V63" i="1"/>
  <c r="R64" i="1"/>
  <c r="S64" i="1"/>
  <c r="Z71" i="1" s="1"/>
  <c r="T64" i="1"/>
  <c r="U64" i="1"/>
  <c r="V64" i="1"/>
  <c r="R65" i="1"/>
  <c r="S65" i="1"/>
  <c r="T65" i="1"/>
  <c r="U65" i="1"/>
  <c r="V65" i="1"/>
  <c r="R66" i="1"/>
  <c r="S66" i="1"/>
  <c r="T66" i="1"/>
  <c r="U66" i="1"/>
  <c r="V66" i="1"/>
  <c r="R67" i="1"/>
  <c r="Z74" i="1" s="1"/>
  <c r="S67" i="1"/>
  <c r="T67" i="1"/>
  <c r="U67" i="1"/>
  <c r="V67" i="1"/>
  <c r="R68" i="1"/>
  <c r="Z75" i="1" s="1"/>
  <c r="S68" i="1"/>
  <c r="T68" i="1"/>
  <c r="U68" i="1"/>
  <c r="V68" i="1"/>
  <c r="R69" i="1"/>
  <c r="Z76" i="1" s="1"/>
  <c r="S69" i="1"/>
  <c r="T69" i="1"/>
  <c r="U69" i="1"/>
  <c r="V69" i="1"/>
  <c r="R70" i="1"/>
  <c r="S70" i="1"/>
  <c r="Z77" i="1" s="1"/>
  <c r="T70" i="1"/>
  <c r="U70" i="1"/>
  <c r="V70" i="1"/>
  <c r="R71" i="1"/>
  <c r="Z78" i="1" s="1"/>
  <c r="S71" i="1"/>
  <c r="T71" i="1"/>
  <c r="U71" i="1"/>
  <c r="V71" i="1"/>
  <c r="R72" i="1"/>
  <c r="S72" i="1"/>
  <c r="T72" i="1"/>
  <c r="U72" i="1"/>
  <c r="V72" i="1"/>
  <c r="R73" i="1"/>
  <c r="S73" i="1"/>
  <c r="Z80" i="1" s="1"/>
  <c r="T73" i="1"/>
  <c r="U73" i="1"/>
  <c r="V73" i="1"/>
  <c r="R74" i="1"/>
  <c r="Z81" i="1" s="1"/>
  <c r="S74" i="1"/>
  <c r="T74" i="1"/>
  <c r="U74" i="1"/>
  <c r="V74" i="1"/>
  <c r="R75" i="1"/>
  <c r="S75" i="1"/>
  <c r="T75" i="1"/>
  <c r="U75" i="1"/>
  <c r="V75" i="1"/>
  <c r="R76" i="1"/>
  <c r="S76" i="1"/>
  <c r="Z83" i="1" s="1"/>
  <c r="T76" i="1"/>
  <c r="U76" i="1"/>
  <c r="V76" i="1"/>
  <c r="R77" i="1"/>
  <c r="S77" i="1"/>
  <c r="T77" i="1"/>
  <c r="U77" i="1"/>
  <c r="V77" i="1"/>
  <c r="R78" i="1"/>
  <c r="S78" i="1"/>
  <c r="T78" i="1"/>
  <c r="U78" i="1"/>
  <c r="V78" i="1"/>
  <c r="R79" i="1"/>
  <c r="Z86" i="1" s="1"/>
  <c r="S79" i="1"/>
  <c r="T79" i="1"/>
  <c r="U79" i="1"/>
  <c r="V79" i="1"/>
  <c r="R80" i="1"/>
  <c r="Z87" i="1" s="1"/>
  <c r="S80" i="1"/>
  <c r="T80" i="1"/>
  <c r="U80" i="1"/>
  <c r="V80" i="1"/>
  <c r="R81" i="1"/>
  <c r="Z88" i="1" s="1"/>
  <c r="S81" i="1"/>
  <c r="T81" i="1"/>
  <c r="U81" i="1"/>
  <c r="V81" i="1"/>
  <c r="R82" i="1"/>
  <c r="S82" i="1"/>
  <c r="Z89" i="1" s="1"/>
  <c r="T82" i="1"/>
  <c r="U82" i="1"/>
  <c r="V82" i="1"/>
  <c r="R83" i="1"/>
  <c r="Z90" i="1" s="1"/>
  <c r="S83" i="1"/>
  <c r="T83" i="1"/>
  <c r="U83" i="1"/>
  <c r="V83" i="1"/>
  <c r="R84" i="1"/>
  <c r="S84" i="1"/>
  <c r="T84" i="1"/>
  <c r="U84" i="1"/>
  <c r="V84" i="1"/>
  <c r="R85" i="1"/>
  <c r="S85" i="1"/>
  <c r="Z92" i="1" s="1"/>
  <c r="T85" i="1"/>
  <c r="U85" i="1"/>
  <c r="V85" i="1"/>
  <c r="R86" i="1"/>
  <c r="Z93" i="1" s="1"/>
  <c r="S86" i="1"/>
  <c r="T86" i="1"/>
  <c r="U86" i="1"/>
  <c r="V86" i="1"/>
  <c r="R87" i="1"/>
  <c r="S87" i="1"/>
  <c r="T87" i="1"/>
  <c r="U87" i="1"/>
  <c r="V87" i="1"/>
  <c r="R88" i="1"/>
  <c r="S88" i="1"/>
  <c r="Z95" i="1" s="1"/>
  <c r="T88" i="1"/>
  <c r="U88" i="1"/>
  <c r="V88" i="1"/>
  <c r="R89" i="1"/>
  <c r="S89" i="1"/>
  <c r="T89" i="1"/>
  <c r="U89" i="1"/>
  <c r="V89" i="1"/>
  <c r="R90" i="1"/>
  <c r="S90" i="1"/>
  <c r="T90" i="1"/>
  <c r="U90" i="1"/>
  <c r="V90" i="1"/>
  <c r="R91" i="1"/>
  <c r="Z98" i="1" s="1"/>
  <c r="S91" i="1"/>
  <c r="T91" i="1"/>
  <c r="U91" i="1"/>
  <c r="V91" i="1"/>
  <c r="R92" i="1"/>
  <c r="Z99" i="1" s="1"/>
  <c r="S92" i="1"/>
  <c r="T92" i="1"/>
  <c r="U92" i="1"/>
  <c r="V92" i="1"/>
  <c r="R93" i="1"/>
  <c r="Z100" i="1" s="1"/>
  <c r="S93" i="1"/>
  <c r="T93" i="1"/>
  <c r="U93" i="1"/>
  <c r="V93" i="1"/>
  <c r="R94" i="1"/>
  <c r="S94" i="1"/>
  <c r="Z101" i="1" s="1"/>
  <c r="T94" i="1"/>
  <c r="U94" i="1"/>
  <c r="V94" i="1"/>
  <c r="R95" i="1"/>
  <c r="Z102" i="1" s="1"/>
  <c r="S95" i="1"/>
  <c r="T95" i="1"/>
  <c r="U95" i="1"/>
  <c r="V95" i="1"/>
  <c r="R96" i="1"/>
  <c r="S96" i="1"/>
  <c r="T96" i="1"/>
  <c r="U96" i="1"/>
  <c r="V96" i="1"/>
  <c r="R97" i="1"/>
  <c r="S97" i="1"/>
  <c r="Z104" i="1" s="1"/>
  <c r="T97" i="1"/>
  <c r="U97" i="1"/>
  <c r="V97" i="1"/>
  <c r="R98" i="1"/>
  <c r="Z105" i="1" s="1"/>
  <c r="S98" i="1"/>
  <c r="T98" i="1"/>
  <c r="U98" i="1"/>
  <c r="V98" i="1"/>
  <c r="R99" i="1"/>
  <c r="S99" i="1"/>
  <c r="T99" i="1"/>
  <c r="U99" i="1"/>
  <c r="V99" i="1"/>
  <c r="R100" i="1"/>
  <c r="S100" i="1"/>
  <c r="Z107" i="1" s="1"/>
  <c r="T100" i="1"/>
  <c r="U100" i="1"/>
  <c r="V100" i="1"/>
  <c r="R101" i="1"/>
  <c r="S101" i="1"/>
  <c r="T101" i="1"/>
  <c r="U101" i="1"/>
  <c r="V101" i="1"/>
  <c r="R102" i="1"/>
  <c r="S102" i="1"/>
  <c r="T102" i="1"/>
  <c r="U102" i="1"/>
  <c r="V102" i="1"/>
  <c r="R103" i="1"/>
  <c r="Z110" i="1" s="1"/>
  <c r="S103" i="1"/>
  <c r="T103" i="1"/>
  <c r="U103" i="1"/>
  <c r="V103" i="1"/>
  <c r="R104" i="1"/>
  <c r="Z111" i="1" s="1"/>
  <c r="S104" i="1"/>
  <c r="T104" i="1"/>
  <c r="U104" i="1"/>
  <c r="V104" i="1"/>
  <c r="R105" i="1"/>
  <c r="Z112" i="1" s="1"/>
  <c r="S105" i="1"/>
  <c r="T105" i="1"/>
  <c r="U105" i="1"/>
  <c r="V105" i="1"/>
  <c r="R106" i="1"/>
  <c r="S106" i="1"/>
  <c r="Z113" i="1" s="1"/>
  <c r="T106" i="1"/>
  <c r="U106" i="1"/>
  <c r="V106" i="1"/>
  <c r="R107" i="1"/>
  <c r="Z114" i="1" s="1"/>
  <c r="S107" i="1"/>
  <c r="T107" i="1"/>
  <c r="U107" i="1"/>
  <c r="V107" i="1"/>
  <c r="R108" i="1"/>
  <c r="S108" i="1"/>
  <c r="T108" i="1"/>
  <c r="U108" i="1"/>
  <c r="V108" i="1"/>
  <c r="R109" i="1"/>
  <c r="S109" i="1"/>
  <c r="Z116" i="1" s="1"/>
  <c r="T109" i="1"/>
  <c r="U109" i="1"/>
  <c r="V109" i="1"/>
  <c r="R110" i="1"/>
  <c r="Z117" i="1" s="1"/>
  <c r="S110" i="1"/>
  <c r="T110" i="1"/>
  <c r="U110" i="1"/>
  <c r="V110" i="1"/>
  <c r="R111" i="1"/>
  <c r="S111" i="1"/>
  <c r="T111" i="1"/>
  <c r="U111" i="1"/>
  <c r="V111" i="1"/>
  <c r="R112" i="1"/>
  <c r="S112" i="1"/>
  <c r="Z119" i="1" s="1"/>
  <c r="T112" i="1"/>
  <c r="U112" i="1"/>
  <c r="V112" i="1"/>
  <c r="R113" i="1"/>
  <c r="S113" i="1"/>
  <c r="T113" i="1"/>
  <c r="U113" i="1"/>
  <c r="V113" i="1"/>
  <c r="R114" i="1"/>
  <c r="S114" i="1"/>
  <c r="T114" i="1"/>
  <c r="U114" i="1"/>
  <c r="V114" i="1"/>
  <c r="R115" i="1"/>
  <c r="Z122" i="1" s="1"/>
  <c r="S115" i="1"/>
  <c r="T115" i="1"/>
  <c r="U115" i="1"/>
  <c r="V115" i="1"/>
  <c r="R116" i="1"/>
  <c r="Z123" i="1" s="1"/>
  <c r="S116" i="1"/>
  <c r="T116" i="1"/>
  <c r="U116" i="1"/>
  <c r="V116" i="1"/>
  <c r="R117" i="1"/>
  <c r="Z124" i="1" s="1"/>
  <c r="S117" i="1"/>
  <c r="T117" i="1"/>
  <c r="U117" i="1"/>
  <c r="V117" i="1"/>
  <c r="R118" i="1"/>
  <c r="S118" i="1"/>
  <c r="Z125" i="1" s="1"/>
  <c r="T118" i="1"/>
  <c r="U118" i="1"/>
  <c r="V118" i="1"/>
  <c r="R119" i="1"/>
  <c r="Z126" i="1" s="1"/>
  <c r="S119" i="1"/>
  <c r="T119" i="1"/>
  <c r="U119" i="1"/>
  <c r="V119" i="1"/>
  <c r="R120" i="1"/>
  <c r="S120" i="1"/>
  <c r="T120" i="1"/>
  <c r="U120" i="1"/>
  <c r="V120" i="1"/>
  <c r="R121" i="1"/>
  <c r="S121" i="1"/>
  <c r="Z128" i="1" s="1"/>
  <c r="T121" i="1"/>
  <c r="U121" i="1"/>
  <c r="V121" i="1"/>
  <c r="R122" i="1"/>
  <c r="Z129" i="1" s="1"/>
  <c r="S122" i="1"/>
  <c r="T122" i="1"/>
  <c r="U122" i="1"/>
  <c r="V122" i="1"/>
  <c r="R123" i="1"/>
  <c r="S123" i="1"/>
  <c r="T123" i="1"/>
  <c r="U123" i="1"/>
  <c r="V123" i="1"/>
  <c r="R124" i="1"/>
  <c r="S124" i="1"/>
  <c r="Z131" i="1" s="1"/>
  <c r="T124" i="1"/>
  <c r="U124" i="1"/>
  <c r="V124" i="1"/>
  <c r="R125" i="1"/>
  <c r="S125" i="1"/>
  <c r="T125" i="1"/>
  <c r="U125" i="1"/>
  <c r="V125" i="1"/>
  <c r="R126" i="1"/>
  <c r="S126" i="1"/>
  <c r="T126" i="1"/>
  <c r="U126" i="1"/>
  <c r="V126" i="1"/>
  <c r="R127" i="1"/>
  <c r="Z134" i="1" s="1"/>
  <c r="S127" i="1"/>
  <c r="T127" i="1"/>
  <c r="U127" i="1"/>
  <c r="V127" i="1"/>
  <c r="R128" i="1"/>
  <c r="Z135" i="1" s="1"/>
  <c r="S128" i="1"/>
  <c r="T128" i="1"/>
  <c r="U128" i="1"/>
  <c r="V128" i="1"/>
  <c r="R129" i="1"/>
  <c r="Z136" i="1" s="1"/>
  <c r="S129" i="1"/>
  <c r="T129" i="1"/>
  <c r="U129" i="1"/>
  <c r="V129" i="1"/>
  <c r="R130" i="1"/>
  <c r="S130" i="1"/>
  <c r="Z137" i="1" s="1"/>
  <c r="T130" i="1"/>
  <c r="U130" i="1"/>
  <c r="V130" i="1"/>
  <c r="R131" i="1"/>
  <c r="Z138" i="1" s="1"/>
  <c r="S131" i="1"/>
  <c r="T131" i="1"/>
  <c r="U131" i="1"/>
  <c r="V131" i="1"/>
  <c r="R132" i="1"/>
  <c r="S132" i="1"/>
  <c r="T132" i="1"/>
  <c r="U132" i="1"/>
  <c r="V132" i="1"/>
  <c r="R133" i="1"/>
  <c r="S133" i="1"/>
  <c r="Z140" i="1" s="1"/>
  <c r="T133" i="1"/>
  <c r="U133" i="1"/>
  <c r="V133" i="1"/>
  <c r="R134" i="1"/>
  <c r="Z141" i="1" s="1"/>
  <c r="S134" i="1"/>
  <c r="T134" i="1"/>
  <c r="U134" i="1"/>
  <c r="V134" i="1"/>
  <c r="R135" i="1"/>
  <c r="S135" i="1"/>
  <c r="T135" i="1"/>
  <c r="U135" i="1"/>
  <c r="V135" i="1"/>
  <c r="R136" i="1"/>
  <c r="S136" i="1"/>
  <c r="Z143" i="1" s="1"/>
  <c r="T136" i="1"/>
  <c r="U136" i="1"/>
  <c r="V136" i="1"/>
  <c r="R137" i="1"/>
  <c r="S137" i="1"/>
  <c r="T137" i="1"/>
  <c r="U137" i="1"/>
  <c r="V137" i="1"/>
  <c r="R138" i="1"/>
  <c r="S138" i="1"/>
  <c r="T138" i="1"/>
  <c r="U138" i="1"/>
  <c r="V138" i="1"/>
  <c r="R139" i="1"/>
  <c r="Z146" i="1" s="1"/>
  <c r="S139" i="1"/>
  <c r="T139" i="1"/>
  <c r="U139" i="1"/>
  <c r="V139" i="1"/>
  <c r="R140" i="1"/>
  <c r="Z147" i="1" s="1"/>
  <c r="S140" i="1"/>
  <c r="T140" i="1"/>
  <c r="U140" i="1"/>
  <c r="V140" i="1"/>
  <c r="R141" i="1"/>
  <c r="Z148" i="1" s="1"/>
  <c r="S141" i="1"/>
  <c r="T141" i="1"/>
  <c r="U141" i="1"/>
  <c r="V141" i="1"/>
  <c r="R142" i="1"/>
  <c r="S142" i="1"/>
  <c r="Z149" i="1" s="1"/>
  <c r="T142" i="1"/>
  <c r="U142" i="1"/>
  <c r="V142" i="1"/>
  <c r="R143" i="1"/>
  <c r="Z150" i="1" s="1"/>
  <c r="S143" i="1"/>
  <c r="T143" i="1"/>
  <c r="U143" i="1"/>
  <c r="V143" i="1"/>
  <c r="R144" i="1"/>
  <c r="S144" i="1"/>
  <c r="T144" i="1"/>
  <c r="U144" i="1"/>
  <c r="V144" i="1"/>
  <c r="R145" i="1"/>
  <c r="S145" i="1"/>
  <c r="Z152" i="1" s="1"/>
  <c r="T145" i="1"/>
  <c r="U145" i="1"/>
  <c r="V145" i="1"/>
  <c r="R146" i="1"/>
  <c r="Z153" i="1" s="1"/>
  <c r="S146" i="1"/>
  <c r="T146" i="1"/>
  <c r="U146" i="1"/>
  <c r="V146" i="1"/>
  <c r="R147" i="1"/>
  <c r="S147" i="1"/>
  <c r="T147" i="1"/>
  <c r="U147" i="1"/>
  <c r="V147" i="1"/>
  <c r="R148" i="1"/>
  <c r="S148" i="1"/>
  <c r="Z155" i="1" s="1"/>
  <c r="T148" i="1"/>
  <c r="U148" i="1"/>
  <c r="V148" i="1"/>
  <c r="R149" i="1"/>
  <c r="S149" i="1"/>
  <c r="T149" i="1"/>
  <c r="U149" i="1"/>
  <c r="V149" i="1"/>
  <c r="R150" i="1"/>
  <c r="S150" i="1"/>
  <c r="T150" i="1"/>
  <c r="U150" i="1"/>
  <c r="V150" i="1"/>
  <c r="R151" i="1"/>
  <c r="Z158" i="1" s="1"/>
  <c r="S151" i="1"/>
  <c r="T151" i="1"/>
  <c r="U151" i="1"/>
  <c r="V151" i="1"/>
  <c r="R152" i="1"/>
  <c r="Z159" i="1" s="1"/>
  <c r="S152" i="1"/>
  <c r="T152" i="1"/>
  <c r="U152" i="1"/>
  <c r="V152" i="1"/>
  <c r="R153" i="1"/>
  <c r="Z160" i="1" s="1"/>
  <c r="S153" i="1"/>
  <c r="T153" i="1"/>
  <c r="U153" i="1"/>
  <c r="V153" i="1"/>
  <c r="R154" i="1"/>
  <c r="S154" i="1"/>
  <c r="Z161" i="1" s="1"/>
  <c r="T154" i="1"/>
  <c r="U154" i="1"/>
  <c r="V154" i="1"/>
  <c r="R155" i="1"/>
  <c r="Z162" i="1" s="1"/>
  <c r="S155" i="1"/>
  <c r="T155" i="1"/>
  <c r="U155" i="1"/>
  <c r="V155" i="1"/>
  <c r="R156" i="1"/>
  <c r="S156" i="1"/>
  <c r="T156" i="1"/>
  <c r="U156" i="1"/>
  <c r="V156" i="1"/>
  <c r="R157" i="1"/>
  <c r="S157" i="1"/>
  <c r="Z164" i="1" s="1"/>
  <c r="T157" i="1"/>
  <c r="U157" i="1"/>
  <c r="V157" i="1"/>
  <c r="R158" i="1"/>
  <c r="Z165" i="1" s="1"/>
  <c r="S158" i="1"/>
  <c r="T158" i="1"/>
  <c r="U158" i="1"/>
  <c r="V158" i="1"/>
  <c r="R159" i="1"/>
  <c r="S159" i="1"/>
  <c r="T159" i="1"/>
  <c r="U159" i="1"/>
  <c r="V159" i="1"/>
  <c r="R160" i="1"/>
  <c r="S160" i="1"/>
  <c r="Z167" i="1" s="1"/>
  <c r="T160" i="1"/>
  <c r="U160" i="1"/>
  <c r="V160" i="1"/>
  <c r="R161" i="1"/>
  <c r="S161" i="1"/>
  <c r="T161" i="1"/>
  <c r="U161" i="1"/>
  <c r="V161" i="1"/>
  <c r="R162" i="1"/>
  <c r="S162" i="1"/>
  <c r="T162" i="1"/>
  <c r="U162" i="1"/>
  <c r="V162" i="1"/>
  <c r="R163" i="1"/>
  <c r="Z170" i="1" s="1"/>
  <c r="S163" i="1"/>
  <c r="T163" i="1"/>
  <c r="U163" i="1"/>
  <c r="V163" i="1"/>
  <c r="R164" i="1"/>
  <c r="Z171" i="1" s="1"/>
  <c r="S164" i="1"/>
  <c r="T164" i="1"/>
  <c r="U164" i="1"/>
  <c r="V164" i="1"/>
  <c r="R165" i="1"/>
  <c r="Z172" i="1" s="1"/>
  <c r="S165" i="1"/>
  <c r="T165" i="1"/>
  <c r="U165" i="1"/>
  <c r="V165" i="1"/>
  <c r="R166" i="1"/>
  <c r="S166" i="1"/>
  <c r="Z173" i="1" s="1"/>
  <c r="T166" i="1"/>
  <c r="U166" i="1"/>
  <c r="V166" i="1"/>
  <c r="R167" i="1"/>
  <c r="Z174" i="1" s="1"/>
  <c r="S167" i="1"/>
  <c r="T167" i="1"/>
  <c r="U167" i="1"/>
  <c r="V167" i="1"/>
  <c r="R168" i="1"/>
  <c r="S168" i="1"/>
  <c r="T168" i="1"/>
  <c r="U168" i="1"/>
  <c r="V168" i="1"/>
  <c r="R169" i="1"/>
  <c r="S169" i="1"/>
  <c r="Z176" i="1" s="1"/>
  <c r="T169" i="1"/>
  <c r="U169" i="1"/>
  <c r="V169" i="1"/>
  <c r="R170" i="1"/>
  <c r="Z177" i="1" s="1"/>
  <c r="S170" i="1"/>
  <c r="T170" i="1"/>
  <c r="U170" i="1"/>
  <c r="V170" i="1"/>
  <c r="R171" i="1"/>
  <c r="S171" i="1"/>
  <c r="T171" i="1"/>
  <c r="U171" i="1"/>
  <c r="V171" i="1"/>
  <c r="R172" i="1"/>
  <c r="S172" i="1"/>
  <c r="Z179" i="1" s="1"/>
  <c r="T172" i="1"/>
  <c r="U172" i="1"/>
  <c r="V172" i="1"/>
  <c r="R173" i="1"/>
  <c r="S173" i="1"/>
  <c r="T173" i="1"/>
  <c r="U173" i="1"/>
  <c r="V173" i="1"/>
  <c r="R174" i="1"/>
  <c r="S174" i="1"/>
  <c r="T174" i="1"/>
  <c r="U174" i="1"/>
  <c r="V174" i="1"/>
  <c r="R175" i="1"/>
  <c r="Z182" i="1" s="1"/>
  <c r="S175" i="1"/>
  <c r="T175" i="1"/>
  <c r="U175" i="1"/>
  <c r="V175" i="1"/>
  <c r="R176" i="1"/>
  <c r="Z183" i="1" s="1"/>
  <c r="S176" i="1"/>
  <c r="T176" i="1"/>
  <c r="U176" i="1"/>
  <c r="V176" i="1"/>
  <c r="R177" i="1"/>
  <c r="Z184" i="1" s="1"/>
  <c r="S177" i="1"/>
  <c r="T177" i="1"/>
  <c r="U177" i="1"/>
  <c r="V177" i="1"/>
  <c r="R178" i="1"/>
  <c r="S178" i="1"/>
  <c r="Z185" i="1" s="1"/>
  <c r="T178" i="1"/>
  <c r="U178" i="1"/>
  <c r="V178" i="1"/>
  <c r="R179" i="1"/>
  <c r="Z186" i="1" s="1"/>
  <c r="S179" i="1"/>
  <c r="T179" i="1"/>
  <c r="U179" i="1"/>
  <c r="V179" i="1"/>
  <c r="R180" i="1"/>
  <c r="S180" i="1"/>
  <c r="T180" i="1"/>
  <c r="U180" i="1"/>
  <c r="V180" i="1"/>
  <c r="R181" i="1"/>
  <c r="S181" i="1"/>
  <c r="Z188" i="1" s="1"/>
  <c r="T181" i="1"/>
  <c r="U181" i="1"/>
  <c r="V181" i="1"/>
  <c r="R182" i="1"/>
  <c r="Z189" i="1" s="1"/>
  <c r="S182" i="1"/>
  <c r="T182" i="1"/>
  <c r="U182" i="1"/>
  <c r="V182" i="1"/>
  <c r="R183" i="1"/>
  <c r="S183" i="1"/>
  <c r="T183" i="1"/>
  <c r="U183" i="1"/>
  <c r="V183" i="1"/>
  <c r="R184" i="1"/>
  <c r="S184" i="1"/>
  <c r="Z191" i="1" s="1"/>
  <c r="T184" i="1"/>
  <c r="U184" i="1"/>
  <c r="V184" i="1"/>
  <c r="R185" i="1"/>
  <c r="S185" i="1"/>
  <c r="T185" i="1"/>
  <c r="U185" i="1"/>
  <c r="V185" i="1"/>
  <c r="R186" i="1"/>
  <c r="S186" i="1"/>
  <c r="T186" i="1"/>
  <c r="U186" i="1"/>
  <c r="V186" i="1"/>
  <c r="R187" i="1"/>
  <c r="Z194" i="1" s="1"/>
  <c r="S187" i="1"/>
  <c r="T187" i="1"/>
  <c r="U187" i="1"/>
  <c r="V187" i="1"/>
  <c r="R188" i="1"/>
  <c r="Z195" i="1" s="1"/>
  <c r="S188" i="1"/>
  <c r="T188" i="1"/>
  <c r="U188" i="1"/>
  <c r="V188" i="1"/>
  <c r="R189" i="1"/>
  <c r="Z196" i="1" s="1"/>
  <c r="S189" i="1"/>
  <c r="T189" i="1"/>
  <c r="U189" i="1"/>
  <c r="V189" i="1"/>
  <c r="R190" i="1"/>
  <c r="S190" i="1"/>
  <c r="Z197" i="1" s="1"/>
  <c r="T190" i="1"/>
  <c r="U190" i="1"/>
  <c r="V190" i="1"/>
  <c r="R191" i="1"/>
  <c r="Z198" i="1" s="1"/>
  <c r="S191" i="1"/>
  <c r="T191" i="1"/>
  <c r="U191" i="1"/>
  <c r="V191" i="1"/>
  <c r="R192" i="1"/>
  <c r="S192" i="1"/>
  <c r="T192" i="1"/>
  <c r="U192" i="1"/>
  <c r="V192" i="1"/>
  <c r="R193" i="1"/>
  <c r="S193" i="1"/>
  <c r="Z200" i="1" s="1"/>
  <c r="T193" i="1"/>
  <c r="U193" i="1"/>
  <c r="V193" i="1"/>
  <c r="R194" i="1"/>
  <c r="Z201" i="1" s="1"/>
  <c r="S194" i="1"/>
  <c r="T194" i="1"/>
  <c r="U194" i="1"/>
  <c r="V194" i="1"/>
  <c r="R195" i="1"/>
  <c r="S195" i="1"/>
  <c r="T195" i="1"/>
  <c r="U195" i="1"/>
  <c r="V195" i="1"/>
  <c r="R196" i="1"/>
  <c r="S196" i="1"/>
  <c r="Z203" i="1" s="1"/>
  <c r="T196" i="1"/>
  <c r="U196" i="1"/>
  <c r="V196" i="1"/>
  <c r="R197" i="1"/>
  <c r="S197" i="1"/>
  <c r="T197" i="1"/>
  <c r="U197" i="1"/>
  <c r="V197" i="1"/>
  <c r="R198" i="1"/>
  <c r="S198" i="1"/>
  <c r="T198" i="1"/>
  <c r="U198" i="1"/>
  <c r="V198" i="1"/>
  <c r="R199" i="1"/>
  <c r="Z206" i="1" s="1"/>
  <c r="S199" i="1"/>
  <c r="T199" i="1"/>
  <c r="U199" i="1"/>
  <c r="V199" i="1"/>
  <c r="R200" i="1"/>
  <c r="Z207" i="1" s="1"/>
  <c r="S200" i="1"/>
  <c r="T200" i="1"/>
  <c r="U200" i="1"/>
  <c r="V200" i="1"/>
  <c r="R201" i="1"/>
  <c r="Z208" i="1" s="1"/>
  <c r="S201" i="1"/>
  <c r="T201" i="1"/>
  <c r="U201" i="1"/>
  <c r="V201" i="1"/>
  <c r="R202" i="1"/>
  <c r="S202" i="1"/>
  <c r="Z209" i="1" s="1"/>
  <c r="T202" i="1"/>
  <c r="U202" i="1"/>
  <c r="V202" i="1"/>
  <c r="R203" i="1"/>
  <c r="Z210" i="1" s="1"/>
  <c r="S203" i="1"/>
  <c r="T203" i="1"/>
  <c r="U203" i="1"/>
  <c r="V203" i="1"/>
  <c r="R204" i="1"/>
  <c r="S204" i="1"/>
  <c r="T204" i="1"/>
  <c r="U204" i="1"/>
  <c r="V204" i="1"/>
  <c r="R205" i="1"/>
  <c r="S205" i="1"/>
  <c r="Z212" i="1" s="1"/>
  <c r="T205" i="1"/>
  <c r="U205" i="1"/>
  <c r="V205" i="1"/>
  <c r="R206" i="1"/>
  <c r="Z213" i="1" s="1"/>
  <c r="S206" i="1"/>
  <c r="T206" i="1"/>
  <c r="U206" i="1"/>
  <c r="V206" i="1"/>
  <c r="R207" i="1"/>
  <c r="S207" i="1"/>
  <c r="T207" i="1"/>
  <c r="U207" i="1"/>
  <c r="V207" i="1"/>
  <c r="R208" i="1"/>
  <c r="S208" i="1"/>
  <c r="Z215" i="1" s="1"/>
  <c r="T208" i="1"/>
  <c r="U208" i="1"/>
  <c r="V208" i="1"/>
  <c r="R209" i="1"/>
  <c r="S209" i="1"/>
  <c r="T209" i="1"/>
  <c r="U209" i="1"/>
  <c r="V209" i="1"/>
  <c r="R210" i="1"/>
  <c r="S210" i="1"/>
  <c r="T210" i="1"/>
  <c r="U210" i="1"/>
  <c r="V210" i="1"/>
  <c r="R211" i="1"/>
  <c r="Z218" i="1" s="1"/>
  <c r="S211" i="1"/>
  <c r="T211" i="1"/>
  <c r="U211" i="1"/>
  <c r="V211" i="1"/>
  <c r="R212" i="1"/>
  <c r="Z219" i="1" s="1"/>
  <c r="S212" i="1"/>
  <c r="T212" i="1"/>
  <c r="U212" i="1"/>
  <c r="V212" i="1"/>
  <c r="R213" i="1"/>
  <c r="Z220" i="1" s="1"/>
  <c r="S213" i="1"/>
  <c r="T213" i="1"/>
  <c r="U213" i="1"/>
  <c r="V213" i="1"/>
  <c r="R214" i="1"/>
  <c r="S214" i="1"/>
  <c r="Z221" i="1" s="1"/>
  <c r="T214" i="1"/>
  <c r="U214" i="1"/>
  <c r="V214" i="1"/>
  <c r="R215" i="1"/>
  <c r="Z222" i="1" s="1"/>
  <c r="S215" i="1"/>
  <c r="T215" i="1"/>
  <c r="U215" i="1"/>
  <c r="V215" i="1"/>
  <c r="R216" i="1"/>
  <c r="S216" i="1"/>
  <c r="T216" i="1"/>
  <c r="U216" i="1"/>
  <c r="V216" i="1"/>
  <c r="R217" i="1"/>
  <c r="S217" i="1"/>
  <c r="Z224" i="1" s="1"/>
  <c r="T217" i="1"/>
  <c r="U217" i="1"/>
  <c r="V217" i="1"/>
  <c r="R218" i="1"/>
  <c r="Z225" i="1" s="1"/>
  <c r="S218" i="1"/>
  <c r="T218" i="1"/>
  <c r="U218" i="1"/>
  <c r="V218" i="1"/>
  <c r="R219" i="1"/>
  <c r="S219" i="1"/>
  <c r="T219" i="1"/>
  <c r="U219" i="1"/>
  <c r="V219" i="1"/>
  <c r="R220" i="1"/>
  <c r="S220" i="1"/>
  <c r="Z227" i="1" s="1"/>
  <c r="T220" i="1"/>
  <c r="U220" i="1"/>
  <c r="V220" i="1"/>
  <c r="R221" i="1"/>
  <c r="S221" i="1"/>
  <c r="T221" i="1"/>
  <c r="U221" i="1"/>
  <c r="V221" i="1"/>
  <c r="R222" i="1"/>
  <c r="S222" i="1"/>
  <c r="T222" i="1"/>
  <c r="U222" i="1"/>
  <c r="V222" i="1"/>
  <c r="R223" i="1"/>
  <c r="Z230" i="1" s="1"/>
  <c r="S223" i="1"/>
  <c r="T223" i="1"/>
  <c r="U223" i="1"/>
  <c r="V223" i="1"/>
  <c r="R224" i="1"/>
  <c r="Z231" i="1" s="1"/>
  <c r="S224" i="1"/>
  <c r="T224" i="1"/>
  <c r="U224" i="1"/>
  <c r="V224" i="1"/>
  <c r="R225" i="1"/>
  <c r="Z232" i="1" s="1"/>
  <c r="S225" i="1"/>
  <c r="T225" i="1"/>
  <c r="U225" i="1"/>
  <c r="V225" i="1"/>
  <c r="R226" i="1"/>
  <c r="S226" i="1"/>
  <c r="Z233" i="1" s="1"/>
  <c r="T226" i="1"/>
  <c r="U226" i="1"/>
  <c r="V226" i="1"/>
  <c r="R227" i="1"/>
  <c r="Z234" i="1" s="1"/>
  <c r="S227" i="1"/>
  <c r="T227" i="1"/>
  <c r="U227" i="1"/>
  <c r="V227" i="1"/>
  <c r="R228" i="1"/>
  <c r="S228" i="1"/>
  <c r="T228" i="1"/>
  <c r="U228" i="1"/>
  <c r="V228" i="1"/>
  <c r="R229" i="1"/>
  <c r="S229" i="1"/>
  <c r="Z236" i="1" s="1"/>
  <c r="T229" i="1"/>
  <c r="U229" i="1"/>
  <c r="V229" i="1"/>
  <c r="R230" i="1"/>
  <c r="Z237" i="1" s="1"/>
  <c r="S230" i="1"/>
  <c r="T230" i="1"/>
  <c r="U230" i="1"/>
  <c r="V230" i="1"/>
  <c r="R231" i="1"/>
  <c r="S231" i="1"/>
  <c r="T231" i="1"/>
  <c r="U231" i="1"/>
  <c r="V231" i="1"/>
  <c r="R232" i="1"/>
  <c r="S232" i="1"/>
  <c r="Z239" i="1" s="1"/>
  <c r="T232" i="1"/>
  <c r="U232" i="1"/>
  <c r="V232" i="1"/>
  <c r="R233" i="1"/>
  <c r="S233" i="1"/>
  <c r="T233" i="1"/>
  <c r="U233" i="1"/>
  <c r="V233" i="1"/>
  <c r="R234" i="1"/>
  <c r="S234" i="1"/>
  <c r="T234" i="1"/>
  <c r="U234" i="1"/>
  <c r="V234" i="1"/>
  <c r="R235" i="1"/>
  <c r="Z242" i="1" s="1"/>
  <c r="S235" i="1"/>
  <c r="T235" i="1"/>
  <c r="U235" i="1"/>
  <c r="V235" i="1"/>
  <c r="R236" i="1"/>
  <c r="Z243" i="1" s="1"/>
  <c r="S236" i="1"/>
  <c r="T236" i="1"/>
  <c r="U236" i="1"/>
  <c r="V236" i="1"/>
  <c r="R237" i="1"/>
  <c r="Z244" i="1" s="1"/>
  <c r="S237" i="1"/>
  <c r="T237" i="1"/>
  <c r="U237" i="1"/>
  <c r="V237" i="1"/>
  <c r="R238" i="1"/>
  <c r="S238" i="1"/>
  <c r="Z245" i="1" s="1"/>
  <c r="T238" i="1"/>
  <c r="U238" i="1"/>
  <c r="V238" i="1"/>
  <c r="R239" i="1"/>
  <c r="Z246" i="1" s="1"/>
  <c r="S239" i="1"/>
  <c r="T239" i="1"/>
  <c r="U239" i="1"/>
  <c r="V239" i="1"/>
  <c r="R240" i="1"/>
  <c r="S240" i="1"/>
  <c r="T240" i="1"/>
  <c r="U240" i="1"/>
  <c r="V240" i="1"/>
  <c r="R241" i="1"/>
  <c r="S241" i="1"/>
  <c r="Z248" i="1" s="1"/>
  <c r="T241" i="1"/>
  <c r="U241" i="1"/>
  <c r="V241" i="1"/>
  <c r="R242" i="1"/>
  <c r="Z249" i="1" s="1"/>
  <c r="S242" i="1"/>
  <c r="T242" i="1"/>
  <c r="U242" i="1"/>
  <c r="V242" i="1"/>
  <c r="R243" i="1"/>
  <c r="S243" i="1"/>
  <c r="T243" i="1"/>
  <c r="U243" i="1"/>
  <c r="V243" i="1"/>
  <c r="R244" i="1"/>
  <c r="S244" i="1"/>
  <c r="Z251" i="1" s="1"/>
  <c r="T244" i="1"/>
  <c r="U244" i="1"/>
  <c r="V244" i="1"/>
  <c r="R245" i="1"/>
  <c r="S245" i="1"/>
  <c r="T245" i="1"/>
  <c r="U245" i="1"/>
  <c r="V245" i="1"/>
  <c r="R246" i="1"/>
  <c r="S246" i="1"/>
  <c r="T246" i="1"/>
  <c r="U246" i="1"/>
  <c r="V246" i="1"/>
  <c r="R247" i="1"/>
  <c r="Z254" i="1" s="1"/>
  <c r="S247" i="1"/>
  <c r="T247" i="1"/>
  <c r="U247" i="1"/>
  <c r="V247" i="1"/>
  <c r="R248" i="1"/>
  <c r="Z255" i="1" s="1"/>
  <c r="S248" i="1"/>
  <c r="T248" i="1"/>
  <c r="U248" i="1"/>
  <c r="V248" i="1"/>
  <c r="R249" i="1"/>
  <c r="Z256" i="1" s="1"/>
  <c r="S249" i="1"/>
  <c r="T249" i="1"/>
  <c r="U249" i="1"/>
  <c r="V249" i="1"/>
  <c r="R250" i="1"/>
  <c r="S250" i="1"/>
  <c r="Z257" i="1" s="1"/>
  <c r="T250" i="1"/>
  <c r="U250" i="1"/>
  <c r="V250" i="1"/>
  <c r="R251" i="1"/>
  <c r="Z258" i="1" s="1"/>
  <c r="S251" i="1"/>
  <c r="T251" i="1"/>
  <c r="U251" i="1"/>
  <c r="V251" i="1"/>
  <c r="S6" i="1"/>
  <c r="T6" i="1"/>
  <c r="U6" i="1"/>
  <c r="V6" i="1"/>
  <c r="R6" i="1"/>
  <c r="AE7" i="1"/>
  <c r="AD11" i="1"/>
</calcChain>
</file>

<file path=xl/sharedStrings.xml><?xml version="1.0" encoding="utf-8"?>
<sst xmlns="http://schemas.openxmlformats.org/spreadsheetml/2006/main" count="54" uniqueCount="32">
  <si>
    <t xml:space="preserve">Date </t>
  </si>
  <si>
    <t>HUL</t>
  </si>
  <si>
    <t>Titan</t>
  </si>
  <si>
    <t>TCS</t>
  </si>
  <si>
    <t>MAHM</t>
  </si>
  <si>
    <t>ICICI</t>
  </si>
  <si>
    <t>1. Historical Stock Data</t>
  </si>
  <si>
    <t>2. Calculate Returns</t>
  </si>
  <si>
    <t>(Yt/Yt-1)-1</t>
  </si>
  <si>
    <t>3. Assumption of Investment amount and weights</t>
  </si>
  <si>
    <t>Portfolio</t>
  </si>
  <si>
    <t>Weights</t>
  </si>
  <si>
    <t>Investment Amt (INR)</t>
  </si>
  <si>
    <t>Stock Value</t>
  </si>
  <si>
    <t>4. Calculate portfolio mean return</t>
  </si>
  <si>
    <t>Return</t>
  </si>
  <si>
    <t>Portfolio Mean</t>
  </si>
  <si>
    <t>5. Calculate portfolio standard deviation</t>
  </si>
  <si>
    <t>Data-&gt; Data Analysis -&gt; Covariance</t>
  </si>
  <si>
    <t>Standard deviation of Portfolio</t>
  </si>
  <si>
    <t xml:space="preserve">6. Calculate VaR using the Variance-Covariance method </t>
  </si>
  <si>
    <t xml:space="preserve">VaR using the Variance-Covariance method </t>
  </si>
  <si>
    <t xml:space="preserve"> Mean</t>
  </si>
  <si>
    <t>Std Dev.</t>
  </si>
  <si>
    <t>CI</t>
  </si>
  <si>
    <t>Alpha</t>
  </si>
  <si>
    <t>Z-value</t>
  </si>
  <si>
    <t>Portfolio Value</t>
  </si>
  <si>
    <t>1-Day VaR</t>
  </si>
  <si>
    <t>Rupees that you could expect to incur on your portfolio or investment</t>
  </si>
  <si>
    <t xml:space="preserve"> during a single day, under normal market conditions.</t>
  </si>
  <si>
    <t xml:space="preserve">*The VaR value of INR 77,093.6 represents the estimated maximum loss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</si>
</sst>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[$₹-4009]\ * #,##0_ ;_ [$₹-4009]\ * \-#,##0_ ;_ [$₹-4009]\ * &quot;-&quot;??_ ;_ @_ "/>
    <numFmt numFmtId="165" formatCode="0.000"/>
    <numFmt numFmtId="166" formatCode="0.000000"/>
    <numFmt numFmtId="167" formatCode="_ [$₹-4009]\ * #,##0.0_ ;_ [$₹-4009]\ * \(#,##0.0\)_ ;_ [$₹-4009]\ * &quot;-&quot;?_ ;_ @_ 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0" fontId="3" fillId="0" borderId="0" xfId="0" applyFont="1"/>
    <xf numFmtId="0" fontId="3" fillId="2" borderId="0" xfId="0" applyFont="1" applyFill="1"/>
    <xf numFmtId="0" fontId="0" fillId="2" borderId="0" xfId="0" applyFill="1"/>
    <xf numFmtId="10" fontId="0" fillId="0" borderId="0" xfId="1" applyNumberFormat="1" applyFont="1"/>
    <xf numFmtId="0" fontId="6" fillId="0" borderId="0" xfId="0" applyFont="1"/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66" fontId="0" fillId="0" borderId="5" xfId="1" applyNumberFormat="1" applyFont="1" applyFill="1" applyBorder="1" applyAlignment="1"/>
    <xf numFmtId="166" fontId="0" fillId="0" borderId="6" xfId="1" applyNumberFormat="1" applyFont="1" applyFill="1" applyBorder="1" applyAlignment="1"/>
    <xf numFmtId="166" fontId="0" fillId="0" borderId="7" xfId="1" applyNumberFormat="1" applyFont="1" applyFill="1" applyBorder="1" applyAlignment="1"/>
    <xf numFmtId="166" fontId="0" fillId="0" borderId="8" xfId="1" applyNumberFormat="1" applyFont="1" applyFill="1" applyBorder="1" applyAlignment="1"/>
    <xf numFmtId="166" fontId="0" fillId="0" borderId="0" xfId="1" applyNumberFormat="1" applyFont="1" applyFill="1" applyBorder="1" applyAlignment="1"/>
    <xf numFmtId="166" fontId="0" fillId="0" borderId="9" xfId="1" applyNumberFormat="1" applyFont="1" applyFill="1" applyBorder="1" applyAlignment="1"/>
    <xf numFmtId="166" fontId="0" fillId="0" borderId="10" xfId="1" applyNumberFormat="1" applyFont="1" applyFill="1" applyBorder="1" applyAlignment="1"/>
    <xf numFmtId="166" fontId="0" fillId="0" borderId="11" xfId="1" applyNumberFormat="1" applyFont="1" applyFill="1" applyBorder="1" applyAlignment="1"/>
    <xf numFmtId="166" fontId="0" fillId="0" borderId="12" xfId="1" applyNumberFormat="1" applyFont="1" applyFill="1" applyBorder="1" applyAlignment="1"/>
    <xf numFmtId="9" fontId="3" fillId="0" borderId="0" xfId="0" applyNumberFormat="1" applyFont="1"/>
    <xf numFmtId="165" fontId="0" fillId="0" borderId="0" xfId="0" applyNumberFormat="1"/>
    <xf numFmtId="167" fontId="3" fillId="0" borderId="6" xfId="0" applyNumberFormat="1" applyFont="1" applyBorder="1"/>
    <xf numFmtId="0" fontId="2" fillId="3" borderId="0" xfId="0" applyFont="1" applyFill="1"/>
    <xf numFmtId="0" fontId="4" fillId="3" borderId="0" xfId="0" applyFont="1" applyFill="1"/>
    <xf numFmtId="0" fontId="3" fillId="4" borderId="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0" xfId="0" applyFont="1" applyFill="1" applyAlignment="1">
      <alignment horizontal="right"/>
    </xf>
    <xf numFmtId="0" fontId="6" fillId="4" borderId="3" xfId="0" applyFont="1" applyFill="1" applyBorder="1" applyAlignment="1">
      <alignment horizontal="right"/>
    </xf>
    <xf numFmtId="0" fontId="0" fillId="4" borderId="0" xfId="0" applyFill="1"/>
    <xf numFmtId="0" fontId="3" fillId="4" borderId="0" xfId="0" applyFont="1" applyFill="1"/>
    <xf numFmtId="0" fontId="3" fillId="5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'Co-variance'!$C$4</c:f>
              <c:strCache>
                <c:ptCount val="1"/>
                <c:pt idx="0">
                  <c:v>HUL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'Co-variance'!$B$5:$B$251</c:f>
              <c:numCache>
                <c:formatCode>m/d/yyyy</c:formatCode>
                <c:ptCount val="247"/>
                <c:pt idx="0">
                  <c:v>46086</c:v>
                </c:pt>
                <c:pt idx="1">
                  <c:v>46085</c:v>
                </c:pt>
                <c:pt idx="2">
                  <c:v>46083</c:v>
                </c:pt>
                <c:pt idx="3">
                  <c:v>46080</c:v>
                </c:pt>
                <c:pt idx="4">
                  <c:v>46079</c:v>
                </c:pt>
                <c:pt idx="5">
                  <c:v>46078</c:v>
                </c:pt>
                <c:pt idx="6">
                  <c:v>46077</c:v>
                </c:pt>
                <c:pt idx="7">
                  <c:v>46076</c:v>
                </c:pt>
                <c:pt idx="8">
                  <c:v>46073</c:v>
                </c:pt>
                <c:pt idx="9">
                  <c:v>46072</c:v>
                </c:pt>
                <c:pt idx="10">
                  <c:v>46071</c:v>
                </c:pt>
                <c:pt idx="11">
                  <c:v>46070</c:v>
                </c:pt>
                <c:pt idx="12">
                  <c:v>46069</c:v>
                </c:pt>
                <c:pt idx="13">
                  <c:v>46066</c:v>
                </c:pt>
                <c:pt idx="14">
                  <c:v>46065</c:v>
                </c:pt>
                <c:pt idx="15">
                  <c:v>46064</c:v>
                </c:pt>
                <c:pt idx="16">
                  <c:v>46063</c:v>
                </c:pt>
                <c:pt idx="17">
                  <c:v>46062</c:v>
                </c:pt>
                <c:pt idx="18">
                  <c:v>46059</c:v>
                </c:pt>
                <c:pt idx="19">
                  <c:v>46058</c:v>
                </c:pt>
                <c:pt idx="20">
                  <c:v>46057</c:v>
                </c:pt>
                <c:pt idx="21">
                  <c:v>46056</c:v>
                </c:pt>
                <c:pt idx="22">
                  <c:v>46055</c:v>
                </c:pt>
                <c:pt idx="23">
                  <c:v>46054</c:v>
                </c:pt>
                <c:pt idx="24">
                  <c:v>46052</c:v>
                </c:pt>
                <c:pt idx="25">
                  <c:v>46051</c:v>
                </c:pt>
                <c:pt idx="26">
                  <c:v>46050</c:v>
                </c:pt>
                <c:pt idx="27">
                  <c:v>46049</c:v>
                </c:pt>
                <c:pt idx="28">
                  <c:v>46045</c:v>
                </c:pt>
                <c:pt idx="29">
                  <c:v>46044</c:v>
                </c:pt>
                <c:pt idx="30">
                  <c:v>46043</c:v>
                </c:pt>
                <c:pt idx="31">
                  <c:v>46042</c:v>
                </c:pt>
                <c:pt idx="32">
                  <c:v>46041</c:v>
                </c:pt>
                <c:pt idx="33">
                  <c:v>46038</c:v>
                </c:pt>
                <c:pt idx="34">
                  <c:v>46036</c:v>
                </c:pt>
                <c:pt idx="35">
                  <c:v>46035</c:v>
                </c:pt>
                <c:pt idx="36">
                  <c:v>46034</c:v>
                </c:pt>
                <c:pt idx="37">
                  <c:v>46031</c:v>
                </c:pt>
                <c:pt idx="38">
                  <c:v>46030</c:v>
                </c:pt>
                <c:pt idx="39">
                  <c:v>46029</c:v>
                </c:pt>
                <c:pt idx="40">
                  <c:v>46028</c:v>
                </c:pt>
                <c:pt idx="41">
                  <c:v>46027</c:v>
                </c:pt>
                <c:pt idx="42">
                  <c:v>46024</c:v>
                </c:pt>
                <c:pt idx="43">
                  <c:v>46023</c:v>
                </c:pt>
                <c:pt idx="44">
                  <c:v>46022</c:v>
                </c:pt>
                <c:pt idx="45">
                  <c:v>46021</c:v>
                </c:pt>
                <c:pt idx="46">
                  <c:v>46020</c:v>
                </c:pt>
                <c:pt idx="47">
                  <c:v>46017</c:v>
                </c:pt>
                <c:pt idx="48">
                  <c:v>46015</c:v>
                </c:pt>
                <c:pt idx="49">
                  <c:v>46014</c:v>
                </c:pt>
                <c:pt idx="50">
                  <c:v>46013</c:v>
                </c:pt>
                <c:pt idx="51">
                  <c:v>46010</c:v>
                </c:pt>
                <c:pt idx="52">
                  <c:v>46009</c:v>
                </c:pt>
                <c:pt idx="53">
                  <c:v>46008</c:v>
                </c:pt>
                <c:pt idx="54">
                  <c:v>46007</c:v>
                </c:pt>
                <c:pt idx="55">
                  <c:v>46006</c:v>
                </c:pt>
                <c:pt idx="56">
                  <c:v>46003</c:v>
                </c:pt>
                <c:pt idx="57">
                  <c:v>46002</c:v>
                </c:pt>
                <c:pt idx="58">
                  <c:v>46001</c:v>
                </c:pt>
                <c:pt idx="59">
                  <c:v>46000</c:v>
                </c:pt>
                <c:pt idx="60">
                  <c:v>45999</c:v>
                </c:pt>
                <c:pt idx="61">
                  <c:v>45996</c:v>
                </c:pt>
                <c:pt idx="62">
                  <c:v>45995</c:v>
                </c:pt>
                <c:pt idx="63">
                  <c:v>45994</c:v>
                </c:pt>
                <c:pt idx="64">
                  <c:v>45993</c:v>
                </c:pt>
                <c:pt idx="65">
                  <c:v>45992</c:v>
                </c:pt>
                <c:pt idx="66">
                  <c:v>45989</c:v>
                </c:pt>
                <c:pt idx="67">
                  <c:v>45988</c:v>
                </c:pt>
                <c:pt idx="68">
                  <c:v>45987</c:v>
                </c:pt>
                <c:pt idx="69">
                  <c:v>45986</c:v>
                </c:pt>
                <c:pt idx="70">
                  <c:v>45985</c:v>
                </c:pt>
                <c:pt idx="71">
                  <c:v>45982</c:v>
                </c:pt>
                <c:pt idx="72">
                  <c:v>45981</c:v>
                </c:pt>
                <c:pt idx="73">
                  <c:v>45980</c:v>
                </c:pt>
                <c:pt idx="74">
                  <c:v>45979</c:v>
                </c:pt>
                <c:pt idx="75">
                  <c:v>45978</c:v>
                </c:pt>
                <c:pt idx="76">
                  <c:v>45975</c:v>
                </c:pt>
                <c:pt idx="77">
                  <c:v>45974</c:v>
                </c:pt>
                <c:pt idx="78">
                  <c:v>45973</c:v>
                </c:pt>
                <c:pt idx="79">
                  <c:v>45972</c:v>
                </c:pt>
                <c:pt idx="80">
                  <c:v>45971</c:v>
                </c:pt>
                <c:pt idx="81">
                  <c:v>45968</c:v>
                </c:pt>
                <c:pt idx="82">
                  <c:v>45967</c:v>
                </c:pt>
                <c:pt idx="83">
                  <c:v>45965</c:v>
                </c:pt>
                <c:pt idx="84">
                  <c:v>45964</c:v>
                </c:pt>
                <c:pt idx="85">
                  <c:v>45961</c:v>
                </c:pt>
                <c:pt idx="86">
                  <c:v>45960</c:v>
                </c:pt>
                <c:pt idx="87">
                  <c:v>45959</c:v>
                </c:pt>
                <c:pt idx="88">
                  <c:v>45958</c:v>
                </c:pt>
                <c:pt idx="89">
                  <c:v>45957</c:v>
                </c:pt>
                <c:pt idx="90">
                  <c:v>45954</c:v>
                </c:pt>
                <c:pt idx="91">
                  <c:v>45953</c:v>
                </c:pt>
                <c:pt idx="92">
                  <c:v>45951</c:v>
                </c:pt>
                <c:pt idx="93">
                  <c:v>45950</c:v>
                </c:pt>
                <c:pt idx="94">
                  <c:v>45947</c:v>
                </c:pt>
                <c:pt idx="95">
                  <c:v>45946</c:v>
                </c:pt>
                <c:pt idx="96">
                  <c:v>45945</c:v>
                </c:pt>
                <c:pt idx="97">
                  <c:v>45944</c:v>
                </c:pt>
                <c:pt idx="98">
                  <c:v>45943</c:v>
                </c:pt>
                <c:pt idx="99">
                  <c:v>45940</c:v>
                </c:pt>
                <c:pt idx="100">
                  <c:v>45939</c:v>
                </c:pt>
                <c:pt idx="101">
                  <c:v>45938</c:v>
                </c:pt>
                <c:pt idx="102">
                  <c:v>45937</c:v>
                </c:pt>
                <c:pt idx="103">
                  <c:v>45936</c:v>
                </c:pt>
                <c:pt idx="104">
                  <c:v>45933</c:v>
                </c:pt>
                <c:pt idx="105">
                  <c:v>45931</c:v>
                </c:pt>
                <c:pt idx="106">
                  <c:v>45930</c:v>
                </c:pt>
                <c:pt idx="107">
                  <c:v>45929</c:v>
                </c:pt>
                <c:pt idx="108">
                  <c:v>45926</c:v>
                </c:pt>
                <c:pt idx="109">
                  <c:v>45925</c:v>
                </c:pt>
                <c:pt idx="110">
                  <c:v>45924</c:v>
                </c:pt>
                <c:pt idx="111">
                  <c:v>45923</c:v>
                </c:pt>
                <c:pt idx="112">
                  <c:v>45922</c:v>
                </c:pt>
                <c:pt idx="113">
                  <c:v>45919</c:v>
                </c:pt>
                <c:pt idx="114">
                  <c:v>45918</c:v>
                </c:pt>
                <c:pt idx="115">
                  <c:v>45917</c:v>
                </c:pt>
                <c:pt idx="116">
                  <c:v>45916</c:v>
                </c:pt>
                <c:pt idx="117">
                  <c:v>45915</c:v>
                </c:pt>
                <c:pt idx="118">
                  <c:v>45912</c:v>
                </c:pt>
                <c:pt idx="119">
                  <c:v>45911</c:v>
                </c:pt>
                <c:pt idx="120">
                  <c:v>45910</c:v>
                </c:pt>
                <c:pt idx="121">
                  <c:v>45909</c:v>
                </c:pt>
                <c:pt idx="122">
                  <c:v>45908</c:v>
                </c:pt>
                <c:pt idx="123">
                  <c:v>45905</c:v>
                </c:pt>
                <c:pt idx="124">
                  <c:v>45904</c:v>
                </c:pt>
                <c:pt idx="125">
                  <c:v>45903</c:v>
                </c:pt>
                <c:pt idx="126">
                  <c:v>45902</c:v>
                </c:pt>
                <c:pt idx="127">
                  <c:v>45901</c:v>
                </c:pt>
                <c:pt idx="128">
                  <c:v>45898</c:v>
                </c:pt>
                <c:pt idx="129">
                  <c:v>45897</c:v>
                </c:pt>
                <c:pt idx="130">
                  <c:v>45895</c:v>
                </c:pt>
                <c:pt idx="131">
                  <c:v>45894</c:v>
                </c:pt>
                <c:pt idx="132">
                  <c:v>45891</c:v>
                </c:pt>
                <c:pt idx="133">
                  <c:v>45890</c:v>
                </c:pt>
                <c:pt idx="134">
                  <c:v>45889</c:v>
                </c:pt>
                <c:pt idx="135">
                  <c:v>45888</c:v>
                </c:pt>
                <c:pt idx="136">
                  <c:v>45887</c:v>
                </c:pt>
                <c:pt idx="137">
                  <c:v>45883</c:v>
                </c:pt>
                <c:pt idx="138">
                  <c:v>45882</c:v>
                </c:pt>
                <c:pt idx="139">
                  <c:v>45881</c:v>
                </c:pt>
                <c:pt idx="140">
                  <c:v>45880</c:v>
                </c:pt>
                <c:pt idx="141">
                  <c:v>45877</c:v>
                </c:pt>
                <c:pt idx="142">
                  <c:v>45876</c:v>
                </c:pt>
                <c:pt idx="143">
                  <c:v>45875</c:v>
                </c:pt>
                <c:pt idx="144">
                  <c:v>45874</c:v>
                </c:pt>
                <c:pt idx="145">
                  <c:v>45873</c:v>
                </c:pt>
                <c:pt idx="146">
                  <c:v>45870</c:v>
                </c:pt>
                <c:pt idx="147">
                  <c:v>45869</c:v>
                </c:pt>
                <c:pt idx="148">
                  <c:v>45868</c:v>
                </c:pt>
                <c:pt idx="149">
                  <c:v>45867</c:v>
                </c:pt>
                <c:pt idx="150">
                  <c:v>45866</c:v>
                </c:pt>
                <c:pt idx="151">
                  <c:v>45863</c:v>
                </c:pt>
                <c:pt idx="152">
                  <c:v>45862</c:v>
                </c:pt>
                <c:pt idx="153">
                  <c:v>45861</c:v>
                </c:pt>
                <c:pt idx="154">
                  <c:v>45860</c:v>
                </c:pt>
                <c:pt idx="155">
                  <c:v>45859</c:v>
                </c:pt>
                <c:pt idx="156">
                  <c:v>45856</c:v>
                </c:pt>
                <c:pt idx="157">
                  <c:v>45855</c:v>
                </c:pt>
                <c:pt idx="158">
                  <c:v>45854</c:v>
                </c:pt>
                <c:pt idx="159">
                  <c:v>45853</c:v>
                </c:pt>
                <c:pt idx="160">
                  <c:v>45852</c:v>
                </c:pt>
                <c:pt idx="161">
                  <c:v>45849</c:v>
                </c:pt>
                <c:pt idx="162">
                  <c:v>45848</c:v>
                </c:pt>
                <c:pt idx="163">
                  <c:v>45847</c:v>
                </c:pt>
                <c:pt idx="164">
                  <c:v>45846</c:v>
                </c:pt>
                <c:pt idx="165">
                  <c:v>45845</c:v>
                </c:pt>
                <c:pt idx="166">
                  <c:v>45842</c:v>
                </c:pt>
                <c:pt idx="167">
                  <c:v>45841</c:v>
                </c:pt>
                <c:pt idx="168">
                  <c:v>45840</c:v>
                </c:pt>
                <c:pt idx="169">
                  <c:v>45839</c:v>
                </c:pt>
                <c:pt idx="170">
                  <c:v>45838</c:v>
                </c:pt>
                <c:pt idx="171">
                  <c:v>45835</c:v>
                </c:pt>
                <c:pt idx="172">
                  <c:v>45834</c:v>
                </c:pt>
                <c:pt idx="173">
                  <c:v>45833</c:v>
                </c:pt>
                <c:pt idx="174">
                  <c:v>45832</c:v>
                </c:pt>
                <c:pt idx="175">
                  <c:v>45831</c:v>
                </c:pt>
                <c:pt idx="176">
                  <c:v>45828</c:v>
                </c:pt>
                <c:pt idx="177">
                  <c:v>45827</c:v>
                </c:pt>
                <c:pt idx="178">
                  <c:v>45826</c:v>
                </c:pt>
                <c:pt idx="179">
                  <c:v>45825</c:v>
                </c:pt>
                <c:pt idx="180">
                  <c:v>45824</c:v>
                </c:pt>
                <c:pt idx="181">
                  <c:v>45821</c:v>
                </c:pt>
                <c:pt idx="182">
                  <c:v>45820</c:v>
                </c:pt>
                <c:pt idx="183">
                  <c:v>45819</c:v>
                </c:pt>
                <c:pt idx="184">
                  <c:v>45818</c:v>
                </c:pt>
                <c:pt idx="185">
                  <c:v>45817</c:v>
                </c:pt>
                <c:pt idx="186">
                  <c:v>45814</c:v>
                </c:pt>
                <c:pt idx="187">
                  <c:v>45813</c:v>
                </c:pt>
                <c:pt idx="188">
                  <c:v>45812</c:v>
                </c:pt>
                <c:pt idx="189">
                  <c:v>45811</c:v>
                </c:pt>
                <c:pt idx="190">
                  <c:v>45810</c:v>
                </c:pt>
                <c:pt idx="191">
                  <c:v>45807</c:v>
                </c:pt>
                <c:pt idx="192">
                  <c:v>45806</c:v>
                </c:pt>
                <c:pt idx="193">
                  <c:v>45805</c:v>
                </c:pt>
                <c:pt idx="194">
                  <c:v>45804</c:v>
                </c:pt>
                <c:pt idx="195">
                  <c:v>45803</c:v>
                </c:pt>
                <c:pt idx="196">
                  <c:v>45800</c:v>
                </c:pt>
                <c:pt idx="197">
                  <c:v>45799</c:v>
                </c:pt>
                <c:pt idx="198">
                  <c:v>45798</c:v>
                </c:pt>
                <c:pt idx="199">
                  <c:v>45797</c:v>
                </c:pt>
                <c:pt idx="200">
                  <c:v>45796</c:v>
                </c:pt>
                <c:pt idx="201">
                  <c:v>45793</c:v>
                </c:pt>
                <c:pt idx="202">
                  <c:v>45792</c:v>
                </c:pt>
                <c:pt idx="203">
                  <c:v>45791</c:v>
                </c:pt>
                <c:pt idx="204">
                  <c:v>45790</c:v>
                </c:pt>
                <c:pt idx="205">
                  <c:v>45789</c:v>
                </c:pt>
                <c:pt idx="206">
                  <c:v>45786</c:v>
                </c:pt>
                <c:pt idx="207">
                  <c:v>45785</c:v>
                </c:pt>
                <c:pt idx="208">
                  <c:v>45784</c:v>
                </c:pt>
                <c:pt idx="209">
                  <c:v>45783</c:v>
                </c:pt>
                <c:pt idx="210">
                  <c:v>45782</c:v>
                </c:pt>
                <c:pt idx="211">
                  <c:v>45779</c:v>
                </c:pt>
                <c:pt idx="212">
                  <c:v>45777</c:v>
                </c:pt>
                <c:pt idx="213">
                  <c:v>45776</c:v>
                </c:pt>
                <c:pt idx="214">
                  <c:v>45775</c:v>
                </c:pt>
                <c:pt idx="215">
                  <c:v>45772</c:v>
                </c:pt>
                <c:pt idx="216">
                  <c:v>45771</c:v>
                </c:pt>
                <c:pt idx="217">
                  <c:v>45770</c:v>
                </c:pt>
                <c:pt idx="218">
                  <c:v>45769</c:v>
                </c:pt>
                <c:pt idx="219">
                  <c:v>45768</c:v>
                </c:pt>
                <c:pt idx="220">
                  <c:v>45764</c:v>
                </c:pt>
                <c:pt idx="221">
                  <c:v>45763</c:v>
                </c:pt>
                <c:pt idx="222">
                  <c:v>45762</c:v>
                </c:pt>
                <c:pt idx="223">
                  <c:v>45758</c:v>
                </c:pt>
                <c:pt idx="224">
                  <c:v>45756</c:v>
                </c:pt>
                <c:pt idx="225">
                  <c:v>45755</c:v>
                </c:pt>
                <c:pt idx="226">
                  <c:v>45754</c:v>
                </c:pt>
                <c:pt idx="227">
                  <c:v>45751</c:v>
                </c:pt>
                <c:pt idx="228">
                  <c:v>45750</c:v>
                </c:pt>
                <c:pt idx="229">
                  <c:v>45749</c:v>
                </c:pt>
                <c:pt idx="230">
                  <c:v>45748</c:v>
                </c:pt>
                <c:pt idx="231">
                  <c:v>45744</c:v>
                </c:pt>
                <c:pt idx="232">
                  <c:v>45743</c:v>
                </c:pt>
                <c:pt idx="233">
                  <c:v>45742</c:v>
                </c:pt>
                <c:pt idx="234">
                  <c:v>45741</c:v>
                </c:pt>
                <c:pt idx="235">
                  <c:v>45740</c:v>
                </c:pt>
                <c:pt idx="236">
                  <c:v>45737</c:v>
                </c:pt>
                <c:pt idx="237">
                  <c:v>45736</c:v>
                </c:pt>
                <c:pt idx="238">
                  <c:v>45735</c:v>
                </c:pt>
                <c:pt idx="239">
                  <c:v>45734</c:v>
                </c:pt>
                <c:pt idx="240">
                  <c:v>45733</c:v>
                </c:pt>
                <c:pt idx="241">
                  <c:v>45729</c:v>
                </c:pt>
                <c:pt idx="242">
                  <c:v>45728</c:v>
                </c:pt>
                <c:pt idx="243">
                  <c:v>45727</c:v>
                </c:pt>
                <c:pt idx="244">
                  <c:v>45726</c:v>
                </c:pt>
                <c:pt idx="245">
                  <c:v>45723</c:v>
                </c:pt>
                <c:pt idx="246">
                  <c:v>45722</c:v>
                </c:pt>
              </c:numCache>
            </c:numRef>
          </c:cat>
          <c:val>
            <c:numRef>
              <c:f>'Co-variance'!$C$5:$C$251</c:f>
              <c:numCache>
                <c:formatCode>#,##0.00</c:formatCode>
                <c:ptCount val="247"/>
                <c:pt idx="0">
                  <c:v>2255</c:v>
                </c:pt>
                <c:pt idx="1">
                  <c:v>2261.3000000000002</c:v>
                </c:pt>
                <c:pt idx="2">
                  <c:v>2320.6</c:v>
                </c:pt>
                <c:pt idx="3">
                  <c:v>2338.1</c:v>
                </c:pt>
                <c:pt idx="4">
                  <c:v>2383.3000000000002</c:v>
                </c:pt>
                <c:pt idx="5">
                  <c:v>2374.9</c:v>
                </c:pt>
                <c:pt idx="6">
                  <c:v>2358.6</c:v>
                </c:pt>
                <c:pt idx="7">
                  <c:v>2345.4</c:v>
                </c:pt>
                <c:pt idx="8">
                  <c:v>2314.5</c:v>
                </c:pt>
                <c:pt idx="9">
                  <c:v>2279.3000000000002</c:v>
                </c:pt>
                <c:pt idx="10">
                  <c:v>2323.5</c:v>
                </c:pt>
                <c:pt idx="11">
                  <c:v>2312.3000000000002</c:v>
                </c:pt>
                <c:pt idx="12">
                  <c:v>2319</c:v>
                </c:pt>
                <c:pt idx="13">
                  <c:v>2305.1999999999998</c:v>
                </c:pt>
                <c:pt idx="14">
                  <c:v>2409.6999999999998</c:v>
                </c:pt>
                <c:pt idx="15">
                  <c:v>2462.9</c:v>
                </c:pt>
                <c:pt idx="16">
                  <c:v>2453.6</c:v>
                </c:pt>
                <c:pt idx="17">
                  <c:v>2435</c:v>
                </c:pt>
                <c:pt idx="18">
                  <c:v>2424.1999999999998</c:v>
                </c:pt>
                <c:pt idx="19">
                  <c:v>2354.4</c:v>
                </c:pt>
                <c:pt idx="20">
                  <c:v>2371</c:v>
                </c:pt>
                <c:pt idx="21">
                  <c:v>2368.6</c:v>
                </c:pt>
                <c:pt idx="22">
                  <c:v>2357.3000000000002</c:v>
                </c:pt>
                <c:pt idx="23">
                  <c:v>2350.6999999999998</c:v>
                </c:pt>
                <c:pt idx="24">
                  <c:v>2373</c:v>
                </c:pt>
                <c:pt idx="25">
                  <c:v>2352.6</c:v>
                </c:pt>
                <c:pt idx="26">
                  <c:v>2378.4</c:v>
                </c:pt>
                <c:pt idx="27">
                  <c:v>2400.9</c:v>
                </c:pt>
                <c:pt idx="28">
                  <c:v>2409.5</c:v>
                </c:pt>
                <c:pt idx="29">
                  <c:v>2390.6</c:v>
                </c:pt>
                <c:pt idx="30">
                  <c:v>2368</c:v>
                </c:pt>
                <c:pt idx="31">
                  <c:v>2379.1</c:v>
                </c:pt>
                <c:pt idx="32">
                  <c:v>2413.9</c:v>
                </c:pt>
                <c:pt idx="33">
                  <c:v>2360.4</c:v>
                </c:pt>
                <c:pt idx="34">
                  <c:v>2353.5</c:v>
                </c:pt>
                <c:pt idx="35">
                  <c:v>2389.5</c:v>
                </c:pt>
                <c:pt idx="36">
                  <c:v>2406.1999999999998</c:v>
                </c:pt>
                <c:pt idx="37">
                  <c:v>2372.6</c:v>
                </c:pt>
                <c:pt idx="38">
                  <c:v>2386.6999999999998</c:v>
                </c:pt>
                <c:pt idx="39">
                  <c:v>2399.4</c:v>
                </c:pt>
                <c:pt idx="40">
                  <c:v>2424.6999999999998</c:v>
                </c:pt>
                <c:pt idx="41">
                  <c:v>2384.1</c:v>
                </c:pt>
                <c:pt idx="42">
                  <c:v>2348</c:v>
                </c:pt>
                <c:pt idx="43">
                  <c:v>2323</c:v>
                </c:pt>
                <c:pt idx="44">
                  <c:v>2315.9</c:v>
                </c:pt>
                <c:pt idx="45">
                  <c:v>2290.1999999999998</c:v>
                </c:pt>
                <c:pt idx="46">
                  <c:v>2293.3000000000002</c:v>
                </c:pt>
                <c:pt idx="47">
                  <c:v>2285.4</c:v>
                </c:pt>
                <c:pt idx="48">
                  <c:v>2282.1999999999998</c:v>
                </c:pt>
                <c:pt idx="49">
                  <c:v>2302.6</c:v>
                </c:pt>
                <c:pt idx="50">
                  <c:v>2289.5</c:v>
                </c:pt>
                <c:pt idx="51">
                  <c:v>2280</c:v>
                </c:pt>
                <c:pt idx="52">
                  <c:v>2265.5</c:v>
                </c:pt>
                <c:pt idx="53">
                  <c:v>2275.6</c:v>
                </c:pt>
                <c:pt idx="54">
                  <c:v>2281.1</c:v>
                </c:pt>
                <c:pt idx="55">
                  <c:v>2293.5</c:v>
                </c:pt>
                <c:pt idx="56">
                  <c:v>2260.6</c:v>
                </c:pt>
                <c:pt idx="57">
                  <c:v>2305.6</c:v>
                </c:pt>
                <c:pt idx="58">
                  <c:v>2301.6999999999998</c:v>
                </c:pt>
                <c:pt idx="59">
                  <c:v>2306.5</c:v>
                </c:pt>
                <c:pt idx="60">
                  <c:v>2314</c:v>
                </c:pt>
                <c:pt idx="61">
                  <c:v>2338.6</c:v>
                </c:pt>
                <c:pt idx="62">
                  <c:v>2422</c:v>
                </c:pt>
                <c:pt idx="63">
                  <c:v>2408.0300000000002</c:v>
                </c:pt>
                <c:pt idx="64">
                  <c:v>2437.34</c:v>
                </c:pt>
                <c:pt idx="65">
                  <c:v>2424.2600000000002</c:v>
                </c:pt>
                <c:pt idx="66">
                  <c:v>2426.33</c:v>
                </c:pt>
                <c:pt idx="67">
                  <c:v>2451.6999999999998</c:v>
                </c:pt>
                <c:pt idx="68">
                  <c:v>2425.1999999999998</c:v>
                </c:pt>
                <c:pt idx="69">
                  <c:v>2414.1</c:v>
                </c:pt>
                <c:pt idx="70">
                  <c:v>2424.1999999999998</c:v>
                </c:pt>
                <c:pt idx="71">
                  <c:v>2433.6999999999998</c:v>
                </c:pt>
                <c:pt idx="72">
                  <c:v>2428.4</c:v>
                </c:pt>
                <c:pt idx="73">
                  <c:v>2441.6</c:v>
                </c:pt>
                <c:pt idx="74">
                  <c:v>2404</c:v>
                </c:pt>
                <c:pt idx="75">
                  <c:v>2425</c:v>
                </c:pt>
                <c:pt idx="76">
                  <c:v>2427.6999999999998</c:v>
                </c:pt>
                <c:pt idx="77">
                  <c:v>2407.6</c:v>
                </c:pt>
                <c:pt idx="78">
                  <c:v>2424.5</c:v>
                </c:pt>
                <c:pt idx="79">
                  <c:v>2427.5</c:v>
                </c:pt>
                <c:pt idx="80">
                  <c:v>2408.8000000000002</c:v>
                </c:pt>
                <c:pt idx="81">
                  <c:v>2414</c:v>
                </c:pt>
                <c:pt idx="82">
                  <c:v>2436</c:v>
                </c:pt>
                <c:pt idx="83">
                  <c:v>2445.6999999999998</c:v>
                </c:pt>
                <c:pt idx="84">
                  <c:v>2460</c:v>
                </c:pt>
                <c:pt idx="85">
                  <c:v>2465.5</c:v>
                </c:pt>
                <c:pt idx="86">
                  <c:v>2469.6</c:v>
                </c:pt>
                <c:pt idx="87">
                  <c:v>2488.1</c:v>
                </c:pt>
                <c:pt idx="88">
                  <c:v>2497.1</c:v>
                </c:pt>
                <c:pt idx="89">
                  <c:v>2511.8000000000002</c:v>
                </c:pt>
                <c:pt idx="90">
                  <c:v>2516.4</c:v>
                </c:pt>
                <c:pt idx="91">
                  <c:v>2601.6</c:v>
                </c:pt>
                <c:pt idx="92">
                  <c:v>2591.6999999999998</c:v>
                </c:pt>
                <c:pt idx="93">
                  <c:v>2594.4</c:v>
                </c:pt>
                <c:pt idx="94">
                  <c:v>2603.6999999999998</c:v>
                </c:pt>
                <c:pt idx="95">
                  <c:v>2561.5</c:v>
                </c:pt>
                <c:pt idx="96">
                  <c:v>2519</c:v>
                </c:pt>
                <c:pt idx="97">
                  <c:v>2502.3000000000002</c:v>
                </c:pt>
                <c:pt idx="98">
                  <c:v>2492.8000000000002</c:v>
                </c:pt>
                <c:pt idx="99">
                  <c:v>2528.9</c:v>
                </c:pt>
                <c:pt idx="100">
                  <c:v>2517.6</c:v>
                </c:pt>
                <c:pt idx="101">
                  <c:v>2500.1</c:v>
                </c:pt>
                <c:pt idx="102">
                  <c:v>2517.1999999999998</c:v>
                </c:pt>
                <c:pt idx="103">
                  <c:v>2541.8000000000002</c:v>
                </c:pt>
                <c:pt idx="104">
                  <c:v>2544.9</c:v>
                </c:pt>
                <c:pt idx="105">
                  <c:v>2536.1999999999998</c:v>
                </c:pt>
                <c:pt idx="106">
                  <c:v>2514.4</c:v>
                </c:pt>
                <c:pt idx="107">
                  <c:v>2497.9</c:v>
                </c:pt>
                <c:pt idx="108">
                  <c:v>2511.8000000000002</c:v>
                </c:pt>
                <c:pt idx="109">
                  <c:v>2538.3000000000002</c:v>
                </c:pt>
                <c:pt idx="110">
                  <c:v>2549.5</c:v>
                </c:pt>
                <c:pt idx="111">
                  <c:v>2522.1999999999998</c:v>
                </c:pt>
                <c:pt idx="112">
                  <c:v>2572.1999999999998</c:v>
                </c:pt>
                <c:pt idx="113">
                  <c:v>2559.6</c:v>
                </c:pt>
                <c:pt idx="114">
                  <c:v>2586.8000000000002</c:v>
                </c:pt>
                <c:pt idx="115">
                  <c:v>2569.6999999999998</c:v>
                </c:pt>
                <c:pt idx="116">
                  <c:v>2580.9</c:v>
                </c:pt>
                <c:pt idx="117">
                  <c:v>2581</c:v>
                </c:pt>
                <c:pt idx="118">
                  <c:v>2580.5</c:v>
                </c:pt>
                <c:pt idx="119">
                  <c:v>2622</c:v>
                </c:pt>
                <c:pt idx="120">
                  <c:v>2643.5</c:v>
                </c:pt>
                <c:pt idx="121">
                  <c:v>2642</c:v>
                </c:pt>
                <c:pt idx="122">
                  <c:v>2623.9</c:v>
                </c:pt>
                <c:pt idx="123">
                  <c:v>2633.4</c:v>
                </c:pt>
                <c:pt idx="124">
                  <c:v>2666.6</c:v>
                </c:pt>
                <c:pt idx="125">
                  <c:v>2664.7</c:v>
                </c:pt>
                <c:pt idx="126">
                  <c:v>2677</c:v>
                </c:pt>
                <c:pt idx="127">
                  <c:v>2649.5</c:v>
                </c:pt>
                <c:pt idx="128">
                  <c:v>2659.8</c:v>
                </c:pt>
                <c:pt idx="129">
                  <c:v>2654.4</c:v>
                </c:pt>
                <c:pt idx="130">
                  <c:v>2692.6</c:v>
                </c:pt>
                <c:pt idx="131">
                  <c:v>2631.6</c:v>
                </c:pt>
                <c:pt idx="132">
                  <c:v>2629.9</c:v>
                </c:pt>
                <c:pt idx="133">
                  <c:v>2648</c:v>
                </c:pt>
                <c:pt idx="134">
                  <c:v>2669.8</c:v>
                </c:pt>
                <c:pt idx="135">
                  <c:v>2604.8000000000002</c:v>
                </c:pt>
                <c:pt idx="136">
                  <c:v>2568.1</c:v>
                </c:pt>
                <c:pt idx="137">
                  <c:v>2480.6</c:v>
                </c:pt>
                <c:pt idx="138">
                  <c:v>2495.1</c:v>
                </c:pt>
                <c:pt idx="139">
                  <c:v>2483.8000000000002</c:v>
                </c:pt>
                <c:pt idx="140">
                  <c:v>2518.4</c:v>
                </c:pt>
                <c:pt idx="141">
                  <c:v>2498.6</c:v>
                </c:pt>
                <c:pt idx="142">
                  <c:v>2517.5</c:v>
                </c:pt>
                <c:pt idx="143">
                  <c:v>2535.6</c:v>
                </c:pt>
                <c:pt idx="144">
                  <c:v>2534.6999999999998</c:v>
                </c:pt>
                <c:pt idx="145">
                  <c:v>2543.6999999999998</c:v>
                </c:pt>
                <c:pt idx="146">
                  <c:v>2553.6999999999998</c:v>
                </c:pt>
                <c:pt idx="147">
                  <c:v>2521.1999999999998</c:v>
                </c:pt>
                <c:pt idx="148">
                  <c:v>2437.4</c:v>
                </c:pt>
                <c:pt idx="149">
                  <c:v>2453.6</c:v>
                </c:pt>
                <c:pt idx="150">
                  <c:v>2441.6</c:v>
                </c:pt>
                <c:pt idx="151">
                  <c:v>2415.4</c:v>
                </c:pt>
                <c:pt idx="152">
                  <c:v>2437.8000000000002</c:v>
                </c:pt>
                <c:pt idx="153">
                  <c:v>2450.4</c:v>
                </c:pt>
                <c:pt idx="154">
                  <c:v>2479.6999999999998</c:v>
                </c:pt>
                <c:pt idx="155">
                  <c:v>2464.9</c:v>
                </c:pt>
                <c:pt idx="156">
                  <c:v>2489.6</c:v>
                </c:pt>
                <c:pt idx="157">
                  <c:v>2509.8000000000002</c:v>
                </c:pt>
                <c:pt idx="158">
                  <c:v>2517.6</c:v>
                </c:pt>
                <c:pt idx="159">
                  <c:v>2526.9</c:v>
                </c:pt>
                <c:pt idx="160">
                  <c:v>2516.6</c:v>
                </c:pt>
                <c:pt idx="161">
                  <c:v>2519.6</c:v>
                </c:pt>
                <c:pt idx="162">
                  <c:v>2408.4</c:v>
                </c:pt>
                <c:pt idx="163">
                  <c:v>2423.4</c:v>
                </c:pt>
                <c:pt idx="164">
                  <c:v>2392.6999999999998</c:v>
                </c:pt>
                <c:pt idx="165">
                  <c:v>2410.4</c:v>
                </c:pt>
                <c:pt idx="166">
                  <c:v>2339.3000000000002</c:v>
                </c:pt>
                <c:pt idx="167">
                  <c:v>2313.4</c:v>
                </c:pt>
                <c:pt idx="168">
                  <c:v>2307.1</c:v>
                </c:pt>
                <c:pt idx="169">
                  <c:v>2295.5</c:v>
                </c:pt>
                <c:pt idx="170">
                  <c:v>2294.6</c:v>
                </c:pt>
                <c:pt idx="171">
                  <c:v>2306.9</c:v>
                </c:pt>
                <c:pt idx="172">
                  <c:v>2280.8000000000002</c:v>
                </c:pt>
                <c:pt idx="173">
                  <c:v>2278.6999999999998</c:v>
                </c:pt>
                <c:pt idx="174">
                  <c:v>2263.1</c:v>
                </c:pt>
                <c:pt idx="175">
                  <c:v>2275.1</c:v>
                </c:pt>
                <c:pt idx="176">
                  <c:v>2306.1999999999998</c:v>
                </c:pt>
                <c:pt idx="177">
                  <c:v>2294.1999999999998</c:v>
                </c:pt>
                <c:pt idx="178">
                  <c:v>2297.3000000000002</c:v>
                </c:pt>
                <c:pt idx="179">
                  <c:v>2328.6</c:v>
                </c:pt>
                <c:pt idx="180">
                  <c:v>2327.4</c:v>
                </c:pt>
                <c:pt idx="181">
                  <c:v>2319</c:v>
                </c:pt>
                <c:pt idx="182">
                  <c:v>2332.6999999999998</c:v>
                </c:pt>
                <c:pt idx="183">
                  <c:v>2376.4</c:v>
                </c:pt>
                <c:pt idx="184">
                  <c:v>2395.1999999999998</c:v>
                </c:pt>
                <c:pt idx="185">
                  <c:v>2393.1999999999998</c:v>
                </c:pt>
                <c:pt idx="186">
                  <c:v>2389.8000000000002</c:v>
                </c:pt>
                <c:pt idx="187">
                  <c:v>2376.4</c:v>
                </c:pt>
                <c:pt idx="188">
                  <c:v>2364.5</c:v>
                </c:pt>
                <c:pt idx="189">
                  <c:v>2352.3000000000002</c:v>
                </c:pt>
                <c:pt idx="190">
                  <c:v>2371.6</c:v>
                </c:pt>
                <c:pt idx="191">
                  <c:v>2348.3000000000002</c:v>
                </c:pt>
                <c:pt idx="192">
                  <c:v>2366.6999999999998</c:v>
                </c:pt>
                <c:pt idx="193">
                  <c:v>2362</c:v>
                </c:pt>
                <c:pt idx="194">
                  <c:v>2380.1999999999998</c:v>
                </c:pt>
                <c:pt idx="195">
                  <c:v>2394.1</c:v>
                </c:pt>
                <c:pt idx="196">
                  <c:v>2359.1999999999998</c:v>
                </c:pt>
                <c:pt idx="197">
                  <c:v>2330.6999999999998</c:v>
                </c:pt>
                <c:pt idx="198">
                  <c:v>2363.9</c:v>
                </c:pt>
                <c:pt idx="199">
                  <c:v>2341.1</c:v>
                </c:pt>
                <c:pt idx="200">
                  <c:v>2382.6999999999998</c:v>
                </c:pt>
                <c:pt idx="201">
                  <c:v>2381.4</c:v>
                </c:pt>
                <c:pt idx="202">
                  <c:v>2355.1999999999998</c:v>
                </c:pt>
                <c:pt idx="203">
                  <c:v>2350.5</c:v>
                </c:pt>
                <c:pt idx="204">
                  <c:v>2360</c:v>
                </c:pt>
                <c:pt idx="205">
                  <c:v>2382.5</c:v>
                </c:pt>
                <c:pt idx="206">
                  <c:v>2332.9</c:v>
                </c:pt>
                <c:pt idx="207">
                  <c:v>2354.9</c:v>
                </c:pt>
                <c:pt idx="208">
                  <c:v>2370.8000000000002</c:v>
                </c:pt>
                <c:pt idx="209">
                  <c:v>2381.8000000000002</c:v>
                </c:pt>
                <c:pt idx="210">
                  <c:v>2348.6</c:v>
                </c:pt>
                <c:pt idx="211">
                  <c:v>2323.9</c:v>
                </c:pt>
                <c:pt idx="212">
                  <c:v>2342.1</c:v>
                </c:pt>
                <c:pt idx="213">
                  <c:v>2321.6999999999998</c:v>
                </c:pt>
                <c:pt idx="214">
                  <c:v>2318.6</c:v>
                </c:pt>
                <c:pt idx="215">
                  <c:v>2332.1999999999998</c:v>
                </c:pt>
                <c:pt idx="216">
                  <c:v>2325.3000000000002</c:v>
                </c:pt>
                <c:pt idx="217">
                  <c:v>2423.8000000000002</c:v>
                </c:pt>
                <c:pt idx="218">
                  <c:v>2398.6999999999998</c:v>
                </c:pt>
                <c:pt idx="219">
                  <c:v>2351</c:v>
                </c:pt>
                <c:pt idx="220">
                  <c:v>2375</c:v>
                </c:pt>
                <c:pt idx="221">
                  <c:v>2366.6</c:v>
                </c:pt>
                <c:pt idx="222">
                  <c:v>2361.5</c:v>
                </c:pt>
                <c:pt idx="223">
                  <c:v>2366.15</c:v>
                </c:pt>
                <c:pt idx="224">
                  <c:v>2350</c:v>
                </c:pt>
                <c:pt idx="225">
                  <c:v>2289.25</c:v>
                </c:pt>
                <c:pt idx="226">
                  <c:v>2249.4</c:v>
                </c:pt>
                <c:pt idx="227">
                  <c:v>2244.5500000000002</c:v>
                </c:pt>
                <c:pt idx="228">
                  <c:v>2244.5500000000002</c:v>
                </c:pt>
                <c:pt idx="229">
                  <c:v>2237.9</c:v>
                </c:pt>
                <c:pt idx="230">
                  <c:v>2233.85</c:v>
                </c:pt>
                <c:pt idx="231">
                  <c:v>2258.85</c:v>
                </c:pt>
                <c:pt idx="232">
                  <c:v>2244.65</c:v>
                </c:pt>
                <c:pt idx="233">
                  <c:v>2245.9499999999998</c:v>
                </c:pt>
                <c:pt idx="234">
                  <c:v>2271.3000000000002</c:v>
                </c:pt>
                <c:pt idx="235">
                  <c:v>2256.1999999999998</c:v>
                </c:pt>
                <c:pt idx="236">
                  <c:v>2246.1999999999998</c:v>
                </c:pt>
                <c:pt idx="237">
                  <c:v>2242.4</c:v>
                </c:pt>
                <c:pt idx="238">
                  <c:v>2200.0500000000002</c:v>
                </c:pt>
                <c:pt idx="239">
                  <c:v>2201.4</c:v>
                </c:pt>
                <c:pt idx="240">
                  <c:v>2171.25</c:v>
                </c:pt>
                <c:pt idx="241">
                  <c:v>2174.8000000000002</c:v>
                </c:pt>
                <c:pt idx="242">
                  <c:v>2192.9</c:v>
                </c:pt>
                <c:pt idx="243">
                  <c:v>2216.9499999999998</c:v>
                </c:pt>
                <c:pt idx="244">
                  <c:v>2247.75</c:v>
                </c:pt>
                <c:pt idx="245">
                  <c:v>2204.5500000000002</c:v>
                </c:pt>
                <c:pt idx="246">
                  <c:v>2218.9499999999998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B5-409D-9636-A7AF348E9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728896"/>
        <c:axId val="2051866688"/>
      </c:lineChart>
      <c:dateAx>
        <c:axId val="20527288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66688"/>
        <c:crosses val="autoZero"/>
        <c:auto val="1"/>
        <c:lblOffset val="100"/>
        <c:baseTimeUnit val="days"/>
      </c:dateAx>
      <c:valAx>
        <c:axId val="20518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72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'Co-variance'!$D$4</c:f>
              <c:strCache>
                <c:ptCount val="1"/>
                <c:pt idx="0">
                  <c:v>Titan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'Co-variance'!$B$5:$B$251</c:f>
              <c:numCache>
                <c:formatCode>m/d/yyyy</c:formatCode>
                <c:ptCount val="247"/>
                <c:pt idx="0">
                  <c:v>46086</c:v>
                </c:pt>
                <c:pt idx="1">
                  <c:v>46085</c:v>
                </c:pt>
                <c:pt idx="2">
                  <c:v>46083</c:v>
                </c:pt>
                <c:pt idx="3">
                  <c:v>46080</c:v>
                </c:pt>
                <c:pt idx="4">
                  <c:v>46079</c:v>
                </c:pt>
                <c:pt idx="5">
                  <c:v>46078</c:v>
                </c:pt>
                <c:pt idx="6">
                  <c:v>46077</c:v>
                </c:pt>
                <c:pt idx="7">
                  <c:v>46076</c:v>
                </c:pt>
                <c:pt idx="8">
                  <c:v>46073</c:v>
                </c:pt>
                <c:pt idx="9">
                  <c:v>46072</c:v>
                </c:pt>
                <c:pt idx="10">
                  <c:v>46071</c:v>
                </c:pt>
                <c:pt idx="11">
                  <c:v>46070</c:v>
                </c:pt>
                <c:pt idx="12">
                  <c:v>46069</c:v>
                </c:pt>
                <c:pt idx="13">
                  <c:v>46066</c:v>
                </c:pt>
                <c:pt idx="14">
                  <c:v>46065</c:v>
                </c:pt>
                <c:pt idx="15">
                  <c:v>46064</c:v>
                </c:pt>
                <c:pt idx="16">
                  <c:v>46063</c:v>
                </c:pt>
                <c:pt idx="17">
                  <c:v>46062</c:v>
                </c:pt>
                <c:pt idx="18">
                  <c:v>46059</c:v>
                </c:pt>
                <c:pt idx="19">
                  <c:v>46058</c:v>
                </c:pt>
                <c:pt idx="20">
                  <c:v>46057</c:v>
                </c:pt>
                <c:pt idx="21">
                  <c:v>46056</c:v>
                </c:pt>
                <c:pt idx="22">
                  <c:v>46055</c:v>
                </c:pt>
                <c:pt idx="23">
                  <c:v>46054</c:v>
                </c:pt>
                <c:pt idx="24">
                  <c:v>46052</c:v>
                </c:pt>
                <c:pt idx="25">
                  <c:v>46051</c:v>
                </c:pt>
                <c:pt idx="26">
                  <c:v>46050</c:v>
                </c:pt>
                <c:pt idx="27">
                  <c:v>46049</c:v>
                </c:pt>
                <c:pt idx="28">
                  <c:v>46045</c:v>
                </c:pt>
                <c:pt idx="29">
                  <c:v>46044</c:v>
                </c:pt>
                <c:pt idx="30">
                  <c:v>46043</c:v>
                </c:pt>
                <c:pt idx="31">
                  <c:v>46042</c:v>
                </c:pt>
                <c:pt idx="32">
                  <c:v>46041</c:v>
                </c:pt>
                <c:pt idx="33">
                  <c:v>46038</c:v>
                </c:pt>
                <c:pt idx="34">
                  <c:v>46036</c:v>
                </c:pt>
                <c:pt idx="35">
                  <c:v>46035</c:v>
                </c:pt>
                <c:pt idx="36">
                  <c:v>46034</c:v>
                </c:pt>
                <c:pt idx="37">
                  <c:v>46031</c:v>
                </c:pt>
                <c:pt idx="38">
                  <c:v>46030</c:v>
                </c:pt>
                <c:pt idx="39">
                  <c:v>46029</c:v>
                </c:pt>
                <c:pt idx="40">
                  <c:v>46028</c:v>
                </c:pt>
                <c:pt idx="41">
                  <c:v>46027</c:v>
                </c:pt>
                <c:pt idx="42">
                  <c:v>46024</c:v>
                </c:pt>
                <c:pt idx="43">
                  <c:v>46023</c:v>
                </c:pt>
                <c:pt idx="44">
                  <c:v>46022</c:v>
                </c:pt>
                <c:pt idx="45">
                  <c:v>46021</c:v>
                </c:pt>
                <c:pt idx="46">
                  <c:v>46020</c:v>
                </c:pt>
                <c:pt idx="47">
                  <c:v>46017</c:v>
                </c:pt>
                <c:pt idx="48">
                  <c:v>46015</c:v>
                </c:pt>
                <c:pt idx="49">
                  <c:v>46014</c:v>
                </c:pt>
                <c:pt idx="50">
                  <c:v>46013</c:v>
                </c:pt>
                <c:pt idx="51">
                  <c:v>46010</c:v>
                </c:pt>
                <c:pt idx="52">
                  <c:v>46009</c:v>
                </c:pt>
                <c:pt idx="53">
                  <c:v>46008</c:v>
                </c:pt>
                <c:pt idx="54">
                  <c:v>46007</c:v>
                </c:pt>
                <c:pt idx="55">
                  <c:v>46006</c:v>
                </c:pt>
                <c:pt idx="56">
                  <c:v>46003</c:v>
                </c:pt>
                <c:pt idx="57">
                  <c:v>46002</c:v>
                </c:pt>
                <c:pt idx="58">
                  <c:v>46001</c:v>
                </c:pt>
                <c:pt idx="59">
                  <c:v>46000</c:v>
                </c:pt>
                <c:pt idx="60">
                  <c:v>45999</c:v>
                </c:pt>
                <c:pt idx="61">
                  <c:v>45996</c:v>
                </c:pt>
                <c:pt idx="62">
                  <c:v>45995</c:v>
                </c:pt>
                <c:pt idx="63">
                  <c:v>45994</c:v>
                </c:pt>
                <c:pt idx="64">
                  <c:v>45993</c:v>
                </c:pt>
                <c:pt idx="65">
                  <c:v>45992</c:v>
                </c:pt>
                <c:pt idx="66">
                  <c:v>45989</c:v>
                </c:pt>
                <c:pt idx="67">
                  <c:v>45988</c:v>
                </c:pt>
                <c:pt idx="68">
                  <c:v>45987</c:v>
                </c:pt>
                <c:pt idx="69">
                  <c:v>45986</c:v>
                </c:pt>
                <c:pt idx="70">
                  <c:v>45985</c:v>
                </c:pt>
                <c:pt idx="71">
                  <c:v>45982</c:v>
                </c:pt>
                <c:pt idx="72">
                  <c:v>45981</c:v>
                </c:pt>
                <c:pt idx="73">
                  <c:v>45980</c:v>
                </c:pt>
                <c:pt idx="74">
                  <c:v>45979</c:v>
                </c:pt>
                <c:pt idx="75">
                  <c:v>45978</c:v>
                </c:pt>
                <c:pt idx="76">
                  <c:v>45975</c:v>
                </c:pt>
                <c:pt idx="77">
                  <c:v>45974</c:v>
                </c:pt>
                <c:pt idx="78">
                  <c:v>45973</c:v>
                </c:pt>
                <c:pt idx="79">
                  <c:v>45972</c:v>
                </c:pt>
                <c:pt idx="80">
                  <c:v>45971</c:v>
                </c:pt>
                <c:pt idx="81">
                  <c:v>45968</c:v>
                </c:pt>
                <c:pt idx="82">
                  <c:v>45967</c:v>
                </c:pt>
                <c:pt idx="83">
                  <c:v>45965</c:v>
                </c:pt>
                <c:pt idx="84">
                  <c:v>45964</c:v>
                </c:pt>
                <c:pt idx="85">
                  <c:v>45961</c:v>
                </c:pt>
                <c:pt idx="86">
                  <c:v>45960</c:v>
                </c:pt>
                <c:pt idx="87">
                  <c:v>45959</c:v>
                </c:pt>
                <c:pt idx="88">
                  <c:v>45958</c:v>
                </c:pt>
                <c:pt idx="89">
                  <c:v>45957</c:v>
                </c:pt>
                <c:pt idx="90">
                  <c:v>45954</c:v>
                </c:pt>
                <c:pt idx="91">
                  <c:v>45953</c:v>
                </c:pt>
                <c:pt idx="92">
                  <c:v>45951</c:v>
                </c:pt>
                <c:pt idx="93">
                  <c:v>45950</c:v>
                </c:pt>
                <c:pt idx="94">
                  <c:v>45947</c:v>
                </c:pt>
                <c:pt idx="95">
                  <c:v>45946</c:v>
                </c:pt>
                <c:pt idx="96">
                  <c:v>45945</c:v>
                </c:pt>
                <c:pt idx="97">
                  <c:v>45944</c:v>
                </c:pt>
                <c:pt idx="98">
                  <c:v>45943</c:v>
                </c:pt>
                <c:pt idx="99">
                  <c:v>45940</c:v>
                </c:pt>
                <c:pt idx="100">
                  <c:v>45939</c:v>
                </c:pt>
                <c:pt idx="101">
                  <c:v>45938</c:v>
                </c:pt>
                <c:pt idx="102">
                  <c:v>45937</c:v>
                </c:pt>
                <c:pt idx="103">
                  <c:v>45936</c:v>
                </c:pt>
                <c:pt idx="104">
                  <c:v>45933</c:v>
                </c:pt>
                <c:pt idx="105">
                  <c:v>45931</c:v>
                </c:pt>
                <c:pt idx="106">
                  <c:v>45930</c:v>
                </c:pt>
                <c:pt idx="107">
                  <c:v>45929</c:v>
                </c:pt>
                <c:pt idx="108">
                  <c:v>45926</c:v>
                </c:pt>
                <c:pt idx="109">
                  <c:v>45925</c:v>
                </c:pt>
                <c:pt idx="110">
                  <c:v>45924</c:v>
                </c:pt>
                <c:pt idx="111">
                  <c:v>45923</c:v>
                </c:pt>
                <c:pt idx="112">
                  <c:v>45922</c:v>
                </c:pt>
                <c:pt idx="113">
                  <c:v>45919</c:v>
                </c:pt>
                <c:pt idx="114">
                  <c:v>45918</c:v>
                </c:pt>
                <c:pt idx="115">
                  <c:v>45917</c:v>
                </c:pt>
                <c:pt idx="116">
                  <c:v>45916</c:v>
                </c:pt>
                <c:pt idx="117">
                  <c:v>45915</c:v>
                </c:pt>
                <c:pt idx="118">
                  <c:v>45912</c:v>
                </c:pt>
                <c:pt idx="119">
                  <c:v>45911</c:v>
                </c:pt>
                <c:pt idx="120">
                  <c:v>45910</c:v>
                </c:pt>
                <c:pt idx="121">
                  <c:v>45909</c:v>
                </c:pt>
                <c:pt idx="122">
                  <c:v>45908</c:v>
                </c:pt>
                <c:pt idx="123">
                  <c:v>45905</c:v>
                </c:pt>
                <c:pt idx="124">
                  <c:v>45904</c:v>
                </c:pt>
                <c:pt idx="125">
                  <c:v>45903</c:v>
                </c:pt>
                <c:pt idx="126">
                  <c:v>45902</c:v>
                </c:pt>
                <c:pt idx="127">
                  <c:v>45901</c:v>
                </c:pt>
                <c:pt idx="128">
                  <c:v>45898</c:v>
                </c:pt>
                <c:pt idx="129">
                  <c:v>45897</c:v>
                </c:pt>
                <c:pt idx="130">
                  <c:v>45895</c:v>
                </c:pt>
                <c:pt idx="131">
                  <c:v>45894</c:v>
                </c:pt>
                <c:pt idx="132">
                  <c:v>45891</c:v>
                </c:pt>
                <c:pt idx="133">
                  <c:v>45890</c:v>
                </c:pt>
                <c:pt idx="134">
                  <c:v>45889</c:v>
                </c:pt>
                <c:pt idx="135">
                  <c:v>45888</c:v>
                </c:pt>
                <c:pt idx="136">
                  <c:v>45887</c:v>
                </c:pt>
                <c:pt idx="137">
                  <c:v>45883</c:v>
                </c:pt>
                <c:pt idx="138">
                  <c:v>45882</c:v>
                </c:pt>
                <c:pt idx="139">
                  <c:v>45881</c:v>
                </c:pt>
                <c:pt idx="140">
                  <c:v>45880</c:v>
                </c:pt>
                <c:pt idx="141">
                  <c:v>45877</c:v>
                </c:pt>
                <c:pt idx="142">
                  <c:v>45876</c:v>
                </c:pt>
                <c:pt idx="143">
                  <c:v>45875</c:v>
                </c:pt>
                <c:pt idx="144">
                  <c:v>45874</c:v>
                </c:pt>
                <c:pt idx="145">
                  <c:v>45873</c:v>
                </c:pt>
                <c:pt idx="146">
                  <c:v>45870</c:v>
                </c:pt>
                <c:pt idx="147">
                  <c:v>45869</c:v>
                </c:pt>
                <c:pt idx="148">
                  <c:v>45868</c:v>
                </c:pt>
                <c:pt idx="149">
                  <c:v>45867</c:v>
                </c:pt>
                <c:pt idx="150">
                  <c:v>45866</c:v>
                </c:pt>
                <c:pt idx="151">
                  <c:v>45863</c:v>
                </c:pt>
                <c:pt idx="152">
                  <c:v>45862</c:v>
                </c:pt>
                <c:pt idx="153">
                  <c:v>45861</c:v>
                </c:pt>
                <c:pt idx="154">
                  <c:v>45860</c:v>
                </c:pt>
                <c:pt idx="155">
                  <c:v>45859</c:v>
                </c:pt>
                <c:pt idx="156">
                  <c:v>45856</c:v>
                </c:pt>
                <c:pt idx="157">
                  <c:v>45855</c:v>
                </c:pt>
                <c:pt idx="158">
                  <c:v>45854</c:v>
                </c:pt>
                <c:pt idx="159">
                  <c:v>45853</c:v>
                </c:pt>
                <c:pt idx="160">
                  <c:v>45852</c:v>
                </c:pt>
                <c:pt idx="161">
                  <c:v>45849</c:v>
                </c:pt>
                <c:pt idx="162">
                  <c:v>45848</c:v>
                </c:pt>
                <c:pt idx="163">
                  <c:v>45847</c:v>
                </c:pt>
                <c:pt idx="164">
                  <c:v>45846</c:v>
                </c:pt>
                <c:pt idx="165">
                  <c:v>45845</c:v>
                </c:pt>
                <c:pt idx="166">
                  <c:v>45842</c:v>
                </c:pt>
                <c:pt idx="167">
                  <c:v>45841</c:v>
                </c:pt>
                <c:pt idx="168">
                  <c:v>45840</c:v>
                </c:pt>
                <c:pt idx="169">
                  <c:v>45839</c:v>
                </c:pt>
                <c:pt idx="170">
                  <c:v>45838</c:v>
                </c:pt>
                <c:pt idx="171">
                  <c:v>45835</c:v>
                </c:pt>
                <c:pt idx="172">
                  <c:v>45834</c:v>
                </c:pt>
                <c:pt idx="173">
                  <c:v>45833</c:v>
                </c:pt>
                <c:pt idx="174">
                  <c:v>45832</c:v>
                </c:pt>
                <c:pt idx="175">
                  <c:v>45831</c:v>
                </c:pt>
                <c:pt idx="176">
                  <c:v>45828</c:v>
                </c:pt>
                <c:pt idx="177">
                  <c:v>45827</c:v>
                </c:pt>
                <c:pt idx="178">
                  <c:v>45826</c:v>
                </c:pt>
                <c:pt idx="179">
                  <c:v>45825</c:v>
                </c:pt>
                <c:pt idx="180">
                  <c:v>45824</c:v>
                </c:pt>
                <c:pt idx="181">
                  <c:v>45821</c:v>
                </c:pt>
                <c:pt idx="182">
                  <c:v>45820</c:v>
                </c:pt>
                <c:pt idx="183">
                  <c:v>45819</c:v>
                </c:pt>
                <c:pt idx="184">
                  <c:v>45818</c:v>
                </c:pt>
                <c:pt idx="185">
                  <c:v>45817</c:v>
                </c:pt>
                <c:pt idx="186">
                  <c:v>45814</c:v>
                </c:pt>
                <c:pt idx="187">
                  <c:v>45813</c:v>
                </c:pt>
                <c:pt idx="188">
                  <c:v>45812</c:v>
                </c:pt>
                <c:pt idx="189">
                  <c:v>45811</c:v>
                </c:pt>
                <c:pt idx="190">
                  <c:v>45810</c:v>
                </c:pt>
                <c:pt idx="191">
                  <c:v>45807</c:v>
                </c:pt>
                <c:pt idx="192">
                  <c:v>45806</c:v>
                </c:pt>
                <c:pt idx="193">
                  <c:v>45805</c:v>
                </c:pt>
                <c:pt idx="194">
                  <c:v>45804</c:v>
                </c:pt>
                <c:pt idx="195">
                  <c:v>45803</c:v>
                </c:pt>
                <c:pt idx="196">
                  <c:v>45800</c:v>
                </c:pt>
                <c:pt idx="197">
                  <c:v>45799</c:v>
                </c:pt>
                <c:pt idx="198">
                  <c:v>45798</c:v>
                </c:pt>
                <c:pt idx="199">
                  <c:v>45797</c:v>
                </c:pt>
                <c:pt idx="200">
                  <c:v>45796</c:v>
                </c:pt>
                <c:pt idx="201">
                  <c:v>45793</c:v>
                </c:pt>
                <c:pt idx="202">
                  <c:v>45792</c:v>
                </c:pt>
                <c:pt idx="203">
                  <c:v>45791</c:v>
                </c:pt>
                <c:pt idx="204">
                  <c:v>45790</c:v>
                </c:pt>
                <c:pt idx="205">
                  <c:v>45789</c:v>
                </c:pt>
                <c:pt idx="206">
                  <c:v>45786</c:v>
                </c:pt>
                <c:pt idx="207">
                  <c:v>45785</c:v>
                </c:pt>
                <c:pt idx="208">
                  <c:v>45784</c:v>
                </c:pt>
                <c:pt idx="209">
                  <c:v>45783</c:v>
                </c:pt>
                <c:pt idx="210">
                  <c:v>45782</c:v>
                </c:pt>
                <c:pt idx="211">
                  <c:v>45779</c:v>
                </c:pt>
                <c:pt idx="212">
                  <c:v>45777</c:v>
                </c:pt>
                <c:pt idx="213">
                  <c:v>45776</c:v>
                </c:pt>
                <c:pt idx="214">
                  <c:v>45775</c:v>
                </c:pt>
                <c:pt idx="215">
                  <c:v>45772</c:v>
                </c:pt>
                <c:pt idx="216">
                  <c:v>45771</c:v>
                </c:pt>
                <c:pt idx="217">
                  <c:v>45770</c:v>
                </c:pt>
                <c:pt idx="218">
                  <c:v>45769</c:v>
                </c:pt>
                <c:pt idx="219">
                  <c:v>45768</c:v>
                </c:pt>
                <c:pt idx="220">
                  <c:v>45764</c:v>
                </c:pt>
                <c:pt idx="221">
                  <c:v>45763</c:v>
                </c:pt>
                <c:pt idx="222">
                  <c:v>45762</c:v>
                </c:pt>
                <c:pt idx="223">
                  <c:v>45758</c:v>
                </c:pt>
                <c:pt idx="224">
                  <c:v>45756</c:v>
                </c:pt>
                <c:pt idx="225">
                  <c:v>45755</c:v>
                </c:pt>
                <c:pt idx="226">
                  <c:v>45754</c:v>
                </c:pt>
                <c:pt idx="227">
                  <c:v>45751</c:v>
                </c:pt>
                <c:pt idx="228">
                  <c:v>45750</c:v>
                </c:pt>
                <c:pt idx="229">
                  <c:v>45749</c:v>
                </c:pt>
                <c:pt idx="230">
                  <c:v>45748</c:v>
                </c:pt>
                <c:pt idx="231">
                  <c:v>45744</c:v>
                </c:pt>
                <c:pt idx="232">
                  <c:v>45743</c:v>
                </c:pt>
                <c:pt idx="233">
                  <c:v>45742</c:v>
                </c:pt>
                <c:pt idx="234">
                  <c:v>45741</c:v>
                </c:pt>
                <c:pt idx="235">
                  <c:v>45740</c:v>
                </c:pt>
                <c:pt idx="236">
                  <c:v>45737</c:v>
                </c:pt>
                <c:pt idx="237">
                  <c:v>45736</c:v>
                </c:pt>
                <c:pt idx="238">
                  <c:v>45735</c:v>
                </c:pt>
                <c:pt idx="239">
                  <c:v>45734</c:v>
                </c:pt>
                <c:pt idx="240">
                  <c:v>45733</c:v>
                </c:pt>
                <c:pt idx="241">
                  <c:v>45729</c:v>
                </c:pt>
                <c:pt idx="242">
                  <c:v>45728</c:v>
                </c:pt>
                <c:pt idx="243">
                  <c:v>45727</c:v>
                </c:pt>
                <c:pt idx="244">
                  <c:v>45726</c:v>
                </c:pt>
                <c:pt idx="245">
                  <c:v>45723</c:v>
                </c:pt>
                <c:pt idx="246">
                  <c:v>45722</c:v>
                </c:pt>
              </c:numCache>
            </c:numRef>
          </c:cat>
          <c:val>
            <c:numRef>
              <c:f>'Co-variance'!$D$5:$D$251</c:f>
              <c:numCache>
                <c:formatCode>#,##0.00</c:formatCode>
                <c:ptCount val="247"/>
                <c:pt idx="0">
                  <c:v>4275.2</c:v>
                </c:pt>
                <c:pt idx="1">
                  <c:v>4204.3999999999996</c:v>
                </c:pt>
                <c:pt idx="2">
                  <c:v>4270.3</c:v>
                </c:pt>
                <c:pt idx="3">
                  <c:v>4327.5</c:v>
                </c:pt>
                <c:pt idx="4">
                  <c:v>4342.6000000000004</c:v>
                </c:pt>
                <c:pt idx="5">
                  <c:v>4325</c:v>
                </c:pt>
                <c:pt idx="6">
                  <c:v>4294.5</c:v>
                </c:pt>
                <c:pt idx="7">
                  <c:v>4272.7</c:v>
                </c:pt>
                <c:pt idx="8">
                  <c:v>4236.3999999999996</c:v>
                </c:pt>
                <c:pt idx="9">
                  <c:v>4198.2</c:v>
                </c:pt>
                <c:pt idx="10">
                  <c:v>4248.6000000000004</c:v>
                </c:pt>
                <c:pt idx="11">
                  <c:v>4236.3999999999996</c:v>
                </c:pt>
                <c:pt idx="12">
                  <c:v>4181.1000000000004</c:v>
                </c:pt>
                <c:pt idx="13">
                  <c:v>4179.2</c:v>
                </c:pt>
                <c:pt idx="14">
                  <c:v>4275.8</c:v>
                </c:pt>
                <c:pt idx="15">
                  <c:v>4249.1000000000004</c:v>
                </c:pt>
                <c:pt idx="16">
                  <c:v>4269.1000000000004</c:v>
                </c:pt>
                <c:pt idx="17">
                  <c:v>4257.8</c:v>
                </c:pt>
                <c:pt idx="18">
                  <c:v>4141</c:v>
                </c:pt>
                <c:pt idx="19">
                  <c:v>4097.6000000000004</c:v>
                </c:pt>
                <c:pt idx="20">
                  <c:v>4144</c:v>
                </c:pt>
                <c:pt idx="21">
                  <c:v>4068.6</c:v>
                </c:pt>
                <c:pt idx="22">
                  <c:v>3953.2</c:v>
                </c:pt>
                <c:pt idx="23">
                  <c:v>3985.3</c:v>
                </c:pt>
                <c:pt idx="24">
                  <c:v>3977.4</c:v>
                </c:pt>
                <c:pt idx="25">
                  <c:v>3939.7</c:v>
                </c:pt>
                <c:pt idx="26">
                  <c:v>3975.2</c:v>
                </c:pt>
                <c:pt idx="27">
                  <c:v>3997</c:v>
                </c:pt>
                <c:pt idx="28">
                  <c:v>4021.8</c:v>
                </c:pt>
                <c:pt idx="29">
                  <c:v>4018.6</c:v>
                </c:pt>
                <c:pt idx="30">
                  <c:v>4079.2</c:v>
                </c:pt>
                <c:pt idx="31">
                  <c:v>4075.5</c:v>
                </c:pt>
                <c:pt idx="32">
                  <c:v>4144.1000000000004</c:v>
                </c:pt>
                <c:pt idx="33">
                  <c:v>4196.8999999999996</c:v>
                </c:pt>
                <c:pt idx="34">
                  <c:v>4221.5</c:v>
                </c:pt>
                <c:pt idx="35">
                  <c:v>4239.2</c:v>
                </c:pt>
                <c:pt idx="36">
                  <c:v>4231.6000000000004</c:v>
                </c:pt>
                <c:pt idx="37">
                  <c:v>4201.8</c:v>
                </c:pt>
                <c:pt idx="38">
                  <c:v>4249</c:v>
                </c:pt>
                <c:pt idx="39">
                  <c:v>4273.2</c:v>
                </c:pt>
                <c:pt idx="40">
                  <c:v>4111.8</c:v>
                </c:pt>
                <c:pt idx="41">
                  <c:v>4079.7</c:v>
                </c:pt>
                <c:pt idx="42">
                  <c:v>4051.7</c:v>
                </c:pt>
                <c:pt idx="43">
                  <c:v>4049.3</c:v>
                </c:pt>
                <c:pt idx="44">
                  <c:v>4051.5</c:v>
                </c:pt>
                <c:pt idx="45">
                  <c:v>3974.1</c:v>
                </c:pt>
                <c:pt idx="46">
                  <c:v>3983.7</c:v>
                </c:pt>
                <c:pt idx="47">
                  <c:v>3992</c:v>
                </c:pt>
                <c:pt idx="48">
                  <c:v>3909.3</c:v>
                </c:pt>
                <c:pt idx="49">
                  <c:v>3925.8</c:v>
                </c:pt>
                <c:pt idx="50">
                  <c:v>3933.8</c:v>
                </c:pt>
                <c:pt idx="51">
                  <c:v>3930.1</c:v>
                </c:pt>
                <c:pt idx="52">
                  <c:v>3919.3</c:v>
                </c:pt>
                <c:pt idx="53">
                  <c:v>3907.9</c:v>
                </c:pt>
                <c:pt idx="54">
                  <c:v>3929.5</c:v>
                </c:pt>
                <c:pt idx="55">
                  <c:v>3866.2</c:v>
                </c:pt>
                <c:pt idx="56">
                  <c:v>3880.2</c:v>
                </c:pt>
                <c:pt idx="57">
                  <c:v>3844.8</c:v>
                </c:pt>
                <c:pt idx="58">
                  <c:v>3845.7</c:v>
                </c:pt>
                <c:pt idx="59">
                  <c:v>3849</c:v>
                </c:pt>
                <c:pt idx="60">
                  <c:v>3767</c:v>
                </c:pt>
                <c:pt idx="61">
                  <c:v>3813.3</c:v>
                </c:pt>
                <c:pt idx="62">
                  <c:v>3800.4</c:v>
                </c:pt>
                <c:pt idx="63">
                  <c:v>3817.8</c:v>
                </c:pt>
                <c:pt idx="64">
                  <c:v>3885.8</c:v>
                </c:pt>
                <c:pt idx="65">
                  <c:v>3894.9</c:v>
                </c:pt>
                <c:pt idx="66">
                  <c:v>3907.7</c:v>
                </c:pt>
                <c:pt idx="67">
                  <c:v>3903.3</c:v>
                </c:pt>
                <c:pt idx="68">
                  <c:v>3897.7</c:v>
                </c:pt>
                <c:pt idx="69">
                  <c:v>3855.1</c:v>
                </c:pt>
                <c:pt idx="70">
                  <c:v>3874.3</c:v>
                </c:pt>
                <c:pt idx="71">
                  <c:v>3904.2</c:v>
                </c:pt>
                <c:pt idx="72">
                  <c:v>3902.4</c:v>
                </c:pt>
                <c:pt idx="73">
                  <c:v>3933.1</c:v>
                </c:pt>
                <c:pt idx="74">
                  <c:v>3879.2</c:v>
                </c:pt>
                <c:pt idx="75">
                  <c:v>3868.6</c:v>
                </c:pt>
                <c:pt idx="76">
                  <c:v>3829.2</c:v>
                </c:pt>
                <c:pt idx="77">
                  <c:v>3839.2</c:v>
                </c:pt>
                <c:pt idx="78">
                  <c:v>3851.1</c:v>
                </c:pt>
                <c:pt idx="79">
                  <c:v>3812.4</c:v>
                </c:pt>
                <c:pt idx="80">
                  <c:v>3803</c:v>
                </c:pt>
                <c:pt idx="81">
                  <c:v>3769.3</c:v>
                </c:pt>
                <c:pt idx="82">
                  <c:v>3774.4</c:v>
                </c:pt>
                <c:pt idx="83">
                  <c:v>3813.5</c:v>
                </c:pt>
                <c:pt idx="84">
                  <c:v>3724.5</c:v>
                </c:pt>
                <c:pt idx="85">
                  <c:v>3746.7</c:v>
                </c:pt>
                <c:pt idx="86">
                  <c:v>3750.7</c:v>
                </c:pt>
                <c:pt idx="87">
                  <c:v>3748.3</c:v>
                </c:pt>
                <c:pt idx="88">
                  <c:v>3717</c:v>
                </c:pt>
                <c:pt idx="89">
                  <c:v>3739.8</c:v>
                </c:pt>
                <c:pt idx="90">
                  <c:v>3714.9</c:v>
                </c:pt>
                <c:pt idx="91">
                  <c:v>3772.3</c:v>
                </c:pt>
                <c:pt idx="92">
                  <c:v>3729</c:v>
                </c:pt>
                <c:pt idx="93">
                  <c:v>3737.2</c:v>
                </c:pt>
                <c:pt idx="94">
                  <c:v>3674.8</c:v>
                </c:pt>
                <c:pt idx="95">
                  <c:v>3640.3</c:v>
                </c:pt>
                <c:pt idx="96">
                  <c:v>3549</c:v>
                </c:pt>
                <c:pt idx="97">
                  <c:v>3537.4</c:v>
                </c:pt>
                <c:pt idx="98">
                  <c:v>3533.6</c:v>
                </c:pt>
                <c:pt idx="99">
                  <c:v>3531.9</c:v>
                </c:pt>
                <c:pt idx="100">
                  <c:v>3550.6</c:v>
                </c:pt>
                <c:pt idx="101">
                  <c:v>3565.6</c:v>
                </c:pt>
                <c:pt idx="102">
                  <c:v>3418.2</c:v>
                </c:pt>
                <c:pt idx="103">
                  <c:v>3425.4</c:v>
                </c:pt>
                <c:pt idx="104">
                  <c:v>3453.3</c:v>
                </c:pt>
                <c:pt idx="105">
                  <c:v>3408.3</c:v>
                </c:pt>
                <c:pt idx="106">
                  <c:v>3367</c:v>
                </c:pt>
                <c:pt idx="107">
                  <c:v>3401.2</c:v>
                </c:pt>
                <c:pt idx="108">
                  <c:v>3327.3</c:v>
                </c:pt>
                <c:pt idx="109">
                  <c:v>3378.5</c:v>
                </c:pt>
                <c:pt idx="110">
                  <c:v>3418.3</c:v>
                </c:pt>
                <c:pt idx="111">
                  <c:v>3439.2</c:v>
                </c:pt>
                <c:pt idx="112">
                  <c:v>3457.5</c:v>
                </c:pt>
                <c:pt idx="113">
                  <c:v>3467.2</c:v>
                </c:pt>
                <c:pt idx="114">
                  <c:v>3511.3</c:v>
                </c:pt>
                <c:pt idx="115">
                  <c:v>3523</c:v>
                </c:pt>
                <c:pt idx="116">
                  <c:v>3556.8</c:v>
                </c:pt>
                <c:pt idx="117">
                  <c:v>3534.1</c:v>
                </c:pt>
                <c:pt idx="118">
                  <c:v>3571.9</c:v>
                </c:pt>
                <c:pt idx="119">
                  <c:v>3584.2</c:v>
                </c:pt>
                <c:pt idx="120">
                  <c:v>3620.6</c:v>
                </c:pt>
                <c:pt idx="121">
                  <c:v>3630.1</c:v>
                </c:pt>
                <c:pt idx="122">
                  <c:v>3658</c:v>
                </c:pt>
                <c:pt idx="123">
                  <c:v>3665.3</c:v>
                </c:pt>
                <c:pt idx="124">
                  <c:v>3691.1</c:v>
                </c:pt>
                <c:pt idx="125">
                  <c:v>3690.6</c:v>
                </c:pt>
                <c:pt idx="126">
                  <c:v>3620.6</c:v>
                </c:pt>
                <c:pt idx="127">
                  <c:v>3618.6</c:v>
                </c:pt>
                <c:pt idx="128">
                  <c:v>3628.8</c:v>
                </c:pt>
                <c:pt idx="129">
                  <c:v>3637.7</c:v>
                </c:pt>
                <c:pt idx="130">
                  <c:v>3594</c:v>
                </c:pt>
                <c:pt idx="131">
                  <c:v>3651.4</c:v>
                </c:pt>
                <c:pt idx="132">
                  <c:v>3621</c:v>
                </c:pt>
                <c:pt idx="133">
                  <c:v>3616.3</c:v>
                </c:pt>
                <c:pt idx="134">
                  <c:v>3595</c:v>
                </c:pt>
                <c:pt idx="135">
                  <c:v>3568.1</c:v>
                </c:pt>
                <c:pt idx="136">
                  <c:v>3554.8</c:v>
                </c:pt>
                <c:pt idx="137">
                  <c:v>3489.4</c:v>
                </c:pt>
                <c:pt idx="138">
                  <c:v>3466.8</c:v>
                </c:pt>
                <c:pt idx="139">
                  <c:v>3486.8</c:v>
                </c:pt>
                <c:pt idx="140">
                  <c:v>3467.9</c:v>
                </c:pt>
                <c:pt idx="141">
                  <c:v>3460.2</c:v>
                </c:pt>
                <c:pt idx="142">
                  <c:v>3415.7</c:v>
                </c:pt>
                <c:pt idx="143">
                  <c:v>3417.7</c:v>
                </c:pt>
                <c:pt idx="144">
                  <c:v>3418.2</c:v>
                </c:pt>
                <c:pt idx="145">
                  <c:v>3356.3</c:v>
                </c:pt>
                <c:pt idx="146">
                  <c:v>3316</c:v>
                </c:pt>
                <c:pt idx="147">
                  <c:v>3347.3</c:v>
                </c:pt>
                <c:pt idx="148">
                  <c:v>3376.5</c:v>
                </c:pt>
                <c:pt idx="149">
                  <c:v>3379.2</c:v>
                </c:pt>
                <c:pt idx="150">
                  <c:v>3393</c:v>
                </c:pt>
                <c:pt idx="151">
                  <c:v>3462.8</c:v>
                </c:pt>
                <c:pt idx="152">
                  <c:v>3484.4</c:v>
                </c:pt>
                <c:pt idx="153">
                  <c:v>3471.4</c:v>
                </c:pt>
                <c:pt idx="154">
                  <c:v>3472.4</c:v>
                </c:pt>
                <c:pt idx="155">
                  <c:v>3433</c:v>
                </c:pt>
                <c:pt idx="156">
                  <c:v>3402.9</c:v>
                </c:pt>
                <c:pt idx="157">
                  <c:v>3433.3</c:v>
                </c:pt>
                <c:pt idx="158">
                  <c:v>3417.3</c:v>
                </c:pt>
                <c:pt idx="159">
                  <c:v>3415</c:v>
                </c:pt>
                <c:pt idx="160">
                  <c:v>3404.7</c:v>
                </c:pt>
                <c:pt idx="161">
                  <c:v>3361.6</c:v>
                </c:pt>
                <c:pt idx="162">
                  <c:v>3419.8</c:v>
                </c:pt>
                <c:pt idx="163">
                  <c:v>3432.1</c:v>
                </c:pt>
                <c:pt idx="164">
                  <c:v>3441.3</c:v>
                </c:pt>
                <c:pt idx="165">
                  <c:v>3666.1</c:v>
                </c:pt>
                <c:pt idx="166">
                  <c:v>3686.9</c:v>
                </c:pt>
                <c:pt idx="167">
                  <c:v>3678.7</c:v>
                </c:pt>
                <c:pt idx="168">
                  <c:v>3708</c:v>
                </c:pt>
                <c:pt idx="169">
                  <c:v>3700.5</c:v>
                </c:pt>
                <c:pt idx="170">
                  <c:v>3690.2</c:v>
                </c:pt>
                <c:pt idx="171">
                  <c:v>3666.2</c:v>
                </c:pt>
                <c:pt idx="172">
                  <c:v>3694.7</c:v>
                </c:pt>
                <c:pt idx="173">
                  <c:v>3652.2</c:v>
                </c:pt>
                <c:pt idx="174">
                  <c:v>3526</c:v>
                </c:pt>
                <c:pt idx="175">
                  <c:v>3505.7</c:v>
                </c:pt>
                <c:pt idx="176">
                  <c:v>3519</c:v>
                </c:pt>
                <c:pt idx="177">
                  <c:v>3505.4</c:v>
                </c:pt>
                <c:pt idx="178">
                  <c:v>3467.8</c:v>
                </c:pt>
                <c:pt idx="179">
                  <c:v>3405.7</c:v>
                </c:pt>
                <c:pt idx="180">
                  <c:v>3438.1</c:v>
                </c:pt>
                <c:pt idx="181">
                  <c:v>3421.9</c:v>
                </c:pt>
                <c:pt idx="182">
                  <c:v>3452.7</c:v>
                </c:pt>
                <c:pt idx="183">
                  <c:v>3541.6</c:v>
                </c:pt>
                <c:pt idx="184">
                  <c:v>3524.2</c:v>
                </c:pt>
                <c:pt idx="185">
                  <c:v>3533.9</c:v>
                </c:pt>
                <c:pt idx="186">
                  <c:v>3559.9</c:v>
                </c:pt>
                <c:pt idx="187">
                  <c:v>3504</c:v>
                </c:pt>
                <c:pt idx="188">
                  <c:v>3499.8</c:v>
                </c:pt>
                <c:pt idx="189">
                  <c:v>3519.8</c:v>
                </c:pt>
                <c:pt idx="190">
                  <c:v>3525.5</c:v>
                </c:pt>
                <c:pt idx="191">
                  <c:v>3555</c:v>
                </c:pt>
                <c:pt idx="192">
                  <c:v>3588.3</c:v>
                </c:pt>
                <c:pt idx="193">
                  <c:v>3574.7</c:v>
                </c:pt>
                <c:pt idx="194">
                  <c:v>3589.4</c:v>
                </c:pt>
                <c:pt idx="195">
                  <c:v>3610.3</c:v>
                </c:pt>
                <c:pt idx="196">
                  <c:v>3579.7</c:v>
                </c:pt>
                <c:pt idx="197">
                  <c:v>3541</c:v>
                </c:pt>
                <c:pt idx="198">
                  <c:v>3580.5</c:v>
                </c:pt>
                <c:pt idx="199">
                  <c:v>3580.6</c:v>
                </c:pt>
                <c:pt idx="200">
                  <c:v>3617.7</c:v>
                </c:pt>
                <c:pt idx="201">
                  <c:v>3633.7</c:v>
                </c:pt>
                <c:pt idx="202">
                  <c:v>3636.8</c:v>
                </c:pt>
                <c:pt idx="203">
                  <c:v>3587.6</c:v>
                </c:pt>
                <c:pt idx="204">
                  <c:v>3563.2</c:v>
                </c:pt>
                <c:pt idx="205">
                  <c:v>3562.9</c:v>
                </c:pt>
                <c:pt idx="206">
                  <c:v>3510.3</c:v>
                </c:pt>
                <c:pt idx="207">
                  <c:v>3369.3</c:v>
                </c:pt>
                <c:pt idx="208">
                  <c:v>3338.9</c:v>
                </c:pt>
                <c:pt idx="209">
                  <c:v>3299.3</c:v>
                </c:pt>
                <c:pt idx="210">
                  <c:v>3321.8</c:v>
                </c:pt>
                <c:pt idx="211">
                  <c:v>3341</c:v>
                </c:pt>
                <c:pt idx="212">
                  <c:v>3379.7</c:v>
                </c:pt>
                <c:pt idx="213">
                  <c:v>3378.6</c:v>
                </c:pt>
                <c:pt idx="214">
                  <c:v>3369.1</c:v>
                </c:pt>
                <c:pt idx="215">
                  <c:v>3365.2</c:v>
                </c:pt>
                <c:pt idx="216">
                  <c:v>3382.6</c:v>
                </c:pt>
                <c:pt idx="217">
                  <c:v>3357.3</c:v>
                </c:pt>
                <c:pt idx="218">
                  <c:v>3337.4</c:v>
                </c:pt>
                <c:pt idx="219">
                  <c:v>3336.1</c:v>
                </c:pt>
                <c:pt idx="220">
                  <c:v>3327.5</c:v>
                </c:pt>
                <c:pt idx="221">
                  <c:v>3272.1</c:v>
                </c:pt>
                <c:pt idx="222">
                  <c:v>3273.4</c:v>
                </c:pt>
                <c:pt idx="223">
                  <c:v>3234.9</c:v>
                </c:pt>
                <c:pt idx="224">
                  <c:v>3174.15</c:v>
                </c:pt>
                <c:pt idx="225">
                  <c:v>3122.3</c:v>
                </c:pt>
                <c:pt idx="226">
                  <c:v>3022.2</c:v>
                </c:pt>
                <c:pt idx="227">
                  <c:v>3076.2</c:v>
                </c:pt>
                <c:pt idx="228">
                  <c:v>3127.55</c:v>
                </c:pt>
                <c:pt idx="229">
                  <c:v>3098.45</c:v>
                </c:pt>
                <c:pt idx="230">
                  <c:v>2986.95</c:v>
                </c:pt>
                <c:pt idx="231">
                  <c:v>3063.35</c:v>
                </c:pt>
                <c:pt idx="232">
                  <c:v>3087.65</c:v>
                </c:pt>
                <c:pt idx="233">
                  <c:v>3057.5</c:v>
                </c:pt>
                <c:pt idx="234">
                  <c:v>3053.7</c:v>
                </c:pt>
                <c:pt idx="235">
                  <c:v>3079.1</c:v>
                </c:pt>
                <c:pt idx="236">
                  <c:v>3162.7</c:v>
                </c:pt>
                <c:pt idx="237">
                  <c:v>3193.1</c:v>
                </c:pt>
                <c:pt idx="238">
                  <c:v>3076.3</c:v>
                </c:pt>
                <c:pt idx="239">
                  <c:v>3081.7</c:v>
                </c:pt>
                <c:pt idx="240">
                  <c:v>3017.35</c:v>
                </c:pt>
                <c:pt idx="241">
                  <c:v>3010.15</c:v>
                </c:pt>
                <c:pt idx="242">
                  <c:v>3018.95</c:v>
                </c:pt>
                <c:pt idx="243">
                  <c:v>3046.4</c:v>
                </c:pt>
                <c:pt idx="244">
                  <c:v>3026.8</c:v>
                </c:pt>
                <c:pt idx="245">
                  <c:v>3079.35</c:v>
                </c:pt>
                <c:pt idx="246">
                  <c:v>3121.1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5E-421F-8512-6DB13254A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58288"/>
        <c:axId val="130358768"/>
      </c:lineChart>
      <c:dateAx>
        <c:axId val="130358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58768"/>
        <c:crosses val="autoZero"/>
        <c:auto val="1"/>
        <c:lblOffset val="100"/>
        <c:baseTimeUnit val="days"/>
      </c:dateAx>
      <c:valAx>
        <c:axId val="1303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5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'Co-variance'!$G$4</c:f>
              <c:strCache>
                <c:ptCount val="1"/>
                <c:pt idx="0">
                  <c:v>MAHM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'Co-variance'!$B$5:$B$251</c:f>
              <c:numCache>
                <c:formatCode>m/d/yyyy</c:formatCode>
                <c:ptCount val="247"/>
                <c:pt idx="0">
                  <c:v>46086</c:v>
                </c:pt>
                <c:pt idx="1">
                  <c:v>46085</c:v>
                </c:pt>
                <c:pt idx="2">
                  <c:v>46083</c:v>
                </c:pt>
                <c:pt idx="3">
                  <c:v>46080</c:v>
                </c:pt>
                <c:pt idx="4">
                  <c:v>46079</c:v>
                </c:pt>
                <c:pt idx="5">
                  <c:v>46078</c:v>
                </c:pt>
                <c:pt idx="6">
                  <c:v>46077</c:v>
                </c:pt>
                <c:pt idx="7">
                  <c:v>46076</c:v>
                </c:pt>
                <c:pt idx="8">
                  <c:v>46073</c:v>
                </c:pt>
                <c:pt idx="9">
                  <c:v>46072</c:v>
                </c:pt>
                <c:pt idx="10">
                  <c:v>46071</c:v>
                </c:pt>
                <c:pt idx="11">
                  <c:v>46070</c:v>
                </c:pt>
                <c:pt idx="12">
                  <c:v>46069</c:v>
                </c:pt>
                <c:pt idx="13">
                  <c:v>46066</c:v>
                </c:pt>
                <c:pt idx="14">
                  <c:v>46065</c:v>
                </c:pt>
                <c:pt idx="15">
                  <c:v>46064</c:v>
                </c:pt>
                <c:pt idx="16">
                  <c:v>46063</c:v>
                </c:pt>
                <c:pt idx="17">
                  <c:v>46062</c:v>
                </c:pt>
                <c:pt idx="18">
                  <c:v>46059</c:v>
                </c:pt>
                <c:pt idx="19">
                  <c:v>46058</c:v>
                </c:pt>
                <c:pt idx="20">
                  <c:v>46057</c:v>
                </c:pt>
                <c:pt idx="21">
                  <c:v>46056</c:v>
                </c:pt>
                <c:pt idx="22">
                  <c:v>46055</c:v>
                </c:pt>
                <c:pt idx="23">
                  <c:v>46054</c:v>
                </c:pt>
                <c:pt idx="24">
                  <c:v>46052</c:v>
                </c:pt>
                <c:pt idx="25">
                  <c:v>46051</c:v>
                </c:pt>
                <c:pt idx="26">
                  <c:v>46050</c:v>
                </c:pt>
                <c:pt idx="27">
                  <c:v>46049</c:v>
                </c:pt>
                <c:pt idx="28">
                  <c:v>46045</c:v>
                </c:pt>
                <c:pt idx="29">
                  <c:v>46044</c:v>
                </c:pt>
                <c:pt idx="30">
                  <c:v>46043</c:v>
                </c:pt>
                <c:pt idx="31">
                  <c:v>46042</c:v>
                </c:pt>
                <c:pt idx="32">
                  <c:v>46041</c:v>
                </c:pt>
                <c:pt idx="33">
                  <c:v>46038</c:v>
                </c:pt>
                <c:pt idx="34">
                  <c:v>46036</c:v>
                </c:pt>
                <c:pt idx="35">
                  <c:v>46035</c:v>
                </c:pt>
                <c:pt idx="36">
                  <c:v>46034</c:v>
                </c:pt>
                <c:pt idx="37">
                  <c:v>46031</c:v>
                </c:pt>
                <c:pt idx="38">
                  <c:v>46030</c:v>
                </c:pt>
                <c:pt idx="39">
                  <c:v>46029</c:v>
                </c:pt>
                <c:pt idx="40">
                  <c:v>46028</c:v>
                </c:pt>
                <c:pt idx="41">
                  <c:v>46027</c:v>
                </c:pt>
                <c:pt idx="42">
                  <c:v>46024</c:v>
                </c:pt>
                <c:pt idx="43">
                  <c:v>46023</c:v>
                </c:pt>
                <c:pt idx="44">
                  <c:v>46022</c:v>
                </c:pt>
                <c:pt idx="45">
                  <c:v>46021</c:v>
                </c:pt>
                <c:pt idx="46">
                  <c:v>46020</c:v>
                </c:pt>
                <c:pt idx="47">
                  <c:v>46017</c:v>
                </c:pt>
                <c:pt idx="48">
                  <c:v>46015</c:v>
                </c:pt>
                <c:pt idx="49">
                  <c:v>46014</c:v>
                </c:pt>
                <c:pt idx="50">
                  <c:v>46013</c:v>
                </c:pt>
                <c:pt idx="51">
                  <c:v>46010</c:v>
                </c:pt>
                <c:pt idx="52">
                  <c:v>46009</c:v>
                </c:pt>
                <c:pt idx="53">
                  <c:v>46008</c:v>
                </c:pt>
                <c:pt idx="54">
                  <c:v>46007</c:v>
                </c:pt>
                <c:pt idx="55">
                  <c:v>46006</c:v>
                </c:pt>
                <c:pt idx="56">
                  <c:v>46003</c:v>
                </c:pt>
                <c:pt idx="57">
                  <c:v>46002</c:v>
                </c:pt>
                <c:pt idx="58">
                  <c:v>46001</c:v>
                </c:pt>
                <c:pt idx="59">
                  <c:v>46000</c:v>
                </c:pt>
                <c:pt idx="60">
                  <c:v>45999</c:v>
                </c:pt>
                <c:pt idx="61">
                  <c:v>45996</c:v>
                </c:pt>
                <c:pt idx="62">
                  <c:v>45995</c:v>
                </c:pt>
                <c:pt idx="63">
                  <c:v>45994</c:v>
                </c:pt>
                <c:pt idx="64">
                  <c:v>45993</c:v>
                </c:pt>
                <c:pt idx="65">
                  <c:v>45992</c:v>
                </c:pt>
                <c:pt idx="66">
                  <c:v>45989</c:v>
                </c:pt>
                <c:pt idx="67">
                  <c:v>45988</c:v>
                </c:pt>
                <c:pt idx="68">
                  <c:v>45987</c:v>
                </c:pt>
                <c:pt idx="69">
                  <c:v>45986</c:v>
                </c:pt>
                <c:pt idx="70">
                  <c:v>45985</c:v>
                </c:pt>
                <c:pt idx="71">
                  <c:v>45982</c:v>
                </c:pt>
                <c:pt idx="72">
                  <c:v>45981</c:v>
                </c:pt>
                <c:pt idx="73">
                  <c:v>45980</c:v>
                </c:pt>
                <c:pt idx="74">
                  <c:v>45979</c:v>
                </c:pt>
                <c:pt idx="75">
                  <c:v>45978</c:v>
                </c:pt>
                <c:pt idx="76">
                  <c:v>45975</c:v>
                </c:pt>
                <c:pt idx="77">
                  <c:v>45974</c:v>
                </c:pt>
                <c:pt idx="78">
                  <c:v>45973</c:v>
                </c:pt>
                <c:pt idx="79">
                  <c:v>45972</c:v>
                </c:pt>
                <c:pt idx="80">
                  <c:v>45971</c:v>
                </c:pt>
                <c:pt idx="81">
                  <c:v>45968</c:v>
                </c:pt>
                <c:pt idx="82">
                  <c:v>45967</c:v>
                </c:pt>
                <c:pt idx="83">
                  <c:v>45965</c:v>
                </c:pt>
                <c:pt idx="84">
                  <c:v>45964</c:v>
                </c:pt>
                <c:pt idx="85">
                  <c:v>45961</c:v>
                </c:pt>
                <c:pt idx="86">
                  <c:v>45960</c:v>
                </c:pt>
                <c:pt idx="87">
                  <c:v>45959</c:v>
                </c:pt>
                <c:pt idx="88">
                  <c:v>45958</c:v>
                </c:pt>
                <c:pt idx="89">
                  <c:v>45957</c:v>
                </c:pt>
                <c:pt idx="90">
                  <c:v>45954</c:v>
                </c:pt>
                <c:pt idx="91">
                  <c:v>45953</c:v>
                </c:pt>
                <c:pt idx="92">
                  <c:v>45951</c:v>
                </c:pt>
                <c:pt idx="93">
                  <c:v>45950</c:v>
                </c:pt>
                <c:pt idx="94">
                  <c:v>45947</c:v>
                </c:pt>
                <c:pt idx="95">
                  <c:v>45946</c:v>
                </c:pt>
                <c:pt idx="96">
                  <c:v>45945</c:v>
                </c:pt>
                <c:pt idx="97">
                  <c:v>45944</c:v>
                </c:pt>
                <c:pt idx="98">
                  <c:v>45943</c:v>
                </c:pt>
                <c:pt idx="99">
                  <c:v>45940</c:v>
                </c:pt>
                <c:pt idx="100">
                  <c:v>45939</c:v>
                </c:pt>
                <c:pt idx="101">
                  <c:v>45938</c:v>
                </c:pt>
                <c:pt idx="102">
                  <c:v>45937</c:v>
                </c:pt>
                <c:pt idx="103">
                  <c:v>45936</c:v>
                </c:pt>
                <c:pt idx="104">
                  <c:v>45933</c:v>
                </c:pt>
                <c:pt idx="105">
                  <c:v>45931</c:v>
                </c:pt>
                <c:pt idx="106">
                  <c:v>45930</c:v>
                </c:pt>
                <c:pt idx="107">
                  <c:v>45929</c:v>
                </c:pt>
                <c:pt idx="108">
                  <c:v>45926</c:v>
                </c:pt>
                <c:pt idx="109">
                  <c:v>45925</c:v>
                </c:pt>
                <c:pt idx="110">
                  <c:v>45924</c:v>
                </c:pt>
                <c:pt idx="111">
                  <c:v>45923</c:v>
                </c:pt>
                <c:pt idx="112">
                  <c:v>45922</c:v>
                </c:pt>
                <c:pt idx="113">
                  <c:v>45919</c:v>
                </c:pt>
                <c:pt idx="114">
                  <c:v>45918</c:v>
                </c:pt>
                <c:pt idx="115">
                  <c:v>45917</c:v>
                </c:pt>
                <c:pt idx="116">
                  <c:v>45916</c:v>
                </c:pt>
                <c:pt idx="117">
                  <c:v>45915</c:v>
                </c:pt>
                <c:pt idx="118">
                  <c:v>45912</c:v>
                </c:pt>
                <c:pt idx="119">
                  <c:v>45911</c:v>
                </c:pt>
                <c:pt idx="120">
                  <c:v>45910</c:v>
                </c:pt>
                <c:pt idx="121">
                  <c:v>45909</c:v>
                </c:pt>
                <c:pt idx="122">
                  <c:v>45908</c:v>
                </c:pt>
                <c:pt idx="123">
                  <c:v>45905</c:v>
                </c:pt>
                <c:pt idx="124">
                  <c:v>45904</c:v>
                </c:pt>
                <c:pt idx="125">
                  <c:v>45903</c:v>
                </c:pt>
                <c:pt idx="126">
                  <c:v>45902</c:v>
                </c:pt>
                <c:pt idx="127">
                  <c:v>45901</c:v>
                </c:pt>
                <c:pt idx="128">
                  <c:v>45898</c:v>
                </c:pt>
                <c:pt idx="129">
                  <c:v>45897</c:v>
                </c:pt>
                <c:pt idx="130">
                  <c:v>45895</c:v>
                </c:pt>
                <c:pt idx="131">
                  <c:v>45894</c:v>
                </c:pt>
                <c:pt idx="132">
                  <c:v>45891</c:v>
                </c:pt>
                <c:pt idx="133">
                  <c:v>45890</c:v>
                </c:pt>
                <c:pt idx="134">
                  <c:v>45889</c:v>
                </c:pt>
                <c:pt idx="135">
                  <c:v>45888</c:v>
                </c:pt>
                <c:pt idx="136">
                  <c:v>45887</c:v>
                </c:pt>
                <c:pt idx="137">
                  <c:v>45883</c:v>
                </c:pt>
                <c:pt idx="138">
                  <c:v>45882</c:v>
                </c:pt>
                <c:pt idx="139">
                  <c:v>45881</c:v>
                </c:pt>
                <c:pt idx="140">
                  <c:v>45880</c:v>
                </c:pt>
                <c:pt idx="141">
                  <c:v>45877</c:v>
                </c:pt>
                <c:pt idx="142">
                  <c:v>45876</c:v>
                </c:pt>
                <c:pt idx="143">
                  <c:v>45875</c:v>
                </c:pt>
                <c:pt idx="144">
                  <c:v>45874</c:v>
                </c:pt>
                <c:pt idx="145">
                  <c:v>45873</c:v>
                </c:pt>
                <c:pt idx="146">
                  <c:v>45870</c:v>
                </c:pt>
                <c:pt idx="147">
                  <c:v>45869</c:v>
                </c:pt>
                <c:pt idx="148">
                  <c:v>45868</c:v>
                </c:pt>
                <c:pt idx="149">
                  <c:v>45867</c:v>
                </c:pt>
                <c:pt idx="150">
                  <c:v>45866</c:v>
                </c:pt>
                <c:pt idx="151">
                  <c:v>45863</c:v>
                </c:pt>
                <c:pt idx="152">
                  <c:v>45862</c:v>
                </c:pt>
                <c:pt idx="153">
                  <c:v>45861</c:v>
                </c:pt>
                <c:pt idx="154">
                  <c:v>45860</c:v>
                </c:pt>
                <c:pt idx="155">
                  <c:v>45859</c:v>
                </c:pt>
                <c:pt idx="156">
                  <c:v>45856</c:v>
                </c:pt>
                <c:pt idx="157">
                  <c:v>45855</c:v>
                </c:pt>
                <c:pt idx="158">
                  <c:v>45854</c:v>
                </c:pt>
                <c:pt idx="159">
                  <c:v>45853</c:v>
                </c:pt>
                <c:pt idx="160">
                  <c:v>45852</c:v>
                </c:pt>
                <c:pt idx="161">
                  <c:v>45849</c:v>
                </c:pt>
                <c:pt idx="162">
                  <c:v>45848</c:v>
                </c:pt>
                <c:pt idx="163">
                  <c:v>45847</c:v>
                </c:pt>
                <c:pt idx="164">
                  <c:v>45846</c:v>
                </c:pt>
                <c:pt idx="165">
                  <c:v>45845</c:v>
                </c:pt>
                <c:pt idx="166">
                  <c:v>45842</c:v>
                </c:pt>
                <c:pt idx="167">
                  <c:v>45841</c:v>
                </c:pt>
                <c:pt idx="168">
                  <c:v>45840</c:v>
                </c:pt>
                <c:pt idx="169">
                  <c:v>45839</c:v>
                </c:pt>
                <c:pt idx="170">
                  <c:v>45838</c:v>
                </c:pt>
                <c:pt idx="171">
                  <c:v>45835</c:v>
                </c:pt>
                <c:pt idx="172">
                  <c:v>45834</c:v>
                </c:pt>
                <c:pt idx="173">
                  <c:v>45833</c:v>
                </c:pt>
                <c:pt idx="174">
                  <c:v>45832</c:v>
                </c:pt>
                <c:pt idx="175">
                  <c:v>45831</c:v>
                </c:pt>
                <c:pt idx="176">
                  <c:v>45828</c:v>
                </c:pt>
                <c:pt idx="177">
                  <c:v>45827</c:v>
                </c:pt>
                <c:pt idx="178">
                  <c:v>45826</c:v>
                </c:pt>
                <c:pt idx="179">
                  <c:v>45825</c:v>
                </c:pt>
                <c:pt idx="180">
                  <c:v>45824</c:v>
                </c:pt>
                <c:pt idx="181">
                  <c:v>45821</c:v>
                </c:pt>
                <c:pt idx="182">
                  <c:v>45820</c:v>
                </c:pt>
                <c:pt idx="183">
                  <c:v>45819</c:v>
                </c:pt>
                <c:pt idx="184">
                  <c:v>45818</c:v>
                </c:pt>
                <c:pt idx="185">
                  <c:v>45817</c:v>
                </c:pt>
                <c:pt idx="186">
                  <c:v>45814</c:v>
                </c:pt>
                <c:pt idx="187">
                  <c:v>45813</c:v>
                </c:pt>
                <c:pt idx="188">
                  <c:v>45812</c:v>
                </c:pt>
                <c:pt idx="189">
                  <c:v>45811</c:v>
                </c:pt>
                <c:pt idx="190">
                  <c:v>45810</c:v>
                </c:pt>
                <c:pt idx="191">
                  <c:v>45807</c:v>
                </c:pt>
                <c:pt idx="192">
                  <c:v>45806</c:v>
                </c:pt>
                <c:pt idx="193">
                  <c:v>45805</c:v>
                </c:pt>
                <c:pt idx="194">
                  <c:v>45804</c:v>
                </c:pt>
                <c:pt idx="195">
                  <c:v>45803</c:v>
                </c:pt>
                <c:pt idx="196">
                  <c:v>45800</c:v>
                </c:pt>
                <c:pt idx="197">
                  <c:v>45799</c:v>
                </c:pt>
                <c:pt idx="198">
                  <c:v>45798</c:v>
                </c:pt>
                <c:pt idx="199">
                  <c:v>45797</c:v>
                </c:pt>
                <c:pt idx="200">
                  <c:v>45796</c:v>
                </c:pt>
                <c:pt idx="201">
                  <c:v>45793</c:v>
                </c:pt>
                <c:pt idx="202">
                  <c:v>45792</c:v>
                </c:pt>
                <c:pt idx="203">
                  <c:v>45791</c:v>
                </c:pt>
                <c:pt idx="204">
                  <c:v>45790</c:v>
                </c:pt>
                <c:pt idx="205">
                  <c:v>45789</c:v>
                </c:pt>
                <c:pt idx="206">
                  <c:v>45786</c:v>
                </c:pt>
                <c:pt idx="207">
                  <c:v>45785</c:v>
                </c:pt>
                <c:pt idx="208">
                  <c:v>45784</c:v>
                </c:pt>
                <c:pt idx="209">
                  <c:v>45783</c:v>
                </c:pt>
                <c:pt idx="210">
                  <c:v>45782</c:v>
                </c:pt>
                <c:pt idx="211">
                  <c:v>45779</c:v>
                </c:pt>
                <c:pt idx="212">
                  <c:v>45777</c:v>
                </c:pt>
                <c:pt idx="213">
                  <c:v>45776</c:v>
                </c:pt>
                <c:pt idx="214">
                  <c:v>45775</c:v>
                </c:pt>
                <c:pt idx="215">
                  <c:v>45772</c:v>
                </c:pt>
                <c:pt idx="216">
                  <c:v>45771</c:v>
                </c:pt>
                <c:pt idx="217">
                  <c:v>45770</c:v>
                </c:pt>
                <c:pt idx="218">
                  <c:v>45769</c:v>
                </c:pt>
                <c:pt idx="219">
                  <c:v>45768</c:v>
                </c:pt>
                <c:pt idx="220">
                  <c:v>45764</c:v>
                </c:pt>
                <c:pt idx="221">
                  <c:v>45763</c:v>
                </c:pt>
                <c:pt idx="222">
                  <c:v>45762</c:v>
                </c:pt>
                <c:pt idx="223">
                  <c:v>45758</c:v>
                </c:pt>
                <c:pt idx="224">
                  <c:v>45756</c:v>
                </c:pt>
                <c:pt idx="225">
                  <c:v>45755</c:v>
                </c:pt>
                <c:pt idx="226">
                  <c:v>45754</c:v>
                </c:pt>
                <c:pt idx="227">
                  <c:v>45751</c:v>
                </c:pt>
                <c:pt idx="228">
                  <c:v>45750</c:v>
                </c:pt>
                <c:pt idx="229">
                  <c:v>45749</c:v>
                </c:pt>
                <c:pt idx="230">
                  <c:v>45748</c:v>
                </c:pt>
                <c:pt idx="231">
                  <c:v>45744</c:v>
                </c:pt>
                <c:pt idx="232">
                  <c:v>45743</c:v>
                </c:pt>
                <c:pt idx="233">
                  <c:v>45742</c:v>
                </c:pt>
                <c:pt idx="234">
                  <c:v>45741</c:v>
                </c:pt>
                <c:pt idx="235">
                  <c:v>45740</c:v>
                </c:pt>
                <c:pt idx="236">
                  <c:v>45737</c:v>
                </c:pt>
                <c:pt idx="237">
                  <c:v>45736</c:v>
                </c:pt>
                <c:pt idx="238">
                  <c:v>45735</c:v>
                </c:pt>
                <c:pt idx="239">
                  <c:v>45734</c:v>
                </c:pt>
                <c:pt idx="240">
                  <c:v>45733</c:v>
                </c:pt>
                <c:pt idx="241">
                  <c:v>45729</c:v>
                </c:pt>
                <c:pt idx="242">
                  <c:v>45728</c:v>
                </c:pt>
                <c:pt idx="243">
                  <c:v>45727</c:v>
                </c:pt>
                <c:pt idx="244">
                  <c:v>45726</c:v>
                </c:pt>
                <c:pt idx="245">
                  <c:v>45723</c:v>
                </c:pt>
                <c:pt idx="246">
                  <c:v>45722</c:v>
                </c:pt>
              </c:numCache>
            </c:numRef>
          </c:cat>
          <c:val>
            <c:numRef>
              <c:f>'Co-variance'!$G$5:$G$251</c:f>
              <c:numCache>
                <c:formatCode>#,##0.00</c:formatCode>
                <c:ptCount val="247"/>
                <c:pt idx="0">
                  <c:v>3348</c:v>
                </c:pt>
                <c:pt idx="1">
                  <c:v>3264.3</c:v>
                </c:pt>
                <c:pt idx="2">
                  <c:v>3334.3</c:v>
                </c:pt>
                <c:pt idx="3">
                  <c:v>3397.4</c:v>
                </c:pt>
                <c:pt idx="4">
                  <c:v>3484.6</c:v>
                </c:pt>
                <c:pt idx="5">
                  <c:v>3491.3</c:v>
                </c:pt>
                <c:pt idx="6">
                  <c:v>3433.2</c:v>
                </c:pt>
                <c:pt idx="7">
                  <c:v>3447.1</c:v>
                </c:pt>
                <c:pt idx="8">
                  <c:v>3412.8</c:v>
                </c:pt>
                <c:pt idx="9">
                  <c:v>3431.8</c:v>
                </c:pt>
                <c:pt idx="10">
                  <c:v>3530.5</c:v>
                </c:pt>
                <c:pt idx="11">
                  <c:v>3489.2</c:v>
                </c:pt>
                <c:pt idx="12">
                  <c:v>3509.7</c:v>
                </c:pt>
                <c:pt idx="13">
                  <c:v>3533.4</c:v>
                </c:pt>
                <c:pt idx="14">
                  <c:v>3593.1</c:v>
                </c:pt>
                <c:pt idx="15">
                  <c:v>3674.9</c:v>
                </c:pt>
                <c:pt idx="16">
                  <c:v>3675.8</c:v>
                </c:pt>
                <c:pt idx="17">
                  <c:v>3609.6</c:v>
                </c:pt>
                <c:pt idx="18">
                  <c:v>3578</c:v>
                </c:pt>
                <c:pt idx="19">
                  <c:v>3572</c:v>
                </c:pt>
                <c:pt idx="20">
                  <c:v>3574</c:v>
                </c:pt>
                <c:pt idx="21">
                  <c:v>3527.9</c:v>
                </c:pt>
                <c:pt idx="22">
                  <c:v>3463.2</c:v>
                </c:pt>
                <c:pt idx="23">
                  <c:v>3363.8</c:v>
                </c:pt>
                <c:pt idx="24">
                  <c:v>3431.8</c:v>
                </c:pt>
                <c:pt idx="25">
                  <c:v>3384.4</c:v>
                </c:pt>
                <c:pt idx="26">
                  <c:v>3449.2</c:v>
                </c:pt>
                <c:pt idx="27">
                  <c:v>3393.5</c:v>
                </c:pt>
                <c:pt idx="28">
                  <c:v>3543.4</c:v>
                </c:pt>
                <c:pt idx="29">
                  <c:v>3573.7</c:v>
                </c:pt>
                <c:pt idx="30">
                  <c:v>3553.3</c:v>
                </c:pt>
                <c:pt idx="31">
                  <c:v>3557.5</c:v>
                </c:pt>
                <c:pt idx="32">
                  <c:v>3657.4</c:v>
                </c:pt>
                <c:pt idx="33">
                  <c:v>3658.2</c:v>
                </c:pt>
                <c:pt idx="34">
                  <c:v>3649.5</c:v>
                </c:pt>
                <c:pt idx="35">
                  <c:v>3661.5</c:v>
                </c:pt>
                <c:pt idx="36">
                  <c:v>3682</c:v>
                </c:pt>
                <c:pt idx="37">
                  <c:v>3677.3</c:v>
                </c:pt>
                <c:pt idx="38">
                  <c:v>3724</c:v>
                </c:pt>
                <c:pt idx="39">
                  <c:v>3748.8</c:v>
                </c:pt>
                <c:pt idx="40">
                  <c:v>3785.6</c:v>
                </c:pt>
                <c:pt idx="41">
                  <c:v>3790.3</c:v>
                </c:pt>
                <c:pt idx="42">
                  <c:v>3802.4</c:v>
                </c:pt>
                <c:pt idx="43">
                  <c:v>3761</c:v>
                </c:pt>
                <c:pt idx="44">
                  <c:v>3709.2</c:v>
                </c:pt>
                <c:pt idx="45">
                  <c:v>3660.3</c:v>
                </c:pt>
                <c:pt idx="46">
                  <c:v>3592.1</c:v>
                </c:pt>
                <c:pt idx="47">
                  <c:v>3623.1</c:v>
                </c:pt>
                <c:pt idx="48">
                  <c:v>3636.7</c:v>
                </c:pt>
                <c:pt idx="49">
                  <c:v>3625.1</c:v>
                </c:pt>
                <c:pt idx="50">
                  <c:v>3616.7</c:v>
                </c:pt>
                <c:pt idx="51">
                  <c:v>3603.6</c:v>
                </c:pt>
                <c:pt idx="52">
                  <c:v>3586.6</c:v>
                </c:pt>
                <c:pt idx="53">
                  <c:v>3612.8</c:v>
                </c:pt>
                <c:pt idx="54">
                  <c:v>3621</c:v>
                </c:pt>
                <c:pt idx="55">
                  <c:v>3608</c:v>
                </c:pt>
                <c:pt idx="56">
                  <c:v>3679.6</c:v>
                </c:pt>
                <c:pt idx="57">
                  <c:v>3665.2</c:v>
                </c:pt>
                <c:pt idx="58">
                  <c:v>3630</c:v>
                </c:pt>
                <c:pt idx="59">
                  <c:v>3635.9</c:v>
                </c:pt>
                <c:pt idx="60">
                  <c:v>3681.7</c:v>
                </c:pt>
                <c:pt idx="61">
                  <c:v>3717.1</c:v>
                </c:pt>
                <c:pt idx="62">
                  <c:v>3671.6</c:v>
                </c:pt>
                <c:pt idx="63">
                  <c:v>3649.4</c:v>
                </c:pt>
                <c:pt idx="64">
                  <c:v>3716.5</c:v>
                </c:pt>
                <c:pt idx="65">
                  <c:v>3741.6</c:v>
                </c:pt>
                <c:pt idx="66">
                  <c:v>3757.3</c:v>
                </c:pt>
                <c:pt idx="67">
                  <c:v>3681.2</c:v>
                </c:pt>
                <c:pt idx="68">
                  <c:v>3686.4</c:v>
                </c:pt>
                <c:pt idx="69">
                  <c:v>3669.3</c:v>
                </c:pt>
                <c:pt idx="70">
                  <c:v>3690.8</c:v>
                </c:pt>
                <c:pt idx="71">
                  <c:v>3749.6</c:v>
                </c:pt>
                <c:pt idx="72">
                  <c:v>3716.7</c:v>
                </c:pt>
                <c:pt idx="73">
                  <c:v>3722.5</c:v>
                </c:pt>
                <c:pt idx="74">
                  <c:v>3694.8</c:v>
                </c:pt>
                <c:pt idx="75">
                  <c:v>3734.9</c:v>
                </c:pt>
                <c:pt idx="76">
                  <c:v>3698.6</c:v>
                </c:pt>
                <c:pt idx="77">
                  <c:v>3699.5</c:v>
                </c:pt>
                <c:pt idx="78">
                  <c:v>3754.3</c:v>
                </c:pt>
                <c:pt idx="79">
                  <c:v>3749.1</c:v>
                </c:pt>
                <c:pt idx="80">
                  <c:v>3663.9</c:v>
                </c:pt>
                <c:pt idx="81">
                  <c:v>3690.2</c:v>
                </c:pt>
                <c:pt idx="82">
                  <c:v>3618.5</c:v>
                </c:pt>
                <c:pt idx="83">
                  <c:v>3581.2</c:v>
                </c:pt>
                <c:pt idx="84">
                  <c:v>3548.9</c:v>
                </c:pt>
                <c:pt idx="85">
                  <c:v>3487.2</c:v>
                </c:pt>
                <c:pt idx="86">
                  <c:v>3502.1</c:v>
                </c:pt>
                <c:pt idx="87">
                  <c:v>3534.7</c:v>
                </c:pt>
                <c:pt idx="88">
                  <c:v>3579.1</c:v>
                </c:pt>
                <c:pt idx="89">
                  <c:v>3611.6</c:v>
                </c:pt>
                <c:pt idx="90">
                  <c:v>3625</c:v>
                </c:pt>
                <c:pt idx="91">
                  <c:v>3623.6</c:v>
                </c:pt>
                <c:pt idx="92">
                  <c:v>3621.2</c:v>
                </c:pt>
                <c:pt idx="93">
                  <c:v>3599.1</c:v>
                </c:pt>
                <c:pt idx="94">
                  <c:v>3647.2</c:v>
                </c:pt>
                <c:pt idx="95">
                  <c:v>3560.8</c:v>
                </c:pt>
                <c:pt idx="96">
                  <c:v>3497.2</c:v>
                </c:pt>
                <c:pt idx="97">
                  <c:v>3459.8</c:v>
                </c:pt>
                <c:pt idx="98">
                  <c:v>3459.7</c:v>
                </c:pt>
                <c:pt idx="99">
                  <c:v>3454.9</c:v>
                </c:pt>
                <c:pt idx="100">
                  <c:v>3442.9</c:v>
                </c:pt>
                <c:pt idx="101">
                  <c:v>3426.5</c:v>
                </c:pt>
                <c:pt idx="102">
                  <c:v>3492.8</c:v>
                </c:pt>
                <c:pt idx="103">
                  <c:v>3472</c:v>
                </c:pt>
                <c:pt idx="104">
                  <c:v>3462</c:v>
                </c:pt>
                <c:pt idx="105">
                  <c:v>3463.4</c:v>
                </c:pt>
                <c:pt idx="106">
                  <c:v>3427</c:v>
                </c:pt>
                <c:pt idx="107">
                  <c:v>3418.1</c:v>
                </c:pt>
                <c:pt idx="108">
                  <c:v>3396.5</c:v>
                </c:pt>
                <c:pt idx="109">
                  <c:v>3530</c:v>
                </c:pt>
                <c:pt idx="110">
                  <c:v>3574.9</c:v>
                </c:pt>
                <c:pt idx="111">
                  <c:v>3614.6</c:v>
                </c:pt>
                <c:pt idx="112">
                  <c:v>3584.8</c:v>
                </c:pt>
                <c:pt idx="113">
                  <c:v>3592.1</c:v>
                </c:pt>
                <c:pt idx="114">
                  <c:v>3642.2</c:v>
                </c:pt>
                <c:pt idx="115">
                  <c:v>3633.2</c:v>
                </c:pt>
                <c:pt idx="116">
                  <c:v>3608</c:v>
                </c:pt>
                <c:pt idx="117">
                  <c:v>3530.3</c:v>
                </c:pt>
                <c:pt idx="118">
                  <c:v>3589.9</c:v>
                </c:pt>
                <c:pt idx="119">
                  <c:v>3595.7</c:v>
                </c:pt>
                <c:pt idx="120">
                  <c:v>3604.4</c:v>
                </c:pt>
                <c:pt idx="121">
                  <c:v>3696.3</c:v>
                </c:pt>
                <c:pt idx="122">
                  <c:v>3701.4</c:v>
                </c:pt>
                <c:pt idx="123">
                  <c:v>3561.3</c:v>
                </c:pt>
                <c:pt idx="124">
                  <c:v>3481.5</c:v>
                </c:pt>
                <c:pt idx="125">
                  <c:v>3286</c:v>
                </c:pt>
                <c:pt idx="126">
                  <c:v>3234.5</c:v>
                </c:pt>
                <c:pt idx="127">
                  <c:v>3315.4</c:v>
                </c:pt>
                <c:pt idx="128">
                  <c:v>3199.5</c:v>
                </c:pt>
                <c:pt idx="129">
                  <c:v>3295.3</c:v>
                </c:pt>
                <c:pt idx="130">
                  <c:v>3330.8</c:v>
                </c:pt>
                <c:pt idx="131">
                  <c:v>3398.9</c:v>
                </c:pt>
                <c:pt idx="132">
                  <c:v>3403</c:v>
                </c:pt>
                <c:pt idx="133">
                  <c:v>3375.1</c:v>
                </c:pt>
                <c:pt idx="134">
                  <c:v>3395.6</c:v>
                </c:pt>
                <c:pt idx="135">
                  <c:v>3354</c:v>
                </c:pt>
                <c:pt idx="136">
                  <c:v>3383.1</c:v>
                </c:pt>
                <c:pt idx="137">
                  <c:v>3265.4</c:v>
                </c:pt>
                <c:pt idx="138">
                  <c:v>3282.2</c:v>
                </c:pt>
                <c:pt idx="139">
                  <c:v>3236.5</c:v>
                </c:pt>
                <c:pt idx="140">
                  <c:v>3186.2</c:v>
                </c:pt>
                <c:pt idx="141">
                  <c:v>3144.2</c:v>
                </c:pt>
                <c:pt idx="142">
                  <c:v>3211.1</c:v>
                </c:pt>
                <c:pt idx="143">
                  <c:v>3227.5</c:v>
                </c:pt>
                <c:pt idx="144">
                  <c:v>3212.2</c:v>
                </c:pt>
                <c:pt idx="145">
                  <c:v>3200.2</c:v>
                </c:pt>
                <c:pt idx="146">
                  <c:v>3159.3</c:v>
                </c:pt>
                <c:pt idx="147">
                  <c:v>3203.1</c:v>
                </c:pt>
                <c:pt idx="148">
                  <c:v>3208.9</c:v>
                </c:pt>
                <c:pt idx="149">
                  <c:v>3199.4</c:v>
                </c:pt>
                <c:pt idx="150">
                  <c:v>3209.8</c:v>
                </c:pt>
                <c:pt idx="151">
                  <c:v>3246.4</c:v>
                </c:pt>
                <c:pt idx="152">
                  <c:v>3260.9</c:v>
                </c:pt>
                <c:pt idx="153">
                  <c:v>3268.8</c:v>
                </c:pt>
                <c:pt idx="154">
                  <c:v>3257.2</c:v>
                </c:pt>
                <c:pt idx="155">
                  <c:v>3246.7</c:v>
                </c:pt>
                <c:pt idx="156">
                  <c:v>3192.4</c:v>
                </c:pt>
                <c:pt idx="157">
                  <c:v>3195</c:v>
                </c:pt>
                <c:pt idx="158">
                  <c:v>3196.5</c:v>
                </c:pt>
                <c:pt idx="159">
                  <c:v>3128.6</c:v>
                </c:pt>
                <c:pt idx="160">
                  <c:v>3092.1</c:v>
                </c:pt>
                <c:pt idx="161">
                  <c:v>3073.2</c:v>
                </c:pt>
                <c:pt idx="162">
                  <c:v>3162.4</c:v>
                </c:pt>
                <c:pt idx="163">
                  <c:v>3176.3</c:v>
                </c:pt>
                <c:pt idx="164">
                  <c:v>3157.9</c:v>
                </c:pt>
                <c:pt idx="165">
                  <c:v>3160.2</c:v>
                </c:pt>
                <c:pt idx="166">
                  <c:v>3162.5</c:v>
                </c:pt>
                <c:pt idx="167">
                  <c:v>3174.4</c:v>
                </c:pt>
                <c:pt idx="168">
                  <c:v>3165.2</c:v>
                </c:pt>
                <c:pt idx="169">
                  <c:v>3176.1</c:v>
                </c:pt>
                <c:pt idx="170">
                  <c:v>3183.2</c:v>
                </c:pt>
                <c:pt idx="171">
                  <c:v>3203.3</c:v>
                </c:pt>
                <c:pt idx="172">
                  <c:v>3215.8</c:v>
                </c:pt>
                <c:pt idx="173">
                  <c:v>3215.5</c:v>
                </c:pt>
                <c:pt idx="174">
                  <c:v>3150.1</c:v>
                </c:pt>
                <c:pt idx="175">
                  <c:v>3135</c:v>
                </c:pt>
                <c:pt idx="176">
                  <c:v>3184.4</c:v>
                </c:pt>
                <c:pt idx="177">
                  <c:v>3094.8</c:v>
                </c:pt>
                <c:pt idx="178">
                  <c:v>3041.1</c:v>
                </c:pt>
                <c:pt idx="179">
                  <c:v>3007.2</c:v>
                </c:pt>
                <c:pt idx="180">
                  <c:v>3023.6</c:v>
                </c:pt>
                <c:pt idx="181">
                  <c:v>3006</c:v>
                </c:pt>
                <c:pt idx="182">
                  <c:v>3019.2</c:v>
                </c:pt>
                <c:pt idx="183">
                  <c:v>3080.7</c:v>
                </c:pt>
                <c:pt idx="184">
                  <c:v>3067.5</c:v>
                </c:pt>
                <c:pt idx="185">
                  <c:v>3087.4</c:v>
                </c:pt>
                <c:pt idx="186">
                  <c:v>3106.5</c:v>
                </c:pt>
                <c:pt idx="187">
                  <c:v>3041.6</c:v>
                </c:pt>
                <c:pt idx="188">
                  <c:v>3053.4</c:v>
                </c:pt>
                <c:pt idx="189">
                  <c:v>3046.5</c:v>
                </c:pt>
                <c:pt idx="190">
                  <c:v>3025.9</c:v>
                </c:pt>
                <c:pt idx="191">
                  <c:v>2976.8</c:v>
                </c:pt>
                <c:pt idx="192">
                  <c:v>3009</c:v>
                </c:pt>
                <c:pt idx="193">
                  <c:v>2997.8</c:v>
                </c:pt>
                <c:pt idx="194">
                  <c:v>3039.8</c:v>
                </c:pt>
                <c:pt idx="195">
                  <c:v>3080.2</c:v>
                </c:pt>
                <c:pt idx="196">
                  <c:v>3012.7</c:v>
                </c:pt>
                <c:pt idx="197">
                  <c:v>3006.3</c:v>
                </c:pt>
                <c:pt idx="198">
                  <c:v>3090.7</c:v>
                </c:pt>
                <c:pt idx="199">
                  <c:v>3063.5</c:v>
                </c:pt>
                <c:pt idx="200">
                  <c:v>3128</c:v>
                </c:pt>
                <c:pt idx="201">
                  <c:v>3135.6</c:v>
                </c:pt>
                <c:pt idx="202">
                  <c:v>3144.3</c:v>
                </c:pt>
                <c:pt idx="203">
                  <c:v>3101.8</c:v>
                </c:pt>
                <c:pt idx="204">
                  <c:v>3053.8</c:v>
                </c:pt>
                <c:pt idx="205">
                  <c:v>3104.7</c:v>
                </c:pt>
                <c:pt idx="206">
                  <c:v>2982.1</c:v>
                </c:pt>
                <c:pt idx="207">
                  <c:v>3033.1</c:v>
                </c:pt>
                <c:pt idx="208">
                  <c:v>3119.9</c:v>
                </c:pt>
                <c:pt idx="209">
                  <c:v>3068.4</c:v>
                </c:pt>
                <c:pt idx="210">
                  <c:v>3021.5</c:v>
                </c:pt>
                <c:pt idx="211">
                  <c:v>2926.2</c:v>
                </c:pt>
                <c:pt idx="212">
                  <c:v>2928.8</c:v>
                </c:pt>
                <c:pt idx="213">
                  <c:v>2909.6</c:v>
                </c:pt>
                <c:pt idx="214">
                  <c:v>2930.6</c:v>
                </c:pt>
                <c:pt idx="215">
                  <c:v>2864.2</c:v>
                </c:pt>
                <c:pt idx="216">
                  <c:v>2901.4</c:v>
                </c:pt>
                <c:pt idx="217">
                  <c:v>2917.8</c:v>
                </c:pt>
                <c:pt idx="218">
                  <c:v>2817.1</c:v>
                </c:pt>
                <c:pt idx="219">
                  <c:v>2764</c:v>
                </c:pt>
                <c:pt idx="220">
                  <c:v>2679.4</c:v>
                </c:pt>
                <c:pt idx="221">
                  <c:v>2634.6</c:v>
                </c:pt>
                <c:pt idx="222">
                  <c:v>2646</c:v>
                </c:pt>
                <c:pt idx="223">
                  <c:v>2580.35</c:v>
                </c:pt>
                <c:pt idx="224">
                  <c:v>2523.1</c:v>
                </c:pt>
                <c:pt idx="225">
                  <c:v>2523.65</c:v>
                </c:pt>
                <c:pt idx="226">
                  <c:v>2491.25</c:v>
                </c:pt>
                <c:pt idx="227">
                  <c:v>2596.5500000000002</c:v>
                </c:pt>
                <c:pt idx="228">
                  <c:v>2611.4499999999998</c:v>
                </c:pt>
                <c:pt idx="229">
                  <c:v>2637.55</c:v>
                </c:pt>
                <c:pt idx="230">
                  <c:v>2637.9</c:v>
                </c:pt>
                <c:pt idx="231">
                  <c:v>2665.8</c:v>
                </c:pt>
                <c:pt idx="232">
                  <c:v>2733</c:v>
                </c:pt>
                <c:pt idx="233">
                  <c:v>2742.25</c:v>
                </c:pt>
                <c:pt idx="234">
                  <c:v>2736</c:v>
                </c:pt>
                <c:pt idx="235">
                  <c:v>2774.7</c:v>
                </c:pt>
                <c:pt idx="236">
                  <c:v>2801.85</c:v>
                </c:pt>
                <c:pt idx="237">
                  <c:v>2828.1</c:v>
                </c:pt>
                <c:pt idx="238">
                  <c:v>2789.1</c:v>
                </c:pt>
                <c:pt idx="239">
                  <c:v>2791.4</c:v>
                </c:pt>
                <c:pt idx="240">
                  <c:v>2705.15</c:v>
                </c:pt>
                <c:pt idx="241">
                  <c:v>2643.5</c:v>
                </c:pt>
                <c:pt idx="242">
                  <c:v>2653.3</c:v>
                </c:pt>
                <c:pt idx="243">
                  <c:v>2645.6</c:v>
                </c:pt>
                <c:pt idx="244">
                  <c:v>2702.6</c:v>
                </c:pt>
                <c:pt idx="245">
                  <c:v>2727.85</c:v>
                </c:pt>
                <c:pt idx="246">
                  <c:v>2742.4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5-4687-93E3-85FB8EF30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206144"/>
        <c:axId val="139210944"/>
      </c:lineChart>
      <c:dateAx>
        <c:axId val="139206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10944"/>
        <c:crosses val="autoZero"/>
        <c:auto val="1"/>
        <c:lblOffset val="100"/>
        <c:baseTimeUnit val="days"/>
      </c:dateAx>
      <c:valAx>
        <c:axId val="13921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'Co-variance'!$F$4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'Co-variance'!$B$5:$B$251</c:f>
              <c:numCache>
                <c:formatCode>m/d/yyyy</c:formatCode>
                <c:ptCount val="247"/>
                <c:pt idx="0">
                  <c:v>46086</c:v>
                </c:pt>
                <c:pt idx="1">
                  <c:v>46085</c:v>
                </c:pt>
                <c:pt idx="2">
                  <c:v>46083</c:v>
                </c:pt>
                <c:pt idx="3">
                  <c:v>46080</c:v>
                </c:pt>
                <c:pt idx="4">
                  <c:v>46079</c:v>
                </c:pt>
                <c:pt idx="5">
                  <c:v>46078</c:v>
                </c:pt>
                <c:pt idx="6">
                  <c:v>46077</c:v>
                </c:pt>
                <c:pt idx="7">
                  <c:v>46076</c:v>
                </c:pt>
                <c:pt idx="8">
                  <c:v>46073</c:v>
                </c:pt>
                <c:pt idx="9">
                  <c:v>46072</c:v>
                </c:pt>
                <c:pt idx="10">
                  <c:v>46071</c:v>
                </c:pt>
                <c:pt idx="11">
                  <c:v>46070</c:v>
                </c:pt>
                <c:pt idx="12">
                  <c:v>46069</c:v>
                </c:pt>
                <c:pt idx="13">
                  <c:v>46066</c:v>
                </c:pt>
                <c:pt idx="14">
                  <c:v>46065</c:v>
                </c:pt>
                <c:pt idx="15">
                  <c:v>46064</c:v>
                </c:pt>
                <c:pt idx="16">
                  <c:v>46063</c:v>
                </c:pt>
                <c:pt idx="17">
                  <c:v>46062</c:v>
                </c:pt>
                <c:pt idx="18">
                  <c:v>46059</c:v>
                </c:pt>
                <c:pt idx="19">
                  <c:v>46058</c:v>
                </c:pt>
                <c:pt idx="20">
                  <c:v>46057</c:v>
                </c:pt>
                <c:pt idx="21">
                  <c:v>46056</c:v>
                </c:pt>
                <c:pt idx="22">
                  <c:v>46055</c:v>
                </c:pt>
                <c:pt idx="23">
                  <c:v>46054</c:v>
                </c:pt>
                <c:pt idx="24">
                  <c:v>46052</c:v>
                </c:pt>
                <c:pt idx="25">
                  <c:v>46051</c:v>
                </c:pt>
                <c:pt idx="26">
                  <c:v>46050</c:v>
                </c:pt>
                <c:pt idx="27">
                  <c:v>46049</c:v>
                </c:pt>
                <c:pt idx="28">
                  <c:v>46045</c:v>
                </c:pt>
                <c:pt idx="29">
                  <c:v>46044</c:v>
                </c:pt>
                <c:pt idx="30">
                  <c:v>46043</c:v>
                </c:pt>
                <c:pt idx="31">
                  <c:v>46042</c:v>
                </c:pt>
                <c:pt idx="32">
                  <c:v>46041</c:v>
                </c:pt>
                <c:pt idx="33">
                  <c:v>46038</c:v>
                </c:pt>
                <c:pt idx="34">
                  <c:v>46036</c:v>
                </c:pt>
                <c:pt idx="35">
                  <c:v>46035</c:v>
                </c:pt>
                <c:pt idx="36">
                  <c:v>46034</c:v>
                </c:pt>
                <c:pt idx="37">
                  <c:v>46031</c:v>
                </c:pt>
                <c:pt idx="38">
                  <c:v>46030</c:v>
                </c:pt>
                <c:pt idx="39">
                  <c:v>46029</c:v>
                </c:pt>
                <c:pt idx="40">
                  <c:v>46028</c:v>
                </c:pt>
                <c:pt idx="41">
                  <c:v>46027</c:v>
                </c:pt>
                <c:pt idx="42">
                  <c:v>46024</c:v>
                </c:pt>
                <c:pt idx="43">
                  <c:v>46023</c:v>
                </c:pt>
                <c:pt idx="44">
                  <c:v>46022</c:v>
                </c:pt>
                <c:pt idx="45">
                  <c:v>46021</c:v>
                </c:pt>
                <c:pt idx="46">
                  <c:v>46020</c:v>
                </c:pt>
                <c:pt idx="47">
                  <c:v>46017</c:v>
                </c:pt>
                <c:pt idx="48">
                  <c:v>46015</c:v>
                </c:pt>
                <c:pt idx="49">
                  <c:v>46014</c:v>
                </c:pt>
                <c:pt idx="50">
                  <c:v>46013</c:v>
                </c:pt>
                <c:pt idx="51">
                  <c:v>46010</c:v>
                </c:pt>
                <c:pt idx="52">
                  <c:v>46009</c:v>
                </c:pt>
                <c:pt idx="53">
                  <c:v>46008</c:v>
                </c:pt>
                <c:pt idx="54">
                  <c:v>46007</c:v>
                </c:pt>
                <c:pt idx="55">
                  <c:v>46006</c:v>
                </c:pt>
                <c:pt idx="56">
                  <c:v>46003</c:v>
                </c:pt>
                <c:pt idx="57">
                  <c:v>46002</c:v>
                </c:pt>
                <c:pt idx="58">
                  <c:v>46001</c:v>
                </c:pt>
                <c:pt idx="59">
                  <c:v>46000</c:v>
                </c:pt>
                <c:pt idx="60">
                  <c:v>45999</c:v>
                </c:pt>
                <c:pt idx="61">
                  <c:v>45996</c:v>
                </c:pt>
                <c:pt idx="62">
                  <c:v>45995</c:v>
                </c:pt>
                <c:pt idx="63">
                  <c:v>45994</c:v>
                </c:pt>
                <c:pt idx="64">
                  <c:v>45993</c:v>
                </c:pt>
                <c:pt idx="65">
                  <c:v>45992</c:v>
                </c:pt>
                <c:pt idx="66">
                  <c:v>45989</c:v>
                </c:pt>
                <c:pt idx="67">
                  <c:v>45988</c:v>
                </c:pt>
                <c:pt idx="68">
                  <c:v>45987</c:v>
                </c:pt>
                <c:pt idx="69">
                  <c:v>45986</c:v>
                </c:pt>
                <c:pt idx="70">
                  <c:v>45985</c:v>
                </c:pt>
                <c:pt idx="71">
                  <c:v>45982</c:v>
                </c:pt>
                <c:pt idx="72">
                  <c:v>45981</c:v>
                </c:pt>
                <c:pt idx="73">
                  <c:v>45980</c:v>
                </c:pt>
                <c:pt idx="74">
                  <c:v>45979</c:v>
                </c:pt>
                <c:pt idx="75">
                  <c:v>45978</c:v>
                </c:pt>
                <c:pt idx="76">
                  <c:v>45975</c:v>
                </c:pt>
                <c:pt idx="77">
                  <c:v>45974</c:v>
                </c:pt>
                <c:pt idx="78">
                  <c:v>45973</c:v>
                </c:pt>
                <c:pt idx="79">
                  <c:v>45972</c:v>
                </c:pt>
                <c:pt idx="80">
                  <c:v>45971</c:v>
                </c:pt>
                <c:pt idx="81">
                  <c:v>45968</c:v>
                </c:pt>
                <c:pt idx="82">
                  <c:v>45967</c:v>
                </c:pt>
                <c:pt idx="83">
                  <c:v>45965</c:v>
                </c:pt>
                <c:pt idx="84">
                  <c:v>45964</c:v>
                </c:pt>
                <c:pt idx="85">
                  <c:v>45961</c:v>
                </c:pt>
                <c:pt idx="86">
                  <c:v>45960</c:v>
                </c:pt>
                <c:pt idx="87">
                  <c:v>45959</c:v>
                </c:pt>
                <c:pt idx="88">
                  <c:v>45958</c:v>
                </c:pt>
                <c:pt idx="89">
                  <c:v>45957</c:v>
                </c:pt>
                <c:pt idx="90">
                  <c:v>45954</c:v>
                </c:pt>
                <c:pt idx="91">
                  <c:v>45953</c:v>
                </c:pt>
                <c:pt idx="92">
                  <c:v>45951</c:v>
                </c:pt>
                <c:pt idx="93">
                  <c:v>45950</c:v>
                </c:pt>
                <c:pt idx="94">
                  <c:v>45947</c:v>
                </c:pt>
                <c:pt idx="95">
                  <c:v>45946</c:v>
                </c:pt>
                <c:pt idx="96">
                  <c:v>45945</c:v>
                </c:pt>
                <c:pt idx="97">
                  <c:v>45944</c:v>
                </c:pt>
                <c:pt idx="98">
                  <c:v>45943</c:v>
                </c:pt>
                <c:pt idx="99">
                  <c:v>45940</c:v>
                </c:pt>
                <c:pt idx="100">
                  <c:v>45939</c:v>
                </c:pt>
                <c:pt idx="101">
                  <c:v>45938</c:v>
                </c:pt>
                <c:pt idx="102">
                  <c:v>45937</c:v>
                </c:pt>
                <c:pt idx="103">
                  <c:v>45936</c:v>
                </c:pt>
                <c:pt idx="104">
                  <c:v>45933</c:v>
                </c:pt>
                <c:pt idx="105">
                  <c:v>45931</c:v>
                </c:pt>
                <c:pt idx="106">
                  <c:v>45930</c:v>
                </c:pt>
                <c:pt idx="107">
                  <c:v>45929</c:v>
                </c:pt>
                <c:pt idx="108">
                  <c:v>45926</c:v>
                </c:pt>
                <c:pt idx="109">
                  <c:v>45925</c:v>
                </c:pt>
                <c:pt idx="110">
                  <c:v>45924</c:v>
                </c:pt>
                <c:pt idx="111">
                  <c:v>45923</c:v>
                </c:pt>
                <c:pt idx="112">
                  <c:v>45922</c:v>
                </c:pt>
                <c:pt idx="113">
                  <c:v>45919</c:v>
                </c:pt>
                <c:pt idx="114">
                  <c:v>45918</c:v>
                </c:pt>
                <c:pt idx="115">
                  <c:v>45917</c:v>
                </c:pt>
                <c:pt idx="116">
                  <c:v>45916</c:v>
                </c:pt>
                <c:pt idx="117">
                  <c:v>45915</c:v>
                </c:pt>
                <c:pt idx="118">
                  <c:v>45912</c:v>
                </c:pt>
                <c:pt idx="119">
                  <c:v>45911</c:v>
                </c:pt>
                <c:pt idx="120">
                  <c:v>45910</c:v>
                </c:pt>
                <c:pt idx="121">
                  <c:v>45909</c:v>
                </c:pt>
                <c:pt idx="122">
                  <c:v>45908</c:v>
                </c:pt>
                <c:pt idx="123">
                  <c:v>45905</c:v>
                </c:pt>
                <c:pt idx="124">
                  <c:v>45904</c:v>
                </c:pt>
                <c:pt idx="125">
                  <c:v>45903</c:v>
                </c:pt>
                <c:pt idx="126">
                  <c:v>45902</c:v>
                </c:pt>
                <c:pt idx="127">
                  <c:v>45901</c:v>
                </c:pt>
                <c:pt idx="128">
                  <c:v>45898</c:v>
                </c:pt>
                <c:pt idx="129">
                  <c:v>45897</c:v>
                </c:pt>
                <c:pt idx="130">
                  <c:v>45895</c:v>
                </c:pt>
                <c:pt idx="131">
                  <c:v>45894</c:v>
                </c:pt>
                <c:pt idx="132">
                  <c:v>45891</c:v>
                </c:pt>
                <c:pt idx="133">
                  <c:v>45890</c:v>
                </c:pt>
                <c:pt idx="134">
                  <c:v>45889</c:v>
                </c:pt>
                <c:pt idx="135">
                  <c:v>45888</c:v>
                </c:pt>
                <c:pt idx="136">
                  <c:v>45887</c:v>
                </c:pt>
                <c:pt idx="137">
                  <c:v>45883</c:v>
                </c:pt>
                <c:pt idx="138">
                  <c:v>45882</c:v>
                </c:pt>
                <c:pt idx="139">
                  <c:v>45881</c:v>
                </c:pt>
                <c:pt idx="140">
                  <c:v>45880</c:v>
                </c:pt>
                <c:pt idx="141">
                  <c:v>45877</c:v>
                </c:pt>
                <c:pt idx="142">
                  <c:v>45876</c:v>
                </c:pt>
                <c:pt idx="143">
                  <c:v>45875</c:v>
                </c:pt>
                <c:pt idx="144">
                  <c:v>45874</c:v>
                </c:pt>
                <c:pt idx="145">
                  <c:v>45873</c:v>
                </c:pt>
                <c:pt idx="146">
                  <c:v>45870</c:v>
                </c:pt>
                <c:pt idx="147">
                  <c:v>45869</c:v>
                </c:pt>
                <c:pt idx="148">
                  <c:v>45868</c:v>
                </c:pt>
                <c:pt idx="149">
                  <c:v>45867</c:v>
                </c:pt>
                <c:pt idx="150">
                  <c:v>45866</c:v>
                </c:pt>
                <c:pt idx="151">
                  <c:v>45863</c:v>
                </c:pt>
                <c:pt idx="152">
                  <c:v>45862</c:v>
                </c:pt>
                <c:pt idx="153">
                  <c:v>45861</c:v>
                </c:pt>
                <c:pt idx="154">
                  <c:v>45860</c:v>
                </c:pt>
                <c:pt idx="155">
                  <c:v>45859</c:v>
                </c:pt>
                <c:pt idx="156">
                  <c:v>45856</c:v>
                </c:pt>
                <c:pt idx="157">
                  <c:v>45855</c:v>
                </c:pt>
                <c:pt idx="158">
                  <c:v>45854</c:v>
                </c:pt>
                <c:pt idx="159">
                  <c:v>45853</c:v>
                </c:pt>
                <c:pt idx="160">
                  <c:v>45852</c:v>
                </c:pt>
                <c:pt idx="161">
                  <c:v>45849</c:v>
                </c:pt>
                <c:pt idx="162">
                  <c:v>45848</c:v>
                </c:pt>
                <c:pt idx="163">
                  <c:v>45847</c:v>
                </c:pt>
                <c:pt idx="164">
                  <c:v>45846</c:v>
                </c:pt>
                <c:pt idx="165">
                  <c:v>45845</c:v>
                </c:pt>
                <c:pt idx="166">
                  <c:v>45842</c:v>
                </c:pt>
                <c:pt idx="167">
                  <c:v>45841</c:v>
                </c:pt>
                <c:pt idx="168">
                  <c:v>45840</c:v>
                </c:pt>
                <c:pt idx="169">
                  <c:v>45839</c:v>
                </c:pt>
                <c:pt idx="170">
                  <c:v>45838</c:v>
                </c:pt>
                <c:pt idx="171">
                  <c:v>45835</c:v>
                </c:pt>
                <c:pt idx="172">
                  <c:v>45834</c:v>
                </c:pt>
                <c:pt idx="173">
                  <c:v>45833</c:v>
                </c:pt>
                <c:pt idx="174">
                  <c:v>45832</c:v>
                </c:pt>
                <c:pt idx="175">
                  <c:v>45831</c:v>
                </c:pt>
                <c:pt idx="176">
                  <c:v>45828</c:v>
                </c:pt>
                <c:pt idx="177">
                  <c:v>45827</c:v>
                </c:pt>
                <c:pt idx="178">
                  <c:v>45826</c:v>
                </c:pt>
                <c:pt idx="179">
                  <c:v>45825</c:v>
                </c:pt>
                <c:pt idx="180">
                  <c:v>45824</c:v>
                </c:pt>
                <c:pt idx="181">
                  <c:v>45821</c:v>
                </c:pt>
                <c:pt idx="182">
                  <c:v>45820</c:v>
                </c:pt>
                <c:pt idx="183">
                  <c:v>45819</c:v>
                </c:pt>
                <c:pt idx="184">
                  <c:v>45818</c:v>
                </c:pt>
                <c:pt idx="185">
                  <c:v>45817</c:v>
                </c:pt>
                <c:pt idx="186">
                  <c:v>45814</c:v>
                </c:pt>
                <c:pt idx="187">
                  <c:v>45813</c:v>
                </c:pt>
                <c:pt idx="188">
                  <c:v>45812</c:v>
                </c:pt>
                <c:pt idx="189">
                  <c:v>45811</c:v>
                </c:pt>
                <c:pt idx="190">
                  <c:v>45810</c:v>
                </c:pt>
                <c:pt idx="191">
                  <c:v>45807</c:v>
                </c:pt>
                <c:pt idx="192">
                  <c:v>45806</c:v>
                </c:pt>
                <c:pt idx="193">
                  <c:v>45805</c:v>
                </c:pt>
                <c:pt idx="194">
                  <c:v>45804</c:v>
                </c:pt>
                <c:pt idx="195">
                  <c:v>45803</c:v>
                </c:pt>
                <c:pt idx="196">
                  <c:v>45800</c:v>
                </c:pt>
                <c:pt idx="197">
                  <c:v>45799</c:v>
                </c:pt>
                <c:pt idx="198">
                  <c:v>45798</c:v>
                </c:pt>
                <c:pt idx="199">
                  <c:v>45797</c:v>
                </c:pt>
                <c:pt idx="200">
                  <c:v>45796</c:v>
                </c:pt>
                <c:pt idx="201">
                  <c:v>45793</c:v>
                </c:pt>
                <c:pt idx="202">
                  <c:v>45792</c:v>
                </c:pt>
                <c:pt idx="203">
                  <c:v>45791</c:v>
                </c:pt>
                <c:pt idx="204">
                  <c:v>45790</c:v>
                </c:pt>
                <c:pt idx="205">
                  <c:v>45789</c:v>
                </c:pt>
                <c:pt idx="206">
                  <c:v>45786</c:v>
                </c:pt>
                <c:pt idx="207">
                  <c:v>45785</c:v>
                </c:pt>
                <c:pt idx="208">
                  <c:v>45784</c:v>
                </c:pt>
                <c:pt idx="209">
                  <c:v>45783</c:v>
                </c:pt>
                <c:pt idx="210">
                  <c:v>45782</c:v>
                </c:pt>
                <c:pt idx="211">
                  <c:v>45779</c:v>
                </c:pt>
                <c:pt idx="212">
                  <c:v>45777</c:v>
                </c:pt>
                <c:pt idx="213">
                  <c:v>45776</c:v>
                </c:pt>
                <c:pt idx="214">
                  <c:v>45775</c:v>
                </c:pt>
                <c:pt idx="215">
                  <c:v>45772</c:v>
                </c:pt>
                <c:pt idx="216">
                  <c:v>45771</c:v>
                </c:pt>
                <c:pt idx="217">
                  <c:v>45770</c:v>
                </c:pt>
                <c:pt idx="218">
                  <c:v>45769</c:v>
                </c:pt>
                <c:pt idx="219">
                  <c:v>45768</c:v>
                </c:pt>
                <c:pt idx="220">
                  <c:v>45764</c:v>
                </c:pt>
                <c:pt idx="221">
                  <c:v>45763</c:v>
                </c:pt>
                <c:pt idx="222">
                  <c:v>45762</c:v>
                </c:pt>
                <c:pt idx="223">
                  <c:v>45758</c:v>
                </c:pt>
                <c:pt idx="224">
                  <c:v>45756</c:v>
                </c:pt>
                <c:pt idx="225">
                  <c:v>45755</c:v>
                </c:pt>
                <c:pt idx="226">
                  <c:v>45754</c:v>
                </c:pt>
                <c:pt idx="227">
                  <c:v>45751</c:v>
                </c:pt>
                <c:pt idx="228">
                  <c:v>45750</c:v>
                </c:pt>
                <c:pt idx="229">
                  <c:v>45749</c:v>
                </c:pt>
                <c:pt idx="230">
                  <c:v>45748</c:v>
                </c:pt>
                <c:pt idx="231">
                  <c:v>45744</c:v>
                </c:pt>
                <c:pt idx="232">
                  <c:v>45743</c:v>
                </c:pt>
                <c:pt idx="233">
                  <c:v>45742</c:v>
                </c:pt>
                <c:pt idx="234">
                  <c:v>45741</c:v>
                </c:pt>
                <c:pt idx="235">
                  <c:v>45740</c:v>
                </c:pt>
                <c:pt idx="236">
                  <c:v>45737</c:v>
                </c:pt>
                <c:pt idx="237">
                  <c:v>45736</c:v>
                </c:pt>
                <c:pt idx="238">
                  <c:v>45735</c:v>
                </c:pt>
                <c:pt idx="239">
                  <c:v>45734</c:v>
                </c:pt>
                <c:pt idx="240">
                  <c:v>45733</c:v>
                </c:pt>
                <c:pt idx="241">
                  <c:v>45729</c:v>
                </c:pt>
                <c:pt idx="242">
                  <c:v>45728</c:v>
                </c:pt>
                <c:pt idx="243">
                  <c:v>45727</c:v>
                </c:pt>
                <c:pt idx="244">
                  <c:v>45726</c:v>
                </c:pt>
                <c:pt idx="245">
                  <c:v>45723</c:v>
                </c:pt>
                <c:pt idx="246">
                  <c:v>45722</c:v>
                </c:pt>
              </c:numCache>
            </c:numRef>
          </c:cat>
          <c:val>
            <c:numRef>
              <c:f>'Co-variance'!$F$5:$F$251</c:f>
              <c:numCache>
                <c:formatCode>#,##0.00</c:formatCode>
                <c:ptCount val="247"/>
                <c:pt idx="0">
                  <c:v>2578.8000000000002</c:v>
                </c:pt>
                <c:pt idx="1">
                  <c:v>2587.8000000000002</c:v>
                </c:pt>
                <c:pt idx="2">
                  <c:v>2613.5</c:v>
                </c:pt>
                <c:pt idx="3">
                  <c:v>2637.4</c:v>
                </c:pt>
                <c:pt idx="4">
                  <c:v>2647.7</c:v>
                </c:pt>
                <c:pt idx="5">
                  <c:v>2629.3</c:v>
                </c:pt>
                <c:pt idx="6">
                  <c:v>2573.6999999999998</c:v>
                </c:pt>
                <c:pt idx="7">
                  <c:v>2676.3</c:v>
                </c:pt>
                <c:pt idx="8">
                  <c:v>2686.2</c:v>
                </c:pt>
                <c:pt idx="9">
                  <c:v>2677.9</c:v>
                </c:pt>
                <c:pt idx="10">
                  <c:v>2694.9</c:v>
                </c:pt>
                <c:pt idx="11">
                  <c:v>2717.4</c:v>
                </c:pt>
                <c:pt idx="12">
                  <c:v>2706.6</c:v>
                </c:pt>
                <c:pt idx="13">
                  <c:v>2692.2</c:v>
                </c:pt>
                <c:pt idx="14">
                  <c:v>2750.1</c:v>
                </c:pt>
                <c:pt idx="15">
                  <c:v>2909.8</c:v>
                </c:pt>
                <c:pt idx="16">
                  <c:v>2984.6</c:v>
                </c:pt>
                <c:pt idx="17">
                  <c:v>2948.2</c:v>
                </c:pt>
                <c:pt idx="18">
                  <c:v>2941.6</c:v>
                </c:pt>
                <c:pt idx="19">
                  <c:v>2991.5</c:v>
                </c:pt>
                <c:pt idx="20">
                  <c:v>2999.1</c:v>
                </c:pt>
                <c:pt idx="21">
                  <c:v>3225.3</c:v>
                </c:pt>
                <c:pt idx="22">
                  <c:v>3169.6</c:v>
                </c:pt>
                <c:pt idx="23">
                  <c:v>3186.9</c:v>
                </c:pt>
                <c:pt idx="24">
                  <c:v>3123.9</c:v>
                </c:pt>
                <c:pt idx="25">
                  <c:v>3144.4</c:v>
                </c:pt>
                <c:pt idx="26">
                  <c:v>3200.1</c:v>
                </c:pt>
                <c:pt idx="27">
                  <c:v>3158</c:v>
                </c:pt>
                <c:pt idx="28">
                  <c:v>3162.5</c:v>
                </c:pt>
                <c:pt idx="29">
                  <c:v>3150.4</c:v>
                </c:pt>
                <c:pt idx="30">
                  <c:v>3122.6</c:v>
                </c:pt>
                <c:pt idx="31">
                  <c:v>3102.3</c:v>
                </c:pt>
                <c:pt idx="32">
                  <c:v>3163.6</c:v>
                </c:pt>
                <c:pt idx="33">
                  <c:v>3206.7</c:v>
                </c:pt>
                <c:pt idx="34">
                  <c:v>3146.5</c:v>
                </c:pt>
                <c:pt idx="35">
                  <c:v>3220.91</c:v>
                </c:pt>
                <c:pt idx="36">
                  <c:v>3192.92</c:v>
                </c:pt>
                <c:pt idx="37">
                  <c:v>3161.58</c:v>
                </c:pt>
                <c:pt idx="38">
                  <c:v>3203.9</c:v>
                </c:pt>
                <c:pt idx="39">
                  <c:v>3295.6</c:v>
                </c:pt>
                <c:pt idx="40">
                  <c:v>3255.8</c:v>
                </c:pt>
                <c:pt idx="41">
                  <c:v>3216.1</c:v>
                </c:pt>
                <c:pt idx="42">
                  <c:v>3250.7</c:v>
                </c:pt>
                <c:pt idx="43">
                  <c:v>3227.4</c:v>
                </c:pt>
                <c:pt idx="44">
                  <c:v>3206.2</c:v>
                </c:pt>
                <c:pt idx="45">
                  <c:v>3246.8</c:v>
                </c:pt>
                <c:pt idx="46">
                  <c:v>3251.5</c:v>
                </c:pt>
                <c:pt idx="47">
                  <c:v>3280</c:v>
                </c:pt>
                <c:pt idx="48">
                  <c:v>3319</c:v>
                </c:pt>
                <c:pt idx="49">
                  <c:v>3310</c:v>
                </c:pt>
                <c:pt idx="50">
                  <c:v>3324.9</c:v>
                </c:pt>
                <c:pt idx="51">
                  <c:v>3282</c:v>
                </c:pt>
                <c:pt idx="52">
                  <c:v>3280.8</c:v>
                </c:pt>
                <c:pt idx="53">
                  <c:v>3217.8</c:v>
                </c:pt>
                <c:pt idx="54">
                  <c:v>3205.1</c:v>
                </c:pt>
                <c:pt idx="55">
                  <c:v>3230.2</c:v>
                </c:pt>
                <c:pt idx="56">
                  <c:v>3220.5</c:v>
                </c:pt>
                <c:pt idx="57">
                  <c:v>3191.9</c:v>
                </c:pt>
                <c:pt idx="58">
                  <c:v>3189.2</c:v>
                </c:pt>
                <c:pt idx="59">
                  <c:v>3208.3</c:v>
                </c:pt>
                <c:pt idx="60">
                  <c:v>3236.5</c:v>
                </c:pt>
                <c:pt idx="61">
                  <c:v>3238.2</c:v>
                </c:pt>
                <c:pt idx="62">
                  <c:v>3229.2</c:v>
                </c:pt>
                <c:pt idx="63">
                  <c:v>3180</c:v>
                </c:pt>
                <c:pt idx="64">
                  <c:v>3135.7</c:v>
                </c:pt>
                <c:pt idx="65">
                  <c:v>3133.4</c:v>
                </c:pt>
                <c:pt idx="66">
                  <c:v>3137.5</c:v>
                </c:pt>
                <c:pt idx="67">
                  <c:v>3136.6</c:v>
                </c:pt>
                <c:pt idx="68">
                  <c:v>3162.9</c:v>
                </c:pt>
                <c:pt idx="69">
                  <c:v>3119.2</c:v>
                </c:pt>
                <c:pt idx="70">
                  <c:v>3141.2</c:v>
                </c:pt>
                <c:pt idx="71">
                  <c:v>3150.6</c:v>
                </c:pt>
                <c:pt idx="72">
                  <c:v>3144.8</c:v>
                </c:pt>
                <c:pt idx="73">
                  <c:v>3147.7</c:v>
                </c:pt>
                <c:pt idx="74">
                  <c:v>3087.1</c:v>
                </c:pt>
                <c:pt idx="75">
                  <c:v>3102.2</c:v>
                </c:pt>
                <c:pt idx="76">
                  <c:v>3106</c:v>
                </c:pt>
                <c:pt idx="77">
                  <c:v>3105.7</c:v>
                </c:pt>
                <c:pt idx="78">
                  <c:v>3131.8</c:v>
                </c:pt>
                <c:pt idx="79">
                  <c:v>3047</c:v>
                </c:pt>
                <c:pt idx="80">
                  <c:v>3025.2</c:v>
                </c:pt>
                <c:pt idx="81">
                  <c:v>2991.8</c:v>
                </c:pt>
                <c:pt idx="82">
                  <c:v>3010.9</c:v>
                </c:pt>
                <c:pt idx="83">
                  <c:v>2990.2</c:v>
                </c:pt>
                <c:pt idx="84">
                  <c:v>3016.8</c:v>
                </c:pt>
                <c:pt idx="85">
                  <c:v>3058</c:v>
                </c:pt>
                <c:pt idx="86">
                  <c:v>3035.3</c:v>
                </c:pt>
                <c:pt idx="87">
                  <c:v>3057.6</c:v>
                </c:pt>
                <c:pt idx="88">
                  <c:v>3057.9</c:v>
                </c:pt>
                <c:pt idx="89">
                  <c:v>3084.9</c:v>
                </c:pt>
                <c:pt idx="90">
                  <c:v>3063.2</c:v>
                </c:pt>
                <c:pt idx="91">
                  <c:v>3073.2</c:v>
                </c:pt>
                <c:pt idx="92">
                  <c:v>3006.7</c:v>
                </c:pt>
                <c:pt idx="93">
                  <c:v>3015.2</c:v>
                </c:pt>
                <c:pt idx="94">
                  <c:v>2962.2</c:v>
                </c:pt>
                <c:pt idx="95">
                  <c:v>2970.7</c:v>
                </c:pt>
                <c:pt idx="96">
                  <c:v>2969.8</c:v>
                </c:pt>
                <c:pt idx="97">
                  <c:v>2960.3</c:v>
                </c:pt>
                <c:pt idx="98">
                  <c:v>3007.2</c:v>
                </c:pt>
                <c:pt idx="99">
                  <c:v>3028.3</c:v>
                </c:pt>
                <c:pt idx="100">
                  <c:v>3061.7</c:v>
                </c:pt>
                <c:pt idx="101">
                  <c:v>3027.2</c:v>
                </c:pt>
                <c:pt idx="102">
                  <c:v>2973.7</c:v>
                </c:pt>
                <c:pt idx="103">
                  <c:v>2988.4</c:v>
                </c:pt>
                <c:pt idx="104">
                  <c:v>2901.9</c:v>
                </c:pt>
                <c:pt idx="105">
                  <c:v>2914.2</c:v>
                </c:pt>
                <c:pt idx="106">
                  <c:v>2888.4</c:v>
                </c:pt>
                <c:pt idx="107">
                  <c:v>2896.1</c:v>
                </c:pt>
                <c:pt idx="108">
                  <c:v>2899.1</c:v>
                </c:pt>
                <c:pt idx="109">
                  <c:v>2957.4</c:v>
                </c:pt>
                <c:pt idx="110">
                  <c:v>3035.4</c:v>
                </c:pt>
                <c:pt idx="111">
                  <c:v>3062.4</c:v>
                </c:pt>
                <c:pt idx="112">
                  <c:v>3073.8</c:v>
                </c:pt>
                <c:pt idx="113">
                  <c:v>3169.2</c:v>
                </c:pt>
                <c:pt idx="114">
                  <c:v>3176.7</c:v>
                </c:pt>
                <c:pt idx="115">
                  <c:v>3172.8</c:v>
                </c:pt>
                <c:pt idx="116">
                  <c:v>3145.7</c:v>
                </c:pt>
                <c:pt idx="117">
                  <c:v>3111.9</c:v>
                </c:pt>
                <c:pt idx="118">
                  <c:v>3133.4</c:v>
                </c:pt>
                <c:pt idx="119">
                  <c:v>3124.2</c:v>
                </c:pt>
                <c:pt idx="120">
                  <c:v>3110</c:v>
                </c:pt>
                <c:pt idx="121">
                  <c:v>3049.4</c:v>
                </c:pt>
                <c:pt idx="122">
                  <c:v>3019</c:v>
                </c:pt>
                <c:pt idx="123">
                  <c:v>3048.3</c:v>
                </c:pt>
                <c:pt idx="124">
                  <c:v>3095.7</c:v>
                </c:pt>
                <c:pt idx="125">
                  <c:v>3097.5</c:v>
                </c:pt>
                <c:pt idx="126">
                  <c:v>3111.5</c:v>
                </c:pt>
                <c:pt idx="127">
                  <c:v>3112.6</c:v>
                </c:pt>
                <c:pt idx="128">
                  <c:v>3084.7</c:v>
                </c:pt>
                <c:pt idx="129">
                  <c:v>3093.7</c:v>
                </c:pt>
                <c:pt idx="130">
                  <c:v>3157.2</c:v>
                </c:pt>
                <c:pt idx="131">
                  <c:v>3140.6</c:v>
                </c:pt>
                <c:pt idx="132">
                  <c:v>3054</c:v>
                </c:pt>
                <c:pt idx="133">
                  <c:v>3102.6</c:v>
                </c:pt>
                <c:pt idx="134">
                  <c:v>3098.6</c:v>
                </c:pt>
                <c:pt idx="135">
                  <c:v>3016.2</c:v>
                </c:pt>
                <c:pt idx="136">
                  <c:v>3011.2</c:v>
                </c:pt>
                <c:pt idx="137">
                  <c:v>3022.3</c:v>
                </c:pt>
                <c:pt idx="138">
                  <c:v>3036.2</c:v>
                </c:pt>
                <c:pt idx="139">
                  <c:v>3035.4</c:v>
                </c:pt>
                <c:pt idx="140">
                  <c:v>3040.8</c:v>
                </c:pt>
                <c:pt idx="141">
                  <c:v>3036.4</c:v>
                </c:pt>
                <c:pt idx="142">
                  <c:v>3047</c:v>
                </c:pt>
                <c:pt idx="143">
                  <c:v>3032.3</c:v>
                </c:pt>
                <c:pt idx="144">
                  <c:v>3063.9</c:v>
                </c:pt>
                <c:pt idx="145">
                  <c:v>3074.4</c:v>
                </c:pt>
                <c:pt idx="146">
                  <c:v>3003</c:v>
                </c:pt>
                <c:pt idx="147">
                  <c:v>3036.8</c:v>
                </c:pt>
                <c:pt idx="148">
                  <c:v>3053.6</c:v>
                </c:pt>
                <c:pt idx="149">
                  <c:v>3056</c:v>
                </c:pt>
                <c:pt idx="150">
                  <c:v>3079.3</c:v>
                </c:pt>
                <c:pt idx="151">
                  <c:v>3135.8</c:v>
                </c:pt>
                <c:pt idx="152">
                  <c:v>3148</c:v>
                </c:pt>
                <c:pt idx="153">
                  <c:v>3179.1</c:v>
                </c:pt>
                <c:pt idx="154">
                  <c:v>3159.6</c:v>
                </c:pt>
                <c:pt idx="155">
                  <c:v>3158.2</c:v>
                </c:pt>
                <c:pt idx="156">
                  <c:v>3189.9</c:v>
                </c:pt>
                <c:pt idx="157">
                  <c:v>3209.2</c:v>
                </c:pt>
                <c:pt idx="158">
                  <c:v>3233.1</c:v>
                </c:pt>
                <c:pt idx="159">
                  <c:v>3252.3</c:v>
                </c:pt>
                <c:pt idx="160">
                  <c:v>3222.7</c:v>
                </c:pt>
                <c:pt idx="161">
                  <c:v>3266</c:v>
                </c:pt>
                <c:pt idx="162">
                  <c:v>3382</c:v>
                </c:pt>
                <c:pt idx="163">
                  <c:v>3383.8</c:v>
                </c:pt>
                <c:pt idx="164">
                  <c:v>3406.2</c:v>
                </c:pt>
                <c:pt idx="165">
                  <c:v>3411.7</c:v>
                </c:pt>
                <c:pt idx="166">
                  <c:v>3419.8</c:v>
                </c:pt>
                <c:pt idx="167">
                  <c:v>3400.8</c:v>
                </c:pt>
                <c:pt idx="168">
                  <c:v>3423.3</c:v>
                </c:pt>
                <c:pt idx="169">
                  <c:v>3429.7</c:v>
                </c:pt>
                <c:pt idx="170">
                  <c:v>3462</c:v>
                </c:pt>
                <c:pt idx="171">
                  <c:v>3441.1</c:v>
                </c:pt>
                <c:pt idx="172">
                  <c:v>3441.8</c:v>
                </c:pt>
                <c:pt idx="173">
                  <c:v>3444.8</c:v>
                </c:pt>
                <c:pt idx="174">
                  <c:v>3390.4</c:v>
                </c:pt>
                <c:pt idx="175">
                  <c:v>3393.6</c:v>
                </c:pt>
                <c:pt idx="176">
                  <c:v>3435.7</c:v>
                </c:pt>
                <c:pt idx="177">
                  <c:v>3424</c:v>
                </c:pt>
                <c:pt idx="178">
                  <c:v>3451.4</c:v>
                </c:pt>
                <c:pt idx="179">
                  <c:v>3515.3</c:v>
                </c:pt>
                <c:pt idx="180">
                  <c:v>3496.3</c:v>
                </c:pt>
                <c:pt idx="181">
                  <c:v>3445.7</c:v>
                </c:pt>
                <c:pt idx="182">
                  <c:v>3434.2</c:v>
                </c:pt>
                <c:pt idx="183">
                  <c:v>3471.9</c:v>
                </c:pt>
                <c:pt idx="184">
                  <c:v>3462.9</c:v>
                </c:pt>
                <c:pt idx="185">
                  <c:v>3421.9</c:v>
                </c:pt>
                <c:pt idx="186">
                  <c:v>3384.2</c:v>
                </c:pt>
                <c:pt idx="187">
                  <c:v>3371.1</c:v>
                </c:pt>
                <c:pt idx="188">
                  <c:v>3380.9</c:v>
                </c:pt>
                <c:pt idx="189">
                  <c:v>3405.2</c:v>
                </c:pt>
                <c:pt idx="190">
                  <c:v>3449.8</c:v>
                </c:pt>
                <c:pt idx="191">
                  <c:v>3463.4</c:v>
                </c:pt>
                <c:pt idx="192">
                  <c:v>3498.1</c:v>
                </c:pt>
                <c:pt idx="193">
                  <c:v>3497.7</c:v>
                </c:pt>
                <c:pt idx="194">
                  <c:v>3498.7</c:v>
                </c:pt>
                <c:pt idx="195">
                  <c:v>3537.3</c:v>
                </c:pt>
                <c:pt idx="196">
                  <c:v>3514.6</c:v>
                </c:pt>
                <c:pt idx="197">
                  <c:v>3477</c:v>
                </c:pt>
                <c:pt idx="198">
                  <c:v>3525.8</c:v>
                </c:pt>
                <c:pt idx="199">
                  <c:v>3498.3</c:v>
                </c:pt>
                <c:pt idx="200">
                  <c:v>3518.8</c:v>
                </c:pt>
                <c:pt idx="201">
                  <c:v>3561.3</c:v>
                </c:pt>
                <c:pt idx="202">
                  <c:v>3579.9</c:v>
                </c:pt>
                <c:pt idx="203">
                  <c:v>3548.7</c:v>
                </c:pt>
                <c:pt idx="204">
                  <c:v>3515</c:v>
                </c:pt>
                <c:pt idx="205">
                  <c:v>3620.4</c:v>
                </c:pt>
                <c:pt idx="206">
                  <c:v>3440.3</c:v>
                </c:pt>
                <c:pt idx="207">
                  <c:v>3448.9</c:v>
                </c:pt>
                <c:pt idx="208">
                  <c:v>3445.1</c:v>
                </c:pt>
                <c:pt idx="209">
                  <c:v>3460</c:v>
                </c:pt>
                <c:pt idx="210">
                  <c:v>3454.3</c:v>
                </c:pt>
                <c:pt idx="211">
                  <c:v>3444.7</c:v>
                </c:pt>
                <c:pt idx="212">
                  <c:v>3453.7</c:v>
                </c:pt>
                <c:pt idx="213">
                  <c:v>3472.5</c:v>
                </c:pt>
                <c:pt idx="214">
                  <c:v>3443.5</c:v>
                </c:pt>
                <c:pt idx="215">
                  <c:v>3448</c:v>
                </c:pt>
                <c:pt idx="216">
                  <c:v>3401.6</c:v>
                </c:pt>
                <c:pt idx="217">
                  <c:v>3413</c:v>
                </c:pt>
                <c:pt idx="218">
                  <c:v>3314.4</c:v>
                </c:pt>
                <c:pt idx="219">
                  <c:v>3321.6</c:v>
                </c:pt>
                <c:pt idx="220">
                  <c:v>3298.9</c:v>
                </c:pt>
                <c:pt idx="221">
                  <c:v>3273.8</c:v>
                </c:pt>
                <c:pt idx="222">
                  <c:v>3248.2</c:v>
                </c:pt>
                <c:pt idx="223">
                  <c:v>3231.5</c:v>
                </c:pt>
                <c:pt idx="224">
                  <c:v>3246.6</c:v>
                </c:pt>
                <c:pt idx="225">
                  <c:v>3292.95</c:v>
                </c:pt>
                <c:pt idx="226">
                  <c:v>3274.05</c:v>
                </c:pt>
                <c:pt idx="227">
                  <c:v>3299.4</c:v>
                </c:pt>
                <c:pt idx="228">
                  <c:v>3403.15</c:v>
                </c:pt>
                <c:pt idx="229">
                  <c:v>3543.95</c:v>
                </c:pt>
                <c:pt idx="230">
                  <c:v>3550.8</c:v>
                </c:pt>
                <c:pt idx="231">
                  <c:v>3606.15</c:v>
                </c:pt>
                <c:pt idx="232">
                  <c:v>3651.2</c:v>
                </c:pt>
                <c:pt idx="233">
                  <c:v>3635.8</c:v>
                </c:pt>
                <c:pt idx="234">
                  <c:v>3657.75</c:v>
                </c:pt>
                <c:pt idx="235">
                  <c:v>3628.95</c:v>
                </c:pt>
                <c:pt idx="236">
                  <c:v>3578.1</c:v>
                </c:pt>
                <c:pt idx="237">
                  <c:v>3563.15</c:v>
                </c:pt>
                <c:pt idx="238">
                  <c:v>3497.1</c:v>
                </c:pt>
                <c:pt idx="239">
                  <c:v>3552.45</c:v>
                </c:pt>
                <c:pt idx="240">
                  <c:v>3497.7</c:v>
                </c:pt>
                <c:pt idx="241">
                  <c:v>3511.05</c:v>
                </c:pt>
                <c:pt idx="242">
                  <c:v>3506.2</c:v>
                </c:pt>
                <c:pt idx="243">
                  <c:v>3575.3</c:v>
                </c:pt>
                <c:pt idx="244">
                  <c:v>3589.65</c:v>
                </c:pt>
                <c:pt idx="245">
                  <c:v>3611.2</c:v>
                </c:pt>
                <c:pt idx="246">
                  <c:v>3601.6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1-46F1-BF80-A62C56311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90768"/>
        <c:axId val="144891248"/>
      </c:lineChart>
      <c:dateAx>
        <c:axId val="1448907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91248"/>
        <c:crosses val="autoZero"/>
        <c:auto val="1"/>
        <c:lblOffset val="100"/>
        <c:baseTimeUnit val="days"/>
      </c:dateAx>
      <c:valAx>
        <c:axId val="14489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9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'Co-variance'!$E$4</c:f>
              <c:strCache>
                <c:ptCount val="1"/>
                <c:pt idx="0">
                  <c:v>ICICI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'Co-variance'!$B$5:$B$251</c:f>
              <c:numCache>
                <c:formatCode>m/d/yyyy</c:formatCode>
                <c:ptCount val="247"/>
                <c:pt idx="0">
                  <c:v>46086</c:v>
                </c:pt>
                <c:pt idx="1">
                  <c:v>46085</c:v>
                </c:pt>
                <c:pt idx="2">
                  <c:v>46083</c:v>
                </c:pt>
                <c:pt idx="3">
                  <c:v>46080</c:v>
                </c:pt>
                <c:pt idx="4">
                  <c:v>46079</c:v>
                </c:pt>
                <c:pt idx="5">
                  <c:v>46078</c:v>
                </c:pt>
                <c:pt idx="6">
                  <c:v>46077</c:v>
                </c:pt>
                <c:pt idx="7">
                  <c:v>46076</c:v>
                </c:pt>
                <c:pt idx="8">
                  <c:v>46073</c:v>
                </c:pt>
                <c:pt idx="9">
                  <c:v>46072</c:v>
                </c:pt>
                <c:pt idx="10">
                  <c:v>46071</c:v>
                </c:pt>
                <c:pt idx="11">
                  <c:v>46070</c:v>
                </c:pt>
                <c:pt idx="12">
                  <c:v>46069</c:v>
                </c:pt>
                <c:pt idx="13">
                  <c:v>46066</c:v>
                </c:pt>
                <c:pt idx="14">
                  <c:v>46065</c:v>
                </c:pt>
                <c:pt idx="15">
                  <c:v>46064</c:v>
                </c:pt>
                <c:pt idx="16">
                  <c:v>46063</c:v>
                </c:pt>
                <c:pt idx="17">
                  <c:v>46062</c:v>
                </c:pt>
                <c:pt idx="18">
                  <c:v>46059</c:v>
                </c:pt>
                <c:pt idx="19">
                  <c:v>46058</c:v>
                </c:pt>
                <c:pt idx="20">
                  <c:v>46057</c:v>
                </c:pt>
                <c:pt idx="21">
                  <c:v>46056</c:v>
                </c:pt>
                <c:pt idx="22">
                  <c:v>46055</c:v>
                </c:pt>
                <c:pt idx="23">
                  <c:v>46054</c:v>
                </c:pt>
                <c:pt idx="24">
                  <c:v>46052</c:v>
                </c:pt>
                <c:pt idx="25">
                  <c:v>46051</c:v>
                </c:pt>
                <c:pt idx="26">
                  <c:v>46050</c:v>
                </c:pt>
                <c:pt idx="27">
                  <c:v>46049</c:v>
                </c:pt>
                <c:pt idx="28">
                  <c:v>46045</c:v>
                </c:pt>
                <c:pt idx="29">
                  <c:v>46044</c:v>
                </c:pt>
                <c:pt idx="30">
                  <c:v>46043</c:v>
                </c:pt>
                <c:pt idx="31">
                  <c:v>46042</c:v>
                </c:pt>
                <c:pt idx="32">
                  <c:v>46041</c:v>
                </c:pt>
                <c:pt idx="33">
                  <c:v>46038</c:v>
                </c:pt>
                <c:pt idx="34">
                  <c:v>46036</c:v>
                </c:pt>
                <c:pt idx="35">
                  <c:v>46035</c:v>
                </c:pt>
                <c:pt idx="36">
                  <c:v>46034</c:v>
                </c:pt>
                <c:pt idx="37">
                  <c:v>46031</c:v>
                </c:pt>
                <c:pt idx="38">
                  <c:v>46030</c:v>
                </c:pt>
                <c:pt idx="39">
                  <c:v>46029</c:v>
                </c:pt>
                <c:pt idx="40">
                  <c:v>46028</c:v>
                </c:pt>
                <c:pt idx="41">
                  <c:v>46027</c:v>
                </c:pt>
                <c:pt idx="42">
                  <c:v>46024</c:v>
                </c:pt>
                <c:pt idx="43">
                  <c:v>46023</c:v>
                </c:pt>
                <c:pt idx="44">
                  <c:v>46022</c:v>
                </c:pt>
                <c:pt idx="45">
                  <c:v>46021</c:v>
                </c:pt>
                <c:pt idx="46">
                  <c:v>46020</c:v>
                </c:pt>
                <c:pt idx="47">
                  <c:v>46017</c:v>
                </c:pt>
                <c:pt idx="48">
                  <c:v>46015</c:v>
                </c:pt>
                <c:pt idx="49">
                  <c:v>46014</c:v>
                </c:pt>
                <c:pt idx="50">
                  <c:v>46013</c:v>
                </c:pt>
                <c:pt idx="51">
                  <c:v>46010</c:v>
                </c:pt>
                <c:pt idx="52">
                  <c:v>46009</c:v>
                </c:pt>
                <c:pt idx="53">
                  <c:v>46008</c:v>
                </c:pt>
                <c:pt idx="54">
                  <c:v>46007</c:v>
                </c:pt>
                <c:pt idx="55">
                  <c:v>46006</c:v>
                </c:pt>
                <c:pt idx="56">
                  <c:v>46003</c:v>
                </c:pt>
                <c:pt idx="57">
                  <c:v>46002</c:v>
                </c:pt>
                <c:pt idx="58">
                  <c:v>46001</c:v>
                </c:pt>
                <c:pt idx="59">
                  <c:v>46000</c:v>
                </c:pt>
                <c:pt idx="60">
                  <c:v>45999</c:v>
                </c:pt>
                <c:pt idx="61">
                  <c:v>45996</c:v>
                </c:pt>
                <c:pt idx="62">
                  <c:v>45995</c:v>
                </c:pt>
                <c:pt idx="63">
                  <c:v>45994</c:v>
                </c:pt>
                <c:pt idx="64">
                  <c:v>45993</c:v>
                </c:pt>
                <c:pt idx="65">
                  <c:v>45992</c:v>
                </c:pt>
                <c:pt idx="66">
                  <c:v>45989</c:v>
                </c:pt>
                <c:pt idx="67">
                  <c:v>45988</c:v>
                </c:pt>
                <c:pt idx="68">
                  <c:v>45987</c:v>
                </c:pt>
                <c:pt idx="69">
                  <c:v>45986</c:v>
                </c:pt>
                <c:pt idx="70">
                  <c:v>45985</c:v>
                </c:pt>
                <c:pt idx="71">
                  <c:v>45982</c:v>
                </c:pt>
                <c:pt idx="72">
                  <c:v>45981</c:v>
                </c:pt>
                <c:pt idx="73">
                  <c:v>45980</c:v>
                </c:pt>
                <c:pt idx="74">
                  <c:v>45979</c:v>
                </c:pt>
                <c:pt idx="75">
                  <c:v>45978</c:v>
                </c:pt>
                <c:pt idx="76">
                  <c:v>45975</c:v>
                </c:pt>
                <c:pt idx="77">
                  <c:v>45974</c:v>
                </c:pt>
                <c:pt idx="78">
                  <c:v>45973</c:v>
                </c:pt>
                <c:pt idx="79">
                  <c:v>45972</c:v>
                </c:pt>
                <c:pt idx="80">
                  <c:v>45971</c:v>
                </c:pt>
                <c:pt idx="81">
                  <c:v>45968</c:v>
                </c:pt>
                <c:pt idx="82">
                  <c:v>45967</c:v>
                </c:pt>
                <c:pt idx="83">
                  <c:v>45965</c:v>
                </c:pt>
                <c:pt idx="84">
                  <c:v>45964</c:v>
                </c:pt>
                <c:pt idx="85">
                  <c:v>45961</c:v>
                </c:pt>
                <c:pt idx="86">
                  <c:v>45960</c:v>
                </c:pt>
                <c:pt idx="87">
                  <c:v>45959</c:v>
                </c:pt>
                <c:pt idx="88">
                  <c:v>45958</c:v>
                </c:pt>
                <c:pt idx="89">
                  <c:v>45957</c:v>
                </c:pt>
                <c:pt idx="90">
                  <c:v>45954</c:v>
                </c:pt>
                <c:pt idx="91">
                  <c:v>45953</c:v>
                </c:pt>
                <c:pt idx="92">
                  <c:v>45951</c:v>
                </c:pt>
                <c:pt idx="93">
                  <c:v>45950</c:v>
                </c:pt>
                <c:pt idx="94">
                  <c:v>45947</c:v>
                </c:pt>
                <c:pt idx="95">
                  <c:v>45946</c:v>
                </c:pt>
                <c:pt idx="96">
                  <c:v>45945</c:v>
                </c:pt>
                <c:pt idx="97">
                  <c:v>45944</c:v>
                </c:pt>
                <c:pt idx="98">
                  <c:v>45943</c:v>
                </c:pt>
                <c:pt idx="99">
                  <c:v>45940</c:v>
                </c:pt>
                <c:pt idx="100">
                  <c:v>45939</c:v>
                </c:pt>
                <c:pt idx="101">
                  <c:v>45938</c:v>
                </c:pt>
                <c:pt idx="102">
                  <c:v>45937</c:v>
                </c:pt>
                <c:pt idx="103">
                  <c:v>45936</c:v>
                </c:pt>
                <c:pt idx="104">
                  <c:v>45933</c:v>
                </c:pt>
                <c:pt idx="105">
                  <c:v>45931</c:v>
                </c:pt>
                <c:pt idx="106">
                  <c:v>45930</c:v>
                </c:pt>
                <c:pt idx="107">
                  <c:v>45929</c:v>
                </c:pt>
                <c:pt idx="108">
                  <c:v>45926</c:v>
                </c:pt>
                <c:pt idx="109">
                  <c:v>45925</c:v>
                </c:pt>
                <c:pt idx="110">
                  <c:v>45924</c:v>
                </c:pt>
                <c:pt idx="111">
                  <c:v>45923</c:v>
                </c:pt>
                <c:pt idx="112">
                  <c:v>45922</c:v>
                </c:pt>
                <c:pt idx="113">
                  <c:v>45919</c:v>
                </c:pt>
                <c:pt idx="114">
                  <c:v>45918</c:v>
                </c:pt>
                <c:pt idx="115">
                  <c:v>45917</c:v>
                </c:pt>
                <c:pt idx="116">
                  <c:v>45916</c:v>
                </c:pt>
                <c:pt idx="117">
                  <c:v>45915</c:v>
                </c:pt>
                <c:pt idx="118">
                  <c:v>45912</c:v>
                </c:pt>
                <c:pt idx="119">
                  <c:v>45911</c:v>
                </c:pt>
                <c:pt idx="120">
                  <c:v>45910</c:v>
                </c:pt>
                <c:pt idx="121">
                  <c:v>45909</c:v>
                </c:pt>
                <c:pt idx="122">
                  <c:v>45908</c:v>
                </c:pt>
                <c:pt idx="123">
                  <c:v>45905</c:v>
                </c:pt>
                <c:pt idx="124">
                  <c:v>45904</c:v>
                </c:pt>
                <c:pt idx="125">
                  <c:v>45903</c:v>
                </c:pt>
                <c:pt idx="126">
                  <c:v>45902</c:v>
                </c:pt>
                <c:pt idx="127">
                  <c:v>45901</c:v>
                </c:pt>
                <c:pt idx="128">
                  <c:v>45898</c:v>
                </c:pt>
                <c:pt idx="129">
                  <c:v>45897</c:v>
                </c:pt>
                <c:pt idx="130">
                  <c:v>45895</c:v>
                </c:pt>
                <c:pt idx="131">
                  <c:v>45894</c:v>
                </c:pt>
                <c:pt idx="132">
                  <c:v>45891</c:v>
                </c:pt>
                <c:pt idx="133">
                  <c:v>45890</c:v>
                </c:pt>
                <c:pt idx="134">
                  <c:v>45889</c:v>
                </c:pt>
                <c:pt idx="135">
                  <c:v>45888</c:v>
                </c:pt>
                <c:pt idx="136">
                  <c:v>45887</c:v>
                </c:pt>
                <c:pt idx="137">
                  <c:v>45883</c:v>
                </c:pt>
                <c:pt idx="138">
                  <c:v>45882</c:v>
                </c:pt>
                <c:pt idx="139">
                  <c:v>45881</c:v>
                </c:pt>
                <c:pt idx="140">
                  <c:v>45880</c:v>
                </c:pt>
                <c:pt idx="141">
                  <c:v>45877</c:v>
                </c:pt>
                <c:pt idx="142">
                  <c:v>45876</c:v>
                </c:pt>
                <c:pt idx="143">
                  <c:v>45875</c:v>
                </c:pt>
                <c:pt idx="144">
                  <c:v>45874</c:v>
                </c:pt>
                <c:pt idx="145">
                  <c:v>45873</c:v>
                </c:pt>
                <c:pt idx="146">
                  <c:v>45870</c:v>
                </c:pt>
                <c:pt idx="147">
                  <c:v>45869</c:v>
                </c:pt>
                <c:pt idx="148">
                  <c:v>45868</c:v>
                </c:pt>
                <c:pt idx="149">
                  <c:v>45867</c:v>
                </c:pt>
                <c:pt idx="150">
                  <c:v>45866</c:v>
                </c:pt>
                <c:pt idx="151">
                  <c:v>45863</c:v>
                </c:pt>
                <c:pt idx="152">
                  <c:v>45862</c:v>
                </c:pt>
                <c:pt idx="153">
                  <c:v>45861</c:v>
                </c:pt>
                <c:pt idx="154">
                  <c:v>45860</c:v>
                </c:pt>
                <c:pt idx="155">
                  <c:v>45859</c:v>
                </c:pt>
                <c:pt idx="156">
                  <c:v>45856</c:v>
                </c:pt>
                <c:pt idx="157">
                  <c:v>45855</c:v>
                </c:pt>
                <c:pt idx="158">
                  <c:v>45854</c:v>
                </c:pt>
                <c:pt idx="159">
                  <c:v>45853</c:v>
                </c:pt>
                <c:pt idx="160">
                  <c:v>45852</c:v>
                </c:pt>
                <c:pt idx="161">
                  <c:v>45849</c:v>
                </c:pt>
                <c:pt idx="162">
                  <c:v>45848</c:v>
                </c:pt>
                <c:pt idx="163">
                  <c:v>45847</c:v>
                </c:pt>
                <c:pt idx="164">
                  <c:v>45846</c:v>
                </c:pt>
                <c:pt idx="165">
                  <c:v>45845</c:v>
                </c:pt>
                <c:pt idx="166">
                  <c:v>45842</c:v>
                </c:pt>
                <c:pt idx="167">
                  <c:v>45841</c:v>
                </c:pt>
                <c:pt idx="168">
                  <c:v>45840</c:v>
                </c:pt>
                <c:pt idx="169">
                  <c:v>45839</c:v>
                </c:pt>
                <c:pt idx="170">
                  <c:v>45838</c:v>
                </c:pt>
                <c:pt idx="171">
                  <c:v>45835</c:v>
                </c:pt>
                <c:pt idx="172">
                  <c:v>45834</c:v>
                </c:pt>
                <c:pt idx="173">
                  <c:v>45833</c:v>
                </c:pt>
                <c:pt idx="174">
                  <c:v>45832</c:v>
                </c:pt>
                <c:pt idx="175">
                  <c:v>45831</c:v>
                </c:pt>
                <c:pt idx="176">
                  <c:v>45828</c:v>
                </c:pt>
                <c:pt idx="177">
                  <c:v>45827</c:v>
                </c:pt>
                <c:pt idx="178">
                  <c:v>45826</c:v>
                </c:pt>
                <c:pt idx="179">
                  <c:v>45825</c:v>
                </c:pt>
                <c:pt idx="180">
                  <c:v>45824</c:v>
                </c:pt>
                <c:pt idx="181">
                  <c:v>45821</c:v>
                </c:pt>
                <c:pt idx="182">
                  <c:v>45820</c:v>
                </c:pt>
                <c:pt idx="183">
                  <c:v>45819</c:v>
                </c:pt>
                <c:pt idx="184">
                  <c:v>45818</c:v>
                </c:pt>
                <c:pt idx="185">
                  <c:v>45817</c:v>
                </c:pt>
                <c:pt idx="186">
                  <c:v>45814</c:v>
                </c:pt>
                <c:pt idx="187">
                  <c:v>45813</c:v>
                </c:pt>
                <c:pt idx="188">
                  <c:v>45812</c:v>
                </c:pt>
                <c:pt idx="189">
                  <c:v>45811</c:v>
                </c:pt>
                <c:pt idx="190">
                  <c:v>45810</c:v>
                </c:pt>
                <c:pt idx="191">
                  <c:v>45807</c:v>
                </c:pt>
                <c:pt idx="192">
                  <c:v>45806</c:v>
                </c:pt>
                <c:pt idx="193">
                  <c:v>45805</c:v>
                </c:pt>
                <c:pt idx="194">
                  <c:v>45804</c:v>
                </c:pt>
                <c:pt idx="195">
                  <c:v>45803</c:v>
                </c:pt>
                <c:pt idx="196">
                  <c:v>45800</c:v>
                </c:pt>
                <c:pt idx="197">
                  <c:v>45799</c:v>
                </c:pt>
                <c:pt idx="198">
                  <c:v>45798</c:v>
                </c:pt>
                <c:pt idx="199">
                  <c:v>45797</c:v>
                </c:pt>
                <c:pt idx="200">
                  <c:v>45796</c:v>
                </c:pt>
                <c:pt idx="201">
                  <c:v>45793</c:v>
                </c:pt>
                <c:pt idx="202">
                  <c:v>45792</c:v>
                </c:pt>
                <c:pt idx="203">
                  <c:v>45791</c:v>
                </c:pt>
                <c:pt idx="204">
                  <c:v>45790</c:v>
                </c:pt>
                <c:pt idx="205">
                  <c:v>45789</c:v>
                </c:pt>
                <c:pt idx="206">
                  <c:v>45786</c:v>
                </c:pt>
                <c:pt idx="207">
                  <c:v>45785</c:v>
                </c:pt>
                <c:pt idx="208">
                  <c:v>45784</c:v>
                </c:pt>
                <c:pt idx="209">
                  <c:v>45783</c:v>
                </c:pt>
                <c:pt idx="210">
                  <c:v>45782</c:v>
                </c:pt>
                <c:pt idx="211">
                  <c:v>45779</c:v>
                </c:pt>
                <c:pt idx="212">
                  <c:v>45777</c:v>
                </c:pt>
                <c:pt idx="213">
                  <c:v>45776</c:v>
                </c:pt>
                <c:pt idx="214">
                  <c:v>45775</c:v>
                </c:pt>
                <c:pt idx="215">
                  <c:v>45772</c:v>
                </c:pt>
                <c:pt idx="216">
                  <c:v>45771</c:v>
                </c:pt>
                <c:pt idx="217">
                  <c:v>45770</c:v>
                </c:pt>
                <c:pt idx="218">
                  <c:v>45769</c:v>
                </c:pt>
                <c:pt idx="219">
                  <c:v>45768</c:v>
                </c:pt>
                <c:pt idx="220">
                  <c:v>45764</c:v>
                </c:pt>
                <c:pt idx="221">
                  <c:v>45763</c:v>
                </c:pt>
                <c:pt idx="222">
                  <c:v>45762</c:v>
                </c:pt>
                <c:pt idx="223">
                  <c:v>45758</c:v>
                </c:pt>
                <c:pt idx="224">
                  <c:v>45756</c:v>
                </c:pt>
                <c:pt idx="225">
                  <c:v>45755</c:v>
                </c:pt>
                <c:pt idx="226">
                  <c:v>45754</c:v>
                </c:pt>
                <c:pt idx="227">
                  <c:v>45751</c:v>
                </c:pt>
                <c:pt idx="228">
                  <c:v>45750</c:v>
                </c:pt>
                <c:pt idx="229">
                  <c:v>45749</c:v>
                </c:pt>
                <c:pt idx="230">
                  <c:v>45748</c:v>
                </c:pt>
                <c:pt idx="231">
                  <c:v>45744</c:v>
                </c:pt>
                <c:pt idx="232">
                  <c:v>45743</c:v>
                </c:pt>
                <c:pt idx="233">
                  <c:v>45742</c:v>
                </c:pt>
                <c:pt idx="234">
                  <c:v>45741</c:v>
                </c:pt>
                <c:pt idx="235">
                  <c:v>45740</c:v>
                </c:pt>
                <c:pt idx="236">
                  <c:v>45737</c:v>
                </c:pt>
                <c:pt idx="237">
                  <c:v>45736</c:v>
                </c:pt>
                <c:pt idx="238">
                  <c:v>45735</c:v>
                </c:pt>
                <c:pt idx="239">
                  <c:v>45734</c:v>
                </c:pt>
                <c:pt idx="240">
                  <c:v>45733</c:v>
                </c:pt>
                <c:pt idx="241">
                  <c:v>45729</c:v>
                </c:pt>
                <c:pt idx="242">
                  <c:v>45728</c:v>
                </c:pt>
                <c:pt idx="243">
                  <c:v>45727</c:v>
                </c:pt>
                <c:pt idx="244">
                  <c:v>45726</c:v>
                </c:pt>
                <c:pt idx="245">
                  <c:v>45723</c:v>
                </c:pt>
                <c:pt idx="246">
                  <c:v>45722</c:v>
                </c:pt>
              </c:numCache>
            </c:numRef>
          </c:cat>
          <c:val>
            <c:numRef>
              <c:f>'Co-variance'!$E$5:$E$251</c:f>
              <c:numCache>
                <c:formatCode>#,##0.00</c:formatCode>
                <c:ptCount val="247"/>
                <c:pt idx="0">
                  <c:v>1357.6</c:v>
                </c:pt>
                <c:pt idx="1">
                  <c:v>1365.4</c:v>
                </c:pt>
                <c:pt idx="2">
                  <c:v>1374</c:v>
                </c:pt>
                <c:pt idx="3">
                  <c:v>1378.9</c:v>
                </c:pt>
                <c:pt idx="4">
                  <c:v>1404.9</c:v>
                </c:pt>
                <c:pt idx="5">
                  <c:v>1400.5</c:v>
                </c:pt>
                <c:pt idx="6">
                  <c:v>1384.8</c:v>
                </c:pt>
                <c:pt idx="7">
                  <c:v>1399.4</c:v>
                </c:pt>
                <c:pt idx="8">
                  <c:v>1394.5</c:v>
                </c:pt>
                <c:pt idx="9">
                  <c:v>1388.8</c:v>
                </c:pt>
                <c:pt idx="10">
                  <c:v>1408.2</c:v>
                </c:pt>
                <c:pt idx="11">
                  <c:v>1407.5</c:v>
                </c:pt>
                <c:pt idx="12">
                  <c:v>1411.6</c:v>
                </c:pt>
                <c:pt idx="13">
                  <c:v>1414.6</c:v>
                </c:pt>
                <c:pt idx="14">
                  <c:v>1430</c:v>
                </c:pt>
                <c:pt idx="15">
                  <c:v>1406.1</c:v>
                </c:pt>
                <c:pt idx="16">
                  <c:v>1406.5</c:v>
                </c:pt>
                <c:pt idx="17">
                  <c:v>1396.3</c:v>
                </c:pt>
                <c:pt idx="18">
                  <c:v>1406.1</c:v>
                </c:pt>
                <c:pt idx="19">
                  <c:v>1396.5</c:v>
                </c:pt>
                <c:pt idx="20">
                  <c:v>1408.4</c:v>
                </c:pt>
                <c:pt idx="21">
                  <c:v>1389.7</c:v>
                </c:pt>
                <c:pt idx="22">
                  <c:v>1352.8</c:v>
                </c:pt>
                <c:pt idx="23">
                  <c:v>1334.2</c:v>
                </c:pt>
                <c:pt idx="24">
                  <c:v>1355</c:v>
                </c:pt>
                <c:pt idx="25">
                  <c:v>1383.6</c:v>
                </c:pt>
                <c:pt idx="26">
                  <c:v>1367.7</c:v>
                </c:pt>
                <c:pt idx="27">
                  <c:v>1361.4</c:v>
                </c:pt>
                <c:pt idx="28">
                  <c:v>1343.4</c:v>
                </c:pt>
                <c:pt idx="29">
                  <c:v>1345.5</c:v>
                </c:pt>
                <c:pt idx="30">
                  <c:v>1349</c:v>
                </c:pt>
                <c:pt idx="31">
                  <c:v>1375.8</c:v>
                </c:pt>
                <c:pt idx="32">
                  <c:v>1380.6</c:v>
                </c:pt>
                <c:pt idx="33">
                  <c:v>1410.8</c:v>
                </c:pt>
                <c:pt idx="34">
                  <c:v>1418.4</c:v>
                </c:pt>
                <c:pt idx="35">
                  <c:v>1437</c:v>
                </c:pt>
                <c:pt idx="36">
                  <c:v>1413.1</c:v>
                </c:pt>
                <c:pt idx="37">
                  <c:v>1404.3</c:v>
                </c:pt>
                <c:pt idx="38">
                  <c:v>1435</c:v>
                </c:pt>
                <c:pt idx="39">
                  <c:v>1427.7</c:v>
                </c:pt>
                <c:pt idx="40">
                  <c:v>1411.2</c:v>
                </c:pt>
                <c:pt idx="41">
                  <c:v>1371.5</c:v>
                </c:pt>
                <c:pt idx="42">
                  <c:v>1355.4</c:v>
                </c:pt>
                <c:pt idx="43">
                  <c:v>1338</c:v>
                </c:pt>
                <c:pt idx="44">
                  <c:v>1342.9</c:v>
                </c:pt>
                <c:pt idx="45">
                  <c:v>1342.5</c:v>
                </c:pt>
                <c:pt idx="46">
                  <c:v>1343.3</c:v>
                </c:pt>
                <c:pt idx="47">
                  <c:v>1350.4</c:v>
                </c:pt>
                <c:pt idx="48">
                  <c:v>1359.8</c:v>
                </c:pt>
                <c:pt idx="49">
                  <c:v>1363</c:v>
                </c:pt>
                <c:pt idx="50">
                  <c:v>1368.5</c:v>
                </c:pt>
                <c:pt idx="51">
                  <c:v>1354.1</c:v>
                </c:pt>
                <c:pt idx="52">
                  <c:v>1356.8</c:v>
                </c:pt>
                <c:pt idx="53">
                  <c:v>1352.4</c:v>
                </c:pt>
                <c:pt idx="54">
                  <c:v>1366</c:v>
                </c:pt>
                <c:pt idx="55">
                  <c:v>1365.2</c:v>
                </c:pt>
                <c:pt idx="56">
                  <c:v>1366</c:v>
                </c:pt>
                <c:pt idx="57">
                  <c:v>1360</c:v>
                </c:pt>
                <c:pt idx="58">
                  <c:v>1363.6</c:v>
                </c:pt>
                <c:pt idx="59">
                  <c:v>1375.2</c:v>
                </c:pt>
                <c:pt idx="60">
                  <c:v>1389.6</c:v>
                </c:pt>
                <c:pt idx="61">
                  <c:v>1392.5</c:v>
                </c:pt>
                <c:pt idx="62">
                  <c:v>1386.7</c:v>
                </c:pt>
                <c:pt idx="63">
                  <c:v>1391.5</c:v>
                </c:pt>
                <c:pt idx="64">
                  <c:v>1373</c:v>
                </c:pt>
                <c:pt idx="65">
                  <c:v>1390.1</c:v>
                </c:pt>
                <c:pt idx="66">
                  <c:v>1388.8</c:v>
                </c:pt>
                <c:pt idx="67">
                  <c:v>1392.2</c:v>
                </c:pt>
                <c:pt idx="68">
                  <c:v>1375</c:v>
                </c:pt>
                <c:pt idx="69">
                  <c:v>1357.8</c:v>
                </c:pt>
                <c:pt idx="70">
                  <c:v>1368.4</c:v>
                </c:pt>
                <c:pt idx="71">
                  <c:v>1369.5</c:v>
                </c:pt>
                <c:pt idx="72">
                  <c:v>1383</c:v>
                </c:pt>
                <c:pt idx="73">
                  <c:v>1383.1</c:v>
                </c:pt>
                <c:pt idx="74">
                  <c:v>1373.4</c:v>
                </c:pt>
                <c:pt idx="75">
                  <c:v>1379</c:v>
                </c:pt>
                <c:pt idx="76">
                  <c:v>1373</c:v>
                </c:pt>
                <c:pt idx="77">
                  <c:v>1385.9</c:v>
                </c:pt>
                <c:pt idx="78">
                  <c:v>1358.9</c:v>
                </c:pt>
                <c:pt idx="79">
                  <c:v>1358.3</c:v>
                </c:pt>
                <c:pt idx="80">
                  <c:v>1348</c:v>
                </c:pt>
                <c:pt idx="81">
                  <c:v>1343</c:v>
                </c:pt>
                <c:pt idx="82">
                  <c:v>1320.4</c:v>
                </c:pt>
                <c:pt idx="83">
                  <c:v>1336.9</c:v>
                </c:pt>
                <c:pt idx="84">
                  <c:v>1346.4</c:v>
                </c:pt>
                <c:pt idx="85">
                  <c:v>1345.3</c:v>
                </c:pt>
                <c:pt idx="86">
                  <c:v>1362.4</c:v>
                </c:pt>
                <c:pt idx="87">
                  <c:v>1370.4</c:v>
                </c:pt>
                <c:pt idx="88">
                  <c:v>1363.1</c:v>
                </c:pt>
                <c:pt idx="89">
                  <c:v>1377.6</c:v>
                </c:pt>
                <c:pt idx="90">
                  <c:v>1377.7</c:v>
                </c:pt>
                <c:pt idx="91">
                  <c:v>1363.7</c:v>
                </c:pt>
                <c:pt idx="92">
                  <c:v>1382</c:v>
                </c:pt>
                <c:pt idx="93">
                  <c:v>1390.3</c:v>
                </c:pt>
                <c:pt idx="94">
                  <c:v>1436.6</c:v>
                </c:pt>
                <c:pt idx="95">
                  <c:v>1417.3</c:v>
                </c:pt>
                <c:pt idx="96">
                  <c:v>1398.4</c:v>
                </c:pt>
                <c:pt idx="97">
                  <c:v>1384.1</c:v>
                </c:pt>
                <c:pt idx="98">
                  <c:v>1379.4</c:v>
                </c:pt>
                <c:pt idx="99">
                  <c:v>1380.3</c:v>
                </c:pt>
                <c:pt idx="100">
                  <c:v>1376.2</c:v>
                </c:pt>
                <c:pt idx="101">
                  <c:v>1370.3</c:v>
                </c:pt>
                <c:pt idx="102">
                  <c:v>1375.9</c:v>
                </c:pt>
                <c:pt idx="103">
                  <c:v>1363.4</c:v>
                </c:pt>
                <c:pt idx="104">
                  <c:v>1365.2</c:v>
                </c:pt>
                <c:pt idx="105">
                  <c:v>1372</c:v>
                </c:pt>
                <c:pt idx="106">
                  <c:v>1348</c:v>
                </c:pt>
                <c:pt idx="107">
                  <c:v>1348.1</c:v>
                </c:pt>
                <c:pt idx="108">
                  <c:v>1359.6</c:v>
                </c:pt>
                <c:pt idx="109">
                  <c:v>1375.8</c:v>
                </c:pt>
                <c:pt idx="110">
                  <c:v>1382.7</c:v>
                </c:pt>
                <c:pt idx="111">
                  <c:v>1394.3</c:v>
                </c:pt>
                <c:pt idx="112">
                  <c:v>1401.5</c:v>
                </c:pt>
                <c:pt idx="113">
                  <c:v>1402.2</c:v>
                </c:pt>
                <c:pt idx="114">
                  <c:v>1421.7</c:v>
                </c:pt>
                <c:pt idx="115">
                  <c:v>1419.2</c:v>
                </c:pt>
                <c:pt idx="116">
                  <c:v>1421.6</c:v>
                </c:pt>
                <c:pt idx="117">
                  <c:v>1419.4</c:v>
                </c:pt>
                <c:pt idx="118">
                  <c:v>1417.7</c:v>
                </c:pt>
                <c:pt idx="119">
                  <c:v>1401.6</c:v>
                </c:pt>
                <c:pt idx="120">
                  <c:v>1403.9</c:v>
                </c:pt>
                <c:pt idx="121">
                  <c:v>1403.7</c:v>
                </c:pt>
                <c:pt idx="122">
                  <c:v>1402.7</c:v>
                </c:pt>
                <c:pt idx="123">
                  <c:v>1402.8</c:v>
                </c:pt>
                <c:pt idx="124">
                  <c:v>1405.5</c:v>
                </c:pt>
                <c:pt idx="125">
                  <c:v>1397</c:v>
                </c:pt>
                <c:pt idx="126">
                  <c:v>1394.2</c:v>
                </c:pt>
                <c:pt idx="127">
                  <c:v>1411</c:v>
                </c:pt>
                <c:pt idx="128">
                  <c:v>1397.8</c:v>
                </c:pt>
                <c:pt idx="129">
                  <c:v>1399.1</c:v>
                </c:pt>
                <c:pt idx="130">
                  <c:v>1416.6</c:v>
                </c:pt>
                <c:pt idx="131">
                  <c:v>1433.2</c:v>
                </c:pt>
                <c:pt idx="132">
                  <c:v>1436.4</c:v>
                </c:pt>
                <c:pt idx="133">
                  <c:v>1446</c:v>
                </c:pt>
                <c:pt idx="134">
                  <c:v>1430.6</c:v>
                </c:pt>
                <c:pt idx="135">
                  <c:v>1436.3</c:v>
                </c:pt>
                <c:pt idx="136">
                  <c:v>1434.6</c:v>
                </c:pt>
                <c:pt idx="137">
                  <c:v>1427.3</c:v>
                </c:pt>
                <c:pt idx="138">
                  <c:v>1420.8</c:v>
                </c:pt>
                <c:pt idx="139">
                  <c:v>1422</c:v>
                </c:pt>
                <c:pt idx="140">
                  <c:v>1436.6</c:v>
                </c:pt>
                <c:pt idx="141">
                  <c:v>1435.9</c:v>
                </c:pt>
                <c:pt idx="142">
                  <c:v>1440.3</c:v>
                </c:pt>
                <c:pt idx="143">
                  <c:v>1443.6</c:v>
                </c:pt>
                <c:pt idx="144">
                  <c:v>1444.4</c:v>
                </c:pt>
                <c:pt idx="145">
                  <c:v>1463.2</c:v>
                </c:pt>
                <c:pt idx="146">
                  <c:v>1471.6</c:v>
                </c:pt>
                <c:pt idx="147">
                  <c:v>1481.4</c:v>
                </c:pt>
                <c:pt idx="148">
                  <c:v>1482.4</c:v>
                </c:pt>
                <c:pt idx="149">
                  <c:v>1486.2</c:v>
                </c:pt>
                <c:pt idx="150">
                  <c:v>1488.4</c:v>
                </c:pt>
                <c:pt idx="151">
                  <c:v>1477.1</c:v>
                </c:pt>
                <c:pt idx="152">
                  <c:v>1483.4</c:v>
                </c:pt>
                <c:pt idx="153">
                  <c:v>1488.6</c:v>
                </c:pt>
                <c:pt idx="154">
                  <c:v>1473.6</c:v>
                </c:pt>
                <c:pt idx="155">
                  <c:v>1465.8</c:v>
                </c:pt>
                <c:pt idx="156">
                  <c:v>1425.8</c:v>
                </c:pt>
                <c:pt idx="157">
                  <c:v>1418.7</c:v>
                </c:pt>
                <c:pt idx="158">
                  <c:v>1426.4</c:v>
                </c:pt>
                <c:pt idx="159">
                  <c:v>1430.8</c:v>
                </c:pt>
                <c:pt idx="160">
                  <c:v>1423</c:v>
                </c:pt>
                <c:pt idx="161">
                  <c:v>1421.9</c:v>
                </c:pt>
                <c:pt idx="162">
                  <c:v>1424.1</c:v>
                </c:pt>
                <c:pt idx="163">
                  <c:v>1431.9</c:v>
                </c:pt>
                <c:pt idx="164">
                  <c:v>1442</c:v>
                </c:pt>
                <c:pt idx="165">
                  <c:v>1435.7</c:v>
                </c:pt>
                <c:pt idx="166">
                  <c:v>1442.8</c:v>
                </c:pt>
                <c:pt idx="167">
                  <c:v>1425.9</c:v>
                </c:pt>
                <c:pt idx="168">
                  <c:v>1427.8</c:v>
                </c:pt>
                <c:pt idx="169">
                  <c:v>1432</c:v>
                </c:pt>
                <c:pt idx="170">
                  <c:v>1445.8</c:v>
                </c:pt>
                <c:pt idx="171">
                  <c:v>1462.2</c:v>
                </c:pt>
                <c:pt idx="172">
                  <c:v>1439.1</c:v>
                </c:pt>
                <c:pt idx="173">
                  <c:v>1425.8</c:v>
                </c:pt>
                <c:pt idx="174">
                  <c:v>1424.1</c:v>
                </c:pt>
                <c:pt idx="175">
                  <c:v>1420.1</c:v>
                </c:pt>
                <c:pt idx="176">
                  <c:v>1427.1</c:v>
                </c:pt>
                <c:pt idx="177">
                  <c:v>1411.3</c:v>
                </c:pt>
                <c:pt idx="178">
                  <c:v>1412.6</c:v>
                </c:pt>
                <c:pt idx="179">
                  <c:v>1423.2</c:v>
                </c:pt>
                <c:pt idx="180">
                  <c:v>1426.9</c:v>
                </c:pt>
                <c:pt idx="181">
                  <c:v>1416.1</c:v>
                </c:pt>
                <c:pt idx="182">
                  <c:v>1425.2</c:v>
                </c:pt>
                <c:pt idx="183">
                  <c:v>1431</c:v>
                </c:pt>
                <c:pt idx="184">
                  <c:v>1422.9</c:v>
                </c:pt>
                <c:pt idx="185">
                  <c:v>1434.8</c:v>
                </c:pt>
                <c:pt idx="186">
                  <c:v>1459.7</c:v>
                </c:pt>
                <c:pt idx="187">
                  <c:v>1454.8</c:v>
                </c:pt>
                <c:pt idx="188">
                  <c:v>1431</c:v>
                </c:pt>
                <c:pt idx="189">
                  <c:v>1437.9</c:v>
                </c:pt>
                <c:pt idx="190">
                  <c:v>1450.5</c:v>
                </c:pt>
                <c:pt idx="191">
                  <c:v>1445.8</c:v>
                </c:pt>
                <c:pt idx="192">
                  <c:v>1456.5</c:v>
                </c:pt>
                <c:pt idx="193">
                  <c:v>1453.8</c:v>
                </c:pt>
                <c:pt idx="194">
                  <c:v>1446.4</c:v>
                </c:pt>
                <c:pt idx="195">
                  <c:v>1460.6</c:v>
                </c:pt>
                <c:pt idx="196">
                  <c:v>1449.8</c:v>
                </c:pt>
                <c:pt idx="197">
                  <c:v>1442.1</c:v>
                </c:pt>
                <c:pt idx="198">
                  <c:v>1444.7</c:v>
                </c:pt>
                <c:pt idx="199">
                  <c:v>1438.2</c:v>
                </c:pt>
                <c:pt idx="200">
                  <c:v>1449</c:v>
                </c:pt>
                <c:pt idx="201">
                  <c:v>1454</c:v>
                </c:pt>
                <c:pt idx="202">
                  <c:v>1450.8</c:v>
                </c:pt>
                <c:pt idx="203">
                  <c:v>1426.2</c:v>
                </c:pt>
                <c:pt idx="204">
                  <c:v>1430.6</c:v>
                </c:pt>
                <c:pt idx="205">
                  <c:v>1448.5</c:v>
                </c:pt>
                <c:pt idx="206">
                  <c:v>1388.9</c:v>
                </c:pt>
                <c:pt idx="207">
                  <c:v>1435.5</c:v>
                </c:pt>
                <c:pt idx="208">
                  <c:v>1435.4</c:v>
                </c:pt>
                <c:pt idx="209">
                  <c:v>1431.6</c:v>
                </c:pt>
                <c:pt idx="210">
                  <c:v>1429.4</c:v>
                </c:pt>
                <c:pt idx="211">
                  <c:v>1432.4</c:v>
                </c:pt>
                <c:pt idx="212">
                  <c:v>1427</c:v>
                </c:pt>
                <c:pt idx="213">
                  <c:v>1429.8</c:v>
                </c:pt>
                <c:pt idx="214">
                  <c:v>1428.8</c:v>
                </c:pt>
                <c:pt idx="215">
                  <c:v>1404.8</c:v>
                </c:pt>
                <c:pt idx="216">
                  <c:v>1402.7</c:v>
                </c:pt>
                <c:pt idx="217">
                  <c:v>1424.4</c:v>
                </c:pt>
                <c:pt idx="218">
                  <c:v>1416.5</c:v>
                </c:pt>
                <c:pt idx="219">
                  <c:v>1409.8</c:v>
                </c:pt>
                <c:pt idx="220">
                  <c:v>1406.7</c:v>
                </c:pt>
                <c:pt idx="221">
                  <c:v>1356.4</c:v>
                </c:pt>
                <c:pt idx="222">
                  <c:v>1350.2</c:v>
                </c:pt>
                <c:pt idx="223">
                  <c:v>1311.65</c:v>
                </c:pt>
                <c:pt idx="224">
                  <c:v>1300.8</c:v>
                </c:pt>
                <c:pt idx="225">
                  <c:v>1299.9000000000001</c:v>
                </c:pt>
                <c:pt idx="226">
                  <c:v>1287.55</c:v>
                </c:pt>
                <c:pt idx="227">
                  <c:v>1335.3</c:v>
                </c:pt>
                <c:pt idx="228">
                  <c:v>1329.55</c:v>
                </c:pt>
                <c:pt idx="229">
                  <c:v>1331.25</c:v>
                </c:pt>
                <c:pt idx="230">
                  <c:v>1318.45</c:v>
                </c:pt>
                <c:pt idx="231">
                  <c:v>1348.35</c:v>
                </c:pt>
                <c:pt idx="232">
                  <c:v>1336.65</c:v>
                </c:pt>
                <c:pt idx="233">
                  <c:v>1335.9</c:v>
                </c:pt>
                <c:pt idx="234">
                  <c:v>1343.7</c:v>
                </c:pt>
                <c:pt idx="235">
                  <c:v>1358.15</c:v>
                </c:pt>
                <c:pt idx="236">
                  <c:v>1343.1</c:v>
                </c:pt>
                <c:pt idx="237">
                  <c:v>1321.7</c:v>
                </c:pt>
                <c:pt idx="238">
                  <c:v>1313.1</c:v>
                </c:pt>
                <c:pt idx="239">
                  <c:v>1309.8499999999999</c:v>
                </c:pt>
                <c:pt idx="240">
                  <c:v>1269</c:v>
                </c:pt>
                <c:pt idx="241">
                  <c:v>1250.05</c:v>
                </c:pt>
                <c:pt idx="242">
                  <c:v>1243.95</c:v>
                </c:pt>
                <c:pt idx="243">
                  <c:v>1245.4000000000001</c:v>
                </c:pt>
                <c:pt idx="244">
                  <c:v>1214.8499999999999</c:v>
                </c:pt>
                <c:pt idx="245">
                  <c:v>1214.55</c:v>
                </c:pt>
                <c:pt idx="246">
                  <c:v>1218.05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9-400F-818C-E1F948AC0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3827088"/>
        <c:axId val="2053825648"/>
      </c:lineChart>
      <c:dateAx>
        <c:axId val="2053827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825648"/>
        <c:crosses val="autoZero"/>
        <c:auto val="1"/>
        <c:lblOffset val="100"/>
        <c:baseTimeUnit val="days"/>
      </c:dateAx>
      <c:valAx>
        <c:axId val="205382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82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7620</xdr:rowOff>
    </xdr:from>
    <xdr:to>
      <xdr:col>15</xdr:col>
      <xdr:colOff>304800</xdr:colOff>
      <xdr:row>19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F5C2A3-EF6E-4508-AB5D-A5C7BDCE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19</xdr:row>
      <xdr:rowOff>137160</xdr:rowOff>
    </xdr:from>
    <xdr:to>
      <xdr:col>15</xdr:col>
      <xdr:colOff>312420</xdr:colOff>
      <xdr:row>34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A8723D-23FC-9328-B5F8-8CF1CF29B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579120</xdr:colOff>
      <xdr:row>66</xdr:row>
      <xdr:rowOff>45720</xdr:rowOff>
    </xdr:from>
    <xdr:to>
      <xdr:col>15</xdr:col>
      <xdr:colOff>274320</xdr:colOff>
      <xdr:row>81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ADF548-AF2F-71C8-C712-B915F2F61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50</xdr:row>
      <xdr:rowOff>53340</xdr:rowOff>
    </xdr:from>
    <xdr:to>
      <xdr:col>15</xdr:col>
      <xdr:colOff>304800</xdr:colOff>
      <xdr:row>65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A9A920-8CBB-36F0-C767-D68FC4AB3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34</xdr:row>
      <xdr:rowOff>175260</xdr:rowOff>
    </xdr:from>
    <xdr:to>
      <xdr:col>15</xdr:col>
      <xdr:colOff>304800</xdr:colOff>
      <xdr:row>49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73685E4-2481-FF38-79C7-D3F8E8DEF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7620</xdr:colOff>
      <xdr:row>1</xdr:row>
      <xdr:rowOff>83820</xdr:rowOff>
    </xdr:from>
    <xdr:to>
      <xdr:col>15</xdr:col>
      <xdr:colOff>579120</xdr:colOff>
      <xdr:row>1</xdr:row>
      <xdr:rowOff>83820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9DF191E-101D-64FF-CBDF-35E1C5D2BF61}"/>
            </a:ext>
          </a:extLst>
        </xdr:cNvPr>
        <xdr:cNvCxnSpPr/>
      </xdr:nvCxnSpPr>
      <xdr:spPr>
        <a:xfrm>
          <a:off x="1569720" y="266700"/>
          <a:ext cx="8313420" cy="0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678180</xdr:colOff>
      <xdr:row>16</xdr:row>
      <xdr:rowOff>121920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C76A72D-A547-2466-6213-CF8276C7CAD6}"/>
            </a:ext>
          </a:extLst>
        </xdr:cNvPr>
        <xdr:cNvSpPr txBox="1"/>
      </xdr:nvSpPr>
      <xdr:spPr>
        <a:xfrm>
          <a:off x="2485644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19</xdr:col>
      <xdr:colOff>45720</xdr:colOff>
      <xdr:row>1</xdr:row>
      <xdr:rowOff>129540</xdr:rowOff>
    </xdr:from>
    <xdr:to>
      <xdr:col>23</xdr:col>
      <xdr:colOff>601980</xdr:colOff>
      <xdr:row>1</xdr:row>
      <xdr:rowOff>129540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CF77728-0E9B-AB8B-1B74-035A9CDC35C2}"/>
            </a:ext>
          </a:extLst>
        </xdr:cNvPr>
        <xdr:cNvCxnSpPr/>
      </xdr:nvCxnSpPr>
      <xdr:spPr>
        <a:xfrm>
          <a:off x="11932920" y="312420"/>
          <a:ext cx="299466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548640</xdr:colOff>
      <xdr:row>2</xdr:row>
      <xdr:rowOff>7620</xdr:rowOff>
    </xdr:from>
    <xdr:to>
      <xdr:col>23</xdr:col>
      <xdr:colOff>548640</xdr:colOff>
      <xdr:row>8</xdr:row>
      <xdr:rowOff>106680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1E1FD62-69D7-81A6-DE1F-88394EF57B80}"/>
            </a:ext>
          </a:extLst>
        </xdr:cNvPr>
        <xdr:cNvCxnSpPr/>
      </xdr:nvCxnSpPr>
      <xdr:spPr>
        <a:xfrm>
          <a:off x="14874240" y="373380"/>
          <a:ext cx="0" cy="119634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312420</xdr:colOff>
      <xdr:row>8</xdr:row>
      <xdr:rowOff>167640</xdr:rowOff>
    </xdr:from>
    <xdr:to>
      <xdr:col>26</xdr:col>
      <xdr:colOff>967740</xdr:colOff>
      <xdr:row>13</xdr:row>
      <xdr:rowOff>106680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5D065B7C-3FCA-CC34-4B21-147CA8353664}"/>
            </a:ext>
          </a:extLst>
        </xdr:cNvPr>
        <xdr:cNvCxnSpPr/>
      </xdr:nvCxnSpPr>
      <xdr:spPr>
        <a:xfrm rot="16200000" flipH="1">
          <a:off x="16870680" y="1729740"/>
          <a:ext cx="853440" cy="655320"/>
        </a:xfrm>
        <a:prstGeom prst="bentConnector3">
          <a:avLst>
            <a:gd name="adj1" fmla="val 99107"/>
          </a:avLst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502023</xdr:colOff>
      <xdr:row>1</xdr:row>
      <xdr:rowOff>121920</xdr:rowOff>
    </xdr:from>
    <xdr:to>
      <xdr:col>33</xdr:col>
      <xdr:colOff>7620</xdr:colOff>
      <xdr:row>13</xdr:row>
      <xdr:rowOff>107576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F5D8EF52-EE33-12F2-625E-F3D45EA47F65}"/>
            </a:ext>
          </a:extLst>
        </xdr:cNvPr>
        <xdr:cNvCxnSpPr/>
      </xdr:nvCxnSpPr>
      <xdr:spPr>
        <a:xfrm flipV="1">
          <a:off x="20287129" y="301214"/>
          <a:ext cx="3127338" cy="2137186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DE14-E010-44AE-A7CC-9FE4CBEA7B57}">
  <dimension ref="B2:AM265"/>
  <sheetViews>
    <sheetView showGridLines="0" tabSelected="1" zoomScale="70" zoomScaleNormal="70" workbookViewId="0">
      <selection activeCell="AP22" sqref="AP22"/>
    </sheetView>
  </sheetViews>
  <sheetFormatPr defaultRowHeight="14.4" x14ac:dyDescent="0.3"/>
  <cols>
    <col min="1" max="1" width="1.88671875" customWidth="1"/>
    <col min="2" max="2" width="11.21875" customWidth="1"/>
    <col min="3" max="7" width="10.44140625" customWidth="1"/>
    <col min="17" max="17" width="11" customWidth="1"/>
    <col min="25" max="25" width="12.21875" customWidth="1"/>
    <col min="26" max="26" width="12.88671875" customWidth="1"/>
    <col min="27" max="27" width="14.77734375" customWidth="1"/>
    <col min="28" max="28" width="17.5546875" customWidth="1"/>
    <col min="29" max="33" width="13.21875" customWidth="1"/>
    <col min="34" max="34" width="13.109375" customWidth="1"/>
    <col min="35" max="35" width="13.77734375" bestFit="1" customWidth="1"/>
    <col min="36" max="37" width="16" customWidth="1"/>
  </cols>
  <sheetData>
    <row r="2" spans="2:39" x14ac:dyDescent="0.3">
      <c r="B2" s="24" t="s">
        <v>6</v>
      </c>
      <c r="C2" s="25"/>
      <c r="Q2" s="24" t="s">
        <v>7</v>
      </c>
      <c r="R2" s="25"/>
      <c r="S2" s="8" t="s">
        <v>8</v>
      </c>
      <c r="Y2" s="24" t="s">
        <v>9</v>
      </c>
      <c r="Z2" s="25"/>
      <c r="AA2" s="24"/>
      <c r="AB2" s="25"/>
      <c r="AH2" s="24" t="s">
        <v>20</v>
      </c>
      <c r="AI2" s="24"/>
      <c r="AJ2" s="24"/>
      <c r="AK2" s="24"/>
    </row>
    <row r="3" spans="2:39" x14ac:dyDescent="0.3">
      <c r="J3" s="1"/>
      <c r="L3" s="2"/>
      <c r="M3" s="2"/>
      <c r="N3" s="2"/>
      <c r="P3" s="3"/>
    </row>
    <row r="4" spans="2:39" x14ac:dyDescent="0.3">
      <c r="B4" s="26" t="s">
        <v>0</v>
      </c>
      <c r="C4" s="26" t="s">
        <v>1</v>
      </c>
      <c r="D4" s="26" t="s">
        <v>2</v>
      </c>
      <c r="E4" s="26" t="s">
        <v>5</v>
      </c>
      <c r="F4" s="26" t="s">
        <v>3</v>
      </c>
      <c r="G4" s="26" t="s">
        <v>4</v>
      </c>
      <c r="I4" s="2"/>
      <c r="J4" s="2"/>
      <c r="L4" s="2"/>
      <c r="M4" s="3"/>
      <c r="N4" s="2"/>
      <c r="P4" s="3"/>
      <c r="Q4" s="26" t="s">
        <v>0</v>
      </c>
      <c r="R4" s="26" t="s">
        <v>1</v>
      </c>
      <c r="S4" s="26" t="s">
        <v>2</v>
      </c>
      <c r="T4" s="26" t="s">
        <v>5</v>
      </c>
      <c r="U4" s="26" t="s">
        <v>3</v>
      </c>
      <c r="V4" s="26" t="s">
        <v>4</v>
      </c>
      <c r="Y4" s="26" t="s">
        <v>10</v>
      </c>
      <c r="Z4" s="26" t="s">
        <v>1</v>
      </c>
      <c r="AA4" s="26" t="s">
        <v>2</v>
      </c>
      <c r="AB4" s="26" t="s">
        <v>5</v>
      </c>
      <c r="AC4" s="26" t="s">
        <v>3</v>
      </c>
      <c r="AD4" s="26" t="s">
        <v>4</v>
      </c>
      <c r="AH4" s="5" t="s">
        <v>21</v>
      </c>
      <c r="AI4" s="6"/>
      <c r="AJ4" s="6"/>
      <c r="AK4" s="6"/>
      <c r="AL4" s="3"/>
      <c r="AM4" s="3"/>
    </row>
    <row r="5" spans="2:39" x14ac:dyDescent="0.3">
      <c r="B5" s="1">
        <v>46086</v>
      </c>
      <c r="C5" s="2">
        <v>2255</v>
      </c>
      <c r="D5" s="2">
        <v>4275.2</v>
      </c>
      <c r="E5" s="2">
        <v>1357.6</v>
      </c>
      <c r="F5" s="2">
        <v>2578.8000000000002</v>
      </c>
      <c r="G5" s="2">
        <v>3348</v>
      </c>
      <c r="I5" s="2"/>
      <c r="J5" s="2"/>
      <c r="L5" s="2"/>
      <c r="M5" s="3"/>
      <c r="N5" s="2"/>
      <c r="P5" s="3"/>
      <c r="Q5" s="1">
        <v>46086</v>
      </c>
      <c r="Y5" t="s">
        <v>11</v>
      </c>
      <c r="Z5" s="9">
        <v>0.15</v>
      </c>
      <c r="AA5" s="9">
        <v>0.25</v>
      </c>
      <c r="AB5" s="9">
        <v>0.3</v>
      </c>
      <c r="AC5" s="9">
        <v>0.2</v>
      </c>
      <c r="AD5" s="9">
        <v>0.1</v>
      </c>
      <c r="AE5" s="9"/>
      <c r="AH5" s="31" t="s">
        <v>22</v>
      </c>
      <c r="AI5" s="3">
        <f>$AC$11</f>
        <v>-1.9499080527828785E-4</v>
      </c>
      <c r="AJ5" s="3">
        <f t="shared" ref="AJ5:AK5" si="0">$AC$11</f>
        <v>-1.9499080527828785E-4</v>
      </c>
      <c r="AK5" s="3">
        <f t="shared" si="0"/>
        <v>-1.9499080527828785E-4</v>
      </c>
      <c r="AL5" s="3"/>
      <c r="AM5" s="3"/>
    </row>
    <row r="6" spans="2:39" x14ac:dyDescent="0.3">
      <c r="B6" s="1">
        <v>46085</v>
      </c>
      <c r="C6" s="2">
        <v>2261.3000000000002</v>
      </c>
      <c r="D6" s="2">
        <v>4204.3999999999996</v>
      </c>
      <c r="E6" s="2">
        <v>1365.4</v>
      </c>
      <c r="F6" s="2">
        <v>2587.8000000000002</v>
      </c>
      <c r="G6" s="2">
        <v>3264.3</v>
      </c>
      <c r="I6" s="2"/>
      <c r="J6" s="2"/>
      <c r="L6" s="2"/>
      <c r="M6" s="3"/>
      <c r="N6" s="2"/>
      <c r="P6" s="3"/>
      <c r="Q6" s="1">
        <v>46085</v>
      </c>
      <c r="R6" s="7">
        <f>C6/C5-1</f>
        <v>2.7937915742795028E-3</v>
      </c>
      <c r="S6" s="7">
        <f t="shared" ref="S6:V6" si="1">D6/D5-1</f>
        <v>-1.656062874251496E-2</v>
      </c>
      <c r="T6" s="7">
        <f t="shared" si="1"/>
        <v>5.7454331172659412E-3</v>
      </c>
      <c r="U6" s="7">
        <f t="shared" si="1"/>
        <v>3.4899953466729361E-3</v>
      </c>
      <c r="V6" s="7">
        <f t="shared" si="1"/>
        <v>-2.4999999999999911E-2</v>
      </c>
      <c r="Y6" t="s">
        <v>12</v>
      </c>
      <c r="AA6" s="10">
        <v>10000000</v>
      </c>
      <c r="AH6" s="31" t="s">
        <v>23</v>
      </c>
      <c r="AI6" s="3">
        <f>$AD$25</f>
        <v>7.5902672809318858E-3</v>
      </c>
      <c r="AJ6" s="3">
        <f t="shared" ref="AJ6:AK6" si="2">$AD$25</f>
        <v>7.5902672809318858E-3</v>
      </c>
      <c r="AK6" s="3">
        <f t="shared" si="2"/>
        <v>7.5902672809318858E-3</v>
      </c>
      <c r="AL6" s="3"/>
      <c r="AM6" s="3"/>
    </row>
    <row r="7" spans="2:39" x14ac:dyDescent="0.3">
      <c r="B7" s="1">
        <v>46083</v>
      </c>
      <c r="C7" s="2">
        <v>2320.6</v>
      </c>
      <c r="D7" s="2">
        <v>4270.3</v>
      </c>
      <c r="E7" s="2">
        <v>1374</v>
      </c>
      <c r="F7" s="2">
        <v>2613.5</v>
      </c>
      <c r="G7" s="2">
        <v>3334.3</v>
      </c>
      <c r="I7" s="2"/>
      <c r="J7" s="2"/>
      <c r="L7" s="2"/>
      <c r="M7" s="3"/>
      <c r="N7" s="2"/>
      <c r="P7" s="3"/>
      <c r="Q7" s="1">
        <v>46083</v>
      </c>
      <c r="R7" s="7">
        <f t="shared" ref="R7:R70" si="3">C7/C6-1</f>
        <v>2.6223853535576769E-2</v>
      </c>
      <c r="S7" s="7">
        <f t="shared" ref="S7:S70" si="4">D7/D6-1</f>
        <v>1.567405575111791E-2</v>
      </c>
      <c r="T7" s="7">
        <f t="shared" ref="T7:T70" si="5">E7/E6-1</f>
        <v>6.2985205800496491E-3</v>
      </c>
      <c r="U7" s="7">
        <f t="shared" ref="U7:U70" si="6">F7/F6-1</f>
        <v>9.9312157044593175E-3</v>
      </c>
      <c r="V7" s="7">
        <f t="shared" ref="V7:V70" si="7">G7/G6-1</f>
        <v>2.1444107465612872E-2</v>
      </c>
      <c r="Y7" t="s">
        <v>13</v>
      </c>
      <c r="Z7" s="10">
        <f>Z5*$AA$6</f>
        <v>1500000</v>
      </c>
      <c r="AA7" s="10">
        <f t="shared" ref="AA7:AD7" si="8">AA5*$AA$6</f>
        <v>2500000</v>
      </c>
      <c r="AB7" s="10">
        <f t="shared" si="8"/>
        <v>3000000</v>
      </c>
      <c r="AC7" s="10">
        <f t="shared" si="8"/>
        <v>2000000</v>
      </c>
      <c r="AD7" s="10">
        <f t="shared" si="8"/>
        <v>1000000</v>
      </c>
      <c r="AE7" s="10" t="str">
        <f ca="1">_xlfn.FORMULATEXT(AD7)</f>
        <v>=AD5*$AA$6</v>
      </c>
      <c r="AH7" s="32" t="s">
        <v>24</v>
      </c>
      <c r="AI7" s="21">
        <v>0.99</v>
      </c>
      <c r="AJ7" s="21">
        <v>0.95</v>
      </c>
      <c r="AK7" s="21">
        <v>0.9</v>
      </c>
      <c r="AL7" s="21"/>
      <c r="AM7" s="21"/>
    </row>
    <row r="8" spans="2:39" x14ac:dyDescent="0.3">
      <c r="B8" s="1">
        <v>46080</v>
      </c>
      <c r="C8" s="2">
        <v>2338.1</v>
      </c>
      <c r="D8" s="2">
        <v>4327.5</v>
      </c>
      <c r="E8" s="2">
        <v>1378.9</v>
      </c>
      <c r="F8" s="2">
        <v>2637.4</v>
      </c>
      <c r="G8" s="2">
        <v>3397.4</v>
      </c>
      <c r="I8" s="2"/>
      <c r="J8" s="2"/>
      <c r="L8" s="2"/>
      <c r="M8" s="3"/>
      <c r="N8" s="2"/>
      <c r="P8" s="3"/>
      <c r="Q8" s="1">
        <v>46080</v>
      </c>
      <c r="R8" s="7">
        <f t="shared" si="3"/>
        <v>7.5411531500473306E-3</v>
      </c>
      <c r="S8" s="7">
        <f t="shared" si="4"/>
        <v>1.3394843453621519E-2</v>
      </c>
      <c r="T8" s="7">
        <f t="shared" si="5"/>
        <v>3.5662299854439805E-3</v>
      </c>
      <c r="U8" s="7">
        <f t="shared" si="6"/>
        <v>9.1448249473886634E-3</v>
      </c>
      <c r="V8" s="7">
        <f t="shared" si="7"/>
        <v>1.8924511891551532E-2</v>
      </c>
      <c r="AH8" s="31" t="s">
        <v>25</v>
      </c>
      <c r="AI8" s="9">
        <f>1-AI7</f>
        <v>1.0000000000000009E-2</v>
      </c>
      <c r="AJ8" s="9">
        <f t="shared" ref="AJ8:AK8" si="9">1-AJ7</f>
        <v>5.0000000000000044E-2</v>
      </c>
      <c r="AK8" s="9">
        <f t="shared" si="9"/>
        <v>9.9999999999999978E-2</v>
      </c>
      <c r="AL8" s="9"/>
      <c r="AM8" s="9"/>
    </row>
    <row r="9" spans="2:39" x14ac:dyDescent="0.3">
      <c r="B9" s="1">
        <v>46079</v>
      </c>
      <c r="C9" s="2">
        <v>2383.3000000000002</v>
      </c>
      <c r="D9" s="2">
        <v>4342.6000000000004</v>
      </c>
      <c r="E9" s="2">
        <v>1404.9</v>
      </c>
      <c r="F9" s="2">
        <v>2647.7</v>
      </c>
      <c r="G9" s="2">
        <v>3484.6</v>
      </c>
      <c r="I9" s="2"/>
      <c r="J9" s="2"/>
      <c r="L9" s="2"/>
      <c r="M9" s="3"/>
      <c r="N9" s="2"/>
      <c r="P9" s="3"/>
      <c r="Q9" s="1">
        <v>46079</v>
      </c>
      <c r="R9" s="7">
        <f t="shared" si="3"/>
        <v>1.9331936187502841E-2</v>
      </c>
      <c r="S9" s="7">
        <f t="shared" si="4"/>
        <v>3.4893125361064037E-3</v>
      </c>
      <c r="T9" s="7">
        <f t="shared" si="5"/>
        <v>1.8855609543839247E-2</v>
      </c>
      <c r="U9" s="7">
        <f t="shared" si="6"/>
        <v>3.9053613407142862E-3</v>
      </c>
      <c r="V9" s="7">
        <f t="shared" si="7"/>
        <v>2.5666686289515406E-2</v>
      </c>
      <c r="Y9" s="24" t="s">
        <v>14</v>
      </c>
      <c r="Z9" s="24"/>
      <c r="AA9" s="24"/>
      <c r="AH9" s="31" t="s">
        <v>26</v>
      </c>
      <c r="AI9" s="22">
        <f>_xlfn.NORM.S.INV(AI8)</f>
        <v>-2.3263478740408408</v>
      </c>
      <c r="AJ9" s="22">
        <f t="shared" ref="AJ9:AK9" si="10">_xlfn.NORM.S.INV(AJ8)</f>
        <v>-1.6448536269514715</v>
      </c>
      <c r="AK9" s="22">
        <f t="shared" si="10"/>
        <v>-1.2815515655446006</v>
      </c>
    </row>
    <row r="10" spans="2:39" x14ac:dyDescent="0.3">
      <c r="B10" s="1">
        <v>46078</v>
      </c>
      <c r="C10" s="2">
        <v>2374.9</v>
      </c>
      <c r="D10" s="2">
        <v>4325</v>
      </c>
      <c r="E10" s="2">
        <v>1400.5</v>
      </c>
      <c r="F10" s="2">
        <v>2629.3</v>
      </c>
      <c r="G10" s="2">
        <v>3491.3</v>
      </c>
      <c r="I10" s="2"/>
      <c r="J10" s="2"/>
      <c r="L10" s="2"/>
      <c r="M10" s="3"/>
      <c r="N10" s="2"/>
      <c r="P10" s="3"/>
      <c r="Q10" s="1">
        <v>46078</v>
      </c>
      <c r="R10" s="7">
        <f t="shared" si="3"/>
        <v>-3.5245248185289402E-3</v>
      </c>
      <c r="S10" s="7">
        <f t="shared" si="4"/>
        <v>-4.0528715516051639E-3</v>
      </c>
      <c r="T10" s="7">
        <f t="shared" si="5"/>
        <v>-3.131895508577176E-3</v>
      </c>
      <c r="U10" s="7">
        <f t="shared" si="6"/>
        <v>-6.9494278052648628E-3</v>
      </c>
      <c r="V10" s="7">
        <f t="shared" si="7"/>
        <v>1.9227457957873284E-3</v>
      </c>
      <c r="Y10" t="str">
        <f ca="1">_xlfn.FORMULATEXT(Z13)</f>
        <v>=(R6*$Z$5+S6*$AA$5+T6*$AB$5+U6*$AC$5+V6*$AD$5)</v>
      </c>
      <c r="AH10" s="31" t="s">
        <v>27</v>
      </c>
      <c r="AI10" s="10">
        <f>$AA$6</f>
        <v>10000000</v>
      </c>
      <c r="AJ10" s="10">
        <f t="shared" ref="AJ10:AK10" si="11">$AA$6</f>
        <v>10000000</v>
      </c>
      <c r="AK10" s="10">
        <f t="shared" si="11"/>
        <v>10000000</v>
      </c>
    </row>
    <row r="11" spans="2:39" x14ac:dyDescent="0.3">
      <c r="B11" s="1">
        <v>46077</v>
      </c>
      <c r="C11" s="2">
        <v>2358.6</v>
      </c>
      <c r="D11" s="2">
        <v>4294.5</v>
      </c>
      <c r="E11" s="2">
        <v>1384.8</v>
      </c>
      <c r="F11" s="2">
        <v>2573.6999999999998</v>
      </c>
      <c r="G11" s="2">
        <v>3433.2</v>
      </c>
      <c r="I11" s="2"/>
      <c r="J11" s="2"/>
      <c r="L11" s="2"/>
      <c r="M11" s="3"/>
      <c r="N11" s="2"/>
      <c r="P11" s="3"/>
      <c r="Q11" s="1">
        <v>46077</v>
      </c>
      <c r="R11" s="7">
        <f t="shared" si="3"/>
        <v>-6.8634468819740446E-3</v>
      </c>
      <c r="S11" s="7">
        <f t="shared" si="4"/>
        <v>-7.0520231213873075E-3</v>
      </c>
      <c r="T11" s="7">
        <f t="shared" si="5"/>
        <v>-1.1210282042127817E-2</v>
      </c>
      <c r="U11" s="7">
        <f t="shared" si="6"/>
        <v>-2.1146312706804227E-2</v>
      </c>
      <c r="V11" s="7">
        <f t="shared" si="7"/>
        <v>-1.664136568040564E-2</v>
      </c>
      <c r="Y11" s="26" t="s">
        <v>0</v>
      </c>
      <c r="Z11" s="26" t="s">
        <v>15</v>
      </c>
      <c r="AB11" s="4" t="s">
        <v>16</v>
      </c>
      <c r="AC11" s="3">
        <f>AVERAGE(Z13:Z258)</f>
        <v>-1.9499080527828785E-4</v>
      </c>
      <c r="AD11" t="str">
        <f ca="1">_xlfn.FORMULATEXT(AC11)</f>
        <v>=AVERAGE(Z13:Z258)</v>
      </c>
      <c r="AH11" s="33" t="s">
        <v>28</v>
      </c>
      <c r="AI11" s="23">
        <f>(AI5-(AI7*AI6))*AI10</f>
        <v>-77093.554134008547</v>
      </c>
      <c r="AJ11" s="23">
        <f t="shared" ref="AJ11:AK11" si="12">(AJ5-(AJ7*AJ6))*AJ10</f>
        <v>-74057.447221635783</v>
      </c>
      <c r="AK11" s="23">
        <f>(AK5-(AK7*AK6))*AK10</f>
        <v>-70262.313581169845</v>
      </c>
      <c r="AL11" t="str">
        <f ca="1">_xlfn.FORMULATEXT(AK11)</f>
        <v>=(AK5-(AK7*AK6))*AK10</v>
      </c>
    </row>
    <row r="12" spans="2:39" x14ac:dyDescent="0.3">
      <c r="B12" s="1">
        <v>46076</v>
      </c>
      <c r="C12" s="2">
        <v>2345.4</v>
      </c>
      <c r="D12" s="2">
        <v>4272.7</v>
      </c>
      <c r="E12" s="2">
        <v>1399.4</v>
      </c>
      <c r="F12" s="2">
        <v>2676.3</v>
      </c>
      <c r="G12" s="2">
        <v>3447.1</v>
      </c>
      <c r="I12" s="2"/>
      <c r="J12" s="2"/>
      <c r="L12" s="2"/>
      <c r="M12" s="3"/>
      <c r="N12" s="2"/>
      <c r="P12" s="3"/>
      <c r="Q12" s="1">
        <v>46076</v>
      </c>
      <c r="R12" s="7">
        <f t="shared" si="3"/>
        <v>-5.5965403205290309E-3</v>
      </c>
      <c r="S12" s="7">
        <f t="shared" si="4"/>
        <v>-5.0762603329841394E-3</v>
      </c>
      <c r="T12" s="7">
        <f t="shared" si="5"/>
        <v>1.0543038705950414E-2</v>
      </c>
      <c r="U12" s="7">
        <f t="shared" si="6"/>
        <v>3.9864786105606953E-2</v>
      </c>
      <c r="V12" s="7">
        <f t="shared" si="7"/>
        <v>4.0487009204241975E-3</v>
      </c>
      <c r="Y12" s="1">
        <v>46086</v>
      </c>
    </row>
    <row r="13" spans="2:39" x14ac:dyDescent="0.3">
      <c r="B13" s="1">
        <v>46073</v>
      </c>
      <c r="C13" s="2">
        <v>2314.5</v>
      </c>
      <c r="D13" s="2">
        <v>4236.3999999999996</v>
      </c>
      <c r="E13" s="2">
        <v>1394.5</v>
      </c>
      <c r="F13" s="2">
        <v>2686.2</v>
      </c>
      <c r="G13" s="2">
        <v>3412.8</v>
      </c>
      <c r="I13" s="2"/>
      <c r="J13" s="2"/>
      <c r="L13" s="2"/>
      <c r="M13" s="3"/>
      <c r="N13" s="2"/>
      <c r="P13" s="3"/>
      <c r="Q13" s="1">
        <v>46073</v>
      </c>
      <c r="R13" s="7">
        <f t="shared" si="3"/>
        <v>-1.3174724993604503E-2</v>
      </c>
      <c r="S13" s="7">
        <f t="shared" si="4"/>
        <v>-8.4957989093548125E-3</v>
      </c>
      <c r="T13" s="7">
        <f t="shared" si="5"/>
        <v>-3.5015006431328155E-3</v>
      </c>
      <c r="U13" s="7">
        <f t="shared" si="6"/>
        <v>3.6991368680638903E-3</v>
      </c>
      <c r="V13" s="7">
        <f t="shared" si="7"/>
        <v>-9.9503930840415533E-3</v>
      </c>
      <c r="Y13" s="1">
        <v>46085</v>
      </c>
      <c r="Z13" s="7">
        <f t="shared" ref="Z13:Z76" si="13">(R6*$Z$5+S6*$AA$5+T6*$AB$5+U6*$AC$5+V6*$AD$5)</f>
        <v>-3.7994594449724363E-3</v>
      </c>
    </row>
    <row r="14" spans="2:39" x14ac:dyDescent="0.3">
      <c r="B14" s="1">
        <v>46072</v>
      </c>
      <c r="C14" s="2">
        <v>2279.3000000000002</v>
      </c>
      <c r="D14" s="2">
        <v>4198.2</v>
      </c>
      <c r="E14" s="2">
        <v>1388.8</v>
      </c>
      <c r="F14" s="2">
        <v>2677.9</v>
      </c>
      <c r="G14" s="2">
        <v>3431.8</v>
      </c>
      <c r="I14" s="2"/>
      <c r="J14" s="2"/>
      <c r="L14" s="2"/>
      <c r="M14" s="3"/>
      <c r="N14" s="2"/>
      <c r="P14" s="3"/>
      <c r="Q14" s="1">
        <v>46072</v>
      </c>
      <c r="R14" s="7">
        <f t="shared" si="3"/>
        <v>-1.5208468351695759E-2</v>
      </c>
      <c r="S14" s="7">
        <f t="shared" si="4"/>
        <v>-9.0170899820601891E-3</v>
      </c>
      <c r="T14" s="7">
        <f t="shared" si="5"/>
        <v>-4.087486554320563E-3</v>
      </c>
      <c r="U14" s="7">
        <f t="shared" si="6"/>
        <v>-3.0898667262302393E-3</v>
      </c>
      <c r="V14" s="7">
        <f t="shared" si="7"/>
        <v>5.5672761368963375E-3</v>
      </c>
      <c r="Y14" s="1">
        <v>46083</v>
      </c>
      <c r="Z14" s="7">
        <f>(R7*$Z$5+S7*$AA$5+T7*$AB$5+U7*$AC$5+V7*$AD$5)</f>
        <v>1.387230202958404E-2</v>
      </c>
      <c r="AB14" s="24" t="s">
        <v>17</v>
      </c>
      <c r="AC14" s="24"/>
      <c r="AD14" s="24"/>
    </row>
    <row r="15" spans="2:39" ht="15" thickBot="1" x14ac:dyDescent="0.35">
      <c r="B15" s="1">
        <v>46071</v>
      </c>
      <c r="C15" s="2">
        <v>2323.5</v>
      </c>
      <c r="D15" s="2">
        <v>4248.6000000000004</v>
      </c>
      <c r="E15" s="2">
        <v>1408.2</v>
      </c>
      <c r="F15" s="2">
        <v>2694.9</v>
      </c>
      <c r="G15" s="2">
        <v>3530.5</v>
      </c>
      <c r="I15" s="2"/>
      <c r="J15" s="2"/>
      <c r="L15" s="2"/>
      <c r="M15" s="3"/>
      <c r="N15" s="2"/>
      <c r="P15" s="3"/>
      <c r="Q15" s="1">
        <v>46071</v>
      </c>
      <c r="R15" s="7">
        <f t="shared" si="3"/>
        <v>1.9391918571491251E-2</v>
      </c>
      <c r="S15" s="7">
        <f t="shared" si="4"/>
        <v>1.2005145062169653E-2</v>
      </c>
      <c r="T15" s="7">
        <f t="shared" si="5"/>
        <v>1.3968894009216637E-2</v>
      </c>
      <c r="U15" s="7">
        <f t="shared" si="6"/>
        <v>6.3482579633293845E-3</v>
      </c>
      <c r="V15" s="7">
        <f t="shared" si="7"/>
        <v>2.8760417273733907E-2</v>
      </c>
      <c r="Y15" s="1">
        <v>46080</v>
      </c>
      <c r="Z15" s="7">
        <f t="shared" si="13"/>
        <v>9.2711690101785586E-3</v>
      </c>
      <c r="AI15" t="s">
        <v>31</v>
      </c>
    </row>
    <row r="16" spans="2:39" x14ac:dyDescent="0.3">
      <c r="B16" s="1">
        <v>46070</v>
      </c>
      <c r="C16" s="2">
        <v>2312.3000000000002</v>
      </c>
      <c r="D16" s="2">
        <v>4236.3999999999996</v>
      </c>
      <c r="E16" s="2">
        <v>1407.5</v>
      </c>
      <c r="F16" s="2">
        <v>2717.4</v>
      </c>
      <c r="G16" s="2">
        <v>3489.2</v>
      </c>
      <c r="I16" s="2"/>
      <c r="J16" s="2"/>
      <c r="L16" s="2"/>
      <c r="M16" s="3"/>
      <c r="N16" s="2"/>
      <c r="P16" s="3"/>
      <c r="Q16" s="1">
        <v>46070</v>
      </c>
      <c r="R16" s="7">
        <f t="shared" si="3"/>
        <v>-4.8203141811921091E-3</v>
      </c>
      <c r="S16" s="7">
        <f t="shared" si="4"/>
        <v>-2.8715341524268023E-3</v>
      </c>
      <c r="T16" s="7">
        <f t="shared" si="5"/>
        <v>-4.9708848174978559E-4</v>
      </c>
      <c r="U16" s="7">
        <f t="shared" si="6"/>
        <v>8.3491038628520364E-3</v>
      </c>
      <c r="V16" s="7">
        <f t="shared" si="7"/>
        <v>-1.1698059764905899E-2</v>
      </c>
      <c r="Y16" s="1">
        <v>46079</v>
      </c>
      <c r="Z16" s="7">
        <f t="shared" si="13"/>
        <v>1.2776542322398199E-2</v>
      </c>
      <c r="AB16" s="27"/>
      <c r="AC16" s="28" t="s">
        <v>1</v>
      </c>
      <c r="AD16" s="28" t="s">
        <v>2</v>
      </c>
      <c r="AE16" s="28" t="s">
        <v>5</v>
      </c>
      <c r="AF16" s="28" t="s">
        <v>3</v>
      </c>
      <c r="AG16" s="28" t="s">
        <v>4</v>
      </c>
      <c r="AI16" t="s">
        <v>29</v>
      </c>
    </row>
    <row r="17" spans="2:35" x14ac:dyDescent="0.3">
      <c r="B17" s="1">
        <v>46069</v>
      </c>
      <c r="C17" s="2">
        <v>2319</v>
      </c>
      <c r="D17" s="2">
        <v>4181.1000000000004</v>
      </c>
      <c r="E17" s="2">
        <v>1411.6</v>
      </c>
      <c r="F17" s="2">
        <v>2706.6</v>
      </c>
      <c r="G17" s="2">
        <v>3509.7</v>
      </c>
      <c r="I17" s="2"/>
      <c r="J17" s="2"/>
      <c r="L17" s="2"/>
      <c r="M17" s="3"/>
      <c r="N17" s="2"/>
      <c r="P17" s="3"/>
      <c r="Q17" s="1">
        <v>46069</v>
      </c>
      <c r="R17" s="7">
        <f t="shared" si="3"/>
        <v>2.8975478960342471E-3</v>
      </c>
      <c r="S17" s="7">
        <f t="shared" si="4"/>
        <v>-1.3053536021149892E-2</v>
      </c>
      <c r="T17" s="7">
        <f t="shared" si="5"/>
        <v>2.9129662522202615E-3</v>
      </c>
      <c r="U17" s="7">
        <f t="shared" si="6"/>
        <v>-3.9743872819607562E-3</v>
      </c>
      <c r="V17" s="7">
        <f t="shared" si="7"/>
        <v>5.8752722687149816E-3</v>
      </c>
      <c r="Y17" s="1">
        <v>46078</v>
      </c>
      <c r="Z17" s="7">
        <f t="shared" si="13"/>
        <v>-3.6790762447280246E-3</v>
      </c>
      <c r="AB17" s="29" t="s">
        <v>1</v>
      </c>
      <c r="AC17" s="12">
        <f>VARP('Co-variance'!$R$7:$R$251)</f>
        <v>1.3483651020175443E-4</v>
      </c>
      <c r="AD17" s="13">
        <v>2.3998360116746986E-5</v>
      </c>
      <c r="AE17" s="13">
        <v>2.3513467007627261E-5</v>
      </c>
      <c r="AF17" s="13">
        <v>2.6025084472698272E-5</v>
      </c>
      <c r="AG17" s="14">
        <v>4.1381977631350043E-5</v>
      </c>
      <c r="AI17" t="s">
        <v>30</v>
      </c>
    </row>
    <row r="18" spans="2:35" x14ac:dyDescent="0.3">
      <c r="B18" s="1">
        <v>46066</v>
      </c>
      <c r="C18" s="2">
        <v>2305.1999999999998</v>
      </c>
      <c r="D18" s="2">
        <v>4179.2</v>
      </c>
      <c r="E18" s="2">
        <v>1414.6</v>
      </c>
      <c r="F18" s="2">
        <v>2692.2</v>
      </c>
      <c r="G18" s="2">
        <v>3533.4</v>
      </c>
      <c r="I18" s="2"/>
      <c r="J18" s="2"/>
      <c r="L18" s="3"/>
      <c r="M18" s="3"/>
      <c r="N18" s="2"/>
      <c r="P18" s="3"/>
      <c r="Q18" s="1">
        <v>46066</v>
      </c>
      <c r="R18" s="7">
        <f t="shared" si="3"/>
        <v>-5.9508408796895562E-3</v>
      </c>
      <c r="S18" s="7">
        <f t="shared" si="4"/>
        <v>-4.5442586879063107E-4</v>
      </c>
      <c r="T18" s="7">
        <f t="shared" si="5"/>
        <v>2.1252479455935447E-3</v>
      </c>
      <c r="U18" s="7">
        <f t="shared" si="6"/>
        <v>-5.3203280868987513E-3</v>
      </c>
      <c r="V18" s="7">
        <f t="shared" si="7"/>
        <v>6.7527139071716924E-3</v>
      </c>
      <c r="Y18" s="1">
        <v>46077</v>
      </c>
      <c r="Z18" s="7">
        <f t="shared" si="13"/>
        <v>-1.2049006534682688E-2</v>
      </c>
      <c r="AB18" s="29" t="s">
        <v>2</v>
      </c>
      <c r="AC18" s="15">
        <v>2.3998360116746986E-5</v>
      </c>
      <c r="AD18" s="16">
        <f>VARP('Co-variance'!$S$7:$S$251)</f>
        <v>1.5384300729846446E-4</v>
      </c>
      <c r="AE18" s="16">
        <v>2.4523274466708013E-5</v>
      </c>
      <c r="AF18" s="16">
        <v>3.2454480596783356E-5</v>
      </c>
      <c r="AG18" s="17">
        <v>5.8843218361153438E-5</v>
      </c>
    </row>
    <row r="19" spans="2:35" x14ac:dyDescent="0.3">
      <c r="B19" s="1">
        <v>46065</v>
      </c>
      <c r="C19" s="2">
        <v>2409.6999999999998</v>
      </c>
      <c r="D19" s="2">
        <v>4275.8</v>
      </c>
      <c r="E19" s="2">
        <v>1430</v>
      </c>
      <c r="F19" s="2">
        <v>2750.1</v>
      </c>
      <c r="G19" s="2">
        <v>3593.1</v>
      </c>
      <c r="I19" s="2"/>
      <c r="J19" s="2"/>
      <c r="L19" s="3"/>
      <c r="M19" s="3"/>
      <c r="N19" s="2"/>
      <c r="P19" s="3"/>
      <c r="Q19" s="1">
        <v>46065</v>
      </c>
      <c r="R19" s="7">
        <f t="shared" si="3"/>
        <v>4.5332292208918989E-2</v>
      </c>
      <c r="S19" s="7">
        <f t="shared" si="4"/>
        <v>2.3114471669219094E-2</v>
      </c>
      <c r="T19" s="7">
        <f t="shared" si="5"/>
        <v>1.0886469673405896E-2</v>
      </c>
      <c r="U19" s="7">
        <f t="shared" si="6"/>
        <v>2.15065745486962E-2</v>
      </c>
      <c r="V19" s="7">
        <f t="shared" si="7"/>
        <v>1.6895907624384421E-2</v>
      </c>
      <c r="Y19" s="1">
        <v>46076</v>
      </c>
      <c r="Z19" s="7">
        <f t="shared" si="13"/>
        <v>9.4321927936235461E-3</v>
      </c>
      <c r="AB19" s="29" t="s">
        <v>5</v>
      </c>
      <c r="AC19" s="15">
        <v>2.3513467007627261E-5</v>
      </c>
      <c r="AD19" s="16">
        <v>2.4523274466708013E-5</v>
      </c>
      <c r="AE19" s="16">
        <f>VARP('Co-variance'!$T$7:$T$251)</f>
        <v>1.1333758477330502E-4</v>
      </c>
      <c r="AF19" s="16">
        <v>2.4770775011074707E-5</v>
      </c>
      <c r="AG19" s="17">
        <v>5.8906481577932373E-5</v>
      </c>
    </row>
    <row r="20" spans="2:35" x14ac:dyDescent="0.3">
      <c r="B20" s="1">
        <v>46064</v>
      </c>
      <c r="C20" s="2">
        <v>2462.9</v>
      </c>
      <c r="D20" s="2">
        <v>4249.1000000000004</v>
      </c>
      <c r="E20" s="2">
        <v>1406.1</v>
      </c>
      <c r="F20" s="2">
        <v>2909.8</v>
      </c>
      <c r="G20" s="2">
        <v>3674.9</v>
      </c>
      <c r="I20" s="2"/>
      <c r="J20" s="2"/>
      <c r="L20" s="3"/>
      <c r="M20" s="3"/>
      <c r="N20" s="2"/>
      <c r="P20" s="3"/>
      <c r="Q20" s="1">
        <v>46064</v>
      </c>
      <c r="R20" s="7">
        <f t="shared" si="3"/>
        <v>2.2077437025356028E-2</v>
      </c>
      <c r="S20" s="7">
        <f t="shared" si="4"/>
        <v>-6.2444454838860297E-3</v>
      </c>
      <c r="T20" s="7">
        <f t="shared" si="5"/>
        <v>-1.6713286713286757E-2</v>
      </c>
      <c r="U20" s="7">
        <f t="shared" si="6"/>
        <v>5.8070615613977861E-2</v>
      </c>
      <c r="V20" s="7">
        <f t="shared" si="7"/>
        <v>2.2765856781052696E-2</v>
      </c>
      <c r="Y20" s="1">
        <v>46073</v>
      </c>
      <c r="Z20" s="7">
        <f t="shared" si="13"/>
        <v>-5.4058206041105996E-3</v>
      </c>
      <c r="AB20" s="29" t="s">
        <v>3</v>
      </c>
      <c r="AC20" s="15">
        <v>2.6025084472698272E-5</v>
      </c>
      <c r="AD20" s="16">
        <v>3.2454480596783356E-5</v>
      </c>
      <c r="AE20" s="16">
        <v>2.4770775011074707E-5</v>
      </c>
      <c r="AF20" s="16">
        <f>VARP('Co-variance'!$U$7:$U$251)</f>
        <v>1.8455982110464312E-4</v>
      </c>
      <c r="AG20" s="17">
        <v>5.0999570145067487E-5</v>
      </c>
    </row>
    <row r="21" spans="2:35" ht="15" thickBot="1" x14ac:dyDescent="0.35">
      <c r="B21" s="1">
        <v>46063</v>
      </c>
      <c r="C21" s="2">
        <v>2453.6</v>
      </c>
      <c r="D21" s="2">
        <v>4269.1000000000004</v>
      </c>
      <c r="E21" s="2">
        <v>1406.5</v>
      </c>
      <c r="F21" s="2">
        <v>2984.6</v>
      </c>
      <c r="G21" s="2">
        <v>3675.8</v>
      </c>
      <c r="I21" s="2"/>
      <c r="J21" s="2"/>
      <c r="L21" s="3"/>
      <c r="M21" s="3"/>
      <c r="N21" s="2"/>
      <c r="P21" s="3"/>
      <c r="Q21" s="1">
        <v>46063</v>
      </c>
      <c r="R21" s="7">
        <f t="shared" si="3"/>
        <v>-3.7760363798774454E-3</v>
      </c>
      <c r="S21" s="7">
        <f t="shared" si="4"/>
        <v>4.7068791038102908E-3</v>
      </c>
      <c r="T21" s="7">
        <f t="shared" si="5"/>
        <v>2.8447478842186236E-4</v>
      </c>
      <c r="U21" s="7">
        <f t="shared" si="6"/>
        <v>2.5706234105436598E-2</v>
      </c>
      <c r="V21" s="7">
        <f t="shared" si="7"/>
        <v>2.4490462325510443E-4</v>
      </c>
      <c r="Y21" s="1">
        <v>46072</v>
      </c>
      <c r="Z21" s="7">
        <f t="shared" si="13"/>
        <v>-5.8230344461219939E-3</v>
      </c>
      <c r="AB21" s="30" t="s">
        <v>4</v>
      </c>
      <c r="AC21" s="18">
        <v>4.1381977631350043E-5</v>
      </c>
      <c r="AD21" s="19">
        <v>5.8843218361153438E-5</v>
      </c>
      <c r="AE21" s="19">
        <v>5.8906481577932373E-5</v>
      </c>
      <c r="AF21" s="19">
        <v>5.0999570145067487E-5</v>
      </c>
      <c r="AG21" s="20">
        <f>VARP('Co-variance'!$V$7:$V$251)</f>
        <v>2.2483542002137551E-4</v>
      </c>
    </row>
    <row r="22" spans="2:35" x14ac:dyDescent="0.3">
      <c r="B22" s="1">
        <v>46062</v>
      </c>
      <c r="C22" s="2">
        <v>2435</v>
      </c>
      <c r="D22" s="2">
        <v>4257.8</v>
      </c>
      <c r="E22" s="2">
        <v>1396.3</v>
      </c>
      <c r="F22" s="2">
        <v>2948.2</v>
      </c>
      <c r="G22" s="2">
        <v>3609.6</v>
      </c>
      <c r="I22" s="2"/>
      <c r="J22" s="2"/>
      <c r="L22" s="3"/>
      <c r="M22" s="3"/>
      <c r="N22" s="2"/>
      <c r="P22" s="3"/>
      <c r="Q22" s="1">
        <v>46062</v>
      </c>
      <c r="R22" s="7">
        <f t="shared" si="3"/>
        <v>-7.5806977502445028E-3</v>
      </c>
      <c r="S22" s="7">
        <f t="shared" si="4"/>
        <v>-2.6469279239184074E-3</v>
      </c>
      <c r="T22" s="7">
        <f t="shared" si="5"/>
        <v>-7.252044081052289E-3</v>
      </c>
      <c r="U22" s="7">
        <f t="shared" si="6"/>
        <v>-1.2195939154325597E-2</v>
      </c>
      <c r="V22" s="7">
        <f t="shared" si="7"/>
        <v>-1.8009684966537987E-2</v>
      </c>
      <c r="Y22" s="1">
        <v>46071</v>
      </c>
      <c r="Z22" s="7">
        <f t="shared" si="13"/>
        <v>1.4246435574070359E-2</v>
      </c>
    </row>
    <row r="23" spans="2:35" x14ac:dyDescent="0.3">
      <c r="B23" s="1">
        <v>46059</v>
      </c>
      <c r="C23" s="2">
        <v>2424.1999999999998</v>
      </c>
      <c r="D23" s="2">
        <v>4141</v>
      </c>
      <c r="E23" s="2">
        <v>1406.1</v>
      </c>
      <c r="F23" s="2">
        <v>2941.6</v>
      </c>
      <c r="G23" s="2">
        <v>3578</v>
      </c>
      <c r="I23" s="2"/>
      <c r="J23" s="2"/>
      <c r="L23" s="3"/>
      <c r="M23" s="3"/>
      <c r="N23" s="2"/>
      <c r="P23" s="3"/>
      <c r="Q23" s="1">
        <v>46059</v>
      </c>
      <c r="R23" s="7">
        <f t="shared" si="3"/>
        <v>-4.4353182751540876E-3</v>
      </c>
      <c r="S23" s="7">
        <f t="shared" si="4"/>
        <v>-2.7432007139837511E-2</v>
      </c>
      <c r="T23" s="7">
        <f t="shared" si="5"/>
        <v>7.0185490224163871E-3</v>
      </c>
      <c r="U23" s="7">
        <f t="shared" si="6"/>
        <v>-2.2386540940234623E-3</v>
      </c>
      <c r="V23" s="7">
        <f t="shared" si="7"/>
        <v>-8.7544326241134618E-3</v>
      </c>
      <c r="Y23" s="1">
        <v>46070</v>
      </c>
      <c r="Z23" s="7">
        <f t="shared" si="13"/>
        <v>-1.0900424137306349E-3</v>
      </c>
      <c r="AB23" s="11" t="s">
        <v>18</v>
      </c>
    </row>
    <row r="24" spans="2:35" x14ac:dyDescent="0.3">
      <c r="B24" s="1">
        <v>46058</v>
      </c>
      <c r="C24" s="2">
        <v>2354.4</v>
      </c>
      <c r="D24" s="2">
        <v>4097.6000000000004</v>
      </c>
      <c r="E24" s="2">
        <v>1396.5</v>
      </c>
      <c r="F24" s="2">
        <v>2991.5</v>
      </c>
      <c r="G24" s="2">
        <v>3572</v>
      </c>
      <c r="I24" s="2"/>
      <c r="J24" s="2"/>
      <c r="L24" s="3"/>
      <c r="M24" s="3"/>
      <c r="N24" s="2"/>
      <c r="P24" s="3"/>
      <c r="Q24" s="1">
        <v>46058</v>
      </c>
      <c r="R24" s="7">
        <f t="shared" si="3"/>
        <v>-2.879300387756778E-2</v>
      </c>
      <c r="S24" s="7">
        <f t="shared" si="4"/>
        <v>-1.0480560251146964E-2</v>
      </c>
      <c r="T24" s="7">
        <f t="shared" si="5"/>
        <v>-6.8273949221249186E-3</v>
      </c>
      <c r="U24" s="7">
        <f t="shared" si="6"/>
        <v>1.6963557247756444E-2</v>
      </c>
      <c r="V24" s="7">
        <f t="shared" si="7"/>
        <v>-1.676914477361624E-3</v>
      </c>
      <c r="Y24" s="1">
        <v>46069</v>
      </c>
      <c r="Z24" s="7">
        <f t="shared" si="13"/>
        <v>-2.1622121747369109E-3</v>
      </c>
    </row>
    <row r="25" spans="2:35" x14ac:dyDescent="0.3">
      <c r="B25" s="1">
        <v>46057</v>
      </c>
      <c r="C25" s="2">
        <v>2371</v>
      </c>
      <c r="D25" s="2">
        <v>4144</v>
      </c>
      <c r="E25" s="2">
        <v>1408.4</v>
      </c>
      <c r="F25" s="2">
        <v>2999.1</v>
      </c>
      <c r="G25" s="2">
        <v>3574</v>
      </c>
      <c r="I25" s="2"/>
      <c r="J25" s="2"/>
      <c r="L25" s="3"/>
      <c r="M25" s="3"/>
      <c r="N25" s="2"/>
      <c r="P25" s="3"/>
      <c r="Q25" s="1">
        <v>46057</v>
      </c>
      <c r="R25" s="7">
        <f t="shared" si="3"/>
        <v>7.0506286102616222E-3</v>
      </c>
      <c r="S25" s="7">
        <f t="shared" si="4"/>
        <v>1.1323701679031517E-2</v>
      </c>
      <c r="T25" s="7">
        <f t="shared" si="5"/>
        <v>8.5213032581454851E-3</v>
      </c>
      <c r="U25" s="7">
        <f t="shared" si="6"/>
        <v>2.5405315059334743E-3</v>
      </c>
      <c r="V25" s="7">
        <f t="shared" si="7"/>
        <v>5.5991041433367528E-4</v>
      </c>
      <c r="Y25" s="1">
        <v>46066</v>
      </c>
      <c r="Z25" s="7">
        <f t="shared" si="13"/>
        <v>-7.5745244213560887E-4</v>
      </c>
      <c r="AB25" s="4" t="s">
        <v>19</v>
      </c>
      <c r="AD25" s="7">
        <f t="array" ref="AD25">SQRT(MMULT(MMULT(Z5:AD5,AC17:AG21),TRANSPOSE(Z5:AD5)))</f>
        <v>7.5902672809318858E-3</v>
      </c>
      <c r="AE25" t="str">
        <f ca="1">_xlfn.FORMULATEXT(AD25)</f>
        <v>{=SQRT(MMULT(MMULT(Z5:AD5,AC17:AG21),TRANSPOSE(Z5:AD5)))}</v>
      </c>
    </row>
    <row r="26" spans="2:35" x14ac:dyDescent="0.3">
      <c r="B26" s="1">
        <v>46056</v>
      </c>
      <c r="C26" s="2">
        <v>2368.6</v>
      </c>
      <c r="D26" s="2">
        <v>4068.6</v>
      </c>
      <c r="E26" s="2">
        <v>1389.7</v>
      </c>
      <c r="F26" s="2">
        <v>3225.3</v>
      </c>
      <c r="G26" s="2">
        <v>3527.9</v>
      </c>
      <c r="I26" s="2"/>
      <c r="J26" s="2"/>
      <c r="L26" s="3"/>
      <c r="M26" s="3"/>
      <c r="N26" s="2"/>
      <c r="P26" s="3"/>
      <c r="Q26" s="1">
        <v>46056</v>
      </c>
      <c r="R26" s="7">
        <f t="shared" si="3"/>
        <v>-1.0122311261071548E-3</v>
      </c>
      <c r="S26" s="7">
        <f t="shared" si="4"/>
        <v>-1.8194980694980711E-2</v>
      </c>
      <c r="T26" s="7">
        <f t="shared" si="5"/>
        <v>-1.3277477989207642E-2</v>
      </c>
      <c r="U26" s="7">
        <f t="shared" si="6"/>
        <v>7.5422626788036462E-2</v>
      </c>
      <c r="V26" s="7">
        <f t="shared" si="7"/>
        <v>-1.2898712926692757E-2</v>
      </c>
      <c r="Y26" s="1">
        <v>46065</v>
      </c>
      <c r="Z26" s="7">
        <f t="shared" si="13"/>
        <v>2.1835308322842074E-2</v>
      </c>
    </row>
    <row r="27" spans="2:35" x14ac:dyDescent="0.3">
      <c r="B27" s="1">
        <v>46055</v>
      </c>
      <c r="C27" s="2">
        <v>2357.3000000000002</v>
      </c>
      <c r="D27" s="2">
        <v>3953.2</v>
      </c>
      <c r="E27" s="2">
        <v>1352.8</v>
      </c>
      <c r="F27" s="2">
        <v>3169.6</v>
      </c>
      <c r="G27" s="2">
        <v>3463.2</v>
      </c>
      <c r="I27" s="2"/>
      <c r="J27" s="2"/>
      <c r="L27" s="3"/>
      <c r="M27" s="3"/>
      <c r="N27" s="2"/>
      <c r="P27" s="3"/>
      <c r="Q27" s="1">
        <v>46055</v>
      </c>
      <c r="R27" s="7">
        <f t="shared" si="3"/>
        <v>-4.7707506543949174E-3</v>
      </c>
      <c r="S27" s="7">
        <f t="shared" si="4"/>
        <v>-2.8363564862606272E-2</v>
      </c>
      <c r="T27" s="7">
        <f t="shared" si="5"/>
        <v>-2.6552493343887207E-2</v>
      </c>
      <c r="U27" s="7">
        <f t="shared" si="6"/>
        <v>-1.7269711344681249E-2</v>
      </c>
      <c r="V27" s="7">
        <f t="shared" si="7"/>
        <v>-1.8339522095297545E-2</v>
      </c>
      <c r="Y27" s="1">
        <v>46064</v>
      </c>
      <c r="Z27" s="7">
        <f t="shared" si="13"/>
        <v>1.0627226969746712E-2</v>
      </c>
    </row>
    <row r="28" spans="2:35" x14ac:dyDescent="0.3">
      <c r="B28" s="1">
        <v>46054</v>
      </c>
      <c r="C28" s="2">
        <v>2350.6999999999998</v>
      </c>
      <c r="D28" s="2">
        <v>3985.3</v>
      </c>
      <c r="E28" s="2">
        <v>1334.2</v>
      </c>
      <c r="F28" s="2">
        <v>3186.9</v>
      </c>
      <c r="G28" s="2">
        <v>3363.8</v>
      </c>
      <c r="I28" s="2"/>
      <c r="J28" s="2"/>
      <c r="L28" s="3"/>
      <c r="M28" s="3"/>
      <c r="N28" s="2"/>
      <c r="P28" s="3"/>
      <c r="Q28" s="1">
        <v>46054</v>
      </c>
      <c r="R28" s="7">
        <f t="shared" si="3"/>
        <v>-2.799813345777058E-3</v>
      </c>
      <c r="S28" s="7">
        <f t="shared" si="4"/>
        <v>8.1200040473541346E-3</v>
      </c>
      <c r="T28" s="7">
        <f t="shared" si="5"/>
        <v>-1.374926079243044E-2</v>
      </c>
      <c r="U28" s="7">
        <f t="shared" si="6"/>
        <v>5.4581019687027776E-3</v>
      </c>
      <c r="V28" s="7">
        <f t="shared" si="7"/>
        <v>-2.8701778701778591E-2</v>
      </c>
      <c r="Y28" s="1">
        <v>46063</v>
      </c>
      <c r="Z28" s="7">
        <f t="shared" si="13"/>
        <v>5.8613940389103452E-3</v>
      </c>
    </row>
    <row r="29" spans="2:35" x14ac:dyDescent="0.3">
      <c r="B29" s="1">
        <v>46052</v>
      </c>
      <c r="C29" s="2">
        <v>2373</v>
      </c>
      <c r="D29" s="2">
        <v>3977.4</v>
      </c>
      <c r="E29" s="2">
        <v>1355</v>
      </c>
      <c r="F29" s="2">
        <v>3123.9</v>
      </c>
      <c r="G29" s="2">
        <v>3431.8</v>
      </c>
      <c r="I29" s="2"/>
      <c r="J29" s="2"/>
      <c r="L29" s="3"/>
      <c r="M29" s="3"/>
      <c r="N29" s="2"/>
      <c r="P29" s="3"/>
      <c r="Q29" s="1">
        <v>46052</v>
      </c>
      <c r="R29" s="7">
        <f t="shared" si="3"/>
        <v>9.4865359254689974E-3</v>
      </c>
      <c r="S29" s="7">
        <f t="shared" si="4"/>
        <v>-1.9822848969964779E-3</v>
      </c>
      <c r="T29" s="7">
        <f t="shared" si="5"/>
        <v>1.5589866586718681E-2</v>
      </c>
      <c r="U29" s="7">
        <f t="shared" si="6"/>
        <v>-1.976842699802317E-2</v>
      </c>
      <c r="V29" s="7">
        <f t="shared" si="7"/>
        <v>2.0215232772459624E-2</v>
      </c>
      <c r="Y29" s="1">
        <v>46062</v>
      </c>
      <c r="Z29" s="7">
        <f t="shared" si="13"/>
        <v>-8.2146061953508823E-3</v>
      </c>
    </row>
    <row r="30" spans="2:35" x14ac:dyDescent="0.3">
      <c r="B30" s="1">
        <v>46051</v>
      </c>
      <c r="C30" s="2">
        <v>2352.6</v>
      </c>
      <c r="D30" s="2">
        <v>3939.7</v>
      </c>
      <c r="E30" s="2">
        <v>1383.6</v>
      </c>
      <c r="F30" s="2">
        <v>3144.4</v>
      </c>
      <c r="G30" s="2">
        <v>3384.4</v>
      </c>
      <c r="I30" s="2"/>
      <c r="J30" s="2"/>
      <c r="L30" s="3"/>
      <c r="M30" s="3"/>
      <c r="N30" s="2"/>
      <c r="P30" s="3"/>
      <c r="Q30" s="1">
        <v>46051</v>
      </c>
      <c r="R30" s="7">
        <f t="shared" si="3"/>
        <v>-8.5967130214917864E-3</v>
      </c>
      <c r="S30" s="7">
        <f t="shared" si="4"/>
        <v>-9.4785538291346505E-3</v>
      </c>
      <c r="T30" s="7">
        <f t="shared" si="5"/>
        <v>2.1107011070110593E-2</v>
      </c>
      <c r="U30" s="7">
        <f t="shared" si="6"/>
        <v>6.5623099330964774E-3</v>
      </c>
      <c r="V30" s="7">
        <f t="shared" si="7"/>
        <v>-1.3811993705926895E-2</v>
      </c>
      <c r="Y30" s="1">
        <v>46059</v>
      </c>
      <c r="Z30" s="7">
        <f t="shared" si="13"/>
        <v>-6.7409089007236141E-3</v>
      </c>
    </row>
    <row r="31" spans="2:35" x14ac:dyDescent="0.3">
      <c r="B31" s="1">
        <v>46050</v>
      </c>
      <c r="C31" s="2">
        <v>2378.4</v>
      </c>
      <c r="D31" s="2">
        <v>3975.2</v>
      </c>
      <c r="E31" s="2">
        <v>1367.7</v>
      </c>
      <c r="F31" s="2">
        <v>3200.1</v>
      </c>
      <c r="G31" s="2">
        <v>3449.2</v>
      </c>
      <c r="I31" s="2"/>
      <c r="J31" s="2"/>
      <c r="L31" s="3"/>
      <c r="M31" s="3"/>
      <c r="N31" s="2"/>
      <c r="P31" s="3"/>
      <c r="Q31" s="1">
        <v>46050</v>
      </c>
      <c r="R31" s="7">
        <f t="shared" si="3"/>
        <v>1.0966590155572664E-2</v>
      </c>
      <c r="S31" s="7">
        <f t="shared" si="4"/>
        <v>9.0108383887097521E-3</v>
      </c>
      <c r="T31" s="7">
        <f t="shared" si="5"/>
        <v>-1.1491760624457892E-2</v>
      </c>
      <c r="U31" s="7">
        <f t="shared" si="6"/>
        <v>1.7714031293728505E-2</v>
      </c>
      <c r="V31" s="7">
        <f t="shared" si="7"/>
        <v>1.9146672970097978E-2</v>
      </c>
      <c r="Y31" s="1">
        <v>46058</v>
      </c>
      <c r="Z31" s="7">
        <f t="shared" si="13"/>
        <v>-5.7622891192442571E-3</v>
      </c>
    </row>
    <row r="32" spans="2:35" x14ac:dyDescent="0.3">
      <c r="B32" s="1">
        <v>46049</v>
      </c>
      <c r="C32" s="2">
        <v>2400.9</v>
      </c>
      <c r="D32" s="2">
        <v>3997</v>
      </c>
      <c r="E32" s="2">
        <v>1361.4</v>
      </c>
      <c r="F32" s="2">
        <v>3158</v>
      </c>
      <c r="G32" s="2">
        <v>3393.5</v>
      </c>
      <c r="I32" s="2"/>
      <c r="J32" s="2"/>
      <c r="L32" s="3"/>
      <c r="M32" s="3"/>
      <c r="N32" s="2"/>
      <c r="P32" s="3"/>
      <c r="Q32" s="1">
        <v>46049</v>
      </c>
      <c r="R32" s="7">
        <f t="shared" si="3"/>
        <v>9.4601412714430122E-3</v>
      </c>
      <c r="S32" s="7">
        <f t="shared" si="4"/>
        <v>5.4840008049910072E-3</v>
      </c>
      <c r="T32" s="7">
        <f t="shared" si="5"/>
        <v>-4.6062733055494132E-3</v>
      </c>
      <c r="U32" s="7">
        <f t="shared" si="6"/>
        <v>-1.315583888003502E-2</v>
      </c>
      <c r="V32" s="7">
        <f t="shared" si="7"/>
        <v>-1.6148672155862132E-2</v>
      </c>
      <c r="Y32" s="1">
        <v>46057</v>
      </c>
      <c r="Z32" s="7">
        <f t="shared" si="13"/>
        <v>7.0090080313608303E-3</v>
      </c>
    </row>
    <row r="33" spans="2:26" x14ac:dyDescent="0.3">
      <c r="B33" s="1">
        <v>46045</v>
      </c>
      <c r="C33" s="2">
        <v>2409.5</v>
      </c>
      <c r="D33" s="2">
        <v>4021.8</v>
      </c>
      <c r="E33" s="2">
        <v>1343.4</v>
      </c>
      <c r="F33" s="2">
        <v>3162.5</v>
      </c>
      <c r="G33" s="2">
        <v>3543.4</v>
      </c>
      <c r="I33" s="2"/>
      <c r="J33" s="2"/>
      <c r="L33" s="3"/>
      <c r="M33" s="3"/>
      <c r="N33" s="2"/>
      <c r="P33" s="3"/>
      <c r="Q33" s="1">
        <v>46045</v>
      </c>
      <c r="R33" s="7">
        <f t="shared" si="3"/>
        <v>3.5819900870506238E-3</v>
      </c>
      <c r="S33" s="7">
        <f t="shared" si="4"/>
        <v>6.2046534901176731E-3</v>
      </c>
      <c r="T33" s="7">
        <f t="shared" si="5"/>
        <v>-1.3221683561040143E-2</v>
      </c>
      <c r="U33" s="7">
        <f t="shared" si="6"/>
        <v>1.4249525015832543E-3</v>
      </c>
      <c r="V33" s="7">
        <f t="shared" si="7"/>
        <v>4.4172683070576202E-2</v>
      </c>
      <c r="Y33" s="1">
        <v>46056</v>
      </c>
      <c r="Z33" s="7">
        <f t="shared" si="13"/>
        <v>5.110830825514473E-3</v>
      </c>
    </row>
    <row r="34" spans="2:26" x14ac:dyDescent="0.3">
      <c r="B34" s="1">
        <v>46044</v>
      </c>
      <c r="C34" s="2">
        <v>2390.6</v>
      </c>
      <c r="D34" s="2">
        <v>4018.6</v>
      </c>
      <c r="E34" s="2">
        <v>1345.5</v>
      </c>
      <c r="F34" s="2">
        <v>3150.4</v>
      </c>
      <c r="G34" s="2">
        <v>3573.7</v>
      </c>
      <c r="I34" s="2"/>
      <c r="J34" s="2"/>
      <c r="L34" s="3"/>
      <c r="M34" s="3"/>
      <c r="N34" s="2"/>
      <c r="P34" s="3"/>
      <c r="Q34" s="1">
        <v>46044</v>
      </c>
      <c r="R34" s="7">
        <f t="shared" si="3"/>
        <v>-7.8439510271840485E-3</v>
      </c>
      <c r="S34" s="7">
        <f t="shared" si="4"/>
        <v>-7.9566363319916178E-4</v>
      </c>
      <c r="T34" s="7">
        <f t="shared" si="5"/>
        <v>1.5631978561856386E-3</v>
      </c>
      <c r="U34" s="7">
        <f t="shared" si="6"/>
        <v>-3.826086956521757E-3</v>
      </c>
      <c r="V34" s="7">
        <f t="shared" si="7"/>
        <v>8.5511091042500542E-3</v>
      </c>
      <c r="Y34" s="1">
        <v>46055</v>
      </c>
      <c r="Z34" s="7">
        <f t="shared" si="13"/>
        <v>-2.1060146295442971E-2</v>
      </c>
    </row>
    <row r="35" spans="2:26" x14ac:dyDescent="0.3">
      <c r="B35" s="1">
        <v>46043</v>
      </c>
      <c r="C35" s="2">
        <v>2368</v>
      </c>
      <c r="D35" s="2">
        <v>4079.2</v>
      </c>
      <c r="E35" s="2">
        <v>1349</v>
      </c>
      <c r="F35" s="2">
        <v>3122.6</v>
      </c>
      <c r="G35" s="2">
        <v>3553.3</v>
      </c>
      <c r="I35" s="2"/>
      <c r="J35" s="2"/>
      <c r="L35" s="3"/>
      <c r="M35" s="3"/>
      <c r="N35" s="2"/>
      <c r="P35" s="3"/>
      <c r="Q35" s="1">
        <v>46043</v>
      </c>
      <c r="R35" s="7">
        <f t="shared" si="3"/>
        <v>-9.4536936333974309E-3</v>
      </c>
      <c r="S35" s="7">
        <f t="shared" si="4"/>
        <v>1.5079878564674187E-2</v>
      </c>
      <c r="T35" s="7">
        <f t="shared" si="5"/>
        <v>2.6012634708287852E-3</v>
      </c>
      <c r="U35" s="7">
        <f t="shared" si="6"/>
        <v>-8.8242762823769194E-3</v>
      </c>
      <c r="V35" s="7">
        <f t="shared" si="7"/>
        <v>-5.708369477012476E-3</v>
      </c>
      <c r="Y35" s="1">
        <v>46054</v>
      </c>
      <c r="Z35" s="7">
        <f t="shared" si="13"/>
        <v>-4.2933067041944599E-3</v>
      </c>
    </row>
    <row r="36" spans="2:26" x14ac:dyDescent="0.3">
      <c r="B36" s="1">
        <v>46042</v>
      </c>
      <c r="C36" s="2">
        <v>2379.1</v>
      </c>
      <c r="D36" s="2">
        <v>4075.5</v>
      </c>
      <c r="E36" s="2">
        <v>1375.8</v>
      </c>
      <c r="F36" s="2">
        <v>3102.3</v>
      </c>
      <c r="G36" s="2">
        <v>3557.5</v>
      </c>
      <c r="I36" s="2"/>
      <c r="J36" s="2"/>
      <c r="L36" s="3"/>
      <c r="M36" s="3"/>
      <c r="N36" s="2"/>
      <c r="P36" s="3"/>
      <c r="Q36" s="1">
        <v>46042</v>
      </c>
      <c r="R36" s="7">
        <f t="shared" si="3"/>
        <v>4.6874999999999556E-3</v>
      </c>
      <c r="S36" s="7">
        <f t="shared" si="4"/>
        <v>-9.0704059619528543E-4</v>
      </c>
      <c r="T36" s="7">
        <f t="shared" si="5"/>
        <v>1.9866567828020765E-2</v>
      </c>
      <c r="U36" s="7">
        <f t="shared" si="6"/>
        <v>-6.5009927624414265E-3</v>
      </c>
      <c r="V36" s="7">
        <f t="shared" si="7"/>
        <v>1.1819998311428659E-3</v>
      </c>
      <c r="Y36" s="1">
        <v>46052</v>
      </c>
      <c r="Z36" s="7">
        <f t="shared" si="13"/>
        <v>3.6722070182281619E-3</v>
      </c>
    </row>
    <row r="37" spans="2:26" x14ac:dyDescent="0.3">
      <c r="B37" s="1">
        <v>46041</v>
      </c>
      <c r="C37" s="2">
        <v>2413.9</v>
      </c>
      <c r="D37" s="2">
        <v>4144.1000000000004</v>
      </c>
      <c r="E37" s="2">
        <v>1380.6</v>
      </c>
      <c r="F37" s="2">
        <v>3163.6</v>
      </c>
      <c r="G37" s="2">
        <v>3657.4</v>
      </c>
      <c r="I37" s="2"/>
      <c r="J37" s="2"/>
      <c r="L37" s="3"/>
      <c r="M37" s="3"/>
      <c r="N37" s="2"/>
      <c r="P37" s="3"/>
      <c r="Q37" s="1">
        <v>46041</v>
      </c>
      <c r="R37" s="7">
        <f t="shared" si="3"/>
        <v>1.4627380101719156E-2</v>
      </c>
      <c r="S37" s="7">
        <f t="shared" si="4"/>
        <v>1.6832290516501036E-2</v>
      </c>
      <c r="T37" s="7">
        <f t="shared" si="5"/>
        <v>3.4888791975578037E-3</v>
      </c>
      <c r="U37" s="7">
        <f t="shared" si="6"/>
        <v>1.9759533249524397E-2</v>
      </c>
      <c r="V37" s="7">
        <f t="shared" si="7"/>
        <v>2.8081517919887666E-2</v>
      </c>
      <c r="Y37" s="1">
        <v>46051</v>
      </c>
      <c r="Z37" s="7">
        <f t="shared" si="13"/>
        <v>2.6042205265523529E-3</v>
      </c>
    </row>
    <row r="38" spans="2:26" x14ac:dyDescent="0.3">
      <c r="B38" s="1">
        <v>46038</v>
      </c>
      <c r="C38" s="2">
        <v>2360.4</v>
      </c>
      <c r="D38" s="2">
        <v>4196.8999999999996</v>
      </c>
      <c r="E38" s="2">
        <v>1410.8</v>
      </c>
      <c r="F38" s="2">
        <v>3206.7</v>
      </c>
      <c r="G38" s="2">
        <v>3658.2</v>
      </c>
      <c r="I38" s="2"/>
      <c r="J38" s="2"/>
      <c r="L38" s="3"/>
      <c r="M38" s="3"/>
      <c r="N38" s="2"/>
      <c r="P38" s="3"/>
      <c r="Q38" s="1">
        <v>46038</v>
      </c>
      <c r="R38" s="7">
        <f t="shared" si="3"/>
        <v>-2.2163304196528455E-2</v>
      </c>
      <c r="S38" s="7">
        <f t="shared" si="4"/>
        <v>1.2741005284621298E-2</v>
      </c>
      <c r="T38" s="7">
        <f t="shared" si="5"/>
        <v>2.1874547298276203E-2</v>
      </c>
      <c r="U38" s="7">
        <f t="shared" si="6"/>
        <v>1.3623719812871471E-2</v>
      </c>
      <c r="V38" s="7">
        <f t="shared" si="7"/>
        <v>2.187346202220386E-4</v>
      </c>
      <c r="Y38" s="1">
        <v>46050</v>
      </c>
      <c r="Z38" s="7">
        <f t="shared" si="13"/>
        <v>5.9076434889314697E-3</v>
      </c>
    </row>
    <row r="39" spans="2:26" x14ac:dyDescent="0.3">
      <c r="B39" s="1">
        <v>46036</v>
      </c>
      <c r="C39" s="2">
        <v>2353.5</v>
      </c>
      <c r="D39" s="2">
        <v>4221.5</v>
      </c>
      <c r="E39" s="2">
        <v>1418.4</v>
      </c>
      <c r="F39" s="2">
        <v>3146.5</v>
      </c>
      <c r="G39" s="2">
        <v>3649.5</v>
      </c>
      <c r="I39" s="2"/>
      <c r="J39" s="2"/>
      <c r="L39" s="3"/>
      <c r="M39" s="3"/>
      <c r="N39" s="2"/>
      <c r="P39" s="3"/>
      <c r="Q39" s="1">
        <v>46036</v>
      </c>
      <c r="R39" s="7">
        <f t="shared" si="3"/>
        <v>-2.9232333502796637E-3</v>
      </c>
      <c r="S39" s="7">
        <f t="shared" si="4"/>
        <v>5.8614691796325946E-3</v>
      </c>
      <c r="T39" s="7">
        <f t="shared" si="5"/>
        <v>5.3870144598811009E-3</v>
      </c>
      <c r="U39" s="7">
        <f t="shared" si="6"/>
        <v>-1.8773193625845841E-2</v>
      </c>
      <c r="V39" s="7">
        <f t="shared" si="7"/>
        <v>-2.3782187961292056E-3</v>
      </c>
      <c r="Y39" s="1">
        <v>46049</v>
      </c>
      <c r="Z39" s="7">
        <f t="shared" si="13"/>
        <v>-2.8378955912938377E-3</v>
      </c>
    </row>
    <row r="40" spans="2:26" x14ac:dyDescent="0.3">
      <c r="B40" s="1">
        <v>46035</v>
      </c>
      <c r="C40" s="2">
        <v>2389.5</v>
      </c>
      <c r="D40" s="2">
        <v>4239.2</v>
      </c>
      <c r="E40" s="2">
        <v>1437</v>
      </c>
      <c r="F40" s="2">
        <v>3220.91</v>
      </c>
      <c r="G40" s="2">
        <v>3661.5</v>
      </c>
      <c r="I40" s="2"/>
      <c r="J40" s="2"/>
      <c r="L40" s="3"/>
      <c r="M40" s="3"/>
      <c r="N40" s="2"/>
      <c r="P40" s="3"/>
      <c r="Q40" s="1">
        <v>46035</v>
      </c>
      <c r="R40" s="7">
        <f t="shared" si="3"/>
        <v>1.5296367112810794E-2</v>
      </c>
      <c r="S40" s="7">
        <f t="shared" si="4"/>
        <v>4.1928224564726779E-3</v>
      </c>
      <c r="T40" s="7">
        <f t="shared" si="5"/>
        <v>1.311336717428091E-2</v>
      </c>
      <c r="U40" s="7">
        <f t="shared" si="6"/>
        <v>2.3648498331479306E-2</v>
      </c>
      <c r="V40" s="7">
        <f t="shared" si="7"/>
        <v>3.2881216605014085E-3</v>
      </c>
      <c r="Y40" s="1">
        <v>46045</v>
      </c>
      <c r="Z40" s="7">
        <f t="shared" si="13"/>
        <v>2.82421562464924E-3</v>
      </c>
    </row>
    <row r="41" spans="2:26" x14ac:dyDescent="0.3">
      <c r="B41" s="1">
        <v>46034</v>
      </c>
      <c r="C41" s="2">
        <v>2406.1999999999998</v>
      </c>
      <c r="D41" s="2">
        <v>4231.6000000000004</v>
      </c>
      <c r="E41" s="2">
        <v>1413.1</v>
      </c>
      <c r="F41" s="2">
        <v>3192.92</v>
      </c>
      <c r="G41" s="2">
        <v>3682</v>
      </c>
      <c r="I41" s="2"/>
      <c r="J41" s="2"/>
      <c r="L41" s="3"/>
      <c r="M41" s="3"/>
      <c r="N41" s="2"/>
      <c r="P41" s="3"/>
      <c r="Q41" s="1">
        <v>46034</v>
      </c>
      <c r="R41" s="7">
        <f t="shared" si="3"/>
        <v>6.9889098137685401E-3</v>
      </c>
      <c r="S41" s="7">
        <f t="shared" si="4"/>
        <v>-1.7927910926588408E-3</v>
      </c>
      <c r="T41" s="7">
        <f t="shared" si="5"/>
        <v>-1.6631871955462785E-2</v>
      </c>
      <c r="U41" s="7">
        <f t="shared" si="6"/>
        <v>-8.6900906886562268E-3</v>
      </c>
      <c r="V41" s="7">
        <f t="shared" si="7"/>
        <v>5.5987983067049552E-3</v>
      </c>
      <c r="Y41" s="1">
        <v>46044</v>
      </c>
      <c r="Z41" s="7">
        <f t="shared" si="13"/>
        <v>-8.16655686401052E-4</v>
      </c>
    </row>
    <row r="42" spans="2:26" x14ac:dyDescent="0.3">
      <c r="B42" s="1">
        <v>46031</v>
      </c>
      <c r="C42" s="2">
        <v>2372.6</v>
      </c>
      <c r="D42" s="2">
        <v>4201.8</v>
      </c>
      <c r="E42" s="2">
        <v>1404.3</v>
      </c>
      <c r="F42" s="2">
        <v>3161.58</v>
      </c>
      <c r="G42" s="2">
        <v>3677.3</v>
      </c>
      <c r="I42" s="2"/>
      <c r="J42" s="2"/>
      <c r="L42" s="3"/>
      <c r="M42" s="3"/>
      <c r="N42" s="2"/>
      <c r="P42" s="3"/>
      <c r="Q42" s="1">
        <v>46031</v>
      </c>
      <c r="R42" s="7">
        <f t="shared" si="3"/>
        <v>-1.3963926523148484E-2</v>
      </c>
      <c r="S42" s="7">
        <f t="shared" si="4"/>
        <v>-7.0422535211267512E-3</v>
      </c>
      <c r="T42" s="7">
        <f t="shared" si="5"/>
        <v>-6.2274432099638233E-3</v>
      </c>
      <c r="U42" s="7">
        <f t="shared" si="6"/>
        <v>-9.8154667201183488E-3</v>
      </c>
      <c r="V42" s="7">
        <f t="shared" si="7"/>
        <v>-1.2764801738185394E-3</v>
      </c>
      <c r="Y42" s="1">
        <v>46043</v>
      </c>
      <c r="Z42" s="7">
        <f t="shared" si="13"/>
        <v>7.9660243323093646E-4</v>
      </c>
    </row>
    <row r="43" spans="2:26" x14ac:dyDescent="0.3">
      <c r="B43" s="1">
        <v>46030</v>
      </c>
      <c r="C43" s="2">
        <v>2386.6999999999998</v>
      </c>
      <c r="D43" s="2">
        <v>4249</v>
      </c>
      <c r="E43" s="2">
        <v>1435</v>
      </c>
      <c r="F43" s="2">
        <v>3203.9</v>
      </c>
      <c r="G43" s="2">
        <v>3724</v>
      </c>
      <c r="I43" s="2"/>
      <c r="J43" s="2"/>
      <c r="L43" s="3"/>
      <c r="M43" s="3"/>
      <c r="N43" s="2"/>
      <c r="P43" s="3"/>
      <c r="Q43" s="1">
        <v>46030</v>
      </c>
      <c r="R43" s="7">
        <f t="shared" si="3"/>
        <v>5.9428475090617106E-3</v>
      </c>
      <c r="S43" s="7">
        <f t="shared" si="4"/>
        <v>1.1233280974820348E-2</v>
      </c>
      <c r="T43" s="7">
        <f t="shared" si="5"/>
        <v>2.1861425621306108E-2</v>
      </c>
      <c r="U43" s="7">
        <f t="shared" si="6"/>
        <v>1.338571220718765E-2</v>
      </c>
      <c r="V43" s="7">
        <f t="shared" si="7"/>
        <v>1.2699534984907279E-2</v>
      </c>
      <c r="Y43" s="1">
        <v>46042</v>
      </c>
      <c r="Z43" s="7">
        <f t="shared" si="13"/>
        <v>5.2543366299834032E-3</v>
      </c>
    </row>
    <row r="44" spans="2:26" x14ac:dyDescent="0.3">
      <c r="B44" s="1">
        <v>46029</v>
      </c>
      <c r="C44" s="2">
        <v>2399.4</v>
      </c>
      <c r="D44" s="2">
        <v>4273.2</v>
      </c>
      <c r="E44" s="2">
        <v>1427.7</v>
      </c>
      <c r="F44" s="2">
        <v>3295.6</v>
      </c>
      <c r="G44" s="2">
        <v>3748.8</v>
      </c>
      <c r="I44" s="2"/>
      <c r="J44" s="2"/>
      <c r="L44" s="3"/>
      <c r="M44" s="3"/>
      <c r="N44" s="2"/>
      <c r="P44" s="3"/>
      <c r="Q44" s="1">
        <v>46029</v>
      </c>
      <c r="R44" s="7">
        <f t="shared" si="3"/>
        <v>5.3211547324758524E-3</v>
      </c>
      <c r="S44" s="7">
        <f t="shared" si="4"/>
        <v>5.6954577547658758E-3</v>
      </c>
      <c r="T44" s="7">
        <f t="shared" si="5"/>
        <v>-5.0871080139373026E-3</v>
      </c>
      <c r="U44" s="7">
        <f t="shared" si="6"/>
        <v>2.8621367708105749E-2</v>
      </c>
      <c r="V44" s="7">
        <f t="shared" si="7"/>
        <v>6.6595059076262064E-3</v>
      </c>
      <c r="Y44" s="1">
        <v>46041</v>
      </c>
      <c r="Z44" s="7">
        <f t="shared" si="13"/>
        <v>1.420890184554412E-2</v>
      </c>
    </row>
    <row r="45" spans="2:26" x14ac:dyDescent="0.3">
      <c r="B45" s="1">
        <v>46028</v>
      </c>
      <c r="C45" s="2">
        <v>2424.6999999999998</v>
      </c>
      <c r="D45" s="2">
        <v>4111.8</v>
      </c>
      <c r="E45" s="2">
        <v>1411.2</v>
      </c>
      <c r="F45" s="2">
        <v>3255.8</v>
      </c>
      <c r="G45" s="2">
        <v>3785.6</v>
      </c>
      <c r="I45" s="2"/>
      <c r="J45" s="2"/>
      <c r="L45" s="3"/>
      <c r="M45" s="3"/>
      <c r="N45" s="2"/>
      <c r="P45" s="3"/>
      <c r="Q45" s="1">
        <v>46028</v>
      </c>
      <c r="R45" s="7">
        <f t="shared" si="3"/>
        <v>1.0544302742352185E-2</v>
      </c>
      <c r="S45" s="7">
        <f t="shared" si="4"/>
        <v>-3.7770289244594135E-2</v>
      </c>
      <c r="T45" s="7">
        <f t="shared" si="5"/>
        <v>-1.1557049800378194E-2</v>
      </c>
      <c r="U45" s="7">
        <f t="shared" si="6"/>
        <v>-1.2076708338390474E-2</v>
      </c>
      <c r="V45" s="7">
        <f t="shared" si="7"/>
        <v>9.8164746052069596E-3</v>
      </c>
      <c r="Y45" s="1">
        <v>46038</v>
      </c>
      <c r="Z45" s="7">
        <f t="shared" si="13"/>
        <v>9.1697373057554165E-3</v>
      </c>
    </row>
    <row r="46" spans="2:26" x14ac:dyDescent="0.3">
      <c r="B46" s="1">
        <v>46027</v>
      </c>
      <c r="C46" s="2">
        <v>2384.1</v>
      </c>
      <c r="D46" s="2">
        <v>4079.7</v>
      </c>
      <c r="E46" s="2">
        <v>1371.5</v>
      </c>
      <c r="F46" s="2">
        <v>3216.1</v>
      </c>
      <c r="G46" s="2">
        <v>3790.3</v>
      </c>
      <c r="I46" s="2"/>
      <c r="J46" s="2"/>
      <c r="L46" s="3"/>
      <c r="M46" s="3"/>
      <c r="N46" s="2"/>
      <c r="P46" s="3"/>
      <c r="Q46" s="1">
        <v>46027</v>
      </c>
      <c r="R46" s="7">
        <f t="shared" si="3"/>
        <v>-1.6744339505918249E-2</v>
      </c>
      <c r="S46" s="7">
        <f t="shared" si="4"/>
        <v>-7.8067999416314704E-3</v>
      </c>
      <c r="T46" s="7">
        <f t="shared" si="5"/>
        <v>-2.8132086167800496E-2</v>
      </c>
      <c r="U46" s="7">
        <f t="shared" si="6"/>
        <v>-1.2193623686958754E-2</v>
      </c>
      <c r="V46" s="7">
        <f t="shared" si="7"/>
        <v>1.2415469146238589E-3</v>
      </c>
      <c r="Y46" s="1">
        <v>46036</v>
      </c>
      <c r="Z46" s="7">
        <f t="shared" si="13"/>
        <v>-1.3494739744515595E-3</v>
      </c>
    </row>
    <row r="47" spans="2:26" x14ac:dyDescent="0.3">
      <c r="B47" s="1">
        <v>46024</v>
      </c>
      <c r="C47" s="2">
        <v>2348</v>
      </c>
      <c r="D47" s="2">
        <v>4051.7</v>
      </c>
      <c r="E47" s="2">
        <v>1355.4</v>
      </c>
      <c r="F47" s="2">
        <v>3250.7</v>
      </c>
      <c r="G47" s="2">
        <v>3802.4</v>
      </c>
      <c r="I47" s="2"/>
      <c r="J47" s="2"/>
      <c r="L47" s="3"/>
      <c r="M47" s="3"/>
      <c r="N47" s="2"/>
      <c r="P47" s="3"/>
      <c r="Q47" s="1">
        <v>46024</v>
      </c>
      <c r="R47" s="7">
        <f t="shared" si="3"/>
        <v>-1.5141982299400114E-2</v>
      </c>
      <c r="S47" s="7">
        <f t="shared" si="4"/>
        <v>-6.8632497487560729E-3</v>
      </c>
      <c r="T47" s="7">
        <f t="shared" si="5"/>
        <v>-1.1738971928545339E-2</v>
      </c>
      <c r="U47" s="7">
        <f t="shared" si="6"/>
        <v>1.0758371941171019E-2</v>
      </c>
      <c r="V47" s="7">
        <f t="shared" si="7"/>
        <v>3.1923594438434399E-3</v>
      </c>
      <c r="Y47" s="1">
        <v>46035</v>
      </c>
      <c r="Z47" s="7">
        <f t="shared" si="13"/>
        <v>1.2335182665670064E-2</v>
      </c>
    </row>
    <row r="48" spans="2:26" x14ac:dyDescent="0.3">
      <c r="B48" s="1">
        <v>46023</v>
      </c>
      <c r="C48" s="2">
        <v>2323</v>
      </c>
      <c r="D48" s="2">
        <v>4049.3</v>
      </c>
      <c r="E48" s="2">
        <v>1338</v>
      </c>
      <c r="F48" s="2">
        <v>3227.4</v>
      </c>
      <c r="G48" s="2">
        <v>3761</v>
      </c>
      <c r="I48" s="2"/>
      <c r="J48" s="2"/>
      <c r="L48" s="3"/>
      <c r="M48" s="3"/>
      <c r="N48" s="2"/>
      <c r="P48" s="3"/>
      <c r="Q48" s="1">
        <v>46023</v>
      </c>
      <c r="R48" s="7">
        <f t="shared" si="3"/>
        <v>-1.0647359454855176E-2</v>
      </c>
      <c r="S48" s="7">
        <f t="shared" si="4"/>
        <v>-5.9234395438945153E-4</v>
      </c>
      <c r="T48" s="7">
        <f t="shared" si="5"/>
        <v>-1.2837538733953102E-2</v>
      </c>
      <c r="U48" s="7">
        <f t="shared" si="6"/>
        <v>-7.1676869597316895E-3</v>
      </c>
      <c r="V48" s="7">
        <f t="shared" si="7"/>
        <v>-1.0887860298758656E-2</v>
      </c>
      <c r="Y48" s="1">
        <v>46034</v>
      </c>
      <c r="Z48" s="7">
        <f t="shared" si="13"/>
        <v>-5.5675611947990158E-3</v>
      </c>
    </row>
    <row r="49" spans="2:26" x14ac:dyDescent="0.3">
      <c r="B49" s="1">
        <v>46022</v>
      </c>
      <c r="C49" s="2">
        <v>2315.9</v>
      </c>
      <c r="D49" s="2">
        <v>4051.5</v>
      </c>
      <c r="E49" s="2">
        <v>1342.9</v>
      </c>
      <c r="F49" s="2">
        <v>3206.2</v>
      </c>
      <c r="G49" s="2">
        <v>3709.2</v>
      </c>
      <c r="I49" s="2"/>
      <c r="J49" s="2"/>
      <c r="L49" s="3"/>
      <c r="M49" s="3"/>
      <c r="N49" s="2"/>
      <c r="P49" s="3"/>
      <c r="Q49" s="1">
        <v>46022</v>
      </c>
      <c r="R49" s="7">
        <f t="shared" si="3"/>
        <v>-3.0563925957812765E-3</v>
      </c>
      <c r="S49" s="7">
        <f t="shared" si="4"/>
        <v>5.4330378090039488E-4</v>
      </c>
      <c r="T49" s="7">
        <f t="shared" si="5"/>
        <v>3.6621823617339899E-3</v>
      </c>
      <c r="U49" s="7">
        <f t="shared" si="6"/>
        <v>-6.5687550350127522E-3</v>
      </c>
      <c r="V49" s="7">
        <f t="shared" si="7"/>
        <v>-1.3772932730656828E-2</v>
      </c>
      <c r="Y49" s="1">
        <v>46031</v>
      </c>
      <c r="Z49" s="7">
        <f t="shared" si="13"/>
        <v>-7.8141266831486308E-3</v>
      </c>
    </row>
    <row r="50" spans="2:26" x14ac:dyDescent="0.3">
      <c r="B50" s="1">
        <v>46021</v>
      </c>
      <c r="C50" s="2">
        <v>2290.1999999999998</v>
      </c>
      <c r="D50" s="2">
        <v>3974.1</v>
      </c>
      <c r="E50" s="2">
        <v>1342.5</v>
      </c>
      <c r="F50" s="2">
        <v>3246.8</v>
      </c>
      <c r="G50" s="2">
        <v>3660.3</v>
      </c>
      <c r="I50" s="2"/>
      <c r="J50" s="2"/>
      <c r="L50" s="3"/>
      <c r="M50" s="3"/>
      <c r="N50" s="2"/>
      <c r="P50" s="3"/>
      <c r="Q50" s="1">
        <v>46021</v>
      </c>
      <c r="R50" s="7">
        <f t="shared" si="3"/>
        <v>-1.1097197633749389E-2</v>
      </c>
      <c r="S50" s="7">
        <f t="shared" si="4"/>
        <v>-1.9104035542391706E-2</v>
      </c>
      <c r="T50" s="7">
        <f t="shared" si="5"/>
        <v>-2.978628341648859E-4</v>
      </c>
      <c r="U50" s="7">
        <f t="shared" si="6"/>
        <v>1.2662965504335544E-2</v>
      </c>
      <c r="V50" s="7">
        <f t="shared" si="7"/>
        <v>-1.3183435781300434E-2</v>
      </c>
      <c r="Y50" s="1">
        <v>46030</v>
      </c>
      <c r="Z50" s="7">
        <f t="shared" si="13"/>
        <v>1.4205270996384432E-2</v>
      </c>
    </row>
    <row r="51" spans="2:26" x14ac:dyDescent="0.3">
      <c r="B51" s="1">
        <v>46020</v>
      </c>
      <c r="C51" s="2">
        <v>2293.3000000000002</v>
      </c>
      <c r="D51" s="2">
        <v>3983.7</v>
      </c>
      <c r="E51" s="2">
        <v>1343.3</v>
      </c>
      <c r="F51" s="2">
        <v>3251.5</v>
      </c>
      <c r="G51" s="2">
        <v>3592.1</v>
      </c>
      <c r="I51" s="2"/>
      <c r="J51" s="2"/>
      <c r="L51" s="3"/>
      <c r="M51" s="3"/>
      <c r="N51" s="2"/>
      <c r="P51" s="3"/>
      <c r="Q51" s="1">
        <v>46020</v>
      </c>
      <c r="R51" s="7">
        <f t="shared" si="3"/>
        <v>1.353593572613887E-3</v>
      </c>
      <c r="S51" s="7">
        <f t="shared" si="4"/>
        <v>2.4156412772702307E-3</v>
      </c>
      <c r="T51" s="7">
        <f t="shared" si="5"/>
        <v>5.9590316573543411E-4</v>
      </c>
      <c r="U51" s="7">
        <f t="shared" si="6"/>
        <v>1.4475791548600458E-3</v>
      </c>
      <c r="V51" s="7">
        <f t="shared" si="7"/>
        <v>-1.8632352539409425E-2</v>
      </c>
      <c r="Y51" s="1">
        <v>46029</v>
      </c>
      <c r="Z51" s="7">
        <f t="shared" si="13"/>
        <v>7.0861293767654262E-3</v>
      </c>
    </row>
    <row r="52" spans="2:26" x14ac:dyDescent="0.3">
      <c r="B52" s="1">
        <v>46017</v>
      </c>
      <c r="C52" s="2">
        <v>2285.4</v>
      </c>
      <c r="D52" s="2">
        <v>3992</v>
      </c>
      <c r="E52" s="2">
        <v>1350.4</v>
      </c>
      <c r="F52" s="2">
        <v>3280</v>
      </c>
      <c r="G52" s="2">
        <v>3623.1</v>
      </c>
      <c r="I52" s="2"/>
      <c r="J52" s="2"/>
      <c r="L52" s="3"/>
      <c r="M52" s="3"/>
      <c r="N52" s="2"/>
      <c r="P52" s="3"/>
      <c r="Q52" s="1">
        <v>46017</v>
      </c>
      <c r="R52" s="7">
        <f t="shared" si="3"/>
        <v>-3.4448175118825253E-3</v>
      </c>
      <c r="S52" s="7">
        <f t="shared" si="4"/>
        <v>2.0834902226574137E-3</v>
      </c>
      <c r="T52" s="7">
        <f t="shared" si="5"/>
        <v>5.28549095511055E-3</v>
      </c>
      <c r="U52" s="7">
        <f t="shared" si="6"/>
        <v>8.7651852990926482E-3</v>
      </c>
      <c r="V52" s="7">
        <f t="shared" si="7"/>
        <v>8.6300492747974911E-3</v>
      </c>
      <c r="Y52" s="1">
        <v>46028</v>
      </c>
      <c r="Z52" s="7">
        <f t="shared" si="13"/>
        <v>-1.2761736047066562E-2</v>
      </c>
    </row>
    <row r="53" spans="2:26" x14ac:dyDescent="0.3">
      <c r="B53" s="1">
        <v>46015</v>
      </c>
      <c r="C53" s="2">
        <v>2282.1999999999998</v>
      </c>
      <c r="D53" s="2">
        <v>3909.3</v>
      </c>
      <c r="E53" s="2">
        <v>1359.8</v>
      </c>
      <c r="F53" s="2">
        <v>3319</v>
      </c>
      <c r="G53" s="2">
        <v>3636.7</v>
      </c>
      <c r="I53" s="2"/>
      <c r="J53" s="2"/>
      <c r="L53" s="3"/>
      <c r="M53" s="3"/>
      <c r="N53" s="2"/>
      <c r="P53" s="3"/>
      <c r="Q53" s="1">
        <v>46015</v>
      </c>
      <c r="R53" s="7">
        <f t="shared" si="3"/>
        <v>-1.400192526472499E-3</v>
      </c>
      <c r="S53" s="7">
        <f t="shared" si="4"/>
        <v>-2.0716432865731438E-2</v>
      </c>
      <c r="T53" s="7">
        <f t="shared" si="5"/>
        <v>6.9609004739334956E-3</v>
      </c>
      <c r="U53" s="7">
        <f t="shared" si="6"/>
        <v>1.189024390243909E-2</v>
      </c>
      <c r="V53" s="7">
        <f t="shared" si="7"/>
        <v>3.7536915900748813E-3</v>
      </c>
      <c r="Y53" s="1">
        <v>46027</v>
      </c>
      <c r="Z53" s="7">
        <f t="shared" si="13"/>
        <v>-1.5217546807565119E-2</v>
      </c>
    </row>
    <row r="54" spans="2:26" x14ac:dyDescent="0.3">
      <c r="B54" s="1">
        <v>46014</v>
      </c>
      <c r="C54" s="2">
        <v>2302.6</v>
      </c>
      <c r="D54" s="2">
        <v>3925.8</v>
      </c>
      <c r="E54" s="2">
        <v>1363</v>
      </c>
      <c r="F54" s="2">
        <v>3310</v>
      </c>
      <c r="G54" s="2">
        <v>3625.1</v>
      </c>
      <c r="I54" s="2"/>
      <c r="J54" s="2"/>
      <c r="L54" s="3"/>
      <c r="M54" s="3"/>
      <c r="N54" s="2"/>
      <c r="P54" s="3"/>
      <c r="Q54" s="1">
        <v>46014</v>
      </c>
      <c r="R54" s="7">
        <f t="shared" si="3"/>
        <v>8.9387433178511611E-3</v>
      </c>
      <c r="S54" s="7">
        <f t="shared" si="4"/>
        <v>4.2207044739468458E-3</v>
      </c>
      <c r="T54" s="7">
        <f t="shared" si="5"/>
        <v>2.3532872481246692E-3</v>
      </c>
      <c r="U54" s="7">
        <f t="shared" si="6"/>
        <v>-2.7116601385959171E-3</v>
      </c>
      <c r="V54" s="7">
        <f t="shared" si="7"/>
        <v>-3.1897049522918719E-3</v>
      </c>
      <c r="Y54" s="1">
        <v>46024</v>
      </c>
      <c r="Z54" s="7">
        <f t="shared" si="13"/>
        <v>-5.0378910280440888E-3</v>
      </c>
    </row>
    <row r="55" spans="2:26" x14ac:dyDescent="0.3">
      <c r="B55" s="1">
        <v>46013</v>
      </c>
      <c r="C55" s="2">
        <v>2289.5</v>
      </c>
      <c r="D55" s="2">
        <v>3933.8</v>
      </c>
      <c r="E55" s="2">
        <v>1368.5</v>
      </c>
      <c r="F55" s="2">
        <v>3324.9</v>
      </c>
      <c r="G55" s="2">
        <v>3616.7</v>
      </c>
      <c r="I55" s="2"/>
      <c r="J55" s="2"/>
      <c r="L55" s="3"/>
      <c r="M55" s="3"/>
      <c r="N55" s="2"/>
      <c r="P55" s="3"/>
      <c r="Q55" s="1">
        <v>46013</v>
      </c>
      <c r="R55" s="7">
        <f t="shared" si="3"/>
        <v>-5.6892208807434175E-3</v>
      </c>
      <c r="S55" s="7">
        <f t="shared" si="4"/>
        <v>2.0378012124917522E-3</v>
      </c>
      <c r="T55" s="7">
        <f t="shared" si="5"/>
        <v>4.0352164343360197E-3</v>
      </c>
      <c r="U55" s="7">
        <f t="shared" si="6"/>
        <v>4.5015105740182637E-3</v>
      </c>
      <c r="V55" s="7">
        <f t="shared" si="7"/>
        <v>-2.3171774571736359E-3</v>
      </c>
      <c r="Y55" s="1">
        <v>46023</v>
      </c>
      <c r="Z55" s="7">
        <f t="shared" si="13"/>
        <v>-8.1187749488337724E-3</v>
      </c>
    </row>
    <row r="56" spans="2:26" x14ac:dyDescent="0.3">
      <c r="B56" s="1">
        <v>46010</v>
      </c>
      <c r="C56" s="2">
        <v>2280</v>
      </c>
      <c r="D56" s="2">
        <v>3930.1</v>
      </c>
      <c r="E56" s="2">
        <v>1354.1</v>
      </c>
      <c r="F56" s="2">
        <v>3282</v>
      </c>
      <c r="G56" s="2">
        <v>3603.6</v>
      </c>
      <c r="I56" s="2"/>
      <c r="J56" s="2"/>
      <c r="L56" s="3"/>
      <c r="M56" s="3"/>
      <c r="N56" s="2"/>
      <c r="P56" s="3"/>
      <c r="Q56" s="1">
        <v>46010</v>
      </c>
      <c r="R56" s="7">
        <f t="shared" si="3"/>
        <v>-4.1493775933609811E-3</v>
      </c>
      <c r="S56" s="7">
        <f t="shared" si="4"/>
        <v>-9.4056637348116645E-4</v>
      </c>
      <c r="T56" s="7">
        <f t="shared" si="5"/>
        <v>-1.0522469857508265E-2</v>
      </c>
      <c r="U56" s="7">
        <f t="shared" si="6"/>
        <v>-1.2902643688532001E-2</v>
      </c>
      <c r="V56" s="7">
        <f t="shared" si="7"/>
        <v>-3.6220864323830426E-3</v>
      </c>
      <c r="Y56" s="1">
        <v>46022</v>
      </c>
      <c r="Z56" s="7">
        <f t="shared" si="13"/>
        <v>-1.9150225156901292E-3</v>
      </c>
    </row>
    <row r="57" spans="2:26" x14ac:dyDescent="0.3">
      <c r="B57" s="1">
        <v>46009</v>
      </c>
      <c r="C57" s="2">
        <v>2265.5</v>
      </c>
      <c r="D57" s="2">
        <v>3919.3</v>
      </c>
      <c r="E57" s="2">
        <v>1356.8</v>
      </c>
      <c r="F57" s="2">
        <v>3280.8</v>
      </c>
      <c r="G57" s="2">
        <v>3586.6</v>
      </c>
      <c r="I57" s="2"/>
      <c r="J57" s="2"/>
      <c r="L57" s="3"/>
      <c r="M57" s="3"/>
      <c r="N57" s="2"/>
      <c r="P57" s="3"/>
      <c r="Q57" s="1">
        <v>46009</v>
      </c>
      <c r="R57" s="7">
        <f t="shared" si="3"/>
        <v>-6.3596491228070651E-3</v>
      </c>
      <c r="S57" s="7">
        <f t="shared" si="4"/>
        <v>-2.7480216788375866E-3</v>
      </c>
      <c r="T57" s="7">
        <f t="shared" si="5"/>
        <v>1.9939443172587445E-3</v>
      </c>
      <c r="U57" s="7">
        <f t="shared" si="6"/>
        <v>-3.6563071297979199E-4</v>
      </c>
      <c r="V57" s="7">
        <f t="shared" si="7"/>
        <v>-4.7175047175047613E-3</v>
      </c>
      <c r="Y57" s="1">
        <v>46021</v>
      </c>
      <c r="Z57" s="7">
        <f t="shared" si="13"/>
        <v>-5.3156978581727354E-3</v>
      </c>
    </row>
    <row r="58" spans="2:26" x14ac:dyDescent="0.3">
      <c r="B58" s="1">
        <v>46008</v>
      </c>
      <c r="C58" s="2">
        <v>2275.6</v>
      </c>
      <c r="D58" s="2">
        <v>3907.9</v>
      </c>
      <c r="E58" s="2">
        <v>1352.4</v>
      </c>
      <c r="F58" s="2">
        <v>3217.8</v>
      </c>
      <c r="G58" s="2">
        <v>3612.8</v>
      </c>
      <c r="I58" s="2"/>
      <c r="J58" s="2"/>
      <c r="L58" s="3"/>
      <c r="M58" s="3"/>
      <c r="N58" s="2"/>
      <c r="P58" s="3"/>
      <c r="Q58" s="1">
        <v>46008</v>
      </c>
      <c r="R58" s="7">
        <f t="shared" si="3"/>
        <v>4.4581770028691015E-3</v>
      </c>
      <c r="S58" s="7">
        <f t="shared" si="4"/>
        <v>-2.9086826729263215E-3</v>
      </c>
      <c r="T58" s="7">
        <f t="shared" si="5"/>
        <v>-3.2429245283017716E-3</v>
      </c>
      <c r="U58" s="7">
        <f t="shared" si="6"/>
        <v>-1.9202633504023403E-2</v>
      </c>
      <c r="V58" s="7">
        <f t="shared" si="7"/>
        <v>7.3049684938382153E-3</v>
      </c>
      <c r="Y58" s="1">
        <v>46020</v>
      </c>
      <c r="Z58" s="7">
        <f t="shared" si="13"/>
        <v>-5.8799911803866225E-4</v>
      </c>
    </row>
    <row r="59" spans="2:26" x14ac:dyDescent="0.3">
      <c r="B59" s="1">
        <v>46007</v>
      </c>
      <c r="C59" s="2">
        <v>2281.1</v>
      </c>
      <c r="D59" s="2">
        <v>3929.5</v>
      </c>
      <c r="E59" s="2">
        <v>1366</v>
      </c>
      <c r="F59" s="2">
        <v>3205.1</v>
      </c>
      <c r="G59" s="2">
        <v>3621</v>
      </c>
      <c r="I59" s="2"/>
      <c r="J59" s="2"/>
      <c r="L59" s="3"/>
      <c r="M59" s="3"/>
      <c r="N59" s="2"/>
      <c r="P59" s="3"/>
      <c r="Q59" s="1">
        <v>46007</v>
      </c>
      <c r="R59" s="7">
        <f t="shared" si="3"/>
        <v>2.4169449815434341E-3</v>
      </c>
      <c r="S59" s="7">
        <f t="shared" si="4"/>
        <v>5.5272652831444002E-3</v>
      </c>
      <c r="T59" s="7">
        <f t="shared" si="5"/>
        <v>1.0056196391600158E-2</v>
      </c>
      <c r="U59" s="7">
        <f t="shared" si="6"/>
        <v>-3.9467959475418812E-3</v>
      </c>
      <c r="V59" s="7">
        <f t="shared" si="7"/>
        <v>2.2697077059343762E-3</v>
      </c>
      <c r="Y59" s="1">
        <v>46017</v>
      </c>
      <c r="Z59" s="7">
        <f t="shared" si="13"/>
        <v>4.2058392027134184E-3</v>
      </c>
    </row>
    <row r="60" spans="2:26" x14ac:dyDescent="0.3">
      <c r="B60" s="1">
        <v>46006</v>
      </c>
      <c r="C60" s="2">
        <v>2293.5</v>
      </c>
      <c r="D60" s="2">
        <v>3866.2</v>
      </c>
      <c r="E60" s="2">
        <v>1365.2</v>
      </c>
      <c r="F60" s="2">
        <v>3230.2</v>
      </c>
      <c r="G60" s="2">
        <v>3608</v>
      </c>
      <c r="I60" s="2"/>
      <c r="J60" s="2"/>
      <c r="L60" s="3"/>
      <c r="M60" s="3"/>
      <c r="N60" s="2"/>
      <c r="P60" s="3"/>
      <c r="Q60" s="1">
        <v>46006</v>
      </c>
      <c r="R60" s="7">
        <f t="shared" si="3"/>
        <v>5.4359738722546957E-3</v>
      </c>
      <c r="S60" s="7">
        <f t="shared" si="4"/>
        <v>-1.6108919709886815E-2</v>
      </c>
      <c r="T60" s="7">
        <f t="shared" si="5"/>
        <v>-5.8565153733525221E-4</v>
      </c>
      <c r="U60" s="7">
        <f t="shared" si="6"/>
        <v>7.8312689151665005E-3</v>
      </c>
      <c r="V60" s="7">
        <f t="shared" si="7"/>
        <v>-3.5901684617508645E-3</v>
      </c>
      <c r="Y60" s="1">
        <v>46015</v>
      </c>
      <c r="Z60" s="7">
        <f t="shared" si="13"/>
        <v>-5.4744901372837888E-4</v>
      </c>
    </row>
    <row r="61" spans="2:26" x14ac:dyDescent="0.3">
      <c r="B61" s="1">
        <v>46003</v>
      </c>
      <c r="C61" s="2">
        <v>2260.6</v>
      </c>
      <c r="D61" s="2">
        <v>3880.2</v>
      </c>
      <c r="E61" s="2">
        <v>1366</v>
      </c>
      <c r="F61" s="2">
        <v>3220.5</v>
      </c>
      <c r="G61" s="2">
        <v>3679.6</v>
      </c>
      <c r="I61" s="2"/>
      <c r="J61" s="2"/>
      <c r="L61" s="3"/>
      <c r="M61" s="3"/>
      <c r="N61" s="2"/>
      <c r="P61" s="3"/>
      <c r="Q61" s="1">
        <v>46003</v>
      </c>
      <c r="R61" s="7">
        <f t="shared" si="3"/>
        <v>-1.4344887726182698E-2</v>
      </c>
      <c r="S61" s="7">
        <f t="shared" si="4"/>
        <v>3.6211266877037573E-3</v>
      </c>
      <c r="T61" s="7">
        <f t="shared" si="5"/>
        <v>5.8599472604736746E-4</v>
      </c>
      <c r="U61" s="7">
        <f t="shared" si="6"/>
        <v>-3.0029100365301931E-3</v>
      </c>
      <c r="V61" s="7">
        <f t="shared" si="7"/>
        <v>1.9844789356984416E-2</v>
      </c>
      <c r="Y61" s="1">
        <v>46014</v>
      </c>
      <c r="Z61" s="7">
        <f t="shared" si="13"/>
        <v>2.240671267653416E-3</v>
      </c>
    </row>
    <row r="62" spans="2:26" x14ac:dyDescent="0.3">
      <c r="B62" s="1">
        <v>46002</v>
      </c>
      <c r="C62" s="2">
        <v>2305.6</v>
      </c>
      <c r="D62" s="2">
        <v>3844.8</v>
      </c>
      <c r="E62" s="2">
        <v>1360</v>
      </c>
      <c r="F62" s="2">
        <v>3191.9</v>
      </c>
      <c r="G62" s="2">
        <v>3665.2</v>
      </c>
      <c r="I62" s="2"/>
      <c r="J62" s="2"/>
      <c r="L62" s="3"/>
      <c r="M62" s="3"/>
      <c r="N62" s="2"/>
      <c r="P62" s="3"/>
      <c r="Q62" s="1">
        <v>46002</v>
      </c>
      <c r="R62" s="7">
        <f t="shared" si="3"/>
        <v>1.9906219587719987E-2</v>
      </c>
      <c r="S62" s="7">
        <f t="shared" si="4"/>
        <v>-9.123241070047805E-3</v>
      </c>
      <c r="T62" s="7">
        <f t="shared" si="5"/>
        <v>-4.3923865300146137E-3</v>
      </c>
      <c r="U62" s="7">
        <f t="shared" si="6"/>
        <v>-8.8806086011488095E-3</v>
      </c>
      <c r="V62" s="7">
        <f t="shared" si="7"/>
        <v>-3.9134688553104091E-3</v>
      </c>
      <c r="Y62" s="1">
        <v>46013</v>
      </c>
      <c r="Z62" s="7">
        <f t="shared" si="13"/>
        <v>1.5352164703985208E-3</v>
      </c>
    </row>
    <row r="63" spans="2:26" x14ac:dyDescent="0.3">
      <c r="B63" s="1">
        <v>46001</v>
      </c>
      <c r="C63" s="2">
        <v>2301.6999999999998</v>
      </c>
      <c r="D63" s="2">
        <v>3845.7</v>
      </c>
      <c r="E63" s="2">
        <v>1363.6</v>
      </c>
      <c r="F63" s="2">
        <v>3189.2</v>
      </c>
      <c r="G63" s="2">
        <v>3630</v>
      </c>
      <c r="I63" s="2"/>
      <c r="J63" s="2"/>
      <c r="L63" s="3"/>
      <c r="M63" s="3"/>
      <c r="N63" s="2"/>
      <c r="P63" s="3"/>
      <c r="Q63" s="1">
        <v>46001</v>
      </c>
      <c r="R63" s="7">
        <f t="shared" si="3"/>
        <v>-1.6915336571825534E-3</v>
      </c>
      <c r="S63" s="7">
        <f t="shared" si="4"/>
        <v>2.3408239700373201E-4</v>
      </c>
      <c r="T63" s="7">
        <f t="shared" si="5"/>
        <v>2.6470588235294468E-3</v>
      </c>
      <c r="U63" s="7">
        <f t="shared" si="6"/>
        <v>-8.4589116200395331E-4</v>
      </c>
      <c r="V63" s="7">
        <f t="shared" si="7"/>
        <v>-9.6038415366146435E-3</v>
      </c>
      <c r="Y63" s="1">
        <v>46010</v>
      </c>
      <c r="Z63" s="7">
        <f t="shared" si="13"/>
        <v>-6.9570265705716228E-3</v>
      </c>
    </row>
    <row r="64" spans="2:26" x14ac:dyDescent="0.3">
      <c r="B64" s="1">
        <v>46000</v>
      </c>
      <c r="C64" s="2">
        <v>2306.5</v>
      </c>
      <c r="D64" s="2">
        <v>3849</v>
      </c>
      <c r="E64" s="2">
        <v>1375.2</v>
      </c>
      <c r="F64" s="2">
        <v>3208.3</v>
      </c>
      <c r="G64" s="2">
        <v>3635.9</v>
      </c>
      <c r="I64" s="2"/>
      <c r="J64" s="2"/>
      <c r="L64" s="3"/>
      <c r="M64" s="3"/>
      <c r="N64" s="2"/>
      <c r="P64" s="3"/>
      <c r="Q64" s="1">
        <v>46000</v>
      </c>
      <c r="R64" s="7">
        <f t="shared" si="3"/>
        <v>2.0854151279490196E-3</v>
      </c>
      <c r="S64" s="7">
        <f t="shared" si="4"/>
        <v>8.581012559483181E-4</v>
      </c>
      <c r="T64" s="7">
        <f t="shared" si="5"/>
        <v>8.5068935171606075E-3</v>
      </c>
      <c r="U64" s="7">
        <f t="shared" si="6"/>
        <v>5.9889627492788478E-3</v>
      </c>
      <c r="V64" s="7">
        <f t="shared" si="7"/>
        <v>1.6253443526170752E-3</v>
      </c>
      <c r="Y64" s="1">
        <v>46009</v>
      </c>
      <c r="Z64" s="7">
        <f t="shared" si="13"/>
        <v>-1.5876461072992678E-3</v>
      </c>
    </row>
    <row r="65" spans="2:26" x14ac:dyDescent="0.3">
      <c r="B65" s="1">
        <v>45999</v>
      </c>
      <c r="C65" s="2">
        <v>2314</v>
      </c>
      <c r="D65" s="2">
        <v>3767</v>
      </c>
      <c r="E65" s="2">
        <v>1389.6</v>
      </c>
      <c r="F65" s="2">
        <v>3236.5</v>
      </c>
      <c r="G65" s="2">
        <v>3681.7</v>
      </c>
      <c r="I65" s="2"/>
      <c r="J65" s="2"/>
      <c r="L65" s="3"/>
      <c r="M65" s="3"/>
      <c r="N65" s="2"/>
      <c r="P65" s="3"/>
      <c r="Q65" s="1">
        <v>45999</v>
      </c>
      <c r="R65" s="7">
        <f t="shared" si="3"/>
        <v>3.2516800346846786E-3</v>
      </c>
      <c r="S65" s="7">
        <f t="shared" si="4"/>
        <v>-2.1304234866199034E-2</v>
      </c>
      <c r="T65" s="7">
        <f t="shared" si="5"/>
        <v>1.0471204188481575E-2</v>
      </c>
      <c r="U65" s="7">
        <f t="shared" si="6"/>
        <v>8.7897017111866482E-3</v>
      </c>
      <c r="V65" s="7">
        <f t="shared" si="7"/>
        <v>1.259660606727353E-2</v>
      </c>
      <c r="Y65" s="1">
        <v>46008</v>
      </c>
      <c r="Z65" s="7">
        <f t="shared" si="13"/>
        <v>-4.1413513277126059E-3</v>
      </c>
    </row>
    <row r="66" spans="2:26" x14ac:dyDescent="0.3">
      <c r="B66" s="1">
        <v>45996</v>
      </c>
      <c r="C66" s="2">
        <v>2338.6</v>
      </c>
      <c r="D66" s="2">
        <v>3813.3</v>
      </c>
      <c r="E66" s="2">
        <v>1392.5</v>
      </c>
      <c r="F66" s="2">
        <v>3238.2</v>
      </c>
      <c r="G66" s="2">
        <v>3717.1</v>
      </c>
      <c r="I66" s="2"/>
      <c r="J66" s="2"/>
      <c r="L66" s="3"/>
      <c r="M66" s="3"/>
      <c r="N66" s="2"/>
      <c r="P66" s="3"/>
      <c r="Q66" s="1">
        <v>45996</v>
      </c>
      <c r="R66" s="7">
        <f t="shared" si="3"/>
        <v>1.0630942091616191E-2</v>
      </c>
      <c r="S66" s="7">
        <f t="shared" si="4"/>
        <v>1.2290947703743171E-2</v>
      </c>
      <c r="T66" s="7">
        <f t="shared" si="5"/>
        <v>2.0869314910765269E-3</v>
      </c>
      <c r="U66" s="7">
        <f t="shared" si="6"/>
        <v>5.2525876718667597E-4</v>
      </c>
      <c r="V66" s="7">
        <f t="shared" si="7"/>
        <v>9.6151234484069814E-3</v>
      </c>
      <c r="Y66" s="1">
        <v>46007</v>
      </c>
      <c r="Z66" s="7">
        <f t="shared" si="13"/>
        <v>4.1988285665827251E-3</v>
      </c>
    </row>
    <row r="67" spans="2:26" x14ac:dyDescent="0.3">
      <c r="B67" s="1">
        <v>45995</v>
      </c>
      <c r="C67" s="2">
        <v>2422</v>
      </c>
      <c r="D67" s="2">
        <v>3800.4</v>
      </c>
      <c r="E67" s="2">
        <v>1386.7</v>
      </c>
      <c r="F67" s="2">
        <v>3229.2</v>
      </c>
      <c r="G67" s="2">
        <v>3671.6</v>
      </c>
      <c r="I67" s="2"/>
      <c r="J67" s="2"/>
      <c r="L67" s="3"/>
      <c r="M67" s="3"/>
      <c r="N67" s="2"/>
      <c r="P67" s="3"/>
      <c r="Q67" s="1">
        <v>45995</v>
      </c>
      <c r="R67" s="7">
        <f t="shared" si="3"/>
        <v>3.5662362096981148E-2</v>
      </c>
      <c r="S67" s="7">
        <f t="shared" si="4"/>
        <v>-3.3828967036425572E-3</v>
      </c>
      <c r="T67" s="7">
        <f t="shared" si="5"/>
        <v>-4.1651705565529662E-3</v>
      </c>
      <c r="U67" s="7">
        <f t="shared" si="6"/>
        <v>-2.7793218454696955E-3</v>
      </c>
      <c r="V67" s="7">
        <f t="shared" si="7"/>
        <v>-1.224072529660214E-2</v>
      </c>
      <c r="Y67" s="1">
        <v>46006</v>
      </c>
      <c r="Z67" s="7">
        <f t="shared" si="13"/>
        <v>-2.180292370975861E-3</v>
      </c>
    </row>
    <row r="68" spans="2:26" x14ac:dyDescent="0.3">
      <c r="B68" s="1">
        <v>45994</v>
      </c>
      <c r="C68" s="2">
        <v>2408.0300000000002</v>
      </c>
      <c r="D68" s="2">
        <v>3817.8</v>
      </c>
      <c r="E68" s="2">
        <v>1391.5</v>
      </c>
      <c r="F68" s="2">
        <v>3180</v>
      </c>
      <c r="G68" s="2">
        <v>3649.4</v>
      </c>
      <c r="I68" s="2"/>
      <c r="J68" s="2"/>
      <c r="L68" s="3"/>
      <c r="M68" s="3"/>
      <c r="N68" s="2"/>
      <c r="P68" s="3"/>
      <c r="Q68" s="1">
        <v>45994</v>
      </c>
      <c r="R68" s="7">
        <f t="shared" si="3"/>
        <v>-5.7679603633360443E-3</v>
      </c>
      <c r="S68" s="7">
        <f t="shared" si="4"/>
        <v>4.5784654246920908E-3</v>
      </c>
      <c r="T68" s="7">
        <f t="shared" si="5"/>
        <v>3.4614552534795173E-3</v>
      </c>
      <c r="U68" s="7">
        <f t="shared" si="6"/>
        <v>-1.5235971757710853E-2</v>
      </c>
      <c r="V68" s="7">
        <f t="shared" si="7"/>
        <v>-6.0464102843446055E-3</v>
      </c>
      <c r="Y68" s="1">
        <v>46003</v>
      </c>
      <c r="Z68" s="7">
        <f t="shared" si="13"/>
        <v>3.1324385920514794E-4</v>
      </c>
    </row>
    <row r="69" spans="2:26" x14ac:dyDescent="0.3">
      <c r="B69" s="1">
        <v>45993</v>
      </c>
      <c r="C69" s="2">
        <v>2437.34</v>
      </c>
      <c r="D69" s="2">
        <v>3885.8</v>
      </c>
      <c r="E69" s="2">
        <v>1373</v>
      </c>
      <c r="F69" s="2">
        <v>3135.7</v>
      </c>
      <c r="G69" s="2">
        <v>3716.5</v>
      </c>
      <c r="I69" s="2"/>
      <c r="J69" s="2"/>
      <c r="L69" s="3"/>
      <c r="M69" s="3"/>
      <c r="N69" s="2"/>
      <c r="P69" s="3"/>
      <c r="Q69" s="1">
        <v>45993</v>
      </c>
      <c r="R69" s="7">
        <f t="shared" si="3"/>
        <v>1.2171775268580598E-2</v>
      </c>
      <c r="S69" s="7">
        <f t="shared" si="4"/>
        <v>1.7811304940017703E-2</v>
      </c>
      <c r="T69" s="7">
        <f t="shared" si="5"/>
        <v>-1.3295005389867054E-2</v>
      </c>
      <c r="U69" s="7">
        <f t="shared" si="6"/>
        <v>-1.3930817610062984E-2</v>
      </c>
      <c r="V69" s="7">
        <f t="shared" si="7"/>
        <v>1.838658409601579E-2</v>
      </c>
      <c r="Y69" s="1">
        <v>46002</v>
      </c>
      <c r="Z69" s="7">
        <f t="shared" si="13"/>
        <v>-2.7800618941191402E-3</v>
      </c>
    </row>
    <row r="70" spans="2:26" x14ac:dyDescent="0.3">
      <c r="B70" s="1">
        <v>45992</v>
      </c>
      <c r="C70" s="2">
        <v>2424.2600000000002</v>
      </c>
      <c r="D70" s="2">
        <v>3894.9</v>
      </c>
      <c r="E70" s="2">
        <v>1390.1</v>
      </c>
      <c r="F70" s="2">
        <v>3133.4</v>
      </c>
      <c r="G70" s="2">
        <v>3741.6</v>
      </c>
      <c r="I70" s="2"/>
      <c r="J70" s="2"/>
      <c r="L70" s="3"/>
      <c r="M70" s="3"/>
      <c r="N70" s="2"/>
      <c r="P70" s="3"/>
      <c r="Q70" s="1">
        <v>45992</v>
      </c>
      <c r="R70" s="7">
        <f t="shared" si="3"/>
        <v>-5.3665061091189292E-3</v>
      </c>
      <c r="S70" s="7">
        <f t="shared" si="4"/>
        <v>2.3418601060269939E-3</v>
      </c>
      <c r="T70" s="7">
        <f t="shared" si="5"/>
        <v>1.2454479242534511E-2</v>
      </c>
      <c r="U70" s="7">
        <f t="shared" si="6"/>
        <v>-7.3348853525523339E-4</v>
      </c>
      <c r="V70" s="7">
        <f t="shared" si="7"/>
        <v>6.7536660836808871E-3</v>
      </c>
      <c r="Y70" s="1">
        <v>46001</v>
      </c>
      <c r="Z70" s="7">
        <f t="shared" si="13"/>
        <v>-5.3065418832987099E-4</v>
      </c>
    </row>
    <row r="71" spans="2:26" x14ac:dyDescent="0.3">
      <c r="B71" s="1">
        <v>45989</v>
      </c>
      <c r="C71" s="2">
        <v>2426.33</v>
      </c>
      <c r="D71" s="2">
        <v>3907.7</v>
      </c>
      <c r="E71" s="2">
        <v>1388.8</v>
      </c>
      <c r="F71" s="2">
        <v>3137.5</v>
      </c>
      <c r="G71" s="2">
        <v>3757.3</v>
      </c>
      <c r="I71" s="2"/>
      <c r="J71" s="2"/>
      <c r="L71" s="3"/>
      <c r="M71" s="3"/>
      <c r="N71" s="2"/>
      <c r="P71" s="3"/>
      <c r="Q71" s="1">
        <v>45989</v>
      </c>
      <c r="R71" s="7">
        <f t="shared" ref="R71:R134" si="14">C71/C70-1</f>
        <v>8.538688094510416E-4</v>
      </c>
      <c r="S71" s="7">
        <f t="shared" ref="S71:S134" si="15">D71/D70-1</f>
        <v>3.2863488151171349E-3</v>
      </c>
      <c r="T71" s="7">
        <f t="shared" ref="T71:T134" si="16">E71/E70-1</f>
        <v>-9.3518451909935241E-4</v>
      </c>
      <c r="U71" s="7">
        <f t="shared" ref="U71:U134" si="17">F71/F70-1</f>
        <v>1.308482798238364E-3</v>
      </c>
      <c r="V71" s="7">
        <f t="shared" ref="V71:V134" si="18">G71/G70-1</f>
        <v>4.1960658541801976E-3</v>
      </c>
      <c r="Y71" s="1">
        <v>46000</v>
      </c>
      <c r="Z71" s="7">
        <f t="shared" si="13"/>
        <v>4.4397326234450916E-3</v>
      </c>
    </row>
    <row r="72" spans="2:26" x14ac:dyDescent="0.3">
      <c r="B72" s="1">
        <v>45988</v>
      </c>
      <c r="C72" s="2">
        <v>2451.6999999999998</v>
      </c>
      <c r="D72" s="2">
        <v>3903.3</v>
      </c>
      <c r="E72" s="2">
        <v>1392.2</v>
      </c>
      <c r="F72" s="2">
        <v>3136.6</v>
      </c>
      <c r="G72" s="2">
        <v>3681.2</v>
      </c>
      <c r="I72" s="2"/>
      <c r="J72" s="2"/>
      <c r="L72" s="3"/>
      <c r="M72" s="3"/>
      <c r="N72" s="2"/>
      <c r="P72" s="3"/>
      <c r="Q72" s="1">
        <v>45988</v>
      </c>
      <c r="R72" s="7">
        <f t="shared" si="14"/>
        <v>1.0456120972827332E-2</v>
      </c>
      <c r="S72" s="7">
        <f t="shared" si="15"/>
        <v>-1.1259820354683203E-3</v>
      </c>
      <c r="T72" s="7">
        <f t="shared" si="16"/>
        <v>2.4481566820278022E-3</v>
      </c>
      <c r="U72" s="7">
        <f t="shared" si="17"/>
        <v>-2.8685258964145088E-4</v>
      </c>
      <c r="V72" s="7">
        <f t="shared" si="18"/>
        <v>-2.0253905730178712E-2</v>
      </c>
      <c r="Y72" s="1">
        <v>45999</v>
      </c>
      <c r="Z72" s="7">
        <f t="shared" si="13"/>
        <v>1.3206554941620988E-3</v>
      </c>
    </row>
    <row r="73" spans="2:26" x14ac:dyDescent="0.3">
      <c r="B73" s="1">
        <v>45987</v>
      </c>
      <c r="C73" s="2">
        <v>2425.1999999999998</v>
      </c>
      <c r="D73" s="2">
        <v>3897.7</v>
      </c>
      <c r="E73" s="2">
        <v>1375</v>
      </c>
      <c r="F73" s="2">
        <v>3162.9</v>
      </c>
      <c r="G73" s="2">
        <v>3686.4</v>
      </c>
      <c r="I73" s="2"/>
      <c r="J73" s="2"/>
      <c r="L73" s="3"/>
      <c r="M73" s="3"/>
      <c r="N73" s="2"/>
      <c r="P73" s="3"/>
      <c r="Q73" s="1">
        <v>45987</v>
      </c>
      <c r="R73" s="7">
        <f t="shared" si="14"/>
        <v>-1.0808826528531212E-2</v>
      </c>
      <c r="S73" s="7">
        <f t="shared" si="15"/>
        <v>-1.4346834729588309E-3</v>
      </c>
      <c r="T73" s="7">
        <f t="shared" si="16"/>
        <v>-1.2354546760522944E-2</v>
      </c>
      <c r="U73" s="7">
        <f t="shared" si="17"/>
        <v>8.3848753427278044E-3</v>
      </c>
      <c r="V73" s="7">
        <f t="shared" si="18"/>
        <v>1.4125828534174989E-3</v>
      </c>
      <c r="Y73" s="1">
        <v>45996</v>
      </c>
      <c r="Z73" s="7">
        <f t="shared" si="13"/>
        <v>6.3600217852792127E-3</v>
      </c>
    </row>
    <row r="74" spans="2:26" x14ac:dyDescent="0.3">
      <c r="B74" s="1">
        <v>45986</v>
      </c>
      <c r="C74" s="2">
        <v>2414.1</v>
      </c>
      <c r="D74" s="2">
        <v>3855.1</v>
      </c>
      <c r="E74" s="2">
        <v>1357.8</v>
      </c>
      <c r="F74" s="2">
        <v>3119.2</v>
      </c>
      <c r="G74" s="2">
        <v>3669.3</v>
      </c>
      <c r="I74" s="2"/>
      <c r="J74" s="2"/>
      <c r="L74" s="3"/>
      <c r="M74" s="3"/>
      <c r="N74" s="2"/>
      <c r="P74" s="3"/>
      <c r="Q74" s="1">
        <v>45986</v>
      </c>
      <c r="R74" s="7">
        <f t="shared" si="14"/>
        <v>-4.57694210786741E-3</v>
      </c>
      <c r="S74" s="7">
        <f t="shared" si="15"/>
        <v>-1.0929522538933201E-2</v>
      </c>
      <c r="T74" s="7">
        <f t="shared" si="16"/>
        <v>-1.2509090909090914E-2</v>
      </c>
      <c r="U74" s="7">
        <f t="shared" si="17"/>
        <v>-1.3816434284991685E-2</v>
      </c>
      <c r="V74" s="7">
        <f t="shared" si="18"/>
        <v>-4.638671875E-3</v>
      </c>
      <c r="Y74" s="1">
        <v>45995</v>
      </c>
      <c r="Z74" s="7">
        <f t="shared" si="13"/>
        <v>1.4741420729164898E-3</v>
      </c>
    </row>
    <row r="75" spans="2:26" x14ac:dyDescent="0.3">
      <c r="B75" s="1">
        <v>45985</v>
      </c>
      <c r="C75" s="2">
        <v>2424.1999999999998</v>
      </c>
      <c r="D75" s="2">
        <v>3874.3</v>
      </c>
      <c r="E75" s="2">
        <v>1368.4</v>
      </c>
      <c r="F75" s="2">
        <v>3141.2</v>
      </c>
      <c r="G75" s="2">
        <v>3690.8</v>
      </c>
      <c r="I75" s="2"/>
      <c r="J75" s="2"/>
      <c r="L75" s="3"/>
      <c r="M75" s="3"/>
      <c r="N75" s="2"/>
      <c r="P75" s="3"/>
      <c r="Q75" s="1">
        <v>45985</v>
      </c>
      <c r="R75" s="7">
        <f t="shared" si="14"/>
        <v>4.1837537798765645E-3</v>
      </c>
      <c r="S75" s="7">
        <f t="shared" si="15"/>
        <v>4.9804155534227679E-3</v>
      </c>
      <c r="T75" s="7">
        <f t="shared" si="16"/>
        <v>7.8067462070998683E-3</v>
      </c>
      <c r="U75" s="7">
        <f t="shared" si="17"/>
        <v>7.0530905360348672E-3</v>
      </c>
      <c r="V75" s="7">
        <f t="shared" si="18"/>
        <v>5.8594282288175759E-3</v>
      </c>
      <c r="Y75" s="1">
        <v>45994</v>
      </c>
      <c r="Z75" s="7">
        <f t="shared" si="13"/>
        <v>-2.3339765022601599E-3</v>
      </c>
    </row>
    <row r="76" spans="2:26" x14ac:dyDescent="0.3">
      <c r="B76" s="1">
        <v>45982</v>
      </c>
      <c r="C76" s="2">
        <v>2433.6999999999998</v>
      </c>
      <c r="D76" s="2">
        <v>3904.2</v>
      </c>
      <c r="E76" s="2">
        <v>1369.5</v>
      </c>
      <c r="F76" s="2">
        <v>3150.6</v>
      </c>
      <c r="G76" s="2">
        <v>3749.6</v>
      </c>
      <c r="I76" s="2"/>
      <c r="J76" s="2"/>
      <c r="L76" s="3"/>
      <c r="M76" s="3"/>
      <c r="N76" s="2"/>
      <c r="P76" s="3"/>
      <c r="Q76" s="1">
        <v>45982</v>
      </c>
      <c r="R76" s="7">
        <f t="shared" si="14"/>
        <v>3.9188185793250785E-3</v>
      </c>
      <c r="S76" s="7">
        <f t="shared" si="15"/>
        <v>7.7175231654749155E-3</v>
      </c>
      <c r="T76" s="7">
        <f t="shared" si="16"/>
        <v>8.03858520900258E-4</v>
      </c>
      <c r="U76" s="7">
        <f t="shared" si="17"/>
        <v>2.9924869476634086E-3</v>
      </c>
      <c r="V76" s="7">
        <f t="shared" si="18"/>
        <v>1.5931505364690457E-2</v>
      </c>
      <c r="Y76" s="1">
        <v>45993</v>
      </c>
      <c r="Z76" s="7">
        <f t="shared" si="13"/>
        <v>1.3425857959203816E-3</v>
      </c>
    </row>
    <row r="77" spans="2:26" x14ac:dyDescent="0.3">
      <c r="B77" s="1">
        <v>45981</v>
      </c>
      <c r="C77" s="2">
        <v>2428.4</v>
      </c>
      <c r="D77" s="2">
        <v>3902.4</v>
      </c>
      <c r="E77" s="2">
        <v>1383</v>
      </c>
      <c r="F77" s="2">
        <v>3144.8</v>
      </c>
      <c r="G77" s="2">
        <v>3716.7</v>
      </c>
      <c r="I77" s="2"/>
      <c r="J77" s="2"/>
      <c r="L77" s="3"/>
      <c r="M77" s="3"/>
      <c r="N77" s="2"/>
      <c r="P77" s="3"/>
      <c r="Q77" s="1">
        <v>45981</v>
      </c>
      <c r="R77" s="7">
        <f t="shared" si="14"/>
        <v>-2.1777540370627735E-3</v>
      </c>
      <c r="S77" s="7">
        <f t="shared" si="15"/>
        <v>-4.6104195481777577E-4</v>
      </c>
      <c r="T77" s="7">
        <f t="shared" si="16"/>
        <v>9.8576122672509037E-3</v>
      </c>
      <c r="U77" s="7">
        <f t="shared" si="17"/>
        <v>-1.8409191899955157E-3</v>
      </c>
      <c r="V77" s="7">
        <f t="shared" si="18"/>
        <v>-8.7742692553872681E-3</v>
      </c>
      <c r="Y77" s="1">
        <v>45992</v>
      </c>
      <c r="Z77" s="7">
        <f t="shared" ref="Z77:Z140" si="19">(R70*$Z$5+S70*$AA$5+T70*$AB$5+U70*$AC$5+V70*$AD$5)</f>
        <v>4.0455017842163047E-3</v>
      </c>
    </row>
    <row r="78" spans="2:26" x14ac:dyDescent="0.3">
      <c r="B78" s="1">
        <v>45980</v>
      </c>
      <c r="C78" s="2">
        <v>2441.6</v>
      </c>
      <c r="D78" s="2">
        <v>3933.1</v>
      </c>
      <c r="E78" s="2">
        <v>1383.1</v>
      </c>
      <c r="F78" s="2">
        <v>3147.7</v>
      </c>
      <c r="G78" s="2">
        <v>3722.5</v>
      </c>
      <c r="I78" s="2"/>
      <c r="J78" s="2"/>
      <c r="L78" s="3"/>
      <c r="M78" s="3"/>
      <c r="N78" s="2"/>
      <c r="P78" s="3"/>
      <c r="Q78" s="1">
        <v>45980</v>
      </c>
      <c r="R78" s="7">
        <f t="shared" si="14"/>
        <v>5.4356778125514982E-3</v>
      </c>
      <c r="S78" s="7">
        <f t="shared" si="15"/>
        <v>7.8669536695366027E-3</v>
      </c>
      <c r="T78" s="7">
        <f t="shared" si="16"/>
        <v>7.230657989865108E-5</v>
      </c>
      <c r="U78" s="7">
        <f t="shared" si="17"/>
        <v>9.2215721190536115E-4</v>
      </c>
      <c r="V78" s="7">
        <f t="shared" si="18"/>
        <v>1.5605241208600518E-3</v>
      </c>
      <c r="Y78" s="1">
        <v>45989</v>
      </c>
      <c r="Z78" s="7">
        <f t="shared" si="19"/>
        <v>1.3504153145328269E-3</v>
      </c>
    </row>
    <row r="79" spans="2:26" x14ac:dyDescent="0.3">
      <c r="B79" s="1">
        <v>45979</v>
      </c>
      <c r="C79" s="2">
        <v>2404</v>
      </c>
      <c r="D79" s="2">
        <v>3879.2</v>
      </c>
      <c r="E79" s="2">
        <v>1373.4</v>
      </c>
      <c r="F79" s="2">
        <v>3087.1</v>
      </c>
      <c r="G79" s="2">
        <v>3694.8</v>
      </c>
      <c r="I79" s="2"/>
      <c r="J79" s="2"/>
      <c r="L79" s="3"/>
      <c r="M79" s="3"/>
      <c r="N79" s="2"/>
      <c r="P79" s="3"/>
      <c r="Q79" s="1">
        <v>45979</v>
      </c>
      <c r="R79" s="7">
        <f t="shared" si="14"/>
        <v>-1.5399737876802044E-2</v>
      </c>
      <c r="S79" s="7">
        <f t="shared" si="15"/>
        <v>-1.3704202791691045E-2</v>
      </c>
      <c r="T79" s="7">
        <f t="shared" si="16"/>
        <v>-7.0132311474223608E-3</v>
      </c>
      <c r="U79" s="7">
        <f t="shared" si="17"/>
        <v>-1.9252152365219044E-2</v>
      </c>
      <c r="V79" s="7">
        <f t="shared" si="18"/>
        <v>-7.4412357286769426E-3</v>
      </c>
      <c r="Y79" s="1">
        <v>45988</v>
      </c>
      <c r="Z79" s="7">
        <f t="shared" si="19"/>
        <v>-6.1391449280801414E-5</v>
      </c>
    </row>
    <row r="80" spans="2:26" x14ac:dyDescent="0.3">
      <c r="B80" s="1">
        <v>45978</v>
      </c>
      <c r="C80" s="2">
        <v>2425</v>
      </c>
      <c r="D80" s="2">
        <v>3868.6</v>
      </c>
      <c r="E80" s="2">
        <v>1379</v>
      </c>
      <c r="F80" s="2">
        <v>3102.2</v>
      </c>
      <c r="G80" s="2">
        <v>3734.9</v>
      </c>
      <c r="I80" s="2"/>
      <c r="J80" s="2"/>
      <c r="L80" s="3"/>
      <c r="M80" s="3"/>
      <c r="N80" s="2"/>
      <c r="P80" s="3"/>
      <c r="Q80" s="1">
        <v>45978</v>
      </c>
      <c r="R80" s="7">
        <f t="shared" si="14"/>
        <v>8.7354409317803583E-3</v>
      </c>
      <c r="S80" s="7">
        <f t="shared" si="15"/>
        <v>-2.732522169519469E-3</v>
      </c>
      <c r="T80" s="7">
        <f t="shared" si="16"/>
        <v>4.0774719673801751E-3</v>
      </c>
      <c r="U80" s="7">
        <f t="shared" si="17"/>
        <v>4.8913219526416363E-3</v>
      </c>
      <c r="V80" s="7">
        <f t="shared" si="18"/>
        <v>1.0853090830356127E-2</v>
      </c>
      <c r="Y80" s="1">
        <v>45987</v>
      </c>
      <c r="Z80" s="7">
        <f t="shared" si="19"/>
        <v>-3.8681255217889615E-3</v>
      </c>
    </row>
    <row r="81" spans="2:26" x14ac:dyDescent="0.3">
      <c r="B81" s="1">
        <v>45975</v>
      </c>
      <c r="C81" s="2">
        <v>2427.6999999999998</v>
      </c>
      <c r="D81" s="2">
        <v>3829.2</v>
      </c>
      <c r="E81" s="2">
        <v>1373</v>
      </c>
      <c r="F81" s="2">
        <v>3106</v>
      </c>
      <c r="G81" s="2">
        <v>3698.6</v>
      </c>
      <c r="I81" s="2"/>
      <c r="J81" s="2"/>
      <c r="L81" s="3"/>
      <c r="M81" s="3"/>
      <c r="N81" s="2"/>
      <c r="P81" s="3"/>
      <c r="Q81" s="1">
        <v>45975</v>
      </c>
      <c r="R81" s="7">
        <f t="shared" si="14"/>
        <v>1.1134020618555063E-3</v>
      </c>
      <c r="S81" s="7">
        <f t="shared" si="15"/>
        <v>-1.0184562890968363E-2</v>
      </c>
      <c r="T81" s="7">
        <f t="shared" si="16"/>
        <v>-4.35097897026826E-3</v>
      </c>
      <c r="U81" s="7">
        <f t="shared" si="17"/>
        <v>1.2249371413834975E-3</v>
      </c>
      <c r="V81" s="7">
        <f t="shared" si="18"/>
        <v>-9.7191357198318507E-3</v>
      </c>
      <c r="Y81" s="1">
        <v>45986</v>
      </c>
      <c r="Z81" s="7">
        <f t="shared" si="19"/>
        <v>-1.0398803268139021E-2</v>
      </c>
    </row>
    <row r="82" spans="2:26" x14ac:dyDescent="0.3">
      <c r="B82" s="1">
        <v>45974</v>
      </c>
      <c r="C82" s="2">
        <v>2407.6</v>
      </c>
      <c r="D82" s="2">
        <v>3839.2</v>
      </c>
      <c r="E82" s="2">
        <v>1385.9</v>
      </c>
      <c r="F82" s="2">
        <v>3105.7</v>
      </c>
      <c r="G82" s="2">
        <v>3699.5</v>
      </c>
      <c r="I82" s="2"/>
      <c r="J82" s="2"/>
      <c r="L82" s="3"/>
      <c r="M82" s="3"/>
      <c r="N82" s="2"/>
      <c r="P82" s="3"/>
      <c r="Q82" s="1">
        <v>45974</v>
      </c>
      <c r="R82" s="7">
        <f t="shared" si="14"/>
        <v>-8.2794414466367261E-3</v>
      </c>
      <c r="S82" s="7">
        <f t="shared" si="15"/>
        <v>2.6115115428810842E-3</v>
      </c>
      <c r="T82" s="7">
        <f t="shared" si="16"/>
        <v>9.3954843408594613E-3</v>
      </c>
      <c r="U82" s="7">
        <f t="shared" si="17"/>
        <v>-9.6587250483004539E-5</v>
      </c>
      <c r="V82" s="7">
        <f t="shared" si="18"/>
        <v>2.4333531606557379E-4</v>
      </c>
      <c r="Y82" s="1">
        <v>45985</v>
      </c>
      <c r="Z82" s="7">
        <f t="shared" si="19"/>
        <v>6.211251747555868E-3</v>
      </c>
    </row>
    <row r="83" spans="2:26" x14ac:dyDescent="0.3">
      <c r="B83" s="1">
        <v>45973</v>
      </c>
      <c r="C83" s="2">
        <v>2424.5</v>
      </c>
      <c r="D83" s="2">
        <v>3851.1</v>
      </c>
      <c r="E83" s="2">
        <v>1358.9</v>
      </c>
      <c r="F83" s="2">
        <v>3131.8</v>
      </c>
      <c r="G83" s="2">
        <v>3754.3</v>
      </c>
      <c r="I83" s="2"/>
      <c r="J83" s="2"/>
      <c r="L83" s="3"/>
      <c r="M83" s="3"/>
      <c r="N83" s="2"/>
      <c r="P83" s="3"/>
      <c r="Q83" s="1">
        <v>45973</v>
      </c>
      <c r="R83" s="7">
        <f t="shared" si="14"/>
        <v>7.0194384449244751E-3</v>
      </c>
      <c r="S83" s="7">
        <f t="shared" si="15"/>
        <v>3.0996040841841932E-3</v>
      </c>
      <c r="T83" s="7">
        <f t="shared" si="16"/>
        <v>-1.9481925102821318E-2</v>
      </c>
      <c r="U83" s="7">
        <f t="shared" si="17"/>
        <v>8.4039025018516345E-3</v>
      </c>
      <c r="V83" s="7">
        <f t="shared" si="18"/>
        <v>1.4812812542235543E-2</v>
      </c>
      <c r="Y83" s="1">
        <v>45982</v>
      </c>
      <c r="Z83" s="7">
        <f t="shared" si="19"/>
        <v>4.9500090605392958E-3</v>
      </c>
    </row>
    <row r="84" spans="2:26" x14ac:dyDescent="0.3">
      <c r="B84" s="1">
        <v>45972</v>
      </c>
      <c r="C84" s="2">
        <v>2427.5</v>
      </c>
      <c r="D84" s="2">
        <v>3812.4</v>
      </c>
      <c r="E84" s="2">
        <v>1358.3</v>
      </c>
      <c r="F84" s="2">
        <v>3047</v>
      </c>
      <c r="G84" s="2">
        <v>3749.1</v>
      </c>
      <c r="I84" s="2"/>
      <c r="J84" s="2"/>
      <c r="L84" s="3"/>
      <c r="M84" s="3"/>
      <c r="N84" s="2"/>
      <c r="P84" s="3"/>
      <c r="Q84" s="1">
        <v>45972</v>
      </c>
      <c r="R84" s="7">
        <f t="shared" si="14"/>
        <v>1.2373685295936632E-3</v>
      </c>
      <c r="S84" s="7">
        <f t="shared" si="15"/>
        <v>-1.0049076887123087E-2</v>
      </c>
      <c r="T84" s="7">
        <f t="shared" si="16"/>
        <v>-4.4153359334764275E-4</v>
      </c>
      <c r="U84" s="7">
        <f t="shared" si="17"/>
        <v>-2.7077080273325338E-2</v>
      </c>
      <c r="V84" s="7">
        <f t="shared" si="18"/>
        <v>-1.3850784433849794E-3</v>
      </c>
      <c r="Y84" s="1">
        <v>45981</v>
      </c>
      <c r="Z84" s="7">
        <f t="shared" si="19"/>
        <v>1.2697493223735811E-3</v>
      </c>
    </row>
    <row r="85" spans="2:26" x14ac:dyDescent="0.3">
      <c r="B85" s="1">
        <v>45971</v>
      </c>
      <c r="C85" s="2">
        <v>2408.8000000000002</v>
      </c>
      <c r="D85" s="2">
        <v>3803</v>
      </c>
      <c r="E85" s="2">
        <v>1348</v>
      </c>
      <c r="F85" s="2">
        <v>3025.2</v>
      </c>
      <c r="G85" s="2">
        <v>3663.9</v>
      </c>
      <c r="I85" s="2"/>
      <c r="J85" s="2"/>
      <c r="L85" s="3"/>
      <c r="M85" s="3"/>
      <c r="N85" s="2"/>
      <c r="P85" s="3"/>
      <c r="Q85" s="1">
        <v>45971</v>
      </c>
      <c r="R85" s="7">
        <f t="shared" si="14"/>
        <v>-7.7033985581873576E-3</v>
      </c>
      <c r="S85" s="7">
        <f t="shared" si="15"/>
        <v>-2.4656384429755374E-3</v>
      </c>
      <c r="T85" s="7">
        <f t="shared" si="16"/>
        <v>-7.5830081719796549E-3</v>
      </c>
      <c r="U85" s="7">
        <f t="shared" si="17"/>
        <v>-7.154578273711909E-3</v>
      </c>
      <c r="V85" s="7">
        <f t="shared" si="18"/>
        <v>-2.2725454108986076E-2</v>
      </c>
      <c r="Y85" s="1">
        <v>45980</v>
      </c>
      <c r="Z85" s="7">
        <f t="shared" si="19"/>
        <v>3.1442659177035484E-3</v>
      </c>
    </row>
    <row r="86" spans="2:26" x14ac:dyDescent="0.3">
      <c r="B86" s="1">
        <v>45968</v>
      </c>
      <c r="C86" s="2">
        <v>2414</v>
      </c>
      <c r="D86" s="2">
        <v>3769.3</v>
      </c>
      <c r="E86" s="2">
        <v>1343</v>
      </c>
      <c r="F86" s="2">
        <v>2991.8</v>
      </c>
      <c r="G86" s="2">
        <v>3690.2</v>
      </c>
      <c r="I86" s="2"/>
      <c r="J86" s="2"/>
      <c r="L86" s="3"/>
      <c r="M86" s="3"/>
      <c r="N86" s="2"/>
      <c r="P86" s="3"/>
      <c r="Q86" s="1">
        <v>45968</v>
      </c>
      <c r="R86" s="7">
        <f t="shared" si="14"/>
        <v>2.1587512454332991E-3</v>
      </c>
      <c r="S86" s="7">
        <f t="shared" si="15"/>
        <v>-8.8614251906389274E-3</v>
      </c>
      <c r="T86" s="7">
        <f t="shared" si="16"/>
        <v>-3.7091988130564246E-3</v>
      </c>
      <c r="U86" s="7">
        <f t="shared" si="17"/>
        <v>-1.1040592357529966E-2</v>
      </c>
      <c r="V86" s="7">
        <f t="shared" si="18"/>
        <v>7.1781435082833855E-3</v>
      </c>
      <c r="Y86" s="1">
        <v>45979</v>
      </c>
      <c r="Z86" s="7">
        <f t="shared" si="19"/>
        <v>-1.2434534769581279E-2</v>
      </c>
    </row>
    <row r="87" spans="2:26" x14ac:dyDescent="0.3">
      <c r="B87" s="1">
        <v>45967</v>
      </c>
      <c r="C87" s="2">
        <v>2436</v>
      </c>
      <c r="D87" s="2">
        <v>3774.4</v>
      </c>
      <c r="E87" s="2">
        <v>1320.4</v>
      </c>
      <c r="F87" s="2">
        <v>3010.9</v>
      </c>
      <c r="G87" s="2">
        <v>3618.5</v>
      </c>
      <c r="I87" s="2"/>
      <c r="J87" s="2"/>
      <c r="L87" s="3"/>
      <c r="M87" s="3"/>
      <c r="N87" s="2"/>
      <c r="P87" s="3"/>
      <c r="Q87" s="1">
        <v>45967</v>
      </c>
      <c r="R87" s="7">
        <f t="shared" si="14"/>
        <v>9.1135045567523054E-3</v>
      </c>
      <c r="S87" s="7">
        <f t="shared" si="15"/>
        <v>1.353036372801375E-3</v>
      </c>
      <c r="T87" s="7">
        <f t="shared" si="16"/>
        <v>-1.6827997021593433E-2</v>
      </c>
      <c r="U87" s="7">
        <f t="shared" si="17"/>
        <v>6.3841165853331105E-3</v>
      </c>
      <c r="V87" s="7">
        <f t="shared" si="18"/>
        <v>-1.9429841201018871E-2</v>
      </c>
      <c r="Y87" s="1">
        <v>45978</v>
      </c>
      <c r="Z87" s="7">
        <f t="shared" si="19"/>
        <v>3.914000661165179E-3</v>
      </c>
    </row>
    <row r="88" spans="2:26" x14ac:dyDescent="0.3">
      <c r="B88" s="1">
        <v>45965</v>
      </c>
      <c r="C88" s="2">
        <v>2445.6999999999998</v>
      </c>
      <c r="D88" s="2">
        <v>3813.5</v>
      </c>
      <c r="E88" s="2">
        <v>1336.9</v>
      </c>
      <c r="F88" s="2">
        <v>2990.2</v>
      </c>
      <c r="G88" s="2">
        <v>3581.2</v>
      </c>
      <c r="I88" s="2"/>
      <c r="J88" s="2"/>
      <c r="L88" s="3"/>
      <c r="M88" s="3"/>
      <c r="N88" s="2"/>
      <c r="P88" s="3"/>
      <c r="Q88" s="1">
        <v>45965</v>
      </c>
      <c r="R88" s="7">
        <f t="shared" si="14"/>
        <v>3.9819376026271058E-3</v>
      </c>
      <c r="S88" s="7">
        <f t="shared" si="15"/>
        <v>1.0359262399321612E-2</v>
      </c>
      <c r="T88" s="7">
        <f t="shared" si="16"/>
        <v>1.2496213268706535E-2</v>
      </c>
      <c r="U88" s="7">
        <f t="shared" si="17"/>
        <v>-6.8750207579130196E-3</v>
      </c>
      <c r="V88" s="7">
        <f t="shared" si="18"/>
        <v>-1.030813873151859E-2</v>
      </c>
      <c r="Y88" s="1">
        <v>45975</v>
      </c>
      <c r="Z88" s="7">
        <f t="shared" si="19"/>
        <v>-4.4113502482507278E-3</v>
      </c>
    </row>
    <row r="89" spans="2:26" x14ac:dyDescent="0.3">
      <c r="B89" s="1">
        <v>45964</v>
      </c>
      <c r="C89" s="2">
        <v>2460</v>
      </c>
      <c r="D89" s="2">
        <v>3724.5</v>
      </c>
      <c r="E89" s="2">
        <v>1346.4</v>
      </c>
      <c r="F89" s="2">
        <v>3016.8</v>
      </c>
      <c r="G89" s="2">
        <v>3548.9</v>
      </c>
      <c r="I89" s="2"/>
      <c r="J89" s="2"/>
      <c r="L89" s="3"/>
      <c r="M89" s="3"/>
      <c r="N89" s="2"/>
      <c r="P89" s="3"/>
      <c r="Q89" s="1">
        <v>45964</v>
      </c>
      <c r="R89" s="7">
        <f t="shared" si="14"/>
        <v>5.8469967698411285E-3</v>
      </c>
      <c r="S89" s="7">
        <f t="shared" si="15"/>
        <v>-2.3338140815523767E-2</v>
      </c>
      <c r="T89" s="7">
        <f t="shared" si="16"/>
        <v>7.1059914728102136E-3</v>
      </c>
      <c r="U89" s="7">
        <f t="shared" si="17"/>
        <v>8.895726038392171E-3</v>
      </c>
      <c r="V89" s="7">
        <f t="shared" si="18"/>
        <v>-9.0193231319110057E-3</v>
      </c>
      <c r="Y89" s="1">
        <v>45974</v>
      </c>
      <c r="Z89" s="7">
        <f t="shared" si="19"/>
        <v>2.234623052492557E-3</v>
      </c>
    </row>
    <row r="90" spans="2:26" x14ac:dyDescent="0.3">
      <c r="B90" s="1">
        <v>45961</v>
      </c>
      <c r="C90" s="2">
        <v>2465.5</v>
      </c>
      <c r="D90" s="2">
        <v>3746.7</v>
      </c>
      <c r="E90" s="2">
        <v>1345.3</v>
      </c>
      <c r="F90" s="2">
        <v>3058</v>
      </c>
      <c r="G90" s="2">
        <v>3487.2</v>
      </c>
      <c r="I90" s="2"/>
      <c r="J90" s="2"/>
      <c r="L90" s="3"/>
      <c r="M90" s="3"/>
      <c r="N90" s="2"/>
      <c r="P90" s="3"/>
      <c r="Q90" s="1">
        <v>45961</v>
      </c>
      <c r="R90" s="7">
        <f t="shared" si="14"/>
        <v>2.2357723577235422E-3</v>
      </c>
      <c r="S90" s="7">
        <f t="shared" si="15"/>
        <v>5.9605316149817789E-3</v>
      </c>
      <c r="T90" s="7">
        <f t="shared" si="16"/>
        <v>-8.169934640523957E-4</v>
      </c>
      <c r="U90" s="7">
        <f t="shared" si="17"/>
        <v>1.3656854945637731E-2</v>
      </c>
      <c r="V90" s="7">
        <f t="shared" si="18"/>
        <v>-1.7385668798782783E-2</v>
      </c>
      <c r="Y90" s="1">
        <v>45973</v>
      </c>
      <c r="Z90" s="7">
        <f t="shared" si="19"/>
        <v>-8.5469898846779447E-4</v>
      </c>
    </row>
    <row r="91" spans="2:26" x14ac:dyDescent="0.3">
      <c r="B91" s="1">
        <v>45960</v>
      </c>
      <c r="C91" s="2">
        <v>2469.6</v>
      </c>
      <c r="D91" s="2">
        <v>3750.7</v>
      </c>
      <c r="E91" s="2">
        <v>1362.4</v>
      </c>
      <c r="F91" s="2">
        <v>3035.3</v>
      </c>
      <c r="G91" s="2">
        <v>3502.1</v>
      </c>
      <c r="I91" s="2"/>
      <c r="J91" s="2"/>
      <c r="L91" s="3"/>
      <c r="M91" s="3"/>
      <c r="N91" s="2"/>
      <c r="P91" s="3"/>
      <c r="Q91" s="1">
        <v>45960</v>
      </c>
      <c r="R91" s="7">
        <f t="shared" si="14"/>
        <v>1.662948691948829E-3</v>
      </c>
      <c r="S91" s="7">
        <f t="shared" si="15"/>
        <v>1.0676061600876086E-3</v>
      </c>
      <c r="T91" s="7">
        <f t="shared" si="16"/>
        <v>1.2710919497509909E-2</v>
      </c>
      <c r="U91" s="7">
        <f t="shared" si="17"/>
        <v>-7.4231523871810534E-3</v>
      </c>
      <c r="V91" s="7">
        <f t="shared" si="18"/>
        <v>4.2727689837118721E-3</v>
      </c>
      <c r="Y91" s="1">
        <v>45972</v>
      </c>
      <c r="Z91" s="7">
        <f t="shared" si="19"/>
        <v>-8.0130479193495814E-3</v>
      </c>
    </row>
    <row r="92" spans="2:26" x14ac:dyDescent="0.3">
      <c r="B92" s="1">
        <v>45959</v>
      </c>
      <c r="C92" s="2">
        <v>2488.1</v>
      </c>
      <c r="D92" s="2">
        <v>3748.3</v>
      </c>
      <c r="E92" s="2">
        <v>1370.4</v>
      </c>
      <c r="F92" s="2">
        <v>3057.6</v>
      </c>
      <c r="G92" s="2">
        <v>3534.7</v>
      </c>
      <c r="I92" s="2"/>
      <c r="J92" s="2"/>
      <c r="L92" s="3"/>
      <c r="M92" s="3"/>
      <c r="N92" s="2"/>
      <c r="P92" s="3"/>
      <c r="Q92" s="1">
        <v>45959</v>
      </c>
      <c r="R92" s="7">
        <f t="shared" si="14"/>
        <v>7.491091674765249E-3</v>
      </c>
      <c r="S92" s="7">
        <f t="shared" si="15"/>
        <v>-6.3988055562946844E-4</v>
      </c>
      <c r="T92" s="7">
        <f t="shared" si="16"/>
        <v>5.871990604815025E-3</v>
      </c>
      <c r="U92" s="7">
        <f t="shared" si="17"/>
        <v>7.3468849866569208E-3</v>
      </c>
      <c r="V92" s="7">
        <f t="shared" si="18"/>
        <v>9.3087004939893525E-3</v>
      </c>
      <c r="Y92" s="1">
        <v>45971</v>
      </c>
      <c r="Z92" s="7">
        <f t="shared" si="19"/>
        <v>-7.7502829117068739E-3</v>
      </c>
    </row>
    <row r="93" spans="2:26" x14ac:dyDescent="0.3">
      <c r="B93" s="1">
        <v>45958</v>
      </c>
      <c r="C93" s="2">
        <v>2497.1</v>
      </c>
      <c r="D93" s="2">
        <v>3717</v>
      </c>
      <c r="E93" s="2">
        <v>1363.1</v>
      </c>
      <c r="F93" s="2">
        <v>3057.9</v>
      </c>
      <c r="G93" s="2">
        <v>3579.1</v>
      </c>
      <c r="I93" s="2"/>
      <c r="J93" s="2"/>
      <c r="L93" s="3"/>
      <c r="M93" s="3"/>
      <c r="N93" s="2"/>
      <c r="P93" s="3"/>
      <c r="Q93" s="1">
        <v>45958</v>
      </c>
      <c r="R93" s="7">
        <f t="shared" si="14"/>
        <v>3.6172179574776031E-3</v>
      </c>
      <c r="S93" s="7">
        <f t="shared" si="15"/>
        <v>-8.3504522049996366E-3</v>
      </c>
      <c r="T93" s="7">
        <f t="shared" si="16"/>
        <v>-5.326911850554672E-3</v>
      </c>
      <c r="U93" s="7">
        <f t="shared" si="17"/>
        <v>9.8116169544804066E-5</v>
      </c>
      <c r="V93" s="7">
        <f t="shared" si="18"/>
        <v>1.2561179166548753E-2</v>
      </c>
      <c r="Y93" s="1">
        <v>45968</v>
      </c>
      <c r="Z93" s="7">
        <f t="shared" si="19"/>
        <v>-4.4946073754393197E-3</v>
      </c>
    </row>
    <row r="94" spans="2:26" x14ac:dyDescent="0.3">
      <c r="B94" s="1">
        <v>45957</v>
      </c>
      <c r="C94" s="2">
        <v>2511.8000000000002</v>
      </c>
      <c r="D94" s="2">
        <v>3739.8</v>
      </c>
      <c r="E94" s="2">
        <v>1377.6</v>
      </c>
      <c r="F94" s="2">
        <v>3084.9</v>
      </c>
      <c r="G94" s="2">
        <v>3611.6</v>
      </c>
      <c r="I94" s="2"/>
      <c r="J94" s="2"/>
      <c r="L94" s="3"/>
      <c r="M94" s="3"/>
      <c r="N94" s="2"/>
      <c r="P94" s="3"/>
      <c r="Q94" s="1">
        <v>45957</v>
      </c>
      <c r="R94" s="7">
        <f t="shared" si="14"/>
        <v>5.8868287213167392E-3</v>
      </c>
      <c r="S94" s="7">
        <f t="shared" si="15"/>
        <v>6.1339790153349671E-3</v>
      </c>
      <c r="T94" s="7">
        <f t="shared" si="16"/>
        <v>1.0637517423519816E-2</v>
      </c>
      <c r="U94" s="7">
        <f t="shared" si="17"/>
        <v>8.8295889335818778E-3</v>
      </c>
      <c r="V94" s="7">
        <f t="shared" si="18"/>
        <v>9.080495096532637E-3</v>
      </c>
      <c r="Y94" s="1">
        <v>45967</v>
      </c>
      <c r="Z94" s="7">
        <f t="shared" si="19"/>
        <v>-4.0092751328001056E-3</v>
      </c>
    </row>
    <row r="95" spans="2:26" x14ac:dyDescent="0.3">
      <c r="B95" s="1">
        <v>45954</v>
      </c>
      <c r="C95" s="2">
        <v>2516.4</v>
      </c>
      <c r="D95" s="2">
        <v>3714.9</v>
      </c>
      <c r="E95" s="2">
        <v>1377.7</v>
      </c>
      <c r="F95" s="2">
        <v>3063.2</v>
      </c>
      <c r="G95" s="2">
        <v>3625</v>
      </c>
      <c r="I95" s="2"/>
      <c r="J95" s="2"/>
      <c r="L95" s="3"/>
      <c r="M95" s="3"/>
      <c r="N95" s="2"/>
      <c r="P95" s="3"/>
      <c r="Q95" s="1">
        <v>45954</v>
      </c>
      <c r="R95" s="7">
        <f t="shared" si="14"/>
        <v>1.8313559996814277E-3</v>
      </c>
      <c r="S95" s="7">
        <f t="shared" si="15"/>
        <v>-6.6581100593614551E-3</v>
      </c>
      <c r="T95" s="7">
        <f t="shared" si="16"/>
        <v>7.2590011614526162E-5</v>
      </c>
      <c r="U95" s="7">
        <f t="shared" si="17"/>
        <v>-7.0342636714318951E-3</v>
      </c>
      <c r="V95" s="7">
        <f t="shared" si="18"/>
        <v>3.7102669177095926E-3</v>
      </c>
      <c r="Y95" s="1">
        <v>45965</v>
      </c>
      <c r="Z95" s="7">
        <f t="shared" si="19"/>
        <v>4.5301521961019654E-3</v>
      </c>
    </row>
    <row r="96" spans="2:26" x14ac:dyDescent="0.3">
      <c r="B96" s="1">
        <v>45953</v>
      </c>
      <c r="C96" s="2">
        <v>2601.6</v>
      </c>
      <c r="D96" s="2">
        <v>3772.3</v>
      </c>
      <c r="E96" s="2">
        <v>1363.7</v>
      </c>
      <c r="F96" s="2">
        <v>3073.2</v>
      </c>
      <c r="G96" s="2">
        <v>3623.6</v>
      </c>
      <c r="I96" s="2"/>
      <c r="J96" s="2"/>
      <c r="L96" s="3"/>
      <c r="M96" s="3"/>
      <c r="N96" s="2"/>
      <c r="P96" s="3"/>
      <c r="Q96" s="1">
        <v>45953</v>
      </c>
      <c r="R96" s="7">
        <f t="shared" si="14"/>
        <v>3.385789222699076E-2</v>
      </c>
      <c r="S96" s="7">
        <f t="shared" si="15"/>
        <v>1.5451290748068613E-2</v>
      </c>
      <c r="T96" s="7">
        <f t="shared" si="16"/>
        <v>-1.0161863976192231E-2</v>
      </c>
      <c r="U96" s="7">
        <f t="shared" si="17"/>
        <v>3.2645599373204437E-3</v>
      </c>
      <c r="V96" s="7">
        <f t="shared" si="18"/>
        <v>-3.8620689655177731E-4</v>
      </c>
      <c r="Y96" s="1">
        <v>45964</v>
      </c>
      <c r="Z96" s="7">
        <f t="shared" si="19"/>
        <v>-1.9484753520743752E-3</v>
      </c>
    </row>
    <row r="97" spans="2:26" x14ac:dyDescent="0.3">
      <c r="B97" s="1">
        <v>45951</v>
      </c>
      <c r="C97" s="2">
        <v>2591.6999999999998</v>
      </c>
      <c r="D97" s="2">
        <v>3729</v>
      </c>
      <c r="E97" s="2">
        <v>1382</v>
      </c>
      <c r="F97" s="2">
        <v>3006.7</v>
      </c>
      <c r="G97" s="2">
        <v>3621.2</v>
      </c>
      <c r="I97" s="2"/>
      <c r="J97" s="2"/>
      <c r="L97" s="3"/>
      <c r="M97" s="3"/>
      <c r="N97" s="2"/>
      <c r="P97" s="3"/>
      <c r="Q97" s="1">
        <v>45951</v>
      </c>
      <c r="R97" s="7">
        <f t="shared" si="14"/>
        <v>-3.8053505535056154E-3</v>
      </c>
      <c r="S97" s="7">
        <f t="shared" si="15"/>
        <v>-1.1478408398059581E-2</v>
      </c>
      <c r="T97" s="7">
        <f t="shared" si="16"/>
        <v>1.341937376255764E-2</v>
      </c>
      <c r="U97" s="7">
        <f t="shared" si="17"/>
        <v>-2.1638682806195519E-2</v>
      </c>
      <c r="V97" s="7">
        <f t="shared" si="18"/>
        <v>-6.6232475990735118E-4</v>
      </c>
      <c r="Y97" s="1">
        <v>45961</v>
      </c>
      <c r="Z97" s="7">
        <f t="shared" si="19"/>
        <v>2.5732048274375256E-3</v>
      </c>
    </row>
    <row r="98" spans="2:26" x14ac:dyDescent="0.3">
      <c r="B98" s="1">
        <v>45950</v>
      </c>
      <c r="C98" s="2">
        <v>2594.4</v>
      </c>
      <c r="D98" s="2">
        <v>3737.2</v>
      </c>
      <c r="E98" s="2">
        <v>1390.3</v>
      </c>
      <c r="F98" s="2">
        <v>3015.2</v>
      </c>
      <c r="G98" s="2">
        <v>3599.1</v>
      </c>
      <c r="I98" s="2"/>
      <c r="J98" s="2"/>
      <c r="L98" s="3"/>
      <c r="M98" s="3"/>
      <c r="N98" s="2"/>
      <c r="P98" s="3"/>
      <c r="Q98" s="1">
        <v>45950</v>
      </c>
      <c r="R98" s="7">
        <f t="shared" si="14"/>
        <v>1.0417872438941433E-3</v>
      </c>
      <c r="S98" s="7">
        <f t="shared" si="15"/>
        <v>2.1989809600428956E-3</v>
      </c>
      <c r="T98" s="7">
        <f t="shared" si="16"/>
        <v>6.0057887120115172E-3</v>
      </c>
      <c r="U98" s="7">
        <f t="shared" si="17"/>
        <v>2.8270196561013261E-3</v>
      </c>
      <c r="V98" s="7">
        <f t="shared" si="18"/>
        <v>-6.1029492985750222E-3</v>
      </c>
      <c r="Y98" s="1">
        <v>45960</v>
      </c>
      <c r="Z98" s="7">
        <f t="shared" si="19"/>
        <v>3.2722661140021751E-3</v>
      </c>
    </row>
    <row r="99" spans="2:26" x14ac:dyDescent="0.3">
      <c r="B99" s="1">
        <v>45947</v>
      </c>
      <c r="C99" s="2">
        <v>2603.6999999999998</v>
      </c>
      <c r="D99" s="2">
        <v>3674.8</v>
      </c>
      <c r="E99" s="2">
        <v>1436.6</v>
      </c>
      <c r="F99" s="2">
        <v>2962.2</v>
      </c>
      <c r="G99" s="2">
        <v>3647.2</v>
      </c>
      <c r="I99" s="2"/>
      <c r="J99" s="2"/>
      <c r="L99" s="3"/>
      <c r="M99" s="3"/>
      <c r="N99" s="2"/>
      <c r="P99" s="3"/>
      <c r="Q99" s="1">
        <v>45947</v>
      </c>
      <c r="R99" s="7">
        <f t="shared" si="14"/>
        <v>3.5846438482884935E-3</v>
      </c>
      <c r="S99" s="7">
        <f t="shared" si="15"/>
        <v>-1.669699240072775E-2</v>
      </c>
      <c r="T99" s="7">
        <f t="shared" si="16"/>
        <v>3.330216500035954E-2</v>
      </c>
      <c r="U99" s="7">
        <f t="shared" si="17"/>
        <v>-1.757760679225262E-2</v>
      </c>
      <c r="V99" s="7">
        <f t="shared" si="18"/>
        <v>1.3364452224167156E-2</v>
      </c>
      <c r="Y99" s="1">
        <v>45959</v>
      </c>
      <c r="Z99" s="7">
        <f t="shared" si="19"/>
        <v>5.1255378404822475E-3</v>
      </c>
    </row>
    <row r="100" spans="2:26" x14ac:dyDescent="0.3">
      <c r="B100" s="1">
        <v>45946</v>
      </c>
      <c r="C100" s="2">
        <v>2561.5</v>
      </c>
      <c r="D100" s="2">
        <v>3640.3</v>
      </c>
      <c r="E100" s="2">
        <v>1417.3</v>
      </c>
      <c r="F100" s="2">
        <v>2970.7</v>
      </c>
      <c r="G100" s="2">
        <v>3560.8</v>
      </c>
      <c r="I100" s="2"/>
      <c r="J100" s="2"/>
      <c r="L100" s="3"/>
      <c r="M100" s="3"/>
      <c r="N100" s="2"/>
      <c r="P100" s="3"/>
      <c r="Q100" s="1">
        <v>45946</v>
      </c>
      <c r="R100" s="7">
        <f t="shared" si="14"/>
        <v>-1.620770442063213E-2</v>
      </c>
      <c r="S100" s="7">
        <f t="shared" si="15"/>
        <v>-9.3882660280831809E-3</v>
      </c>
      <c r="T100" s="7">
        <f t="shared" si="16"/>
        <v>-1.343449812056241E-2</v>
      </c>
      <c r="U100" s="7">
        <f t="shared" si="17"/>
        <v>2.8694888933900042E-3</v>
      </c>
      <c r="V100" s="7">
        <f t="shared" si="18"/>
        <v>-2.3689405571397093E-2</v>
      </c>
      <c r="Y100" s="1">
        <v>45958</v>
      </c>
      <c r="Z100" s="7">
        <f t="shared" si="19"/>
        <v>-1.867362762230834E-3</v>
      </c>
    </row>
    <row r="101" spans="2:26" x14ac:dyDescent="0.3">
      <c r="B101" s="1">
        <v>45945</v>
      </c>
      <c r="C101" s="2">
        <v>2519</v>
      </c>
      <c r="D101" s="2">
        <v>3549</v>
      </c>
      <c r="E101" s="2">
        <v>1398.4</v>
      </c>
      <c r="F101" s="2">
        <v>2969.8</v>
      </c>
      <c r="G101" s="2">
        <v>3497.2</v>
      </c>
      <c r="I101" s="2"/>
      <c r="J101" s="2"/>
      <c r="L101" s="3"/>
      <c r="M101" s="3"/>
      <c r="N101" s="2"/>
      <c r="P101" s="3"/>
      <c r="Q101" s="1">
        <v>45945</v>
      </c>
      <c r="R101" s="7">
        <f t="shared" si="14"/>
        <v>-1.6591840718329087E-2</v>
      </c>
      <c r="S101" s="7">
        <f t="shared" si="15"/>
        <v>-2.5080350520561567E-2</v>
      </c>
      <c r="T101" s="7">
        <f t="shared" si="16"/>
        <v>-1.3335214845128007E-2</v>
      </c>
      <c r="U101" s="7">
        <f t="shared" si="17"/>
        <v>-3.0295889857601122E-4</v>
      </c>
      <c r="V101" s="7">
        <f t="shared" si="18"/>
        <v>-1.7861154796675049E-2</v>
      </c>
      <c r="Y101" s="1">
        <v>45957</v>
      </c>
      <c r="Z101" s="7">
        <f t="shared" si="19"/>
        <v>8.2817415854568362E-3</v>
      </c>
    </row>
    <row r="102" spans="2:26" x14ac:dyDescent="0.3">
      <c r="B102" s="1">
        <v>45944</v>
      </c>
      <c r="C102" s="2">
        <v>2502.3000000000002</v>
      </c>
      <c r="D102" s="2">
        <v>3537.4</v>
      </c>
      <c r="E102" s="2">
        <v>1384.1</v>
      </c>
      <c r="F102" s="2">
        <v>2960.3</v>
      </c>
      <c r="G102" s="2">
        <v>3459.8</v>
      </c>
      <c r="I102" s="2"/>
      <c r="J102" s="2"/>
      <c r="L102" s="3"/>
      <c r="M102" s="3"/>
      <c r="N102" s="2"/>
      <c r="P102" s="3"/>
      <c r="Q102" s="1">
        <v>45944</v>
      </c>
      <c r="R102" s="7">
        <f t="shared" si="14"/>
        <v>-6.6296149265581139E-3</v>
      </c>
      <c r="S102" s="7">
        <f t="shared" si="15"/>
        <v>-3.2685263454493851E-3</v>
      </c>
      <c r="T102" s="7">
        <f t="shared" si="16"/>
        <v>-1.0225972540045869E-2</v>
      </c>
      <c r="U102" s="7">
        <f t="shared" si="17"/>
        <v>-3.1988686106808606E-3</v>
      </c>
      <c r="V102" s="7">
        <f t="shared" si="18"/>
        <v>-1.0694269701475356E-2</v>
      </c>
      <c r="Y102" s="1">
        <v>45954</v>
      </c>
      <c r="Z102" s="7">
        <f t="shared" si="19"/>
        <v>-2.4038731539192115E-3</v>
      </c>
    </row>
    <row r="103" spans="2:26" x14ac:dyDescent="0.3">
      <c r="B103" s="1">
        <v>45943</v>
      </c>
      <c r="C103" s="2">
        <v>2492.8000000000002</v>
      </c>
      <c r="D103" s="2">
        <v>3533.6</v>
      </c>
      <c r="E103" s="2">
        <v>1379.4</v>
      </c>
      <c r="F103" s="2">
        <v>3007.2</v>
      </c>
      <c r="G103" s="2">
        <v>3459.7</v>
      </c>
      <c r="I103" s="2"/>
      <c r="J103" s="2"/>
      <c r="L103" s="3"/>
      <c r="M103" s="3"/>
      <c r="N103" s="2"/>
      <c r="P103" s="3"/>
      <c r="Q103" s="1">
        <v>45943</v>
      </c>
      <c r="R103" s="7">
        <f t="shared" si="14"/>
        <v>-3.7965072133636646E-3</v>
      </c>
      <c r="S103" s="7">
        <f t="shared" si="15"/>
        <v>-1.0742353140725802E-3</v>
      </c>
      <c r="T103" s="7">
        <f t="shared" si="16"/>
        <v>-3.395708402571973E-3</v>
      </c>
      <c r="U103" s="7">
        <f t="shared" si="17"/>
        <v>1.5842988886261455E-2</v>
      </c>
      <c r="V103" s="7">
        <f t="shared" si="18"/>
        <v>-2.8903404821201129E-5</v>
      </c>
      <c r="Y103" s="1">
        <v>45953</v>
      </c>
      <c r="Z103" s="7">
        <f t="shared" si="19"/>
        <v>6.5072386260170085E-3</v>
      </c>
    </row>
    <row r="104" spans="2:26" x14ac:dyDescent="0.3">
      <c r="B104" s="1">
        <v>45940</v>
      </c>
      <c r="C104" s="2">
        <v>2528.9</v>
      </c>
      <c r="D104" s="2">
        <v>3531.9</v>
      </c>
      <c r="E104" s="2">
        <v>1380.3</v>
      </c>
      <c r="F104" s="2">
        <v>3028.3</v>
      </c>
      <c r="G104" s="2">
        <v>3454.9</v>
      </c>
      <c r="I104" s="2"/>
      <c r="J104" s="2"/>
      <c r="L104" s="3"/>
      <c r="M104" s="3"/>
      <c r="N104" s="2"/>
      <c r="P104" s="3"/>
      <c r="Q104" s="1">
        <v>45940</v>
      </c>
      <c r="R104" s="7">
        <f t="shared" si="14"/>
        <v>1.44817073170731E-2</v>
      </c>
      <c r="S104" s="7">
        <f t="shared" si="15"/>
        <v>-4.8109576635724238E-4</v>
      </c>
      <c r="T104" s="7">
        <f t="shared" si="16"/>
        <v>6.5245759025645E-4</v>
      </c>
      <c r="U104" s="7">
        <f t="shared" si="17"/>
        <v>7.0164937483374601E-3</v>
      </c>
      <c r="V104" s="7">
        <f t="shared" si="18"/>
        <v>-1.3874035320980971E-3</v>
      </c>
      <c r="Y104" s="1">
        <v>45951</v>
      </c>
      <c r="Z104" s="7">
        <f t="shared" si="19"/>
        <v>-3.8085615910032847E-3</v>
      </c>
    </row>
    <row r="105" spans="2:26" x14ac:dyDescent="0.3">
      <c r="B105" s="1">
        <v>45939</v>
      </c>
      <c r="C105" s="2">
        <v>2517.6</v>
      </c>
      <c r="D105" s="2">
        <v>3550.6</v>
      </c>
      <c r="E105" s="2">
        <v>1376.2</v>
      </c>
      <c r="F105" s="2">
        <v>3061.7</v>
      </c>
      <c r="G105" s="2">
        <v>3442.9</v>
      </c>
      <c r="I105" s="2"/>
      <c r="J105" s="2"/>
      <c r="L105" s="3"/>
      <c r="M105" s="3"/>
      <c r="N105" s="2"/>
      <c r="P105" s="3"/>
      <c r="Q105" s="1">
        <v>45939</v>
      </c>
      <c r="R105" s="7">
        <f t="shared" si="14"/>
        <v>-4.4683459211515286E-3</v>
      </c>
      <c r="S105" s="7">
        <f t="shared" si="15"/>
        <v>5.2946006398821854E-3</v>
      </c>
      <c r="T105" s="7">
        <f t="shared" si="16"/>
        <v>-2.9703687604143436E-3</v>
      </c>
      <c r="U105" s="7">
        <f t="shared" si="17"/>
        <v>1.1029290360928368E-2</v>
      </c>
      <c r="V105" s="7">
        <f t="shared" si="18"/>
        <v>-3.4733277374163762E-3</v>
      </c>
      <c r="Y105" s="1">
        <v>45950</v>
      </c>
      <c r="Z105" s="7">
        <f t="shared" si="19"/>
        <v>2.4628589415610636E-3</v>
      </c>
    </row>
    <row r="106" spans="2:26" x14ac:dyDescent="0.3">
      <c r="B106" s="1">
        <v>45938</v>
      </c>
      <c r="C106" s="2">
        <v>2500.1</v>
      </c>
      <c r="D106" s="2">
        <v>3565.6</v>
      </c>
      <c r="E106" s="2">
        <v>1370.3</v>
      </c>
      <c r="F106" s="2">
        <v>3027.2</v>
      </c>
      <c r="G106" s="2">
        <v>3426.5</v>
      </c>
      <c r="I106" s="2"/>
      <c r="J106" s="2"/>
      <c r="L106" s="3"/>
      <c r="M106" s="3"/>
      <c r="N106" s="2"/>
      <c r="P106" s="3"/>
      <c r="Q106" s="1">
        <v>45938</v>
      </c>
      <c r="R106" s="7">
        <f t="shared" si="14"/>
        <v>-6.9510645058785681E-3</v>
      </c>
      <c r="S106" s="7">
        <f t="shared" si="15"/>
        <v>4.2246380893369295E-3</v>
      </c>
      <c r="T106" s="7">
        <f t="shared" si="16"/>
        <v>-4.2871675628542993E-3</v>
      </c>
      <c r="U106" s="7">
        <f t="shared" si="17"/>
        <v>-1.1268249665218666E-2</v>
      </c>
      <c r="V106" s="7">
        <f t="shared" si="18"/>
        <v>-4.7634261814168966E-3</v>
      </c>
      <c r="Y106" s="1">
        <v>45947</v>
      </c>
      <c r="Z106" s="7">
        <f t="shared" si="19"/>
        <v>4.1750218411353898E-3</v>
      </c>
    </row>
    <row r="107" spans="2:26" x14ac:dyDescent="0.3">
      <c r="B107" s="1">
        <v>45937</v>
      </c>
      <c r="C107" s="2">
        <v>2517.1999999999998</v>
      </c>
      <c r="D107" s="2">
        <v>3418.2</v>
      </c>
      <c r="E107" s="2">
        <v>1375.9</v>
      </c>
      <c r="F107" s="2">
        <v>2973.7</v>
      </c>
      <c r="G107" s="2">
        <v>3492.8</v>
      </c>
      <c r="I107" s="2"/>
      <c r="J107" s="2"/>
      <c r="L107" s="3"/>
      <c r="M107" s="3"/>
      <c r="N107" s="2"/>
      <c r="P107" s="3"/>
      <c r="Q107" s="1">
        <v>45937</v>
      </c>
      <c r="R107" s="7">
        <f t="shared" si="14"/>
        <v>6.8397264109434364E-3</v>
      </c>
      <c r="S107" s="7">
        <f t="shared" si="15"/>
        <v>-4.1339466008525894E-2</v>
      </c>
      <c r="T107" s="7">
        <f t="shared" si="16"/>
        <v>4.0866963438663806E-3</v>
      </c>
      <c r="U107" s="7">
        <f t="shared" si="17"/>
        <v>-1.7673097251585612E-2</v>
      </c>
      <c r="V107" s="7">
        <f t="shared" si="18"/>
        <v>1.9349190135707017E-2</v>
      </c>
      <c r="Y107" s="1">
        <v>45946</v>
      </c>
      <c r="Z107" s="7">
        <f t="shared" si="19"/>
        <v>-1.0603614384746045E-2</v>
      </c>
    </row>
    <row r="108" spans="2:26" x14ac:dyDescent="0.3">
      <c r="B108" s="1">
        <v>45936</v>
      </c>
      <c r="C108" s="2">
        <v>2541.8000000000002</v>
      </c>
      <c r="D108" s="2">
        <v>3425.4</v>
      </c>
      <c r="E108" s="2">
        <v>1363.4</v>
      </c>
      <c r="F108" s="2">
        <v>2988.4</v>
      </c>
      <c r="G108" s="2">
        <v>3472</v>
      </c>
      <c r="I108" s="2"/>
      <c r="J108" s="2"/>
      <c r="L108" s="3"/>
      <c r="M108" s="3"/>
      <c r="N108" s="2"/>
      <c r="P108" s="3"/>
      <c r="Q108" s="1">
        <v>45936</v>
      </c>
      <c r="R108" s="7">
        <f t="shared" si="14"/>
        <v>9.7727633878914588E-3</v>
      </c>
      <c r="S108" s="7">
        <f t="shared" si="15"/>
        <v>2.1063717746183652E-3</v>
      </c>
      <c r="T108" s="7">
        <f t="shared" si="16"/>
        <v>-9.0849625699541692E-3</v>
      </c>
      <c r="U108" s="7">
        <f t="shared" si="17"/>
        <v>4.9433365840536592E-3</v>
      </c>
      <c r="V108" s="7">
        <f t="shared" si="18"/>
        <v>-5.9551076500229394E-3</v>
      </c>
      <c r="Y108" s="1">
        <v>45945</v>
      </c>
      <c r="Z108" s="7">
        <f t="shared" si="19"/>
        <v>-1.4606135450810865E-2</v>
      </c>
    </row>
    <row r="109" spans="2:26" x14ac:dyDescent="0.3">
      <c r="B109" s="1">
        <v>45933</v>
      </c>
      <c r="C109" s="2">
        <v>2544.9</v>
      </c>
      <c r="D109" s="2">
        <v>3453.3</v>
      </c>
      <c r="E109" s="2">
        <v>1365.2</v>
      </c>
      <c r="F109" s="2">
        <v>2901.9</v>
      </c>
      <c r="G109" s="2">
        <v>3462</v>
      </c>
      <c r="I109" s="2"/>
      <c r="J109" s="2"/>
      <c r="L109" s="3"/>
      <c r="M109" s="3"/>
      <c r="N109" s="2"/>
      <c r="P109" s="3"/>
      <c r="Q109" s="1">
        <v>45933</v>
      </c>
      <c r="R109" s="7">
        <f t="shared" si="14"/>
        <v>1.2196081517035218E-3</v>
      </c>
      <c r="S109" s="7">
        <f t="shared" si="15"/>
        <v>8.1450341565949547E-3</v>
      </c>
      <c r="T109" s="7">
        <f t="shared" si="16"/>
        <v>1.3202288396654271E-3</v>
      </c>
      <c r="U109" s="7">
        <f t="shared" si="17"/>
        <v>-2.894525498594569E-2</v>
      </c>
      <c r="V109" s="7">
        <f t="shared" si="18"/>
        <v>-2.8801843317972642E-3</v>
      </c>
      <c r="Y109" s="1">
        <v>45944</v>
      </c>
      <c r="Z109" s="7">
        <f t="shared" si="19"/>
        <v>-6.5885662796435311E-3</v>
      </c>
    </row>
    <row r="110" spans="2:26" x14ac:dyDescent="0.3">
      <c r="B110" s="1">
        <v>45931</v>
      </c>
      <c r="C110" s="2">
        <v>2536.1999999999998</v>
      </c>
      <c r="D110" s="2">
        <v>3408.3</v>
      </c>
      <c r="E110" s="2">
        <v>1372</v>
      </c>
      <c r="F110" s="2">
        <v>2914.2</v>
      </c>
      <c r="G110" s="2">
        <v>3463.4</v>
      </c>
      <c r="I110" s="2"/>
      <c r="J110" s="2"/>
      <c r="L110" s="3"/>
      <c r="M110" s="3"/>
      <c r="N110" s="2"/>
      <c r="P110" s="3"/>
      <c r="Q110" s="1">
        <v>45931</v>
      </c>
      <c r="R110" s="7">
        <f t="shared" si="14"/>
        <v>-3.4186019097018905E-3</v>
      </c>
      <c r="S110" s="7">
        <f t="shared" si="15"/>
        <v>-1.3031013812874637E-2</v>
      </c>
      <c r="T110" s="7">
        <f t="shared" si="16"/>
        <v>4.9809551714035116E-3</v>
      </c>
      <c r="U110" s="7">
        <f t="shared" si="17"/>
        <v>4.2386022950480218E-3</v>
      </c>
      <c r="V110" s="7">
        <f t="shared" si="18"/>
        <v>4.043905257076208E-4</v>
      </c>
      <c r="Y110" s="1">
        <v>45943</v>
      </c>
      <c r="Z110" s="7">
        <f t="shared" si="19"/>
        <v>1.3089600054758846E-3</v>
      </c>
    </row>
    <row r="111" spans="2:26" x14ac:dyDescent="0.3">
      <c r="B111" s="1">
        <v>45930</v>
      </c>
      <c r="C111" s="2">
        <v>2514.4</v>
      </c>
      <c r="D111" s="2">
        <v>3367</v>
      </c>
      <c r="E111" s="2">
        <v>1348</v>
      </c>
      <c r="F111" s="2">
        <v>2888.4</v>
      </c>
      <c r="G111" s="2">
        <v>3427</v>
      </c>
      <c r="I111" s="2"/>
      <c r="J111" s="2"/>
      <c r="L111" s="3"/>
      <c r="M111" s="3"/>
      <c r="N111" s="2"/>
      <c r="P111" s="3"/>
      <c r="Q111" s="1">
        <v>45930</v>
      </c>
      <c r="R111" s="7">
        <f t="shared" si="14"/>
        <v>-8.5955366296032176E-3</v>
      </c>
      <c r="S111" s="7">
        <f t="shared" si="15"/>
        <v>-1.2117477921544495E-2</v>
      </c>
      <c r="T111" s="7">
        <f t="shared" si="16"/>
        <v>-1.7492711370262426E-2</v>
      </c>
      <c r="U111" s="7">
        <f t="shared" si="17"/>
        <v>-8.8532015647517781E-3</v>
      </c>
      <c r="V111" s="7">
        <f t="shared" si="18"/>
        <v>-1.0509903562972878E-2</v>
      </c>
      <c r="Y111" s="1">
        <v>45940</v>
      </c>
      <c r="Z111" s="7">
        <f t="shared" si="19"/>
        <v>3.5122778295062717E-3</v>
      </c>
    </row>
    <row r="112" spans="2:26" x14ac:dyDescent="0.3">
      <c r="B112" s="1">
        <v>45929</v>
      </c>
      <c r="C112" s="2">
        <v>2497.9</v>
      </c>
      <c r="D112" s="2">
        <v>3401.2</v>
      </c>
      <c r="E112" s="2">
        <v>1348.1</v>
      </c>
      <c r="F112" s="2">
        <v>2896.1</v>
      </c>
      <c r="G112" s="2">
        <v>3418.1</v>
      </c>
      <c r="I112" s="2"/>
      <c r="J112" s="2"/>
      <c r="L112" s="3"/>
      <c r="M112" s="3"/>
      <c r="N112" s="2"/>
      <c r="P112" s="3"/>
      <c r="Q112" s="1">
        <v>45929</v>
      </c>
      <c r="R112" s="7">
        <f t="shared" si="14"/>
        <v>-6.5622017181037329E-3</v>
      </c>
      <c r="S112" s="7">
        <f t="shared" si="15"/>
        <v>1.0157410157410007E-2</v>
      </c>
      <c r="T112" s="7">
        <f t="shared" si="16"/>
        <v>7.4183976261021911E-5</v>
      </c>
      <c r="U112" s="7">
        <f t="shared" si="17"/>
        <v>2.6658357568203339E-3</v>
      </c>
      <c r="V112" s="7">
        <f t="shared" si="18"/>
        <v>-2.59702363583314E-3</v>
      </c>
      <c r="Y112" s="1">
        <v>45939</v>
      </c>
      <c r="Z112" s="7">
        <f t="shared" si="19"/>
        <v>1.6208129421175499E-3</v>
      </c>
    </row>
    <row r="113" spans="2:26" x14ac:dyDescent="0.3">
      <c r="B113" s="1">
        <v>45926</v>
      </c>
      <c r="C113" s="2">
        <v>2511.8000000000002</v>
      </c>
      <c r="D113" s="2">
        <v>3327.3</v>
      </c>
      <c r="E113" s="2">
        <v>1359.6</v>
      </c>
      <c r="F113" s="2">
        <v>2899.1</v>
      </c>
      <c r="G113" s="2">
        <v>3396.5</v>
      </c>
      <c r="I113" s="2"/>
      <c r="J113" s="2"/>
      <c r="L113" s="3"/>
      <c r="M113" s="3"/>
      <c r="N113" s="2"/>
      <c r="P113" s="3"/>
      <c r="Q113" s="1">
        <v>45926</v>
      </c>
      <c r="R113" s="7">
        <f t="shared" si="14"/>
        <v>5.5646743264341492E-3</v>
      </c>
      <c r="S113" s="7">
        <f t="shared" si="15"/>
        <v>-2.1727625543925599E-2</v>
      </c>
      <c r="T113" s="7">
        <f t="shared" si="16"/>
        <v>8.5305244418070192E-3</v>
      </c>
      <c r="U113" s="7">
        <f t="shared" si="17"/>
        <v>1.0358758330168971E-3</v>
      </c>
      <c r="V113" s="7">
        <f t="shared" si="18"/>
        <v>-6.3193001960153428E-3</v>
      </c>
      <c r="Y113" s="1">
        <v>45938</v>
      </c>
      <c r="Z113" s="7">
        <f t="shared" si="19"/>
        <v>-4.0026429735892655E-3</v>
      </c>
    </row>
    <row r="114" spans="2:26" x14ac:dyDescent="0.3">
      <c r="B114" s="1">
        <v>45925</v>
      </c>
      <c r="C114" s="2">
        <v>2538.3000000000002</v>
      </c>
      <c r="D114" s="2">
        <v>3378.5</v>
      </c>
      <c r="E114" s="2">
        <v>1375.8</v>
      </c>
      <c r="F114" s="2">
        <v>2957.4</v>
      </c>
      <c r="G114" s="2">
        <v>3530</v>
      </c>
      <c r="I114" s="2"/>
      <c r="J114" s="2"/>
      <c r="L114" s="3"/>
      <c r="M114" s="3"/>
      <c r="N114" s="2"/>
      <c r="P114" s="3"/>
      <c r="Q114" s="1">
        <v>45925</v>
      </c>
      <c r="R114" s="7">
        <f t="shared" si="14"/>
        <v>1.0550203041643336E-2</v>
      </c>
      <c r="S114" s="7">
        <f t="shared" si="15"/>
        <v>1.5387852012141989E-2</v>
      </c>
      <c r="T114" s="7">
        <f t="shared" si="16"/>
        <v>1.1915269196822731E-2</v>
      </c>
      <c r="U114" s="7">
        <f t="shared" si="17"/>
        <v>2.0109689213894111E-2</v>
      </c>
      <c r="V114" s="7">
        <f t="shared" si="18"/>
        <v>3.9305167083762749E-2</v>
      </c>
      <c r="Y114" s="1">
        <v>45937</v>
      </c>
      <c r="Z114" s="7">
        <f t="shared" si="19"/>
        <v>-9.6825990740764655E-3</v>
      </c>
    </row>
    <row r="115" spans="2:26" x14ac:dyDescent="0.3">
      <c r="B115" s="1">
        <v>45924</v>
      </c>
      <c r="C115" s="2">
        <v>2549.5</v>
      </c>
      <c r="D115" s="2">
        <v>3418.3</v>
      </c>
      <c r="E115" s="2">
        <v>1382.7</v>
      </c>
      <c r="F115" s="2">
        <v>3035.4</v>
      </c>
      <c r="G115" s="2">
        <v>3574.9</v>
      </c>
      <c r="I115" s="2"/>
      <c r="J115" s="2"/>
      <c r="L115" s="3"/>
      <c r="M115" s="3"/>
      <c r="N115" s="2"/>
      <c r="P115" s="3"/>
      <c r="Q115" s="1">
        <v>45924</v>
      </c>
      <c r="R115" s="7">
        <f t="shared" si="14"/>
        <v>4.4124020013394105E-3</v>
      </c>
      <c r="S115" s="7">
        <f t="shared" si="15"/>
        <v>1.1780375906467411E-2</v>
      </c>
      <c r="T115" s="7">
        <f t="shared" si="16"/>
        <v>5.0152638464893151E-3</v>
      </c>
      <c r="U115" s="7">
        <f t="shared" si="17"/>
        <v>2.637451815784142E-2</v>
      </c>
      <c r="V115" s="7">
        <f t="shared" si="18"/>
        <v>1.2719546742209653E-2</v>
      </c>
      <c r="Y115" s="1">
        <v>45936</v>
      </c>
      <c r="Z115" s="7">
        <f t="shared" si="19"/>
        <v>-3.3982476733950299E-4</v>
      </c>
    </row>
    <row r="116" spans="2:26" x14ac:dyDescent="0.3">
      <c r="B116" s="1">
        <v>45923</v>
      </c>
      <c r="C116" s="2">
        <v>2522.1999999999998</v>
      </c>
      <c r="D116" s="2">
        <v>3439.2</v>
      </c>
      <c r="E116" s="2">
        <v>1394.3</v>
      </c>
      <c r="F116" s="2">
        <v>3062.4</v>
      </c>
      <c r="G116" s="2">
        <v>3614.6</v>
      </c>
      <c r="I116" s="2"/>
      <c r="J116" s="2"/>
      <c r="L116" s="3"/>
      <c r="M116" s="3"/>
      <c r="N116" s="2"/>
      <c r="P116" s="3"/>
      <c r="Q116" s="1">
        <v>45923</v>
      </c>
      <c r="R116" s="7">
        <f t="shared" si="14"/>
        <v>-1.0707981957246537E-2</v>
      </c>
      <c r="S116" s="7">
        <f t="shared" si="15"/>
        <v>6.1141503086328264E-3</v>
      </c>
      <c r="T116" s="7">
        <f t="shared" si="16"/>
        <v>8.3893830910537481E-3</v>
      </c>
      <c r="U116" s="7">
        <f t="shared" si="17"/>
        <v>8.8950385451669334E-3</v>
      </c>
      <c r="V116" s="7">
        <f t="shared" si="18"/>
        <v>1.1105205740020718E-2</v>
      </c>
      <c r="Y116" s="1">
        <v>45933</v>
      </c>
      <c r="Z116" s="7">
        <f t="shared" si="19"/>
        <v>-3.4618010165649695E-3</v>
      </c>
    </row>
    <row r="117" spans="2:26" x14ac:dyDescent="0.3">
      <c r="B117" s="1">
        <v>45922</v>
      </c>
      <c r="C117" s="2">
        <v>2572.1999999999998</v>
      </c>
      <c r="D117" s="2">
        <v>3457.5</v>
      </c>
      <c r="E117" s="2">
        <v>1401.5</v>
      </c>
      <c r="F117" s="2">
        <v>3073.8</v>
      </c>
      <c r="G117" s="2">
        <v>3584.8</v>
      </c>
      <c r="I117" s="2"/>
      <c r="J117" s="2"/>
      <c r="L117" s="3"/>
      <c r="M117" s="3"/>
      <c r="N117" s="2"/>
      <c r="P117" s="3"/>
      <c r="Q117" s="1">
        <v>45922</v>
      </c>
      <c r="R117" s="7">
        <f t="shared" si="14"/>
        <v>1.9823963206724304E-2</v>
      </c>
      <c r="S117" s="7">
        <f t="shared" si="15"/>
        <v>5.3210048848570946E-3</v>
      </c>
      <c r="T117" s="7">
        <f t="shared" si="16"/>
        <v>5.1638815176073827E-3</v>
      </c>
      <c r="U117" s="7">
        <f t="shared" si="17"/>
        <v>3.7225705329153591E-3</v>
      </c>
      <c r="V117" s="7">
        <f t="shared" si="18"/>
        <v>-8.244342389199244E-3</v>
      </c>
      <c r="Y117" s="1">
        <v>45931</v>
      </c>
      <c r="Z117" s="7">
        <f t="shared" si="19"/>
        <v>-1.3880976766725227E-3</v>
      </c>
    </row>
    <row r="118" spans="2:26" x14ac:dyDescent="0.3">
      <c r="B118" s="1">
        <v>45919</v>
      </c>
      <c r="C118" s="2">
        <v>2559.6</v>
      </c>
      <c r="D118" s="2">
        <v>3467.2</v>
      </c>
      <c r="E118" s="2">
        <v>1402.2</v>
      </c>
      <c r="F118" s="2">
        <v>3169.2</v>
      </c>
      <c r="G118" s="2">
        <v>3592.1</v>
      </c>
      <c r="I118" s="2"/>
      <c r="J118" s="2"/>
      <c r="L118" s="3"/>
      <c r="M118" s="3"/>
      <c r="N118" s="2"/>
      <c r="P118" s="3"/>
      <c r="Q118" s="1">
        <v>45919</v>
      </c>
      <c r="R118" s="7">
        <f t="shared" si="14"/>
        <v>-4.8985304408677433E-3</v>
      </c>
      <c r="S118" s="7">
        <f t="shared" si="15"/>
        <v>2.805495300072236E-3</v>
      </c>
      <c r="T118" s="7">
        <f t="shared" si="16"/>
        <v>4.9946485907947924E-4</v>
      </c>
      <c r="U118" s="7">
        <f t="shared" si="17"/>
        <v>3.1036502049580195E-2</v>
      </c>
      <c r="V118" s="7">
        <f t="shared" si="18"/>
        <v>2.0363758089712025E-3</v>
      </c>
      <c r="Y118" s="1">
        <v>45930</v>
      </c>
      <c r="Z118" s="7">
        <f t="shared" si="19"/>
        <v>-1.2388144055152978E-2</v>
      </c>
    </row>
    <row r="119" spans="2:26" x14ac:dyDescent="0.3">
      <c r="B119" s="1">
        <v>45918</v>
      </c>
      <c r="C119" s="2">
        <v>2586.8000000000002</v>
      </c>
      <c r="D119" s="2">
        <v>3511.3</v>
      </c>
      <c r="E119" s="2">
        <v>1421.7</v>
      </c>
      <c r="F119" s="2">
        <v>3176.7</v>
      </c>
      <c r="G119" s="2">
        <v>3642.2</v>
      </c>
      <c r="I119" s="2"/>
      <c r="J119" s="2"/>
      <c r="L119" s="3"/>
      <c r="M119" s="3"/>
      <c r="N119" s="2"/>
      <c r="P119" s="3"/>
      <c r="Q119" s="1">
        <v>45918</v>
      </c>
      <c r="R119" s="7">
        <f t="shared" si="14"/>
        <v>1.0626660415690159E-2</v>
      </c>
      <c r="S119" s="7">
        <f t="shared" si="15"/>
        <v>1.2719197046608288E-2</v>
      </c>
      <c r="T119" s="7">
        <f t="shared" si="16"/>
        <v>1.3906718014548458E-2</v>
      </c>
      <c r="U119" s="7">
        <f t="shared" si="17"/>
        <v>2.3665278303672821E-3</v>
      </c>
      <c r="V119" s="7">
        <f t="shared" si="18"/>
        <v>1.3947273182817854E-2</v>
      </c>
      <c r="Y119" s="1">
        <v>45929</v>
      </c>
      <c r="Z119" s="7">
        <f t="shared" si="19"/>
        <v>1.8507422622960014E-3</v>
      </c>
    </row>
    <row r="120" spans="2:26" x14ac:dyDescent="0.3">
      <c r="B120" s="1">
        <v>45917</v>
      </c>
      <c r="C120" s="2">
        <v>2569.6999999999998</v>
      </c>
      <c r="D120" s="2">
        <v>3523</v>
      </c>
      <c r="E120" s="2">
        <v>1419.2</v>
      </c>
      <c r="F120" s="2">
        <v>3172.8</v>
      </c>
      <c r="G120" s="2">
        <v>3633.2</v>
      </c>
      <c r="I120" s="2"/>
      <c r="J120" s="2"/>
      <c r="L120" s="3"/>
      <c r="M120" s="3"/>
      <c r="N120" s="2"/>
      <c r="P120" s="3"/>
      <c r="Q120" s="1">
        <v>45917</v>
      </c>
      <c r="R120" s="7">
        <f t="shared" si="14"/>
        <v>-6.6104839956704353E-3</v>
      </c>
      <c r="S120" s="7">
        <f t="shared" si="15"/>
        <v>3.3320992225100987E-3</v>
      </c>
      <c r="T120" s="7">
        <f t="shared" si="16"/>
        <v>-1.758458183864442E-3</v>
      </c>
      <c r="U120" s="7">
        <f t="shared" si="17"/>
        <v>-1.2276891113418564E-3</v>
      </c>
      <c r="V120" s="7">
        <f t="shared" si="18"/>
        <v>-2.4710339904453482E-3</v>
      </c>
      <c r="Y120" s="1">
        <v>45926</v>
      </c>
      <c r="Z120" s="7">
        <f t="shared" si="19"/>
        <v>-2.4628027574723262E-3</v>
      </c>
    </row>
    <row r="121" spans="2:26" x14ac:dyDescent="0.3">
      <c r="B121" s="1">
        <v>45916</v>
      </c>
      <c r="C121" s="2">
        <v>2580.9</v>
      </c>
      <c r="D121" s="2">
        <v>3556.8</v>
      </c>
      <c r="E121" s="2">
        <v>1421.6</v>
      </c>
      <c r="F121" s="2">
        <v>3145.7</v>
      </c>
      <c r="G121" s="2">
        <v>3608</v>
      </c>
      <c r="I121" s="2"/>
      <c r="J121" s="2"/>
      <c r="L121" s="3"/>
      <c r="M121" s="3"/>
      <c r="N121" s="2"/>
      <c r="P121" s="3"/>
      <c r="Q121" s="1">
        <v>45916</v>
      </c>
      <c r="R121" s="7">
        <f t="shared" si="14"/>
        <v>4.3584854263145623E-3</v>
      </c>
      <c r="S121" s="7">
        <f t="shared" si="15"/>
        <v>9.5940959409595017E-3</v>
      </c>
      <c r="T121" s="7">
        <f t="shared" si="16"/>
        <v>1.6910935738443378E-3</v>
      </c>
      <c r="U121" s="7">
        <f t="shared" si="17"/>
        <v>-8.5413514876451213E-3</v>
      </c>
      <c r="V121" s="7">
        <f t="shared" si="18"/>
        <v>-6.9360343498843235E-3</v>
      </c>
      <c r="Y121" s="1">
        <v>45925</v>
      </c>
      <c r="Z121" s="7">
        <f t="shared" si="19"/>
        <v>1.6956528769483916E-2</v>
      </c>
    </row>
    <row r="122" spans="2:26" x14ac:dyDescent="0.3">
      <c r="B122" s="1">
        <v>45915</v>
      </c>
      <c r="C122" s="2">
        <v>2581</v>
      </c>
      <c r="D122" s="2">
        <v>3534.1</v>
      </c>
      <c r="E122" s="2">
        <v>1419.4</v>
      </c>
      <c r="F122" s="2">
        <v>3111.9</v>
      </c>
      <c r="G122" s="2">
        <v>3530.3</v>
      </c>
      <c r="I122" s="2"/>
      <c r="J122" s="2"/>
      <c r="L122" s="3"/>
      <c r="M122" s="3"/>
      <c r="N122" s="2"/>
      <c r="P122" s="3"/>
      <c r="Q122" s="1">
        <v>45915</v>
      </c>
      <c r="R122" s="7">
        <f t="shared" si="14"/>
        <v>3.8746173815384921E-5</v>
      </c>
      <c r="S122" s="7">
        <f t="shared" si="15"/>
        <v>-6.3821412505623565E-3</v>
      </c>
      <c r="T122" s="7">
        <f t="shared" si="16"/>
        <v>-1.54755205402346E-3</v>
      </c>
      <c r="U122" s="7">
        <f t="shared" si="17"/>
        <v>-1.0744826270782215E-2</v>
      </c>
      <c r="V122" s="7">
        <f t="shared" si="18"/>
        <v>-2.1535476718403501E-2</v>
      </c>
      <c r="Y122" s="1">
        <v>45924</v>
      </c>
      <c r="Z122" s="7">
        <f t="shared" si="19"/>
        <v>1.165839173655381E-2</v>
      </c>
    </row>
    <row r="123" spans="2:26" x14ac:dyDescent="0.3">
      <c r="B123" s="1">
        <v>45912</v>
      </c>
      <c r="C123" s="2">
        <v>2580.5</v>
      </c>
      <c r="D123" s="2">
        <v>3571.9</v>
      </c>
      <c r="E123" s="2">
        <v>1417.7</v>
      </c>
      <c r="F123" s="2">
        <v>3133.4</v>
      </c>
      <c r="G123" s="2">
        <v>3589.9</v>
      </c>
      <c r="I123" s="2"/>
      <c r="J123" s="2"/>
      <c r="L123" s="3"/>
      <c r="M123" s="3"/>
      <c r="N123" s="2"/>
      <c r="P123" s="3"/>
      <c r="Q123" s="1">
        <v>45912</v>
      </c>
      <c r="R123" s="7">
        <f t="shared" si="14"/>
        <v>-1.9372336303757898E-4</v>
      </c>
      <c r="S123" s="7">
        <f t="shared" si="15"/>
        <v>1.0695792422398931E-2</v>
      </c>
      <c r="T123" s="7">
        <f t="shared" si="16"/>
        <v>-1.1976891644357446E-3</v>
      </c>
      <c r="U123" s="7">
        <f t="shared" si="17"/>
        <v>6.9089623702560665E-3</v>
      </c>
      <c r="V123" s="7">
        <f t="shared" si="18"/>
        <v>1.6882417924822146E-2</v>
      </c>
      <c r="Y123" s="1">
        <v>45923</v>
      </c>
      <c r="Z123" s="7">
        <f t="shared" si="19"/>
        <v>5.3286834939228088E-3</v>
      </c>
    </row>
    <row r="124" spans="2:26" x14ac:dyDescent="0.3">
      <c r="B124" s="1">
        <v>45911</v>
      </c>
      <c r="C124" s="2">
        <v>2622</v>
      </c>
      <c r="D124" s="2">
        <v>3584.2</v>
      </c>
      <c r="E124" s="2">
        <v>1401.6</v>
      </c>
      <c r="F124" s="2">
        <v>3124.2</v>
      </c>
      <c r="G124" s="2">
        <v>3595.7</v>
      </c>
      <c r="I124" s="2"/>
      <c r="J124" s="2"/>
      <c r="L124" s="3"/>
      <c r="M124" s="3"/>
      <c r="N124" s="2"/>
      <c r="P124" s="3"/>
      <c r="Q124" s="1">
        <v>45911</v>
      </c>
      <c r="R124" s="7">
        <f t="shared" si="14"/>
        <v>1.6082154621197553E-2</v>
      </c>
      <c r="S124" s="7">
        <f t="shared" si="15"/>
        <v>3.4435454520003184E-3</v>
      </c>
      <c r="T124" s="7">
        <f t="shared" si="16"/>
        <v>-1.135642237426826E-2</v>
      </c>
      <c r="U124" s="7">
        <f t="shared" si="17"/>
        <v>-2.9361077423885051E-3</v>
      </c>
      <c r="V124" s="7">
        <f t="shared" si="18"/>
        <v>1.6156438898018433E-3</v>
      </c>
      <c r="Y124" s="1">
        <v>45922</v>
      </c>
      <c r="Z124" s="7">
        <f t="shared" si="19"/>
        <v>5.7730900251682822E-3</v>
      </c>
    </row>
    <row r="125" spans="2:26" x14ac:dyDescent="0.3">
      <c r="B125" s="1">
        <v>45910</v>
      </c>
      <c r="C125" s="2">
        <v>2643.5</v>
      </c>
      <c r="D125" s="2">
        <v>3620.6</v>
      </c>
      <c r="E125" s="2">
        <v>1403.9</v>
      </c>
      <c r="F125" s="2">
        <v>3110</v>
      </c>
      <c r="G125" s="2">
        <v>3604.4</v>
      </c>
      <c r="I125" s="2"/>
      <c r="J125" s="2"/>
      <c r="L125" s="3"/>
      <c r="M125" s="3"/>
      <c r="N125" s="2"/>
      <c r="P125" s="3"/>
      <c r="Q125" s="1">
        <v>45910</v>
      </c>
      <c r="R125" s="7">
        <f t="shared" si="14"/>
        <v>8.1998474446987046E-3</v>
      </c>
      <c r="S125" s="7">
        <f t="shared" si="15"/>
        <v>1.0155683276602989E-2</v>
      </c>
      <c r="T125" s="7">
        <f t="shared" si="16"/>
        <v>1.6409817351599187E-3</v>
      </c>
      <c r="U125" s="7">
        <f t="shared" si="17"/>
        <v>-4.5451635618717345E-3</v>
      </c>
      <c r="V125" s="7">
        <f t="shared" si="18"/>
        <v>2.4195566927163181E-3</v>
      </c>
      <c r="Y125" s="1">
        <v>45919</v>
      </c>
      <c r="Z125" s="7">
        <f t="shared" si="19"/>
        <v>6.5273717074249005E-3</v>
      </c>
    </row>
    <row r="126" spans="2:26" x14ac:dyDescent="0.3">
      <c r="B126" s="1">
        <v>45909</v>
      </c>
      <c r="C126" s="2">
        <v>2642</v>
      </c>
      <c r="D126" s="2">
        <v>3630.1</v>
      </c>
      <c r="E126" s="2">
        <v>1403.7</v>
      </c>
      <c r="F126" s="2">
        <v>3049.4</v>
      </c>
      <c r="G126" s="2">
        <v>3696.3</v>
      </c>
      <c r="I126" s="2"/>
      <c r="J126" s="2"/>
      <c r="L126" s="3"/>
      <c r="M126" s="3"/>
      <c r="N126" s="2"/>
      <c r="P126" s="3"/>
      <c r="Q126" s="1">
        <v>45909</v>
      </c>
      <c r="R126" s="7">
        <f t="shared" si="14"/>
        <v>-5.67429544164888E-4</v>
      </c>
      <c r="S126" s="7">
        <f t="shared" si="15"/>
        <v>2.6238744959399263E-3</v>
      </c>
      <c r="T126" s="7">
        <f t="shared" si="16"/>
        <v>-1.4246028919440157E-4</v>
      </c>
      <c r="U126" s="7">
        <f t="shared" si="17"/>
        <v>-1.9485530546623719E-2</v>
      </c>
      <c r="V126" s="7">
        <f t="shared" si="18"/>
        <v>2.5496615248030263E-2</v>
      </c>
      <c r="Y126" s="1">
        <v>45918</v>
      </c>
      <c r="Z126" s="7">
        <f t="shared" si="19"/>
        <v>1.0813846612725372E-2</v>
      </c>
    </row>
    <row r="127" spans="2:26" x14ac:dyDescent="0.3">
      <c r="B127" s="1">
        <v>45908</v>
      </c>
      <c r="C127" s="2">
        <v>2623.9</v>
      </c>
      <c r="D127" s="2">
        <v>3658</v>
      </c>
      <c r="E127" s="2">
        <v>1402.7</v>
      </c>
      <c r="F127" s="2">
        <v>3019</v>
      </c>
      <c r="G127" s="2">
        <v>3701.4</v>
      </c>
      <c r="I127" s="2"/>
      <c r="J127" s="2"/>
      <c r="L127" s="3"/>
      <c r="M127" s="3"/>
      <c r="N127" s="2"/>
      <c r="P127" s="3"/>
      <c r="Q127" s="1">
        <v>45908</v>
      </c>
      <c r="R127" s="7">
        <f t="shared" si="14"/>
        <v>-6.8508705526115765E-3</v>
      </c>
      <c r="S127" s="7">
        <f t="shared" si="15"/>
        <v>7.6857386848847575E-3</v>
      </c>
      <c r="T127" s="7">
        <f t="shared" si="16"/>
        <v>-7.1240293510010932E-4</v>
      </c>
      <c r="U127" s="7">
        <f t="shared" si="17"/>
        <v>-9.9691742637896263E-3</v>
      </c>
      <c r="V127" s="7">
        <f t="shared" si="18"/>
        <v>1.3797581365149192E-3</v>
      </c>
      <c r="Y127" s="1">
        <v>45917</v>
      </c>
      <c r="Z127" s="7">
        <f t="shared" si="19"/>
        <v>-1.1787264701952794E-3</v>
      </c>
    </row>
    <row r="128" spans="2:26" x14ac:dyDescent="0.3">
      <c r="B128" s="1">
        <v>45905</v>
      </c>
      <c r="C128" s="2">
        <v>2633.4</v>
      </c>
      <c r="D128" s="2">
        <v>3665.3</v>
      </c>
      <c r="E128" s="2">
        <v>1402.8</v>
      </c>
      <c r="F128" s="2">
        <v>3048.3</v>
      </c>
      <c r="G128" s="2">
        <v>3561.3</v>
      </c>
      <c r="I128" s="2"/>
      <c r="J128" s="2"/>
      <c r="L128" s="3"/>
      <c r="M128" s="3"/>
      <c r="N128" s="2"/>
      <c r="P128" s="3"/>
      <c r="Q128" s="1">
        <v>45905</v>
      </c>
      <c r="R128" s="7">
        <f t="shared" si="14"/>
        <v>3.6205648081100161E-3</v>
      </c>
      <c r="S128" s="7">
        <f t="shared" si="15"/>
        <v>1.9956260251503544E-3</v>
      </c>
      <c r="T128" s="7">
        <f t="shared" si="16"/>
        <v>7.129108148573593E-5</v>
      </c>
      <c r="U128" s="7">
        <f t="shared" si="17"/>
        <v>9.7052003974826828E-3</v>
      </c>
      <c r="V128" s="7">
        <f t="shared" si="18"/>
        <v>-3.7850543037769468E-2</v>
      </c>
      <c r="Y128" s="1">
        <v>45916</v>
      </c>
      <c r="Z128" s="7">
        <f t="shared" si="19"/>
        <v>1.157751138822904E-3</v>
      </c>
    </row>
    <row r="129" spans="2:26" x14ac:dyDescent="0.3">
      <c r="B129" s="1">
        <v>45904</v>
      </c>
      <c r="C129" s="2">
        <v>2666.6</v>
      </c>
      <c r="D129" s="2">
        <v>3691.1</v>
      </c>
      <c r="E129" s="2">
        <v>1405.5</v>
      </c>
      <c r="F129" s="2">
        <v>3095.7</v>
      </c>
      <c r="G129" s="2">
        <v>3481.5</v>
      </c>
      <c r="I129" s="2"/>
      <c r="J129" s="2"/>
      <c r="L129" s="3"/>
      <c r="M129" s="3"/>
      <c r="N129" s="2"/>
      <c r="P129" s="3"/>
      <c r="Q129" s="1">
        <v>45904</v>
      </c>
      <c r="R129" s="7">
        <f t="shared" si="14"/>
        <v>1.2607275765170511E-2</v>
      </c>
      <c r="S129" s="7">
        <f t="shared" si="15"/>
        <v>7.0389872588874081E-3</v>
      </c>
      <c r="T129" s="7">
        <f t="shared" si="16"/>
        <v>1.9247219846023622E-3</v>
      </c>
      <c r="U129" s="7">
        <f t="shared" si="17"/>
        <v>1.5549650624938405E-2</v>
      </c>
      <c r="V129" s="7">
        <f t="shared" si="18"/>
        <v>-2.2407547805576633E-2</v>
      </c>
      <c r="Y129" s="1">
        <v>45915</v>
      </c>
      <c r="Z129" s="7">
        <f t="shared" si="19"/>
        <v>-6.3565019287721127E-3</v>
      </c>
    </row>
    <row r="130" spans="2:26" x14ac:dyDescent="0.3">
      <c r="B130" s="1">
        <v>45903</v>
      </c>
      <c r="C130" s="2">
        <v>2664.7</v>
      </c>
      <c r="D130" s="2">
        <v>3690.6</v>
      </c>
      <c r="E130" s="2">
        <v>1397</v>
      </c>
      <c r="F130" s="2">
        <v>3097.5</v>
      </c>
      <c r="G130" s="2">
        <v>3286</v>
      </c>
      <c r="I130" s="2"/>
      <c r="J130" s="2"/>
      <c r="L130" s="3"/>
      <c r="M130" s="3"/>
      <c r="N130" s="2"/>
      <c r="P130" s="3"/>
      <c r="Q130" s="1">
        <v>45903</v>
      </c>
      <c r="R130" s="7">
        <f t="shared" si="14"/>
        <v>-7.1251781294534577E-4</v>
      </c>
      <c r="S130" s="7">
        <f t="shared" si="15"/>
        <v>-1.3546097369343535E-4</v>
      </c>
      <c r="T130" s="7">
        <f t="shared" si="16"/>
        <v>-6.0476698683742391E-3</v>
      </c>
      <c r="U130" s="7">
        <f t="shared" si="17"/>
        <v>5.8145169105539019E-4</v>
      </c>
      <c r="V130" s="7">
        <f t="shared" si="18"/>
        <v>-5.6153956627890245E-2</v>
      </c>
      <c r="Y130" s="1">
        <v>45912</v>
      </c>
      <c r="Z130" s="7">
        <f t="shared" si="19"/>
        <v>5.3556171183468003E-3</v>
      </c>
    </row>
    <row r="131" spans="2:26" x14ac:dyDescent="0.3">
      <c r="B131" s="1">
        <v>45902</v>
      </c>
      <c r="C131" s="2">
        <v>2677</v>
      </c>
      <c r="D131" s="2">
        <v>3620.6</v>
      </c>
      <c r="E131" s="2">
        <v>1394.2</v>
      </c>
      <c r="F131" s="2">
        <v>3111.5</v>
      </c>
      <c r="G131" s="2">
        <v>3234.5</v>
      </c>
      <c r="I131" s="2"/>
      <c r="J131" s="2"/>
      <c r="L131" s="3"/>
      <c r="M131" s="3"/>
      <c r="N131" s="2"/>
      <c r="P131" s="3"/>
      <c r="Q131" s="1">
        <v>45902</v>
      </c>
      <c r="R131" s="7">
        <f t="shared" si="14"/>
        <v>4.6159042293691943E-3</v>
      </c>
      <c r="S131" s="7">
        <f t="shared" si="15"/>
        <v>-1.8967105619682401E-2</v>
      </c>
      <c r="T131" s="7">
        <f t="shared" si="16"/>
        <v>-2.0042949176807268E-3</v>
      </c>
      <c r="U131" s="7">
        <f t="shared" si="17"/>
        <v>4.5197740112994378E-3</v>
      </c>
      <c r="V131" s="7">
        <f t="shared" si="18"/>
        <v>-1.5672550213024938E-2</v>
      </c>
      <c r="Y131" s="1">
        <v>45911</v>
      </c>
      <c r="Z131" s="7">
        <f t="shared" si="19"/>
        <v>-5.5937431559828206E-4</v>
      </c>
    </row>
    <row r="132" spans="2:26" x14ac:dyDescent="0.3">
      <c r="B132" s="1">
        <v>45901</v>
      </c>
      <c r="C132" s="2">
        <v>2649.5</v>
      </c>
      <c r="D132" s="2">
        <v>3618.6</v>
      </c>
      <c r="E132" s="2">
        <v>1411</v>
      </c>
      <c r="F132" s="2">
        <v>3112.6</v>
      </c>
      <c r="G132" s="2">
        <v>3315.4</v>
      </c>
      <c r="I132" s="2"/>
      <c r="J132" s="2"/>
      <c r="L132" s="3"/>
      <c r="M132" s="3"/>
      <c r="N132" s="2"/>
      <c r="P132" s="3"/>
      <c r="Q132" s="1">
        <v>45901</v>
      </c>
      <c r="R132" s="7">
        <f t="shared" si="14"/>
        <v>-1.0272693313410519E-2</v>
      </c>
      <c r="S132" s="7">
        <f t="shared" si="15"/>
        <v>-5.5239463072420669E-4</v>
      </c>
      <c r="T132" s="7">
        <f t="shared" si="16"/>
        <v>1.2049921101707106E-2</v>
      </c>
      <c r="U132" s="7">
        <f t="shared" si="17"/>
        <v>3.5352723766668426E-4</v>
      </c>
      <c r="V132" s="7">
        <f t="shared" si="18"/>
        <v>2.5011593754830752E-2</v>
      </c>
      <c r="Y132" s="1">
        <v>45910</v>
      </c>
      <c r="Z132" s="7">
        <f t="shared" si="19"/>
        <v>3.5941154133008134E-3</v>
      </c>
    </row>
    <row r="133" spans="2:26" x14ac:dyDescent="0.3">
      <c r="B133" s="1">
        <v>45898</v>
      </c>
      <c r="C133" s="2">
        <v>2659.8</v>
      </c>
      <c r="D133" s="2">
        <v>3628.8</v>
      </c>
      <c r="E133" s="2">
        <v>1397.8</v>
      </c>
      <c r="F133" s="2">
        <v>3084.7</v>
      </c>
      <c r="G133" s="2">
        <v>3199.5</v>
      </c>
      <c r="I133" s="2"/>
      <c r="J133" s="2"/>
      <c r="L133" s="3"/>
      <c r="M133" s="3"/>
      <c r="N133" s="2"/>
      <c r="P133" s="3"/>
      <c r="Q133" s="1">
        <v>45898</v>
      </c>
      <c r="R133" s="7">
        <f t="shared" si="14"/>
        <v>3.8875259482922253E-3</v>
      </c>
      <c r="S133" s="7">
        <f t="shared" si="15"/>
        <v>2.8187696899353298E-3</v>
      </c>
      <c r="T133" s="7">
        <f t="shared" si="16"/>
        <v>-9.3550673281360686E-3</v>
      </c>
      <c r="U133" s="7">
        <f t="shared" si="17"/>
        <v>-8.963567435584463E-3</v>
      </c>
      <c r="V133" s="7">
        <f t="shared" si="18"/>
        <v>-3.4958074440489817E-2</v>
      </c>
      <c r="Y133" s="1">
        <v>45909</v>
      </c>
      <c r="Z133" s="7">
        <f t="shared" si="19"/>
        <v>-8.1932847891978949E-4</v>
      </c>
    </row>
    <row r="134" spans="2:26" x14ac:dyDescent="0.3">
      <c r="B134" s="1">
        <v>45897</v>
      </c>
      <c r="C134" s="2">
        <v>2654.4</v>
      </c>
      <c r="D134" s="2">
        <v>3637.7</v>
      </c>
      <c r="E134" s="2">
        <v>1399.1</v>
      </c>
      <c r="F134" s="2">
        <v>3093.7</v>
      </c>
      <c r="G134" s="2">
        <v>3295.3</v>
      </c>
      <c r="I134" s="2"/>
      <c r="J134" s="2"/>
      <c r="L134" s="3"/>
      <c r="M134" s="3"/>
      <c r="N134" s="2"/>
      <c r="P134" s="3"/>
      <c r="Q134" s="1">
        <v>45897</v>
      </c>
      <c r="R134" s="7">
        <f t="shared" si="14"/>
        <v>-2.030227836679499E-3</v>
      </c>
      <c r="S134" s="7">
        <f t="shared" si="15"/>
        <v>2.4526014109347294E-3</v>
      </c>
      <c r="T134" s="7">
        <f t="shared" si="16"/>
        <v>9.300329088568482E-4</v>
      </c>
      <c r="U134" s="7">
        <f t="shared" si="17"/>
        <v>2.9176257010405937E-3</v>
      </c>
      <c r="V134" s="7">
        <f t="shared" si="18"/>
        <v>2.9942178465385272E-2</v>
      </c>
      <c r="Y134" s="1">
        <v>45908</v>
      </c>
      <c r="Z134" s="7">
        <f t="shared" si="19"/>
        <v>-1.1757758313070132E-3</v>
      </c>
    </row>
    <row r="135" spans="2:26" x14ac:dyDescent="0.3">
      <c r="B135" s="1">
        <v>45895</v>
      </c>
      <c r="C135" s="2">
        <v>2692.6</v>
      </c>
      <c r="D135" s="2">
        <v>3594</v>
      </c>
      <c r="E135" s="2">
        <v>1416.6</v>
      </c>
      <c r="F135" s="2">
        <v>3157.2</v>
      </c>
      <c r="G135" s="2">
        <v>3330.8</v>
      </c>
      <c r="I135" s="2"/>
      <c r="J135" s="2"/>
      <c r="L135" s="3"/>
      <c r="M135" s="3"/>
      <c r="N135" s="2"/>
      <c r="P135" s="3"/>
      <c r="Q135" s="1">
        <v>45895</v>
      </c>
      <c r="R135" s="7">
        <f t="shared" ref="R135:R198" si="20">C135/C134-1</f>
        <v>1.4391199517781672E-2</v>
      </c>
      <c r="S135" s="7">
        <f t="shared" ref="S135:S198" si="21">D135/D134-1</f>
        <v>-1.2013085191192152E-2</v>
      </c>
      <c r="T135" s="7">
        <f t="shared" ref="T135:T198" si="22">E135/E134-1</f>
        <v>1.2508040883425053E-2</v>
      </c>
      <c r="U135" s="7">
        <f t="shared" ref="U135:U198" si="23">F135/F134-1</f>
        <v>2.0525584251866791E-2</v>
      </c>
      <c r="V135" s="7">
        <f t="shared" ref="V135:V198" si="24">G135/G134-1</f>
        <v>1.0772919005856751E-2</v>
      </c>
      <c r="Y135" s="1">
        <v>45905</v>
      </c>
      <c r="Z135" s="7">
        <f t="shared" si="19"/>
        <v>-7.8063567233059876E-4</v>
      </c>
    </row>
    <row r="136" spans="2:26" x14ac:dyDescent="0.3">
      <c r="B136" s="1">
        <v>45894</v>
      </c>
      <c r="C136" s="2">
        <v>2631.6</v>
      </c>
      <c r="D136" s="2">
        <v>3651.4</v>
      </c>
      <c r="E136" s="2">
        <v>1433.2</v>
      </c>
      <c r="F136" s="2">
        <v>3140.6</v>
      </c>
      <c r="G136" s="2">
        <v>3398.9</v>
      </c>
      <c r="I136" s="2"/>
      <c r="J136" s="2"/>
      <c r="L136" s="3"/>
      <c r="M136" s="3"/>
      <c r="N136" s="2"/>
      <c r="P136" s="3"/>
      <c r="Q136" s="1">
        <v>45894</v>
      </c>
      <c r="R136" s="7">
        <f t="shared" si="20"/>
        <v>-2.2654683205823423E-2</v>
      </c>
      <c r="S136" s="7">
        <f t="shared" si="21"/>
        <v>1.597106288258221E-2</v>
      </c>
      <c r="T136" s="7">
        <f t="shared" si="22"/>
        <v>1.1718198503459121E-2</v>
      </c>
      <c r="U136" s="7">
        <f t="shared" si="23"/>
        <v>-5.2578233878119995E-3</v>
      </c>
      <c r="V136" s="7">
        <f t="shared" si="24"/>
        <v>2.0445538609343172E-2</v>
      </c>
      <c r="Y136" s="1">
        <v>45904</v>
      </c>
      <c r="Z136" s="7">
        <f t="shared" si="19"/>
        <v>5.0974301193081554E-3</v>
      </c>
    </row>
    <row r="137" spans="2:26" x14ac:dyDescent="0.3">
      <c r="B137" s="1">
        <v>45891</v>
      </c>
      <c r="C137" s="2">
        <v>2629.9</v>
      </c>
      <c r="D137" s="2">
        <v>3621</v>
      </c>
      <c r="E137" s="2">
        <v>1436.4</v>
      </c>
      <c r="F137" s="2">
        <v>3054</v>
      </c>
      <c r="G137" s="2">
        <v>3403</v>
      </c>
      <c r="I137" s="2"/>
      <c r="J137" s="2"/>
      <c r="L137" s="3"/>
      <c r="M137" s="3"/>
      <c r="N137" s="2"/>
      <c r="P137" s="3"/>
      <c r="Q137" s="1">
        <v>45891</v>
      </c>
      <c r="R137" s="7">
        <f t="shared" si="20"/>
        <v>-6.4599483204130781E-4</v>
      </c>
      <c r="S137" s="7">
        <f t="shared" si="21"/>
        <v>-8.3255737525332885E-3</v>
      </c>
      <c r="T137" s="7">
        <f t="shared" si="22"/>
        <v>2.2327658386827043E-3</v>
      </c>
      <c r="U137" s="7">
        <f t="shared" si="23"/>
        <v>-2.7574348850538111E-2</v>
      </c>
      <c r="V137" s="7">
        <f t="shared" si="24"/>
        <v>1.2062726176116367E-3</v>
      </c>
      <c r="Y137" s="1">
        <v>45903</v>
      </c>
      <c r="Z137" s="7">
        <f t="shared" si="19"/>
        <v>-7.454149200455379E-3</v>
      </c>
    </row>
    <row r="138" spans="2:26" x14ac:dyDescent="0.3">
      <c r="B138" s="1">
        <v>45890</v>
      </c>
      <c r="C138" s="2">
        <v>2648</v>
      </c>
      <c r="D138" s="2">
        <v>3616.3</v>
      </c>
      <c r="E138" s="2">
        <v>1446</v>
      </c>
      <c r="F138" s="2">
        <v>3102.6</v>
      </c>
      <c r="G138" s="2">
        <v>3375.1</v>
      </c>
      <c r="I138" s="2"/>
      <c r="J138" s="2"/>
      <c r="L138" s="3"/>
      <c r="M138" s="3"/>
      <c r="N138" s="2"/>
      <c r="P138" s="3"/>
      <c r="Q138" s="1">
        <v>45890</v>
      </c>
      <c r="R138" s="7">
        <f t="shared" si="20"/>
        <v>6.8823909654358584E-3</v>
      </c>
      <c r="S138" s="7">
        <f t="shared" si="21"/>
        <v>-1.2979839823252792E-3</v>
      </c>
      <c r="T138" s="7">
        <f t="shared" si="22"/>
        <v>6.6833751044277356E-3</v>
      </c>
      <c r="U138" s="7">
        <f t="shared" si="23"/>
        <v>1.5913555992141504E-2</v>
      </c>
      <c r="V138" s="7">
        <f t="shared" si="24"/>
        <v>-8.1986482515428172E-3</v>
      </c>
      <c r="Y138" s="1">
        <v>45902</v>
      </c>
      <c r="Z138" s="7">
        <f t="shared" si="19"/>
        <v>-5.3139794648620455E-3</v>
      </c>
    </row>
    <row r="139" spans="2:26" x14ac:dyDescent="0.3">
      <c r="B139" s="1">
        <v>45889</v>
      </c>
      <c r="C139" s="2">
        <v>2669.8</v>
      </c>
      <c r="D139" s="2">
        <v>3595</v>
      </c>
      <c r="E139" s="2">
        <v>1430.6</v>
      </c>
      <c r="F139" s="2">
        <v>3098.6</v>
      </c>
      <c r="G139" s="2">
        <v>3395.6</v>
      </c>
      <c r="I139" s="2"/>
      <c r="J139" s="2"/>
      <c r="L139" s="3"/>
      <c r="M139" s="3"/>
      <c r="N139" s="2"/>
      <c r="P139" s="3"/>
      <c r="Q139" s="1">
        <v>45889</v>
      </c>
      <c r="R139" s="7">
        <f t="shared" si="20"/>
        <v>8.232628398791686E-3</v>
      </c>
      <c r="S139" s="7">
        <f t="shared" si="21"/>
        <v>-5.8899980643198901E-3</v>
      </c>
      <c r="T139" s="7">
        <f t="shared" si="22"/>
        <v>-1.0650069156293296E-2</v>
      </c>
      <c r="U139" s="7">
        <f t="shared" si="23"/>
        <v>-1.2892412815058707E-3</v>
      </c>
      <c r="V139" s="7">
        <f t="shared" si="24"/>
        <v>6.0738941068412267E-3</v>
      </c>
      <c r="Y139" s="1">
        <v>45901</v>
      </c>
      <c r="Z139" s="7">
        <f t="shared" si="19"/>
        <v>4.5078384988359145E-3</v>
      </c>
    </row>
    <row r="140" spans="2:26" x14ac:dyDescent="0.3">
      <c r="B140" s="1">
        <v>45888</v>
      </c>
      <c r="C140" s="2">
        <v>2604.8000000000002</v>
      </c>
      <c r="D140" s="2">
        <v>3568.1</v>
      </c>
      <c r="E140" s="2">
        <v>1436.3</v>
      </c>
      <c r="F140" s="2">
        <v>3016.2</v>
      </c>
      <c r="G140" s="2">
        <v>3354</v>
      </c>
      <c r="I140" s="2"/>
      <c r="J140" s="2"/>
      <c r="L140" s="3"/>
      <c r="M140" s="3"/>
      <c r="N140" s="2"/>
      <c r="P140" s="3"/>
      <c r="Q140" s="1">
        <v>45888</v>
      </c>
      <c r="R140" s="7">
        <f t="shared" si="20"/>
        <v>-2.4346392988238819E-2</v>
      </c>
      <c r="S140" s="7">
        <f t="shared" si="21"/>
        <v>-7.4826147426981793E-3</v>
      </c>
      <c r="T140" s="7">
        <f t="shared" si="22"/>
        <v>3.9843422340277712E-3</v>
      </c>
      <c r="U140" s="7">
        <f t="shared" si="23"/>
        <v>-2.6592654747305211E-2</v>
      </c>
      <c r="V140" s="7">
        <f t="shared" si="24"/>
        <v>-1.225114854517606E-2</v>
      </c>
      <c r="Y140" s="1">
        <v>45898</v>
      </c>
      <c r="Z140" s="7">
        <f t="shared" si="19"/>
        <v>-6.8072198148790286E-3</v>
      </c>
    </row>
    <row r="141" spans="2:26" x14ac:dyDescent="0.3">
      <c r="B141" s="1">
        <v>45887</v>
      </c>
      <c r="C141" s="2">
        <v>2568.1</v>
      </c>
      <c r="D141" s="2">
        <v>3554.8</v>
      </c>
      <c r="E141" s="2">
        <v>1434.6</v>
      </c>
      <c r="F141" s="2">
        <v>3011.2</v>
      </c>
      <c r="G141" s="2">
        <v>3383.1</v>
      </c>
      <c r="I141" s="2"/>
      <c r="J141" s="2"/>
      <c r="L141" s="3"/>
      <c r="M141" s="3"/>
      <c r="N141" s="2"/>
      <c r="P141" s="3"/>
      <c r="Q141" s="1">
        <v>45887</v>
      </c>
      <c r="R141" s="7">
        <f t="shared" si="20"/>
        <v>-1.4089373464373556E-2</v>
      </c>
      <c r="S141" s="7">
        <f t="shared" si="21"/>
        <v>-3.7274740057733347E-3</v>
      </c>
      <c r="T141" s="7">
        <f t="shared" si="22"/>
        <v>-1.1835967416278237E-3</v>
      </c>
      <c r="U141" s="7">
        <f t="shared" si="23"/>
        <v>-1.6577150056362733E-3</v>
      </c>
      <c r="V141" s="7">
        <f t="shared" si="24"/>
        <v>8.6762075134168004E-3</v>
      </c>
      <c r="Y141" s="1">
        <v>45897</v>
      </c>
      <c r="Z141" s="7">
        <f t="shared" ref="Z141:Z204" si="25">(R134*$Z$5+S134*$AA$5+T134*$AB$5+U134*$AC$5+V134*$AD$5)</f>
        <v>4.1653690366354581E-3</v>
      </c>
    </row>
    <row r="142" spans="2:26" x14ac:dyDescent="0.3">
      <c r="B142" s="1">
        <v>45883</v>
      </c>
      <c r="C142" s="2">
        <v>2480.6</v>
      </c>
      <c r="D142" s="2">
        <v>3489.4</v>
      </c>
      <c r="E142" s="2">
        <v>1427.3</v>
      </c>
      <c r="F142" s="2">
        <v>3022.3</v>
      </c>
      <c r="G142" s="2">
        <v>3265.4</v>
      </c>
      <c r="I142" s="2"/>
      <c r="J142" s="2"/>
      <c r="L142" s="3"/>
      <c r="M142" s="3"/>
      <c r="N142" s="2"/>
      <c r="P142" s="3"/>
      <c r="Q142" s="1">
        <v>45883</v>
      </c>
      <c r="R142" s="7">
        <f t="shared" si="20"/>
        <v>-3.4071881936061699E-2</v>
      </c>
      <c r="S142" s="7">
        <f t="shared" si="21"/>
        <v>-1.8397659502644381E-2</v>
      </c>
      <c r="T142" s="7">
        <f t="shared" si="22"/>
        <v>-5.0885264185138723E-3</v>
      </c>
      <c r="U142" s="7">
        <f t="shared" si="23"/>
        <v>3.6862380446334164E-3</v>
      </c>
      <c r="V142" s="7">
        <f t="shared" si="24"/>
        <v>-3.4790576690017949E-2</v>
      </c>
      <c r="Y142" s="1">
        <v>45895</v>
      </c>
      <c r="Z142" s="7">
        <f t="shared" si="25"/>
        <v>8.0902296458557621E-3</v>
      </c>
    </row>
    <row r="143" spans="2:26" x14ac:dyDescent="0.3">
      <c r="B143" s="1">
        <v>45882</v>
      </c>
      <c r="C143" s="2">
        <v>2495.1</v>
      </c>
      <c r="D143" s="2">
        <v>3466.8</v>
      </c>
      <c r="E143" s="2">
        <v>1420.8</v>
      </c>
      <c r="F143" s="2">
        <v>3036.2</v>
      </c>
      <c r="G143" s="2">
        <v>3282.2</v>
      </c>
      <c r="I143" s="2"/>
      <c r="J143" s="2"/>
      <c r="L143" s="3"/>
      <c r="M143" s="3"/>
      <c r="N143" s="2"/>
      <c r="P143" s="3"/>
      <c r="Q143" s="1">
        <v>45882</v>
      </c>
      <c r="R143" s="7">
        <f t="shared" si="20"/>
        <v>5.8453599935499589E-3</v>
      </c>
      <c r="S143" s="7">
        <f t="shared" si="21"/>
        <v>-6.4767581819223929E-3</v>
      </c>
      <c r="T143" s="7">
        <f t="shared" si="22"/>
        <v>-4.5540531072654211E-3</v>
      </c>
      <c r="U143" s="7">
        <f t="shared" si="23"/>
        <v>4.5991463454984061E-3</v>
      </c>
      <c r="V143" s="7">
        <f t="shared" si="24"/>
        <v>5.144852085502416E-3</v>
      </c>
      <c r="Y143" s="1">
        <v>45894</v>
      </c>
      <c r="Z143" s="7">
        <f t="shared" si="25"/>
        <v>5.103011974181693E-3</v>
      </c>
    </row>
    <row r="144" spans="2:26" x14ac:dyDescent="0.3">
      <c r="B144" s="1">
        <v>45881</v>
      </c>
      <c r="C144" s="2">
        <v>2483.8000000000002</v>
      </c>
      <c r="D144" s="2">
        <v>3486.8</v>
      </c>
      <c r="E144" s="2">
        <v>1422</v>
      </c>
      <c r="F144" s="2">
        <v>3035.4</v>
      </c>
      <c r="G144" s="2">
        <v>3236.5</v>
      </c>
      <c r="I144" s="2"/>
      <c r="J144" s="2"/>
      <c r="L144" s="3"/>
      <c r="M144" s="3"/>
      <c r="N144" s="2"/>
      <c r="P144" s="3"/>
      <c r="Q144" s="1">
        <v>45881</v>
      </c>
      <c r="R144" s="7">
        <f t="shared" si="20"/>
        <v>-4.5288765981322809E-3</v>
      </c>
      <c r="S144" s="7">
        <f t="shared" si="21"/>
        <v>5.7690088842736742E-3</v>
      </c>
      <c r="T144" s="7">
        <f t="shared" si="22"/>
        <v>8.4459459459451658E-4</v>
      </c>
      <c r="U144" s="7">
        <f t="shared" si="23"/>
        <v>-2.6348725380398452E-4</v>
      </c>
      <c r="V144" s="7">
        <f t="shared" si="24"/>
        <v>-1.3923587837426088E-2</v>
      </c>
      <c r="Y144" s="1">
        <v>45891</v>
      </c>
      <c r="Z144" s="7">
        <f t="shared" si="25"/>
        <v>-6.902705419681166E-3</v>
      </c>
    </row>
    <row r="145" spans="2:26" x14ac:dyDescent="0.3">
      <c r="B145" s="1">
        <v>45880</v>
      </c>
      <c r="C145" s="2">
        <v>2518.4</v>
      </c>
      <c r="D145" s="2">
        <v>3467.9</v>
      </c>
      <c r="E145" s="2">
        <v>1436.6</v>
      </c>
      <c r="F145" s="2">
        <v>3040.8</v>
      </c>
      <c r="G145" s="2">
        <v>3186.2</v>
      </c>
      <c r="I145" s="2"/>
      <c r="J145" s="2"/>
      <c r="L145" s="3"/>
      <c r="M145" s="3"/>
      <c r="N145" s="2"/>
      <c r="P145" s="3"/>
      <c r="Q145" s="1">
        <v>45880</v>
      </c>
      <c r="R145" s="7">
        <f t="shared" si="20"/>
        <v>1.3930268137531066E-2</v>
      </c>
      <c r="S145" s="7">
        <f t="shared" si="21"/>
        <v>-5.4204428128943327E-3</v>
      </c>
      <c r="T145" s="7">
        <f t="shared" si="22"/>
        <v>1.0267229254570909E-2</v>
      </c>
      <c r="U145" s="7">
        <f t="shared" si="23"/>
        <v>1.7790077090333867E-3</v>
      </c>
      <c r="V145" s="7">
        <f t="shared" si="24"/>
        <v>-1.5541479993820495E-2</v>
      </c>
      <c r="Y145" s="1">
        <v>45890</v>
      </c>
      <c r="Z145" s="7">
        <f t="shared" si="25"/>
        <v>5.0757215538363987E-3</v>
      </c>
    </row>
    <row r="146" spans="2:26" x14ac:dyDescent="0.3">
      <c r="B146" s="1">
        <v>45877</v>
      </c>
      <c r="C146" s="2">
        <v>2498.6</v>
      </c>
      <c r="D146" s="2">
        <v>3460.2</v>
      </c>
      <c r="E146" s="2">
        <v>1435.9</v>
      </c>
      <c r="F146" s="2">
        <v>3036.4</v>
      </c>
      <c r="G146" s="2">
        <v>3144.2</v>
      </c>
      <c r="I146" s="2"/>
      <c r="J146" s="2"/>
      <c r="L146" s="3"/>
      <c r="M146" s="3"/>
      <c r="N146" s="2"/>
      <c r="P146" s="3"/>
      <c r="Q146" s="1">
        <v>45877</v>
      </c>
      <c r="R146" s="7">
        <f t="shared" si="20"/>
        <v>-7.8621346886913468E-3</v>
      </c>
      <c r="S146" s="7">
        <f t="shared" si="21"/>
        <v>-2.2203639089940497E-3</v>
      </c>
      <c r="T146" s="7">
        <f t="shared" si="22"/>
        <v>-4.8726158986478474E-4</v>
      </c>
      <c r="U146" s="7">
        <f t="shared" si="23"/>
        <v>-1.4469876348329747E-3</v>
      </c>
      <c r="V146" s="7">
        <f t="shared" si="24"/>
        <v>-1.3181846713953949E-2</v>
      </c>
      <c r="Y146" s="1">
        <v>45889</v>
      </c>
      <c r="Z146" s="7">
        <f t="shared" si="25"/>
        <v>-3.0830848487662598E-3</v>
      </c>
    </row>
    <row r="147" spans="2:26" x14ac:dyDescent="0.3">
      <c r="B147" s="1">
        <v>45876</v>
      </c>
      <c r="C147" s="2">
        <v>2517.5</v>
      </c>
      <c r="D147" s="2">
        <v>3415.7</v>
      </c>
      <c r="E147" s="2">
        <v>1440.3</v>
      </c>
      <c r="F147" s="2">
        <v>3047</v>
      </c>
      <c r="G147" s="2">
        <v>3211.1</v>
      </c>
      <c r="I147" s="2"/>
      <c r="J147" s="2"/>
      <c r="L147" s="3"/>
      <c r="M147" s="3"/>
      <c r="N147" s="2"/>
      <c r="P147" s="3"/>
      <c r="Q147" s="1">
        <v>45876</v>
      </c>
      <c r="R147" s="7">
        <f t="shared" si="20"/>
        <v>7.5642359721443952E-3</v>
      </c>
      <c r="S147" s="7">
        <f t="shared" si="21"/>
        <v>-1.2860528293162199E-2</v>
      </c>
      <c r="T147" s="7">
        <f t="shared" si="22"/>
        <v>3.0642802423566096E-3</v>
      </c>
      <c r="U147" s="7">
        <f t="shared" si="23"/>
        <v>3.490976155974046E-3</v>
      </c>
      <c r="V147" s="7">
        <f t="shared" si="24"/>
        <v>2.1277272438140038E-2</v>
      </c>
      <c r="Y147" s="1">
        <v>45888</v>
      </c>
      <c r="Z147" s="7">
        <f t="shared" si="25"/>
        <v>-1.0870955767680685E-2</v>
      </c>
    </row>
    <row r="148" spans="2:26" x14ac:dyDescent="0.3">
      <c r="B148" s="1">
        <v>45875</v>
      </c>
      <c r="C148" s="2">
        <v>2535.6</v>
      </c>
      <c r="D148" s="2">
        <v>3417.7</v>
      </c>
      <c r="E148" s="2">
        <v>1443.6</v>
      </c>
      <c r="F148" s="2">
        <v>3032.3</v>
      </c>
      <c r="G148" s="2">
        <v>3227.5</v>
      </c>
      <c r="I148" s="2"/>
      <c r="J148" s="2"/>
      <c r="L148" s="3"/>
      <c r="M148" s="3"/>
      <c r="N148" s="2"/>
      <c r="P148" s="3"/>
      <c r="Q148" s="1">
        <v>45875</v>
      </c>
      <c r="R148" s="7">
        <f t="shared" si="20"/>
        <v>7.1896722939424063E-3</v>
      </c>
      <c r="S148" s="7">
        <f t="shared" si="21"/>
        <v>5.8553151623375044E-4</v>
      </c>
      <c r="T148" s="7">
        <f t="shared" si="22"/>
        <v>2.291189335555055E-3</v>
      </c>
      <c r="U148" s="7">
        <f t="shared" si="23"/>
        <v>-4.8244174597964484E-3</v>
      </c>
      <c r="V148" s="7">
        <f t="shared" si="24"/>
        <v>5.1072841082495657E-3</v>
      </c>
      <c r="Y148" s="1">
        <v>45887</v>
      </c>
      <c r="Z148" s="7">
        <f t="shared" si="25"/>
        <v>-2.8642757933732884E-3</v>
      </c>
    </row>
    <row r="149" spans="2:26" x14ac:dyDescent="0.3">
      <c r="B149" s="1">
        <v>45874</v>
      </c>
      <c r="C149" s="2">
        <v>2534.6999999999998</v>
      </c>
      <c r="D149" s="2">
        <v>3418.2</v>
      </c>
      <c r="E149" s="2">
        <v>1444.4</v>
      </c>
      <c r="F149" s="2">
        <v>3063.9</v>
      </c>
      <c r="G149" s="2">
        <v>3212.2</v>
      </c>
      <c r="I149" s="2"/>
      <c r="J149" s="2"/>
      <c r="L149" s="3"/>
      <c r="M149" s="3"/>
      <c r="N149" s="2"/>
      <c r="P149" s="3"/>
      <c r="Q149" s="1">
        <v>45874</v>
      </c>
      <c r="R149" s="7">
        <f t="shared" si="20"/>
        <v>-3.5494557501192237E-4</v>
      </c>
      <c r="S149" s="7">
        <f t="shared" si="21"/>
        <v>1.4629721742687174E-4</v>
      </c>
      <c r="T149" s="7">
        <f t="shared" si="22"/>
        <v>5.5417013023006945E-4</v>
      </c>
      <c r="U149" s="7">
        <f t="shared" si="23"/>
        <v>1.0421132473699801E-2</v>
      </c>
      <c r="V149" s="7">
        <f t="shared" si="24"/>
        <v>-4.7405112316034614E-3</v>
      </c>
      <c r="Y149" s="1">
        <v>45883</v>
      </c>
      <c r="Z149" s="7">
        <f t="shared" si="25"/>
        <v>-1.3978565151699623E-2</v>
      </c>
    </row>
    <row r="150" spans="2:26" x14ac:dyDescent="0.3">
      <c r="B150" s="1">
        <v>45873</v>
      </c>
      <c r="C150" s="2">
        <v>2543.6999999999998</v>
      </c>
      <c r="D150" s="2">
        <v>3356.3</v>
      </c>
      <c r="E150" s="2">
        <v>1463.2</v>
      </c>
      <c r="F150" s="2">
        <v>3074.4</v>
      </c>
      <c r="G150" s="2">
        <v>3200.2</v>
      </c>
      <c r="I150" s="2"/>
      <c r="J150" s="2"/>
      <c r="L150" s="3"/>
      <c r="M150" s="3"/>
      <c r="N150" s="2"/>
      <c r="P150" s="3"/>
      <c r="Q150" s="1">
        <v>45873</v>
      </c>
      <c r="R150" s="7">
        <f t="shared" si="20"/>
        <v>3.5507160610723787E-3</v>
      </c>
      <c r="S150" s="7">
        <f t="shared" si="21"/>
        <v>-1.8108946229009271E-2</v>
      </c>
      <c r="T150" s="7">
        <f t="shared" si="22"/>
        <v>1.3015785101079924E-2</v>
      </c>
      <c r="U150" s="7">
        <f t="shared" si="23"/>
        <v>3.4270047978066653E-3</v>
      </c>
      <c r="V150" s="7">
        <f t="shared" si="24"/>
        <v>-3.7357574248179093E-3</v>
      </c>
      <c r="Y150" s="1">
        <v>45882</v>
      </c>
      <c r="Z150" s="7">
        <f t="shared" si="25"/>
        <v>-6.7428700097780766E-4</v>
      </c>
    </row>
    <row r="151" spans="2:26" x14ac:dyDescent="0.3">
      <c r="B151" s="1">
        <v>45870</v>
      </c>
      <c r="C151" s="2">
        <v>2553.6999999999998</v>
      </c>
      <c r="D151" s="2">
        <v>3316</v>
      </c>
      <c r="E151" s="2">
        <v>1471.6</v>
      </c>
      <c r="F151" s="2">
        <v>3003</v>
      </c>
      <c r="G151" s="2">
        <v>3159.3</v>
      </c>
      <c r="I151" s="2"/>
      <c r="J151" s="2"/>
      <c r="L151" s="3"/>
      <c r="M151" s="3"/>
      <c r="N151" s="2"/>
      <c r="P151" s="3"/>
      <c r="Q151" s="1">
        <v>45870</v>
      </c>
      <c r="R151" s="7">
        <f t="shared" si="20"/>
        <v>3.9312812045446677E-3</v>
      </c>
      <c r="S151" s="7">
        <f t="shared" si="21"/>
        <v>-1.2007269910317975E-2</v>
      </c>
      <c r="T151" s="7">
        <f t="shared" si="22"/>
        <v>5.7408419901585628E-3</v>
      </c>
      <c r="U151" s="7">
        <f t="shared" si="23"/>
        <v>-2.3224043715847076E-2</v>
      </c>
      <c r="V151" s="7">
        <f t="shared" si="24"/>
        <v>-1.2780451221798494E-2</v>
      </c>
      <c r="Y151" s="1">
        <v>45881</v>
      </c>
      <c r="Z151" s="7">
        <f t="shared" si="25"/>
        <v>-4.2875712477647419E-4</v>
      </c>
    </row>
    <row r="152" spans="2:26" x14ac:dyDescent="0.3">
      <c r="B152" s="1">
        <v>45869</v>
      </c>
      <c r="C152" s="2">
        <v>2521.1999999999998</v>
      </c>
      <c r="D152" s="2">
        <v>3347.3</v>
      </c>
      <c r="E152" s="2">
        <v>1481.4</v>
      </c>
      <c r="F152" s="2">
        <v>3036.8</v>
      </c>
      <c r="G152" s="2">
        <v>3203.1</v>
      </c>
      <c r="I152" s="2"/>
      <c r="J152" s="2"/>
      <c r="L152" s="3"/>
      <c r="M152" s="3"/>
      <c r="N152" s="2"/>
      <c r="P152" s="3"/>
      <c r="Q152" s="1">
        <v>45869</v>
      </c>
      <c r="R152" s="7">
        <f t="shared" si="20"/>
        <v>-1.2726631945804145E-2</v>
      </c>
      <c r="S152" s="7">
        <f t="shared" si="21"/>
        <v>9.4390832328106189E-3</v>
      </c>
      <c r="T152" s="7">
        <f t="shared" si="22"/>
        <v>6.6594183201957868E-3</v>
      </c>
      <c r="U152" s="7">
        <f t="shared" si="23"/>
        <v>1.1255411255411296E-2</v>
      </c>
      <c r="V152" s="7">
        <f t="shared" si="24"/>
        <v>1.3863830595384874E-2</v>
      </c>
      <c r="Y152" s="1">
        <v>45880</v>
      </c>
      <c r="Z152" s="7">
        <f t="shared" si="25"/>
        <v>2.6162518362019766E-3</v>
      </c>
    </row>
    <row r="153" spans="2:26" x14ac:dyDescent="0.3">
      <c r="B153" s="1">
        <v>45868</v>
      </c>
      <c r="C153" s="2">
        <v>2437.4</v>
      </c>
      <c r="D153" s="2">
        <v>3376.5</v>
      </c>
      <c r="E153" s="2">
        <v>1482.4</v>
      </c>
      <c r="F153" s="2">
        <v>3053.6</v>
      </c>
      <c r="G153" s="2">
        <v>3208.9</v>
      </c>
      <c r="I153" s="2"/>
      <c r="J153" s="2"/>
      <c r="L153" s="3"/>
      <c r="M153" s="3"/>
      <c r="N153" s="2"/>
      <c r="P153" s="3"/>
      <c r="Q153" s="1">
        <v>45868</v>
      </c>
      <c r="R153" s="7">
        <f t="shared" si="20"/>
        <v>-3.3238140567983354E-2</v>
      </c>
      <c r="S153" s="7">
        <f t="shared" si="21"/>
        <v>8.723448749738516E-3</v>
      </c>
      <c r="T153" s="7">
        <f t="shared" si="22"/>
        <v>6.7503712704208851E-4</v>
      </c>
      <c r="U153" s="7">
        <f t="shared" si="23"/>
        <v>5.5321390937828063E-3</v>
      </c>
      <c r="V153" s="7">
        <f t="shared" si="24"/>
        <v>1.8107458399676535E-3</v>
      </c>
      <c r="Y153" s="1">
        <v>45877</v>
      </c>
      <c r="Z153" s="7">
        <f t="shared" si="25"/>
        <v>-3.4881718558736397E-3</v>
      </c>
    </row>
    <row r="154" spans="2:26" x14ac:dyDescent="0.3">
      <c r="B154" s="1">
        <v>45867</v>
      </c>
      <c r="C154" s="2">
        <v>2453.6</v>
      </c>
      <c r="D154" s="2">
        <v>3379.2</v>
      </c>
      <c r="E154" s="2">
        <v>1486.2</v>
      </c>
      <c r="F154" s="2">
        <v>3056</v>
      </c>
      <c r="G154" s="2">
        <v>3199.4</v>
      </c>
      <c r="I154" s="2"/>
      <c r="J154" s="2"/>
      <c r="L154" s="3"/>
      <c r="M154" s="3"/>
      <c r="N154" s="2"/>
      <c r="P154" s="3"/>
      <c r="Q154" s="1">
        <v>45867</v>
      </c>
      <c r="R154" s="7">
        <f t="shared" si="20"/>
        <v>6.6464265200623096E-3</v>
      </c>
      <c r="S154" s="7">
        <f t="shared" si="21"/>
        <v>7.9964460239878576E-4</v>
      </c>
      <c r="T154" s="7">
        <f t="shared" si="22"/>
        <v>2.5634106853751337E-3</v>
      </c>
      <c r="U154" s="7">
        <f t="shared" si="23"/>
        <v>7.8595755829180547E-4</v>
      </c>
      <c r="V154" s="7">
        <f t="shared" si="24"/>
        <v>-2.9605160646950512E-3</v>
      </c>
      <c r="Y154" s="1">
        <v>45876</v>
      </c>
      <c r="Z154" s="7">
        <f t="shared" si="25"/>
        <v>1.6647098702469057E-3</v>
      </c>
    </row>
    <row r="155" spans="2:26" x14ac:dyDescent="0.3">
      <c r="B155" s="1">
        <v>45866</v>
      </c>
      <c r="C155" s="2">
        <v>2441.6</v>
      </c>
      <c r="D155" s="2">
        <v>3393</v>
      </c>
      <c r="E155" s="2">
        <v>1488.4</v>
      </c>
      <c r="F155" s="2">
        <v>3079.3</v>
      </c>
      <c r="G155" s="2">
        <v>3209.8</v>
      </c>
      <c r="I155" s="2"/>
      <c r="J155" s="2"/>
      <c r="L155" s="3"/>
      <c r="M155" s="3"/>
      <c r="N155" s="2"/>
      <c r="P155" s="3"/>
      <c r="Q155" s="1">
        <v>45866</v>
      </c>
      <c r="R155" s="7">
        <f t="shared" si="20"/>
        <v>-4.8907727420932634E-3</v>
      </c>
      <c r="S155" s="7">
        <f t="shared" si="21"/>
        <v>4.0838068181818787E-3</v>
      </c>
      <c r="T155" s="7">
        <f t="shared" si="22"/>
        <v>1.4802852913471387E-3</v>
      </c>
      <c r="U155" s="7">
        <f t="shared" si="23"/>
        <v>7.6243455497382318E-3</v>
      </c>
      <c r="V155" s="7">
        <f t="shared" si="24"/>
        <v>3.2506094892792436E-3</v>
      </c>
      <c r="Y155" s="1">
        <v>45875</v>
      </c>
      <c r="Z155" s="7">
        <f t="shared" si="25"/>
        <v>1.4580354426819819E-3</v>
      </c>
    </row>
    <row r="156" spans="2:26" x14ac:dyDescent="0.3">
      <c r="B156" s="1">
        <v>45863</v>
      </c>
      <c r="C156" s="2">
        <v>2415.4</v>
      </c>
      <c r="D156" s="2">
        <v>3462.8</v>
      </c>
      <c r="E156" s="2">
        <v>1477.1</v>
      </c>
      <c r="F156" s="2">
        <v>3135.8</v>
      </c>
      <c r="G156" s="2">
        <v>3246.4</v>
      </c>
      <c r="I156" s="2"/>
      <c r="J156" s="2"/>
      <c r="L156" s="3"/>
      <c r="M156" s="3"/>
      <c r="N156" s="2"/>
      <c r="P156" s="3"/>
      <c r="Q156" s="1">
        <v>45863</v>
      </c>
      <c r="R156" s="7">
        <f t="shared" si="20"/>
        <v>-1.0730668414154598E-2</v>
      </c>
      <c r="S156" s="7">
        <f t="shared" si="21"/>
        <v>2.0571765399351571E-2</v>
      </c>
      <c r="T156" s="7">
        <f t="shared" si="22"/>
        <v>-7.5920451491535701E-3</v>
      </c>
      <c r="U156" s="7">
        <f t="shared" si="23"/>
        <v>1.8348325918228214E-2</v>
      </c>
      <c r="V156" s="7">
        <f t="shared" si="24"/>
        <v>1.1402579599975038E-2</v>
      </c>
      <c r="Y156" s="1">
        <v>45874</v>
      </c>
      <c r="Z156" s="7">
        <f t="shared" si="25"/>
        <v>1.7597588787535644E-3</v>
      </c>
    </row>
    <row r="157" spans="2:26" x14ac:dyDescent="0.3">
      <c r="B157" s="1">
        <v>45862</v>
      </c>
      <c r="C157" s="2">
        <v>2437.8000000000002</v>
      </c>
      <c r="D157" s="2">
        <v>3484.4</v>
      </c>
      <c r="E157" s="2">
        <v>1483.4</v>
      </c>
      <c r="F157" s="2">
        <v>3148</v>
      </c>
      <c r="G157" s="2">
        <v>3260.9</v>
      </c>
      <c r="I157" s="2"/>
      <c r="J157" s="2"/>
      <c r="L157" s="3"/>
      <c r="M157" s="3"/>
      <c r="N157" s="2"/>
      <c r="P157" s="3"/>
      <c r="Q157" s="1">
        <v>45862</v>
      </c>
      <c r="R157" s="7">
        <f t="shared" si="20"/>
        <v>9.2738262813611971E-3</v>
      </c>
      <c r="S157" s="7">
        <f t="shared" si="21"/>
        <v>6.2377266951598731E-3</v>
      </c>
      <c r="T157" s="7">
        <f t="shared" si="22"/>
        <v>4.2651140748766192E-3</v>
      </c>
      <c r="U157" s="7">
        <f t="shared" si="23"/>
        <v>3.8905542445308861E-3</v>
      </c>
      <c r="V157" s="7">
        <f t="shared" si="24"/>
        <v>4.4664859536718282E-3</v>
      </c>
      <c r="Y157" s="1">
        <v>45873</v>
      </c>
      <c r="Z157" s="7">
        <f t="shared" si="25"/>
        <v>2.2193159931205856E-4</v>
      </c>
    </row>
    <row r="158" spans="2:26" x14ac:dyDescent="0.3">
      <c r="B158" s="1">
        <v>45861</v>
      </c>
      <c r="C158" s="2">
        <v>2450.4</v>
      </c>
      <c r="D158" s="2">
        <v>3471.4</v>
      </c>
      <c r="E158" s="2">
        <v>1488.6</v>
      </c>
      <c r="F158" s="2">
        <v>3179.1</v>
      </c>
      <c r="G158" s="2">
        <v>3268.8</v>
      </c>
      <c r="I158" s="2"/>
      <c r="J158" s="2"/>
      <c r="L158" s="3"/>
      <c r="M158" s="3"/>
      <c r="N158" s="2"/>
      <c r="P158" s="3"/>
      <c r="Q158" s="1">
        <v>45861</v>
      </c>
      <c r="R158" s="7">
        <f t="shared" si="20"/>
        <v>5.1685946345065847E-3</v>
      </c>
      <c r="S158" s="7">
        <f t="shared" si="21"/>
        <v>-3.7309149351394399E-3</v>
      </c>
      <c r="T158" s="7">
        <f t="shared" si="22"/>
        <v>3.5054604287445557E-3</v>
      </c>
      <c r="U158" s="7">
        <f t="shared" si="23"/>
        <v>9.87928843710284E-3</v>
      </c>
      <c r="V158" s="7">
        <f t="shared" si="24"/>
        <v>2.4226440553221096E-3</v>
      </c>
      <c r="Y158" s="1">
        <v>45870</v>
      </c>
      <c r="Z158" s="7">
        <f t="shared" si="25"/>
        <v>-6.6127265651994898E-3</v>
      </c>
    </row>
    <row r="159" spans="2:26" x14ac:dyDescent="0.3">
      <c r="B159" s="1">
        <v>45860</v>
      </c>
      <c r="C159" s="2">
        <v>2479.6999999999998</v>
      </c>
      <c r="D159" s="2">
        <v>3472.4</v>
      </c>
      <c r="E159" s="2">
        <v>1473.6</v>
      </c>
      <c r="F159" s="2">
        <v>3159.6</v>
      </c>
      <c r="G159" s="2">
        <v>3257.2</v>
      </c>
      <c r="I159" s="2"/>
      <c r="J159" s="2"/>
      <c r="L159" s="3"/>
      <c r="M159" s="3"/>
      <c r="N159" s="2"/>
      <c r="P159" s="3"/>
      <c r="Q159" s="1">
        <v>45860</v>
      </c>
      <c r="R159" s="7">
        <f t="shared" si="20"/>
        <v>1.1957231472412566E-2</v>
      </c>
      <c r="S159" s="7">
        <f t="shared" si="21"/>
        <v>2.8806821455318321E-4</v>
      </c>
      <c r="T159" s="7">
        <f t="shared" si="22"/>
        <v>-1.0076582023377689E-2</v>
      </c>
      <c r="U159" s="7">
        <f t="shared" si="23"/>
        <v>-6.1338114560725021E-3</v>
      </c>
      <c r="V159" s="7">
        <f t="shared" si="24"/>
        <v>-3.5487028879100935E-3</v>
      </c>
      <c r="Y159" s="1">
        <v>45869</v>
      </c>
      <c r="Z159" s="7">
        <f t="shared" si="25"/>
        <v>6.0860668230115159E-3</v>
      </c>
    </row>
    <row r="160" spans="2:26" x14ac:dyDescent="0.3">
      <c r="B160" s="1">
        <v>45859</v>
      </c>
      <c r="C160" s="2">
        <v>2464.9</v>
      </c>
      <c r="D160" s="2">
        <v>3433</v>
      </c>
      <c r="E160" s="2">
        <v>1465.8</v>
      </c>
      <c r="F160" s="2">
        <v>3158.2</v>
      </c>
      <c r="G160" s="2">
        <v>3246.7</v>
      </c>
      <c r="I160" s="2"/>
      <c r="J160" s="2"/>
      <c r="L160" s="3"/>
      <c r="M160" s="3"/>
      <c r="N160" s="2"/>
      <c r="P160" s="3"/>
      <c r="Q160" s="1">
        <v>45859</v>
      </c>
      <c r="R160" s="7">
        <f t="shared" si="20"/>
        <v>-5.9684639270878304E-3</v>
      </c>
      <c r="S160" s="7">
        <f t="shared" si="21"/>
        <v>-1.1346619053104523E-2</v>
      </c>
      <c r="T160" s="7">
        <f t="shared" si="22"/>
        <v>-5.293159609120468E-3</v>
      </c>
      <c r="U160" s="7">
        <f t="shared" si="23"/>
        <v>-4.4309406253961736E-4</v>
      </c>
      <c r="V160" s="7">
        <f t="shared" si="24"/>
        <v>-3.2236276556552035E-3</v>
      </c>
      <c r="Y160" s="1">
        <v>45868</v>
      </c>
      <c r="Z160" s="7">
        <f t="shared" si="25"/>
        <v>-1.3148453568969207E-3</v>
      </c>
    </row>
    <row r="161" spans="2:26" x14ac:dyDescent="0.3">
      <c r="B161" s="1">
        <v>45856</v>
      </c>
      <c r="C161" s="2">
        <v>2489.6</v>
      </c>
      <c r="D161" s="2">
        <v>3402.9</v>
      </c>
      <c r="E161" s="2">
        <v>1425.8</v>
      </c>
      <c r="F161" s="2">
        <v>3189.9</v>
      </c>
      <c r="G161" s="2">
        <v>3192.4</v>
      </c>
      <c r="I161" s="2"/>
      <c r="J161" s="2"/>
      <c r="L161" s="3"/>
      <c r="M161" s="3"/>
      <c r="N161" s="2"/>
      <c r="P161" s="3"/>
      <c r="Q161" s="1">
        <v>45856</v>
      </c>
      <c r="R161" s="7">
        <f t="shared" si="20"/>
        <v>1.0020690494543238E-2</v>
      </c>
      <c r="S161" s="7">
        <f t="shared" si="21"/>
        <v>-8.7678415380133545E-3</v>
      </c>
      <c r="T161" s="7">
        <f t="shared" si="22"/>
        <v>-2.7288852503752237E-2</v>
      </c>
      <c r="U161" s="7">
        <f t="shared" si="23"/>
        <v>1.003736305490488E-2</v>
      </c>
      <c r="V161" s="7">
        <f t="shared" si="24"/>
        <v>-1.6724674284658181E-2</v>
      </c>
      <c r="Y161" s="1">
        <v>45867</v>
      </c>
      <c r="Z161" s="7">
        <f t="shared" si="25"/>
        <v>1.827038239410439E-3</v>
      </c>
    </row>
    <row r="162" spans="2:26" x14ac:dyDescent="0.3">
      <c r="B162" s="1">
        <v>45855</v>
      </c>
      <c r="C162" s="2">
        <v>2509.8000000000002</v>
      </c>
      <c r="D162" s="2">
        <v>3433.3</v>
      </c>
      <c r="E162" s="2">
        <v>1418.7</v>
      </c>
      <c r="F162" s="2">
        <v>3209.2</v>
      </c>
      <c r="G162" s="2">
        <v>3195</v>
      </c>
      <c r="I162" s="2"/>
      <c r="J162" s="2"/>
      <c r="L162" s="3"/>
      <c r="M162" s="3"/>
      <c r="N162" s="2"/>
      <c r="P162" s="3"/>
      <c r="Q162" s="1">
        <v>45855</v>
      </c>
      <c r="R162" s="7">
        <f t="shared" si="20"/>
        <v>8.1137532133677137E-3</v>
      </c>
      <c r="S162" s="7">
        <f t="shared" si="21"/>
        <v>8.9335566722501536E-3</v>
      </c>
      <c r="T162" s="7">
        <f t="shared" si="22"/>
        <v>-4.9796605414503814E-3</v>
      </c>
      <c r="U162" s="7">
        <f t="shared" si="23"/>
        <v>6.0503464058434542E-3</v>
      </c>
      <c r="V162" s="7">
        <f t="shared" si="24"/>
        <v>8.1443428141825258E-4</v>
      </c>
      <c r="Y162" s="1">
        <v>45866</v>
      </c>
      <c r="Z162" s="7">
        <f t="shared" si="25"/>
        <v>2.5813514395111926E-3</v>
      </c>
    </row>
    <row r="163" spans="2:26" x14ac:dyDescent="0.3">
      <c r="B163" s="1">
        <v>45854</v>
      </c>
      <c r="C163" s="2">
        <v>2517.6</v>
      </c>
      <c r="D163" s="2">
        <v>3417.3</v>
      </c>
      <c r="E163" s="2">
        <v>1426.4</v>
      </c>
      <c r="F163" s="2">
        <v>3233.1</v>
      </c>
      <c r="G163" s="2">
        <v>3196.5</v>
      </c>
      <c r="I163" s="2"/>
      <c r="J163" s="2"/>
      <c r="L163" s="3"/>
      <c r="M163" s="3"/>
      <c r="N163" s="2"/>
      <c r="P163" s="3"/>
      <c r="Q163" s="1">
        <v>45854</v>
      </c>
      <c r="R163" s="7">
        <f t="shared" si="20"/>
        <v>3.1078173559644373E-3</v>
      </c>
      <c r="S163" s="7">
        <f t="shared" si="21"/>
        <v>-4.6602394198002051E-3</v>
      </c>
      <c r="T163" s="7">
        <f t="shared" si="22"/>
        <v>5.4275040530062935E-3</v>
      </c>
      <c r="U163" s="7">
        <f t="shared" si="23"/>
        <v>7.4473389006606272E-3</v>
      </c>
      <c r="V163" s="7">
        <f t="shared" si="24"/>
        <v>4.6948356807519076E-4</v>
      </c>
      <c r="Y163" s="1">
        <v>45863</v>
      </c>
      <c r="Z163" s="7">
        <f t="shared" si="25"/>
        <v>6.0656506866117784E-3</v>
      </c>
    </row>
    <row r="164" spans="2:26" x14ac:dyDescent="0.3">
      <c r="B164" s="1">
        <v>45853</v>
      </c>
      <c r="C164" s="2">
        <v>2526.9</v>
      </c>
      <c r="D164" s="2">
        <v>3415</v>
      </c>
      <c r="E164" s="2">
        <v>1430.8</v>
      </c>
      <c r="F164" s="2">
        <v>3252.3</v>
      </c>
      <c r="G164" s="2">
        <v>3128.6</v>
      </c>
      <c r="I164" s="2"/>
      <c r="J164" s="2"/>
      <c r="L164" s="3"/>
      <c r="M164" s="3"/>
      <c r="N164" s="2"/>
      <c r="P164" s="3"/>
      <c r="Q164" s="1">
        <v>45853</v>
      </c>
      <c r="R164" s="7">
        <f t="shared" si="20"/>
        <v>3.6939942802669545E-3</v>
      </c>
      <c r="S164" s="7">
        <f t="shared" si="21"/>
        <v>-6.7304597196626847E-4</v>
      </c>
      <c r="T164" s="7">
        <f t="shared" si="22"/>
        <v>3.0846887268647372E-3</v>
      </c>
      <c r="U164" s="7">
        <f t="shared" si="23"/>
        <v>5.9385728867031862E-3</v>
      </c>
      <c r="V164" s="7">
        <f t="shared" si="24"/>
        <v>-2.1241983419365007E-2</v>
      </c>
      <c r="Y164" s="1">
        <v>45862</v>
      </c>
      <c r="Z164" s="7">
        <f t="shared" si="25"/>
        <v>5.4547992827304933E-3</v>
      </c>
    </row>
    <row r="165" spans="2:26" x14ac:dyDescent="0.3">
      <c r="B165" s="1">
        <v>45852</v>
      </c>
      <c r="C165" s="2">
        <v>2516.6</v>
      </c>
      <c r="D165" s="2">
        <v>3404.7</v>
      </c>
      <c r="E165" s="2">
        <v>1423</v>
      </c>
      <c r="F165" s="2">
        <v>3222.7</v>
      </c>
      <c r="G165" s="2">
        <v>3092.1</v>
      </c>
      <c r="I165" s="2"/>
      <c r="J165" s="2"/>
      <c r="L165" s="3"/>
      <c r="M165" s="3"/>
      <c r="N165" s="2"/>
      <c r="P165" s="3"/>
      <c r="Q165" s="1">
        <v>45852</v>
      </c>
      <c r="R165" s="7">
        <f t="shared" si="20"/>
        <v>-4.0761407257905446E-3</v>
      </c>
      <c r="S165" s="7">
        <f t="shared" si="21"/>
        <v>-3.0161054172768154E-3</v>
      </c>
      <c r="T165" s="7">
        <f t="shared" si="22"/>
        <v>-5.4514956667598424E-3</v>
      </c>
      <c r="U165" s="7">
        <f t="shared" si="23"/>
        <v>-9.1012514220706331E-3</v>
      </c>
      <c r="V165" s="7">
        <f t="shared" si="24"/>
        <v>-1.166656012273859E-2</v>
      </c>
      <c r="Y165" s="1">
        <v>45861</v>
      </c>
      <c r="Z165" s="7">
        <f t="shared" si="25"/>
        <v>3.1123206829672735E-3</v>
      </c>
    </row>
    <row r="166" spans="2:26" x14ac:dyDescent="0.3">
      <c r="B166" s="1">
        <v>45849</v>
      </c>
      <c r="C166" s="2">
        <v>2519.6</v>
      </c>
      <c r="D166" s="2">
        <v>3361.6</v>
      </c>
      <c r="E166" s="2">
        <v>1421.9</v>
      </c>
      <c r="F166" s="2">
        <v>3266</v>
      </c>
      <c r="G166" s="2">
        <v>3073.2</v>
      </c>
      <c r="I166" s="2"/>
      <c r="J166" s="2"/>
      <c r="L166" s="3"/>
      <c r="M166" s="3"/>
      <c r="N166" s="2"/>
      <c r="P166" s="3"/>
      <c r="Q166" s="1">
        <v>45849</v>
      </c>
      <c r="R166" s="7">
        <f t="shared" si="20"/>
        <v>1.19208455853137E-3</v>
      </c>
      <c r="S166" s="7">
        <f t="shared" si="21"/>
        <v>-1.2658971421858012E-2</v>
      </c>
      <c r="T166" s="7">
        <f t="shared" si="22"/>
        <v>-7.7301475755442439E-4</v>
      </c>
      <c r="U166" s="7">
        <f t="shared" si="23"/>
        <v>1.3435938809073233E-2</v>
      </c>
      <c r="V166" s="7">
        <f t="shared" si="24"/>
        <v>-6.1123508295333195E-3</v>
      </c>
      <c r="Y166" s="1">
        <v>45860</v>
      </c>
      <c r="Z166" s="7">
        <f t="shared" si="25"/>
        <v>-2.7390054125186361E-3</v>
      </c>
    </row>
    <row r="167" spans="2:26" x14ac:dyDescent="0.3">
      <c r="B167" s="1">
        <v>45848</v>
      </c>
      <c r="C167" s="2">
        <v>2408.4</v>
      </c>
      <c r="D167" s="2">
        <v>3419.8</v>
      </c>
      <c r="E167" s="2">
        <v>1424.1</v>
      </c>
      <c r="F167" s="2">
        <v>3382</v>
      </c>
      <c r="G167" s="2">
        <v>3162.4</v>
      </c>
      <c r="I167" s="2"/>
      <c r="J167" s="2"/>
      <c r="L167" s="3"/>
      <c r="M167" s="3"/>
      <c r="N167" s="2"/>
      <c r="P167" s="3"/>
      <c r="Q167" s="1">
        <v>45848</v>
      </c>
      <c r="R167" s="7">
        <f t="shared" si="20"/>
        <v>-4.4133989522146311E-2</v>
      </c>
      <c r="S167" s="7">
        <f t="shared" si="21"/>
        <v>1.7313184198000986E-2</v>
      </c>
      <c r="T167" s="7">
        <f t="shared" si="22"/>
        <v>1.5472255432871229E-3</v>
      </c>
      <c r="U167" s="7">
        <f t="shared" si="23"/>
        <v>3.5517452541334871E-2</v>
      </c>
      <c r="V167" s="7">
        <f t="shared" si="24"/>
        <v>2.9025120395678838E-2</v>
      </c>
      <c r="Y167" s="1">
        <v>45859</v>
      </c>
      <c r="Z167" s="7">
        <f t="shared" si="25"/>
        <v>-5.7308538131488895E-3</v>
      </c>
    </row>
    <row r="168" spans="2:26" x14ac:dyDescent="0.3">
      <c r="B168" s="1">
        <v>45847</v>
      </c>
      <c r="C168" s="2">
        <v>2423.4</v>
      </c>
      <c r="D168" s="2">
        <v>3432.1</v>
      </c>
      <c r="E168" s="2">
        <v>1431.9</v>
      </c>
      <c r="F168" s="2">
        <v>3383.8</v>
      </c>
      <c r="G168" s="2">
        <v>3176.3</v>
      </c>
      <c r="I168" s="2"/>
      <c r="J168" s="2"/>
      <c r="L168" s="3"/>
      <c r="M168" s="3"/>
      <c r="N168" s="2"/>
      <c r="P168" s="3"/>
      <c r="Q168" s="1">
        <v>45847</v>
      </c>
      <c r="R168" s="7">
        <f t="shared" si="20"/>
        <v>6.2282012954659738E-3</v>
      </c>
      <c r="S168" s="7">
        <f t="shared" si="21"/>
        <v>3.5967015614948306E-3</v>
      </c>
      <c r="T168" s="7">
        <f t="shared" si="22"/>
        <v>5.4771434590268342E-3</v>
      </c>
      <c r="U168" s="7">
        <f t="shared" si="23"/>
        <v>5.3222945002961985E-4</v>
      </c>
      <c r="V168" s="7">
        <f t="shared" si="24"/>
        <v>4.3953959018467881E-3</v>
      </c>
      <c r="Y168" s="1">
        <v>45856</v>
      </c>
      <c r="Z168" s="7">
        <f t="shared" si="25"/>
        <v>-8.5405073789323674E-3</v>
      </c>
    </row>
    <row r="169" spans="2:26" x14ac:dyDescent="0.3">
      <c r="B169" s="1">
        <v>45846</v>
      </c>
      <c r="C169" s="2">
        <v>2392.6999999999998</v>
      </c>
      <c r="D169" s="2">
        <v>3441.3</v>
      </c>
      <c r="E169" s="2">
        <v>1442</v>
      </c>
      <c r="F169" s="2">
        <v>3406.2</v>
      </c>
      <c r="G169" s="2">
        <v>3157.9</v>
      </c>
      <c r="I169" s="2"/>
      <c r="J169" s="2"/>
      <c r="L169" s="3"/>
      <c r="M169" s="3"/>
      <c r="N169" s="2"/>
      <c r="P169" s="3"/>
      <c r="Q169" s="1">
        <v>45846</v>
      </c>
      <c r="R169" s="7">
        <f t="shared" si="20"/>
        <v>-1.2668152182883641E-2</v>
      </c>
      <c r="S169" s="7">
        <f t="shared" si="21"/>
        <v>2.6805745753328836E-3</v>
      </c>
      <c r="T169" s="7">
        <f t="shared" si="22"/>
        <v>7.0535651931000753E-3</v>
      </c>
      <c r="U169" s="7">
        <f t="shared" si="23"/>
        <v>6.6197765825402044E-3</v>
      </c>
      <c r="V169" s="7">
        <f t="shared" si="24"/>
        <v>-5.7929036929761368E-3</v>
      </c>
      <c r="Y169" s="1">
        <v>45855</v>
      </c>
      <c r="Z169" s="7">
        <f t="shared" si="25"/>
        <v>3.2480666969430974E-3</v>
      </c>
    </row>
    <row r="170" spans="2:26" x14ac:dyDescent="0.3">
      <c r="B170" s="1">
        <v>45845</v>
      </c>
      <c r="C170" s="2">
        <v>2410.4</v>
      </c>
      <c r="D170" s="2">
        <v>3666.1</v>
      </c>
      <c r="E170" s="2">
        <v>1435.7</v>
      </c>
      <c r="F170" s="2">
        <v>3411.7</v>
      </c>
      <c r="G170" s="2">
        <v>3160.2</v>
      </c>
      <c r="I170" s="2"/>
      <c r="J170" s="2"/>
      <c r="L170" s="3"/>
      <c r="M170" s="3"/>
      <c r="N170" s="2"/>
      <c r="P170" s="3"/>
      <c r="Q170" s="1">
        <v>45845</v>
      </c>
      <c r="R170" s="7">
        <f t="shared" si="20"/>
        <v>7.3975007313913377E-3</v>
      </c>
      <c r="S170" s="7">
        <f t="shared" si="21"/>
        <v>6.5324150756981281E-2</v>
      </c>
      <c r="T170" s="7">
        <f t="shared" si="22"/>
        <v>-4.3689320388349273E-3</v>
      </c>
      <c r="U170" s="7">
        <f t="shared" si="23"/>
        <v>1.6147026011390508E-3</v>
      </c>
      <c r="V170" s="7">
        <f t="shared" si="24"/>
        <v>7.2833211944645093E-4</v>
      </c>
      <c r="Y170" s="1">
        <v>45854</v>
      </c>
      <c r="Z170" s="7">
        <f t="shared" si="25"/>
        <v>2.4657801012861469E-3</v>
      </c>
    </row>
    <row r="171" spans="2:26" x14ac:dyDescent="0.3">
      <c r="B171" s="1">
        <v>45842</v>
      </c>
      <c r="C171" s="2">
        <v>2339.3000000000002</v>
      </c>
      <c r="D171" s="2">
        <v>3686.9</v>
      </c>
      <c r="E171" s="2">
        <v>1442.8</v>
      </c>
      <c r="F171" s="2">
        <v>3419.8</v>
      </c>
      <c r="G171" s="2">
        <v>3162.5</v>
      </c>
      <c r="I171" s="2"/>
      <c r="J171" s="2"/>
      <c r="L171" s="3"/>
      <c r="M171" s="3"/>
      <c r="N171" s="2"/>
      <c r="P171" s="3"/>
      <c r="Q171" s="1">
        <v>45842</v>
      </c>
      <c r="R171" s="7">
        <f t="shared" si="20"/>
        <v>-2.9497178891470299E-2</v>
      </c>
      <c r="S171" s="7">
        <f t="shared" si="21"/>
        <v>5.6736041024523232E-3</v>
      </c>
      <c r="T171" s="7">
        <f t="shared" si="22"/>
        <v>4.9453228390332615E-3</v>
      </c>
      <c r="U171" s="7">
        <f t="shared" si="23"/>
        <v>2.3741829586423346E-3</v>
      </c>
      <c r="V171" s="7">
        <f t="shared" si="24"/>
        <v>7.2780203784583719E-4</v>
      </c>
      <c r="Y171" s="1">
        <v>45853</v>
      </c>
      <c r="Z171" s="7">
        <f t="shared" si="25"/>
        <v>3.7476050251203374E-4</v>
      </c>
    </row>
    <row r="172" spans="2:26" x14ac:dyDescent="0.3">
      <c r="B172" s="1">
        <v>45841</v>
      </c>
      <c r="C172" s="2">
        <v>2313.4</v>
      </c>
      <c r="D172" s="2">
        <v>3678.7</v>
      </c>
      <c r="E172" s="2">
        <v>1425.9</v>
      </c>
      <c r="F172" s="2">
        <v>3400.8</v>
      </c>
      <c r="G172" s="2">
        <v>3174.4</v>
      </c>
      <c r="I172" s="2"/>
      <c r="J172" s="2"/>
      <c r="L172" s="3"/>
      <c r="M172" s="3"/>
      <c r="N172" s="2"/>
      <c r="P172" s="3"/>
      <c r="Q172" s="1">
        <v>45841</v>
      </c>
      <c r="R172" s="7">
        <f t="shared" si="20"/>
        <v>-1.1071688111828348E-2</v>
      </c>
      <c r="S172" s="7">
        <f t="shared" si="21"/>
        <v>-2.2240906995036891E-3</v>
      </c>
      <c r="T172" s="7">
        <f t="shared" si="22"/>
        <v>-1.1713335181591233E-2</v>
      </c>
      <c r="U172" s="7">
        <f t="shared" si="23"/>
        <v>-5.5558804608456525E-3</v>
      </c>
      <c r="V172" s="7">
        <f t="shared" si="24"/>
        <v>3.7628458498024653E-3</v>
      </c>
      <c r="Y172" s="1">
        <v>45852</v>
      </c>
      <c r="Z172" s="7">
        <f t="shared" si="25"/>
        <v>-5.987802459903724E-3</v>
      </c>
    </row>
    <row r="173" spans="2:26" x14ac:dyDescent="0.3">
      <c r="B173" s="1">
        <v>45840</v>
      </c>
      <c r="C173" s="2">
        <v>2307.1</v>
      </c>
      <c r="D173" s="2">
        <v>3708</v>
      </c>
      <c r="E173" s="2">
        <v>1427.8</v>
      </c>
      <c r="F173" s="2">
        <v>3423.3</v>
      </c>
      <c r="G173" s="2">
        <v>3165.2</v>
      </c>
      <c r="I173" s="2"/>
      <c r="J173" s="2"/>
      <c r="L173" s="3"/>
      <c r="M173" s="3"/>
      <c r="N173" s="2"/>
      <c r="P173" s="3"/>
      <c r="Q173" s="1">
        <v>45840</v>
      </c>
      <c r="R173" s="7">
        <f t="shared" si="20"/>
        <v>-2.7232644592375399E-3</v>
      </c>
      <c r="S173" s="7">
        <f t="shared" si="21"/>
        <v>7.9647701633729362E-3</v>
      </c>
      <c r="T173" s="7">
        <f t="shared" si="22"/>
        <v>1.3324917595902708E-3</v>
      </c>
      <c r="U173" s="7">
        <f t="shared" si="23"/>
        <v>6.6160903316867525E-3</v>
      </c>
      <c r="V173" s="7">
        <f t="shared" si="24"/>
        <v>-2.8981854838711074E-3</v>
      </c>
      <c r="Y173" s="1">
        <v>45849</v>
      </c>
      <c r="Z173" s="7">
        <f t="shared" si="25"/>
        <v>-1.1418819200898099E-3</v>
      </c>
    </row>
    <row r="174" spans="2:26" x14ac:dyDescent="0.3">
      <c r="B174" s="1">
        <v>45839</v>
      </c>
      <c r="C174" s="2">
        <v>2295.5</v>
      </c>
      <c r="D174" s="2">
        <v>3700.5</v>
      </c>
      <c r="E174" s="2">
        <v>1432</v>
      </c>
      <c r="F174" s="2">
        <v>3429.7</v>
      </c>
      <c r="G174" s="2">
        <v>3176.1</v>
      </c>
      <c r="I174" s="2"/>
      <c r="J174" s="2"/>
      <c r="L174" s="3"/>
      <c r="M174" s="3"/>
      <c r="N174" s="2"/>
      <c r="P174" s="3"/>
      <c r="Q174" s="1">
        <v>45839</v>
      </c>
      <c r="R174" s="7">
        <f t="shared" si="20"/>
        <v>-5.0279571756750574E-3</v>
      </c>
      <c r="S174" s="7">
        <f t="shared" si="21"/>
        <v>-2.0226537216828655E-3</v>
      </c>
      <c r="T174" s="7">
        <f t="shared" si="22"/>
        <v>2.9415884577672635E-3</v>
      </c>
      <c r="U174" s="7">
        <f t="shared" si="23"/>
        <v>1.8695410860865014E-3</v>
      </c>
      <c r="V174" s="7">
        <f t="shared" si="24"/>
        <v>3.4437002401113137E-3</v>
      </c>
      <c r="Y174" s="1">
        <v>45848</v>
      </c>
      <c r="Z174" s="7">
        <f t="shared" si="25"/>
        <v>8.1783678319992947E-3</v>
      </c>
    </row>
    <row r="175" spans="2:26" x14ac:dyDescent="0.3">
      <c r="B175" s="1">
        <v>45838</v>
      </c>
      <c r="C175" s="2">
        <v>2294.6</v>
      </c>
      <c r="D175" s="2">
        <v>3690.2</v>
      </c>
      <c r="E175" s="2">
        <v>1445.8</v>
      </c>
      <c r="F175" s="2">
        <v>3462</v>
      </c>
      <c r="G175" s="2">
        <v>3183.2</v>
      </c>
      <c r="I175" s="2"/>
      <c r="J175" s="2"/>
      <c r="L175" s="3"/>
      <c r="M175" s="3"/>
      <c r="N175" s="2"/>
      <c r="P175" s="3"/>
      <c r="Q175" s="1">
        <v>45838</v>
      </c>
      <c r="R175" s="7">
        <f t="shared" si="20"/>
        <v>-3.9207144412989337E-4</v>
      </c>
      <c r="S175" s="7">
        <f t="shared" si="21"/>
        <v>-2.7834076476151992E-3</v>
      </c>
      <c r="T175" s="7">
        <f t="shared" si="22"/>
        <v>9.636871508379885E-3</v>
      </c>
      <c r="U175" s="7">
        <f t="shared" si="23"/>
        <v>9.4177333294458432E-3</v>
      </c>
      <c r="V175" s="7">
        <f t="shared" si="24"/>
        <v>2.2354459872169219E-3</v>
      </c>
      <c r="Y175" s="1">
        <v>45847</v>
      </c>
      <c r="Z175" s="7">
        <f t="shared" si="25"/>
        <v>4.0225341025922571E-3</v>
      </c>
    </row>
    <row r="176" spans="2:26" x14ac:dyDescent="0.3">
      <c r="B176" s="1">
        <v>45835</v>
      </c>
      <c r="C176" s="2">
        <v>2306.9</v>
      </c>
      <c r="D176" s="2">
        <v>3666.2</v>
      </c>
      <c r="E176" s="2">
        <v>1462.2</v>
      </c>
      <c r="F176" s="2">
        <v>3441.1</v>
      </c>
      <c r="G176" s="2">
        <v>3203.3</v>
      </c>
      <c r="I176" s="2"/>
      <c r="J176" s="2"/>
      <c r="L176" s="3"/>
      <c r="M176" s="3"/>
      <c r="N176" s="2"/>
      <c r="P176" s="3"/>
      <c r="Q176" s="1">
        <v>45835</v>
      </c>
      <c r="R176" s="7">
        <f t="shared" si="20"/>
        <v>5.3604114006799986E-3</v>
      </c>
      <c r="S176" s="7">
        <f t="shared" si="21"/>
        <v>-6.5037125359058701E-3</v>
      </c>
      <c r="T176" s="7">
        <f t="shared" si="22"/>
        <v>1.1343200995988401E-2</v>
      </c>
      <c r="U176" s="7">
        <f t="shared" si="23"/>
        <v>-6.0369728480647034E-3</v>
      </c>
      <c r="V176" s="7">
        <f t="shared" si="24"/>
        <v>6.3144006031667921E-3</v>
      </c>
      <c r="Y176" s="1">
        <v>45846</v>
      </c>
      <c r="Z176" s="7">
        <f t="shared" si="25"/>
        <v>1.6306553215411244E-3</v>
      </c>
    </row>
    <row r="177" spans="2:26" x14ac:dyDescent="0.3">
      <c r="B177" s="1">
        <v>45834</v>
      </c>
      <c r="C177" s="2">
        <v>2280.8000000000002</v>
      </c>
      <c r="D177" s="2">
        <v>3694.7</v>
      </c>
      <c r="E177" s="2">
        <v>1439.1</v>
      </c>
      <c r="F177" s="2">
        <v>3441.8</v>
      </c>
      <c r="G177" s="2">
        <v>3215.8</v>
      </c>
      <c r="I177" s="2"/>
      <c r="J177" s="2"/>
      <c r="L177" s="3"/>
      <c r="M177" s="3"/>
      <c r="N177" s="2"/>
      <c r="P177" s="3"/>
      <c r="Q177" s="1">
        <v>45834</v>
      </c>
      <c r="R177" s="7">
        <f t="shared" si="20"/>
        <v>-1.1313884433655552E-2</v>
      </c>
      <c r="S177" s="7">
        <f t="shared" si="21"/>
        <v>7.7737166548470515E-3</v>
      </c>
      <c r="T177" s="7">
        <f t="shared" si="22"/>
        <v>-1.5798112433319744E-2</v>
      </c>
      <c r="U177" s="7">
        <f t="shared" si="23"/>
        <v>2.0342332393719076E-4</v>
      </c>
      <c r="V177" s="7">
        <f t="shared" si="24"/>
        <v>3.9022258296133039E-3</v>
      </c>
      <c r="Y177" s="1">
        <v>45845</v>
      </c>
      <c r="Z177" s="7">
        <f t="shared" si="25"/>
        <v>1.6525756919475994E-2</v>
      </c>
    </row>
    <row r="178" spans="2:26" x14ac:dyDescent="0.3">
      <c r="B178" s="1">
        <v>45833</v>
      </c>
      <c r="C178" s="2">
        <v>2278.6999999999998</v>
      </c>
      <c r="D178" s="2">
        <v>3652.2</v>
      </c>
      <c r="E178" s="2">
        <v>1425.8</v>
      </c>
      <c r="F178" s="2">
        <v>3444.8</v>
      </c>
      <c r="G178" s="2">
        <v>3215.5</v>
      </c>
      <c r="I178" s="2"/>
      <c r="J178" s="2"/>
      <c r="L178" s="3"/>
      <c r="M178" s="3"/>
      <c r="N178" s="2"/>
      <c r="P178" s="3"/>
      <c r="Q178" s="1">
        <v>45833</v>
      </c>
      <c r="R178" s="7">
        <f t="shared" si="20"/>
        <v>-9.2072956857258692E-4</v>
      </c>
      <c r="S178" s="7">
        <f t="shared" si="21"/>
        <v>-1.1502963704766334E-2</v>
      </c>
      <c r="T178" s="7">
        <f t="shared" si="22"/>
        <v>-9.2418872906677718E-3</v>
      </c>
      <c r="U178" s="7">
        <f t="shared" si="23"/>
        <v>8.7163693416236754E-4</v>
      </c>
      <c r="V178" s="7">
        <f t="shared" si="24"/>
        <v>-9.3289383668149206E-5</v>
      </c>
      <c r="Y178" s="1">
        <v>45842</v>
      </c>
      <c r="Z178" s="7">
        <f t="shared" si="25"/>
        <v>-9.7496216088443447E-4</v>
      </c>
    </row>
    <row r="179" spans="2:26" x14ac:dyDescent="0.3">
      <c r="B179" s="1">
        <v>45832</v>
      </c>
      <c r="C179" s="2">
        <v>2263.1</v>
      </c>
      <c r="D179" s="2">
        <v>3526</v>
      </c>
      <c r="E179" s="2">
        <v>1424.1</v>
      </c>
      <c r="F179" s="2">
        <v>3390.4</v>
      </c>
      <c r="G179" s="2">
        <v>3150.1</v>
      </c>
      <c r="I179" s="2"/>
      <c r="J179" s="2"/>
      <c r="L179" s="3"/>
      <c r="M179" s="3"/>
      <c r="N179" s="2"/>
      <c r="P179" s="3"/>
      <c r="Q179" s="1">
        <v>45832</v>
      </c>
      <c r="R179" s="7">
        <f t="shared" si="20"/>
        <v>-6.8460086891648508E-3</v>
      </c>
      <c r="S179" s="7">
        <f t="shared" si="21"/>
        <v>-3.4554515086796966E-2</v>
      </c>
      <c r="T179" s="7">
        <f t="shared" si="22"/>
        <v>-1.1923130873895404E-3</v>
      </c>
      <c r="U179" s="7">
        <f t="shared" si="23"/>
        <v>-1.5791918253599602E-2</v>
      </c>
      <c r="V179" s="7">
        <f t="shared" si="24"/>
        <v>-2.033898305084747E-2</v>
      </c>
      <c r="Y179" s="1">
        <v>45841</v>
      </c>
      <c r="Z179" s="7">
        <f t="shared" si="25"/>
        <v>-6.465667953316428E-3</v>
      </c>
    </row>
    <row r="180" spans="2:26" x14ac:dyDescent="0.3">
      <c r="B180" s="1">
        <v>45831</v>
      </c>
      <c r="C180" s="2">
        <v>2275.1</v>
      </c>
      <c r="D180" s="2">
        <v>3505.7</v>
      </c>
      <c r="E180" s="2">
        <v>1420.1</v>
      </c>
      <c r="F180" s="2">
        <v>3393.6</v>
      </c>
      <c r="G180" s="2">
        <v>3135</v>
      </c>
      <c r="I180" s="2"/>
      <c r="J180" s="2"/>
      <c r="L180" s="3"/>
      <c r="M180" s="3"/>
      <c r="N180" s="2"/>
      <c r="P180" s="3"/>
      <c r="Q180" s="1">
        <v>45831</v>
      </c>
      <c r="R180" s="7">
        <f t="shared" si="20"/>
        <v>5.3024612257523973E-3</v>
      </c>
      <c r="S180" s="7">
        <f t="shared" si="21"/>
        <v>-5.7572319909245939E-3</v>
      </c>
      <c r="T180" s="7">
        <f t="shared" si="22"/>
        <v>-2.8087915174496159E-3</v>
      </c>
      <c r="U180" s="7">
        <f t="shared" si="23"/>
        <v>9.4384143463899228E-4</v>
      </c>
      <c r="V180" s="7">
        <f t="shared" si="24"/>
        <v>-4.7934986190913964E-3</v>
      </c>
      <c r="Y180" s="1">
        <v>45840</v>
      </c>
      <c r="Z180" s="7">
        <f t="shared" si="25"/>
        <v>3.0158499177849241E-3</v>
      </c>
    </row>
    <row r="181" spans="2:26" x14ac:dyDescent="0.3">
      <c r="B181" s="1">
        <v>45828</v>
      </c>
      <c r="C181" s="2">
        <v>2306.1999999999998</v>
      </c>
      <c r="D181" s="2">
        <v>3519</v>
      </c>
      <c r="E181" s="2">
        <v>1427.1</v>
      </c>
      <c r="F181" s="2">
        <v>3435.7</v>
      </c>
      <c r="G181" s="2">
        <v>3184.4</v>
      </c>
      <c r="I181" s="2"/>
      <c r="J181" s="2"/>
      <c r="L181" s="3"/>
      <c r="M181" s="3"/>
      <c r="N181" s="2"/>
      <c r="P181" s="3"/>
      <c r="Q181" s="1">
        <v>45828</v>
      </c>
      <c r="R181" s="7">
        <f t="shared" si="20"/>
        <v>1.3669728803129555E-2</v>
      </c>
      <c r="S181" s="7">
        <f t="shared" si="21"/>
        <v>3.7938214907151657E-3</v>
      </c>
      <c r="T181" s="7">
        <f t="shared" si="22"/>
        <v>4.9292303358918765E-3</v>
      </c>
      <c r="U181" s="7">
        <f t="shared" si="23"/>
        <v>1.2405704856199851E-2</v>
      </c>
      <c r="V181" s="7">
        <f t="shared" si="24"/>
        <v>1.5757575757575859E-2</v>
      </c>
      <c r="Y181" s="1">
        <v>45839</v>
      </c>
      <c r="Z181" s="7">
        <f t="shared" si="25"/>
        <v>3.4089777178663574E-4</v>
      </c>
    </row>
    <row r="182" spans="2:26" x14ac:dyDescent="0.3">
      <c r="B182" s="1">
        <v>45827</v>
      </c>
      <c r="C182" s="2">
        <v>2294.1999999999998</v>
      </c>
      <c r="D182" s="2">
        <v>3505.4</v>
      </c>
      <c r="E182" s="2">
        <v>1411.3</v>
      </c>
      <c r="F182" s="2">
        <v>3424</v>
      </c>
      <c r="G182" s="2">
        <v>3094.8</v>
      </c>
      <c r="I182" s="2"/>
      <c r="J182" s="2"/>
      <c r="L182" s="3"/>
      <c r="M182" s="3"/>
      <c r="N182" s="2"/>
      <c r="P182" s="3"/>
      <c r="Q182" s="1">
        <v>45827</v>
      </c>
      <c r="R182" s="7">
        <f t="shared" si="20"/>
        <v>-5.2033648425982015E-3</v>
      </c>
      <c r="S182" s="7">
        <f t="shared" si="21"/>
        <v>-3.8647342995168366E-3</v>
      </c>
      <c r="T182" s="7">
        <f t="shared" si="22"/>
        <v>-1.1071403545651948E-2</v>
      </c>
      <c r="U182" s="7">
        <f t="shared" si="23"/>
        <v>-3.4054195651540553E-3</v>
      </c>
      <c r="V182" s="7">
        <f t="shared" si="24"/>
        <v>-2.8137168697399795E-2</v>
      </c>
      <c r="Y182" s="1">
        <v>45838</v>
      </c>
      <c r="Z182" s="7">
        <f t="shared" si="25"/>
        <v>4.2434900886015427E-3</v>
      </c>
    </row>
    <row r="183" spans="2:26" x14ac:dyDescent="0.3">
      <c r="B183" s="1">
        <v>45826</v>
      </c>
      <c r="C183" s="2">
        <v>2297.3000000000002</v>
      </c>
      <c r="D183" s="2">
        <v>3467.8</v>
      </c>
      <c r="E183" s="2">
        <v>1412.6</v>
      </c>
      <c r="F183" s="2">
        <v>3451.4</v>
      </c>
      <c r="G183" s="2">
        <v>3041.1</v>
      </c>
      <c r="I183" s="2"/>
      <c r="J183" s="2"/>
      <c r="L183" s="3"/>
      <c r="M183" s="3"/>
      <c r="N183" s="2"/>
      <c r="P183" s="3"/>
      <c r="Q183" s="1">
        <v>45826</v>
      </c>
      <c r="R183" s="7">
        <f t="shared" si="20"/>
        <v>1.3512335454626268E-3</v>
      </c>
      <c r="S183" s="7">
        <f t="shared" si="21"/>
        <v>-1.0726307981970606E-2</v>
      </c>
      <c r="T183" s="7">
        <f t="shared" si="22"/>
        <v>9.2113654077796703E-4</v>
      </c>
      <c r="U183" s="7">
        <f t="shared" si="23"/>
        <v>8.0023364485981574E-3</v>
      </c>
      <c r="V183" s="7">
        <f t="shared" si="24"/>
        <v>-1.735168670027154E-2</v>
      </c>
      <c r="Y183" s="1">
        <v>45835</v>
      </c>
      <c r="Z183" s="7">
        <f t="shared" si="25"/>
        <v>2.0051393656257909E-3</v>
      </c>
    </row>
    <row r="184" spans="2:26" x14ac:dyDescent="0.3">
      <c r="B184" s="1">
        <v>45825</v>
      </c>
      <c r="C184" s="2">
        <v>2328.6</v>
      </c>
      <c r="D184" s="2">
        <v>3405.7</v>
      </c>
      <c r="E184" s="2">
        <v>1423.2</v>
      </c>
      <c r="F184" s="2">
        <v>3515.3</v>
      </c>
      <c r="G184" s="2">
        <v>3007.2</v>
      </c>
      <c r="I184" s="2"/>
      <c r="J184" s="2"/>
      <c r="L184" s="3"/>
      <c r="M184" s="3"/>
      <c r="N184" s="2"/>
      <c r="P184" s="3"/>
      <c r="Q184" s="1">
        <v>45825</v>
      </c>
      <c r="R184" s="7">
        <f t="shared" si="20"/>
        <v>1.3624689853305894E-2</v>
      </c>
      <c r="S184" s="7">
        <f t="shared" si="21"/>
        <v>-1.7907607128438863E-2</v>
      </c>
      <c r="T184" s="7">
        <f t="shared" si="22"/>
        <v>7.5038935296616316E-3</v>
      </c>
      <c r="U184" s="7">
        <f t="shared" si="23"/>
        <v>1.8514226111143284E-2</v>
      </c>
      <c r="V184" s="7">
        <f t="shared" si="24"/>
        <v>-1.1147282233402445E-2</v>
      </c>
      <c r="Y184" s="1">
        <v>45834</v>
      </c>
      <c r="Z184" s="7">
        <f t="shared" si="25"/>
        <v>-4.0621799835837248E-3</v>
      </c>
    </row>
    <row r="185" spans="2:26" x14ac:dyDescent="0.3">
      <c r="B185" s="1">
        <v>45824</v>
      </c>
      <c r="C185" s="2">
        <v>2327.4</v>
      </c>
      <c r="D185" s="2">
        <v>3438.1</v>
      </c>
      <c r="E185" s="2">
        <v>1426.9</v>
      </c>
      <c r="F185" s="2">
        <v>3496.3</v>
      </c>
      <c r="G185" s="2">
        <v>3023.6</v>
      </c>
      <c r="I185" s="2"/>
      <c r="J185" s="2"/>
      <c r="L185" s="3"/>
      <c r="M185" s="3"/>
      <c r="N185" s="2"/>
      <c r="P185" s="3"/>
      <c r="Q185" s="1">
        <v>45824</v>
      </c>
      <c r="R185" s="7">
        <f t="shared" si="20"/>
        <v>-5.153311002318306E-4</v>
      </c>
      <c r="S185" s="7">
        <f t="shared" si="21"/>
        <v>9.5134627242563496E-3</v>
      </c>
      <c r="T185" s="7">
        <f t="shared" si="22"/>
        <v>2.5997751545812076E-3</v>
      </c>
      <c r="U185" s="7">
        <f t="shared" si="23"/>
        <v>-5.404944101499165E-3</v>
      </c>
      <c r="V185" s="7">
        <f t="shared" si="24"/>
        <v>5.4535780792763777E-3</v>
      </c>
      <c r="Y185" s="1">
        <v>45833</v>
      </c>
      <c r="Z185" s="7">
        <f t="shared" si="25"/>
        <v>-5.6214181002121446E-3</v>
      </c>
    </row>
    <row r="186" spans="2:26" x14ac:dyDescent="0.3">
      <c r="B186" s="1">
        <v>45821</v>
      </c>
      <c r="C186" s="2">
        <v>2319</v>
      </c>
      <c r="D186" s="2">
        <v>3421.9</v>
      </c>
      <c r="E186" s="2">
        <v>1416.1</v>
      </c>
      <c r="F186" s="2">
        <v>3445.7</v>
      </c>
      <c r="G186" s="2">
        <v>3006</v>
      </c>
      <c r="I186" s="2"/>
      <c r="J186" s="2"/>
      <c r="L186" s="3"/>
      <c r="M186" s="3"/>
      <c r="N186" s="2"/>
      <c r="P186" s="3"/>
      <c r="Q186" s="1">
        <v>45821</v>
      </c>
      <c r="R186" s="7">
        <f t="shared" si="20"/>
        <v>-3.6091776230987582E-3</v>
      </c>
      <c r="S186" s="7">
        <f t="shared" si="21"/>
        <v>-4.711904831156688E-3</v>
      </c>
      <c r="T186" s="7">
        <f t="shared" si="22"/>
        <v>-7.5688555610065045E-3</v>
      </c>
      <c r="U186" s="7">
        <f t="shared" si="23"/>
        <v>-1.4472442296141752E-2</v>
      </c>
      <c r="V186" s="7">
        <f t="shared" si="24"/>
        <v>-5.8208757772191255E-3</v>
      </c>
      <c r="Y186" s="1">
        <v>45832</v>
      </c>
      <c r="Z186" s="7">
        <f t="shared" si="25"/>
        <v>-1.5215505957095499E-2</v>
      </c>
    </row>
    <row r="187" spans="2:26" x14ac:dyDescent="0.3">
      <c r="B187" s="1">
        <v>45820</v>
      </c>
      <c r="C187" s="2">
        <v>2332.6999999999998</v>
      </c>
      <c r="D187" s="2">
        <v>3452.7</v>
      </c>
      <c r="E187" s="2">
        <v>1425.2</v>
      </c>
      <c r="F187" s="2">
        <v>3434.2</v>
      </c>
      <c r="G187" s="2">
        <v>3019.2</v>
      </c>
      <c r="I187" s="2"/>
      <c r="J187" s="2"/>
      <c r="L187" s="3"/>
      <c r="M187" s="3"/>
      <c r="N187" s="2"/>
      <c r="P187" s="3"/>
      <c r="Q187" s="1">
        <v>45820</v>
      </c>
      <c r="R187" s="7">
        <f t="shared" si="20"/>
        <v>5.9077188443292794E-3</v>
      </c>
      <c r="S187" s="7">
        <f t="shared" si="21"/>
        <v>9.0008474823928264E-3</v>
      </c>
      <c r="T187" s="7">
        <f t="shared" si="22"/>
        <v>6.4260998517053913E-3</v>
      </c>
      <c r="U187" s="7">
        <f t="shared" si="23"/>
        <v>-3.3374931073512082E-3</v>
      </c>
      <c r="V187" s="7">
        <f t="shared" si="24"/>
        <v>4.3912175648701535E-3</v>
      </c>
      <c r="Y187" s="1">
        <v>45831</v>
      </c>
      <c r="Z187" s="7">
        <f t="shared" si="25"/>
        <v>-1.7771578440845147E-3</v>
      </c>
    </row>
    <row r="188" spans="2:26" x14ac:dyDescent="0.3">
      <c r="B188" s="1">
        <v>45819</v>
      </c>
      <c r="C188" s="2">
        <v>2376.4</v>
      </c>
      <c r="D188" s="2">
        <v>3541.6</v>
      </c>
      <c r="E188" s="2">
        <v>1431</v>
      </c>
      <c r="F188" s="2">
        <v>3471.9</v>
      </c>
      <c r="G188" s="2">
        <v>3080.7</v>
      </c>
      <c r="I188" s="2"/>
      <c r="J188" s="2"/>
      <c r="L188" s="3"/>
      <c r="M188" s="3"/>
      <c r="N188" s="2"/>
      <c r="P188" s="3"/>
      <c r="Q188" s="1">
        <v>45819</v>
      </c>
      <c r="R188" s="7">
        <f t="shared" si="20"/>
        <v>1.8733656278132838E-2</v>
      </c>
      <c r="S188" s="7">
        <f t="shared" si="21"/>
        <v>2.5747965360442659E-2</v>
      </c>
      <c r="T188" s="7">
        <f t="shared" si="22"/>
        <v>4.0696042660679499E-3</v>
      </c>
      <c r="U188" s="7">
        <f t="shared" si="23"/>
        <v>1.097781142624199E-2</v>
      </c>
      <c r="V188" s="7">
        <f t="shared" si="24"/>
        <v>2.0369634340222653E-2</v>
      </c>
      <c r="Y188" s="1">
        <v>45828</v>
      </c>
      <c r="Z188" s="7">
        <f t="shared" si="25"/>
        <v>8.5345823409133433E-3</v>
      </c>
    </row>
    <row r="189" spans="2:26" x14ac:dyDescent="0.3">
      <c r="B189" s="1">
        <v>45818</v>
      </c>
      <c r="C189" s="2">
        <v>2395.1999999999998</v>
      </c>
      <c r="D189" s="2">
        <v>3524.2</v>
      </c>
      <c r="E189" s="2">
        <v>1422.9</v>
      </c>
      <c r="F189" s="2">
        <v>3462.9</v>
      </c>
      <c r="G189" s="2">
        <v>3067.5</v>
      </c>
      <c r="I189" s="2"/>
      <c r="J189" s="2"/>
      <c r="L189" s="3"/>
      <c r="M189" s="3"/>
      <c r="N189" s="2"/>
      <c r="P189" s="3"/>
      <c r="Q189" s="1">
        <v>45818</v>
      </c>
      <c r="R189" s="7">
        <f t="shared" si="20"/>
        <v>7.9111260730515554E-3</v>
      </c>
      <c r="S189" s="7">
        <f t="shared" si="21"/>
        <v>-4.91303365710416E-3</v>
      </c>
      <c r="T189" s="7">
        <f t="shared" si="22"/>
        <v>-5.6603773584904538E-3</v>
      </c>
      <c r="U189" s="7">
        <f t="shared" si="23"/>
        <v>-2.5922405599239084E-3</v>
      </c>
      <c r="V189" s="7">
        <f t="shared" si="24"/>
        <v>-4.2847404810594236E-3</v>
      </c>
      <c r="Y189" s="1">
        <v>45827</v>
      </c>
      <c r="Z189" s="7">
        <f t="shared" si="25"/>
        <v>-8.5629101477353135E-3</v>
      </c>
    </row>
    <row r="190" spans="2:26" x14ac:dyDescent="0.3">
      <c r="B190" s="1">
        <v>45817</v>
      </c>
      <c r="C190" s="2">
        <v>2393.1999999999998</v>
      </c>
      <c r="D190" s="2">
        <v>3533.9</v>
      </c>
      <c r="E190" s="2">
        <v>1434.8</v>
      </c>
      <c r="F190" s="2">
        <v>3421.9</v>
      </c>
      <c r="G190" s="2">
        <v>3087.4</v>
      </c>
      <c r="I190" s="2"/>
      <c r="J190" s="2"/>
      <c r="L190" s="3"/>
      <c r="M190" s="3"/>
      <c r="N190" s="2"/>
      <c r="P190" s="3"/>
      <c r="Q190" s="1">
        <v>45817</v>
      </c>
      <c r="R190" s="7">
        <f t="shared" si="20"/>
        <v>-8.3500334001340715E-4</v>
      </c>
      <c r="S190" s="7">
        <f t="shared" si="21"/>
        <v>2.7523977072811956E-3</v>
      </c>
      <c r="T190" s="7">
        <f t="shared" si="22"/>
        <v>8.3632019115889022E-3</v>
      </c>
      <c r="U190" s="7">
        <f t="shared" si="23"/>
        <v>-1.1839787461376261E-2</v>
      </c>
      <c r="V190" s="7">
        <f t="shared" si="24"/>
        <v>6.4873675631622607E-3</v>
      </c>
      <c r="Y190" s="1">
        <v>45826</v>
      </c>
      <c r="Z190" s="7">
        <f t="shared" si="25"/>
        <v>-2.3372523817473899E-3</v>
      </c>
    </row>
    <row r="191" spans="2:26" x14ac:dyDescent="0.3">
      <c r="B191" s="1">
        <v>45814</v>
      </c>
      <c r="C191" s="2">
        <v>2389.8000000000002</v>
      </c>
      <c r="D191" s="2">
        <v>3559.9</v>
      </c>
      <c r="E191" s="2">
        <v>1459.7</v>
      </c>
      <c r="F191" s="2">
        <v>3384.2</v>
      </c>
      <c r="G191" s="2">
        <v>3106.5</v>
      </c>
      <c r="I191" s="2"/>
      <c r="J191" s="2"/>
      <c r="L191" s="3"/>
      <c r="M191" s="3"/>
      <c r="N191" s="2"/>
      <c r="P191" s="3"/>
      <c r="Q191" s="1">
        <v>45814</v>
      </c>
      <c r="R191" s="7">
        <f t="shared" si="20"/>
        <v>-1.4206919605547208E-3</v>
      </c>
      <c r="S191" s="7">
        <f t="shared" si="21"/>
        <v>7.3573106199948946E-3</v>
      </c>
      <c r="T191" s="7">
        <f t="shared" si="22"/>
        <v>1.7354335098968665E-2</v>
      </c>
      <c r="U191" s="7">
        <f t="shared" si="23"/>
        <v>-1.1017271106695148E-2</v>
      </c>
      <c r="V191" s="7">
        <f t="shared" si="24"/>
        <v>6.1864351881841806E-3</v>
      </c>
      <c r="Y191" s="1">
        <v>45825</v>
      </c>
      <c r="Z191" s="7">
        <f t="shared" si="25"/>
        <v>2.4060867536730701E-3</v>
      </c>
    </row>
    <row r="192" spans="2:26" x14ac:dyDescent="0.3">
      <c r="B192" s="1">
        <v>45813</v>
      </c>
      <c r="C192" s="2">
        <v>2376.4</v>
      </c>
      <c r="D192" s="2">
        <v>3504</v>
      </c>
      <c r="E192" s="2">
        <v>1454.8</v>
      </c>
      <c r="F192" s="2">
        <v>3371.1</v>
      </c>
      <c r="G192" s="2">
        <v>3041.6</v>
      </c>
      <c r="I192" s="2"/>
      <c r="J192" s="2"/>
      <c r="L192" s="3"/>
      <c r="M192" s="3"/>
      <c r="N192" s="2"/>
      <c r="P192" s="3"/>
      <c r="Q192" s="1">
        <v>45813</v>
      </c>
      <c r="R192" s="7">
        <f t="shared" si="20"/>
        <v>-5.6071637793958518E-3</v>
      </c>
      <c r="S192" s="7">
        <f t="shared" si="21"/>
        <v>-1.5702688277760668E-2</v>
      </c>
      <c r="T192" s="7">
        <f t="shared" si="22"/>
        <v>-3.356854148112709E-3</v>
      </c>
      <c r="U192" s="7">
        <f t="shared" si="23"/>
        <v>-3.8709296140889693E-3</v>
      </c>
      <c r="V192" s="7">
        <f t="shared" si="24"/>
        <v>-2.0891678738129804E-2</v>
      </c>
      <c r="Y192" s="1">
        <v>45824</v>
      </c>
      <c r="Z192" s="7">
        <f t="shared" si="25"/>
        <v>2.5453675500314798E-3</v>
      </c>
    </row>
    <row r="193" spans="2:26" x14ac:dyDescent="0.3">
      <c r="B193" s="1">
        <v>45812</v>
      </c>
      <c r="C193" s="2">
        <v>2364.5</v>
      </c>
      <c r="D193" s="2">
        <v>3499.8</v>
      </c>
      <c r="E193" s="2">
        <v>1431</v>
      </c>
      <c r="F193" s="2">
        <v>3380.9</v>
      </c>
      <c r="G193" s="2">
        <v>3053.4</v>
      </c>
      <c r="I193" s="2"/>
      <c r="J193" s="2"/>
      <c r="L193" s="3"/>
      <c r="M193" s="3"/>
      <c r="N193" s="2"/>
      <c r="P193" s="3"/>
      <c r="Q193" s="1">
        <v>45812</v>
      </c>
      <c r="R193" s="7">
        <f t="shared" si="20"/>
        <v>-5.007574482410404E-3</v>
      </c>
      <c r="S193" s="7">
        <f t="shared" si="21"/>
        <v>-1.1986301369862895E-3</v>
      </c>
      <c r="T193" s="7">
        <f t="shared" si="22"/>
        <v>-1.6359637063513843E-2</v>
      </c>
      <c r="U193" s="7">
        <f t="shared" si="23"/>
        <v>2.9070629764764711E-3</v>
      </c>
      <c r="V193" s="7">
        <f t="shared" si="24"/>
        <v>3.8795370857445111E-3</v>
      </c>
      <c r="Y193" s="1">
        <v>45821</v>
      </c>
      <c r="Z193" s="7">
        <f t="shared" si="25"/>
        <v>-7.4665855565062E-3</v>
      </c>
    </row>
    <row r="194" spans="2:26" x14ac:dyDescent="0.3">
      <c r="B194" s="1">
        <v>45811</v>
      </c>
      <c r="C194" s="2">
        <v>2352.3000000000002</v>
      </c>
      <c r="D194" s="2">
        <v>3519.8</v>
      </c>
      <c r="E194" s="2">
        <v>1437.9</v>
      </c>
      <c r="F194" s="2">
        <v>3405.2</v>
      </c>
      <c r="G194" s="2">
        <v>3046.5</v>
      </c>
      <c r="I194" s="2"/>
      <c r="J194" s="2"/>
      <c r="L194" s="3"/>
      <c r="M194" s="3"/>
      <c r="N194" s="2"/>
      <c r="P194" s="3"/>
      <c r="Q194" s="1">
        <v>45811</v>
      </c>
      <c r="R194" s="7">
        <f t="shared" si="20"/>
        <v>-5.1596532036370935E-3</v>
      </c>
      <c r="S194" s="7">
        <f t="shared" si="21"/>
        <v>5.71461226355785E-3</v>
      </c>
      <c r="T194" s="7">
        <f t="shared" si="22"/>
        <v>4.8218029350104441E-3</v>
      </c>
      <c r="U194" s="7">
        <f t="shared" si="23"/>
        <v>7.1874352982932432E-3</v>
      </c>
      <c r="V194" s="7">
        <f t="shared" si="24"/>
        <v>-2.2597759874238843E-3</v>
      </c>
      <c r="Y194" s="1">
        <v>45820</v>
      </c>
      <c r="Z194" s="7">
        <f t="shared" si="25"/>
        <v>4.8358227877759894E-3</v>
      </c>
    </row>
    <row r="195" spans="2:26" x14ac:dyDescent="0.3">
      <c r="B195" s="1">
        <v>45810</v>
      </c>
      <c r="C195" s="2">
        <v>2371.6</v>
      </c>
      <c r="D195" s="2">
        <v>3525.5</v>
      </c>
      <c r="E195" s="2">
        <v>1450.5</v>
      </c>
      <c r="F195" s="2">
        <v>3449.8</v>
      </c>
      <c r="G195" s="2">
        <v>3025.9</v>
      </c>
      <c r="I195" s="2"/>
      <c r="J195" s="2"/>
      <c r="L195" s="3"/>
      <c r="M195" s="3"/>
      <c r="N195" s="2"/>
      <c r="P195" s="3"/>
      <c r="Q195" s="1">
        <v>45810</v>
      </c>
      <c r="R195" s="7">
        <f t="shared" si="20"/>
        <v>8.2047357905028484E-3</v>
      </c>
      <c r="S195" s="7">
        <f t="shared" si="21"/>
        <v>1.619410193760995E-3</v>
      </c>
      <c r="T195" s="7">
        <f t="shared" si="22"/>
        <v>8.76277905278533E-3</v>
      </c>
      <c r="U195" s="7">
        <f t="shared" si="23"/>
        <v>1.3097615411723273E-2</v>
      </c>
      <c r="V195" s="7">
        <f t="shared" si="24"/>
        <v>-6.7618578696865272E-3</v>
      </c>
      <c r="Y195" s="1">
        <v>45819</v>
      </c>
      <c r="Z195" s="7">
        <f t="shared" si="25"/>
        <v>1.4700446780921639E-2</v>
      </c>
    </row>
    <row r="196" spans="2:26" x14ac:dyDescent="0.3">
      <c r="B196" s="1">
        <v>45807</v>
      </c>
      <c r="C196" s="2">
        <v>2348.3000000000002</v>
      </c>
      <c r="D196" s="2">
        <v>3555</v>
      </c>
      <c r="E196" s="2">
        <v>1445.8</v>
      </c>
      <c r="F196" s="2">
        <v>3463.4</v>
      </c>
      <c r="G196" s="2">
        <v>2976.8</v>
      </c>
      <c r="I196" s="2"/>
      <c r="J196" s="2"/>
      <c r="L196" s="3"/>
      <c r="M196" s="3"/>
      <c r="N196" s="2"/>
      <c r="P196" s="3"/>
      <c r="Q196" s="1">
        <v>45807</v>
      </c>
      <c r="R196" s="7">
        <f t="shared" si="20"/>
        <v>-9.8245909934220332E-3</v>
      </c>
      <c r="S196" s="7">
        <f t="shared" si="21"/>
        <v>8.3676074315699456E-3</v>
      </c>
      <c r="T196" s="7">
        <f t="shared" si="22"/>
        <v>-3.240261978628145E-3</v>
      </c>
      <c r="U196" s="7">
        <f t="shared" si="23"/>
        <v>3.942257522175252E-3</v>
      </c>
      <c r="V196" s="7">
        <f t="shared" si="24"/>
        <v>-1.6226577216695848E-2</v>
      </c>
      <c r="Y196" s="1">
        <v>45818</v>
      </c>
      <c r="Z196" s="7">
        <f t="shared" si="25"/>
        <v>-2.6866248709561669E-3</v>
      </c>
    </row>
    <row r="197" spans="2:26" x14ac:dyDescent="0.3">
      <c r="B197" s="1">
        <v>45806</v>
      </c>
      <c r="C197" s="2">
        <v>2366.6999999999998</v>
      </c>
      <c r="D197" s="2">
        <v>3588.3</v>
      </c>
      <c r="E197" s="2">
        <v>1456.5</v>
      </c>
      <c r="F197" s="2">
        <v>3498.1</v>
      </c>
      <c r="G197" s="2">
        <v>3009</v>
      </c>
      <c r="I197" s="2"/>
      <c r="J197" s="2"/>
      <c r="L197" s="3"/>
      <c r="M197" s="3"/>
      <c r="N197" s="2"/>
      <c r="P197" s="3"/>
      <c r="Q197" s="1">
        <v>45806</v>
      </c>
      <c r="R197" s="7">
        <f t="shared" si="20"/>
        <v>7.8354554358470718E-3</v>
      </c>
      <c r="S197" s="7">
        <f t="shared" si="21"/>
        <v>9.3670886075949422E-3</v>
      </c>
      <c r="T197" s="7">
        <f t="shared" si="22"/>
        <v>7.4007469912851231E-3</v>
      </c>
      <c r="U197" s="7">
        <f t="shared" si="23"/>
        <v>1.0019056418548278E-2</v>
      </c>
      <c r="V197" s="7">
        <f t="shared" si="24"/>
        <v>1.0816984681537134E-2</v>
      </c>
      <c r="Y197" s="1">
        <v>45817</v>
      </c>
      <c r="Z197" s="7">
        <f t="shared" si="25"/>
        <v>1.3525887633359323E-3</v>
      </c>
    </row>
    <row r="198" spans="2:26" x14ac:dyDescent="0.3">
      <c r="B198" s="1">
        <v>45805</v>
      </c>
      <c r="C198" s="2">
        <v>2362</v>
      </c>
      <c r="D198" s="2">
        <v>3574.7</v>
      </c>
      <c r="E198" s="2">
        <v>1453.8</v>
      </c>
      <c r="F198" s="2">
        <v>3497.7</v>
      </c>
      <c r="G198" s="2">
        <v>2997.8</v>
      </c>
      <c r="I198" s="2"/>
      <c r="J198" s="2"/>
      <c r="L198" s="3"/>
      <c r="M198" s="3"/>
      <c r="N198" s="2"/>
      <c r="P198" s="3"/>
      <c r="Q198" s="1">
        <v>45805</v>
      </c>
      <c r="R198" s="7">
        <f t="shared" si="20"/>
        <v>-1.9858875227108941E-3</v>
      </c>
      <c r="S198" s="7">
        <f t="shared" si="21"/>
        <v>-3.7900955884403453E-3</v>
      </c>
      <c r="T198" s="7">
        <f t="shared" si="22"/>
        <v>-1.8537590113285596E-3</v>
      </c>
      <c r="U198" s="7">
        <f t="shared" si="23"/>
        <v>-1.1434778879970686E-4</v>
      </c>
      <c r="V198" s="7">
        <f t="shared" si="24"/>
        <v>-3.7221668328347723E-3</v>
      </c>
      <c r="Y198" s="1">
        <v>45814</v>
      </c>
      <c r="Z198" s="7">
        <f t="shared" si="25"/>
        <v>5.2477136880855037E-3</v>
      </c>
    </row>
    <row r="199" spans="2:26" x14ac:dyDescent="0.3">
      <c r="B199" s="1">
        <v>45804</v>
      </c>
      <c r="C199" s="2">
        <v>2380.1999999999998</v>
      </c>
      <c r="D199" s="2">
        <v>3589.4</v>
      </c>
      <c r="E199" s="2">
        <v>1446.4</v>
      </c>
      <c r="F199" s="2">
        <v>3498.7</v>
      </c>
      <c r="G199" s="2">
        <v>3039.8</v>
      </c>
      <c r="I199" s="2"/>
      <c r="J199" s="2"/>
      <c r="L199" s="3"/>
      <c r="M199" s="3"/>
      <c r="N199" s="2"/>
      <c r="P199" s="3"/>
      <c r="Q199" s="1">
        <v>45804</v>
      </c>
      <c r="R199" s="7">
        <f t="shared" ref="R199:R251" si="26">C199/C198-1</f>
        <v>7.7053344623199127E-3</v>
      </c>
      <c r="S199" s="7">
        <f t="shared" ref="S199:S251" si="27">D199/D198-1</f>
        <v>4.1122331943939106E-3</v>
      </c>
      <c r="T199" s="7">
        <f t="shared" ref="T199:T251" si="28">E199/E198-1</f>
        <v>-5.0901086806988127E-3</v>
      </c>
      <c r="U199" s="7">
        <f t="shared" ref="U199:U251" si="29">F199/F198-1</f>
        <v>2.8590216427937243E-4</v>
      </c>
      <c r="V199" s="7">
        <f t="shared" ref="V199:V251" si="30">G199/G198-1</f>
        <v>1.4010274201080808E-2</v>
      </c>
      <c r="Y199" s="1">
        <v>45813</v>
      </c>
      <c r="Z199" s="7">
        <f t="shared" si="25"/>
        <v>-8.6371566774141317E-3</v>
      </c>
    </row>
    <row r="200" spans="2:26" x14ac:dyDescent="0.3">
      <c r="B200" s="1">
        <v>45803</v>
      </c>
      <c r="C200" s="2">
        <v>2394.1</v>
      </c>
      <c r="D200" s="2">
        <v>3610.3</v>
      </c>
      <c r="E200" s="2">
        <v>1460.6</v>
      </c>
      <c r="F200" s="2">
        <v>3537.3</v>
      </c>
      <c r="G200" s="2">
        <v>3080.2</v>
      </c>
      <c r="I200" s="2"/>
      <c r="J200" s="2"/>
      <c r="L200" s="3"/>
      <c r="M200" s="3"/>
      <c r="N200" s="2"/>
      <c r="P200" s="3"/>
      <c r="Q200" s="1">
        <v>45803</v>
      </c>
      <c r="R200" s="7">
        <f t="shared" si="26"/>
        <v>5.8398453911436832E-3</v>
      </c>
      <c r="S200" s="7">
        <f t="shared" si="27"/>
        <v>5.8227001727308991E-3</v>
      </c>
      <c r="T200" s="7">
        <f t="shared" si="28"/>
        <v>9.8174778761059844E-3</v>
      </c>
      <c r="U200" s="7">
        <f t="shared" si="29"/>
        <v>1.103266927716029E-2</v>
      </c>
      <c r="V200" s="7">
        <f t="shared" si="30"/>
        <v>1.3290348049213696E-2</v>
      </c>
      <c r="Y200" s="1">
        <v>45812</v>
      </c>
      <c r="Z200" s="7">
        <f t="shared" si="25"/>
        <v>-4.989318521792541E-3</v>
      </c>
    </row>
    <row r="201" spans="2:26" x14ac:dyDescent="0.3">
      <c r="B201" s="1">
        <v>45800</v>
      </c>
      <c r="C201" s="2">
        <v>2359.1999999999998</v>
      </c>
      <c r="D201" s="2">
        <v>3579.7</v>
      </c>
      <c r="E201" s="2">
        <v>1449.8</v>
      </c>
      <c r="F201" s="2">
        <v>3514.6</v>
      </c>
      <c r="G201" s="2">
        <v>3012.7</v>
      </c>
      <c r="I201" s="2"/>
      <c r="J201" s="2"/>
      <c r="L201" s="3"/>
      <c r="M201" s="3"/>
      <c r="N201" s="2"/>
      <c r="P201" s="3"/>
      <c r="Q201" s="1">
        <v>45800</v>
      </c>
      <c r="R201" s="7">
        <f t="shared" si="26"/>
        <v>-1.4577503028277872E-2</v>
      </c>
      <c r="S201" s="7">
        <f t="shared" si="27"/>
        <v>-8.4757499376784118E-3</v>
      </c>
      <c r="T201" s="7">
        <f t="shared" si="28"/>
        <v>-7.3942215527864619E-3</v>
      </c>
      <c r="U201" s="7">
        <f t="shared" si="29"/>
        <v>-6.4173239476437161E-3</v>
      </c>
      <c r="V201" s="7">
        <f t="shared" si="30"/>
        <v>-2.1914161418089773E-2</v>
      </c>
      <c r="Y201" s="1">
        <v>45811</v>
      </c>
      <c r="Z201" s="7">
        <f t="shared" si="25"/>
        <v>3.3127554267632919E-3</v>
      </c>
    </row>
    <row r="202" spans="2:26" x14ac:dyDescent="0.3">
      <c r="B202" s="1">
        <v>45799</v>
      </c>
      <c r="C202" s="2">
        <v>2330.6999999999998</v>
      </c>
      <c r="D202" s="2">
        <v>3541</v>
      </c>
      <c r="E202" s="2">
        <v>1442.1</v>
      </c>
      <c r="F202" s="2">
        <v>3477</v>
      </c>
      <c r="G202" s="2">
        <v>3006.3</v>
      </c>
      <c r="I202" s="2"/>
      <c r="J202" s="2"/>
      <c r="L202" s="3"/>
      <c r="M202" s="3"/>
      <c r="N202" s="2"/>
      <c r="P202" s="3"/>
      <c r="Q202" s="1">
        <v>45799</v>
      </c>
      <c r="R202" s="7">
        <f t="shared" si="26"/>
        <v>-1.2080366225839301E-2</v>
      </c>
      <c r="S202" s="7">
        <f t="shared" si="27"/>
        <v>-1.0810961812442343E-2</v>
      </c>
      <c r="T202" s="7">
        <f t="shared" si="28"/>
        <v>-5.3110773899848196E-3</v>
      </c>
      <c r="U202" s="7">
        <f t="shared" si="29"/>
        <v>-1.069823023957206E-2</v>
      </c>
      <c r="V202" s="7">
        <f t="shared" si="30"/>
        <v>-2.1243402927605404E-3</v>
      </c>
      <c r="Y202" s="1">
        <v>45810</v>
      </c>
      <c r="Z202" s="7">
        <f t="shared" si="25"/>
        <v>6.2077339282272772E-3</v>
      </c>
    </row>
    <row r="203" spans="2:26" x14ac:dyDescent="0.3">
      <c r="B203" s="1">
        <v>45798</v>
      </c>
      <c r="C203" s="2">
        <v>2363.9</v>
      </c>
      <c r="D203" s="2">
        <v>3580.5</v>
      </c>
      <c r="E203" s="2">
        <v>1444.7</v>
      </c>
      <c r="F203" s="2">
        <v>3525.8</v>
      </c>
      <c r="G203" s="2">
        <v>3090.7</v>
      </c>
      <c r="I203" s="2"/>
      <c r="J203" s="2"/>
      <c r="L203" s="3"/>
      <c r="M203" s="3"/>
      <c r="N203" s="2"/>
      <c r="P203" s="3"/>
      <c r="Q203" s="1">
        <v>45798</v>
      </c>
      <c r="R203" s="7">
        <f t="shared" si="26"/>
        <v>1.4244647530784915E-2</v>
      </c>
      <c r="S203" s="7">
        <f t="shared" si="27"/>
        <v>1.1155040948884531E-2</v>
      </c>
      <c r="T203" s="7">
        <f t="shared" si="28"/>
        <v>1.8029262880523422E-3</v>
      </c>
      <c r="U203" s="7">
        <f t="shared" si="29"/>
        <v>1.4035087719298289E-2</v>
      </c>
      <c r="V203" s="7">
        <f t="shared" si="30"/>
        <v>2.8074377141336315E-2</v>
      </c>
      <c r="Y203" s="1">
        <v>45807</v>
      </c>
      <c r="Z203" s="7">
        <f t="shared" si="25"/>
        <v>-1.1880716019437964E-3</v>
      </c>
    </row>
    <row r="204" spans="2:26" x14ac:dyDescent="0.3">
      <c r="B204" s="1">
        <v>45797</v>
      </c>
      <c r="C204" s="2">
        <v>2341.1</v>
      </c>
      <c r="D204" s="2">
        <v>3580.6</v>
      </c>
      <c r="E204" s="2">
        <v>1438.2</v>
      </c>
      <c r="F204" s="2">
        <v>3498.3</v>
      </c>
      <c r="G204" s="2">
        <v>3063.5</v>
      </c>
      <c r="I204" s="2"/>
      <c r="J204" s="2"/>
      <c r="L204" s="3"/>
      <c r="M204" s="3"/>
      <c r="N204" s="2"/>
      <c r="P204" s="3"/>
      <c r="Q204" s="1">
        <v>45797</v>
      </c>
      <c r="R204" s="7">
        <f t="shared" si="26"/>
        <v>-9.6450780489869548E-3</v>
      </c>
      <c r="S204" s="7">
        <f t="shared" si="27"/>
        <v>2.792906018700414E-5</v>
      </c>
      <c r="T204" s="7">
        <f t="shared" si="28"/>
        <v>-4.4992039869868883E-3</v>
      </c>
      <c r="U204" s="7">
        <f t="shared" si="29"/>
        <v>-7.7996483067672706E-3</v>
      </c>
      <c r="V204" s="7">
        <f t="shared" si="30"/>
        <v>-8.8005953343902599E-3</v>
      </c>
      <c r="Y204" s="1">
        <v>45806</v>
      </c>
      <c r="Z204" s="7">
        <f t="shared" si="25"/>
        <v>8.8228243165247022E-3</v>
      </c>
    </row>
    <row r="205" spans="2:26" x14ac:dyDescent="0.3">
      <c r="B205" s="1">
        <v>45796</v>
      </c>
      <c r="C205" s="2">
        <v>2382.6999999999998</v>
      </c>
      <c r="D205" s="2">
        <v>3617.7</v>
      </c>
      <c r="E205" s="2">
        <v>1449</v>
      </c>
      <c r="F205" s="2">
        <v>3518.8</v>
      </c>
      <c r="G205" s="2">
        <v>3128</v>
      </c>
      <c r="I205" s="2"/>
      <c r="J205" s="2"/>
      <c r="L205" s="3"/>
      <c r="M205" s="3"/>
      <c r="N205" s="2"/>
      <c r="P205" s="3"/>
      <c r="Q205" s="1">
        <v>45796</v>
      </c>
      <c r="R205" s="7">
        <f t="shared" si="26"/>
        <v>1.776942462944775E-2</v>
      </c>
      <c r="S205" s="7">
        <f t="shared" si="27"/>
        <v>1.0361391945483911E-2</v>
      </c>
      <c r="T205" s="7">
        <f t="shared" si="28"/>
        <v>7.509386733416834E-3</v>
      </c>
      <c r="U205" s="7">
        <f t="shared" si="29"/>
        <v>5.859989137581012E-3</v>
      </c>
      <c r="V205" s="7">
        <f t="shared" si="30"/>
        <v>2.1054349600130529E-2</v>
      </c>
      <c r="Y205" s="1">
        <v>45805</v>
      </c>
      <c r="Z205" s="7">
        <f t="shared" ref="Z205:Z258" si="31">(R198*$Z$5+S198*$AA$5+T198*$AB$5+U198*$AC$5+V198*$AD$5)</f>
        <v>-2.1966209699587069E-3</v>
      </c>
    </row>
    <row r="206" spans="2:26" x14ac:dyDescent="0.3">
      <c r="B206" s="1">
        <v>45793</v>
      </c>
      <c r="C206" s="2">
        <v>2381.4</v>
      </c>
      <c r="D206" s="2">
        <v>3633.7</v>
      </c>
      <c r="E206" s="2">
        <v>1454</v>
      </c>
      <c r="F206" s="2">
        <v>3561.3</v>
      </c>
      <c r="G206" s="2">
        <v>3135.6</v>
      </c>
      <c r="I206" s="2"/>
      <c r="J206" s="2"/>
      <c r="L206" s="3"/>
      <c r="M206" s="3"/>
      <c r="N206" s="2"/>
      <c r="P206" s="3"/>
      <c r="Q206" s="1">
        <v>45793</v>
      </c>
      <c r="R206" s="7">
        <f t="shared" si="26"/>
        <v>-5.45599529944929E-4</v>
      </c>
      <c r="S206" s="7">
        <f t="shared" si="27"/>
        <v>4.42269950521057E-3</v>
      </c>
      <c r="T206" s="7">
        <f t="shared" si="28"/>
        <v>3.4506556245685882E-3</v>
      </c>
      <c r="U206" s="7">
        <f t="shared" si="29"/>
        <v>1.2077981129930748E-2</v>
      </c>
      <c r="V206" s="7">
        <f t="shared" si="30"/>
        <v>2.4296675191814998E-3</v>
      </c>
      <c r="Y206" s="1">
        <v>45804</v>
      </c>
      <c r="Z206" s="7">
        <f t="shared" si="31"/>
        <v>2.1150337167007761E-3</v>
      </c>
    </row>
    <row r="207" spans="2:26" x14ac:dyDescent="0.3">
      <c r="B207" s="1">
        <v>45792</v>
      </c>
      <c r="C207" s="2">
        <v>2355.1999999999998</v>
      </c>
      <c r="D207" s="2">
        <v>3636.8</v>
      </c>
      <c r="E207" s="2">
        <v>1450.8</v>
      </c>
      <c r="F207" s="2">
        <v>3579.9</v>
      </c>
      <c r="G207" s="2">
        <v>3144.3</v>
      </c>
      <c r="I207" s="2"/>
      <c r="J207" s="2"/>
      <c r="L207" s="3"/>
      <c r="M207" s="3"/>
      <c r="N207" s="2"/>
      <c r="P207" s="3"/>
      <c r="Q207" s="1">
        <v>45792</v>
      </c>
      <c r="R207" s="7">
        <f t="shared" si="26"/>
        <v>-1.1001931636852369E-2</v>
      </c>
      <c r="S207" s="7">
        <f t="shared" si="27"/>
        <v>8.5312491399958112E-4</v>
      </c>
      <c r="T207" s="7">
        <f t="shared" si="28"/>
        <v>-2.2008253094910613E-3</v>
      </c>
      <c r="U207" s="7">
        <f t="shared" si="29"/>
        <v>5.2228118945327751E-3</v>
      </c>
      <c r="V207" s="7">
        <f t="shared" si="30"/>
        <v>2.7745885954841842E-3</v>
      </c>
      <c r="Y207" s="1">
        <v>45803</v>
      </c>
      <c r="Z207" s="7">
        <f t="shared" si="31"/>
        <v>8.8124638750395022E-3</v>
      </c>
    </row>
    <row r="208" spans="2:26" x14ac:dyDescent="0.3">
      <c r="B208" s="1">
        <v>45791</v>
      </c>
      <c r="C208" s="2">
        <v>2350.5</v>
      </c>
      <c r="D208" s="2">
        <v>3587.6</v>
      </c>
      <c r="E208" s="2">
        <v>1426.2</v>
      </c>
      <c r="F208" s="2">
        <v>3548.7</v>
      </c>
      <c r="G208" s="2">
        <v>3101.8</v>
      </c>
      <c r="I208" s="2"/>
      <c r="J208" s="2"/>
      <c r="L208" s="3"/>
      <c r="M208" s="3"/>
      <c r="N208" s="2"/>
      <c r="P208" s="3"/>
      <c r="Q208" s="1">
        <v>45791</v>
      </c>
      <c r="R208" s="7">
        <f t="shared" si="26"/>
        <v>-1.9955842391303769E-3</v>
      </c>
      <c r="S208" s="7">
        <f t="shared" si="27"/>
        <v>-1.3528376594808655E-2</v>
      </c>
      <c r="T208" s="7">
        <f t="shared" si="28"/>
        <v>-1.6956162117452322E-2</v>
      </c>
      <c r="U208" s="7">
        <f t="shared" si="29"/>
        <v>-8.7153272437778817E-3</v>
      </c>
      <c r="V208" s="7">
        <f t="shared" si="30"/>
        <v>-1.3516521960372785E-2</v>
      </c>
      <c r="Y208" s="1">
        <v>45800</v>
      </c>
      <c r="Z208" s="7">
        <f t="shared" si="31"/>
        <v>-9.9987103358349424E-3</v>
      </c>
    </row>
    <row r="209" spans="2:26" x14ac:dyDescent="0.3">
      <c r="B209" s="1">
        <v>45790</v>
      </c>
      <c r="C209" s="2">
        <v>2360</v>
      </c>
      <c r="D209" s="2">
        <v>3563.2</v>
      </c>
      <c r="E209" s="2">
        <v>1430.6</v>
      </c>
      <c r="F209" s="2">
        <v>3515</v>
      </c>
      <c r="G209" s="2">
        <v>3053.8</v>
      </c>
      <c r="I209" s="2"/>
      <c r="J209" s="2"/>
      <c r="L209" s="3"/>
      <c r="M209" s="3"/>
      <c r="N209" s="2"/>
      <c r="P209" s="3"/>
      <c r="Q209" s="1">
        <v>45790</v>
      </c>
      <c r="R209" s="7">
        <f t="shared" si="26"/>
        <v>4.0416932567539643E-3</v>
      </c>
      <c r="S209" s="7">
        <f t="shared" si="27"/>
        <v>-6.8012041476196439E-3</v>
      </c>
      <c r="T209" s="7">
        <f t="shared" si="28"/>
        <v>3.085121301360072E-3</v>
      </c>
      <c r="U209" s="7">
        <f t="shared" si="29"/>
        <v>-9.4964353143404123E-3</v>
      </c>
      <c r="V209" s="7">
        <f t="shared" si="30"/>
        <v>-1.5474885550325612E-2</v>
      </c>
      <c r="Y209" s="1">
        <v>45799</v>
      </c>
      <c r="Z209" s="7">
        <f t="shared" si="31"/>
        <v>-8.4601986811723932E-3</v>
      </c>
    </row>
    <row r="210" spans="2:26" x14ac:dyDescent="0.3">
      <c r="B210" s="1">
        <v>45789</v>
      </c>
      <c r="C210" s="2">
        <v>2382.5</v>
      </c>
      <c r="D210" s="2">
        <v>3562.9</v>
      </c>
      <c r="E210" s="2">
        <v>1448.5</v>
      </c>
      <c r="F210" s="2">
        <v>3620.4</v>
      </c>
      <c r="G210" s="2">
        <v>3104.7</v>
      </c>
      <c r="I210" s="2"/>
      <c r="J210" s="2"/>
      <c r="L210" s="3"/>
      <c r="M210" s="3"/>
      <c r="N210" s="2"/>
      <c r="P210" s="3"/>
      <c r="Q210" s="1">
        <v>45789</v>
      </c>
      <c r="R210" s="7">
        <f t="shared" si="26"/>
        <v>9.5338983050847759E-3</v>
      </c>
      <c r="S210" s="7">
        <f t="shared" si="27"/>
        <v>-8.4193982936575651E-5</v>
      </c>
      <c r="T210" s="7">
        <f t="shared" si="28"/>
        <v>1.2512232629665831E-2</v>
      </c>
      <c r="U210" s="7">
        <f t="shared" si="29"/>
        <v>2.99857752489332E-2</v>
      </c>
      <c r="V210" s="7">
        <f t="shared" si="30"/>
        <v>1.6667758202894678E-2</v>
      </c>
      <c r="Y210" s="1">
        <v>45798</v>
      </c>
      <c r="Z210" s="7">
        <f t="shared" si="31"/>
        <v>1.1080790511247862E-2</v>
      </c>
    </row>
    <row r="211" spans="2:26" x14ac:dyDescent="0.3">
      <c r="B211" s="1">
        <v>45786</v>
      </c>
      <c r="C211" s="2">
        <v>2332.9</v>
      </c>
      <c r="D211" s="2">
        <v>3510.3</v>
      </c>
      <c r="E211" s="2">
        <v>1388.9</v>
      </c>
      <c r="F211" s="2">
        <v>3440.3</v>
      </c>
      <c r="G211" s="2">
        <v>2982.1</v>
      </c>
      <c r="I211" s="2"/>
      <c r="J211" s="2"/>
      <c r="L211" s="3"/>
      <c r="M211" s="3"/>
      <c r="N211" s="2"/>
      <c r="P211" s="3"/>
      <c r="Q211" s="1">
        <v>45786</v>
      </c>
      <c r="R211" s="7">
        <f t="shared" si="26"/>
        <v>-2.081846799580267E-2</v>
      </c>
      <c r="S211" s="7">
        <f t="shared" si="27"/>
        <v>-1.4763254652109259E-2</v>
      </c>
      <c r="T211" s="7">
        <f t="shared" si="28"/>
        <v>-4.1146013117017488E-2</v>
      </c>
      <c r="U211" s="7">
        <f t="shared" si="29"/>
        <v>-4.9745884432659371E-2</v>
      </c>
      <c r="V211" s="7">
        <f t="shared" si="30"/>
        <v>-3.948851740908943E-2</v>
      </c>
      <c r="Y211" s="1">
        <v>45797</v>
      </c>
      <c r="Z211" s="7">
        <f t="shared" si="31"/>
        <v>-5.2295298331898393E-3</v>
      </c>
    </row>
    <row r="212" spans="2:26" x14ac:dyDescent="0.3">
      <c r="B212" s="1">
        <v>45785</v>
      </c>
      <c r="C212" s="2">
        <v>2354.9</v>
      </c>
      <c r="D212" s="2">
        <v>3369.3</v>
      </c>
      <c r="E212" s="2">
        <v>1435.5</v>
      </c>
      <c r="F212" s="2">
        <v>3448.9</v>
      </c>
      <c r="G212" s="2">
        <v>3033.1</v>
      </c>
      <c r="I212" s="2"/>
      <c r="J212" s="2"/>
      <c r="L212" s="3"/>
      <c r="M212" s="3"/>
      <c r="N212" s="2"/>
      <c r="P212" s="3"/>
      <c r="Q212" s="1">
        <v>45785</v>
      </c>
      <c r="R212" s="7">
        <f t="shared" si="26"/>
        <v>9.4303227742293938E-3</v>
      </c>
      <c r="S212" s="7">
        <f t="shared" si="27"/>
        <v>-4.0167507050679396E-2</v>
      </c>
      <c r="T212" s="7">
        <f t="shared" si="28"/>
        <v>3.3551731586147326E-2</v>
      </c>
      <c r="U212" s="7">
        <f t="shared" si="29"/>
        <v>2.4997819957561784E-3</v>
      </c>
      <c r="V212" s="7">
        <f t="shared" si="30"/>
        <v>1.7102042185037414E-2</v>
      </c>
      <c r="Y212" s="1">
        <v>45796</v>
      </c>
      <c r="Z212" s="7">
        <f t="shared" si="31"/>
        <v>1.0786010488342447E-2</v>
      </c>
    </row>
    <row r="213" spans="2:26" x14ac:dyDescent="0.3">
      <c r="B213" s="1">
        <v>45784</v>
      </c>
      <c r="C213" s="2">
        <v>2370.8000000000002</v>
      </c>
      <c r="D213" s="2">
        <v>3338.9</v>
      </c>
      <c r="E213" s="2">
        <v>1435.4</v>
      </c>
      <c r="F213" s="2">
        <v>3445.1</v>
      </c>
      <c r="G213" s="2">
        <v>3119.9</v>
      </c>
      <c r="I213" s="2"/>
      <c r="J213" s="2"/>
      <c r="L213" s="3"/>
      <c r="M213" s="3"/>
      <c r="N213" s="2"/>
      <c r="P213" s="3"/>
      <c r="Q213" s="1">
        <v>45784</v>
      </c>
      <c r="R213" s="7">
        <f t="shared" si="26"/>
        <v>6.7518790606819756E-3</v>
      </c>
      <c r="S213" s="7">
        <f t="shared" si="27"/>
        <v>-9.02264565339983E-3</v>
      </c>
      <c r="T213" s="7">
        <f t="shared" si="28"/>
        <v>-6.9662138627579751E-5</v>
      </c>
      <c r="U213" s="7">
        <f t="shared" si="29"/>
        <v>-1.1018005740961456E-3</v>
      </c>
      <c r="V213" s="7">
        <f t="shared" si="30"/>
        <v>2.8617585968151449E-2</v>
      </c>
      <c r="Y213" s="1">
        <v>45793</v>
      </c>
      <c r="Z213" s="7">
        <f t="shared" si="31"/>
        <v>4.7175946120857791E-3</v>
      </c>
    </row>
    <row r="214" spans="2:26" x14ac:dyDescent="0.3">
      <c r="B214" s="1">
        <v>45783</v>
      </c>
      <c r="C214" s="2">
        <v>2381.8000000000002</v>
      </c>
      <c r="D214" s="2">
        <v>3299.3</v>
      </c>
      <c r="E214" s="2">
        <v>1431.6</v>
      </c>
      <c r="F214" s="2">
        <v>3460</v>
      </c>
      <c r="G214" s="2">
        <v>3068.4</v>
      </c>
      <c r="I214" s="2"/>
      <c r="J214" s="2"/>
      <c r="L214" s="3"/>
      <c r="M214" s="3"/>
      <c r="N214" s="2"/>
      <c r="P214" s="3"/>
      <c r="Q214" s="1">
        <v>45783</v>
      </c>
      <c r="R214" s="7">
        <f t="shared" si="26"/>
        <v>4.6397840391430023E-3</v>
      </c>
      <c r="S214" s="7">
        <f t="shared" si="27"/>
        <v>-1.1860193476893599E-2</v>
      </c>
      <c r="T214" s="7">
        <f t="shared" si="28"/>
        <v>-2.6473456876133783E-3</v>
      </c>
      <c r="U214" s="7">
        <f t="shared" si="29"/>
        <v>4.3249833096281609E-3</v>
      </c>
      <c r="V214" s="7">
        <f t="shared" si="30"/>
        <v>-1.6506939324978376E-2</v>
      </c>
      <c r="Y214" s="1">
        <v>45792</v>
      </c>
      <c r="Z214" s="7">
        <f t="shared" si="31"/>
        <v>-7.752348714203047E-4</v>
      </c>
    </row>
    <row r="215" spans="2:26" x14ac:dyDescent="0.3">
      <c r="B215" s="1">
        <v>45782</v>
      </c>
      <c r="C215" s="2">
        <v>2348.6</v>
      </c>
      <c r="D215" s="2">
        <v>3321.8</v>
      </c>
      <c r="E215" s="2">
        <v>1429.4</v>
      </c>
      <c r="F215" s="2">
        <v>3454.3</v>
      </c>
      <c r="G215" s="2">
        <v>3021.5</v>
      </c>
      <c r="I215" s="2"/>
      <c r="J215" s="2"/>
      <c r="L215" s="3"/>
      <c r="M215" s="3"/>
      <c r="N215" s="2"/>
      <c r="P215" s="3"/>
      <c r="Q215" s="1">
        <v>45782</v>
      </c>
      <c r="R215" s="7">
        <f t="shared" si="26"/>
        <v>-1.3939037702577983E-2</v>
      </c>
      <c r="S215" s="7">
        <f t="shared" si="27"/>
        <v>6.8196284060255685E-3</v>
      </c>
      <c r="T215" s="7">
        <f t="shared" si="28"/>
        <v>-1.5367421067336018E-3</v>
      </c>
      <c r="U215" s="7">
        <f t="shared" si="29"/>
        <v>-1.6473988439306142E-3</v>
      </c>
      <c r="V215" s="7">
        <f t="shared" si="30"/>
        <v>-1.5284839004041206E-2</v>
      </c>
      <c r="Y215" s="1">
        <v>45791</v>
      </c>
      <c r="Z215" s="7">
        <f t="shared" si="31"/>
        <v>-1.1862998064600271E-2</v>
      </c>
    </row>
    <row r="216" spans="2:26" x14ac:dyDescent="0.3">
      <c r="B216" s="1">
        <v>45779</v>
      </c>
      <c r="C216" s="2">
        <v>2323.9</v>
      </c>
      <c r="D216" s="2">
        <v>3341</v>
      </c>
      <c r="E216" s="2">
        <v>1432.4</v>
      </c>
      <c r="F216" s="2">
        <v>3444.7</v>
      </c>
      <c r="G216" s="2">
        <v>2926.2</v>
      </c>
      <c r="I216" s="2"/>
      <c r="J216" s="2"/>
      <c r="L216" s="3"/>
      <c r="M216" s="3"/>
      <c r="N216" s="2"/>
      <c r="P216" s="3"/>
      <c r="Q216" s="1">
        <v>45779</v>
      </c>
      <c r="R216" s="7">
        <f t="shared" si="26"/>
        <v>-1.0516903687302959E-2</v>
      </c>
      <c r="S216" s="7">
        <f t="shared" si="27"/>
        <v>5.7799987958335741E-3</v>
      </c>
      <c r="T216" s="7">
        <f t="shared" si="28"/>
        <v>2.0987827060305886E-3</v>
      </c>
      <c r="U216" s="7">
        <f t="shared" si="29"/>
        <v>-2.7791448339751224E-3</v>
      </c>
      <c r="V216" s="7">
        <f t="shared" si="30"/>
        <v>-3.154062551712733E-2</v>
      </c>
      <c r="Y216" s="1">
        <v>45790</v>
      </c>
      <c r="Z216" s="7">
        <f t="shared" si="31"/>
        <v>-3.6152862758844387E-3</v>
      </c>
    </row>
    <row r="217" spans="2:26" x14ac:dyDescent="0.3">
      <c r="B217" s="1">
        <v>45777</v>
      </c>
      <c r="C217" s="2">
        <v>2342.1</v>
      </c>
      <c r="D217" s="2">
        <v>3379.7</v>
      </c>
      <c r="E217" s="2">
        <v>1427</v>
      </c>
      <c r="F217" s="2">
        <v>3453.7</v>
      </c>
      <c r="G217" s="2">
        <v>2928.8</v>
      </c>
      <c r="I217" s="2"/>
      <c r="J217" s="2"/>
      <c r="L217" s="3"/>
      <c r="M217" s="3"/>
      <c r="N217" s="2"/>
      <c r="P217" s="3"/>
      <c r="Q217" s="1">
        <v>45777</v>
      </c>
      <c r="R217" s="7">
        <f t="shared" si="26"/>
        <v>7.8316622918368495E-3</v>
      </c>
      <c r="S217" s="7">
        <f t="shared" si="27"/>
        <v>1.1583358275965239E-2</v>
      </c>
      <c r="T217" s="7">
        <f t="shared" si="28"/>
        <v>-3.7698966769059705E-3</v>
      </c>
      <c r="U217" s="7">
        <f t="shared" si="29"/>
        <v>2.6127093796266543E-3</v>
      </c>
      <c r="V217" s="7">
        <f t="shared" si="30"/>
        <v>8.8852436607211871E-4</v>
      </c>
      <c r="Y217" s="1">
        <v>45789</v>
      </c>
      <c r="Z217" s="7">
        <f t="shared" si="31"/>
        <v>1.282663690900443E-2</v>
      </c>
    </row>
    <row r="218" spans="2:26" x14ac:dyDescent="0.3">
      <c r="B218" s="1">
        <v>45776</v>
      </c>
      <c r="C218" s="2">
        <v>2321.6999999999998</v>
      </c>
      <c r="D218" s="2">
        <v>3378.6</v>
      </c>
      <c r="E218" s="2">
        <v>1429.8</v>
      </c>
      <c r="F218" s="2">
        <v>3472.5</v>
      </c>
      <c r="G218" s="2">
        <v>2909.6</v>
      </c>
      <c r="I218" s="2"/>
      <c r="J218" s="2"/>
      <c r="L218" s="3"/>
      <c r="M218" s="3"/>
      <c r="N218" s="2"/>
      <c r="P218" s="3"/>
      <c r="Q218" s="1">
        <v>45776</v>
      </c>
      <c r="R218" s="7">
        <f t="shared" si="26"/>
        <v>-8.710131932880838E-3</v>
      </c>
      <c r="S218" s="7">
        <f t="shared" si="27"/>
        <v>-3.2547267508953315E-4</v>
      </c>
      <c r="T218" s="7">
        <f t="shared" si="28"/>
        <v>1.9621583742115423E-3</v>
      </c>
      <c r="U218" s="7">
        <f t="shared" si="29"/>
        <v>5.4434374728553614E-3</v>
      </c>
      <c r="V218" s="7">
        <f t="shared" si="30"/>
        <v>-6.5555859054904353E-3</v>
      </c>
      <c r="Y218" s="1">
        <v>45786</v>
      </c>
      <c r="Z218" s="7">
        <f t="shared" si="31"/>
        <v>-3.3055416424943779E-2</v>
      </c>
    </row>
    <row r="219" spans="2:26" x14ac:dyDescent="0.3">
      <c r="B219" s="1">
        <v>45775</v>
      </c>
      <c r="C219" s="2">
        <v>2318.6</v>
      </c>
      <c r="D219" s="2">
        <v>3369.1</v>
      </c>
      <c r="E219" s="2">
        <v>1428.8</v>
      </c>
      <c r="F219" s="2">
        <v>3443.5</v>
      </c>
      <c r="G219" s="2">
        <v>2930.6</v>
      </c>
      <c r="I219" s="2"/>
      <c r="J219" s="2"/>
      <c r="L219" s="3"/>
      <c r="M219" s="3"/>
      <c r="N219" s="2"/>
      <c r="P219" s="3"/>
      <c r="Q219" s="1">
        <v>45775</v>
      </c>
      <c r="R219" s="7">
        <f t="shared" si="26"/>
        <v>-1.3352284963603633E-3</v>
      </c>
      <c r="S219" s="7">
        <f t="shared" si="27"/>
        <v>-2.8118155449002868E-3</v>
      </c>
      <c r="T219" s="7">
        <f t="shared" si="28"/>
        <v>-6.9939851727518487E-4</v>
      </c>
      <c r="U219" s="7">
        <f t="shared" si="29"/>
        <v>-8.3513318934484992E-3</v>
      </c>
      <c r="V219" s="7">
        <f t="shared" si="30"/>
        <v>7.2174869397856334E-3</v>
      </c>
      <c r="Y219" s="1">
        <v>45785</v>
      </c>
      <c r="Z219" s="7">
        <f t="shared" si="31"/>
        <v>3.6483517469637354E-3</v>
      </c>
    </row>
    <row r="220" spans="2:26" x14ac:dyDescent="0.3">
      <c r="B220" s="1">
        <v>45772</v>
      </c>
      <c r="C220" s="2">
        <v>2332.1999999999998</v>
      </c>
      <c r="D220" s="2">
        <v>3365.2</v>
      </c>
      <c r="E220" s="2">
        <v>1404.8</v>
      </c>
      <c r="F220" s="2">
        <v>3448</v>
      </c>
      <c r="G220" s="2">
        <v>2864.2</v>
      </c>
      <c r="I220" s="2"/>
      <c r="J220" s="2"/>
      <c r="L220" s="3"/>
      <c r="M220" s="3"/>
      <c r="N220" s="2"/>
      <c r="P220" s="3"/>
      <c r="Q220" s="1">
        <v>45772</v>
      </c>
      <c r="R220" s="7">
        <f t="shared" si="26"/>
        <v>5.8656085568877803E-3</v>
      </c>
      <c r="S220" s="7">
        <f t="shared" si="27"/>
        <v>-1.157579175447454E-3</v>
      </c>
      <c r="T220" s="7">
        <f t="shared" si="28"/>
        <v>-1.6797312430011146E-2</v>
      </c>
      <c r="U220" s="7">
        <f t="shared" si="29"/>
        <v>1.3068099317554704E-3</v>
      </c>
      <c r="V220" s="7">
        <f t="shared" si="30"/>
        <v>-2.2657476284719924E-2</v>
      </c>
      <c r="Y220" s="1">
        <v>45784</v>
      </c>
      <c r="Z220" s="7">
        <f t="shared" si="31"/>
        <v>1.3776202861599807E-3</v>
      </c>
    </row>
    <row r="221" spans="2:26" x14ac:dyDescent="0.3">
      <c r="B221" s="1">
        <v>45771</v>
      </c>
      <c r="C221" s="2">
        <v>2325.3000000000002</v>
      </c>
      <c r="D221" s="2">
        <v>3382.6</v>
      </c>
      <c r="E221" s="2">
        <v>1402.7</v>
      </c>
      <c r="F221" s="2">
        <v>3401.6</v>
      </c>
      <c r="G221" s="2">
        <v>2901.4</v>
      </c>
      <c r="I221" s="2"/>
      <c r="J221" s="2"/>
      <c r="L221" s="3"/>
      <c r="M221" s="3"/>
      <c r="N221" s="2"/>
      <c r="P221" s="3"/>
      <c r="Q221" s="1">
        <v>45771</v>
      </c>
      <c r="R221" s="7">
        <f t="shared" si="26"/>
        <v>-2.9585798816565978E-3</v>
      </c>
      <c r="S221" s="7">
        <f t="shared" si="27"/>
        <v>5.1705693569477074E-3</v>
      </c>
      <c r="T221" s="7">
        <f t="shared" si="28"/>
        <v>-1.4948747152618846E-3</v>
      </c>
      <c r="U221" s="7">
        <f t="shared" si="29"/>
        <v>-1.345707656612527E-2</v>
      </c>
      <c r="V221" s="7">
        <f t="shared" si="30"/>
        <v>1.2987919838000295E-2</v>
      </c>
      <c r="Y221" s="1">
        <v>45783</v>
      </c>
      <c r="Z221" s="7">
        <f t="shared" si="31"/>
        <v>-3.8489817402081682E-3</v>
      </c>
    </row>
    <row r="222" spans="2:26" x14ac:dyDescent="0.3">
      <c r="B222" s="1">
        <v>45770</v>
      </c>
      <c r="C222" s="2">
        <v>2423.8000000000002</v>
      </c>
      <c r="D222" s="2">
        <v>3357.3</v>
      </c>
      <c r="E222" s="2">
        <v>1424.4</v>
      </c>
      <c r="F222" s="2">
        <v>3413</v>
      </c>
      <c r="G222" s="2">
        <v>2917.8</v>
      </c>
      <c r="I222" s="2"/>
      <c r="J222" s="2"/>
      <c r="L222" s="3"/>
      <c r="M222" s="3"/>
      <c r="N222" s="2"/>
      <c r="P222" s="3"/>
      <c r="Q222" s="1">
        <v>45770</v>
      </c>
      <c r="R222" s="7">
        <f t="shared" si="26"/>
        <v>4.236012557519464E-2</v>
      </c>
      <c r="S222" s="7">
        <f t="shared" si="27"/>
        <v>-7.4794536746880524E-3</v>
      </c>
      <c r="T222" s="7">
        <f t="shared" si="28"/>
        <v>1.5470164682398257E-2</v>
      </c>
      <c r="U222" s="7">
        <f t="shared" si="29"/>
        <v>3.3513640639699638E-3</v>
      </c>
      <c r="V222" s="7">
        <f t="shared" si="30"/>
        <v>5.6524436478941897E-3</v>
      </c>
      <c r="Y222" s="1">
        <v>45782</v>
      </c>
      <c r="Z222" s="7">
        <f t="shared" si="31"/>
        <v>-2.7049348550906294E-3</v>
      </c>
    </row>
    <row r="223" spans="2:26" x14ac:dyDescent="0.3">
      <c r="B223" s="1">
        <v>45769</v>
      </c>
      <c r="C223" s="2">
        <v>2398.6999999999998</v>
      </c>
      <c r="D223" s="2">
        <v>3337.4</v>
      </c>
      <c r="E223" s="2">
        <v>1416.5</v>
      </c>
      <c r="F223" s="2">
        <v>3314.4</v>
      </c>
      <c r="G223" s="2">
        <v>2817.1</v>
      </c>
      <c r="I223" s="2"/>
      <c r="J223" s="2"/>
      <c r="L223" s="3"/>
      <c r="M223" s="3"/>
      <c r="N223" s="2"/>
      <c r="P223" s="3"/>
      <c r="Q223" s="1">
        <v>45769</v>
      </c>
      <c r="R223" s="7">
        <f t="shared" si="26"/>
        <v>-1.0355639904282676E-2</v>
      </c>
      <c r="S223" s="7">
        <f t="shared" si="27"/>
        <v>-5.92738212253896E-3</v>
      </c>
      <c r="T223" s="7">
        <f t="shared" si="28"/>
        <v>-5.5461948890761503E-3</v>
      </c>
      <c r="U223" s="7">
        <f t="shared" si="29"/>
        <v>-2.8889539994140012E-2</v>
      </c>
      <c r="V223" s="7">
        <f t="shared" si="30"/>
        <v>-3.4512303790527166E-2</v>
      </c>
      <c r="Y223" s="1">
        <v>45779</v>
      </c>
      <c r="Z223" s="7">
        <f t="shared" si="31"/>
        <v>-3.2127925608356313E-3</v>
      </c>
    </row>
    <row r="224" spans="2:26" x14ac:dyDescent="0.3">
      <c r="B224" s="1">
        <v>45768</v>
      </c>
      <c r="C224" s="2">
        <v>2351</v>
      </c>
      <c r="D224" s="2">
        <v>3336.1</v>
      </c>
      <c r="E224" s="2">
        <v>1409.8</v>
      </c>
      <c r="F224" s="2">
        <v>3321.6</v>
      </c>
      <c r="G224" s="2">
        <v>2764</v>
      </c>
      <c r="I224" s="2"/>
      <c r="J224" s="2"/>
      <c r="L224" s="3"/>
      <c r="M224" s="3"/>
      <c r="N224" s="2"/>
      <c r="P224" s="3"/>
      <c r="Q224" s="1">
        <v>45768</v>
      </c>
      <c r="R224" s="7">
        <f t="shared" si="26"/>
        <v>-1.9885771459540513E-2</v>
      </c>
      <c r="S224" s="7">
        <f t="shared" si="27"/>
        <v>-3.8952477976872402E-4</v>
      </c>
      <c r="T224" s="7">
        <f t="shared" si="28"/>
        <v>-4.7299682315566915E-3</v>
      </c>
      <c r="U224" s="7">
        <f t="shared" si="29"/>
        <v>2.1723388848660097E-3</v>
      </c>
      <c r="V224" s="7">
        <f t="shared" si="30"/>
        <v>-1.8849171133435094E-2</v>
      </c>
      <c r="Y224" s="1">
        <v>45777</v>
      </c>
      <c r="Z224" s="7">
        <f t="shared" si="31"/>
        <v>3.5510142222275887E-3</v>
      </c>
    </row>
    <row r="225" spans="2:26" x14ac:dyDescent="0.3">
      <c r="B225" s="1">
        <v>45764</v>
      </c>
      <c r="C225" s="2">
        <v>2375</v>
      </c>
      <c r="D225" s="2">
        <v>3327.5</v>
      </c>
      <c r="E225" s="2">
        <v>1406.7</v>
      </c>
      <c r="F225" s="2">
        <v>3298.9</v>
      </c>
      <c r="G225" s="2">
        <v>2679.4</v>
      </c>
      <c r="I225" s="2"/>
      <c r="J225" s="2"/>
      <c r="L225" s="3"/>
      <c r="M225" s="3"/>
      <c r="N225" s="2"/>
      <c r="P225" s="3"/>
      <c r="Q225" s="1">
        <v>45764</v>
      </c>
      <c r="R225" s="7">
        <f t="shared" si="26"/>
        <v>1.0208421948107116E-2</v>
      </c>
      <c r="S225" s="7">
        <f t="shared" si="27"/>
        <v>-2.5778603758880303E-3</v>
      </c>
      <c r="T225" s="7">
        <f t="shared" si="28"/>
        <v>-2.1988934600651877E-3</v>
      </c>
      <c r="U225" s="7">
        <f t="shared" si="29"/>
        <v>-6.8340558766858406E-3</v>
      </c>
      <c r="V225" s="7">
        <f t="shared" si="30"/>
        <v>-3.0607814761215546E-2</v>
      </c>
      <c r="Y225" s="1">
        <v>45776</v>
      </c>
      <c r="Z225" s="7">
        <f t="shared" si="31"/>
        <v>-3.661115424190176E-4</v>
      </c>
    </row>
    <row r="226" spans="2:26" x14ac:dyDescent="0.3">
      <c r="B226" s="1">
        <v>45763</v>
      </c>
      <c r="C226" s="2">
        <v>2366.6</v>
      </c>
      <c r="D226" s="2">
        <v>3272.1</v>
      </c>
      <c r="E226" s="2">
        <v>1356.4</v>
      </c>
      <c r="F226" s="2">
        <v>3273.8</v>
      </c>
      <c r="G226" s="2">
        <v>2634.6</v>
      </c>
      <c r="I226" s="2"/>
      <c r="J226" s="2"/>
      <c r="L226" s="3"/>
      <c r="M226" s="3"/>
      <c r="N226" s="2"/>
      <c r="P226" s="3"/>
      <c r="Q226" s="1">
        <v>45763</v>
      </c>
      <c r="R226" s="7">
        <f t="shared" si="26"/>
        <v>-3.5368421052631716E-3</v>
      </c>
      <c r="S226" s="7">
        <f t="shared" si="27"/>
        <v>-1.6649135987979014E-2</v>
      </c>
      <c r="T226" s="7">
        <f t="shared" si="28"/>
        <v>-3.5757446506006985E-2</v>
      </c>
      <c r="U226" s="7">
        <f t="shared" si="29"/>
        <v>-7.6085968049955932E-3</v>
      </c>
      <c r="V226" s="7">
        <f t="shared" si="30"/>
        <v>-1.6720161230126207E-2</v>
      </c>
      <c r="Y226" s="1">
        <v>45775</v>
      </c>
      <c r="Z226" s="7">
        <f t="shared" si="31"/>
        <v>-2.0615754005728184E-3</v>
      </c>
    </row>
    <row r="227" spans="2:26" x14ac:dyDescent="0.3">
      <c r="B227" s="1">
        <v>45762</v>
      </c>
      <c r="C227" s="2">
        <v>2361.5</v>
      </c>
      <c r="D227" s="2">
        <v>3273.4</v>
      </c>
      <c r="E227" s="2">
        <v>1350.2</v>
      </c>
      <c r="F227" s="2">
        <v>3248.2</v>
      </c>
      <c r="G227" s="2">
        <v>2646</v>
      </c>
      <c r="I227" s="2"/>
      <c r="J227" s="2"/>
      <c r="L227" s="3"/>
      <c r="M227" s="3"/>
      <c r="N227" s="2"/>
      <c r="P227" s="3"/>
      <c r="Q227" s="1">
        <v>45762</v>
      </c>
      <c r="R227" s="7">
        <f t="shared" si="26"/>
        <v>-2.1549902814163024E-3</v>
      </c>
      <c r="S227" s="7">
        <f t="shared" si="27"/>
        <v>3.9729837107671528E-4</v>
      </c>
      <c r="T227" s="7">
        <f t="shared" si="28"/>
        <v>-4.5709230315541527E-3</v>
      </c>
      <c r="U227" s="7">
        <f t="shared" si="29"/>
        <v>-7.8196591117356551E-3</v>
      </c>
      <c r="V227" s="7">
        <f t="shared" si="30"/>
        <v>4.3270325666135978E-3</v>
      </c>
      <c r="Y227" s="1">
        <v>45772</v>
      </c>
      <c r="Z227" s="7">
        <f t="shared" si="31"/>
        <v>-6.4531328814529387E-3</v>
      </c>
    </row>
    <row r="228" spans="2:26" x14ac:dyDescent="0.3">
      <c r="B228" s="1">
        <v>45758</v>
      </c>
      <c r="C228" s="2">
        <v>2366.15</v>
      </c>
      <c r="D228" s="2">
        <v>3234.9</v>
      </c>
      <c r="E228" s="2">
        <v>1311.65</v>
      </c>
      <c r="F228" s="2">
        <v>3231.5</v>
      </c>
      <c r="G228" s="2">
        <v>2580.35</v>
      </c>
      <c r="I228" s="2"/>
      <c r="J228" s="2"/>
      <c r="L228" s="3"/>
      <c r="M228" s="3"/>
      <c r="N228" s="2"/>
      <c r="P228" s="3"/>
      <c r="Q228" s="1">
        <v>45758</v>
      </c>
      <c r="R228" s="7">
        <f t="shared" si="26"/>
        <v>1.969087444420925E-3</v>
      </c>
      <c r="S228" s="7">
        <f t="shared" si="27"/>
        <v>-1.1761471253131317E-2</v>
      </c>
      <c r="T228" s="7">
        <f t="shared" si="28"/>
        <v>-2.8551325729521571E-2</v>
      </c>
      <c r="U228" s="7">
        <f t="shared" si="29"/>
        <v>-5.1413090326949407E-3</v>
      </c>
      <c r="V228" s="7">
        <f t="shared" si="30"/>
        <v>-2.4811035525321268E-2</v>
      </c>
      <c r="Y228" s="1">
        <v>45771</v>
      </c>
      <c r="Z228" s="7">
        <f t="shared" si="31"/>
        <v>-9.9223038701515298E-4</v>
      </c>
    </row>
    <row r="229" spans="2:26" x14ac:dyDescent="0.3">
      <c r="B229" s="1">
        <v>45756</v>
      </c>
      <c r="C229" s="2">
        <v>2350</v>
      </c>
      <c r="D229" s="2">
        <v>3174.15</v>
      </c>
      <c r="E229" s="2">
        <v>1300.8</v>
      </c>
      <c r="F229" s="2">
        <v>3246.6</v>
      </c>
      <c r="G229" s="2">
        <v>2523.1</v>
      </c>
      <c r="I229" s="2"/>
      <c r="J229" s="2"/>
      <c r="L229" s="3"/>
      <c r="M229" s="3"/>
      <c r="N229" s="2"/>
      <c r="P229" s="3"/>
      <c r="Q229" s="1">
        <v>45756</v>
      </c>
      <c r="R229" s="7">
        <f t="shared" si="26"/>
        <v>-6.8254337214462835E-3</v>
      </c>
      <c r="S229" s="7">
        <f t="shared" si="27"/>
        <v>-1.8779560419178387E-2</v>
      </c>
      <c r="T229" s="7">
        <f t="shared" si="28"/>
        <v>-8.272023786833449E-3</v>
      </c>
      <c r="U229" s="7">
        <f t="shared" si="29"/>
        <v>4.6727525916756552E-3</v>
      </c>
      <c r="V229" s="7">
        <f t="shared" si="30"/>
        <v>-2.2186912628131883E-2</v>
      </c>
      <c r="Y229" s="1">
        <v>45770</v>
      </c>
      <c r="Z229" s="7">
        <f t="shared" si="31"/>
        <v>1.0360721999910071E-2</v>
      </c>
    </row>
    <row r="230" spans="2:26" x14ac:dyDescent="0.3">
      <c r="B230" s="1">
        <v>45755</v>
      </c>
      <c r="C230" s="2">
        <v>2289.25</v>
      </c>
      <c r="D230" s="2">
        <v>3122.3</v>
      </c>
      <c r="E230" s="2">
        <v>1299.9000000000001</v>
      </c>
      <c r="F230" s="2">
        <v>3292.95</v>
      </c>
      <c r="G230" s="2">
        <v>2523.65</v>
      </c>
      <c r="I230" s="2"/>
      <c r="J230" s="2"/>
      <c r="L230" s="3"/>
      <c r="M230" s="3"/>
      <c r="N230" s="2"/>
      <c r="P230" s="3"/>
      <c r="Q230" s="1">
        <v>45755</v>
      </c>
      <c r="R230" s="7">
        <f t="shared" si="26"/>
        <v>-2.5851063829787191E-2</v>
      </c>
      <c r="S230" s="7">
        <f t="shared" si="27"/>
        <v>-1.6335081832931642E-2</v>
      </c>
      <c r="T230" s="7">
        <f t="shared" si="28"/>
        <v>-6.9188191881908168E-4</v>
      </c>
      <c r="U230" s="7">
        <f t="shared" si="29"/>
        <v>1.4276473849565763E-2</v>
      </c>
      <c r="V230" s="7">
        <f t="shared" si="30"/>
        <v>2.1798581110554771E-4</v>
      </c>
      <c r="Y230" s="1">
        <v>45769</v>
      </c>
      <c r="Z230" s="7">
        <f t="shared" si="31"/>
        <v>-1.3928188360880705E-2</v>
      </c>
    </row>
    <row r="231" spans="2:26" x14ac:dyDescent="0.3">
      <c r="B231" s="1">
        <v>45754</v>
      </c>
      <c r="C231" s="2">
        <v>2249.4</v>
      </c>
      <c r="D231" s="2">
        <v>3022.2</v>
      </c>
      <c r="E231" s="2">
        <v>1287.55</v>
      </c>
      <c r="F231" s="2">
        <v>3274.05</v>
      </c>
      <c r="G231" s="2">
        <v>2491.25</v>
      </c>
      <c r="I231" s="2"/>
      <c r="J231" s="2"/>
      <c r="L231" s="3"/>
      <c r="M231" s="3"/>
      <c r="N231" s="2"/>
      <c r="P231" s="3"/>
      <c r="Q231" s="1">
        <v>45754</v>
      </c>
      <c r="R231" s="7">
        <f t="shared" si="26"/>
        <v>-1.7407447854100644E-2</v>
      </c>
      <c r="S231" s="7">
        <f t="shared" si="27"/>
        <v>-3.2059699580437639E-2</v>
      </c>
      <c r="T231" s="7">
        <f t="shared" si="28"/>
        <v>-9.5007308254482226E-3</v>
      </c>
      <c r="U231" s="7">
        <f t="shared" si="29"/>
        <v>-5.7395344599825426E-3</v>
      </c>
      <c r="V231" s="7">
        <f t="shared" si="30"/>
        <v>-1.2838547342143403E-2</v>
      </c>
      <c r="Y231" s="1">
        <v>45768</v>
      </c>
      <c r="Z231" s="7">
        <f t="shared" si="31"/>
        <v>-5.9496867197105733E-3</v>
      </c>
    </row>
    <row r="232" spans="2:26" x14ac:dyDescent="0.3">
      <c r="B232" s="1">
        <v>45751</v>
      </c>
      <c r="C232" s="2">
        <v>2244.5500000000002</v>
      </c>
      <c r="D232" s="2">
        <v>3076.2</v>
      </c>
      <c r="E232" s="2">
        <v>1335.3</v>
      </c>
      <c r="F232" s="2">
        <v>3299.4</v>
      </c>
      <c r="G232" s="2">
        <v>2596.5500000000002</v>
      </c>
      <c r="I232" s="2"/>
      <c r="J232" s="2"/>
      <c r="L232" s="3"/>
      <c r="M232" s="3"/>
      <c r="N232" s="2"/>
      <c r="P232" s="3"/>
      <c r="Q232" s="1">
        <v>45751</v>
      </c>
      <c r="R232" s="7">
        <f t="shared" si="26"/>
        <v>-2.1561305236951211E-3</v>
      </c>
      <c r="S232" s="7">
        <f t="shared" si="27"/>
        <v>1.7867778439547344E-2</v>
      </c>
      <c r="T232" s="7">
        <f t="shared" si="28"/>
        <v>3.7085938410158725E-2</v>
      </c>
      <c r="U232" s="7">
        <f t="shared" si="29"/>
        <v>7.7427039904705008E-3</v>
      </c>
      <c r="V232" s="7">
        <f t="shared" si="30"/>
        <v>4.2267937782237919E-2</v>
      </c>
      <c r="Y232" s="1">
        <v>45764</v>
      </c>
      <c r="Z232" s="7">
        <f t="shared" si="31"/>
        <v>-4.2004624912342203E-3</v>
      </c>
    </row>
    <row r="233" spans="2:26" x14ac:dyDescent="0.3">
      <c r="B233" s="1">
        <v>45750</v>
      </c>
      <c r="C233" s="2">
        <v>2244.5500000000002</v>
      </c>
      <c r="D233" s="2">
        <v>3127.55</v>
      </c>
      <c r="E233" s="2">
        <v>1329.55</v>
      </c>
      <c r="F233" s="2">
        <v>3403.15</v>
      </c>
      <c r="G233" s="2">
        <v>2611.4499999999998</v>
      </c>
      <c r="I233" s="2"/>
      <c r="J233" s="2"/>
      <c r="L233" s="3"/>
      <c r="M233" s="3"/>
      <c r="N233" s="2"/>
      <c r="P233" s="3"/>
      <c r="Q233" s="1">
        <v>45750</v>
      </c>
      <c r="R233" s="7">
        <f t="shared" si="26"/>
        <v>0</v>
      </c>
      <c r="S233" s="7">
        <f t="shared" si="27"/>
        <v>1.6692672778102935E-2</v>
      </c>
      <c r="T233" s="7">
        <f t="shared" si="28"/>
        <v>-4.3061484310641385E-3</v>
      </c>
      <c r="U233" s="7">
        <f t="shared" si="29"/>
        <v>3.144511123234528E-2</v>
      </c>
      <c r="V233" s="7">
        <f t="shared" si="30"/>
        <v>5.7383836244244701E-3</v>
      </c>
      <c r="Y233" s="1">
        <v>45763</v>
      </c>
      <c r="Z233" s="7">
        <f t="shared" si="31"/>
        <v>-1.8613779748598062E-2</v>
      </c>
    </row>
    <row r="234" spans="2:26" x14ac:dyDescent="0.3">
      <c r="B234" s="1">
        <v>45749</v>
      </c>
      <c r="C234" s="2">
        <v>2237.9</v>
      </c>
      <c r="D234" s="2">
        <v>3098.45</v>
      </c>
      <c r="E234" s="2">
        <v>1331.25</v>
      </c>
      <c r="F234" s="2">
        <v>3543.95</v>
      </c>
      <c r="G234" s="2">
        <v>2637.55</v>
      </c>
      <c r="I234" s="2"/>
      <c r="J234" s="2"/>
      <c r="L234" s="3"/>
      <c r="M234" s="3"/>
      <c r="N234" s="2"/>
      <c r="P234" s="3"/>
      <c r="Q234" s="1">
        <v>45749</v>
      </c>
      <c r="R234" s="7">
        <f t="shared" si="26"/>
        <v>-2.9627319507251615E-3</v>
      </c>
      <c r="S234" s="7">
        <f t="shared" si="27"/>
        <v>-9.3044076033957923E-3</v>
      </c>
      <c r="T234" s="7">
        <f t="shared" si="28"/>
        <v>1.2786281072543204E-3</v>
      </c>
      <c r="U234" s="7">
        <f t="shared" si="29"/>
        <v>4.1373433436668883E-2</v>
      </c>
      <c r="V234" s="7">
        <f t="shared" si="30"/>
        <v>9.9944475291506851E-3</v>
      </c>
      <c r="Y234" s="1">
        <v>45762</v>
      </c>
      <c r="Z234" s="7">
        <f t="shared" si="31"/>
        <v>-2.7264294245952837E-3</v>
      </c>
    </row>
    <row r="235" spans="2:26" x14ac:dyDescent="0.3">
      <c r="B235" s="1">
        <v>45748</v>
      </c>
      <c r="C235" s="2">
        <v>2233.85</v>
      </c>
      <c r="D235" s="2">
        <v>2986.95</v>
      </c>
      <c r="E235" s="2">
        <v>1318.45</v>
      </c>
      <c r="F235" s="2">
        <v>3550.8</v>
      </c>
      <c r="G235" s="2">
        <v>2637.9</v>
      </c>
      <c r="I235" s="2"/>
      <c r="J235" s="2"/>
      <c r="L235" s="3"/>
      <c r="M235" s="3"/>
      <c r="N235" s="2"/>
      <c r="P235" s="3"/>
      <c r="Q235" s="1">
        <v>45748</v>
      </c>
      <c r="R235" s="7">
        <f t="shared" si="26"/>
        <v>-1.8097323383530206E-3</v>
      </c>
      <c r="S235" s="7">
        <f t="shared" si="27"/>
        <v>-3.5985734802885361E-2</v>
      </c>
      <c r="T235" s="7">
        <f t="shared" si="28"/>
        <v>-9.6150234741784191E-3</v>
      </c>
      <c r="U235" s="7">
        <f t="shared" si="29"/>
        <v>1.9328715134243613E-3</v>
      </c>
      <c r="V235" s="7">
        <f t="shared" si="30"/>
        <v>1.3269890618183844E-4</v>
      </c>
      <c r="Y235" s="1">
        <v>45758</v>
      </c>
      <c r="Z235" s="7">
        <f t="shared" si="31"/>
        <v>-1.4719767774547275E-2</v>
      </c>
    </row>
    <row r="236" spans="2:26" x14ac:dyDescent="0.3">
      <c r="B236" s="1">
        <v>45744</v>
      </c>
      <c r="C236" s="2">
        <v>2258.85</v>
      </c>
      <c r="D236" s="2">
        <v>3063.35</v>
      </c>
      <c r="E236" s="2">
        <v>1348.35</v>
      </c>
      <c r="F236" s="2">
        <v>3606.15</v>
      </c>
      <c r="G236" s="2">
        <v>2665.8</v>
      </c>
      <c r="I236" s="2"/>
      <c r="J236" s="2"/>
      <c r="L236" s="3"/>
      <c r="M236" s="3"/>
      <c r="N236" s="2"/>
      <c r="P236" s="3"/>
      <c r="Q236" s="1">
        <v>45744</v>
      </c>
      <c r="R236" s="7">
        <f t="shared" si="26"/>
        <v>1.1191440786086693E-2</v>
      </c>
      <c r="S236" s="7">
        <f t="shared" si="27"/>
        <v>2.5577930665059645E-2</v>
      </c>
      <c r="T236" s="7">
        <f t="shared" si="28"/>
        <v>2.2678144791232091E-2</v>
      </c>
      <c r="U236" s="7">
        <f t="shared" si="29"/>
        <v>1.5588036498817237E-2</v>
      </c>
      <c r="V236" s="7">
        <f t="shared" si="30"/>
        <v>1.0576595018765067E-2</v>
      </c>
      <c r="Y236" s="1">
        <v>45756</v>
      </c>
      <c r="Z236" s="7">
        <f t="shared" si="31"/>
        <v>-9.4844530435396306E-3</v>
      </c>
    </row>
    <row r="237" spans="2:26" x14ac:dyDescent="0.3">
      <c r="B237" s="1">
        <v>45743</v>
      </c>
      <c r="C237" s="2">
        <v>2244.65</v>
      </c>
      <c r="D237" s="2">
        <v>3087.65</v>
      </c>
      <c r="E237" s="2">
        <v>1336.65</v>
      </c>
      <c r="F237" s="2">
        <v>3651.2</v>
      </c>
      <c r="G237" s="2">
        <v>2733</v>
      </c>
      <c r="I237" s="2"/>
      <c r="J237" s="2"/>
      <c r="L237" s="3"/>
      <c r="M237" s="3"/>
      <c r="N237" s="2"/>
      <c r="P237" s="3"/>
      <c r="Q237" s="1">
        <v>45743</v>
      </c>
      <c r="R237" s="7">
        <f t="shared" si="26"/>
        <v>-6.2863846647629451E-3</v>
      </c>
      <c r="S237" s="7">
        <f t="shared" si="27"/>
        <v>7.9324922062449232E-3</v>
      </c>
      <c r="T237" s="7">
        <f t="shared" si="28"/>
        <v>-8.6772722216040821E-3</v>
      </c>
      <c r="U237" s="7">
        <f t="shared" si="29"/>
        <v>1.2492547453655467E-2</v>
      </c>
      <c r="V237" s="7">
        <f t="shared" si="30"/>
        <v>2.5208192662615314E-2</v>
      </c>
      <c r="Y237" s="1">
        <v>45755</v>
      </c>
      <c r="Z237" s="7">
        <f t="shared" si="31"/>
        <v>-5.2919012573230065E-3</v>
      </c>
    </row>
    <row r="238" spans="2:26" x14ac:dyDescent="0.3">
      <c r="B238" s="1">
        <v>45742</v>
      </c>
      <c r="C238" s="2">
        <v>2245.9499999999998</v>
      </c>
      <c r="D238" s="2">
        <v>3057.5</v>
      </c>
      <c r="E238" s="2">
        <v>1335.9</v>
      </c>
      <c r="F238" s="2">
        <v>3635.8</v>
      </c>
      <c r="G238" s="2">
        <v>2742.25</v>
      </c>
      <c r="I238" s="2"/>
      <c r="J238" s="2"/>
      <c r="L238" s="3"/>
      <c r="M238" s="3"/>
      <c r="N238" s="2"/>
      <c r="P238" s="3"/>
      <c r="Q238" s="1">
        <v>45742</v>
      </c>
      <c r="R238" s="7">
        <f t="shared" si="26"/>
        <v>5.7915487937965082E-4</v>
      </c>
      <c r="S238" s="7">
        <f t="shared" si="27"/>
        <v>-9.7647077874759569E-3</v>
      </c>
      <c r="T238" s="7">
        <f t="shared" si="28"/>
        <v>-5.6110425317024148E-4</v>
      </c>
      <c r="U238" s="7">
        <f t="shared" si="29"/>
        <v>-4.2177914110428372E-3</v>
      </c>
      <c r="V238" s="7">
        <f t="shared" si="30"/>
        <v>3.3845590925722924E-3</v>
      </c>
      <c r="Y238" s="1">
        <v>45754</v>
      </c>
      <c r="Z238" s="7">
        <f t="shared" si="31"/>
        <v>-1.5908022947069823E-2</v>
      </c>
    </row>
    <row r="239" spans="2:26" x14ac:dyDescent="0.3">
      <c r="B239" s="1">
        <v>45741</v>
      </c>
      <c r="C239" s="2">
        <v>2271.3000000000002</v>
      </c>
      <c r="D239" s="2">
        <v>3053.7</v>
      </c>
      <c r="E239" s="2">
        <v>1343.7</v>
      </c>
      <c r="F239" s="2">
        <v>3657.75</v>
      </c>
      <c r="G239" s="2">
        <v>2736</v>
      </c>
      <c r="I239" s="2"/>
      <c r="J239" s="2"/>
      <c r="L239" s="3"/>
      <c r="M239" s="3"/>
      <c r="N239" s="2"/>
      <c r="P239" s="3"/>
      <c r="Q239" s="1">
        <v>45741</v>
      </c>
      <c r="R239" s="7">
        <f t="shared" si="26"/>
        <v>1.1286983236492576E-2</v>
      </c>
      <c r="S239" s="7">
        <f t="shared" si="27"/>
        <v>-1.2428454619788365E-3</v>
      </c>
      <c r="T239" s="7">
        <f t="shared" si="28"/>
        <v>5.8387603862564141E-3</v>
      </c>
      <c r="U239" s="7">
        <f t="shared" si="29"/>
        <v>6.0371857637933068E-3</v>
      </c>
      <c r="V239" s="7">
        <f t="shared" si="30"/>
        <v>-2.2791503327559415E-3</v>
      </c>
      <c r="Y239" s="1">
        <v>45751</v>
      </c>
      <c r="Z239" s="7">
        <f t="shared" si="31"/>
        <v>2.1044641130698073E-2</v>
      </c>
    </row>
    <row r="240" spans="2:26" x14ac:dyDescent="0.3">
      <c r="B240" s="1">
        <v>45740</v>
      </c>
      <c r="C240" s="2">
        <v>2256.1999999999998</v>
      </c>
      <c r="D240" s="2">
        <v>3079.1</v>
      </c>
      <c r="E240" s="2">
        <v>1358.15</v>
      </c>
      <c r="F240" s="2">
        <v>3628.95</v>
      </c>
      <c r="G240" s="2">
        <v>2774.7</v>
      </c>
      <c r="I240" s="2"/>
      <c r="J240" s="2"/>
      <c r="L240" s="3"/>
      <c r="M240" s="3"/>
      <c r="N240" s="2"/>
      <c r="P240" s="3"/>
      <c r="Q240" s="1">
        <v>45740</v>
      </c>
      <c r="R240" s="7">
        <f t="shared" si="26"/>
        <v>-6.6481750539340023E-3</v>
      </c>
      <c r="S240" s="7">
        <f t="shared" si="27"/>
        <v>8.3177784327210791E-3</v>
      </c>
      <c r="T240" s="7">
        <f t="shared" si="28"/>
        <v>1.0753888516782162E-2</v>
      </c>
      <c r="U240" s="7">
        <f t="shared" si="29"/>
        <v>-7.873692843961555E-3</v>
      </c>
      <c r="V240" s="7">
        <f t="shared" si="30"/>
        <v>1.4144736842105265E-2</v>
      </c>
      <c r="Y240" s="1">
        <v>45750</v>
      </c>
      <c r="Z240" s="7">
        <f t="shared" si="31"/>
        <v>9.7441842741179951E-3</v>
      </c>
    </row>
    <row r="241" spans="2:26" x14ac:dyDescent="0.3">
      <c r="B241" s="1">
        <v>45737</v>
      </c>
      <c r="C241" s="2">
        <v>2246.1999999999998</v>
      </c>
      <c r="D241" s="2">
        <v>3162.7</v>
      </c>
      <c r="E241" s="2">
        <v>1343.1</v>
      </c>
      <c r="F241" s="2">
        <v>3578.1</v>
      </c>
      <c r="G241" s="2">
        <v>2801.85</v>
      </c>
      <c r="I241" s="2"/>
      <c r="J241" s="2"/>
      <c r="L241" s="3"/>
      <c r="M241" s="3"/>
      <c r="N241" s="2"/>
      <c r="P241" s="3"/>
      <c r="Q241" s="1">
        <v>45737</v>
      </c>
      <c r="R241" s="7">
        <f t="shared" si="26"/>
        <v>-4.4322311851786589E-3</v>
      </c>
      <c r="S241" s="7">
        <f t="shared" si="27"/>
        <v>2.7150790815497983E-2</v>
      </c>
      <c r="T241" s="7">
        <f t="shared" si="28"/>
        <v>-1.1081250230092543E-2</v>
      </c>
      <c r="U241" s="7">
        <f t="shared" si="29"/>
        <v>-1.4012317612532521E-2</v>
      </c>
      <c r="V241" s="7">
        <f t="shared" si="30"/>
        <v>9.7848416044978848E-3</v>
      </c>
      <c r="Y241" s="1">
        <v>45749</v>
      </c>
      <c r="Z241" s="7">
        <f t="shared" si="31"/>
        <v>6.8872081789674187E-3</v>
      </c>
    </row>
    <row r="242" spans="2:26" x14ac:dyDescent="0.3">
      <c r="B242" s="1">
        <v>45736</v>
      </c>
      <c r="C242" s="2">
        <v>2242.4</v>
      </c>
      <c r="D242" s="2">
        <v>3193.1</v>
      </c>
      <c r="E242" s="2">
        <v>1321.7</v>
      </c>
      <c r="F242" s="2">
        <v>3563.15</v>
      </c>
      <c r="G242" s="2">
        <v>2828.1</v>
      </c>
      <c r="I242" s="2"/>
      <c r="J242" s="2"/>
      <c r="L242" s="3"/>
      <c r="M242" s="3"/>
      <c r="N242" s="2"/>
      <c r="P242" s="3"/>
      <c r="Q242" s="1">
        <v>45736</v>
      </c>
      <c r="R242" s="7">
        <f t="shared" si="26"/>
        <v>-1.6917460600123224E-3</v>
      </c>
      <c r="S242" s="7">
        <f t="shared" si="27"/>
        <v>9.6120403452746306E-3</v>
      </c>
      <c r="T242" s="7">
        <f t="shared" si="28"/>
        <v>-1.5933288660561318E-2</v>
      </c>
      <c r="U242" s="7">
        <f t="shared" si="29"/>
        <v>-4.1781951314943111E-3</v>
      </c>
      <c r="V242" s="7">
        <f t="shared" si="30"/>
        <v>9.3688098934632258E-3</v>
      </c>
      <c r="Y242" s="1">
        <v>45748</v>
      </c>
      <c r="Z242" s="7">
        <f t="shared" si="31"/>
        <v>-1.1752556400424762E-2</v>
      </c>
    </row>
    <row r="243" spans="2:26" x14ac:dyDescent="0.3">
      <c r="B243" s="1">
        <v>45735</v>
      </c>
      <c r="C243" s="2">
        <v>2200.0500000000002</v>
      </c>
      <c r="D243" s="2">
        <v>3076.3</v>
      </c>
      <c r="E243" s="2">
        <v>1313.1</v>
      </c>
      <c r="F243" s="2">
        <v>3497.1</v>
      </c>
      <c r="G243" s="2">
        <v>2789.1</v>
      </c>
      <c r="I243" s="2"/>
      <c r="J243" s="2"/>
      <c r="L243" s="3"/>
      <c r="M243" s="3"/>
      <c r="N243" s="2"/>
      <c r="P243" s="3"/>
      <c r="Q243" s="1">
        <v>45735</v>
      </c>
      <c r="R243" s="7">
        <f t="shared" si="26"/>
        <v>-1.8886014983945709E-2</v>
      </c>
      <c r="S243" s="7">
        <f t="shared" si="27"/>
        <v>-3.6578873195327377E-2</v>
      </c>
      <c r="T243" s="7">
        <f t="shared" si="28"/>
        <v>-6.5067715820534833E-3</v>
      </c>
      <c r="U243" s="7">
        <f t="shared" si="29"/>
        <v>-1.8536968693431466E-2</v>
      </c>
      <c r="V243" s="7">
        <f t="shared" si="30"/>
        <v>-1.3790177150737271E-2</v>
      </c>
      <c r="Y243" s="1">
        <v>45744</v>
      </c>
      <c r="Z243" s="7">
        <f t="shared" si="31"/>
        <v>1.9051909023187499E-2</v>
      </c>
    </row>
    <row r="244" spans="2:26" x14ac:dyDescent="0.3">
      <c r="B244" s="1">
        <v>45734</v>
      </c>
      <c r="C244" s="2">
        <v>2201.4</v>
      </c>
      <c r="D244" s="2">
        <v>3081.7</v>
      </c>
      <c r="E244" s="2">
        <v>1309.8499999999999</v>
      </c>
      <c r="F244" s="2">
        <v>3552.45</v>
      </c>
      <c r="G244" s="2">
        <v>2791.4</v>
      </c>
      <c r="I244" s="2"/>
      <c r="J244" s="2"/>
      <c r="L244" s="3"/>
      <c r="M244" s="3"/>
      <c r="N244" s="2"/>
      <c r="P244" s="3"/>
      <c r="Q244" s="1">
        <v>45734</v>
      </c>
      <c r="R244" s="7">
        <f t="shared" si="26"/>
        <v>6.13622417672266E-4</v>
      </c>
      <c r="S244" s="7">
        <f t="shared" si="27"/>
        <v>1.7553554594804677E-3</v>
      </c>
      <c r="T244" s="7">
        <f t="shared" si="28"/>
        <v>-2.4750590206381595E-3</v>
      </c>
      <c r="U244" s="7">
        <f t="shared" si="29"/>
        <v>1.5827399845586232E-2</v>
      </c>
      <c r="V244" s="7">
        <f t="shared" si="30"/>
        <v>8.2463877236382821E-4</v>
      </c>
      <c r="Y244" s="1">
        <v>45743</v>
      </c>
      <c r="Z244" s="7">
        <f t="shared" si="31"/>
        <v>3.45631244235819E-3</v>
      </c>
    </row>
    <row r="245" spans="2:26" x14ac:dyDescent="0.3">
      <c r="B245" s="1">
        <v>45733</v>
      </c>
      <c r="C245" s="2">
        <v>2171.25</v>
      </c>
      <c r="D245" s="2">
        <v>3017.35</v>
      </c>
      <c r="E245" s="2">
        <v>1269</v>
      </c>
      <c r="F245" s="2">
        <v>3497.7</v>
      </c>
      <c r="G245" s="2">
        <v>2705.15</v>
      </c>
      <c r="I245" s="2"/>
      <c r="J245" s="2"/>
      <c r="L245" s="3"/>
      <c r="M245" s="3"/>
      <c r="N245" s="2"/>
      <c r="P245" s="3"/>
      <c r="Q245" s="1">
        <v>45733</v>
      </c>
      <c r="R245" s="7">
        <f t="shared" si="26"/>
        <v>-1.3695829926410497E-2</v>
      </c>
      <c r="S245" s="7">
        <f t="shared" si="27"/>
        <v>-2.0881331732485298E-2</v>
      </c>
      <c r="T245" s="7">
        <f t="shared" si="28"/>
        <v>-3.1186777111883002E-2</v>
      </c>
      <c r="U245" s="7">
        <f t="shared" si="29"/>
        <v>-1.5411898830384629E-2</v>
      </c>
      <c r="V245" s="7">
        <f t="shared" si="30"/>
        <v>-3.0898473884072519E-2</v>
      </c>
      <c r="Y245" s="1">
        <v>45742</v>
      </c>
      <c r="Z245" s="7">
        <f t="shared" si="31"/>
        <v>-3.0277373638644524E-3</v>
      </c>
    </row>
    <row r="246" spans="2:26" x14ac:dyDescent="0.3">
      <c r="B246" s="1">
        <v>45729</v>
      </c>
      <c r="C246" s="2">
        <v>2174.8000000000002</v>
      </c>
      <c r="D246" s="2">
        <v>3010.15</v>
      </c>
      <c r="E246" s="2">
        <v>1250.05</v>
      </c>
      <c r="F246" s="2">
        <v>3511.05</v>
      </c>
      <c r="G246" s="2">
        <v>2643.5</v>
      </c>
      <c r="I246" s="2"/>
      <c r="J246" s="2"/>
      <c r="L246" s="3"/>
      <c r="M246" s="3"/>
      <c r="N246" s="2"/>
      <c r="P246" s="3"/>
      <c r="Q246" s="1">
        <v>45729</v>
      </c>
      <c r="R246" s="7">
        <f t="shared" si="26"/>
        <v>1.6350028785263593E-3</v>
      </c>
      <c r="S246" s="7">
        <f t="shared" si="27"/>
        <v>-2.3861998110924487E-3</v>
      </c>
      <c r="T246" s="7">
        <f t="shared" si="28"/>
        <v>-1.4933018124507536E-2</v>
      </c>
      <c r="U246" s="7">
        <f t="shared" si="29"/>
        <v>3.8167938931299439E-3</v>
      </c>
      <c r="V246" s="7">
        <f t="shared" si="30"/>
        <v>-2.2789863778348685E-2</v>
      </c>
      <c r="Y246" s="1">
        <v>45741</v>
      </c>
      <c r="Z246" s="7">
        <f t="shared" si="31"/>
        <v>4.1134863553391682E-3</v>
      </c>
    </row>
    <row r="247" spans="2:26" x14ac:dyDescent="0.3">
      <c r="B247" s="1">
        <v>45728</v>
      </c>
      <c r="C247" s="2">
        <v>2192.9</v>
      </c>
      <c r="D247" s="2">
        <v>3018.95</v>
      </c>
      <c r="E247" s="2">
        <v>1243.95</v>
      </c>
      <c r="F247" s="2">
        <v>3506.2</v>
      </c>
      <c r="G247" s="2">
        <v>2653.3</v>
      </c>
      <c r="I247" s="2"/>
      <c r="J247" s="2"/>
      <c r="L247" s="3"/>
      <c r="M247" s="3"/>
      <c r="N247" s="2"/>
      <c r="P247" s="3"/>
      <c r="Q247" s="1">
        <v>45728</v>
      </c>
      <c r="R247" s="7">
        <f t="shared" si="26"/>
        <v>8.3226043774140557E-3</v>
      </c>
      <c r="S247" s="7">
        <f t="shared" si="27"/>
        <v>2.923442353371053E-3</v>
      </c>
      <c r="T247" s="7">
        <f t="shared" si="28"/>
        <v>-4.8798048078075862E-3</v>
      </c>
      <c r="U247" s="7">
        <f t="shared" si="29"/>
        <v>-1.3813531564632608E-3</v>
      </c>
      <c r="V247" s="7">
        <f t="shared" si="30"/>
        <v>3.7072063552110457E-3</v>
      </c>
      <c r="Y247" s="1">
        <v>45740</v>
      </c>
      <c r="Z247" s="7">
        <f t="shared" si="31"/>
        <v>4.1481200205430342E-3</v>
      </c>
    </row>
    <row r="248" spans="2:26" x14ac:dyDescent="0.3">
      <c r="B248" s="1">
        <v>45727</v>
      </c>
      <c r="C248" s="2">
        <v>2216.9499999999998</v>
      </c>
      <c r="D248" s="2">
        <v>3046.4</v>
      </c>
      <c r="E248" s="2">
        <v>1245.4000000000001</v>
      </c>
      <c r="F248" s="2">
        <v>3575.3</v>
      </c>
      <c r="G248" s="2">
        <v>2645.6</v>
      </c>
      <c r="I248" s="2"/>
      <c r="J248" s="2"/>
      <c r="L248" s="3"/>
      <c r="M248" s="3"/>
      <c r="N248" s="2"/>
      <c r="P248" s="3"/>
      <c r="Q248" s="1">
        <v>45727</v>
      </c>
      <c r="R248" s="7">
        <f t="shared" si="26"/>
        <v>1.0967212367184898E-2</v>
      </c>
      <c r="S248" s="7">
        <f t="shared" si="27"/>
        <v>9.0925652958810943E-3</v>
      </c>
      <c r="T248" s="7">
        <f t="shared" si="28"/>
        <v>1.1656417058563129E-3</v>
      </c>
      <c r="U248" s="7">
        <f t="shared" si="29"/>
        <v>1.9707945924362757E-2</v>
      </c>
      <c r="V248" s="7">
        <f t="shared" si="30"/>
        <v>-2.9020465081220914E-3</v>
      </c>
      <c r="Y248" s="1">
        <v>45737</v>
      </c>
      <c r="Z248" s="7">
        <f t="shared" si="31"/>
        <v>9.745085950132184E-4</v>
      </c>
    </row>
    <row r="249" spans="2:26" x14ac:dyDescent="0.3">
      <c r="B249" s="1">
        <v>45726</v>
      </c>
      <c r="C249" s="2">
        <v>2247.75</v>
      </c>
      <c r="D249" s="2">
        <v>3026.8</v>
      </c>
      <c r="E249" s="2">
        <v>1214.8499999999999</v>
      </c>
      <c r="F249" s="2">
        <v>3589.65</v>
      </c>
      <c r="G249" s="2">
        <v>2702.6</v>
      </c>
      <c r="I249" s="2"/>
      <c r="J249" s="2"/>
      <c r="L249" s="3"/>
      <c r="M249" s="3"/>
      <c r="N249" s="2"/>
      <c r="P249" s="3"/>
      <c r="Q249" s="1">
        <v>45726</v>
      </c>
      <c r="R249" s="7">
        <f t="shared" si="26"/>
        <v>1.3892961050091523E-2</v>
      </c>
      <c r="S249" s="7">
        <f t="shared" si="27"/>
        <v>-6.4338235294116863E-3</v>
      </c>
      <c r="T249" s="7">
        <f t="shared" si="28"/>
        <v>-2.4530271398747527E-2</v>
      </c>
      <c r="U249" s="7">
        <f t="shared" si="29"/>
        <v>4.0136492042626148E-3</v>
      </c>
      <c r="V249" s="7">
        <f t="shared" si="30"/>
        <v>2.1545207136377309E-2</v>
      </c>
      <c r="Y249" s="1">
        <v>45736</v>
      </c>
      <c r="Z249" s="7">
        <f t="shared" si="31"/>
        <v>-2.5294964578041258E-3</v>
      </c>
    </row>
    <row r="250" spans="2:26" x14ac:dyDescent="0.3">
      <c r="B250" s="1">
        <v>45723</v>
      </c>
      <c r="C250" s="2">
        <v>2204.5500000000002</v>
      </c>
      <c r="D250" s="2">
        <v>3079.35</v>
      </c>
      <c r="E250" s="2">
        <v>1214.55</v>
      </c>
      <c r="F250" s="2">
        <v>3611.2</v>
      </c>
      <c r="G250" s="2">
        <v>2727.85</v>
      </c>
      <c r="I250" s="2"/>
      <c r="J250" s="2"/>
      <c r="L250" s="3"/>
      <c r="M250" s="3"/>
      <c r="N250" s="2"/>
      <c r="P250" s="3"/>
      <c r="Q250" s="1">
        <v>45723</v>
      </c>
      <c r="R250" s="7">
        <f t="shared" si="26"/>
        <v>-1.9219219219219097E-2</v>
      </c>
      <c r="S250" s="7">
        <f t="shared" si="27"/>
        <v>1.73615699748908E-2</v>
      </c>
      <c r="T250" s="7">
        <f t="shared" si="28"/>
        <v>-2.4694406716874173E-4</v>
      </c>
      <c r="U250" s="7">
        <f t="shared" si="29"/>
        <v>6.0033708021671739E-3</v>
      </c>
      <c r="V250" s="7">
        <f t="shared" si="30"/>
        <v>9.3428550284910816E-3</v>
      </c>
      <c r="Y250" s="1">
        <v>45735</v>
      </c>
      <c r="Z250" s="7">
        <f t="shared" si="31"/>
        <v>-1.9016063474799765E-2</v>
      </c>
    </row>
    <row r="251" spans="2:26" x14ac:dyDescent="0.3">
      <c r="B251" s="1">
        <v>45722</v>
      </c>
      <c r="C251" s="2">
        <v>2218.9499999999998</v>
      </c>
      <c r="D251" s="2">
        <v>3121.1</v>
      </c>
      <c r="E251" s="2">
        <v>1218.05</v>
      </c>
      <c r="F251" s="2">
        <v>3601.6</v>
      </c>
      <c r="G251" s="2">
        <v>2742.4</v>
      </c>
      <c r="H251" s="3"/>
      <c r="I251" s="2"/>
      <c r="J251" s="2"/>
      <c r="L251" s="3"/>
      <c r="Q251" s="1">
        <v>45722</v>
      </c>
      <c r="R251" s="7">
        <f t="shared" si="26"/>
        <v>6.5319452949579304E-3</v>
      </c>
      <c r="S251" s="7">
        <f t="shared" si="27"/>
        <v>1.3558056083264436E-2</v>
      </c>
      <c r="T251" s="7">
        <f t="shared" si="28"/>
        <v>2.881725742044372E-3</v>
      </c>
      <c r="U251" s="7">
        <f t="shared" si="29"/>
        <v>-2.6583961010190338E-3</v>
      </c>
      <c r="V251" s="7">
        <f t="shared" si="30"/>
        <v>5.3338709973056453E-3</v>
      </c>
      <c r="Y251" s="1">
        <v>45734</v>
      </c>
      <c r="Z251" s="7">
        <f t="shared" si="31"/>
        <v>3.0363083676831389E-3</v>
      </c>
    </row>
    <row r="252" spans="2:26" x14ac:dyDescent="0.3">
      <c r="D252" s="2"/>
      <c r="F252" s="2"/>
      <c r="H252" s="3"/>
      <c r="I252" s="2"/>
      <c r="J252" s="2"/>
      <c r="L252" s="3"/>
      <c r="Y252" s="1">
        <v>45733</v>
      </c>
      <c r="Z252" s="7">
        <f t="shared" si="31"/>
        <v>-2.2802967710131974E-2</v>
      </c>
    </row>
    <row r="253" spans="2:26" x14ac:dyDescent="0.3">
      <c r="D253" s="2"/>
      <c r="E253" s="2"/>
      <c r="F253" s="2"/>
      <c r="H253" s="3"/>
      <c r="I253" s="2"/>
      <c r="J253" s="2"/>
      <c r="L253" s="3"/>
      <c r="Y253" s="1">
        <v>45729</v>
      </c>
      <c r="Z253" s="7">
        <f t="shared" si="31"/>
        <v>-6.346832557555299E-3</v>
      </c>
    </row>
    <row r="254" spans="2:26" x14ac:dyDescent="0.3">
      <c r="D254" s="2"/>
      <c r="E254" s="2"/>
      <c r="F254" s="2"/>
      <c r="H254" s="3"/>
      <c r="I254" s="2"/>
      <c r="J254" s="2"/>
      <c r="L254" s="3"/>
      <c r="Y254" s="1">
        <v>45728</v>
      </c>
      <c r="Z254" s="7">
        <f t="shared" si="31"/>
        <v>6.0975980684104827E-4</v>
      </c>
    </row>
    <row r="255" spans="2:26" x14ac:dyDescent="0.3">
      <c r="D255" s="2"/>
      <c r="E255" s="2"/>
      <c r="F255" s="2"/>
      <c r="H255" s="3"/>
      <c r="I255" s="2"/>
      <c r="J255" s="2"/>
      <c r="L255" s="3"/>
      <c r="Y255" s="1">
        <v>45727</v>
      </c>
      <c r="Z255" s="7">
        <f t="shared" si="31"/>
        <v>7.9193002248652451E-3</v>
      </c>
    </row>
    <row r="256" spans="2:26" x14ac:dyDescent="0.3">
      <c r="D256" s="2"/>
      <c r="E256" s="2"/>
      <c r="F256" s="2"/>
      <c r="H256" s="3"/>
      <c r="I256" s="2"/>
      <c r="J256" s="2"/>
      <c r="L256" s="3"/>
      <c r="Y256" s="1">
        <v>45726</v>
      </c>
      <c r="Z256" s="7">
        <f t="shared" si="31"/>
        <v>-3.9263425899731964E-3</v>
      </c>
    </row>
    <row r="257" spans="4:26" x14ac:dyDescent="0.3">
      <c r="D257" s="2"/>
      <c r="E257" s="2"/>
      <c r="F257" s="2"/>
      <c r="H257" s="3"/>
      <c r="I257" s="2"/>
      <c r="J257" s="2"/>
      <c r="L257" s="3"/>
      <c r="Y257" s="1">
        <v>45723</v>
      </c>
      <c r="Z257" s="7">
        <f t="shared" si="31"/>
        <v>3.5183860539717564E-3</v>
      </c>
    </row>
    <row r="258" spans="4:26" x14ac:dyDescent="0.3">
      <c r="D258" s="2"/>
      <c r="E258" s="2"/>
      <c r="F258" s="2"/>
      <c r="H258" s="3"/>
      <c r="I258" s="2"/>
      <c r="J258" s="2"/>
      <c r="L258" s="3"/>
      <c r="Y258" s="1">
        <v>45722</v>
      </c>
      <c r="Z258" s="7">
        <f t="shared" si="31"/>
        <v>5.2355314171998683E-3</v>
      </c>
    </row>
    <row r="259" spans="4:26" x14ac:dyDescent="0.3">
      <c r="D259" s="2"/>
      <c r="E259" s="2"/>
      <c r="F259" s="2"/>
      <c r="H259" s="3"/>
      <c r="I259" s="2"/>
      <c r="J259" s="2"/>
      <c r="L259" s="3"/>
    </row>
    <row r="260" spans="4:26" x14ac:dyDescent="0.3">
      <c r="D260" s="2"/>
      <c r="E260" s="2"/>
      <c r="F260" s="2"/>
      <c r="H260" s="3"/>
      <c r="I260" s="2"/>
      <c r="J260" s="2"/>
      <c r="L260" s="3"/>
    </row>
    <row r="261" spans="4:26" x14ac:dyDescent="0.3">
      <c r="D261" s="2"/>
      <c r="E261" s="2"/>
      <c r="F261" s="2"/>
      <c r="H261" s="3"/>
      <c r="I261" s="2"/>
      <c r="J261" s="2"/>
      <c r="L261" s="3"/>
    </row>
    <row r="262" spans="4:26" x14ac:dyDescent="0.3">
      <c r="D262" s="2"/>
      <c r="E262" s="2"/>
      <c r="F262" s="2"/>
      <c r="H262" s="3"/>
      <c r="I262" s="2"/>
      <c r="J262" s="2"/>
      <c r="L262" s="3"/>
    </row>
    <row r="263" spans="4:26" x14ac:dyDescent="0.3">
      <c r="D263" s="2"/>
      <c r="E263" s="2"/>
      <c r="F263" s="2"/>
      <c r="H263" s="3"/>
      <c r="I263" s="2"/>
      <c r="J263" s="2"/>
      <c r="L263" s="3"/>
    </row>
    <row r="264" spans="4:26" x14ac:dyDescent="0.3">
      <c r="D264" s="2"/>
      <c r="E264" s="2"/>
      <c r="F264" s="2"/>
      <c r="H264" s="3"/>
      <c r="I264" s="2"/>
      <c r="J264" s="2"/>
      <c r="L264" s="3"/>
    </row>
    <row r="265" spans="4:26" x14ac:dyDescent="0.3">
      <c r="D265" s="2"/>
      <c r="E265" s="2"/>
      <c r="F265" s="2"/>
      <c r="H265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Co-variance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dcterms:created xsi:type="dcterms:W3CDTF">2026-03-05T13:12:46Z</dcterms:created>
  <dcterms:modified xsi:type="dcterms:W3CDTF">2026-03-07T06:10:17Z</dcterms:modified>
</cp:coreProperties>
</file>